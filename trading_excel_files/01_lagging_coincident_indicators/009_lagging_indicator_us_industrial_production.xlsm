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104.4696</v>
                </pt>
                <pt idx="272">
                  <v>104.8292</v>
                </pt>
                <pt idx="273">
                  <v>104.7972</v>
                </pt>
                <pt idx="274">
                  <v>104.1863</v>
                </pt>
                <pt idx="275">
                  <v>103.4332</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'IP from start'!$B$1099:$B$1257</f>
              <numCache>
                <formatCode>General</formatCode>
                <ptCount val="159"/>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103.9464</v>
                </pt>
                <pt idx="150">
                  <v>104.4824</v>
                </pt>
                <pt idx="151">
                  <v>104.4696</v>
                </pt>
                <pt idx="152">
                  <v>104.8292</v>
                </pt>
                <pt idx="153">
                  <v>104.7972</v>
                </pt>
                <pt idx="154">
                  <v>104.1863</v>
                </pt>
                <pt idx="155">
                  <v>103.4332</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start'!$A$1099:$A$1259</f>
              <numCache>
                <formatCode>m/d/yyyy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'IP from start'!$C$1099:$C$1259</f>
              <numCache>
                <formatCode>0.00%</formatCode>
                <ptCount val="161"/>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0.03746894721450644</v>
                </pt>
                <pt idx="150">
                  <v>0.03578778734321776</v>
                </pt>
                <pt idx="151">
                  <v>0.03602447514305261</v>
                </pt>
                <pt idx="152">
                  <v>0.04986890309244484</v>
                </pt>
                <pt idx="153">
                  <v>0.03390877287140315</v>
                </pt>
                <pt idx="154">
                  <v>0.02182501152401413</v>
                </pt>
                <pt idx="155">
                  <v>0.01645559544294488</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'Industrial Production'!$V$1</f>
          <strCache>
            <ptCount val="1"/>
            <pt idx="0">
              <v xml:space="preserve">Industrial Production Index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103.9464</v>
                </pt>
                <pt idx="605">
                  <v>104.4824</v>
                </pt>
                <pt idx="606">
                  <v>104.4696</v>
                </pt>
                <pt idx="607">
                  <v>104.8292</v>
                </pt>
                <pt idx="608">
                  <v>104.7972</v>
                </pt>
                <pt idx="609">
                  <v>104.1863</v>
                </pt>
                <pt idx="610">
                  <v>103.4332</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'Industrial Production'!$X$1</f>
          <strCache>
            <ptCount val="1"/>
            <pt idx="0">
              <v xml:space="preserve">Industrial Production Index  since 2000 -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104.4696</v>
                </pt>
                <pt idx="272">
                  <v>104.8292</v>
                </pt>
                <pt idx="273">
                  <v>104.7972</v>
                </pt>
                <pt idx="274">
                  <v>104.1863</v>
                </pt>
                <pt idx="275">
                  <v>103.4332</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0.03746894721450644</v>
                </pt>
                <pt idx="593">
                  <v>0.03578778734321776</v>
                </pt>
                <pt idx="594">
                  <v>0.03602447514305261</v>
                </pt>
                <pt idx="595">
                  <v>0.04986890309244484</v>
                </pt>
                <pt idx="596">
                  <v>0.03390877287140315</v>
                </pt>
                <pt idx="597">
                  <v>0.02182501152401413</v>
                </pt>
                <pt idx="598">
                  <v>0.01645559544294488</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0.03746894721450644</v>
                </pt>
                <pt idx="270">
                  <v>0.03578778734321776</v>
                </pt>
                <pt idx="271">
                  <v>0.03602447514305261</v>
                </pt>
                <pt idx="272">
                  <v>0.04986890309244484</v>
                </pt>
                <pt idx="273">
                  <v>0.03390877287140315</v>
                </pt>
                <pt idx="274">
                  <v>0.02182501152401413</v>
                </pt>
                <pt idx="275">
                  <v>0.01645559544294488</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103.9464</v>
                </pt>
              </numCache>
            </numRef>
          </val>
          <smooth val="0"/>
        </ser>
        <dLbls>
          <showLegendKey val="0"/>
          <showVal val="0"/>
          <showCatName val="0"/>
          <showSerName val="0"/>
          <showPercent val="0"/>
          <showBubbleSize val="0"/>
        </dLbls>
        <smooth val="0"/>
        <axId val="699395760"/>
        <axId val="699395432"/>
      </lineChart>
      <dateAx>
        <axId val="699395760"/>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Utilization'!$A$6:$A$677</f>
              <numCache>
                <formatCode>mmm\-yy</formatCode>
                <ptCount val="67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numCache>
            </numRef>
          </cat>
          <val>
            <numRef>
              <f>'Capacity Utilization'!$B$6:$B$677</f>
              <numCache>
                <formatCode>0.00</formatCode>
                <ptCount val="67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79.7281</v>
                </pt>
                <pt idx="666">
                  <v>80.0213</v>
                </pt>
                <pt idx="667">
                  <v>79.90170000000001</v>
                </pt>
                <pt idx="668">
                  <v>80.0758</v>
                </pt>
                <pt idx="669">
                  <v>79.958</v>
                </pt>
                <pt idx="670">
                  <v>79.4063</v>
                </pt>
                <pt idx="671">
                  <v>78.7539</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Utilization'!$A$6:$A$677</f>
              <numCache>
                <formatCode>mmm\-yy</formatCode>
                <ptCount val="67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numCache>
            </numRef>
          </cat>
          <val>
            <numRef>
              <f>'Capacity Utilization'!$C$6:$C$677</f>
              <numCache>
                <formatCode>General</formatCode>
                <ptCount val="67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0.08800029204141512</v>
                </pt>
                <pt idx="667">
                  <formatCode>0.0%</formatCode>
                  <v>0.08851410584264863</v>
                </pt>
                <pt idx="668">
                  <formatCode>0.0%</formatCode>
                  <v>0.0847054469298958</v>
                </pt>
                <pt idx="669">
                  <formatCode>0.0%</formatCode>
                  <v>0.08150183150183153</v>
                </pt>
                <pt idx="670">
                  <formatCode>0.0%</formatCode>
                  <v>0.08017369106910158</v>
                </pt>
                <pt idx="671">
                  <formatCode>0.0%</formatCode>
                  <v>0.07753310611708726</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0.08800029204141512</v>
                </pt>
                <pt idx="571">
                  <v>0.08851410584264863</v>
                </pt>
                <pt idx="572">
                  <v>0.0847054469298958</v>
                </pt>
                <pt idx="573">
                  <v>0.08150183150183153</v>
                </pt>
                <pt idx="574">
                  <v>0.08017369106910158</v>
                </pt>
                <pt idx="575">
                  <v>0.07753310611708726</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79.7281</v>
                </pt>
                <pt idx="570">
                  <v>80.0213</v>
                </pt>
                <pt idx="571">
                  <v>79.90170000000001</v>
                </pt>
                <pt idx="572">
                  <v>80.0758</v>
                </pt>
                <pt idx="573">
                  <v>79.958</v>
                </pt>
                <pt idx="574">
                  <v>79.4063</v>
                </pt>
                <pt idx="575">
                  <v>78.7539</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Materials!$A$8:$A$623</f>
              <numCache>
                <formatCode>mmm\-yy</formatCode>
                <ptCount val="616"/>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numCache>
            </numRef>
          </cat>
          <val>
            <numRef>
              <f>Materials!$B$8:$B$623</f>
              <numCache>
                <formatCode>0.0</formatCode>
                <ptCount val="616"/>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104.4086</v>
                </pt>
                <pt idx="605">
                  <v>105.0326</v>
                </pt>
                <pt idx="606">
                  <v>104.7296</v>
                </pt>
                <pt idx="607">
                  <v>105.4392</v>
                </pt>
                <pt idx="608">
                  <v>104.9429</v>
                </pt>
                <pt idx="609">
                  <v>104.3764</v>
                </pt>
                <pt idx="610">
                  <v>103.6326</v>
                </pt>
              </numCache>
            </numRef>
          </val>
          <smooth val="0"/>
        </ser>
        <dLbls>
          <showLegendKey val="0"/>
          <showVal val="0"/>
          <showCatName val="0"/>
          <showSerName val="0"/>
          <showPercent val="0"/>
          <showBubbleSize val="0"/>
        </dLbls>
        <smooth val="0"/>
        <axId val="494113096"/>
        <axId val="494113488"/>
      </lineChart>
      <dateAx>
        <axId val="494113096"/>
        <scaling>
          <orientation val="minMax"/>
          <max val="448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0.03506950950272188</v>
                </pt>
                <pt idx="593">
                  <v>0.03930006560400707</v>
                </pt>
                <pt idx="594">
                  <v>0.03766028657882901</v>
                </pt>
                <pt idx="595">
                  <v>0.06073519647492</v>
                </pt>
                <pt idx="596">
                  <v>0.03276939685926314</v>
                </pt>
                <pt idx="597">
                  <v>0.02255017408836282</v>
                </pt>
                <pt idx="598">
                  <v>0.01742029605863838</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0.03506950950272188</v>
                </pt>
                <pt idx="150">
                  <v>0.03930006560400707</v>
                </pt>
                <pt idx="151">
                  <v>0.03766028657882901</v>
                </pt>
                <pt idx="152">
                  <v>0.06073519647492</v>
                </pt>
                <pt idx="153">
                  <v>0.03276939685926314</v>
                </pt>
                <pt idx="154">
                  <v>0.02255017408836282</v>
                </pt>
                <pt idx="155">
                  <v>0.01742029605863838</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104.4086</v>
                </pt>
                <pt idx="150">
                  <v>105.0326</v>
                </pt>
                <pt idx="151">
                  <v>104.7296</v>
                </pt>
                <pt idx="152">
                  <v>105.4392</v>
                </pt>
                <pt idx="153">
                  <v>104.9429</v>
                </pt>
                <pt idx="154">
                  <v>104.3764</v>
                </pt>
                <pt idx="155">
                  <v>103.6326</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104.1889</v>
                </pt>
                <pt idx="593">
                  <v>104.4344</v>
                </pt>
                <pt idx="594">
                  <v>104.6436</v>
                </pt>
                <pt idx="595">
                  <v>104.296</v>
                </pt>
                <pt idx="596">
                  <v>105.0504</v>
                </pt>
                <pt idx="597">
                  <v>104.5137</v>
                </pt>
                <pt idx="598">
                  <v>104.4371</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104.1889</v>
                </pt>
                <pt idx="150">
                  <v>104.4344</v>
                </pt>
                <pt idx="151">
                  <v>104.6436</v>
                </pt>
                <pt idx="152">
                  <v>104.296</v>
                </pt>
                <pt idx="153">
                  <v>105.0504</v>
                </pt>
                <pt idx="154">
                  <v>104.5137</v>
                </pt>
                <pt idx="155">
                  <v>104.4371</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0.02013762554806424</v>
                </pt>
                <pt idx="593">
                  <v>0.01706628230848634</v>
                </pt>
                <pt idx="594">
                  <v>0.0206761747028496</v>
                </pt>
                <pt idx="595">
                  <v>0.02645056904744099</v>
                </pt>
                <pt idx="596">
                  <v>0.02622655831005886</v>
                </pt>
                <pt idx="597">
                  <v>0.01492176415921605</v>
                </pt>
                <pt idx="598">
                  <v>0.01749687260086596</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0.02013762554806424</v>
                </pt>
                <pt idx="150">
                  <v>0.01706628230848634</v>
                </pt>
                <pt idx="151">
                  <v>0.0206761747028496</v>
                </pt>
                <pt idx="152">
                  <v>0.02645056904744099</v>
                </pt>
                <pt idx="153">
                  <v>0.02622655831005886</v>
                </pt>
                <pt idx="154">
                  <v>0.01492176415921605</v>
                </pt>
                <pt idx="155">
                  <v>0.01749687260086596</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96.82470000000001</v>
                </pt>
                <pt idx="593">
                  <v>97.49509999999999</v>
                </pt>
                <pt idx="594">
                  <v>98.31359999999999</v>
                </pt>
                <pt idx="595">
                  <v>98.9922</v>
                </pt>
                <pt idx="596">
                  <v>99.3428</v>
                </pt>
                <pt idx="597">
                  <v>97.5707</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96.82470000000001</v>
                </pt>
                <pt idx="150">
                  <v>97.49509999999999</v>
                </pt>
                <pt idx="151">
                  <v>98.31359999999999</v>
                </pt>
                <pt idx="152">
                  <v>98.9922</v>
                </pt>
                <pt idx="153">
                  <v>99.3428</v>
                </pt>
                <pt idx="154">
                  <v>97.5707</v>
                </pt>
                <pt idx="155">
                  <v>95.6437</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0.07395296886663642</v>
                </pt>
                <pt idx="593">
                  <v>0.05213340211214255</v>
                </pt>
                <pt idx="594">
                  <v>0.06059553424828947</v>
                </pt>
                <pt idx="595">
                  <v>0.07327814731090103</v>
                </pt>
                <pt idx="596">
                  <v>0.06928293113469518</v>
                </pt>
                <pt idx="597">
                  <v>0.04447972287283927</v>
                </pt>
                <pt idx="598">
                  <v>0.01499619019723954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0.07395296886663642</v>
                </pt>
                <pt idx="150">
                  <v>0.05213340211214255</v>
                </pt>
                <pt idx="151">
                  <v>0.06059553424828947</v>
                </pt>
                <pt idx="152">
                  <v>0.07327814731090103</v>
                </pt>
                <pt idx="153">
                  <v>0.06928293113469518</v>
                </pt>
                <pt idx="154">
                  <v>0.04447972287283927</v>
                </pt>
                <pt idx="155">
                  <v>0.01499619019723954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103.8624</v>
                </pt>
                <pt idx="593">
                  <v>104.4501</v>
                </pt>
                <pt idx="594">
                  <v>104.1361</v>
                </pt>
                <pt idx="595">
                  <v>104.7329</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103.8624</v>
                </pt>
                <pt idx="150">
                  <v>104.4501</v>
                </pt>
                <pt idx="151">
                  <v>104.1361</v>
                </pt>
                <pt idx="152">
                  <v>104.7329</v>
                </pt>
                <pt idx="153">
                  <v>104.5094</v>
                </pt>
                <pt idx="154">
                  <v>104.2047</v>
                </pt>
                <pt idx="155">
                  <v>102.7464</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0.04836858600693444</v>
                </pt>
                <pt idx="593">
                  <v>0.04204386057676009</v>
                </pt>
                <pt idx="594">
                  <v>0.03499166131625979</v>
                </pt>
                <pt idx="595">
                  <v>0.02746804273395263</v>
                </pt>
                <pt idx="596">
                  <v>0.01180363674385373</v>
                </pt>
                <pt idx="597">
                  <v>-0.005929809599308578</v>
                </pt>
                <pt idx="598">
                  <v>-0.02104143879079386</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0.04836858600693444</v>
                </pt>
                <pt idx="150">
                  <v>0.04204386057676009</v>
                </pt>
                <pt idx="151">
                  <v>0.03499166131625979</v>
                </pt>
                <pt idx="152">
                  <v>0.02746804273395263</v>
                </pt>
                <pt idx="153">
                  <v>0.01180363674385373</v>
                </pt>
                <pt idx="154">
                  <v>-0.005929809599308578</v>
                </pt>
                <pt idx="155">
                  <v>-0.02104143879079386</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Manu!$A$20:$A$630</f>
              <numCache>
                <formatCode>mmm\-yy</formatCode>
                <ptCount val="61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Manu!$B$20:$B$630</f>
              <numCache>
                <formatCode>0.0</formatCode>
                <ptCount val="611"/>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101.7132</v>
                </pt>
                <pt idx="593">
                  <v>102.1307</v>
                </pt>
                <pt idx="594">
                  <v>102.3092</v>
                </pt>
                <pt idx="595">
                  <v>102.5138</v>
                </pt>
                <pt idx="596">
                  <v>102.8422</v>
                </pt>
                <pt idx="597">
                  <v>101.7142</v>
                </pt>
                <pt idx="598">
                  <v>100.3869</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Manu!$A$20:$A$625</f>
              <numCache>
                <formatCode>mmm\-yy</formatCode>
                <ptCount val="60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Manu!$D$20:$D$625</f>
              <numCache>
                <formatCode>0.0%</formatCode>
                <ptCount val="606"/>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0.03181053669502344</v>
                </pt>
                <pt idx="593">
                  <v>0.0246103437482444</v>
                </pt>
                <pt idx="594">
                  <v>0.02975762108125905</v>
                </pt>
                <pt idx="595">
                  <v>0.03992152439073875</v>
                </pt>
                <pt idx="596">
                  <v>0.02584610044179078</v>
                </pt>
                <pt idx="597">
                  <v>0.008778219779805715</v>
                </pt>
                <pt idx="598">
                  <v>-0.004074501773851814</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101.7132</v>
                </pt>
                <pt idx="150">
                  <v>102.1307</v>
                </pt>
                <pt idx="151">
                  <v>102.3092</v>
                </pt>
                <pt idx="152">
                  <v>102.5138</v>
                </pt>
                <pt idx="153">
                  <v>102.8422</v>
                </pt>
                <pt idx="154">
                  <v>101.7142</v>
                </pt>
                <pt idx="155">
                  <v>100.3869</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0.03181053669502344</v>
                </pt>
                <pt idx="150">
                  <v>0.0246103437482444</v>
                </pt>
                <pt idx="151">
                  <v>0.02975762108125905</v>
                </pt>
                <pt idx="152">
                  <v>0.03992152439073875</v>
                </pt>
                <pt idx="153">
                  <v>0.02584610044179078</v>
                </pt>
                <pt idx="154">
                  <v>0.008778219779805715</v>
                </pt>
                <pt idx="155">
                  <v>-0.004074501773851814</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115.3869</v>
                </pt>
                <pt idx="593">
                  <v>116.8773</v>
                </pt>
                <pt idx="594">
                  <v>116.8358</v>
                </pt>
                <pt idx="595">
                  <v>119.1833</v>
                </pt>
                <pt idx="596">
                  <v>119.1429</v>
                </pt>
                <pt idx="597">
                  <v>117.7031</v>
                </pt>
                <pt idx="598">
                  <v>116.6567</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0.07951522953529734</v>
                </pt>
                <pt idx="593">
                  <v>0.08614354376456682</v>
                </pt>
                <pt idx="594">
                  <v>0.08628382555982736</v>
                </pt>
                <pt idx="595">
                  <v>0.1256163660352447</v>
                </pt>
                <pt idx="596">
                  <v>0.08514550833193681</v>
                </pt>
                <pt idx="597">
                  <v>0.06845560942576338</v>
                </pt>
                <pt idx="598">
                  <v>0.05753321089074271</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0.07951522953529734</v>
                </pt>
                <pt idx="150">
                  <v>0.08614354376456682</v>
                </pt>
                <pt idx="151">
                  <v>0.08628382555982736</v>
                </pt>
                <pt idx="152">
                  <v>0.1256163660352447</v>
                </pt>
                <pt idx="153">
                  <v>0.08514550833193681</v>
                </pt>
                <pt idx="154">
                  <v>0.06845560942576338</v>
                </pt>
                <pt idx="155">
                  <v>0.05753321089074271</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115.3869</v>
                </pt>
                <pt idx="150">
                  <v>116.8773</v>
                </pt>
                <pt idx="151">
                  <v>116.8358</v>
                </pt>
                <pt idx="152">
                  <v>119.1833</v>
                </pt>
                <pt idx="153">
                  <v>119.1429</v>
                </pt>
                <pt idx="154">
                  <v>117.7031</v>
                </pt>
                <pt idx="155">
                  <v>116.6567</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107.5915</v>
                </pt>
                <pt idx="593">
                  <v>107.7486</v>
                </pt>
                <pt idx="594">
                  <v>106.3337</v>
                </pt>
                <pt idx="595">
                  <v>104.2016</v>
                </pt>
                <pt idx="596">
                  <v>101.5533</v>
                </pt>
                <pt idx="597">
                  <v>106.1584</v>
                </pt>
                <pt idx="598">
                  <v>110.2011</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0.0163843521124232</v>
                </pt>
                <pt idx="593">
                  <v>0.04020906784471665</v>
                </pt>
                <pt idx="594">
                  <v>0.01028491836672642</v>
                </pt>
                <pt idx="595">
                  <v>0.008476101806131654</v>
                </pt>
                <pt idx="596">
                  <v>0.01118792548419438</v>
                </pt>
                <pt idx="597">
                  <v>0.04207530815601129</v>
                </pt>
                <pt idx="598">
                  <v>0.09738224170449038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107.5915</v>
                </pt>
                <pt idx="150">
                  <v>107.7486</v>
                </pt>
                <pt idx="151">
                  <v>106.3337</v>
                </pt>
                <pt idx="152">
                  <v>104.2016</v>
                </pt>
                <pt idx="153">
                  <v>101.5533</v>
                </pt>
                <pt idx="154">
                  <v>106.1584</v>
                </pt>
                <pt idx="155">
                  <v>110.2011</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0.0163843521124232</v>
                </pt>
                <pt idx="150">
                  <v>0.04020906784471665</v>
                </pt>
                <pt idx="151">
                  <v>0.01028491836672642</v>
                </pt>
                <pt idx="152">
                  <v>0.008476101806131654</v>
                </pt>
                <pt idx="153">
                  <v>0.01118792548419438</v>
                </pt>
                <pt idx="154">
                  <v>0.04207530815601129</v>
                </pt>
                <pt idx="155">
                  <v>0.09738224170449038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196848</colOff>
      <row>553</row>
      <rowOff>127000</rowOff>
    </from>
    <to>
      <col>14</col>
      <colOff>497417</colOff>
      <row>575</row>
      <rowOff>38100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221190</colOff>
      <row>576</row>
      <rowOff>64030</rowOff>
    </from>
    <to>
      <col>14</col>
      <colOff>539750</colOff>
      <row>599</row>
      <rowOff>134938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216957</colOff>
      <row>600</row>
      <rowOff>47094</rowOff>
    </from>
    <to>
      <col>14</col>
      <colOff>523876</colOff>
      <row>622</row>
      <rowOff>96838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92603</colOff>
      <row>576</row>
      <rowOff>46565</rowOff>
    </from>
    <to>
      <col>26</col>
      <colOff>298979</colOff>
      <row>599</row>
      <rowOff>131762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82550</colOff>
      <row>600</row>
      <rowOff>33866</rowOff>
    </from>
    <to>
      <col>26</col>
      <colOff>260351</colOff>
      <row>622</row>
      <rowOff>119064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205578</colOff>
      <row>582</row>
      <rowOff>166688</rowOff>
    </from>
    <to>
      <col>14</col>
      <colOff>455612</colOff>
      <row>603</row>
      <rowOff>98426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230981</colOff>
      <row>604</row>
      <rowOff>34130</rowOff>
    </from>
    <to>
      <col>14</col>
      <colOff>439737</colOff>
      <row>624</row>
      <rowOff>139699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556419</colOff>
      <row>604</row>
      <rowOff>76201</rowOff>
    </from>
    <to>
      <col>25</col>
      <colOff>593196</colOff>
      <row>624</row>
      <rowOff>144993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580230</colOff>
      <row>582</row>
      <rowOff>177800</rowOff>
    </from>
    <to>
      <col>25</col>
      <colOff>552979</colOff>
      <row>603</row>
      <rowOff>161925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4" headerRowCount="1" totalsRowShown="0" headerRowDxfId="68" dataDxfId="66" headerRowBorderDxfId="67">
  <autoFilter ref="A6:D1254"/>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8" headerRowCount="1" totalsRowShown="0" headerRowDxfId="61" dataDxfId="59" headerRowBorderDxfId="60" tableBorderDxfId="58">
  <autoFilter ref="A6:D618"/>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7" headerRowCount="1" totalsRowShown="0" headerRowDxfId="53" dataDxfId="51" headerRowBorderDxfId="52">
  <autoFilter ref="A5:C677"/>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8" headerRowCount="1" totalsRowShown="0" headerRowDxfId="47" dataDxfId="45" headerRowBorderDxfId="46" tableBorderDxfId="44">
  <autoFilter ref="A6:D618"/>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8" headerRowCount="1" totalsRowShown="0" headerRowBorderDxfId="39" tableBorderDxfId="38">
  <autoFilter ref="A6:D618"/>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8" headerRowCount="1" totalsRowShown="0" headerRowBorderDxfId="33" tableBorderDxfId="32">
  <autoFilter ref="A6:D618"/>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8" headerRowCount="1" totalsRowShown="0" headerRowBorderDxfId="27" tableBorderDxfId="26">
  <autoFilter ref="A6:D618"/>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8" headerRowCount="1" totalsRowShown="0" headerRowBorderDxfId="21" tableBorderDxfId="20">
  <autoFilter ref="A6:D618"/>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8" headerRowCount="1" totalsRowShown="0" headerRowDxfId="15" dataDxfId="13" headerRowBorderDxfId="14" tableBorderDxfId="12">
  <autoFilter ref="A6:D618"/>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8" headerRowCount="1" totalsRowShown="0" headerRowDxfId="7" dataDxfId="5" headerRowBorderDxfId="6" tableBorderDxfId="4">
  <autoFilter ref="A6:D618"/>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10" zoomScaleNormal="110" workbookViewId="0">
      <selection activeCell="K1265" sqref="K1265"/>
    </sheetView>
  </sheetViews>
  <sheetFormatPr baseColWidth="8" defaultColWidth="9.1796875" defaultRowHeight="14.5"/>
  <cols>
    <col width="9.1796875" customWidth="1" style="79" min="1" max="1"/>
    <col width="12.81640625" customWidth="1" style="79" min="2" max="10"/>
    <col width="3" customWidth="1" style="79" min="11" max="13"/>
    <col width="19" customWidth="1" style="79" min="14" max="14"/>
    <col width="9.1796875" customWidth="1" style="79" min="15" max="15"/>
    <col width="12.36328125" customWidth="1" style="79" min="16" max="19"/>
    <col width="9.1796875" customWidth="1" style="79" min="20" max="42"/>
    <col width="9.1796875" customWidth="1" style="79" min="43" max="16384"/>
  </cols>
  <sheetData>
    <row r="1">
      <c r="B1" s="86" t="n"/>
    </row>
    <row r="2" ht="16" customHeight="1" thickBot="1">
      <c r="B2" s="87" t="n"/>
      <c r="C2" s="87" t="n"/>
      <c r="D2" s="87" t="n"/>
      <c r="E2" s="87" t="n"/>
      <c r="F2" s="87" t="n"/>
      <c r="G2" s="87" t="n"/>
      <c r="H2" s="87" t="n"/>
      <c r="I2" s="87" t="n"/>
      <c r="J2" s="87" t="n"/>
    </row>
    <row r="3" ht="16" customHeight="1" thickBot="1">
      <c r="B3" s="88" t="inlineStr">
        <is>
          <t>Industrial Production and Capacity Utilization</t>
        </is>
      </c>
      <c r="C3" s="89" t="n"/>
      <c r="D3" s="89" t="n"/>
      <c r="E3" s="89" t="n"/>
      <c r="F3" s="89" t="n"/>
      <c r="G3" s="89" t="n"/>
      <c r="H3" s="89" t="n"/>
      <c r="I3" s="89" t="n"/>
      <c r="J3" s="90" t="n"/>
    </row>
    <row r="5">
      <c r="B5" s="81" t="inlineStr">
        <is>
          <t>Definition</t>
        </is>
      </c>
      <c r="C5" s="82" t="n"/>
      <c r="D5" s="82" t="n"/>
      <c r="E5" s="82" t="n"/>
      <c r="F5" s="82" t="n"/>
      <c r="G5" s="82" t="n"/>
      <c r="H5" s="82" t="n"/>
      <c r="I5" s="82" t="n"/>
      <c r="J5" s="83" t="n"/>
    </row>
    <row r="7" ht="245.25" customHeight="1">
      <c r="B7" s="91"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c r="B8" s="92" t="inlineStr">
        <is>
          <t>https://www.federalreserve.gov/releases/g17/About.htm</t>
        </is>
      </c>
    </row>
    <row r="9" ht="15" customHeight="1">
      <c r="B9" s="2" t="inlineStr">
        <is>
          <t>https://www.federalreserve.gov/releases/g17/download.htm</t>
        </is>
      </c>
    </row>
    <row r="10" ht="15" customHeight="1">
      <c r="B10" s="2" t="inlineStr">
        <is>
          <t>https://www.federalreserve.gov/releases/g17/g17tab1.txt</t>
        </is>
      </c>
      <c r="N10" s="81" t="inlineStr">
        <is>
          <t>Summary</t>
        </is>
      </c>
      <c r="O10" s="82" t="n"/>
      <c r="P10" s="82" t="n"/>
      <c r="Q10" s="82" t="n"/>
      <c r="R10" s="82" t="n"/>
      <c r="S10" s="83" t="n"/>
    </row>
    <row r="11">
      <c r="B11" s="22" t="n"/>
      <c r="C11" s="22" t="n"/>
      <c r="D11" s="22" t="n"/>
      <c r="E11" s="22" t="n"/>
    </row>
    <row r="12">
      <c r="B12" s="81" t="inlineStr">
        <is>
          <t>Process / TO DO LIST</t>
        </is>
      </c>
      <c r="C12" s="82" t="n"/>
      <c r="D12" s="82" t="n"/>
      <c r="E12" s="82" t="n"/>
      <c r="F12" s="82" t="n"/>
      <c r="G12" s="82" t="n"/>
      <c r="H12" s="82" t="n"/>
      <c r="I12" s="82" t="n"/>
      <c r="J12" s="83" t="n"/>
      <c r="N12" s="40" t="inlineStr">
        <is>
          <t>* To modify</t>
        </is>
      </c>
    </row>
    <row r="13" ht="16" customHeight="1" thickBot="1"/>
    <row r="14">
      <c r="B14" s="81" t="inlineStr">
        <is>
          <t>TO DO LIST</t>
        </is>
      </c>
      <c r="C14" s="82" t="n"/>
      <c r="D14" s="82" t="n"/>
      <c r="E14" s="82" t="n"/>
      <c r="F14" s="83" t="n"/>
      <c r="G14" s="81" t="inlineStr">
        <is>
          <t>Comments</t>
        </is>
      </c>
      <c r="H14" s="82" t="n"/>
      <c r="I14" s="82" t="n"/>
      <c r="J14" s="83" t="n"/>
      <c r="P14" s="41" t="n">
        <v>44896</v>
      </c>
      <c r="Q14" s="42" t="n"/>
    </row>
    <row r="15" ht="16" customHeight="1" thickBot="1">
      <c r="P15" s="43" t="inlineStr">
        <is>
          <t>mom</t>
        </is>
      </c>
      <c r="Q15" s="43" t="inlineStr">
        <is>
          <t>yoy</t>
        </is>
      </c>
    </row>
    <row r="16" ht="16" customHeight="1">
      <c r="B16" s="1" t="inlineStr">
        <is>
          <t>Major Industry Groups</t>
        </is>
      </c>
      <c r="I16" s="11" t="n"/>
      <c r="J16" s="12" t="inlineStr">
        <is>
          <t>Weight</t>
        </is>
      </c>
      <c r="N16" s="84" t="inlineStr">
        <is>
          <t>Industrial Production Index</t>
        </is>
      </c>
      <c r="O16" s="85"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79" t="inlineStr">
        <is>
          <t>INDPRO</t>
        </is>
      </c>
    </row>
    <row r="17">
      <c r="B17" s="79" t="inlineStr">
        <is>
          <t>Manufacturing</t>
        </is>
      </c>
      <c r="D17" s="79" t="inlineStr">
        <is>
          <t>https://fred.stlouisfed.org/series/IPMAN</t>
        </is>
      </c>
      <c r="I17" s="11" t="n">
        <v>2447752</v>
      </c>
      <c r="J17" s="25" t="n">
        <v>0.725968397007331</v>
      </c>
      <c r="N17" s="93" t="inlineStr">
        <is>
          <t>Manufacturing</t>
        </is>
      </c>
      <c r="O17" s="94"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c r="B18" s="79" t="inlineStr">
        <is>
          <t>Mining</t>
        </is>
      </c>
      <c r="D18" s="79" t="inlineStr">
        <is>
          <t>https://fred.stlouisfed.org/series/IPMINE</t>
        </is>
      </c>
      <c r="G18" s="80" t="n"/>
      <c r="H18" s="80" t="n"/>
      <c r="I18" s="23" t="n">
        <v>608173</v>
      </c>
      <c r="J18" s="26" t="n">
        <v>0.1803754538503654</v>
      </c>
      <c r="N18" s="93" t="inlineStr">
        <is>
          <t>Mining</t>
        </is>
      </c>
      <c r="O18" s="94"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c r="B19" s="79" t="inlineStr">
        <is>
          <t>Utilities</t>
        </is>
      </c>
      <c r="D19" s="79" t="inlineStr">
        <is>
          <t>https://fred.stlouisfed.org/series/IPUTIL</t>
        </is>
      </c>
      <c r="G19" s="80" t="n"/>
      <c r="H19" s="80" t="n"/>
      <c r="I19" s="23" t="n">
        <v>315781</v>
      </c>
      <c r="J19" s="26" t="n">
        <v>0.09365614914230364</v>
      </c>
      <c r="N19" s="93" t="inlineStr">
        <is>
          <t>Utilities</t>
        </is>
      </c>
      <c r="O19" s="94"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c r="B20" s="79" t="inlineStr">
        <is>
          <t>Industrial Production Index</t>
        </is>
      </c>
      <c r="D20" s="79" t="inlineStr">
        <is>
          <t>https://fred.stlouisfed.org/series/INDPRO</t>
        </is>
      </c>
      <c r="G20" s="52" t="n"/>
      <c r="H20" s="52" t="n"/>
      <c r="I20" s="24" t="n">
        <v>3371706</v>
      </c>
      <c r="J20" s="27" t="n">
        <v>1</v>
      </c>
      <c r="N20" s="93" t="inlineStr">
        <is>
          <t>Materials</t>
        </is>
      </c>
      <c r="O20" s="94"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79" t="inlineStr">
        <is>
          <t>IPMAT</t>
        </is>
      </c>
    </row>
    <row r="21" ht="15.75" customHeight="1">
      <c r="G21" s="80" t="n"/>
      <c r="N21" s="93" t="inlineStr">
        <is>
          <t>Consumer Goods</t>
        </is>
      </c>
      <c r="O21" s="94"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79" t="inlineStr">
        <is>
          <t>IPCONGD</t>
        </is>
      </c>
    </row>
    <row r="22" ht="15.75" customHeight="1">
      <c r="B22" s="1" t="inlineStr">
        <is>
          <t>Major Market Groups</t>
        </is>
      </c>
      <c r="I22" s="11" t="n"/>
      <c r="J22" s="12" t="inlineStr">
        <is>
          <t>Weight</t>
        </is>
      </c>
      <c r="N22" s="93" t="inlineStr">
        <is>
          <t>Business Equipment</t>
        </is>
      </c>
      <c r="O22" s="94"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79" t="inlineStr">
        <is>
          <t>IPBUSEQ</t>
        </is>
      </c>
    </row>
    <row r="23" ht="17.25" customHeight="1" thickBot="1">
      <c r="B23" s="79" t="inlineStr">
        <is>
          <t>Industrial Production Index</t>
        </is>
      </c>
      <c r="D23" s="79" t="inlineStr">
        <is>
          <t>https://fred.stlouisfed.org/series/INDPRO</t>
        </is>
      </c>
      <c r="I23" s="11" t="n">
        <v>3371706</v>
      </c>
      <c r="J23" s="25" t="n">
        <v>1</v>
      </c>
      <c r="N23" s="95" t="inlineStr">
        <is>
          <t>Construction supplies</t>
        </is>
      </c>
      <c r="O23" s="96"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79" t="inlineStr">
        <is>
          <t>IPB54100S</t>
        </is>
      </c>
    </row>
    <row r="24" ht="15.75" customHeight="1">
      <c r="B24" s="79" t="inlineStr">
        <is>
          <t>Materials</t>
        </is>
      </c>
      <c r="D24" s="79" t="inlineStr">
        <is>
          <t>https://fred.stlouisfed.org/series/IPMAT</t>
        </is>
      </c>
      <c r="G24" s="80" t="n"/>
      <c r="H24" s="80" t="n"/>
      <c r="I24" s="23" t="n">
        <v>1624304</v>
      </c>
      <c r="J24" s="26" t="n">
        <v>0.4817</v>
      </c>
    </row>
    <row r="25" ht="15.75" customHeight="1">
      <c r="B25" s="79" t="inlineStr">
        <is>
          <t>Consumer Goods</t>
        </is>
      </c>
      <c r="D25" s="79" t="inlineStr">
        <is>
          <t>https://fred.stlouisfed.org/series/IPCONGD</t>
        </is>
      </c>
      <c r="G25" s="80" t="n"/>
      <c r="H25" s="80" t="n"/>
      <c r="I25" s="23" t="n">
        <v>850761</v>
      </c>
      <c r="J25" s="26" t="n">
        <v>0.2523</v>
      </c>
    </row>
    <row r="26" ht="15.75" customHeight="1">
      <c r="B26" s="79" t="inlineStr">
        <is>
          <t>Others</t>
        </is>
      </c>
      <c r="G26" s="52" t="n"/>
      <c r="H26" s="52" t="n"/>
      <c r="I26" s="24" t="n">
        <v>423708</v>
      </c>
      <c r="J26" s="27" t="n">
        <v>0.1258</v>
      </c>
    </row>
    <row r="27" ht="15.75" customHeight="1" thickBot="1">
      <c r="B27" s="79" t="inlineStr">
        <is>
          <t>Business Equipment</t>
        </is>
      </c>
      <c r="D27" s="79" t="inlineStr">
        <is>
          <t>https://fred.stlouisfed.org/series/IPBUSEQ</t>
        </is>
      </c>
      <c r="G27" s="53" t="n"/>
      <c r="H27" s="53" t="n"/>
      <c r="I27" s="24" t="n">
        <v>333915</v>
      </c>
      <c r="J27" s="27" t="n">
        <v>0.099</v>
      </c>
    </row>
    <row r="28" ht="15.75" customHeight="1" thickBot="1">
      <c r="B28" s="79" t="inlineStr">
        <is>
          <t>Construction supplies</t>
        </is>
      </c>
      <c r="D28" s="79" t="inlineStr">
        <is>
          <t>https://fred.stlouisfed.org/series/IPB54100S</t>
        </is>
      </c>
      <c r="G28" s="53" t="n"/>
      <c r="H28" s="53" t="n"/>
      <c r="I28" s="24" t="n">
        <v>139018</v>
      </c>
      <c r="J28" s="27" t="n">
        <v>0.0412</v>
      </c>
      <c r="N28" s="42">
        <f>DATE(YEAR($P$14),MONTH($P$14)-1,DAY($P$14))</f>
        <v/>
      </c>
    </row>
    <row r="29" ht="15.75" customHeight="1" thickBot="1">
      <c r="B29" s="79" t="n"/>
      <c r="G29" s="80" t="inlineStr">
        <is>
          <t xml:space="preserve"> = Final Products + Materials</t>
        </is>
      </c>
      <c r="N29" s="50">
        <f>DATE(YEAR($P$14)-1,MONTH($P$14),DAY($P$14))</f>
        <v/>
      </c>
    </row>
    <row r="30">
      <c r="G30" s="80" t="inlineStr">
        <is>
          <t>Materials = Materials ex. Energy Materials + Energy Materials</t>
        </is>
      </c>
    </row>
    <row r="32">
      <c r="B32" s="1" t="inlineStr">
        <is>
          <t>Capacity Utilization</t>
        </is>
      </c>
      <c r="D32" s="92" t="inlineStr">
        <is>
          <t>https://fred.stlouisfed.org/series/TCU</t>
        </is>
      </c>
    </row>
    <row r="34">
      <c r="B34" s="1" t="n"/>
    </row>
    <row r="35" ht="33.75" customHeight="1">
      <c r="B35" s="78"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9"/>
  <sheetViews>
    <sheetView zoomScale="90" zoomScaleNormal="90" workbookViewId="0">
      <pane ySplit="1" topLeftCell="A1203" activePane="bottomLeft" state="frozen"/>
      <selection activeCell="K1265" sqref="K1265"/>
      <selection pane="bottomLeft" activeCell="K1265" sqref="K1265"/>
    </sheetView>
  </sheetViews>
  <sheetFormatPr baseColWidth="8" defaultColWidth="8.81640625" defaultRowHeight="14.5"/>
  <cols>
    <col width="12.6328125" customWidth="1" min="1" max="1"/>
    <col width="11.6328125" customWidth="1" min="2" max="9"/>
    <col width="10.6328125" customWidth="1" min="10" max="10"/>
    <col width="9.1796875" customWidth="1" min="11" max="256"/>
    <col width="12.6328125" customWidth="1" min="257" max="257"/>
    <col width="11.6328125" customWidth="1" min="258" max="265"/>
    <col width="10.6328125" customWidth="1" min="266" max="266"/>
    <col width="9.1796875" customWidth="1" min="267" max="512"/>
    <col width="12.6328125" customWidth="1" min="513" max="513"/>
    <col width="11.6328125" customWidth="1" min="514" max="521"/>
    <col width="10.6328125" customWidth="1" min="522" max="522"/>
    <col width="9.1796875" customWidth="1" min="523" max="768"/>
    <col width="12.6328125" customWidth="1" min="769" max="769"/>
    <col width="11.6328125" customWidth="1" min="770" max="777"/>
    <col width="10.6328125" customWidth="1" min="778" max="778"/>
    <col width="9.1796875" customWidth="1" min="779" max="1024"/>
    <col width="12.6328125" customWidth="1" min="1025" max="1025"/>
    <col width="11.6328125" customWidth="1" min="1026" max="1033"/>
    <col width="10.6328125" customWidth="1" min="1034" max="1034"/>
    <col width="9.1796875" customWidth="1" min="1035" max="1280"/>
    <col width="12.6328125" customWidth="1" min="1281" max="1281"/>
    <col width="11.6328125" customWidth="1" min="1282" max="1289"/>
    <col width="10.6328125" customWidth="1" min="1290" max="1290"/>
    <col width="9.1796875" customWidth="1" min="1291" max="1536"/>
    <col width="12.6328125" customWidth="1" min="1537" max="1537"/>
    <col width="11.6328125" customWidth="1" min="1538" max="1545"/>
    <col width="10.6328125" customWidth="1" min="1546" max="1546"/>
    <col width="9.1796875" customWidth="1" min="1547" max="1792"/>
    <col width="12.6328125" customWidth="1" min="1793" max="1793"/>
    <col width="11.6328125" customWidth="1" min="1794" max="1801"/>
    <col width="10.6328125" customWidth="1" min="1802" max="1802"/>
    <col width="9.1796875" customWidth="1" min="1803" max="2048"/>
    <col width="12.6328125" customWidth="1" min="2049" max="2049"/>
    <col width="11.6328125" customWidth="1" min="2050" max="2057"/>
    <col width="10.6328125" customWidth="1" min="2058" max="2058"/>
    <col width="9.1796875" customWidth="1" min="2059" max="2304"/>
    <col width="12.6328125" customWidth="1" min="2305" max="2305"/>
    <col width="11.6328125" customWidth="1" min="2306" max="2313"/>
    <col width="10.6328125" customWidth="1" min="2314" max="2314"/>
    <col width="9.1796875" customWidth="1" min="2315" max="2560"/>
    <col width="12.6328125" customWidth="1" min="2561" max="2561"/>
    <col width="11.6328125" customWidth="1" min="2562" max="2569"/>
    <col width="10.6328125" customWidth="1" min="2570" max="2570"/>
    <col width="9.1796875" customWidth="1" min="2571" max="2816"/>
    <col width="12.6328125" customWidth="1" min="2817" max="2817"/>
    <col width="11.6328125" customWidth="1" min="2818" max="2825"/>
    <col width="10.6328125" customWidth="1" min="2826" max="2826"/>
    <col width="9.1796875" customWidth="1" min="2827" max="3072"/>
    <col width="12.6328125" customWidth="1" min="3073" max="3073"/>
    <col width="11.6328125" customWidth="1" min="3074" max="3081"/>
    <col width="10.6328125" customWidth="1" min="3082" max="3082"/>
    <col width="9.1796875" customWidth="1" min="3083" max="3328"/>
    <col width="12.6328125" customWidth="1" min="3329" max="3329"/>
    <col width="11.6328125" customWidth="1" min="3330" max="3337"/>
    <col width="10.6328125" customWidth="1" min="3338" max="3338"/>
    <col width="9.1796875" customWidth="1" min="3339" max="3584"/>
    <col width="12.6328125" customWidth="1" min="3585" max="3585"/>
    <col width="11.6328125" customWidth="1" min="3586" max="3593"/>
    <col width="10.6328125" customWidth="1" min="3594" max="3594"/>
    <col width="9.1796875" customWidth="1" min="3595" max="3840"/>
    <col width="12.6328125" customWidth="1" min="3841" max="3841"/>
    <col width="11.6328125" customWidth="1" min="3842" max="3849"/>
    <col width="10.6328125" customWidth="1" min="3850" max="3850"/>
    <col width="9.1796875" customWidth="1" min="3851" max="4096"/>
    <col width="12.6328125" customWidth="1" min="4097" max="4097"/>
    <col width="11.6328125" customWidth="1" min="4098" max="4105"/>
    <col width="10.6328125" customWidth="1" min="4106" max="4106"/>
    <col width="9.1796875" customWidth="1" min="4107" max="4352"/>
    <col width="12.6328125" customWidth="1" min="4353" max="4353"/>
    <col width="11.6328125" customWidth="1" min="4354" max="4361"/>
    <col width="10.6328125" customWidth="1" min="4362" max="4362"/>
    <col width="9.1796875" customWidth="1" min="4363" max="4608"/>
    <col width="12.6328125" customWidth="1" min="4609" max="4609"/>
    <col width="11.6328125" customWidth="1" min="4610" max="4617"/>
    <col width="10.6328125" customWidth="1" min="4618" max="4618"/>
    <col width="9.1796875" customWidth="1" min="4619" max="4864"/>
    <col width="12.6328125" customWidth="1" min="4865" max="4865"/>
    <col width="11.6328125" customWidth="1" min="4866" max="4873"/>
    <col width="10.6328125" customWidth="1" min="4874" max="4874"/>
    <col width="9.1796875" customWidth="1" min="4875" max="5120"/>
    <col width="12.6328125" customWidth="1" min="5121" max="5121"/>
    <col width="11.6328125" customWidth="1" min="5122" max="5129"/>
    <col width="10.6328125" customWidth="1" min="5130" max="5130"/>
    <col width="9.1796875" customWidth="1" min="5131" max="5376"/>
    <col width="12.6328125" customWidth="1" min="5377" max="5377"/>
    <col width="11.6328125" customWidth="1" min="5378" max="5385"/>
    <col width="10.6328125" customWidth="1" min="5386" max="5386"/>
    <col width="9.1796875" customWidth="1" min="5387" max="5632"/>
    <col width="12.6328125" customWidth="1" min="5633" max="5633"/>
    <col width="11.6328125" customWidth="1" min="5634" max="5641"/>
    <col width="10.6328125" customWidth="1" min="5642" max="5642"/>
    <col width="9.1796875" customWidth="1" min="5643" max="5888"/>
    <col width="12.6328125" customWidth="1" min="5889" max="5889"/>
    <col width="11.6328125" customWidth="1" min="5890" max="5897"/>
    <col width="10.6328125" customWidth="1" min="5898" max="5898"/>
    <col width="9.1796875" customWidth="1" min="5899" max="6144"/>
    <col width="12.6328125" customWidth="1" min="6145" max="6145"/>
    <col width="11.6328125" customWidth="1" min="6146" max="6153"/>
    <col width="10.6328125" customWidth="1" min="6154" max="6154"/>
    <col width="9.1796875" customWidth="1" min="6155" max="6400"/>
    <col width="12.6328125" customWidth="1" min="6401" max="6401"/>
    <col width="11.6328125" customWidth="1" min="6402" max="6409"/>
    <col width="10.6328125" customWidth="1" min="6410" max="6410"/>
    <col width="9.1796875" customWidth="1" min="6411" max="6656"/>
    <col width="12.6328125" customWidth="1" min="6657" max="6657"/>
    <col width="11.6328125" customWidth="1" min="6658" max="6665"/>
    <col width="10.6328125" customWidth="1" min="6666" max="6666"/>
    <col width="9.1796875" customWidth="1" min="6667" max="6912"/>
    <col width="12.6328125" customWidth="1" min="6913" max="6913"/>
    <col width="11.6328125" customWidth="1" min="6914" max="6921"/>
    <col width="10.6328125" customWidth="1" min="6922" max="6922"/>
    <col width="9.1796875" customWidth="1" min="6923" max="7168"/>
    <col width="12.6328125" customWidth="1" min="7169" max="7169"/>
    <col width="11.6328125" customWidth="1" min="7170" max="7177"/>
    <col width="10.6328125" customWidth="1" min="7178" max="7178"/>
    <col width="9.1796875" customWidth="1" min="7179" max="7424"/>
    <col width="12.6328125" customWidth="1" min="7425" max="7425"/>
    <col width="11.6328125" customWidth="1" min="7426" max="7433"/>
    <col width="10.6328125" customWidth="1" min="7434" max="7434"/>
    <col width="9.1796875" customWidth="1" min="7435" max="7680"/>
    <col width="12.6328125" customWidth="1" min="7681" max="7681"/>
    <col width="11.6328125" customWidth="1" min="7682" max="7689"/>
    <col width="10.6328125" customWidth="1" min="7690" max="7690"/>
    <col width="9.1796875" customWidth="1" min="7691" max="7936"/>
    <col width="12.6328125" customWidth="1" min="7937" max="7937"/>
    <col width="11.6328125" customWidth="1" min="7938" max="7945"/>
    <col width="10.6328125" customWidth="1" min="7946" max="7946"/>
    <col width="9.1796875" customWidth="1" min="7947" max="8192"/>
    <col width="12.6328125" customWidth="1" min="8193" max="8193"/>
    <col width="11.6328125" customWidth="1" min="8194" max="8201"/>
    <col width="10.6328125" customWidth="1" min="8202" max="8202"/>
    <col width="9.1796875" customWidth="1" min="8203" max="8448"/>
    <col width="12.6328125" customWidth="1" min="8449" max="8449"/>
    <col width="11.6328125" customWidth="1" min="8450" max="8457"/>
    <col width="10.6328125" customWidth="1" min="8458" max="8458"/>
    <col width="9.1796875" customWidth="1" min="8459" max="8704"/>
    <col width="12.6328125" customWidth="1" min="8705" max="8705"/>
    <col width="11.6328125" customWidth="1" min="8706" max="8713"/>
    <col width="10.6328125" customWidth="1" min="8714" max="8714"/>
    <col width="9.1796875" customWidth="1" min="8715" max="8960"/>
    <col width="12.6328125" customWidth="1" min="8961" max="8961"/>
    <col width="11.6328125" customWidth="1" min="8962" max="8969"/>
    <col width="10.6328125" customWidth="1" min="8970" max="8970"/>
    <col width="9.1796875" customWidth="1" min="8971" max="9216"/>
    <col width="12.6328125" customWidth="1" min="9217" max="9217"/>
    <col width="11.6328125" customWidth="1" min="9218" max="9225"/>
    <col width="10.6328125" customWidth="1" min="9226" max="9226"/>
    <col width="9.1796875" customWidth="1" min="9227" max="9472"/>
    <col width="12.6328125" customWidth="1" min="9473" max="9473"/>
    <col width="11.6328125" customWidth="1" min="9474" max="9481"/>
    <col width="10.6328125" customWidth="1" min="9482" max="9482"/>
    <col width="9.1796875" customWidth="1" min="9483" max="9728"/>
    <col width="12.6328125" customWidth="1" min="9729" max="9729"/>
    <col width="11.6328125" customWidth="1" min="9730" max="9737"/>
    <col width="10.6328125" customWidth="1" min="9738" max="9738"/>
    <col width="9.1796875" customWidth="1" min="9739" max="9984"/>
    <col width="12.6328125" customWidth="1" min="9985" max="9985"/>
    <col width="11.6328125" customWidth="1" min="9986" max="9993"/>
    <col width="10.6328125" customWidth="1" min="9994" max="9994"/>
    <col width="9.1796875" customWidth="1" min="9995" max="10240"/>
    <col width="12.6328125" customWidth="1" min="10241" max="10241"/>
    <col width="11.6328125" customWidth="1" min="10242" max="10249"/>
    <col width="10.6328125" customWidth="1" min="10250" max="10250"/>
    <col width="9.1796875" customWidth="1" min="10251" max="10496"/>
    <col width="12.6328125" customWidth="1" min="10497" max="10497"/>
    <col width="11.6328125" customWidth="1" min="10498" max="10505"/>
    <col width="10.6328125" customWidth="1" min="10506" max="10506"/>
    <col width="9.1796875" customWidth="1" min="10507" max="10752"/>
    <col width="12.6328125" customWidth="1" min="10753" max="10753"/>
    <col width="11.6328125" customWidth="1" min="10754" max="10761"/>
    <col width="10.6328125" customWidth="1" min="10762" max="10762"/>
    <col width="9.1796875" customWidth="1" min="10763" max="11008"/>
    <col width="12.6328125" customWidth="1" min="11009" max="11009"/>
    <col width="11.6328125" customWidth="1" min="11010" max="11017"/>
    <col width="10.6328125" customWidth="1" min="11018" max="11018"/>
    <col width="9.1796875" customWidth="1" min="11019" max="11264"/>
    <col width="12.6328125" customWidth="1" min="11265" max="11265"/>
    <col width="11.6328125" customWidth="1" min="11266" max="11273"/>
    <col width="10.6328125" customWidth="1" min="11274" max="11274"/>
    <col width="9.1796875" customWidth="1" min="11275" max="11520"/>
    <col width="12.6328125" customWidth="1" min="11521" max="11521"/>
    <col width="11.6328125" customWidth="1" min="11522" max="11529"/>
    <col width="10.6328125" customWidth="1" min="11530" max="11530"/>
    <col width="9.1796875" customWidth="1" min="11531" max="11776"/>
    <col width="12.6328125" customWidth="1" min="11777" max="11777"/>
    <col width="11.6328125" customWidth="1" min="11778" max="11785"/>
    <col width="10.6328125" customWidth="1" min="11786" max="11786"/>
    <col width="9.1796875" customWidth="1" min="11787" max="12032"/>
    <col width="12.6328125" customWidth="1" min="12033" max="12033"/>
    <col width="11.6328125" customWidth="1" min="12034" max="12041"/>
    <col width="10.6328125" customWidth="1" min="12042" max="12042"/>
    <col width="9.1796875" customWidth="1" min="12043" max="12288"/>
    <col width="12.6328125" customWidth="1" min="12289" max="12289"/>
    <col width="11.6328125" customWidth="1" min="12290" max="12297"/>
    <col width="10.6328125" customWidth="1" min="12298" max="12298"/>
    <col width="9.1796875" customWidth="1" min="12299" max="12544"/>
    <col width="12.6328125" customWidth="1" min="12545" max="12545"/>
    <col width="11.6328125" customWidth="1" min="12546" max="12553"/>
    <col width="10.6328125" customWidth="1" min="12554" max="12554"/>
    <col width="9.1796875" customWidth="1" min="12555" max="12800"/>
    <col width="12.6328125" customWidth="1" min="12801" max="12801"/>
    <col width="11.6328125" customWidth="1" min="12802" max="12809"/>
    <col width="10.6328125" customWidth="1" min="12810" max="12810"/>
    <col width="9.1796875" customWidth="1" min="12811" max="13056"/>
    <col width="12.6328125" customWidth="1" min="13057" max="13057"/>
    <col width="11.6328125" customWidth="1" min="13058" max="13065"/>
    <col width="10.6328125" customWidth="1" min="13066" max="13066"/>
    <col width="9.1796875" customWidth="1" min="13067" max="13312"/>
    <col width="12.6328125" customWidth="1" min="13313" max="13313"/>
    <col width="11.6328125" customWidth="1" min="13314" max="13321"/>
    <col width="10.6328125" customWidth="1" min="13322" max="13322"/>
    <col width="9.1796875" customWidth="1" min="13323" max="13568"/>
    <col width="12.6328125" customWidth="1" min="13569" max="13569"/>
    <col width="11.6328125" customWidth="1" min="13570" max="13577"/>
    <col width="10.6328125" customWidth="1" min="13578" max="13578"/>
    <col width="9.1796875" customWidth="1" min="13579" max="13824"/>
    <col width="12.6328125" customWidth="1" min="13825" max="13825"/>
    <col width="11.6328125" customWidth="1" min="13826" max="13833"/>
    <col width="10.6328125" customWidth="1" min="13834" max="13834"/>
    <col width="9.1796875" customWidth="1" min="13835" max="14080"/>
    <col width="12.6328125" customWidth="1" min="14081" max="14081"/>
    <col width="11.6328125" customWidth="1" min="14082" max="14089"/>
    <col width="10.6328125" customWidth="1" min="14090" max="14090"/>
    <col width="9.1796875" customWidth="1" min="14091" max="14336"/>
    <col width="12.6328125" customWidth="1" min="14337" max="14337"/>
    <col width="11.6328125" customWidth="1" min="14338" max="14345"/>
    <col width="10.6328125" customWidth="1" min="14346" max="14346"/>
    <col width="9.1796875" customWidth="1" min="14347" max="14592"/>
    <col width="12.6328125" customWidth="1" min="14593" max="14593"/>
    <col width="11.6328125" customWidth="1" min="14594" max="14601"/>
    <col width="10.6328125" customWidth="1" min="14602" max="14602"/>
    <col width="9.1796875" customWidth="1" min="14603" max="14848"/>
    <col width="12.6328125" customWidth="1" min="14849" max="14849"/>
    <col width="11.6328125" customWidth="1" min="14850" max="14857"/>
    <col width="10.6328125" customWidth="1" min="14858" max="14858"/>
    <col width="9.1796875" customWidth="1" min="14859" max="15104"/>
    <col width="12.6328125" customWidth="1" min="15105" max="15105"/>
    <col width="11.6328125" customWidth="1" min="15106" max="15113"/>
    <col width="10.6328125" customWidth="1" min="15114" max="15114"/>
    <col width="9.1796875" customWidth="1" min="15115" max="15360"/>
    <col width="12.6328125" customWidth="1" min="15361" max="15361"/>
    <col width="11.6328125" customWidth="1" min="15362" max="15369"/>
    <col width="10.6328125" customWidth="1" min="15370" max="15370"/>
    <col width="9.1796875" customWidth="1" min="15371" max="15616"/>
    <col width="12.6328125" customWidth="1" min="15617" max="15617"/>
    <col width="11.6328125" customWidth="1" min="15618" max="15625"/>
    <col width="10.6328125" customWidth="1" min="15626" max="15626"/>
    <col width="9.1796875" customWidth="1" min="15627" max="15872"/>
    <col width="12.6328125" customWidth="1" min="15873" max="15873"/>
    <col width="11.6328125" customWidth="1" min="15874" max="15881"/>
    <col width="10.6328125" customWidth="1" min="15882" max="15882"/>
    <col width="9.1796875" customWidth="1" min="15883" max="16128"/>
    <col width="12.6328125" customWidth="1" min="16129" max="16129"/>
    <col width="11.6328125" customWidth="1" min="16130" max="16137"/>
    <col width="10.6328125" customWidth="1" min="16138" max="16138"/>
    <col width="9.1796875" customWidth="1"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4.8773</v>
      </c>
      <c r="C2" t="n">
        <v/>
      </c>
      <c r="D2" t="n">
        <v/>
      </c>
      <c r="E2" t="n">
        <v/>
      </c>
      <c r="F2" t="n">
        <v/>
      </c>
      <c r="G2" t="n">
        <v/>
      </c>
      <c r="H2" t="n">
        <v>23.5503</v>
      </c>
      <c r="I2" t="n">
        <v/>
      </c>
      <c r="J2" t="n">
        <v/>
      </c>
      <c r="K2" t="n">
        <v/>
      </c>
    </row>
    <row r="3">
      <c r="A3" s="98" t="n">
        <v>6972</v>
      </c>
      <c r="B3" t="n">
        <v>4.6617</v>
      </c>
      <c r="C3" t="n">
        <v/>
      </c>
      <c r="D3" t="n">
        <v/>
      </c>
      <c r="E3" t="n">
        <v/>
      </c>
      <c r="F3" t="n">
        <v/>
      </c>
      <c r="G3" t="n">
        <v/>
      </c>
      <c r="H3" t="n">
        <v>20.8039</v>
      </c>
      <c r="I3" t="n">
        <v/>
      </c>
      <c r="J3" t="n">
        <v/>
      </c>
      <c r="K3" t="n">
        <v/>
      </c>
    </row>
    <row r="4">
      <c r="A4" s="98" t="n">
        <v>7000</v>
      </c>
      <c r="B4" t="n">
        <v>4.527</v>
      </c>
      <c r="C4" t="n">
        <v/>
      </c>
      <c r="D4" t="n">
        <v/>
      </c>
      <c r="E4" t="n">
        <v/>
      </c>
      <c r="F4" t="n">
        <v/>
      </c>
      <c r="G4" t="n">
        <v/>
      </c>
      <c r="H4" t="n">
        <v>19.8426</v>
      </c>
      <c r="I4" t="n">
        <v/>
      </c>
      <c r="J4" t="n">
        <v/>
      </c>
      <c r="K4" t="n">
        <v/>
      </c>
    </row>
    <row r="5">
      <c r="A5" s="98" t="n">
        <v>7031</v>
      </c>
      <c r="B5" t="n">
        <v>4.6078</v>
      </c>
      <c r="C5" t="n">
        <v/>
      </c>
      <c r="D5" t="n">
        <v/>
      </c>
      <c r="E5" t="n">
        <v/>
      </c>
      <c r="F5" t="n">
        <v/>
      </c>
      <c r="G5" t="n">
        <v/>
      </c>
      <c r="H5" t="n">
        <v>21.2158</v>
      </c>
      <c r="I5" t="n">
        <v/>
      </c>
      <c r="J5" t="n">
        <v/>
      </c>
      <c r="K5" t="n">
        <v/>
      </c>
    </row>
    <row r="6">
      <c r="A6" s="98" t="n">
        <v>7061</v>
      </c>
      <c r="B6" t="n">
        <v>4.6348</v>
      </c>
      <c r="C6" t="n">
        <v/>
      </c>
      <c r="D6" t="n">
        <v/>
      </c>
      <c r="E6" t="n">
        <v/>
      </c>
      <c r="F6" t="n">
        <v/>
      </c>
      <c r="G6" t="n">
        <v/>
      </c>
      <c r="H6" t="n">
        <v>22.1084</v>
      </c>
      <c r="I6" t="n">
        <v/>
      </c>
      <c r="J6" t="n">
        <v/>
      </c>
      <c r="K6" t="n">
        <v/>
      </c>
    </row>
    <row r="7">
      <c r="A7" s="98" t="n">
        <v>7092</v>
      </c>
      <c r="B7" t="n">
        <v>4.9312</v>
      </c>
      <c r="C7" t="n">
        <v/>
      </c>
      <c r="D7" t="n">
        <v/>
      </c>
      <c r="E7" t="n">
        <v/>
      </c>
      <c r="F7" t="n">
        <v/>
      </c>
      <c r="G7" t="n">
        <v/>
      </c>
      <c r="H7" t="n">
        <v>22.7263</v>
      </c>
      <c r="I7" t="n">
        <v/>
      </c>
      <c r="J7" t="n">
        <v/>
      </c>
      <c r="K7" t="n">
        <v/>
      </c>
    </row>
    <row r="8">
      <c r="A8" s="98" t="n">
        <v>7122</v>
      </c>
      <c r="B8" t="n">
        <v>5.2276</v>
      </c>
      <c r="C8" t="n">
        <v/>
      </c>
      <c r="D8" t="n">
        <v/>
      </c>
      <c r="E8" t="n">
        <v/>
      </c>
      <c r="F8" t="n">
        <v/>
      </c>
      <c r="G8" t="n">
        <v/>
      </c>
      <c r="H8" t="n">
        <v>24.0995</v>
      </c>
      <c r="I8" t="n">
        <v/>
      </c>
      <c r="J8" t="n">
        <v/>
      </c>
      <c r="K8" t="n">
        <v/>
      </c>
    </row>
    <row r="9">
      <c r="A9" s="98" t="n">
        <v>7153</v>
      </c>
      <c r="B9" t="n">
        <v>5.3084</v>
      </c>
      <c r="C9" t="n">
        <v/>
      </c>
      <c r="D9" t="n">
        <v/>
      </c>
      <c r="E9" t="n">
        <v/>
      </c>
      <c r="F9" t="n">
        <v/>
      </c>
      <c r="G9" t="n">
        <v/>
      </c>
      <c r="H9" t="n">
        <v>23.413</v>
      </c>
      <c r="I9" t="n">
        <v/>
      </c>
      <c r="J9" t="n">
        <v/>
      </c>
      <c r="K9" t="n">
        <v/>
      </c>
    </row>
    <row r="10">
      <c r="A10" s="98" t="n">
        <v>7184</v>
      </c>
      <c r="B10" t="n">
        <v>5.2006</v>
      </c>
      <c r="C10" t="n">
        <v/>
      </c>
      <c r="D10" t="n">
        <v/>
      </c>
      <c r="E10" t="n">
        <v/>
      </c>
      <c r="F10" t="n">
        <v/>
      </c>
      <c r="G10" t="n">
        <v/>
      </c>
      <c r="H10" t="n">
        <v>25.2668</v>
      </c>
      <c r="I10" t="n">
        <v/>
      </c>
      <c r="J10" t="n">
        <v/>
      </c>
      <c r="K10" t="n">
        <v/>
      </c>
    </row>
    <row r="11">
      <c r="A11" s="98" t="n">
        <v>7214</v>
      </c>
      <c r="B11" t="n">
        <v>5.1467</v>
      </c>
      <c r="C11" t="n">
        <v/>
      </c>
      <c r="D11" t="n">
        <v/>
      </c>
      <c r="E11" t="n">
        <v/>
      </c>
      <c r="F11" t="n">
        <v/>
      </c>
      <c r="G11" t="n">
        <v/>
      </c>
      <c r="H11" t="n">
        <v>26.022</v>
      </c>
      <c r="I11" t="n">
        <v/>
      </c>
      <c r="J11" t="n">
        <v/>
      </c>
      <c r="K11" t="n">
        <v/>
      </c>
    </row>
    <row r="12">
      <c r="A12" s="98" t="n">
        <v>7245</v>
      </c>
      <c r="B12" t="n">
        <v>5.0659</v>
      </c>
      <c r="C12" t="n">
        <v/>
      </c>
      <c r="D12" t="n">
        <v/>
      </c>
      <c r="E12" t="n">
        <v/>
      </c>
      <c r="F12" t="n">
        <v/>
      </c>
      <c r="G12" t="n">
        <v/>
      </c>
      <c r="H12" t="n">
        <v>18.7441</v>
      </c>
      <c r="I12" t="n">
        <v/>
      </c>
      <c r="J12" t="n">
        <v/>
      </c>
      <c r="K12" t="n">
        <v/>
      </c>
    </row>
    <row r="13">
      <c r="A13" s="98" t="n">
        <v>7275</v>
      </c>
      <c r="B13" t="n">
        <v>5.1467</v>
      </c>
      <c r="C13" t="n">
        <v/>
      </c>
      <c r="D13" t="n">
        <v/>
      </c>
      <c r="E13" t="n">
        <v/>
      </c>
      <c r="F13" t="n">
        <v/>
      </c>
      <c r="G13" t="n">
        <v/>
      </c>
      <c r="H13" t="n">
        <v>22.9323</v>
      </c>
      <c r="I13" t="n">
        <v/>
      </c>
      <c r="J13" t="n">
        <v/>
      </c>
      <c r="K13" t="n">
        <v/>
      </c>
    </row>
    <row r="14">
      <c r="A14" s="98" t="n">
        <v>7306</v>
      </c>
      <c r="B14" t="n">
        <v>5.6318</v>
      </c>
      <c r="C14" t="n">
        <v/>
      </c>
      <c r="D14" t="n">
        <v/>
      </c>
      <c r="E14" t="n">
        <v/>
      </c>
      <c r="F14" t="n">
        <v/>
      </c>
      <c r="G14" t="n">
        <v/>
      </c>
      <c r="H14" t="n">
        <v>25.61</v>
      </c>
      <c r="I14" t="n">
        <v/>
      </c>
      <c r="J14" t="n">
        <v/>
      </c>
      <c r="K14" t="n">
        <v/>
      </c>
    </row>
    <row r="15">
      <c r="A15" s="98" t="n">
        <v>7337</v>
      </c>
      <c r="B15" t="n">
        <v>5.6318</v>
      </c>
      <c r="C15" t="n">
        <v/>
      </c>
      <c r="D15" t="n">
        <v/>
      </c>
      <c r="E15" t="n">
        <v/>
      </c>
      <c r="F15" t="n">
        <v/>
      </c>
      <c r="G15" t="n">
        <v/>
      </c>
      <c r="H15" t="n">
        <v>25.2668</v>
      </c>
      <c r="I15" t="n">
        <v/>
      </c>
      <c r="J15" t="n">
        <v/>
      </c>
      <c r="K15" t="n">
        <v/>
      </c>
    </row>
    <row r="16">
      <c r="A16" s="98" t="n">
        <v>7366</v>
      </c>
      <c r="B16" t="n">
        <v>5.524</v>
      </c>
      <c r="C16" t="n">
        <v/>
      </c>
      <c r="D16" t="n">
        <v/>
      </c>
      <c r="E16" t="n">
        <v/>
      </c>
      <c r="F16" t="n">
        <v/>
      </c>
      <c r="G16" t="n">
        <v/>
      </c>
      <c r="H16" t="n">
        <v>25.8847</v>
      </c>
      <c r="I16" t="n">
        <v/>
      </c>
      <c r="J16" t="n">
        <v/>
      </c>
      <c r="K16" t="n">
        <v/>
      </c>
    </row>
    <row r="17">
      <c r="A17" s="98" t="n">
        <v>7397</v>
      </c>
      <c r="B17" t="n">
        <v>5.2276</v>
      </c>
      <c r="C17" t="n">
        <v/>
      </c>
      <c r="D17" t="n">
        <v/>
      </c>
      <c r="E17" t="n">
        <v/>
      </c>
      <c r="F17" t="n">
        <v/>
      </c>
      <c r="G17" t="n">
        <v/>
      </c>
      <c r="H17" t="n">
        <v>24.3742</v>
      </c>
      <c r="I17" t="n">
        <v/>
      </c>
      <c r="J17" t="n">
        <v/>
      </c>
      <c r="K17" t="n">
        <v/>
      </c>
    </row>
    <row r="18">
      <c r="A18" s="98" t="n">
        <v>7427</v>
      </c>
      <c r="B18" t="n">
        <v>5.3623</v>
      </c>
      <c r="C18" t="n">
        <v/>
      </c>
      <c r="D18" t="n">
        <v/>
      </c>
      <c r="E18" t="n">
        <v/>
      </c>
      <c r="F18" t="n">
        <v/>
      </c>
      <c r="G18" t="n">
        <v/>
      </c>
      <c r="H18" t="n">
        <v>25.2667</v>
      </c>
      <c r="I18" t="n">
        <v/>
      </c>
      <c r="J18" t="n">
        <v/>
      </c>
      <c r="K18" t="n">
        <v/>
      </c>
    </row>
    <row r="19">
      <c r="A19" s="98" t="n">
        <v>7458</v>
      </c>
      <c r="B19" t="n">
        <v>5.4162</v>
      </c>
      <c r="C19" t="n">
        <v/>
      </c>
      <c r="D19" t="n">
        <v/>
      </c>
      <c r="E19" t="n">
        <v/>
      </c>
      <c r="F19" t="n">
        <v/>
      </c>
      <c r="G19" t="n">
        <v/>
      </c>
      <c r="H19" t="n">
        <v>26.3653</v>
      </c>
      <c r="I19" t="n">
        <v/>
      </c>
      <c r="J19" t="n">
        <v/>
      </c>
      <c r="K19" t="n">
        <v/>
      </c>
    </row>
    <row r="20">
      <c r="A20" s="98" t="n">
        <v>7488</v>
      </c>
      <c r="B20" t="n">
        <v>5.2815</v>
      </c>
      <c r="C20" t="n">
        <v/>
      </c>
      <c r="D20" t="n">
        <v/>
      </c>
      <c r="E20" t="n">
        <v/>
      </c>
      <c r="F20" t="n">
        <v/>
      </c>
      <c r="G20" t="n">
        <v/>
      </c>
      <c r="H20" t="n">
        <v>26.228</v>
      </c>
      <c r="I20" t="n">
        <v/>
      </c>
      <c r="J20" t="n">
        <v/>
      </c>
      <c r="K20" t="n">
        <v/>
      </c>
    </row>
    <row r="21">
      <c r="A21" s="98" t="n">
        <v>7519</v>
      </c>
      <c r="B21" t="n">
        <v>5.3084</v>
      </c>
      <c r="C21" t="n">
        <v/>
      </c>
      <c r="D21" t="n">
        <v/>
      </c>
      <c r="E21" t="n">
        <v/>
      </c>
      <c r="F21" t="n">
        <v/>
      </c>
      <c r="G21" t="n">
        <v/>
      </c>
      <c r="H21" t="n">
        <v>27.1206</v>
      </c>
      <c r="I21" t="n">
        <v/>
      </c>
      <c r="J21" t="n">
        <v/>
      </c>
      <c r="K21" t="n">
        <v/>
      </c>
    </row>
    <row r="22">
      <c r="A22" s="98" t="n">
        <v>7550</v>
      </c>
      <c r="B22" t="n">
        <v>5.1198</v>
      </c>
      <c r="C22" t="n">
        <v/>
      </c>
      <c r="D22" t="n">
        <v/>
      </c>
      <c r="E22" t="n">
        <v/>
      </c>
      <c r="F22" t="n">
        <v/>
      </c>
      <c r="G22" t="n">
        <v/>
      </c>
      <c r="H22" t="n">
        <v>25.2668</v>
      </c>
      <c r="I22" t="n">
        <v/>
      </c>
      <c r="J22" t="n">
        <v/>
      </c>
      <c r="K22" t="n">
        <v/>
      </c>
    </row>
    <row r="23">
      <c r="A23" s="98" t="n">
        <v>7580</v>
      </c>
      <c r="B23" t="n">
        <v>4.9042</v>
      </c>
      <c r="C23" t="n">
        <v/>
      </c>
      <c r="D23" t="n">
        <v/>
      </c>
      <c r="E23" t="n">
        <v/>
      </c>
      <c r="F23" t="n">
        <v/>
      </c>
      <c r="G23" t="n">
        <v/>
      </c>
      <c r="H23" t="n">
        <v>27.1892</v>
      </c>
      <c r="I23" t="n">
        <v/>
      </c>
      <c r="J23" t="n">
        <v/>
      </c>
      <c r="K23" t="n">
        <v/>
      </c>
    </row>
    <row r="24">
      <c r="A24" s="98" t="n">
        <v>7611</v>
      </c>
      <c r="B24" t="n">
        <v>4.5</v>
      </c>
      <c r="C24" t="n">
        <v/>
      </c>
      <c r="D24" t="n">
        <v/>
      </c>
      <c r="E24" t="n">
        <v/>
      </c>
      <c r="F24" t="n">
        <v/>
      </c>
      <c r="G24" t="n">
        <v/>
      </c>
      <c r="H24" t="n">
        <v>27.9445</v>
      </c>
      <c r="I24" t="n">
        <v/>
      </c>
      <c r="J24" t="n">
        <v/>
      </c>
      <c r="K24" t="n">
        <v/>
      </c>
    </row>
    <row r="25">
      <c r="A25" s="98" t="n">
        <v>7641</v>
      </c>
      <c r="B25" t="n">
        <v>4.2306</v>
      </c>
      <c r="C25" t="n">
        <v/>
      </c>
      <c r="D25" t="n">
        <v/>
      </c>
      <c r="E25" t="n">
        <v/>
      </c>
      <c r="F25" t="n">
        <v/>
      </c>
      <c r="G25" t="n">
        <v/>
      </c>
      <c r="H25" t="n">
        <v>28.2191</v>
      </c>
      <c r="I25" t="n">
        <v/>
      </c>
      <c r="J25" t="n">
        <v/>
      </c>
      <c r="K25" t="n">
        <v/>
      </c>
    </row>
    <row r="26">
      <c r="A26" s="98" t="n">
        <v>7672</v>
      </c>
      <c r="B26" t="n">
        <v>3.9881</v>
      </c>
      <c r="C26" t="n">
        <v/>
      </c>
      <c r="D26" t="n">
        <v/>
      </c>
      <c r="E26" t="n">
        <v/>
      </c>
      <c r="F26" t="n">
        <v/>
      </c>
      <c r="G26" t="n">
        <v/>
      </c>
      <c r="H26" t="n">
        <v>24.3055</v>
      </c>
      <c r="I26" t="n">
        <v/>
      </c>
      <c r="J26" t="n">
        <v/>
      </c>
      <c r="K26" t="n">
        <v/>
      </c>
    </row>
    <row r="27">
      <c r="A27" s="98" t="n">
        <v>7703</v>
      </c>
      <c r="B27" t="n">
        <v>3.9072</v>
      </c>
      <c r="C27" t="n">
        <v/>
      </c>
      <c r="D27" t="n">
        <v/>
      </c>
      <c r="E27" t="n">
        <v/>
      </c>
      <c r="F27" t="n">
        <v/>
      </c>
      <c r="G27" t="n">
        <v/>
      </c>
      <c r="H27" t="n">
        <v>23.0696</v>
      </c>
      <c r="I27" t="n">
        <v/>
      </c>
      <c r="J27" t="n">
        <v/>
      </c>
      <c r="K27" t="n">
        <v/>
      </c>
    </row>
    <row r="28">
      <c r="A28" s="98" t="n">
        <v>7731</v>
      </c>
      <c r="B28" t="n">
        <v>3.7994</v>
      </c>
      <c r="C28" t="n">
        <v/>
      </c>
      <c r="D28" t="n">
        <v/>
      </c>
      <c r="E28" t="n">
        <v/>
      </c>
      <c r="F28" t="n">
        <v/>
      </c>
      <c r="G28" t="n">
        <v/>
      </c>
      <c r="H28" t="n">
        <v>21.4905</v>
      </c>
      <c r="I28" t="n">
        <v/>
      </c>
      <c r="J28" t="n">
        <v/>
      </c>
      <c r="K28" t="n">
        <v/>
      </c>
    </row>
    <row r="29">
      <c r="A29" s="98" t="n">
        <v>7762</v>
      </c>
      <c r="B29" t="n">
        <v>3.7994</v>
      </c>
      <c r="C29" t="n">
        <v/>
      </c>
      <c r="D29" t="n">
        <v/>
      </c>
      <c r="E29" t="n">
        <v/>
      </c>
      <c r="F29" t="n">
        <v/>
      </c>
      <c r="G29" t="n">
        <v/>
      </c>
      <c r="H29" t="n">
        <v>21.4905</v>
      </c>
      <c r="I29" t="n">
        <v/>
      </c>
      <c r="J29" t="n">
        <v/>
      </c>
      <c r="K29" t="n">
        <v/>
      </c>
    </row>
    <row r="30">
      <c r="A30" s="98" t="n">
        <v>7792</v>
      </c>
      <c r="B30" t="n">
        <v>3.9072</v>
      </c>
      <c r="C30" t="n">
        <v/>
      </c>
      <c r="D30" t="n">
        <v/>
      </c>
      <c r="E30" t="n">
        <v/>
      </c>
      <c r="F30" t="n">
        <v/>
      </c>
      <c r="G30" t="n">
        <v/>
      </c>
      <c r="H30" t="n">
        <v>21.9024</v>
      </c>
      <c r="I30" t="n">
        <v/>
      </c>
      <c r="J30" t="n">
        <v/>
      </c>
      <c r="K30" t="n">
        <v/>
      </c>
    </row>
    <row r="31">
      <c r="A31" s="98" t="n">
        <v>7823</v>
      </c>
      <c r="B31" t="n">
        <v>3.8803</v>
      </c>
      <c r="C31" t="n">
        <v/>
      </c>
      <c r="D31" t="n">
        <v/>
      </c>
      <c r="E31" t="n">
        <v/>
      </c>
      <c r="F31" t="n">
        <v/>
      </c>
      <c r="G31" t="n">
        <v/>
      </c>
      <c r="H31" t="n">
        <v>21.0785</v>
      </c>
      <c r="I31" t="n">
        <v/>
      </c>
      <c r="J31" t="n">
        <v/>
      </c>
      <c r="K31" t="n">
        <v/>
      </c>
    </row>
    <row r="32">
      <c r="A32" s="98" t="n">
        <v>7853</v>
      </c>
      <c r="B32" t="n">
        <v>3.8533</v>
      </c>
      <c r="C32" t="n">
        <v/>
      </c>
      <c r="D32" t="n">
        <v/>
      </c>
      <c r="E32" t="n">
        <v/>
      </c>
      <c r="F32" t="n">
        <v/>
      </c>
      <c r="G32" t="n">
        <v/>
      </c>
      <c r="H32" t="n">
        <v>20.1859</v>
      </c>
      <c r="I32" t="n">
        <v/>
      </c>
      <c r="J32" t="n">
        <v/>
      </c>
      <c r="K32" t="n">
        <v/>
      </c>
    </row>
    <row r="33">
      <c r="A33" s="98" t="n">
        <v>7884</v>
      </c>
      <c r="B33" t="n">
        <v>3.9881</v>
      </c>
      <c r="C33" t="n">
        <v/>
      </c>
      <c r="D33" t="n">
        <v/>
      </c>
      <c r="E33" t="n">
        <v/>
      </c>
      <c r="F33" t="n">
        <v/>
      </c>
      <c r="G33" t="n">
        <v/>
      </c>
      <c r="H33" t="n">
        <v>20.3919</v>
      </c>
      <c r="I33" t="n">
        <v/>
      </c>
      <c r="J33" t="n">
        <v/>
      </c>
      <c r="K33" t="n">
        <v/>
      </c>
    </row>
    <row r="34">
      <c r="A34" s="98" t="n">
        <v>7915</v>
      </c>
      <c r="B34" t="n">
        <v>4.015</v>
      </c>
      <c r="C34" t="n">
        <v/>
      </c>
      <c r="D34" t="n">
        <v/>
      </c>
      <c r="E34" t="n">
        <v/>
      </c>
      <c r="F34" t="n">
        <v/>
      </c>
      <c r="G34" t="n">
        <v/>
      </c>
      <c r="H34" t="n">
        <v>19.98</v>
      </c>
      <c r="I34" t="n">
        <v/>
      </c>
      <c r="J34" t="n">
        <v/>
      </c>
      <c r="K34" t="n">
        <v/>
      </c>
    </row>
    <row r="35">
      <c r="A35" s="98" t="n">
        <v>7945</v>
      </c>
      <c r="B35" t="n">
        <v>4.2575</v>
      </c>
      <c r="C35" t="n">
        <v/>
      </c>
      <c r="D35" t="n">
        <v/>
      </c>
      <c r="E35" t="n">
        <v/>
      </c>
      <c r="F35" t="n">
        <v/>
      </c>
      <c r="G35" t="n">
        <v/>
      </c>
      <c r="H35" t="n">
        <v>21.2845</v>
      </c>
      <c r="I35" t="n">
        <v/>
      </c>
      <c r="J35" t="n">
        <v/>
      </c>
      <c r="K35" t="n">
        <v/>
      </c>
    </row>
    <row r="36">
      <c r="A36" s="98" t="n">
        <v>7976</v>
      </c>
      <c r="B36" t="n">
        <v>4.2036</v>
      </c>
      <c r="C36" t="n">
        <v/>
      </c>
      <c r="D36" t="n">
        <v/>
      </c>
      <c r="E36" t="n">
        <v/>
      </c>
      <c r="F36" t="n">
        <v/>
      </c>
      <c r="G36" t="n">
        <v/>
      </c>
      <c r="H36" t="n">
        <v>20.3919</v>
      </c>
      <c r="I36" t="n">
        <v/>
      </c>
      <c r="J36" t="n">
        <v/>
      </c>
      <c r="K36" t="n">
        <v/>
      </c>
    </row>
    <row r="37">
      <c r="A37" s="98" t="n">
        <v>8006</v>
      </c>
      <c r="B37" t="n">
        <v>4.1767</v>
      </c>
      <c r="C37" t="n">
        <v/>
      </c>
      <c r="D37" t="n">
        <v/>
      </c>
      <c r="E37" t="n">
        <v/>
      </c>
      <c r="F37" t="n">
        <v/>
      </c>
      <c r="G37" t="n">
        <v/>
      </c>
      <c r="H37" t="n">
        <v>20.6665</v>
      </c>
      <c r="I37" t="n">
        <v/>
      </c>
      <c r="J37" t="n">
        <v/>
      </c>
      <c r="K37" t="n">
        <v/>
      </c>
    </row>
    <row r="38">
      <c r="A38" s="98" t="n">
        <v>8037</v>
      </c>
      <c r="B38" t="n">
        <v>4.3384</v>
      </c>
      <c r="C38" t="n">
        <v/>
      </c>
      <c r="D38" t="n">
        <v/>
      </c>
      <c r="E38" t="n">
        <v/>
      </c>
      <c r="F38" t="n">
        <v/>
      </c>
      <c r="G38" t="n">
        <v/>
      </c>
      <c r="H38" t="n">
        <v>23.001</v>
      </c>
      <c r="I38" t="n">
        <v/>
      </c>
      <c r="J38" t="n">
        <v/>
      </c>
      <c r="K38" t="n">
        <v/>
      </c>
    </row>
    <row r="39">
      <c r="A39" s="98" t="n">
        <v>8068</v>
      </c>
      <c r="B39" t="n">
        <v>4.527</v>
      </c>
      <c r="C39" t="n">
        <v/>
      </c>
      <c r="D39" t="n">
        <v/>
      </c>
      <c r="E39" t="n">
        <v/>
      </c>
      <c r="F39" t="n">
        <v/>
      </c>
      <c r="G39" t="n">
        <v/>
      </c>
      <c r="H39" t="n">
        <v>25.3354</v>
      </c>
      <c r="I39" t="n">
        <v/>
      </c>
      <c r="J39" t="n">
        <v/>
      </c>
      <c r="K39" t="n">
        <v/>
      </c>
    </row>
    <row r="40">
      <c r="A40" s="98" t="n">
        <v>8096</v>
      </c>
      <c r="B40" t="n">
        <v>4.7695</v>
      </c>
      <c r="C40" t="n">
        <v/>
      </c>
      <c r="D40" t="n">
        <v/>
      </c>
      <c r="E40" t="n">
        <v/>
      </c>
      <c r="F40" t="n">
        <v/>
      </c>
      <c r="G40" t="n">
        <v/>
      </c>
      <c r="H40" t="n">
        <v>27.3265</v>
      </c>
      <c r="I40" t="n">
        <v/>
      </c>
      <c r="J40" t="n">
        <v/>
      </c>
      <c r="K40" t="n">
        <v/>
      </c>
    </row>
    <row r="41">
      <c r="A41" s="98" t="n">
        <v>8127</v>
      </c>
      <c r="B41" t="n">
        <v>4.6078</v>
      </c>
      <c r="C41" t="n">
        <v/>
      </c>
      <c r="D41" t="n">
        <v/>
      </c>
      <c r="E41" t="n">
        <v/>
      </c>
      <c r="F41" t="n">
        <v/>
      </c>
      <c r="G41" t="n">
        <v/>
      </c>
      <c r="H41" t="n">
        <v>15.8604</v>
      </c>
      <c r="I41" t="n">
        <v/>
      </c>
      <c r="J41" t="n">
        <v/>
      </c>
      <c r="K41" t="n">
        <v/>
      </c>
    </row>
    <row r="42">
      <c r="A42" s="98" t="n">
        <v>8157</v>
      </c>
      <c r="B42" t="n">
        <v>4.8503</v>
      </c>
      <c r="C42" t="n">
        <v/>
      </c>
      <c r="D42" t="n">
        <v/>
      </c>
      <c r="E42" t="n">
        <v/>
      </c>
      <c r="F42" t="n">
        <v/>
      </c>
      <c r="G42" t="n">
        <v/>
      </c>
      <c r="H42" t="n">
        <v>16.0663</v>
      </c>
      <c r="I42" t="n">
        <v/>
      </c>
      <c r="J42" t="n">
        <v/>
      </c>
      <c r="K42" t="n">
        <v/>
      </c>
    </row>
    <row r="43">
      <c r="A43" s="98" t="n">
        <v>8188</v>
      </c>
      <c r="B43" t="n">
        <v>5.0929</v>
      </c>
      <c r="C43" t="n">
        <v/>
      </c>
      <c r="D43" t="n">
        <v/>
      </c>
      <c r="E43" t="n">
        <v/>
      </c>
      <c r="F43" t="n">
        <v/>
      </c>
      <c r="G43" t="n">
        <v/>
      </c>
      <c r="H43" t="n">
        <v>17.5769</v>
      </c>
      <c r="I43" t="n">
        <v/>
      </c>
      <c r="J43" t="n">
        <v/>
      </c>
      <c r="K43" t="n">
        <v/>
      </c>
    </row>
    <row r="44">
      <c r="A44" s="98" t="n">
        <v>8218</v>
      </c>
      <c r="B44" t="n">
        <v>5.0929</v>
      </c>
      <c r="C44" t="n">
        <v/>
      </c>
      <c r="D44" t="n">
        <v/>
      </c>
      <c r="E44" t="n">
        <v/>
      </c>
      <c r="F44" t="n">
        <v/>
      </c>
      <c r="G44" t="n">
        <v/>
      </c>
      <c r="H44" t="n">
        <v>16.8903</v>
      </c>
      <c r="I44" t="n">
        <v/>
      </c>
      <c r="J44" t="n">
        <v/>
      </c>
      <c r="K44" t="n">
        <v/>
      </c>
    </row>
    <row r="45">
      <c r="A45" s="98" t="n">
        <v>8249</v>
      </c>
      <c r="B45" t="n">
        <v>4.9851</v>
      </c>
      <c r="C45" t="n">
        <v/>
      </c>
      <c r="D45" t="n">
        <v/>
      </c>
      <c r="E45" t="n">
        <v/>
      </c>
      <c r="F45" t="n">
        <v/>
      </c>
      <c r="G45" t="n">
        <v/>
      </c>
      <c r="H45" t="n">
        <v>18.6068</v>
      </c>
      <c r="I45" t="n">
        <v/>
      </c>
      <c r="J45" t="n">
        <v/>
      </c>
      <c r="K45" t="n">
        <v/>
      </c>
    </row>
    <row r="46">
      <c r="A46" s="98" t="n">
        <v>8280</v>
      </c>
      <c r="B46" t="n">
        <v>5.2545</v>
      </c>
      <c r="C46" t="n">
        <v/>
      </c>
      <c r="D46" t="n">
        <v/>
      </c>
      <c r="E46" t="n">
        <v/>
      </c>
      <c r="F46" t="n">
        <v/>
      </c>
      <c r="G46" t="n">
        <v/>
      </c>
      <c r="H46" t="n">
        <v>24.3742</v>
      </c>
      <c r="I46" t="n">
        <v/>
      </c>
      <c r="J46" t="n">
        <v/>
      </c>
      <c r="K46" t="n">
        <v/>
      </c>
    </row>
    <row r="47">
      <c r="A47" s="98" t="n">
        <v>8310</v>
      </c>
      <c r="B47" t="n">
        <v>5.5509</v>
      </c>
      <c r="C47" t="n">
        <v/>
      </c>
      <c r="D47" t="n">
        <v/>
      </c>
      <c r="E47" t="n">
        <v/>
      </c>
      <c r="F47" t="n">
        <v/>
      </c>
      <c r="G47" t="n">
        <v/>
      </c>
      <c r="H47" t="n">
        <v>26.8459</v>
      </c>
      <c r="I47" t="n">
        <v/>
      </c>
      <c r="J47" t="n">
        <v/>
      </c>
      <c r="K47" t="n">
        <v/>
      </c>
    </row>
    <row r="48">
      <c r="A48" s="98" t="n">
        <v>8341</v>
      </c>
      <c r="B48" t="n">
        <v>5.7935</v>
      </c>
      <c r="C48" t="n">
        <v/>
      </c>
      <c r="D48" t="n">
        <v/>
      </c>
      <c r="E48" t="n">
        <v/>
      </c>
      <c r="F48" t="n">
        <v/>
      </c>
      <c r="G48" t="n">
        <v/>
      </c>
      <c r="H48" t="n">
        <v>28.1505</v>
      </c>
      <c r="I48" t="n">
        <v/>
      </c>
      <c r="J48" t="n">
        <v/>
      </c>
      <c r="K48" t="n">
        <v/>
      </c>
    </row>
    <row r="49">
      <c r="A49" s="98" t="n">
        <v>8371</v>
      </c>
      <c r="B49" t="n">
        <v>5.9551</v>
      </c>
      <c r="C49" t="n">
        <v/>
      </c>
      <c r="D49" t="n">
        <v/>
      </c>
      <c r="E49" t="n">
        <v/>
      </c>
      <c r="F49" t="n">
        <v/>
      </c>
      <c r="G49" t="n">
        <v/>
      </c>
      <c r="H49" t="n">
        <v>29.9356</v>
      </c>
      <c r="I49" t="n">
        <v/>
      </c>
      <c r="J49" t="n">
        <v/>
      </c>
      <c r="K49" t="n">
        <v/>
      </c>
    </row>
    <row r="50">
      <c r="A50" s="98" t="n">
        <v>8402</v>
      </c>
      <c r="B50" t="n">
        <v>5.8204</v>
      </c>
      <c r="C50" t="n">
        <v/>
      </c>
      <c r="D50" t="n">
        <v/>
      </c>
      <c r="E50" t="n">
        <v/>
      </c>
      <c r="F50" t="n">
        <v/>
      </c>
      <c r="G50" t="n">
        <v/>
      </c>
      <c r="H50" t="n">
        <v>29.661</v>
      </c>
      <c r="I50" t="n">
        <v/>
      </c>
      <c r="J50" t="n">
        <v/>
      </c>
      <c r="K50" t="n">
        <v/>
      </c>
    </row>
    <row r="51">
      <c r="A51" s="98" t="n">
        <v>8433</v>
      </c>
      <c r="B51" t="n">
        <v>5.9012</v>
      </c>
      <c r="C51" t="n">
        <v/>
      </c>
      <c r="D51" t="n">
        <v/>
      </c>
      <c r="E51" t="n">
        <v/>
      </c>
      <c r="F51" t="n">
        <v/>
      </c>
      <c r="G51" t="n">
        <v/>
      </c>
      <c r="H51" t="n">
        <v>29.8669</v>
      </c>
      <c r="I51" t="n">
        <v/>
      </c>
      <c r="J51" t="n">
        <v/>
      </c>
      <c r="K51" t="n">
        <v/>
      </c>
    </row>
    <row r="52">
      <c r="A52" s="98" t="n">
        <v>8461</v>
      </c>
      <c r="B52" t="n">
        <v>6.0899</v>
      </c>
      <c r="C52" t="n">
        <v/>
      </c>
      <c r="D52" t="n">
        <v/>
      </c>
      <c r="E52" t="n">
        <v/>
      </c>
      <c r="F52" t="n">
        <v/>
      </c>
      <c r="G52" t="n">
        <v/>
      </c>
      <c r="H52" t="n">
        <v>30.9655</v>
      </c>
      <c r="I52" t="n">
        <v/>
      </c>
      <c r="J52" t="n">
        <v/>
      </c>
      <c r="K52" t="n">
        <v/>
      </c>
    </row>
    <row r="53">
      <c r="A53" s="98" t="n">
        <v>8492</v>
      </c>
      <c r="B53" t="n">
        <v>6.2246</v>
      </c>
      <c r="C53" t="n">
        <v/>
      </c>
      <c r="D53" t="n">
        <v/>
      </c>
      <c r="E53" t="n">
        <v/>
      </c>
      <c r="F53" t="n">
        <v/>
      </c>
      <c r="G53" t="n">
        <v/>
      </c>
      <c r="H53" t="n">
        <v>33.0253</v>
      </c>
      <c r="I53" t="n">
        <v/>
      </c>
      <c r="J53" t="n">
        <v/>
      </c>
      <c r="K53" t="n">
        <v/>
      </c>
    </row>
    <row r="54">
      <c r="A54" s="98" t="n">
        <v>8522</v>
      </c>
      <c r="B54" t="n">
        <v>6.3054</v>
      </c>
      <c r="C54" t="n">
        <v/>
      </c>
      <c r="D54" t="n">
        <v/>
      </c>
      <c r="E54" t="n">
        <v/>
      </c>
      <c r="F54" t="n">
        <v/>
      </c>
      <c r="G54" t="n">
        <v/>
      </c>
      <c r="H54" t="n">
        <v>32.2014</v>
      </c>
      <c r="I54" t="n">
        <v/>
      </c>
      <c r="J54" t="n">
        <v/>
      </c>
      <c r="K54" t="n">
        <v/>
      </c>
    </row>
    <row r="55">
      <c r="A55" s="98" t="n">
        <v>8553</v>
      </c>
      <c r="B55" t="n">
        <v>6.2515</v>
      </c>
      <c r="C55" t="n">
        <v/>
      </c>
      <c r="D55" t="n">
        <v/>
      </c>
      <c r="E55" t="n">
        <v/>
      </c>
      <c r="F55" t="n">
        <v/>
      </c>
      <c r="G55" t="n">
        <v/>
      </c>
      <c r="H55" t="n">
        <v>32.1327</v>
      </c>
      <c r="I55" t="n">
        <v/>
      </c>
      <c r="J55" t="n">
        <v/>
      </c>
      <c r="K55" t="n">
        <v/>
      </c>
    </row>
    <row r="56">
      <c r="A56" s="98" t="n">
        <v>8583</v>
      </c>
      <c r="B56" t="n">
        <v>6.1977</v>
      </c>
      <c r="C56" t="n">
        <v/>
      </c>
      <c r="D56" t="n">
        <v/>
      </c>
      <c r="E56" t="n">
        <v/>
      </c>
      <c r="F56" t="n">
        <v/>
      </c>
      <c r="G56" t="n">
        <v/>
      </c>
      <c r="H56" t="n">
        <v>32.8879</v>
      </c>
      <c r="I56" t="n">
        <v/>
      </c>
      <c r="J56" t="n">
        <v/>
      </c>
      <c r="K56" t="n">
        <v/>
      </c>
    </row>
    <row r="57">
      <c r="A57" s="98" t="n">
        <v>8614</v>
      </c>
      <c r="B57" t="n">
        <v>6.0899</v>
      </c>
      <c r="C57" t="n">
        <v/>
      </c>
      <c r="D57" t="n">
        <v/>
      </c>
      <c r="E57" t="n">
        <v/>
      </c>
      <c r="F57" t="n">
        <v/>
      </c>
      <c r="G57" t="n">
        <v/>
      </c>
      <c r="H57" t="n">
        <v>32.5447</v>
      </c>
      <c r="I57" t="n">
        <v/>
      </c>
      <c r="J57" t="n">
        <v/>
      </c>
      <c r="K57" t="n">
        <v/>
      </c>
    </row>
    <row r="58">
      <c r="A58" s="98" t="n">
        <v>8645</v>
      </c>
      <c r="B58" t="n">
        <v>5.9551</v>
      </c>
      <c r="C58" t="n">
        <v/>
      </c>
      <c r="D58" t="n">
        <v/>
      </c>
      <c r="E58" t="n">
        <v/>
      </c>
      <c r="F58" t="n">
        <v/>
      </c>
      <c r="G58" t="n">
        <v/>
      </c>
      <c r="H58" t="n">
        <v>29.9356</v>
      </c>
      <c r="I58" t="n">
        <v/>
      </c>
      <c r="J58" t="n">
        <v/>
      </c>
      <c r="K58" t="n">
        <v/>
      </c>
    </row>
    <row r="59">
      <c r="A59" s="98" t="n">
        <v>8675</v>
      </c>
      <c r="B59" t="n">
        <v>5.9282</v>
      </c>
      <c r="C59" t="n">
        <v/>
      </c>
      <c r="D59" t="n">
        <v/>
      </c>
      <c r="E59" t="n">
        <v/>
      </c>
      <c r="F59" t="n">
        <v/>
      </c>
      <c r="G59" t="n">
        <v/>
      </c>
      <c r="H59" t="n">
        <v>31.3774</v>
      </c>
      <c r="I59" t="n">
        <v/>
      </c>
      <c r="J59" t="n">
        <v/>
      </c>
      <c r="K59" t="n">
        <v/>
      </c>
    </row>
    <row r="60">
      <c r="A60" s="98" t="n">
        <v>8706</v>
      </c>
      <c r="B60" t="n">
        <v>5.9282</v>
      </c>
      <c r="C60" t="n">
        <v/>
      </c>
      <c r="D60" t="n">
        <v/>
      </c>
      <c r="E60" t="n">
        <v/>
      </c>
      <c r="F60" t="n">
        <v/>
      </c>
      <c r="G60" t="n">
        <v/>
      </c>
      <c r="H60" t="n">
        <v>31.3775</v>
      </c>
      <c r="I60" t="n">
        <v/>
      </c>
      <c r="J60" t="n">
        <v/>
      </c>
      <c r="K60" t="n">
        <v/>
      </c>
    </row>
    <row r="61">
      <c r="A61" s="98" t="n">
        <v>8736</v>
      </c>
      <c r="B61" t="n">
        <v>5.7935</v>
      </c>
      <c r="C61" t="n">
        <v/>
      </c>
      <c r="D61" t="n">
        <v/>
      </c>
      <c r="E61" t="n">
        <v/>
      </c>
      <c r="F61" t="n">
        <v/>
      </c>
      <c r="G61" t="n">
        <v/>
      </c>
      <c r="H61" t="n">
        <v>29.249</v>
      </c>
      <c r="I61" t="n">
        <v/>
      </c>
      <c r="J61" t="n">
        <v/>
      </c>
      <c r="K61" t="n">
        <v/>
      </c>
    </row>
    <row r="62">
      <c r="A62" s="98" t="n">
        <v>8767</v>
      </c>
      <c r="B62" t="n">
        <v>5.9282</v>
      </c>
      <c r="C62" t="n">
        <v/>
      </c>
      <c r="D62" t="n">
        <v/>
      </c>
      <c r="E62" t="n">
        <v/>
      </c>
      <c r="F62" t="n">
        <v/>
      </c>
      <c r="G62" t="n">
        <v/>
      </c>
      <c r="H62" t="n">
        <v>30.2102</v>
      </c>
      <c r="I62" t="n">
        <v/>
      </c>
      <c r="J62" t="n">
        <v/>
      </c>
      <c r="K62" t="n">
        <v/>
      </c>
    </row>
    <row r="63">
      <c r="A63" s="98" t="n">
        <v>8798</v>
      </c>
      <c r="B63" t="n">
        <v>6.036</v>
      </c>
      <c r="C63" t="n">
        <v/>
      </c>
      <c r="D63" t="n">
        <v/>
      </c>
      <c r="E63" t="n">
        <v/>
      </c>
      <c r="F63" t="n">
        <v/>
      </c>
      <c r="G63" t="n">
        <v/>
      </c>
      <c r="H63" t="n">
        <v>31.4461</v>
      </c>
      <c r="I63" t="n">
        <v/>
      </c>
      <c r="J63" t="n">
        <v/>
      </c>
      <c r="K63" t="n">
        <v/>
      </c>
    </row>
    <row r="64">
      <c r="A64" s="98" t="n">
        <v>8827</v>
      </c>
      <c r="B64" t="n">
        <v>5.9282</v>
      </c>
      <c r="C64" t="n">
        <v/>
      </c>
      <c r="D64" t="n">
        <v/>
      </c>
      <c r="E64" t="n">
        <v/>
      </c>
      <c r="F64" t="n">
        <v/>
      </c>
      <c r="G64" t="n">
        <v/>
      </c>
      <c r="H64" t="n">
        <v>29.661</v>
      </c>
      <c r="I64" t="n">
        <v/>
      </c>
      <c r="J64" t="n">
        <v/>
      </c>
      <c r="K64" t="n">
        <v/>
      </c>
    </row>
    <row r="65">
      <c r="A65" s="98" t="n">
        <v>8858</v>
      </c>
      <c r="B65" t="n">
        <v>5.7396</v>
      </c>
      <c r="C65" t="n">
        <v/>
      </c>
      <c r="D65" t="n">
        <v/>
      </c>
      <c r="E65" t="n">
        <v/>
      </c>
      <c r="F65" t="n">
        <v/>
      </c>
      <c r="G65" t="n">
        <v/>
      </c>
      <c r="H65" t="n">
        <v>27.4639</v>
      </c>
      <c r="I65" t="n">
        <v/>
      </c>
      <c r="J65" t="n">
        <v/>
      </c>
      <c r="K65" t="n">
        <v/>
      </c>
    </row>
    <row r="66">
      <c r="A66" s="98" t="n">
        <v>8888</v>
      </c>
      <c r="B66" t="n">
        <v>5.497</v>
      </c>
      <c r="C66" t="n">
        <v/>
      </c>
      <c r="D66" t="n">
        <v/>
      </c>
      <c r="E66" t="n">
        <v/>
      </c>
      <c r="F66" t="n">
        <v/>
      </c>
      <c r="G66" t="n">
        <v/>
      </c>
      <c r="H66" t="n">
        <v>27.6012</v>
      </c>
      <c r="I66" t="n">
        <v/>
      </c>
      <c r="J66" t="n">
        <v/>
      </c>
      <c r="K66" t="n">
        <v/>
      </c>
    </row>
    <row r="67">
      <c r="A67" s="98" t="n">
        <v>8919</v>
      </c>
      <c r="B67" t="n">
        <v>5.2545</v>
      </c>
      <c r="C67" t="n">
        <v/>
      </c>
      <c r="D67" t="n">
        <v/>
      </c>
      <c r="E67" t="n">
        <v/>
      </c>
      <c r="F67" t="n">
        <v/>
      </c>
      <c r="G67" t="n">
        <v/>
      </c>
      <c r="H67" t="n">
        <v>27.4639</v>
      </c>
      <c r="I67" t="n">
        <v/>
      </c>
      <c r="J67" t="n">
        <v/>
      </c>
      <c r="K67" t="n">
        <v/>
      </c>
    </row>
    <row r="68">
      <c r="A68" s="98" t="n">
        <v>8949</v>
      </c>
      <c r="B68" t="n">
        <v>5.1737</v>
      </c>
      <c r="C68" t="n">
        <v/>
      </c>
      <c r="D68" t="n">
        <v/>
      </c>
      <c r="E68" t="n">
        <v/>
      </c>
      <c r="F68" t="n">
        <v/>
      </c>
      <c r="G68" t="n">
        <v/>
      </c>
      <c r="H68" t="n">
        <v>27.3952</v>
      </c>
      <c r="I68" t="n">
        <v/>
      </c>
      <c r="J68" t="n">
        <v/>
      </c>
      <c r="K68" t="n">
        <v/>
      </c>
    </row>
    <row r="69">
      <c r="A69" s="98" t="n">
        <v>8980</v>
      </c>
      <c r="B69" t="n">
        <v>5.3623</v>
      </c>
      <c r="C69" t="n">
        <v/>
      </c>
      <c r="D69" t="n">
        <v/>
      </c>
      <c r="E69" t="n">
        <v/>
      </c>
      <c r="F69" t="n">
        <v/>
      </c>
      <c r="G69" t="n">
        <v/>
      </c>
      <c r="H69" t="n">
        <v>27.1206</v>
      </c>
      <c r="I69" t="n">
        <v/>
      </c>
      <c r="J69" t="n">
        <v/>
      </c>
      <c r="K69" t="n">
        <v/>
      </c>
    </row>
    <row r="70">
      <c r="A70" s="98" t="n">
        <v>9011</v>
      </c>
      <c r="B70" t="n">
        <v>5.5509</v>
      </c>
      <c r="C70" t="n">
        <v/>
      </c>
      <c r="D70" t="n">
        <v/>
      </c>
      <c r="E70" t="n">
        <v/>
      </c>
      <c r="F70" t="n">
        <v/>
      </c>
      <c r="G70" t="n">
        <v/>
      </c>
      <c r="H70" t="n">
        <v>28.9744</v>
      </c>
      <c r="I70" t="n">
        <v/>
      </c>
      <c r="J70" t="n">
        <v/>
      </c>
      <c r="K70" t="n">
        <v/>
      </c>
    </row>
    <row r="71">
      <c r="A71" s="98" t="n">
        <v>9041</v>
      </c>
      <c r="B71" t="n">
        <v>5.6857</v>
      </c>
      <c r="C71" t="n">
        <v/>
      </c>
      <c r="D71" t="n">
        <v/>
      </c>
      <c r="E71" t="n">
        <v/>
      </c>
      <c r="F71" t="n">
        <v/>
      </c>
      <c r="G71" t="n">
        <v/>
      </c>
      <c r="H71" t="n">
        <v>28.7684</v>
      </c>
      <c r="I71" t="n">
        <v/>
      </c>
      <c r="J71" t="n">
        <v/>
      </c>
      <c r="K71" t="n">
        <v/>
      </c>
    </row>
    <row r="72">
      <c r="A72" s="98" t="n">
        <v>9072</v>
      </c>
      <c r="B72" t="n">
        <v>5.7935</v>
      </c>
      <c r="C72" t="n">
        <v/>
      </c>
      <c r="D72" t="n">
        <v/>
      </c>
      <c r="E72" t="n">
        <v/>
      </c>
      <c r="F72" t="n">
        <v/>
      </c>
      <c r="G72" t="n">
        <v/>
      </c>
      <c r="H72" t="n">
        <v>28.3564</v>
      </c>
      <c r="I72" t="n">
        <v/>
      </c>
      <c r="J72" t="n">
        <v/>
      </c>
      <c r="K72" t="n">
        <v/>
      </c>
    </row>
    <row r="73">
      <c r="A73" s="98" t="n">
        <v>9102</v>
      </c>
      <c r="B73" t="n">
        <v>5.9551</v>
      </c>
      <c r="C73" t="n">
        <v/>
      </c>
      <c r="D73" t="n">
        <v/>
      </c>
      <c r="E73" t="n">
        <v/>
      </c>
      <c r="F73" t="n">
        <v/>
      </c>
      <c r="G73" t="n">
        <v/>
      </c>
      <c r="H73" t="n">
        <v>28.9057</v>
      </c>
      <c r="I73" t="n">
        <v/>
      </c>
      <c r="J73" t="n">
        <v/>
      </c>
      <c r="K73" t="n">
        <v/>
      </c>
    </row>
    <row r="74">
      <c r="A74" s="98" t="n">
        <v>9133</v>
      </c>
      <c r="B74" t="n">
        <v>6.1438</v>
      </c>
      <c r="C74" t="n">
        <v/>
      </c>
      <c r="D74" t="n">
        <v/>
      </c>
      <c r="E74" t="n">
        <v/>
      </c>
      <c r="F74" t="n">
        <v/>
      </c>
      <c r="G74" t="n">
        <v/>
      </c>
      <c r="H74" t="n">
        <v>30.0729</v>
      </c>
      <c r="I74" t="n">
        <v/>
      </c>
      <c r="J74" t="n">
        <v/>
      </c>
      <c r="K74" t="n">
        <v/>
      </c>
    </row>
    <row r="75">
      <c r="A75" s="98" t="n">
        <v>9164</v>
      </c>
      <c r="B75" t="n">
        <v>6.1438</v>
      </c>
      <c r="C75" t="n">
        <v/>
      </c>
      <c r="D75" t="n">
        <v/>
      </c>
      <c r="E75" t="n">
        <v/>
      </c>
      <c r="F75" t="n">
        <v/>
      </c>
      <c r="G75" t="n">
        <v/>
      </c>
      <c r="H75" t="n">
        <v>29.249</v>
      </c>
      <c r="I75" t="n">
        <v/>
      </c>
      <c r="J75" t="n">
        <v/>
      </c>
      <c r="K75" t="n">
        <v/>
      </c>
    </row>
    <row r="76">
      <c r="A76" s="98" t="n">
        <v>9192</v>
      </c>
      <c r="B76" t="n">
        <v>6.1438</v>
      </c>
      <c r="C76" t="n">
        <v/>
      </c>
      <c r="D76" t="n">
        <v/>
      </c>
      <c r="E76" t="n">
        <v/>
      </c>
      <c r="F76" t="n">
        <v/>
      </c>
      <c r="G76" t="n">
        <v/>
      </c>
      <c r="H76" t="n">
        <v>28.4251</v>
      </c>
      <c r="I76" t="n">
        <v/>
      </c>
      <c r="J76" t="n">
        <v/>
      </c>
      <c r="K76" t="n">
        <v/>
      </c>
    </row>
    <row r="77">
      <c r="A77" s="98" t="n">
        <v>9223</v>
      </c>
      <c r="B77" t="n">
        <v>6.1977</v>
      </c>
      <c r="C77" t="n">
        <v/>
      </c>
      <c r="D77" t="n">
        <v/>
      </c>
      <c r="E77" t="n">
        <v/>
      </c>
      <c r="F77" t="n">
        <v/>
      </c>
      <c r="G77" t="n">
        <v/>
      </c>
      <c r="H77" t="n">
        <v>30.0043</v>
      </c>
      <c r="I77" t="n">
        <v/>
      </c>
      <c r="J77" t="n">
        <v/>
      </c>
      <c r="K77" t="n">
        <v/>
      </c>
    </row>
    <row r="78">
      <c r="A78" s="98" t="n">
        <v>9253</v>
      </c>
      <c r="B78" t="n">
        <v>6.1707</v>
      </c>
      <c r="C78" t="n">
        <v/>
      </c>
      <c r="D78" t="n">
        <v/>
      </c>
      <c r="E78" t="n">
        <v/>
      </c>
      <c r="F78" t="n">
        <v/>
      </c>
      <c r="G78" t="n">
        <v/>
      </c>
      <c r="H78" t="n">
        <v>30.8968</v>
      </c>
      <c r="I78" t="n">
        <v/>
      </c>
      <c r="J78" t="n">
        <v/>
      </c>
      <c r="K78" t="n">
        <v/>
      </c>
    </row>
    <row r="79">
      <c r="A79" s="98" t="n">
        <v>9284</v>
      </c>
      <c r="B79" t="n">
        <v>6.1168</v>
      </c>
      <c r="C79" t="n">
        <v/>
      </c>
      <c r="D79" t="n">
        <v/>
      </c>
      <c r="E79" t="n">
        <v/>
      </c>
      <c r="F79" t="n">
        <v/>
      </c>
      <c r="G79" t="n">
        <v/>
      </c>
      <c r="H79" t="n">
        <v>30.6222</v>
      </c>
      <c r="I79" t="n">
        <v/>
      </c>
      <c r="J79" t="n">
        <v/>
      </c>
      <c r="K79" t="n">
        <v/>
      </c>
    </row>
    <row r="80">
      <c r="A80" s="98" t="n">
        <v>9314</v>
      </c>
      <c r="B80" t="n">
        <v>6.2785</v>
      </c>
      <c r="C80" t="n">
        <v/>
      </c>
      <c r="D80" t="n">
        <v/>
      </c>
      <c r="E80" t="n">
        <v/>
      </c>
      <c r="F80" t="n">
        <v/>
      </c>
      <c r="G80" t="n">
        <v/>
      </c>
      <c r="H80" t="n">
        <v>31.1028</v>
      </c>
      <c r="I80" t="n">
        <v/>
      </c>
      <c r="J80" t="n">
        <v/>
      </c>
      <c r="K80" t="n">
        <v/>
      </c>
    </row>
    <row r="81">
      <c r="A81" s="98" t="n">
        <v>9345</v>
      </c>
      <c r="B81" t="n">
        <v>6.1707</v>
      </c>
      <c r="C81" t="n">
        <v/>
      </c>
      <c r="D81" t="n">
        <v/>
      </c>
      <c r="E81" t="n">
        <v/>
      </c>
      <c r="F81" t="n">
        <v/>
      </c>
      <c r="G81" t="n">
        <v/>
      </c>
      <c r="H81" t="n">
        <v>31.7894</v>
      </c>
      <c r="I81" t="n">
        <v/>
      </c>
      <c r="J81" t="n">
        <v/>
      </c>
      <c r="K81" t="n">
        <v/>
      </c>
    </row>
    <row r="82">
      <c r="A82" s="98" t="n">
        <v>9376</v>
      </c>
      <c r="B82" t="n">
        <v>6.0899</v>
      </c>
      <c r="C82" t="n">
        <v/>
      </c>
      <c r="D82" t="n">
        <v/>
      </c>
      <c r="E82" t="n">
        <v/>
      </c>
      <c r="F82" t="n">
        <v/>
      </c>
      <c r="G82" t="n">
        <v/>
      </c>
      <c r="H82" t="n">
        <v>27.3952</v>
      </c>
      <c r="I82" t="n">
        <v/>
      </c>
      <c r="J82" t="n">
        <v/>
      </c>
      <c r="K82" t="n">
        <v/>
      </c>
    </row>
    <row r="83">
      <c r="A83" s="98" t="n">
        <v>9406</v>
      </c>
      <c r="B83" t="n">
        <v>6.3324</v>
      </c>
      <c r="C83" t="n">
        <v/>
      </c>
      <c r="D83" t="n">
        <v/>
      </c>
      <c r="E83" t="n">
        <v/>
      </c>
      <c r="F83" t="n">
        <v/>
      </c>
      <c r="G83" t="n">
        <v/>
      </c>
      <c r="H83" t="n">
        <v>27.3265</v>
      </c>
      <c r="I83" t="n">
        <v/>
      </c>
      <c r="J83" t="n">
        <v/>
      </c>
      <c r="K83" t="n">
        <v/>
      </c>
    </row>
    <row r="84">
      <c r="A84" s="98" t="n">
        <v>9437</v>
      </c>
      <c r="B84" t="n">
        <v>6.4671</v>
      </c>
      <c r="C84" t="n">
        <v/>
      </c>
      <c r="D84" t="n">
        <v/>
      </c>
      <c r="E84" t="n">
        <v/>
      </c>
      <c r="F84" t="n">
        <v/>
      </c>
      <c r="G84" t="n">
        <v/>
      </c>
      <c r="H84" t="n">
        <v>27.8758</v>
      </c>
      <c r="I84" t="n">
        <v/>
      </c>
      <c r="J84" t="n">
        <v/>
      </c>
      <c r="K84" t="n">
        <v/>
      </c>
    </row>
    <row r="85">
      <c r="A85" s="98" t="n">
        <v>9467</v>
      </c>
      <c r="B85" t="n">
        <v>6.548</v>
      </c>
      <c r="C85" t="n">
        <v/>
      </c>
      <c r="D85" t="n">
        <v/>
      </c>
      <c r="E85" t="n">
        <v/>
      </c>
      <c r="F85" t="n">
        <v/>
      </c>
      <c r="G85" t="n">
        <v/>
      </c>
      <c r="H85" t="n">
        <v>27.6012</v>
      </c>
      <c r="I85" t="n">
        <v/>
      </c>
      <c r="J85" t="n">
        <v/>
      </c>
      <c r="K85" t="n">
        <v/>
      </c>
    </row>
    <row r="86">
      <c r="A86" s="98" t="n">
        <v>9498</v>
      </c>
      <c r="B86" t="n">
        <v>6.4402</v>
      </c>
      <c r="C86" t="n">
        <v/>
      </c>
      <c r="D86" t="n">
        <v/>
      </c>
      <c r="E86" t="n">
        <v/>
      </c>
      <c r="F86" t="n">
        <v/>
      </c>
      <c r="G86" t="n">
        <v/>
      </c>
      <c r="H86" t="n">
        <v>27.1892</v>
      </c>
      <c r="I86" t="n">
        <v/>
      </c>
      <c r="J86" t="n">
        <v/>
      </c>
      <c r="K86" t="n">
        <v/>
      </c>
    </row>
    <row r="87">
      <c r="A87" s="98" t="n">
        <v>9529</v>
      </c>
      <c r="B87" t="n">
        <v>6.4402</v>
      </c>
      <c r="C87" t="n">
        <v/>
      </c>
      <c r="D87" t="n">
        <v/>
      </c>
      <c r="E87" t="n">
        <v/>
      </c>
      <c r="F87" t="n">
        <v/>
      </c>
      <c r="G87" t="n">
        <v/>
      </c>
      <c r="H87" t="n">
        <v>28.4251</v>
      </c>
      <c r="I87" t="n">
        <v/>
      </c>
      <c r="J87" t="n">
        <v/>
      </c>
      <c r="K87" t="n">
        <v/>
      </c>
    </row>
    <row r="88">
      <c r="A88" s="98" t="n">
        <v>9557</v>
      </c>
      <c r="B88" t="n">
        <v>6.521</v>
      </c>
      <c r="C88" t="n">
        <v/>
      </c>
      <c r="D88" t="n">
        <v/>
      </c>
      <c r="E88" t="n">
        <v/>
      </c>
      <c r="F88" t="n">
        <v/>
      </c>
      <c r="G88" t="n">
        <v/>
      </c>
      <c r="H88" t="n">
        <v>31.3775</v>
      </c>
      <c r="I88" t="n">
        <v/>
      </c>
      <c r="J88" t="n">
        <v/>
      </c>
      <c r="K88" t="n">
        <v/>
      </c>
    </row>
    <row r="89">
      <c r="A89" s="98" t="n">
        <v>9588</v>
      </c>
      <c r="B89" t="n">
        <v>6.521</v>
      </c>
      <c r="C89" t="n">
        <v/>
      </c>
      <c r="D89" t="n">
        <v/>
      </c>
      <c r="E89" t="n">
        <v/>
      </c>
      <c r="F89" t="n">
        <v/>
      </c>
      <c r="G89" t="n">
        <v/>
      </c>
      <c r="H89" t="n">
        <v>31.4461</v>
      </c>
      <c r="I89" t="n">
        <v/>
      </c>
      <c r="J89" t="n">
        <v/>
      </c>
      <c r="K89" t="n">
        <v/>
      </c>
    </row>
    <row r="90">
      <c r="A90" s="98" t="n">
        <v>9618</v>
      </c>
      <c r="B90" t="n">
        <v>6.4671</v>
      </c>
      <c r="C90" t="n">
        <v/>
      </c>
      <c r="D90" t="n">
        <v/>
      </c>
      <c r="E90" t="n">
        <v/>
      </c>
      <c r="F90" t="n">
        <v/>
      </c>
      <c r="G90" t="n">
        <v/>
      </c>
      <c r="H90" t="n">
        <v>30.7595</v>
      </c>
      <c r="I90" t="n">
        <v/>
      </c>
      <c r="J90" t="n">
        <v/>
      </c>
      <c r="K90" t="n">
        <v/>
      </c>
    </row>
    <row r="91">
      <c r="A91" s="98" t="n">
        <v>9649</v>
      </c>
      <c r="B91" t="n">
        <v>6.5479</v>
      </c>
      <c r="C91" t="n">
        <v/>
      </c>
      <c r="D91" t="n">
        <v/>
      </c>
      <c r="E91" t="n">
        <v/>
      </c>
      <c r="F91" t="n">
        <v/>
      </c>
      <c r="G91" t="n">
        <v/>
      </c>
      <c r="H91" t="n">
        <v>31.7208</v>
      </c>
      <c r="I91" t="n">
        <v/>
      </c>
      <c r="J91" t="n">
        <v/>
      </c>
      <c r="K91" t="n">
        <v/>
      </c>
    </row>
    <row r="92">
      <c r="A92" s="98" t="n">
        <v>9679</v>
      </c>
      <c r="B92" t="n">
        <v>6.5749</v>
      </c>
      <c r="C92" t="n">
        <v/>
      </c>
      <c r="D92" t="n">
        <v/>
      </c>
      <c r="E92" t="n">
        <v/>
      </c>
      <c r="F92" t="n">
        <v/>
      </c>
      <c r="G92" t="n">
        <v/>
      </c>
      <c r="H92" t="n">
        <v>32.1327</v>
      </c>
      <c r="I92" t="n">
        <v/>
      </c>
      <c r="J92" t="n">
        <v/>
      </c>
      <c r="K92" t="n">
        <v/>
      </c>
    </row>
    <row r="93">
      <c r="A93" s="98" t="n">
        <v>9710</v>
      </c>
      <c r="B93" t="n">
        <v>6.6557</v>
      </c>
      <c r="C93" t="n">
        <v/>
      </c>
      <c r="D93" t="n">
        <v/>
      </c>
      <c r="E93" t="n">
        <v/>
      </c>
      <c r="F93" t="n">
        <v/>
      </c>
      <c r="G93" t="n">
        <v/>
      </c>
      <c r="H93" t="n">
        <v>32.3387</v>
      </c>
      <c r="I93" t="n">
        <v/>
      </c>
      <c r="J93" t="n">
        <v/>
      </c>
      <c r="K93" t="n">
        <v/>
      </c>
    </row>
    <row r="94">
      <c r="A94" s="98" t="n">
        <v>9741</v>
      </c>
      <c r="B94" t="n">
        <v>6.7635</v>
      </c>
      <c r="C94" t="n">
        <v/>
      </c>
      <c r="D94" t="n">
        <v/>
      </c>
      <c r="E94" t="n">
        <v/>
      </c>
      <c r="F94" t="n">
        <v/>
      </c>
      <c r="G94" t="n">
        <v/>
      </c>
      <c r="H94" t="n">
        <v>32.7507</v>
      </c>
      <c r="I94" t="n">
        <v/>
      </c>
      <c r="J94" t="n">
        <v/>
      </c>
      <c r="K94" t="n">
        <v/>
      </c>
    </row>
    <row r="95">
      <c r="A95" s="98" t="n">
        <v>9771</v>
      </c>
      <c r="B95" t="n">
        <v>6.7635</v>
      </c>
      <c r="C95" t="n">
        <v/>
      </c>
      <c r="D95" t="n">
        <v/>
      </c>
      <c r="E95" t="n">
        <v/>
      </c>
      <c r="F95" t="n">
        <v/>
      </c>
      <c r="G95" t="n">
        <v/>
      </c>
      <c r="H95" t="n">
        <v>33.5059</v>
      </c>
      <c r="I95" t="n">
        <v/>
      </c>
      <c r="J95" t="n">
        <v/>
      </c>
      <c r="K95" t="n">
        <v/>
      </c>
    </row>
    <row r="96">
      <c r="A96" s="98" t="n">
        <v>9802</v>
      </c>
      <c r="B96" t="n">
        <v>6.7366</v>
      </c>
      <c r="C96" t="n">
        <v/>
      </c>
      <c r="D96" t="n">
        <v/>
      </c>
      <c r="E96" t="n">
        <v/>
      </c>
      <c r="F96" t="n">
        <v/>
      </c>
      <c r="G96" t="n">
        <v/>
      </c>
      <c r="H96" t="n">
        <v>34.7418</v>
      </c>
      <c r="I96" t="n">
        <v/>
      </c>
      <c r="J96" t="n">
        <v/>
      </c>
      <c r="K96" t="n">
        <v/>
      </c>
    </row>
    <row r="97">
      <c r="A97" s="98" t="n">
        <v>9832</v>
      </c>
      <c r="B97" t="n">
        <v>6.7096</v>
      </c>
      <c r="C97" t="n">
        <v/>
      </c>
      <c r="D97" t="n">
        <v/>
      </c>
      <c r="E97" t="n">
        <v/>
      </c>
      <c r="F97" t="n">
        <v/>
      </c>
      <c r="G97" t="n">
        <v/>
      </c>
      <c r="H97" t="n">
        <v>34.8104</v>
      </c>
      <c r="I97" t="n">
        <v/>
      </c>
      <c r="J97" t="n">
        <v/>
      </c>
      <c r="K97" t="n">
        <v/>
      </c>
    </row>
    <row r="98">
      <c r="A98" s="98" t="n">
        <v>9863</v>
      </c>
      <c r="B98" t="n">
        <v>6.6827</v>
      </c>
      <c r="C98" t="n">
        <v/>
      </c>
      <c r="D98" t="n">
        <v/>
      </c>
      <c r="E98" t="n">
        <v/>
      </c>
      <c r="F98" t="n">
        <v/>
      </c>
      <c r="G98" t="n">
        <v/>
      </c>
      <c r="H98" t="n">
        <v>33.9179</v>
      </c>
      <c r="I98" t="n">
        <v/>
      </c>
      <c r="J98" t="n">
        <v/>
      </c>
      <c r="K98" t="n">
        <v/>
      </c>
    </row>
    <row r="99">
      <c r="A99" s="98" t="n">
        <v>9894</v>
      </c>
      <c r="B99" t="n">
        <v>6.7366</v>
      </c>
      <c r="C99" t="n">
        <v/>
      </c>
      <c r="D99" t="n">
        <v/>
      </c>
      <c r="E99" t="n">
        <v/>
      </c>
      <c r="F99" t="n">
        <v/>
      </c>
      <c r="G99" t="n">
        <v/>
      </c>
      <c r="H99" t="n">
        <v>34.4671</v>
      </c>
      <c r="I99" t="n">
        <v/>
      </c>
      <c r="J99" t="n">
        <v/>
      </c>
      <c r="K99" t="n">
        <v/>
      </c>
    </row>
    <row r="100">
      <c r="A100" s="98" t="n">
        <v>9922</v>
      </c>
      <c r="B100" t="n">
        <v>6.8174</v>
      </c>
      <c r="C100" t="n">
        <v/>
      </c>
      <c r="D100" t="n">
        <v/>
      </c>
      <c r="E100" t="n">
        <v/>
      </c>
      <c r="F100" t="n">
        <v/>
      </c>
      <c r="G100" t="n">
        <v/>
      </c>
      <c r="H100" t="n">
        <v>36.1149</v>
      </c>
      <c r="I100" t="n">
        <v/>
      </c>
      <c r="J100" t="n">
        <v/>
      </c>
      <c r="K100" t="n">
        <v/>
      </c>
    </row>
    <row r="101">
      <c r="A101" s="98" t="n">
        <v>9953</v>
      </c>
      <c r="B101" t="n">
        <v>6.6557</v>
      </c>
      <c r="C101" t="n">
        <v/>
      </c>
      <c r="D101" t="n">
        <v/>
      </c>
      <c r="E101" t="n">
        <v/>
      </c>
      <c r="F101" t="n">
        <v/>
      </c>
      <c r="G101" t="n">
        <v/>
      </c>
      <c r="H101" t="n">
        <v>31.7894</v>
      </c>
      <c r="I101" t="n">
        <v/>
      </c>
      <c r="J101" t="n">
        <v/>
      </c>
      <c r="K101" t="n">
        <v/>
      </c>
    </row>
    <row r="102">
      <c r="A102" s="98" t="n">
        <v>9983</v>
      </c>
      <c r="B102" t="n">
        <v>6.7096</v>
      </c>
      <c r="C102" t="n">
        <v/>
      </c>
      <c r="D102" t="n">
        <v/>
      </c>
      <c r="E102" t="n">
        <v/>
      </c>
      <c r="F102" t="n">
        <v/>
      </c>
      <c r="G102" t="n">
        <v/>
      </c>
      <c r="H102" t="n">
        <v>31.9954</v>
      </c>
      <c r="I102" t="n">
        <v/>
      </c>
      <c r="J102" t="n">
        <v/>
      </c>
      <c r="K102" t="n">
        <v/>
      </c>
    </row>
    <row r="103">
      <c r="A103" s="98" t="n">
        <v>10014</v>
      </c>
      <c r="B103" t="n">
        <v>6.6827</v>
      </c>
      <c r="C103" t="n">
        <v/>
      </c>
      <c r="D103" t="n">
        <v/>
      </c>
      <c r="E103" t="n">
        <v/>
      </c>
      <c r="F103" t="n">
        <v/>
      </c>
      <c r="G103" t="n">
        <v/>
      </c>
      <c r="H103" t="n">
        <v>31.5834</v>
      </c>
      <c r="I103" t="n">
        <v/>
      </c>
      <c r="J103" t="n">
        <v/>
      </c>
      <c r="K103" t="n">
        <v/>
      </c>
    </row>
    <row r="104">
      <c r="A104" s="98" t="n">
        <v>10044</v>
      </c>
      <c r="B104" t="n">
        <v>6.6018</v>
      </c>
      <c r="C104" t="n">
        <v/>
      </c>
      <c r="D104" t="n">
        <v/>
      </c>
      <c r="E104" t="n">
        <v/>
      </c>
      <c r="F104" t="n">
        <v/>
      </c>
      <c r="G104" t="n">
        <v/>
      </c>
      <c r="H104" t="n">
        <v>30.3476</v>
      </c>
      <c r="I104" t="n">
        <v/>
      </c>
      <c r="J104" t="n">
        <v/>
      </c>
      <c r="K104" t="n">
        <v/>
      </c>
    </row>
    <row r="105">
      <c r="A105" s="98" t="n">
        <v>10075</v>
      </c>
      <c r="B105" t="n">
        <v>6.6018</v>
      </c>
      <c r="C105" t="n">
        <v/>
      </c>
      <c r="D105" t="n">
        <v/>
      </c>
      <c r="E105" t="n">
        <v/>
      </c>
      <c r="F105" t="n">
        <v/>
      </c>
      <c r="G105" t="n">
        <v/>
      </c>
      <c r="H105" t="n">
        <v>31.9268</v>
      </c>
      <c r="I105" t="n">
        <v/>
      </c>
      <c r="J105" t="n">
        <v/>
      </c>
      <c r="K105" t="n">
        <v/>
      </c>
    </row>
    <row r="106">
      <c r="A106" s="98" t="n">
        <v>10106</v>
      </c>
      <c r="B106" t="n">
        <v>6.4941</v>
      </c>
      <c r="C106" t="n">
        <v/>
      </c>
      <c r="D106" t="n">
        <v/>
      </c>
      <c r="E106" t="n">
        <v/>
      </c>
      <c r="F106" t="n">
        <v/>
      </c>
      <c r="G106" t="n">
        <v/>
      </c>
      <c r="H106" t="n">
        <v>31.1715</v>
      </c>
      <c r="I106" t="n">
        <v/>
      </c>
      <c r="J106" t="n">
        <v/>
      </c>
      <c r="K106" t="n">
        <v/>
      </c>
    </row>
    <row r="107">
      <c r="A107" s="98" t="n">
        <v>10136</v>
      </c>
      <c r="B107" t="n">
        <v>6.3593</v>
      </c>
      <c r="C107" t="n">
        <v/>
      </c>
      <c r="D107" t="n">
        <v/>
      </c>
      <c r="E107" t="n">
        <v/>
      </c>
      <c r="F107" t="n">
        <v/>
      </c>
      <c r="G107" t="n">
        <v/>
      </c>
      <c r="H107" t="n">
        <v>30.6222</v>
      </c>
      <c r="I107" t="n">
        <v/>
      </c>
      <c r="J107" t="n">
        <v/>
      </c>
      <c r="K107" t="n">
        <v/>
      </c>
    </row>
    <row r="108">
      <c r="A108" s="98" t="n">
        <v>10167</v>
      </c>
      <c r="B108" t="n">
        <v>6.3593</v>
      </c>
      <c r="C108" t="n">
        <v/>
      </c>
      <c r="D108" t="n">
        <v/>
      </c>
      <c r="E108" t="n">
        <v/>
      </c>
      <c r="F108" t="n">
        <v/>
      </c>
      <c r="G108" t="n">
        <v/>
      </c>
      <c r="H108" t="n">
        <v>30.4162</v>
      </c>
      <c r="I108" t="n">
        <v/>
      </c>
      <c r="J108" t="n">
        <v/>
      </c>
      <c r="K108" t="n">
        <v/>
      </c>
    </row>
    <row r="109">
      <c r="A109" s="98" t="n">
        <v>10197</v>
      </c>
      <c r="B109" t="n">
        <v>6.3863</v>
      </c>
      <c r="C109" t="n">
        <v/>
      </c>
      <c r="D109" t="n">
        <v/>
      </c>
      <c r="E109" t="n">
        <v/>
      </c>
      <c r="F109" t="n">
        <v/>
      </c>
      <c r="G109" t="n">
        <v/>
      </c>
      <c r="H109" t="n">
        <v>29.9356</v>
      </c>
      <c r="I109" t="n">
        <v/>
      </c>
      <c r="J109" t="n">
        <v/>
      </c>
      <c r="K109" t="n">
        <v/>
      </c>
    </row>
    <row r="110">
      <c r="A110" s="98" t="n">
        <v>10228</v>
      </c>
      <c r="B110" t="n">
        <v>6.521</v>
      </c>
      <c r="C110" t="n">
        <v/>
      </c>
      <c r="D110" t="n">
        <v/>
      </c>
      <c r="E110" t="n">
        <v/>
      </c>
      <c r="F110" t="n">
        <v/>
      </c>
      <c r="G110" t="n">
        <v/>
      </c>
      <c r="H110" t="n">
        <v>30.2102</v>
      </c>
      <c r="I110" t="n">
        <v/>
      </c>
      <c r="J110" t="n">
        <v/>
      </c>
      <c r="K110" t="n">
        <v/>
      </c>
    </row>
    <row r="111">
      <c r="A111" s="98" t="n">
        <v>10259</v>
      </c>
      <c r="B111" t="n">
        <v>6.5749</v>
      </c>
      <c r="C111" t="n">
        <v/>
      </c>
      <c r="D111" t="n">
        <v/>
      </c>
      <c r="E111" t="n">
        <v/>
      </c>
      <c r="F111" t="n">
        <v/>
      </c>
      <c r="G111" t="n">
        <v/>
      </c>
      <c r="H111" t="n">
        <v>30.0043</v>
      </c>
      <c r="I111" t="n">
        <v/>
      </c>
      <c r="J111" t="n">
        <v/>
      </c>
      <c r="K111" t="n">
        <v/>
      </c>
    </row>
    <row r="112">
      <c r="A112" s="98" t="n">
        <v>10288</v>
      </c>
      <c r="B112" t="n">
        <v>6.6288</v>
      </c>
      <c r="C112" t="n">
        <v/>
      </c>
      <c r="D112" t="n">
        <v/>
      </c>
      <c r="E112" t="n">
        <v/>
      </c>
      <c r="F112" t="n">
        <v/>
      </c>
      <c r="G112" t="n">
        <v/>
      </c>
      <c r="H112" t="n">
        <v>31.5148</v>
      </c>
      <c r="I112" t="n">
        <v/>
      </c>
      <c r="J112" t="n">
        <v/>
      </c>
      <c r="K112" t="n">
        <v/>
      </c>
    </row>
    <row r="113">
      <c r="A113" s="98" t="n">
        <v>10319</v>
      </c>
      <c r="B113" t="n">
        <v>6.6018</v>
      </c>
      <c r="C113" t="n">
        <v/>
      </c>
      <c r="D113" t="n">
        <v/>
      </c>
      <c r="E113" t="n">
        <v/>
      </c>
      <c r="F113" t="n">
        <v/>
      </c>
      <c r="G113" t="n">
        <v/>
      </c>
      <c r="H113" t="n">
        <v>30.6222</v>
      </c>
      <c r="I113" t="n">
        <v/>
      </c>
      <c r="J113" t="n">
        <v/>
      </c>
      <c r="K113" t="n">
        <v/>
      </c>
    </row>
    <row r="114">
      <c r="A114" s="98" t="n">
        <v>10349</v>
      </c>
      <c r="B114" t="n">
        <v>6.6827</v>
      </c>
      <c r="C114" t="n">
        <v/>
      </c>
      <c r="D114" t="n">
        <v/>
      </c>
      <c r="E114" t="n">
        <v/>
      </c>
      <c r="F114" t="n">
        <v/>
      </c>
      <c r="G114" t="n">
        <v/>
      </c>
      <c r="H114" t="n">
        <v>31.5148</v>
      </c>
      <c r="I114" t="n">
        <v/>
      </c>
      <c r="J114" t="n">
        <v/>
      </c>
      <c r="K114" t="n">
        <v/>
      </c>
    </row>
    <row r="115">
      <c r="A115" s="98" t="n">
        <v>10380</v>
      </c>
      <c r="B115" t="n">
        <v>6.7366</v>
      </c>
      <c r="C115" t="n">
        <v/>
      </c>
      <c r="D115" t="n">
        <v/>
      </c>
      <c r="E115" t="n">
        <v/>
      </c>
      <c r="F115" t="n">
        <v/>
      </c>
      <c r="G115" t="n">
        <v/>
      </c>
      <c r="H115" t="n">
        <v>30.6909</v>
      </c>
      <c r="I115" t="n">
        <v/>
      </c>
      <c r="J115" t="n">
        <v/>
      </c>
      <c r="K115" t="n">
        <v/>
      </c>
    </row>
    <row r="116">
      <c r="A116" s="98" t="n">
        <v>10410</v>
      </c>
      <c r="B116" t="n">
        <v>6.8174</v>
      </c>
      <c r="C116" t="n">
        <v/>
      </c>
      <c r="D116" t="n">
        <v/>
      </c>
      <c r="E116" t="n">
        <v/>
      </c>
      <c r="F116" t="n">
        <v/>
      </c>
      <c r="G116" t="n">
        <v/>
      </c>
      <c r="H116" t="n">
        <v>30.7595</v>
      </c>
      <c r="I116" t="n">
        <v/>
      </c>
      <c r="J116" t="n">
        <v/>
      </c>
      <c r="K116" t="n">
        <v/>
      </c>
    </row>
    <row r="117">
      <c r="A117" s="98" t="n">
        <v>10441</v>
      </c>
      <c r="B117" t="n">
        <v>6.9522</v>
      </c>
      <c r="C117" t="n">
        <v/>
      </c>
      <c r="D117" t="n">
        <v/>
      </c>
      <c r="E117" t="n">
        <v/>
      </c>
      <c r="F117" t="n">
        <v/>
      </c>
      <c r="G117" t="n">
        <v/>
      </c>
      <c r="H117" t="n">
        <v>31.7207</v>
      </c>
      <c r="I117" t="n">
        <v/>
      </c>
      <c r="J117" t="n">
        <v/>
      </c>
      <c r="K117" t="n">
        <v/>
      </c>
    </row>
    <row r="118">
      <c r="A118" s="98" t="n">
        <v>10472</v>
      </c>
      <c r="B118" t="n">
        <v>7.006</v>
      </c>
      <c r="C118" t="n">
        <v/>
      </c>
      <c r="D118" t="n">
        <v/>
      </c>
      <c r="E118" t="n">
        <v/>
      </c>
      <c r="F118" t="n">
        <v/>
      </c>
      <c r="G118" t="n">
        <v/>
      </c>
      <c r="H118" t="n">
        <v>31.9267</v>
      </c>
      <c r="I118" t="n">
        <v/>
      </c>
      <c r="J118" t="n">
        <v/>
      </c>
      <c r="K118" t="n">
        <v/>
      </c>
    </row>
    <row r="119">
      <c r="A119" s="98" t="n">
        <v>10502</v>
      </c>
      <c r="B119" t="n">
        <v>7.1408</v>
      </c>
      <c r="C119" t="n">
        <v/>
      </c>
      <c r="D119" t="n">
        <v/>
      </c>
      <c r="E119" t="n">
        <v/>
      </c>
      <c r="F119" t="n">
        <v/>
      </c>
      <c r="G119" t="n">
        <v/>
      </c>
      <c r="H119" t="n">
        <v>32.7507</v>
      </c>
      <c r="I119" t="n">
        <v/>
      </c>
      <c r="J119" t="n">
        <v/>
      </c>
      <c r="K119" t="n">
        <v/>
      </c>
    </row>
    <row r="120">
      <c r="A120" s="98" t="n">
        <v>10533</v>
      </c>
      <c r="B120" t="n">
        <v>7.2755</v>
      </c>
      <c r="C120" t="n">
        <v/>
      </c>
      <c r="D120" t="n">
        <v/>
      </c>
      <c r="E120" t="n">
        <v/>
      </c>
      <c r="F120" t="n">
        <v/>
      </c>
      <c r="G120" t="n">
        <v/>
      </c>
      <c r="H120" t="n">
        <v>33.5746</v>
      </c>
      <c r="I120" t="n">
        <v/>
      </c>
      <c r="J120" t="n">
        <v/>
      </c>
      <c r="K120" t="n">
        <v/>
      </c>
    </row>
    <row r="121">
      <c r="A121" s="98" t="n">
        <v>10563</v>
      </c>
      <c r="B121" t="n">
        <v>7.4102</v>
      </c>
      <c r="C121" t="n">
        <v/>
      </c>
      <c r="D121" t="n">
        <v/>
      </c>
      <c r="E121" t="n">
        <v/>
      </c>
      <c r="F121" t="n">
        <v/>
      </c>
      <c r="G121" t="n">
        <v/>
      </c>
      <c r="H121" t="n">
        <v>32.7506</v>
      </c>
      <c r="I121" t="n">
        <v/>
      </c>
      <c r="J121" t="n">
        <v/>
      </c>
      <c r="K121" t="n">
        <v/>
      </c>
    </row>
    <row r="122">
      <c r="A122" s="98" t="n">
        <v>10594</v>
      </c>
      <c r="B122" t="n">
        <v>7.518</v>
      </c>
      <c r="C122" t="n">
        <v/>
      </c>
      <c r="D122" t="n">
        <v/>
      </c>
      <c r="E122" t="n">
        <v/>
      </c>
      <c r="F122" t="n">
        <v/>
      </c>
      <c r="G122" t="n">
        <v/>
      </c>
      <c r="H122" t="n">
        <v>34.4671</v>
      </c>
      <c r="I122" t="n">
        <v/>
      </c>
      <c r="J122" t="n">
        <v/>
      </c>
      <c r="K122" t="n">
        <v/>
      </c>
    </row>
    <row r="123">
      <c r="A123" s="98" t="n">
        <v>10625</v>
      </c>
      <c r="B123" t="n">
        <v>7.4911</v>
      </c>
      <c r="C123" t="n">
        <v/>
      </c>
      <c r="D123" t="n">
        <v/>
      </c>
      <c r="E123" t="n">
        <v/>
      </c>
      <c r="F123" t="n">
        <v/>
      </c>
      <c r="G123" t="n">
        <v/>
      </c>
      <c r="H123" t="n">
        <v>35.1537</v>
      </c>
      <c r="I123" t="n">
        <v/>
      </c>
      <c r="J123" t="n">
        <v/>
      </c>
      <c r="K123" t="n">
        <v/>
      </c>
    </row>
    <row r="124">
      <c r="A124" s="98" t="n">
        <v>10653</v>
      </c>
      <c r="B124" t="n">
        <v>7.518</v>
      </c>
      <c r="C124" t="n">
        <v/>
      </c>
      <c r="D124" t="n">
        <v/>
      </c>
      <c r="E124" t="n">
        <v/>
      </c>
      <c r="F124" t="n">
        <v/>
      </c>
      <c r="G124" t="n">
        <v/>
      </c>
      <c r="H124" t="n">
        <v>32.9566</v>
      </c>
      <c r="I124" t="n">
        <v/>
      </c>
      <c r="J124" t="n">
        <v/>
      </c>
      <c r="K124" t="n">
        <v/>
      </c>
    </row>
    <row r="125">
      <c r="A125" s="98" t="n">
        <v>10684</v>
      </c>
      <c r="B125" t="n">
        <v>7.6528</v>
      </c>
      <c r="C125" t="n">
        <v/>
      </c>
      <c r="D125" t="n">
        <v/>
      </c>
      <c r="E125" t="n">
        <v/>
      </c>
      <c r="F125" t="n">
        <v/>
      </c>
      <c r="G125" t="n">
        <v/>
      </c>
      <c r="H125" t="n">
        <v>34.6044</v>
      </c>
      <c r="I125" t="n">
        <v/>
      </c>
      <c r="J125" t="n">
        <v/>
      </c>
      <c r="K125" t="n">
        <v/>
      </c>
    </row>
    <row r="126">
      <c r="A126" s="98" t="n">
        <v>10714</v>
      </c>
      <c r="B126" t="n">
        <v>7.7875</v>
      </c>
      <c r="C126" t="n">
        <v/>
      </c>
      <c r="D126" t="n">
        <v/>
      </c>
      <c r="E126" t="n">
        <v/>
      </c>
      <c r="F126" t="n">
        <v/>
      </c>
      <c r="G126" t="n">
        <v/>
      </c>
      <c r="H126" t="n">
        <v>34.2612</v>
      </c>
      <c r="I126" t="n">
        <v/>
      </c>
      <c r="J126" t="n">
        <v/>
      </c>
      <c r="K126" t="n">
        <v/>
      </c>
    </row>
    <row r="127">
      <c r="A127" s="98" t="n">
        <v>10745</v>
      </c>
      <c r="B127" t="n">
        <v>7.8414</v>
      </c>
      <c r="C127" t="n">
        <v/>
      </c>
      <c r="D127" t="n">
        <v/>
      </c>
      <c r="E127" t="n">
        <v/>
      </c>
      <c r="F127" t="n">
        <v/>
      </c>
      <c r="G127" t="n">
        <v/>
      </c>
      <c r="H127" t="n">
        <v>34.0552</v>
      </c>
      <c r="I127" t="n">
        <v/>
      </c>
      <c r="J127" t="n">
        <v/>
      </c>
      <c r="K127" t="n">
        <v/>
      </c>
    </row>
    <row r="128">
      <c r="A128" s="98" t="n">
        <v>10775</v>
      </c>
      <c r="B128" t="n">
        <v>7.9492</v>
      </c>
      <c r="C128" t="n">
        <v/>
      </c>
      <c r="D128" t="n">
        <v/>
      </c>
      <c r="E128" t="n">
        <v/>
      </c>
      <c r="F128" t="n">
        <v/>
      </c>
      <c r="G128" t="n">
        <v/>
      </c>
      <c r="H128" t="n">
        <v>34.9478</v>
      </c>
      <c r="I128" t="n">
        <v/>
      </c>
      <c r="J128" t="n">
        <v/>
      </c>
      <c r="K128" t="n">
        <v/>
      </c>
    </row>
    <row r="129">
      <c r="A129" s="98" t="n">
        <v>10806</v>
      </c>
      <c r="B129" t="n">
        <v>7.8683</v>
      </c>
      <c r="C129" t="n">
        <v/>
      </c>
      <c r="D129" t="n">
        <v/>
      </c>
      <c r="E129" t="n">
        <v/>
      </c>
      <c r="F129" t="n">
        <v/>
      </c>
      <c r="G129" t="n">
        <v/>
      </c>
      <c r="H129" t="n">
        <v>34.6731</v>
      </c>
      <c r="I129" t="n">
        <v/>
      </c>
      <c r="J129" t="n">
        <v/>
      </c>
      <c r="K129" t="n">
        <v/>
      </c>
    </row>
    <row r="130">
      <c r="A130" s="98" t="n">
        <v>10837</v>
      </c>
      <c r="B130" t="n">
        <v>7.8144</v>
      </c>
      <c r="C130" t="n">
        <v/>
      </c>
      <c r="D130" t="n">
        <v/>
      </c>
      <c r="E130" t="n">
        <v/>
      </c>
      <c r="F130" t="n">
        <v/>
      </c>
      <c r="G130" t="n">
        <v/>
      </c>
      <c r="H130" t="n">
        <v>35.291</v>
      </c>
      <c r="I130" t="n">
        <v/>
      </c>
      <c r="J130" t="n">
        <v/>
      </c>
      <c r="K130" t="n">
        <v/>
      </c>
    </row>
    <row r="131">
      <c r="A131" s="98" t="n">
        <v>10867</v>
      </c>
      <c r="B131" t="n">
        <v>7.6797</v>
      </c>
      <c r="C131" t="n">
        <v/>
      </c>
      <c r="D131" t="n">
        <v/>
      </c>
      <c r="E131" t="n">
        <v/>
      </c>
      <c r="F131" t="n">
        <v/>
      </c>
      <c r="G131" t="n">
        <v/>
      </c>
      <c r="H131" t="n">
        <v>34.3985</v>
      </c>
      <c r="I131" t="n">
        <v/>
      </c>
      <c r="J131" t="n">
        <v/>
      </c>
      <c r="K131" t="n">
        <v/>
      </c>
    </row>
    <row r="132">
      <c r="A132" s="98" t="n">
        <v>10898</v>
      </c>
      <c r="B132" t="n">
        <v>7.3025</v>
      </c>
      <c r="C132" t="n">
        <v/>
      </c>
      <c r="D132" t="n">
        <v/>
      </c>
      <c r="E132" t="n">
        <v/>
      </c>
      <c r="F132" t="n">
        <v/>
      </c>
      <c r="G132" t="n">
        <v/>
      </c>
      <c r="H132" t="n">
        <v>32.888</v>
      </c>
      <c r="I132" t="n">
        <v/>
      </c>
      <c r="J132" t="n">
        <v/>
      </c>
      <c r="K132" t="n">
        <v/>
      </c>
    </row>
    <row r="133">
      <c r="A133" s="98" t="n">
        <v>10928</v>
      </c>
      <c r="B133" t="n">
        <v>6.9791</v>
      </c>
      <c r="C133" t="n">
        <v/>
      </c>
      <c r="D133" t="n">
        <v/>
      </c>
      <c r="E133" t="n">
        <v/>
      </c>
      <c r="F133" t="n">
        <v/>
      </c>
      <c r="G133" t="n">
        <v/>
      </c>
      <c r="H133" t="n">
        <v>33.8492</v>
      </c>
      <c r="I133" t="n">
        <v/>
      </c>
      <c r="J133" t="n">
        <v/>
      </c>
      <c r="K133" t="n">
        <v/>
      </c>
    </row>
    <row r="134">
      <c r="A134" s="98" t="n">
        <v>10959</v>
      </c>
      <c r="B134" t="n">
        <v>6.9791</v>
      </c>
      <c r="C134" t="n">
        <v/>
      </c>
      <c r="D134" t="n">
        <v/>
      </c>
      <c r="E134" t="n">
        <v/>
      </c>
      <c r="F134" t="n">
        <v/>
      </c>
      <c r="G134" t="n">
        <v/>
      </c>
      <c r="H134" t="n">
        <v>32.888</v>
      </c>
      <c r="I134" t="n">
        <v/>
      </c>
      <c r="J134" t="n">
        <v/>
      </c>
      <c r="K134" t="n">
        <v/>
      </c>
    </row>
    <row r="135">
      <c r="A135" s="98" t="n">
        <v>10990</v>
      </c>
      <c r="B135" t="n">
        <v>6.9521</v>
      </c>
      <c r="C135" t="n">
        <v/>
      </c>
      <c r="D135" t="n">
        <v/>
      </c>
      <c r="E135" t="n">
        <v/>
      </c>
      <c r="F135" t="n">
        <v/>
      </c>
      <c r="G135" t="n">
        <v/>
      </c>
      <c r="H135" t="n">
        <v>31.9954</v>
      </c>
      <c r="I135" t="n">
        <v/>
      </c>
      <c r="J135" t="n">
        <v/>
      </c>
      <c r="K135" t="n">
        <v/>
      </c>
    </row>
    <row r="136">
      <c r="A136" s="98" t="n">
        <v>11018</v>
      </c>
      <c r="B136" t="n">
        <v>6.8444</v>
      </c>
      <c r="C136" t="n">
        <v/>
      </c>
      <c r="D136" t="n">
        <v/>
      </c>
      <c r="E136" t="n">
        <v/>
      </c>
      <c r="F136" t="n">
        <v/>
      </c>
      <c r="G136" t="n">
        <v/>
      </c>
      <c r="H136" t="n">
        <v>30.1416</v>
      </c>
      <c r="I136" t="n">
        <v/>
      </c>
      <c r="J136" t="n">
        <v/>
      </c>
      <c r="K136" t="n">
        <v/>
      </c>
    </row>
    <row r="137">
      <c r="A137" s="98" t="n">
        <v>11049</v>
      </c>
      <c r="B137" t="n">
        <v>6.7905</v>
      </c>
      <c r="C137" t="n">
        <v/>
      </c>
      <c r="D137" t="n">
        <v/>
      </c>
      <c r="E137" t="n">
        <v/>
      </c>
      <c r="F137" t="n">
        <v/>
      </c>
      <c r="G137" t="n">
        <v/>
      </c>
      <c r="H137" t="n">
        <v>30.7595</v>
      </c>
      <c r="I137" t="n">
        <v/>
      </c>
      <c r="J137" t="n">
        <v/>
      </c>
      <c r="K137" t="n">
        <v/>
      </c>
    </row>
    <row r="138">
      <c r="A138" s="98" t="n">
        <v>11079</v>
      </c>
      <c r="B138" t="n">
        <v>6.6827</v>
      </c>
      <c r="C138" t="n">
        <v/>
      </c>
      <c r="D138" t="n">
        <v/>
      </c>
      <c r="E138" t="n">
        <v/>
      </c>
      <c r="F138" t="n">
        <v/>
      </c>
      <c r="G138" t="n">
        <v/>
      </c>
      <c r="H138" t="n">
        <v>30.6222</v>
      </c>
      <c r="I138" t="n">
        <v/>
      </c>
      <c r="J138" t="n">
        <v/>
      </c>
      <c r="K138" t="n">
        <v/>
      </c>
    </row>
    <row r="139">
      <c r="A139" s="98" t="n">
        <v>11110</v>
      </c>
      <c r="B139" t="n">
        <v>6.4941</v>
      </c>
      <c r="C139" t="n">
        <v/>
      </c>
      <c r="D139" t="n">
        <v/>
      </c>
      <c r="E139" t="n">
        <v/>
      </c>
      <c r="F139" t="n">
        <v/>
      </c>
      <c r="G139" t="n">
        <v/>
      </c>
      <c r="H139" t="n">
        <v>30.4162</v>
      </c>
      <c r="I139" t="n">
        <v/>
      </c>
      <c r="J139" t="n">
        <v/>
      </c>
      <c r="K139" t="n">
        <v/>
      </c>
    </row>
    <row r="140">
      <c r="A140" s="98" t="n">
        <v>11140</v>
      </c>
      <c r="B140" t="n">
        <v>6.1977</v>
      </c>
      <c r="C140" t="n">
        <v/>
      </c>
      <c r="D140" t="n">
        <v/>
      </c>
      <c r="E140" t="n">
        <v/>
      </c>
      <c r="F140" t="n">
        <v/>
      </c>
      <c r="G140" t="n">
        <v/>
      </c>
      <c r="H140" t="n">
        <v>30.0043</v>
      </c>
      <c r="I140" t="n">
        <v/>
      </c>
      <c r="J140" t="n">
        <v/>
      </c>
      <c r="K140" t="n">
        <v/>
      </c>
    </row>
    <row r="141">
      <c r="A141" s="98" t="n">
        <v>11171</v>
      </c>
      <c r="B141" t="n">
        <v>6.0629</v>
      </c>
      <c r="C141" t="n">
        <v/>
      </c>
      <c r="D141" t="n">
        <v/>
      </c>
      <c r="E141" t="n">
        <v/>
      </c>
      <c r="F141" t="n">
        <v/>
      </c>
      <c r="G141" t="n">
        <v/>
      </c>
      <c r="H141" t="n">
        <v>29.1804</v>
      </c>
      <c r="I141" t="n">
        <v/>
      </c>
      <c r="J141" t="n">
        <v/>
      </c>
      <c r="K141" t="n">
        <v/>
      </c>
    </row>
    <row r="142">
      <c r="A142" s="98" t="n">
        <v>11202</v>
      </c>
      <c r="B142" t="n">
        <v>5.9551</v>
      </c>
      <c r="C142" t="n">
        <v/>
      </c>
      <c r="D142" t="n">
        <v/>
      </c>
      <c r="E142" t="n">
        <v/>
      </c>
      <c r="F142" t="n">
        <v/>
      </c>
      <c r="G142" t="n">
        <v/>
      </c>
      <c r="H142" t="n">
        <v>28.4938</v>
      </c>
      <c r="I142" t="n">
        <v/>
      </c>
      <c r="J142" t="n">
        <v/>
      </c>
      <c r="K142" t="n">
        <v/>
      </c>
    </row>
    <row r="143">
      <c r="A143" s="98" t="n">
        <v>11232</v>
      </c>
      <c r="B143" t="n">
        <v>5.7935</v>
      </c>
      <c r="C143" t="n">
        <v/>
      </c>
      <c r="D143" t="n">
        <v/>
      </c>
      <c r="E143" t="n">
        <v/>
      </c>
      <c r="F143" t="n">
        <v/>
      </c>
      <c r="G143" t="n">
        <v/>
      </c>
      <c r="H143" t="n">
        <v>28.3564</v>
      </c>
      <c r="I143" t="n">
        <v/>
      </c>
      <c r="J143" t="n">
        <v/>
      </c>
      <c r="K143" t="n">
        <v/>
      </c>
    </row>
    <row r="144">
      <c r="A144" s="98" t="n">
        <v>11263</v>
      </c>
      <c r="B144" t="n">
        <v>5.6587</v>
      </c>
      <c r="C144" t="n">
        <v/>
      </c>
      <c r="D144" t="n">
        <v/>
      </c>
      <c r="E144" t="n">
        <v/>
      </c>
      <c r="F144" t="n">
        <v/>
      </c>
      <c r="G144" t="n">
        <v/>
      </c>
      <c r="H144" t="n">
        <v>27.9445</v>
      </c>
      <c r="I144" t="n">
        <v/>
      </c>
      <c r="J144" t="n">
        <v/>
      </c>
      <c r="K144" t="n">
        <v/>
      </c>
    </row>
    <row r="145">
      <c r="A145" s="98" t="n">
        <v>11293</v>
      </c>
      <c r="B145" t="n">
        <v>5.524</v>
      </c>
      <c r="C145" t="n">
        <v/>
      </c>
      <c r="D145" t="n">
        <v/>
      </c>
      <c r="E145" t="n">
        <v/>
      </c>
      <c r="F145" t="n">
        <v/>
      </c>
      <c r="G145" t="n">
        <v/>
      </c>
      <c r="H145" t="n">
        <v>27.2579</v>
      </c>
      <c r="I145" t="n">
        <v/>
      </c>
      <c r="J145" t="n">
        <v/>
      </c>
      <c r="K145" t="n">
        <v/>
      </c>
    </row>
    <row r="146">
      <c r="A146" s="98" t="n">
        <v>11324</v>
      </c>
      <c r="B146" t="n">
        <v>5.497</v>
      </c>
      <c r="C146" t="n">
        <v/>
      </c>
      <c r="D146" t="n">
        <v/>
      </c>
      <c r="E146" t="n">
        <v/>
      </c>
      <c r="F146" t="n">
        <v/>
      </c>
      <c r="G146" t="n">
        <v/>
      </c>
      <c r="H146" t="n">
        <v>26.2966</v>
      </c>
      <c r="I146" t="n">
        <v/>
      </c>
      <c r="J146" t="n">
        <v/>
      </c>
      <c r="K146" t="n">
        <v/>
      </c>
    </row>
    <row r="147">
      <c r="A147" s="98" t="n">
        <v>11355</v>
      </c>
      <c r="B147" t="n">
        <v>5.524</v>
      </c>
      <c r="C147" t="n">
        <v/>
      </c>
      <c r="D147" t="n">
        <v/>
      </c>
      <c r="E147" t="n">
        <v/>
      </c>
      <c r="F147" t="n">
        <v/>
      </c>
      <c r="G147" t="n">
        <v/>
      </c>
      <c r="H147" t="n">
        <v>25.5414</v>
      </c>
      <c r="I147" t="n">
        <v/>
      </c>
      <c r="J147" t="n">
        <v/>
      </c>
      <c r="K147" t="n">
        <v/>
      </c>
    </row>
    <row r="148">
      <c r="A148" s="98" t="n">
        <v>11383</v>
      </c>
      <c r="B148" t="n">
        <v>5.6318</v>
      </c>
      <c r="C148" t="n">
        <v/>
      </c>
      <c r="D148" t="n">
        <v/>
      </c>
      <c r="E148" t="n">
        <v/>
      </c>
      <c r="F148" t="n">
        <v/>
      </c>
      <c r="G148" t="n">
        <v/>
      </c>
      <c r="H148" t="n">
        <v>26.5026</v>
      </c>
      <c r="I148" t="n">
        <v/>
      </c>
      <c r="J148" t="n">
        <v/>
      </c>
      <c r="K148" t="n">
        <v/>
      </c>
    </row>
    <row r="149">
      <c r="A149" s="98" t="n">
        <v>11414</v>
      </c>
      <c r="B149" t="n">
        <v>5.6587</v>
      </c>
      <c r="C149" t="n">
        <v/>
      </c>
      <c r="D149" t="n">
        <v/>
      </c>
      <c r="E149" t="n">
        <v/>
      </c>
      <c r="F149" t="n">
        <v/>
      </c>
      <c r="G149" t="n">
        <v/>
      </c>
      <c r="H149" t="n">
        <v>26.7086</v>
      </c>
      <c r="I149" t="n">
        <v/>
      </c>
      <c r="J149" t="n">
        <v/>
      </c>
      <c r="K149" t="n">
        <v/>
      </c>
    </row>
    <row r="150">
      <c r="A150" s="98" t="n">
        <v>11444</v>
      </c>
      <c r="B150" t="n">
        <v>5.5779</v>
      </c>
      <c r="C150" t="n">
        <v/>
      </c>
      <c r="D150" t="n">
        <v/>
      </c>
      <c r="E150" t="n">
        <v/>
      </c>
      <c r="F150" t="n">
        <v/>
      </c>
      <c r="G150" t="n">
        <v/>
      </c>
      <c r="H150" t="n">
        <v>26.1593</v>
      </c>
      <c r="I150" t="n">
        <v/>
      </c>
      <c r="J150" t="n">
        <v/>
      </c>
      <c r="K150" t="n">
        <v/>
      </c>
    </row>
    <row r="151">
      <c r="A151" s="98" t="n">
        <v>11475</v>
      </c>
      <c r="B151" t="n">
        <v>5.4432</v>
      </c>
      <c r="C151" t="n">
        <v/>
      </c>
      <c r="D151" t="n">
        <v/>
      </c>
      <c r="E151" t="n">
        <v/>
      </c>
      <c r="F151" t="n">
        <v/>
      </c>
      <c r="G151" t="n">
        <v/>
      </c>
      <c r="H151" t="n">
        <v>26.434</v>
      </c>
      <c r="I151" t="n">
        <v/>
      </c>
      <c r="J151" t="n">
        <v/>
      </c>
      <c r="K151" t="n">
        <v/>
      </c>
    </row>
    <row r="152">
      <c r="A152" s="98" t="n">
        <v>11505</v>
      </c>
      <c r="B152" t="n">
        <v>5.3623</v>
      </c>
      <c r="C152" t="n">
        <v/>
      </c>
      <c r="D152" t="n">
        <v/>
      </c>
      <c r="E152" t="n">
        <v/>
      </c>
      <c r="F152" t="n">
        <v/>
      </c>
      <c r="G152" t="n">
        <v/>
      </c>
      <c r="H152" t="n">
        <v>26.2966</v>
      </c>
      <c r="I152" t="n">
        <v/>
      </c>
      <c r="J152" t="n">
        <v/>
      </c>
      <c r="K152" t="n">
        <v/>
      </c>
    </row>
    <row r="153">
      <c r="A153" s="98" t="n">
        <v>11536</v>
      </c>
      <c r="B153" t="n">
        <v>5.1737</v>
      </c>
      <c r="C153" t="n">
        <v/>
      </c>
      <c r="D153" t="n">
        <v/>
      </c>
      <c r="E153" t="n">
        <v/>
      </c>
      <c r="F153" t="n">
        <v/>
      </c>
      <c r="G153" t="n">
        <v/>
      </c>
      <c r="H153" t="n">
        <v>24.4428</v>
      </c>
      <c r="I153" t="n">
        <v/>
      </c>
      <c r="J153" t="n">
        <v/>
      </c>
      <c r="K153" t="n">
        <v/>
      </c>
    </row>
    <row r="154">
      <c r="A154" s="98" t="n">
        <v>11567</v>
      </c>
      <c r="B154" t="n">
        <v>4.9312</v>
      </c>
      <c r="C154" t="n">
        <v/>
      </c>
      <c r="D154" t="n">
        <v/>
      </c>
      <c r="E154" t="n">
        <v/>
      </c>
      <c r="F154" t="n">
        <v/>
      </c>
      <c r="G154" t="n">
        <v/>
      </c>
      <c r="H154" t="n">
        <v>23.8936</v>
      </c>
      <c r="I154" t="n">
        <v/>
      </c>
      <c r="J154" t="n">
        <v/>
      </c>
      <c r="K154" t="n">
        <v/>
      </c>
    </row>
    <row r="155">
      <c r="A155" s="98" t="n">
        <v>11597</v>
      </c>
      <c r="B155" t="n">
        <v>4.7426</v>
      </c>
      <c r="C155" t="n">
        <v/>
      </c>
      <c r="D155" t="n">
        <v/>
      </c>
      <c r="E155" t="n">
        <v/>
      </c>
      <c r="F155" t="n">
        <v/>
      </c>
      <c r="G155" t="n">
        <v/>
      </c>
      <c r="H155" t="n">
        <v>25.0608</v>
      </c>
      <c r="I155" t="n">
        <v/>
      </c>
      <c r="J155" t="n">
        <v/>
      </c>
      <c r="K155" t="n">
        <v/>
      </c>
    </row>
    <row r="156">
      <c r="A156" s="98" t="n">
        <v>11628</v>
      </c>
      <c r="B156" t="n">
        <v>4.6887</v>
      </c>
      <c r="C156" t="n">
        <v/>
      </c>
      <c r="D156" t="n">
        <v/>
      </c>
      <c r="E156" t="n">
        <v/>
      </c>
      <c r="F156" t="n">
        <v/>
      </c>
      <c r="G156" t="n">
        <v/>
      </c>
      <c r="H156" t="n">
        <v>25.1981</v>
      </c>
      <c r="I156" t="n">
        <v/>
      </c>
      <c r="J156" t="n">
        <v/>
      </c>
      <c r="K156" t="n">
        <v/>
      </c>
    </row>
    <row r="157">
      <c r="A157" s="98" t="n">
        <v>11658</v>
      </c>
      <c r="B157" t="n">
        <v>4.6617</v>
      </c>
      <c r="C157" t="n">
        <v/>
      </c>
      <c r="D157" t="n">
        <v/>
      </c>
      <c r="E157" t="n">
        <v/>
      </c>
      <c r="F157" t="n">
        <v/>
      </c>
      <c r="G157" t="n">
        <v/>
      </c>
      <c r="H157" t="n">
        <v>24.7861</v>
      </c>
      <c r="I157" t="n">
        <v/>
      </c>
      <c r="J157" t="n">
        <v/>
      </c>
      <c r="K157" t="n">
        <v/>
      </c>
    </row>
    <row r="158">
      <c r="A158" s="98" t="n">
        <v>11689</v>
      </c>
      <c r="B158" t="n">
        <v>4.527</v>
      </c>
      <c r="C158" t="n">
        <v/>
      </c>
      <c r="D158" t="n">
        <v/>
      </c>
      <c r="E158" t="n">
        <v/>
      </c>
      <c r="F158" t="n">
        <v/>
      </c>
      <c r="G158" t="n">
        <v/>
      </c>
      <c r="H158" t="n">
        <v>22.4517</v>
      </c>
      <c r="I158" t="n">
        <v/>
      </c>
      <c r="J158" t="n">
        <v/>
      </c>
      <c r="K158" t="n">
        <v/>
      </c>
    </row>
    <row r="159">
      <c r="A159" s="98" t="n">
        <v>11720</v>
      </c>
      <c r="B159" t="n">
        <v>4.4192</v>
      </c>
      <c r="C159" t="n">
        <v/>
      </c>
      <c r="D159" t="n">
        <v/>
      </c>
      <c r="E159" t="n">
        <v/>
      </c>
      <c r="F159" t="n">
        <v/>
      </c>
      <c r="G159" t="n">
        <v/>
      </c>
      <c r="H159" t="n">
        <v>22.1771</v>
      </c>
      <c r="I159" t="n">
        <v/>
      </c>
      <c r="J159" t="n">
        <v/>
      </c>
      <c r="K159" t="n">
        <v/>
      </c>
    </row>
    <row r="160">
      <c r="A160" s="98" t="n">
        <v>11749</v>
      </c>
      <c r="B160" t="n">
        <v>4.3653</v>
      </c>
      <c r="C160" t="n">
        <v/>
      </c>
      <c r="D160" t="n">
        <v/>
      </c>
      <c r="E160" t="n">
        <v/>
      </c>
      <c r="F160" t="n">
        <v/>
      </c>
      <c r="G160" t="n">
        <v/>
      </c>
      <c r="H160" t="n">
        <v>23.5503</v>
      </c>
      <c r="I160" t="n">
        <v/>
      </c>
      <c r="J160" t="n">
        <v/>
      </c>
      <c r="K160" t="n">
        <v/>
      </c>
    </row>
    <row r="161">
      <c r="A161" s="98" t="n">
        <v>11780</v>
      </c>
      <c r="B161" t="n">
        <v>4.0689</v>
      </c>
      <c r="C161" t="n">
        <v/>
      </c>
      <c r="D161" t="n">
        <v/>
      </c>
      <c r="E161" t="n">
        <v/>
      </c>
      <c r="F161" t="n">
        <v/>
      </c>
      <c r="G161" t="n">
        <v/>
      </c>
      <c r="H161" t="n">
        <v>22.0397</v>
      </c>
      <c r="I161" t="n">
        <v/>
      </c>
      <c r="J161" t="n">
        <v/>
      </c>
      <c r="K161" t="n">
        <v/>
      </c>
    </row>
    <row r="162">
      <c r="A162" s="98" t="n">
        <v>11810</v>
      </c>
      <c r="B162" t="n">
        <v>3.9342</v>
      </c>
      <c r="C162" t="n">
        <v/>
      </c>
      <c r="D162" t="n">
        <v/>
      </c>
      <c r="E162" t="n">
        <v/>
      </c>
      <c r="F162" t="n">
        <v/>
      </c>
      <c r="G162" t="n">
        <v/>
      </c>
      <c r="H162" t="n">
        <v>20.1859</v>
      </c>
      <c r="I162" t="n">
        <v/>
      </c>
      <c r="J162" t="n">
        <v/>
      </c>
      <c r="K162" t="n">
        <v/>
      </c>
    </row>
    <row r="163">
      <c r="A163" s="98" t="n">
        <v>11841</v>
      </c>
      <c r="B163" t="n">
        <v>3.7994</v>
      </c>
      <c r="C163" t="n">
        <v/>
      </c>
      <c r="D163" t="n">
        <v/>
      </c>
      <c r="E163" t="n">
        <v/>
      </c>
      <c r="F163" t="n">
        <v/>
      </c>
      <c r="G163" t="n">
        <v/>
      </c>
      <c r="H163" t="n">
        <v>19.2247</v>
      </c>
      <c r="I163" t="n">
        <v/>
      </c>
      <c r="J163" t="n">
        <v/>
      </c>
      <c r="K163" t="n">
        <v/>
      </c>
    </row>
    <row r="164">
      <c r="A164" s="98" t="n">
        <v>11871</v>
      </c>
      <c r="B164" t="n">
        <v>3.6916</v>
      </c>
      <c r="C164" t="n">
        <v/>
      </c>
      <c r="D164" t="n">
        <v/>
      </c>
      <c r="E164" t="n">
        <v/>
      </c>
      <c r="F164" t="n">
        <v/>
      </c>
      <c r="G164" t="n">
        <v/>
      </c>
      <c r="H164" t="n">
        <v>19.6367</v>
      </c>
      <c r="I164" t="n">
        <v/>
      </c>
      <c r="J164" t="n">
        <v/>
      </c>
      <c r="K164" t="n">
        <v/>
      </c>
    </row>
    <row r="165">
      <c r="A165" s="98" t="n">
        <v>11902</v>
      </c>
      <c r="B165" t="n">
        <v>3.7994</v>
      </c>
      <c r="C165" t="n">
        <v/>
      </c>
      <c r="D165" t="n">
        <v/>
      </c>
      <c r="E165" t="n">
        <v/>
      </c>
      <c r="F165" t="n">
        <v/>
      </c>
      <c r="G165" t="n">
        <v/>
      </c>
      <c r="H165" t="n">
        <v>20.2546</v>
      </c>
      <c r="I165" t="n">
        <v/>
      </c>
      <c r="J165" t="n">
        <v/>
      </c>
      <c r="K165" t="n">
        <v/>
      </c>
    </row>
    <row r="166">
      <c r="A166" s="98" t="n">
        <v>11933</v>
      </c>
      <c r="B166" t="n">
        <v>4.0419</v>
      </c>
      <c r="C166" t="n">
        <v/>
      </c>
      <c r="D166" t="n">
        <v/>
      </c>
      <c r="E166" t="n">
        <v/>
      </c>
      <c r="F166" t="n">
        <v/>
      </c>
      <c r="G166" t="n">
        <v/>
      </c>
      <c r="H166" t="n">
        <v>21.4218</v>
      </c>
      <c r="I166" t="n">
        <v/>
      </c>
      <c r="J166" t="n">
        <v/>
      </c>
      <c r="K166" t="n">
        <v/>
      </c>
    </row>
    <row r="167">
      <c r="A167" s="98" t="n">
        <v>11963</v>
      </c>
      <c r="B167" t="n">
        <v>4.1767</v>
      </c>
      <c r="C167" t="n">
        <v/>
      </c>
      <c r="D167" t="n">
        <v/>
      </c>
      <c r="E167" t="n">
        <v/>
      </c>
      <c r="F167" t="n">
        <v/>
      </c>
      <c r="G167" t="n">
        <v/>
      </c>
      <c r="H167" t="n">
        <v>21.9711</v>
      </c>
      <c r="I167" t="n">
        <v/>
      </c>
      <c r="J167" t="n">
        <v/>
      </c>
      <c r="K167" t="n">
        <v/>
      </c>
    </row>
    <row r="168">
      <c r="A168" s="98" t="n">
        <v>11994</v>
      </c>
      <c r="B168" t="n">
        <v>4.1767</v>
      </c>
      <c r="C168" t="n">
        <v/>
      </c>
      <c r="D168" t="n">
        <v/>
      </c>
      <c r="E168" t="n">
        <v/>
      </c>
      <c r="F168" t="n">
        <v/>
      </c>
      <c r="G168" t="n">
        <v/>
      </c>
      <c r="H168" t="n">
        <v>22.1084</v>
      </c>
      <c r="I168" t="n">
        <v/>
      </c>
      <c r="J168" t="n">
        <v/>
      </c>
      <c r="K168" t="n">
        <v/>
      </c>
    </row>
    <row r="169">
      <c r="A169" s="98" t="n">
        <v>12024</v>
      </c>
      <c r="B169" t="n">
        <v>4.0958</v>
      </c>
      <c r="C169" t="n">
        <v/>
      </c>
      <c r="D169" t="n">
        <v/>
      </c>
      <c r="E169" t="n">
        <v/>
      </c>
      <c r="F169" t="n">
        <v/>
      </c>
      <c r="G169" t="n">
        <v/>
      </c>
      <c r="H169" t="n">
        <v>20.9412</v>
      </c>
      <c r="I169" t="n">
        <v/>
      </c>
      <c r="J169" t="n">
        <v/>
      </c>
      <c r="K169" t="n">
        <v/>
      </c>
    </row>
    <row r="170">
      <c r="A170" s="98" t="n">
        <v>12055</v>
      </c>
      <c r="B170" t="n">
        <v>4.015</v>
      </c>
      <c r="C170" t="n">
        <v/>
      </c>
      <c r="D170" t="n">
        <v/>
      </c>
      <c r="E170" t="n">
        <v/>
      </c>
      <c r="F170" t="n">
        <v/>
      </c>
      <c r="G170" t="n">
        <v/>
      </c>
      <c r="H170" t="n">
        <v>21.0785</v>
      </c>
      <c r="I170" t="n">
        <v/>
      </c>
      <c r="J170" t="n">
        <v/>
      </c>
      <c r="K170" t="n">
        <v/>
      </c>
    </row>
    <row r="171">
      <c r="A171" s="98" t="n">
        <v>12086</v>
      </c>
      <c r="B171" t="n">
        <v>4.0419</v>
      </c>
      <c r="C171" t="n">
        <v/>
      </c>
      <c r="D171" t="n">
        <v/>
      </c>
      <c r="E171" t="n">
        <v/>
      </c>
      <c r="F171" t="n">
        <v/>
      </c>
      <c r="G171" t="n">
        <v/>
      </c>
      <c r="H171" t="n">
        <v>22.1084</v>
      </c>
      <c r="I171" t="n">
        <v/>
      </c>
      <c r="J171" t="n">
        <v/>
      </c>
      <c r="K171" t="n">
        <v/>
      </c>
    </row>
    <row r="172">
      <c r="A172" s="98" t="n">
        <v>12114</v>
      </c>
      <c r="B172" t="n">
        <v>3.7994</v>
      </c>
      <c r="C172" t="n">
        <v/>
      </c>
      <c r="D172" t="n">
        <v/>
      </c>
      <c r="E172" t="n">
        <v/>
      </c>
      <c r="F172" t="n">
        <v/>
      </c>
      <c r="G172" t="n">
        <v/>
      </c>
      <c r="H172" t="n">
        <v>22.795</v>
      </c>
      <c r="I172" t="n">
        <v/>
      </c>
      <c r="J172" t="n">
        <v/>
      </c>
      <c r="K172" t="n">
        <v/>
      </c>
    </row>
    <row r="173">
      <c r="A173" s="98" t="n">
        <v>12145</v>
      </c>
      <c r="B173" t="n">
        <v>4.0689</v>
      </c>
      <c r="C173" t="n">
        <v/>
      </c>
      <c r="D173" t="n">
        <v/>
      </c>
      <c r="E173" t="n">
        <v/>
      </c>
      <c r="F173" t="n">
        <v/>
      </c>
      <c r="G173" t="n">
        <v/>
      </c>
      <c r="H173" t="n">
        <v>20.8039</v>
      </c>
      <c r="I173" t="n">
        <v/>
      </c>
      <c r="J173" t="n">
        <v/>
      </c>
      <c r="K173" t="n">
        <v/>
      </c>
    </row>
    <row r="174">
      <c r="A174" s="98" t="n">
        <v>12175</v>
      </c>
      <c r="B174" t="n">
        <v>4.7426</v>
      </c>
      <c r="C174" t="n">
        <v/>
      </c>
      <c r="D174" t="n">
        <v/>
      </c>
      <c r="E174" t="n">
        <v/>
      </c>
      <c r="F174" t="n">
        <v/>
      </c>
      <c r="G174" t="n">
        <v/>
      </c>
      <c r="H174" t="n">
        <v>24.2368</v>
      </c>
      <c r="I174" t="n">
        <v/>
      </c>
      <c r="J174" t="n">
        <v/>
      </c>
      <c r="K174" t="n">
        <v/>
      </c>
    </row>
    <row r="175">
      <c r="A175" s="98" t="n">
        <v>12206</v>
      </c>
      <c r="B175" t="n">
        <v>5.4701</v>
      </c>
      <c r="C175" t="n">
        <v/>
      </c>
      <c r="D175" t="n">
        <v/>
      </c>
      <c r="E175" t="n">
        <v/>
      </c>
      <c r="F175" t="n">
        <v/>
      </c>
      <c r="G175" t="n">
        <v/>
      </c>
      <c r="H175" t="n">
        <v>25.5414</v>
      </c>
      <c r="I175" t="n">
        <v/>
      </c>
      <c r="J175" t="n">
        <v/>
      </c>
      <c r="K175" t="n">
        <v/>
      </c>
    </row>
    <row r="176">
      <c r="A176" s="98" t="n">
        <v>12236</v>
      </c>
      <c r="B176" t="n">
        <v>5.9821</v>
      </c>
      <c r="C176" t="n">
        <v/>
      </c>
      <c r="D176" t="n">
        <v/>
      </c>
      <c r="E176" t="n">
        <v/>
      </c>
      <c r="F176" t="n">
        <v/>
      </c>
      <c r="G176" t="n">
        <v/>
      </c>
      <c r="H176" t="n">
        <v>26.7086</v>
      </c>
      <c r="I176" t="n">
        <v/>
      </c>
      <c r="J176" t="n">
        <v/>
      </c>
      <c r="K176" t="n">
        <v/>
      </c>
    </row>
    <row r="177">
      <c r="A177" s="98" t="n">
        <v>12267</v>
      </c>
      <c r="B177" t="n">
        <v>5.7396</v>
      </c>
      <c r="C177" t="n">
        <v/>
      </c>
      <c r="D177" t="n">
        <v/>
      </c>
      <c r="E177" t="n">
        <v/>
      </c>
      <c r="F177" t="n">
        <v/>
      </c>
      <c r="G177" t="n">
        <v/>
      </c>
      <c r="H177" t="n">
        <v>27.8072</v>
      </c>
      <c r="I177" t="n">
        <v/>
      </c>
      <c r="J177" t="n">
        <v/>
      </c>
      <c r="K177" t="n">
        <v/>
      </c>
    </row>
    <row r="178">
      <c r="A178" s="98" t="n">
        <v>12298</v>
      </c>
      <c r="B178" t="n">
        <v>5.4162</v>
      </c>
      <c r="C178" t="n">
        <v/>
      </c>
      <c r="D178" t="n">
        <v/>
      </c>
      <c r="E178" t="n">
        <v/>
      </c>
      <c r="F178" t="n">
        <v/>
      </c>
      <c r="G178" t="n">
        <v/>
      </c>
      <c r="H178" t="n">
        <v>26.022</v>
      </c>
      <c r="I178" t="n">
        <v/>
      </c>
      <c r="J178" t="n">
        <v/>
      </c>
      <c r="K178" t="n">
        <v/>
      </c>
    </row>
    <row r="179">
      <c r="A179" s="98" t="n">
        <v>12328</v>
      </c>
      <c r="B179" t="n">
        <v>5.1467</v>
      </c>
      <c r="C179" t="n">
        <v/>
      </c>
      <c r="D179" t="n">
        <v/>
      </c>
      <c r="E179" t="n">
        <v/>
      </c>
      <c r="F179" t="n">
        <v/>
      </c>
      <c r="G179" t="n">
        <v/>
      </c>
      <c r="H179" t="n">
        <v>24.5115</v>
      </c>
      <c r="I179" t="n">
        <v/>
      </c>
      <c r="J179" t="n">
        <v/>
      </c>
      <c r="K179" t="n">
        <v/>
      </c>
    </row>
    <row r="180">
      <c r="A180" s="98" t="n">
        <v>12359</v>
      </c>
      <c r="B180" t="n">
        <v>4.8503</v>
      </c>
      <c r="C180" t="n">
        <v/>
      </c>
      <c r="D180" t="n">
        <v/>
      </c>
      <c r="E180" t="n">
        <v/>
      </c>
      <c r="F180" t="n">
        <v/>
      </c>
      <c r="G180" t="n">
        <v/>
      </c>
      <c r="H180" t="n">
        <v>24.5115</v>
      </c>
      <c r="I180" t="n">
        <v/>
      </c>
      <c r="J180" t="n">
        <v/>
      </c>
      <c r="K180" t="n">
        <v/>
      </c>
    </row>
    <row r="181">
      <c r="A181" s="98" t="n">
        <v>12389</v>
      </c>
      <c r="B181" t="n">
        <v>4.8773</v>
      </c>
      <c r="C181" t="n">
        <v/>
      </c>
      <c r="D181" t="n">
        <v/>
      </c>
      <c r="E181" t="n">
        <v/>
      </c>
      <c r="F181" t="n">
        <v/>
      </c>
      <c r="G181" t="n">
        <v/>
      </c>
      <c r="H181" t="n">
        <v>24.4428</v>
      </c>
      <c r="I181" t="n">
        <v/>
      </c>
      <c r="J181" t="n">
        <v/>
      </c>
      <c r="K181" t="n">
        <v/>
      </c>
    </row>
    <row r="182">
      <c r="A182" s="98" t="n">
        <v>12420</v>
      </c>
      <c r="B182" t="n">
        <v>5.039</v>
      </c>
      <c r="C182" t="n">
        <v/>
      </c>
      <c r="D182" t="n">
        <v/>
      </c>
      <c r="E182" t="n">
        <v/>
      </c>
      <c r="F182" t="n">
        <v/>
      </c>
      <c r="G182" t="n">
        <v/>
      </c>
      <c r="H182" t="n">
        <v>25.0608</v>
      </c>
      <c r="I182" t="n">
        <v/>
      </c>
      <c r="J182" t="n">
        <v/>
      </c>
      <c r="K182" t="n">
        <v/>
      </c>
    </row>
    <row r="183">
      <c r="A183" s="98" t="n">
        <v>12451</v>
      </c>
      <c r="B183" t="n">
        <v>5.2815</v>
      </c>
      <c r="C183" t="n">
        <v/>
      </c>
      <c r="D183" t="n">
        <v/>
      </c>
      <c r="E183" t="n">
        <v/>
      </c>
      <c r="F183" t="n">
        <v/>
      </c>
      <c r="G183" t="n">
        <v/>
      </c>
      <c r="H183" t="n">
        <v>25.4727</v>
      </c>
      <c r="I183" t="n">
        <v/>
      </c>
      <c r="J183" t="n">
        <v/>
      </c>
      <c r="K183" t="n">
        <v/>
      </c>
    </row>
    <row r="184">
      <c r="A184" s="98" t="n">
        <v>12479</v>
      </c>
      <c r="B184" t="n">
        <v>5.524</v>
      </c>
      <c r="C184" t="n">
        <v/>
      </c>
      <c r="D184" t="n">
        <v/>
      </c>
      <c r="E184" t="n">
        <v/>
      </c>
      <c r="F184" t="n">
        <v/>
      </c>
      <c r="G184" t="n">
        <v/>
      </c>
      <c r="H184" t="n">
        <v>27.3265</v>
      </c>
      <c r="I184" t="n">
        <v/>
      </c>
      <c r="J184" t="n">
        <v/>
      </c>
      <c r="K184" t="n">
        <v/>
      </c>
    </row>
    <row r="185">
      <c r="A185" s="98" t="n">
        <v>12510</v>
      </c>
      <c r="B185" t="n">
        <v>5.524</v>
      </c>
      <c r="C185" t="n">
        <v/>
      </c>
      <c r="D185" t="n">
        <v/>
      </c>
      <c r="E185" t="n">
        <v/>
      </c>
      <c r="F185" t="n">
        <v/>
      </c>
      <c r="G185" t="n">
        <v/>
      </c>
      <c r="H185" t="n">
        <v>25.6787</v>
      </c>
      <c r="I185" t="n">
        <v/>
      </c>
      <c r="J185" t="n">
        <v/>
      </c>
      <c r="K185" t="n">
        <v/>
      </c>
    </row>
    <row r="186">
      <c r="A186" s="98" t="n">
        <v>12540</v>
      </c>
      <c r="B186" t="n">
        <v>5.6318</v>
      </c>
      <c r="C186" t="n">
        <v/>
      </c>
      <c r="D186" t="n">
        <v/>
      </c>
      <c r="E186" t="n">
        <v/>
      </c>
      <c r="F186" t="n">
        <v/>
      </c>
      <c r="G186" t="n">
        <v/>
      </c>
      <c r="H186" t="n">
        <v>25.9533</v>
      </c>
      <c r="I186" t="n">
        <v/>
      </c>
      <c r="J186" t="n">
        <v/>
      </c>
      <c r="K186" t="n">
        <v/>
      </c>
    </row>
    <row r="187">
      <c r="A187" s="98" t="n">
        <v>12571</v>
      </c>
      <c r="B187" t="n">
        <v>5.524</v>
      </c>
      <c r="C187" t="n">
        <v/>
      </c>
      <c r="D187" t="n">
        <v/>
      </c>
      <c r="E187" t="n">
        <v/>
      </c>
      <c r="F187" t="n">
        <v/>
      </c>
      <c r="G187" t="n">
        <v/>
      </c>
      <c r="H187" t="n">
        <v>25.7474</v>
      </c>
      <c r="I187" t="n">
        <v/>
      </c>
      <c r="J187" t="n">
        <v/>
      </c>
      <c r="K187" t="n">
        <v/>
      </c>
    </row>
    <row r="188">
      <c r="A188" s="98" t="n">
        <v>12601</v>
      </c>
      <c r="B188" t="n">
        <v>5.1467</v>
      </c>
      <c r="C188" t="n">
        <v/>
      </c>
      <c r="D188" t="n">
        <v/>
      </c>
      <c r="E188" t="n">
        <v/>
      </c>
      <c r="F188" t="n">
        <v/>
      </c>
      <c r="G188" t="n">
        <v/>
      </c>
      <c r="H188" t="n">
        <v>25.4727</v>
      </c>
      <c r="I188" t="n">
        <v/>
      </c>
      <c r="J188" t="n">
        <v/>
      </c>
      <c r="K188" t="n">
        <v/>
      </c>
    </row>
    <row r="189">
      <c r="A189" s="98" t="n">
        <v>12632</v>
      </c>
      <c r="B189" t="n">
        <v>5.0929</v>
      </c>
      <c r="C189" t="n">
        <v/>
      </c>
      <c r="D189" t="n">
        <v/>
      </c>
      <c r="E189" t="n">
        <v/>
      </c>
      <c r="F189" t="n">
        <v/>
      </c>
      <c r="G189" t="n">
        <v/>
      </c>
      <c r="H189" t="n">
        <v>25.1294</v>
      </c>
      <c r="I189" t="n">
        <v/>
      </c>
      <c r="J189" t="n">
        <v/>
      </c>
      <c r="K189" t="n">
        <v/>
      </c>
    </row>
    <row r="190">
      <c r="A190" s="98" t="n">
        <v>12663</v>
      </c>
      <c r="B190" t="n">
        <v>4.7964</v>
      </c>
      <c r="C190" t="n">
        <v/>
      </c>
      <c r="D190" t="n">
        <v/>
      </c>
      <c r="E190" t="n">
        <v/>
      </c>
      <c r="F190" t="n">
        <v/>
      </c>
      <c r="G190" t="n">
        <v/>
      </c>
      <c r="H190" t="n">
        <v>25.1981</v>
      </c>
      <c r="I190" t="n">
        <v/>
      </c>
      <c r="J190" t="n">
        <v/>
      </c>
      <c r="K190" t="n">
        <v/>
      </c>
    </row>
    <row r="191">
      <c r="A191" s="98" t="n">
        <v>12693</v>
      </c>
      <c r="B191" t="n">
        <v>5.012</v>
      </c>
      <c r="C191" t="n">
        <v/>
      </c>
      <c r="D191" t="n">
        <v/>
      </c>
      <c r="E191" t="n">
        <v/>
      </c>
      <c r="F191" t="n">
        <v/>
      </c>
      <c r="G191" t="n">
        <v/>
      </c>
      <c r="H191" t="n">
        <v>24.7861</v>
      </c>
      <c r="I191" t="n">
        <v/>
      </c>
      <c r="J191" t="n">
        <v/>
      </c>
      <c r="K191" t="n">
        <v/>
      </c>
    </row>
    <row r="192">
      <c r="A192" s="98" t="n">
        <v>12724</v>
      </c>
      <c r="B192" t="n">
        <v>5.0659</v>
      </c>
      <c r="C192" t="n">
        <v/>
      </c>
      <c r="D192" t="n">
        <v/>
      </c>
      <c r="E192" t="n">
        <v/>
      </c>
      <c r="F192" t="n">
        <v/>
      </c>
      <c r="G192" t="n">
        <v/>
      </c>
      <c r="H192" t="n">
        <v>24.9235</v>
      </c>
      <c r="I192" t="n">
        <v/>
      </c>
      <c r="J192" t="n">
        <v/>
      </c>
      <c r="K192" t="n">
        <v/>
      </c>
    </row>
    <row r="193">
      <c r="A193" s="98" t="n">
        <v>12754</v>
      </c>
      <c r="B193" t="n">
        <v>5.3893</v>
      </c>
      <c r="C193" t="n">
        <v/>
      </c>
      <c r="D193" t="n">
        <v/>
      </c>
      <c r="E193" t="n">
        <v/>
      </c>
      <c r="F193" t="n">
        <v/>
      </c>
      <c r="G193" t="n">
        <v/>
      </c>
      <c r="H193" t="n">
        <v>25.6787</v>
      </c>
      <c r="I193" t="n">
        <v/>
      </c>
      <c r="J193" t="n">
        <v/>
      </c>
      <c r="K193" t="n">
        <v/>
      </c>
    </row>
    <row r="194">
      <c r="A194" s="98" t="n">
        <v>12785</v>
      </c>
      <c r="B194" t="n">
        <v>5.8204</v>
      </c>
      <c r="C194" t="n">
        <v/>
      </c>
      <c r="D194" t="n">
        <v/>
      </c>
      <c r="E194" t="n">
        <v/>
      </c>
      <c r="F194" t="n">
        <v/>
      </c>
      <c r="G194" t="n">
        <v/>
      </c>
      <c r="H194" t="n">
        <v>26.9832</v>
      </c>
      <c r="I194" t="n">
        <v/>
      </c>
      <c r="J194" t="n">
        <v/>
      </c>
      <c r="K194" t="n">
        <v/>
      </c>
    </row>
    <row r="195">
      <c r="A195" s="98" t="n">
        <v>12816</v>
      </c>
      <c r="B195" t="n">
        <v>5.9282</v>
      </c>
      <c r="C195" t="n">
        <v/>
      </c>
      <c r="D195" t="n">
        <v/>
      </c>
      <c r="E195" t="n">
        <v/>
      </c>
      <c r="F195" t="n">
        <v/>
      </c>
      <c r="G195" t="n">
        <v/>
      </c>
      <c r="H195" t="n">
        <v>27.1206</v>
      </c>
      <c r="I195" t="n">
        <v/>
      </c>
      <c r="J195" t="n">
        <v/>
      </c>
      <c r="K195" t="n">
        <v/>
      </c>
    </row>
    <row r="196">
      <c r="A196" s="98" t="n">
        <v>12844</v>
      </c>
      <c r="B196" t="n">
        <v>5.9012</v>
      </c>
      <c r="C196" t="n">
        <v/>
      </c>
      <c r="D196" t="n">
        <v/>
      </c>
      <c r="E196" t="n">
        <v/>
      </c>
      <c r="F196" t="n">
        <v/>
      </c>
      <c r="G196" t="n">
        <v/>
      </c>
      <c r="H196" t="n">
        <v>27.9445</v>
      </c>
      <c r="I196" t="n">
        <v/>
      </c>
      <c r="J196" t="n">
        <v/>
      </c>
      <c r="K196" t="n">
        <v/>
      </c>
    </row>
    <row r="197">
      <c r="A197" s="98" t="n">
        <v>12875</v>
      </c>
      <c r="B197" t="n">
        <v>5.7935</v>
      </c>
      <c r="C197" t="n">
        <v/>
      </c>
      <c r="D197" t="n">
        <v/>
      </c>
      <c r="E197" t="n">
        <v/>
      </c>
      <c r="F197" t="n">
        <v/>
      </c>
      <c r="G197" t="n">
        <v/>
      </c>
      <c r="H197" t="n">
        <v>25.61</v>
      </c>
      <c r="I197" t="n">
        <v/>
      </c>
      <c r="J197" t="n">
        <v/>
      </c>
      <c r="K197" t="n">
        <v/>
      </c>
    </row>
    <row r="198">
      <c r="A198" s="98" t="n">
        <v>12905</v>
      </c>
      <c r="B198" t="n">
        <v>5.7935</v>
      </c>
      <c r="C198" t="n">
        <v/>
      </c>
      <c r="D198" t="n">
        <v/>
      </c>
      <c r="E198" t="n">
        <v/>
      </c>
      <c r="F198" t="n">
        <v/>
      </c>
      <c r="G198" t="n">
        <v/>
      </c>
      <c r="H198" t="n">
        <v>26.7086</v>
      </c>
      <c r="I198" t="n">
        <v/>
      </c>
      <c r="J198" t="n">
        <v/>
      </c>
      <c r="K198" t="n">
        <v/>
      </c>
    </row>
    <row r="199">
      <c r="A199" s="98" t="n">
        <v>12936</v>
      </c>
      <c r="B199" t="n">
        <v>5.8743</v>
      </c>
      <c r="C199" t="n">
        <v/>
      </c>
      <c r="D199" t="n">
        <v/>
      </c>
      <c r="E199" t="n">
        <v/>
      </c>
      <c r="F199" t="n">
        <v/>
      </c>
      <c r="G199" t="n">
        <v/>
      </c>
      <c r="H199" t="n">
        <v>29.1117</v>
      </c>
      <c r="I199" t="n">
        <v/>
      </c>
      <c r="J199" t="n">
        <v/>
      </c>
      <c r="K199" t="n">
        <v/>
      </c>
    </row>
    <row r="200">
      <c r="A200" s="98" t="n">
        <v>12966</v>
      </c>
      <c r="B200" t="n">
        <v>5.8743</v>
      </c>
      <c r="C200" t="n">
        <v/>
      </c>
      <c r="D200" t="n">
        <v/>
      </c>
      <c r="E200" t="n">
        <v/>
      </c>
      <c r="F200" t="n">
        <v/>
      </c>
      <c r="G200" t="n">
        <v/>
      </c>
      <c r="H200" t="n">
        <v>26.2966</v>
      </c>
      <c r="I200" t="n">
        <v/>
      </c>
      <c r="J200" t="n">
        <v/>
      </c>
      <c r="K200" t="n">
        <v/>
      </c>
    </row>
    <row r="201">
      <c r="A201" s="98" t="n">
        <v>12997</v>
      </c>
      <c r="B201" t="n">
        <v>6.0899</v>
      </c>
      <c r="C201" t="n">
        <v/>
      </c>
      <c r="D201" t="n">
        <v/>
      </c>
      <c r="E201" t="n">
        <v/>
      </c>
      <c r="F201" t="n">
        <v/>
      </c>
      <c r="G201" t="n">
        <v/>
      </c>
      <c r="H201" t="n">
        <v>26.5026</v>
      </c>
      <c r="I201" t="n">
        <v/>
      </c>
      <c r="J201" t="n">
        <v/>
      </c>
      <c r="K201" t="n">
        <v/>
      </c>
    </row>
    <row r="202">
      <c r="A202" s="98" t="n">
        <v>13028</v>
      </c>
      <c r="B202" t="n">
        <v>6.2515</v>
      </c>
      <c r="C202" t="n">
        <v/>
      </c>
      <c r="D202" t="n">
        <v/>
      </c>
      <c r="E202" t="n">
        <v/>
      </c>
      <c r="F202" t="n">
        <v/>
      </c>
      <c r="G202" t="n">
        <v/>
      </c>
      <c r="H202" t="n">
        <v>27.1206</v>
      </c>
      <c r="I202" t="n">
        <v/>
      </c>
      <c r="J202" t="n">
        <v/>
      </c>
      <c r="K202" t="n">
        <v/>
      </c>
    </row>
    <row r="203">
      <c r="A203" s="98" t="n">
        <v>13058</v>
      </c>
      <c r="B203" t="n">
        <v>6.4402</v>
      </c>
      <c r="C203" t="n">
        <v/>
      </c>
      <c r="D203" t="n">
        <v/>
      </c>
      <c r="E203" t="n">
        <v/>
      </c>
      <c r="F203" t="n">
        <v/>
      </c>
      <c r="G203" t="n">
        <v/>
      </c>
      <c r="H203" t="n">
        <v>28.7684</v>
      </c>
      <c r="I203" t="n">
        <v/>
      </c>
      <c r="J203" t="n">
        <v/>
      </c>
      <c r="K203" t="n">
        <v/>
      </c>
    </row>
    <row r="204">
      <c r="A204" s="98" t="n">
        <v>13089</v>
      </c>
      <c r="B204" t="n">
        <v>6.5749</v>
      </c>
      <c r="C204" t="n">
        <v/>
      </c>
      <c r="D204" t="n">
        <v/>
      </c>
      <c r="E204" t="n">
        <v/>
      </c>
      <c r="F204" t="n">
        <v/>
      </c>
      <c r="G204" t="n">
        <v/>
      </c>
      <c r="H204" t="n">
        <v>29.043</v>
      </c>
      <c r="I204" t="n">
        <v/>
      </c>
      <c r="J204" t="n">
        <v/>
      </c>
      <c r="K204" t="n">
        <v/>
      </c>
    </row>
    <row r="205">
      <c r="A205" s="98" t="n">
        <v>13119</v>
      </c>
      <c r="B205" t="n">
        <v>6.6557</v>
      </c>
      <c r="C205" t="n">
        <v/>
      </c>
      <c r="D205" t="n">
        <v/>
      </c>
      <c r="E205" t="n">
        <v/>
      </c>
      <c r="F205" t="n">
        <v/>
      </c>
      <c r="G205" t="n">
        <v/>
      </c>
      <c r="H205" t="n">
        <v>29.7983</v>
      </c>
      <c r="I205" t="n">
        <v/>
      </c>
      <c r="J205" t="n">
        <v/>
      </c>
      <c r="K205" t="n">
        <v/>
      </c>
    </row>
    <row r="206">
      <c r="A206" s="98" t="n">
        <v>13150</v>
      </c>
      <c r="B206" t="n">
        <v>6.548</v>
      </c>
      <c r="C206" t="n">
        <v/>
      </c>
      <c r="D206" t="n">
        <v/>
      </c>
      <c r="E206" t="n">
        <v/>
      </c>
      <c r="F206" t="n">
        <v/>
      </c>
      <c r="G206" t="n">
        <v/>
      </c>
      <c r="H206" t="n">
        <v>30.3475</v>
      </c>
      <c r="I206" t="n">
        <v/>
      </c>
      <c r="J206" t="n">
        <v/>
      </c>
      <c r="K206" t="n">
        <v/>
      </c>
    </row>
    <row r="207">
      <c r="A207" s="98" t="n">
        <v>13181</v>
      </c>
      <c r="B207" t="n">
        <v>6.3863</v>
      </c>
      <c r="C207" t="n">
        <v/>
      </c>
      <c r="D207" t="n">
        <v/>
      </c>
      <c r="E207" t="n">
        <v/>
      </c>
      <c r="F207" t="n">
        <v/>
      </c>
      <c r="G207" t="n">
        <v/>
      </c>
      <c r="H207" t="n">
        <v>31.2401</v>
      </c>
      <c r="I207" t="n">
        <v/>
      </c>
      <c r="J207" t="n">
        <v/>
      </c>
      <c r="K207" t="n">
        <v/>
      </c>
    </row>
    <row r="208">
      <c r="A208" s="98" t="n">
        <v>13210</v>
      </c>
      <c r="B208" t="n">
        <v>6.4671</v>
      </c>
      <c r="C208" t="n">
        <v/>
      </c>
      <c r="D208" t="n">
        <v/>
      </c>
      <c r="E208" t="n">
        <v/>
      </c>
      <c r="F208" t="n">
        <v/>
      </c>
      <c r="G208" t="n">
        <v/>
      </c>
      <c r="H208" t="n">
        <v>29.1803</v>
      </c>
      <c r="I208" t="n">
        <v/>
      </c>
      <c r="J208" t="n">
        <v/>
      </c>
      <c r="K208" t="n">
        <v/>
      </c>
    </row>
    <row r="209">
      <c r="A209" s="98" t="n">
        <v>13241</v>
      </c>
      <c r="B209" t="n">
        <v>6.8713</v>
      </c>
      <c r="C209" t="n">
        <v/>
      </c>
      <c r="D209" t="n">
        <v/>
      </c>
      <c r="E209" t="n">
        <v/>
      </c>
      <c r="F209" t="n">
        <v/>
      </c>
      <c r="G209" t="n">
        <v/>
      </c>
      <c r="H209" t="n">
        <v>31.3774</v>
      </c>
      <c r="I209" t="n">
        <v/>
      </c>
      <c r="J209" t="n">
        <v/>
      </c>
      <c r="K209" t="n">
        <v/>
      </c>
    </row>
    <row r="210">
      <c r="A210" s="98" t="n">
        <v>13271</v>
      </c>
      <c r="B210" t="n">
        <v>7.006</v>
      </c>
      <c r="C210" t="n">
        <v/>
      </c>
      <c r="D210" t="n">
        <v/>
      </c>
      <c r="E210" t="n">
        <v/>
      </c>
      <c r="F210" t="n">
        <v/>
      </c>
      <c r="G210" t="n">
        <v/>
      </c>
      <c r="H210" t="n">
        <v>30.6222</v>
      </c>
      <c r="I210" t="n">
        <v/>
      </c>
      <c r="J210" t="n">
        <v/>
      </c>
      <c r="K210" t="n">
        <v/>
      </c>
    </row>
    <row r="211">
      <c r="A211" s="98" t="n">
        <v>13302</v>
      </c>
      <c r="B211" t="n">
        <v>7.1408</v>
      </c>
      <c r="C211" t="n">
        <v/>
      </c>
      <c r="D211" t="n">
        <v/>
      </c>
      <c r="E211" t="n">
        <v/>
      </c>
      <c r="F211" t="n">
        <v/>
      </c>
      <c r="G211" t="n">
        <v/>
      </c>
      <c r="H211" t="n">
        <v>31.0342</v>
      </c>
      <c r="I211" t="n">
        <v/>
      </c>
      <c r="J211" t="n">
        <v/>
      </c>
      <c r="K211" t="n">
        <v/>
      </c>
    </row>
    <row r="212">
      <c r="A212" s="98" t="n">
        <v>13332</v>
      </c>
      <c r="B212" t="n">
        <v>7.2755</v>
      </c>
      <c r="C212" t="n">
        <v/>
      </c>
      <c r="D212" t="n">
        <v/>
      </c>
      <c r="E212" t="n">
        <v/>
      </c>
      <c r="F212" t="n">
        <v/>
      </c>
      <c r="G212" t="n">
        <v/>
      </c>
      <c r="H212" t="n">
        <v>31.6521</v>
      </c>
      <c r="I212" t="n">
        <v/>
      </c>
      <c r="J212" t="n">
        <v/>
      </c>
      <c r="K212" t="n">
        <v/>
      </c>
    </row>
    <row r="213">
      <c r="A213" s="98" t="n">
        <v>13363</v>
      </c>
      <c r="B213" t="n">
        <v>7.3833</v>
      </c>
      <c r="C213" t="n">
        <v/>
      </c>
      <c r="D213" t="n">
        <v/>
      </c>
      <c r="E213" t="n">
        <v/>
      </c>
      <c r="F213" t="n">
        <v/>
      </c>
      <c r="G213" t="n">
        <v/>
      </c>
      <c r="H213" t="n">
        <v>31.6521</v>
      </c>
      <c r="I213" t="n">
        <v/>
      </c>
      <c r="J213" t="n">
        <v/>
      </c>
      <c r="K213" t="n">
        <v/>
      </c>
    </row>
    <row r="214">
      <c r="A214" s="98" t="n">
        <v>13394</v>
      </c>
      <c r="B214" t="n">
        <v>7.518</v>
      </c>
      <c r="C214" t="n">
        <v/>
      </c>
      <c r="D214" t="n">
        <v/>
      </c>
      <c r="E214" t="n">
        <v/>
      </c>
      <c r="F214" t="n">
        <v/>
      </c>
      <c r="G214" t="n">
        <v/>
      </c>
      <c r="H214" t="n">
        <v>32.1327</v>
      </c>
      <c r="I214" t="n">
        <v/>
      </c>
      <c r="J214" t="n">
        <v/>
      </c>
      <c r="K214" t="n">
        <v/>
      </c>
    </row>
    <row r="215">
      <c r="A215" s="98" t="n">
        <v>13424</v>
      </c>
      <c r="B215" t="n">
        <v>7.6258</v>
      </c>
      <c r="C215" t="n">
        <v/>
      </c>
      <c r="D215" t="n">
        <v/>
      </c>
      <c r="E215" t="n">
        <v/>
      </c>
      <c r="F215" t="n">
        <v/>
      </c>
      <c r="G215" t="n">
        <v/>
      </c>
      <c r="H215" t="n">
        <v>32.7506</v>
      </c>
      <c r="I215" t="n">
        <v/>
      </c>
      <c r="J215" t="n">
        <v/>
      </c>
      <c r="K215" t="n">
        <v/>
      </c>
    </row>
    <row r="216">
      <c r="A216" s="98" t="n">
        <v>13455</v>
      </c>
      <c r="B216" t="n">
        <v>7.8414</v>
      </c>
      <c r="C216" t="n">
        <v/>
      </c>
      <c r="D216" t="n">
        <v/>
      </c>
      <c r="E216" t="n">
        <v/>
      </c>
      <c r="F216" t="n">
        <v/>
      </c>
      <c r="G216" t="n">
        <v/>
      </c>
      <c r="H216" t="n">
        <v>34.1925</v>
      </c>
      <c r="I216" t="n">
        <v/>
      </c>
      <c r="J216" t="n">
        <v/>
      </c>
      <c r="K216" t="n">
        <v/>
      </c>
    </row>
    <row r="217">
      <c r="A217" s="98" t="n">
        <v>13485</v>
      </c>
      <c r="B217" t="n">
        <v>8.0839</v>
      </c>
      <c r="C217" t="n">
        <v/>
      </c>
      <c r="D217" t="n">
        <v/>
      </c>
      <c r="E217" t="n">
        <v/>
      </c>
      <c r="F217" t="n">
        <v/>
      </c>
      <c r="G217" t="n">
        <v/>
      </c>
      <c r="H217" t="n">
        <v>34.4671</v>
      </c>
      <c r="I217" t="n">
        <v/>
      </c>
      <c r="J217" t="n">
        <v/>
      </c>
      <c r="K217" t="n">
        <v/>
      </c>
    </row>
    <row r="218">
      <c r="A218" s="98" t="n">
        <v>13516</v>
      </c>
      <c r="B218" t="n">
        <v>8.056900000000001</v>
      </c>
      <c r="C218" t="n">
        <v/>
      </c>
      <c r="D218" t="n">
        <v/>
      </c>
      <c r="E218" t="n">
        <v/>
      </c>
      <c r="F218" t="n">
        <v/>
      </c>
      <c r="G218" t="n">
        <v/>
      </c>
      <c r="H218" t="n">
        <v>33.8492</v>
      </c>
      <c r="I218" t="n">
        <v/>
      </c>
      <c r="J218" t="n">
        <v/>
      </c>
      <c r="K218" t="n">
        <v/>
      </c>
    </row>
    <row r="219">
      <c r="A219" s="98" t="n">
        <v>13547</v>
      </c>
      <c r="B219" t="n">
        <v>8.1647</v>
      </c>
      <c r="C219" t="n">
        <v/>
      </c>
      <c r="D219" t="n">
        <v/>
      </c>
      <c r="E219" t="n">
        <v/>
      </c>
      <c r="F219" t="n">
        <v/>
      </c>
      <c r="G219" t="n">
        <v/>
      </c>
      <c r="H219" t="n">
        <v>34.7418</v>
      </c>
      <c r="I219" t="n">
        <v/>
      </c>
      <c r="J219" t="n">
        <v/>
      </c>
      <c r="K219" t="n">
        <v/>
      </c>
    </row>
    <row r="220">
      <c r="A220" s="98" t="n">
        <v>13575</v>
      </c>
      <c r="B220" t="n">
        <v>8.353400000000001</v>
      </c>
      <c r="C220" t="n">
        <v/>
      </c>
      <c r="D220" t="n">
        <v/>
      </c>
      <c r="E220" t="n">
        <v/>
      </c>
      <c r="F220" t="n">
        <v/>
      </c>
      <c r="G220" t="n">
        <v/>
      </c>
      <c r="H220" t="n">
        <v>38.2434</v>
      </c>
      <c r="I220" t="n">
        <v/>
      </c>
      <c r="J220" t="n">
        <v/>
      </c>
      <c r="K220" t="n">
        <v/>
      </c>
    </row>
    <row r="221">
      <c r="A221" s="98" t="n">
        <v>13606</v>
      </c>
      <c r="B221" t="n">
        <v>8.353400000000001</v>
      </c>
      <c r="C221" t="n">
        <v/>
      </c>
      <c r="D221" t="n">
        <v/>
      </c>
      <c r="E221" t="n">
        <v/>
      </c>
      <c r="F221" t="n">
        <v/>
      </c>
      <c r="G221" t="n">
        <v/>
      </c>
      <c r="H221" t="n">
        <v>35.2224</v>
      </c>
      <c r="I221" t="n">
        <v/>
      </c>
      <c r="J221" t="n">
        <v/>
      </c>
      <c r="K221" t="n">
        <v/>
      </c>
    </row>
    <row r="222">
      <c r="A222" s="98" t="n">
        <v>13636</v>
      </c>
      <c r="B222" t="n">
        <v>8.3803</v>
      </c>
      <c r="C222" t="n">
        <v/>
      </c>
      <c r="D222" t="n">
        <v/>
      </c>
      <c r="E222" t="n">
        <v/>
      </c>
      <c r="F222" t="n">
        <v/>
      </c>
      <c r="G222" t="n">
        <v/>
      </c>
      <c r="H222" t="n">
        <v>35.6344</v>
      </c>
      <c r="I222" t="n">
        <v/>
      </c>
      <c r="J222" t="n">
        <v/>
      </c>
      <c r="K222" t="n">
        <v/>
      </c>
    </row>
    <row r="223">
      <c r="A223" s="98" t="n">
        <v>13667</v>
      </c>
      <c r="B223" t="n">
        <v>8.272500000000001</v>
      </c>
      <c r="C223" t="n">
        <v/>
      </c>
      <c r="D223" t="n">
        <v/>
      </c>
      <c r="E223" t="n">
        <v/>
      </c>
      <c r="F223" t="n">
        <v/>
      </c>
      <c r="G223" t="n">
        <v/>
      </c>
      <c r="H223" t="n">
        <v>36.8015</v>
      </c>
      <c r="I223" t="n">
        <v/>
      </c>
      <c r="J223" t="n">
        <v/>
      </c>
      <c r="K223" t="n">
        <v/>
      </c>
    </row>
    <row r="224">
      <c r="A224" s="98" t="n">
        <v>13697</v>
      </c>
      <c r="B224" t="n">
        <v>8.3264</v>
      </c>
      <c r="C224" t="n">
        <v/>
      </c>
      <c r="D224" t="n">
        <v/>
      </c>
      <c r="E224" t="n">
        <v/>
      </c>
      <c r="F224" t="n">
        <v/>
      </c>
      <c r="G224" t="n">
        <v/>
      </c>
      <c r="H224" t="n">
        <v>36.321</v>
      </c>
      <c r="I224" t="n">
        <v/>
      </c>
      <c r="J224" t="n">
        <v/>
      </c>
      <c r="K224" t="n">
        <v/>
      </c>
    </row>
    <row r="225">
      <c r="A225" s="98" t="n">
        <v>13728</v>
      </c>
      <c r="B225" t="n">
        <v>8.272500000000001</v>
      </c>
      <c r="C225" t="n">
        <v/>
      </c>
      <c r="D225" t="n">
        <v/>
      </c>
      <c r="E225" t="n">
        <v/>
      </c>
      <c r="F225" t="n">
        <v/>
      </c>
      <c r="G225" t="n">
        <v/>
      </c>
      <c r="H225" t="n">
        <v>36.8016</v>
      </c>
      <c r="I225" t="n">
        <v/>
      </c>
      <c r="J225" t="n">
        <v/>
      </c>
      <c r="K225" t="n">
        <v/>
      </c>
    </row>
    <row r="226">
      <c r="A226" s="98" t="n">
        <v>13759</v>
      </c>
      <c r="B226" t="n">
        <v>8.0031</v>
      </c>
      <c r="C226" t="n">
        <v/>
      </c>
      <c r="D226" t="n">
        <v/>
      </c>
      <c r="E226" t="n">
        <v/>
      </c>
      <c r="F226" t="n">
        <v/>
      </c>
      <c r="G226" t="n">
        <v/>
      </c>
      <c r="H226" t="n">
        <v>37.2135</v>
      </c>
      <c r="I226" t="n">
        <v/>
      </c>
      <c r="J226" t="n">
        <v/>
      </c>
      <c r="K226" t="n">
        <v/>
      </c>
    </row>
    <row r="227">
      <c r="A227" s="98" t="n">
        <v>13789</v>
      </c>
      <c r="B227" t="n">
        <v>7.4102</v>
      </c>
      <c r="C227" t="n">
        <v/>
      </c>
      <c r="D227" t="n">
        <v/>
      </c>
      <c r="E227" t="n">
        <v/>
      </c>
      <c r="F227" t="n">
        <v/>
      </c>
      <c r="G227" t="n">
        <v/>
      </c>
      <c r="H227" t="n">
        <v>36.115</v>
      </c>
      <c r="I227" t="n">
        <v/>
      </c>
      <c r="J227" t="n">
        <v/>
      </c>
      <c r="K227" t="n">
        <v/>
      </c>
    </row>
    <row r="228">
      <c r="A228" s="98" t="n">
        <v>13820</v>
      </c>
      <c r="B228" t="n">
        <v>6.6827</v>
      </c>
      <c r="C228" t="n">
        <v/>
      </c>
      <c r="D228" t="n">
        <v/>
      </c>
      <c r="E228" t="n">
        <v/>
      </c>
      <c r="F228" t="n">
        <v/>
      </c>
      <c r="G228" t="n">
        <v/>
      </c>
      <c r="H228" t="n">
        <v>35.2224</v>
      </c>
      <c r="I228" t="n">
        <v/>
      </c>
      <c r="J228" t="n">
        <v/>
      </c>
      <c r="K228" t="n">
        <v/>
      </c>
    </row>
    <row r="229">
      <c r="A229" s="98" t="n">
        <v>13850</v>
      </c>
      <c r="B229" t="n">
        <v>6.0899</v>
      </c>
      <c r="C229" t="n">
        <v/>
      </c>
      <c r="D229" t="n">
        <v/>
      </c>
      <c r="E229" t="n">
        <v/>
      </c>
      <c r="F229" t="n">
        <v/>
      </c>
      <c r="G229" t="n">
        <v/>
      </c>
      <c r="H229" t="n">
        <v>34.3984</v>
      </c>
      <c r="I229" t="n">
        <v/>
      </c>
      <c r="J229" t="n">
        <v/>
      </c>
      <c r="K229" t="n">
        <v/>
      </c>
    </row>
    <row r="230">
      <c r="A230" s="98" t="n">
        <v>13881</v>
      </c>
      <c r="B230" t="n">
        <v>5.9551</v>
      </c>
      <c r="C230" t="n">
        <v/>
      </c>
      <c r="D230" t="n">
        <v/>
      </c>
      <c r="E230" t="n">
        <v/>
      </c>
      <c r="F230" t="n">
        <v/>
      </c>
      <c r="G230" t="n">
        <v/>
      </c>
      <c r="H230" t="n">
        <v>32.9566</v>
      </c>
      <c r="I230" t="n">
        <v/>
      </c>
      <c r="J230" t="n">
        <v/>
      </c>
      <c r="K230" t="n">
        <v/>
      </c>
    </row>
    <row r="231">
      <c r="A231" s="98" t="n">
        <v>13912</v>
      </c>
      <c r="B231" t="n">
        <v>5.9012</v>
      </c>
      <c r="C231" t="n">
        <v/>
      </c>
      <c r="D231" t="n">
        <v/>
      </c>
      <c r="E231" t="n">
        <v/>
      </c>
      <c r="F231" t="n">
        <v/>
      </c>
      <c r="G231" t="n">
        <v/>
      </c>
      <c r="H231" t="n">
        <v>31.2401</v>
      </c>
      <c r="I231" t="n">
        <v/>
      </c>
      <c r="J231" t="n">
        <v/>
      </c>
      <c r="K231" t="n">
        <v/>
      </c>
    </row>
    <row r="232">
      <c r="A232" s="98" t="n">
        <v>13940</v>
      </c>
      <c r="B232" t="n">
        <v>5.9012</v>
      </c>
      <c r="C232" t="n">
        <v/>
      </c>
      <c r="D232" t="n">
        <v/>
      </c>
      <c r="E232" t="n">
        <v/>
      </c>
      <c r="F232" t="n">
        <v/>
      </c>
      <c r="G232" t="n">
        <v/>
      </c>
      <c r="H232" t="n">
        <v>31.3088</v>
      </c>
      <c r="I232" t="n">
        <v/>
      </c>
      <c r="J232" t="n">
        <v/>
      </c>
      <c r="K232" t="n">
        <v/>
      </c>
    </row>
    <row r="233">
      <c r="A233" s="98" t="n">
        <v>13971</v>
      </c>
      <c r="B233" t="n">
        <v>5.7935</v>
      </c>
      <c r="C233" t="n">
        <v/>
      </c>
      <c r="D233" t="n">
        <v/>
      </c>
      <c r="E233" t="n">
        <v/>
      </c>
      <c r="F233" t="n">
        <v/>
      </c>
      <c r="G233" t="n">
        <v/>
      </c>
      <c r="H233" t="n">
        <v>30.3476</v>
      </c>
      <c r="I233" t="n">
        <v/>
      </c>
      <c r="J233" t="n">
        <v/>
      </c>
      <c r="K233" t="n">
        <v/>
      </c>
    </row>
    <row r="234">
      <c r="A234" s="98" t="n">
        <v>14001</v>
      </c>
      <c r="B234" t="n">
        <v>5.6587</v>
      </c>
      <c r="C234" t="n">
        <v/>
      </c>
      <c r="D234" t="n">
        <v/>
      </c>
      <c r="E234" t="n">
        <v/>
      </c>
      <c r="F234" t="n">
        <v/>
      </c>
      <c r="G234" t="n">
        <v/>
      </c>
      <c r="H234" t="n">
        <v>28.6311</v>
      </c>
      <c r="I234" t="n">
        <v/>
      </c>
      <c r="J234" t="n">
        <v/>
      </c>
      <c r="K234" t="n">
        <v/>
      </c>
    </row>
    <row r="235">
      <c r="A235" s="98" t="n">
        <v>14032</v>
      </c>
      <c r="B235" t="n">
        <v>5.7126</v>
      </c>
      <c r="C235" t="n">
        <v/>
      </c>
      <c r="D235" t="n">
        <v/>
      </c>
      <c r="E235" t="n">
        <v/>
      </c>
      <c r="F235" t="n">
        <v/>
      </c>
      <c r="G235" t="n">
        <v/>
      </c>
      <c r="H235" t="n">
        <v>29.3863</v>
      </c>
      <c r="I235" t="n">
        <v/>
      </c>
      <c r="J235" t="n">
        <v/>
      </c>
      <c r="K235" t="n">
        <v/>
      </c>
    </row>
    <row r="236">
      <c r="A236" s="98" t="n">
        <v>14062</v>
      </c>
      <c r="B236" t="n">
        <v>6.036</v>
      </c>
      <c r="C236" t="n">
        <v/>
      </c>
      <c r="D236" t="n">
        <v/>
      </c>
      <c r="E236" t="n">
        <v/>
      </c>
      <c r="F236" t="n">
        <v/>
      </c>
      <c r="G236" t="n">
        <v/>
      </c>
      <c r="H236" t="n">
        <v>30.1416</v>
      </c>
      <c r="I236" t="n">
        <v/>
      </c>
      <c r="J236" t="n">
        <v/>
      </c>
      <c r="K236" t="n">
        <v/>
      </c>
    </row>
    <row r="237">
      <c r="A237" s="98" t="n">
        <v>14093</v>
      </c>
      <c r="B237" t="n">
        <v>6.3593</v>
      </c>
      <c r="C237" t="n">
        <v/>
      </c>
      <c r="D237" t="n">
        <v/>
      </c>
      <c r="E237" t="n">
        <v/>
      </c>
      <c r="F237" t="n">
        <v/>
      </c>
      <c r="G237" t="n">
        <v/>
      </c>
      <c r="H237" t="n">
        <v>31.0342</v>
      </c>
      <c r="I237" t="n">
        <v/>
      </c>
      <c r="J237" t="n">
        <v/>
      </c>
      <c r="K237" t="n">
        <v/>
      </c>
    </row>
    <row r="238">
      <c r="A238" s="98" t="n">
        <v>14124</v>
      </c>
      <c r="B238" t="n">
        <v>6.548</v>
      </c>
      <c r="C238" t="n">
        <v/>
      </c>
      <c r="D238" t="n">
        <v/>
      </c>
      <c r="E238" t="n">
        <v/>
      </c>
      <c r="F238" t="n">
        <v/>
      </c>
      <c r="G238" t="n">
        <v/>
      </c>
      <c r="H238" t="n">
        <v>31.2402</v>
      </c>
      <c r="I238" t="n">
        <v/>
      </c>
      <c r="J238" t="n">
        <v/>
      </c>
      <c r="K238" t="n">
        <v/>
      </c>
    </row>
    <row r="239">
      <c r="A239" s="98" t="n">
        <v>14154</v>
      </c>
      <c r="B239" t="n">
        <v>6.7096</v>
      </c>
      <c r="C239" t="n">
        <v/>
      </c>
      <c r="D239" t="n">
        <v/>
      </c>
      <c r="E239" t="n">
        <v/>
      </c>
      <c r="F239" t="n">
        <v/>
      </c>
      <c r="G239" t="n">
        <v/>
      </c>
      <c r="H239" t="n">
        <v>31.5834</v>
      </c>
      <c r="I239" t="n">
        <v/>
      </c>
      <c r="J239" t="n">
        <v/>
      </c>
      <c r="K239" t="n">
        <v/>
      </c>
    </row>
    <row r="240">
      <c r="A240" s="98" t="n">
        <v>14185</v>
      </c>
      <c r="B240" t="n">
        <v>6.9791</v>
      </c>
      <c r="C240" t="n">
        <v/>
      </c>
      <c r="D240" t="n">
        <v/>
      </c>
      <c r="E240" t="n">
        <v/>
      </c>
      <c r="F240" t="n">
        <v/>
      </c>
      <c r="G240" t="n">
        <v/>
      </c>
      <c r="H240" t="n">
        <v>32.6133</v>
      </c>
      <c r="I240" t="n">
        <v/>
      </c>
      <c r="J240" t="n">
        <v/>
      </c>
      <c r="K240" t="n">
        <v/>
      </c>
    </row>
    <row r="241">
      <c r="A241" s="98" t="n">
        <v>14215</v>
      </c>
      <c r="B241" t="n">
        <v>7.0599</v>
      </c>
      <c r="C241" t="n">
        <v/>
      </c>
      <c r="D241" t="n">
        <v/>
      </c>
      <c r="E241" t="n">
        <v/>
      </c>
      <c r="F241" t="n">
        <v/>
      </c>
      <c r="G241" t="n">
        <v/>
      </c>
      <c r="H241" t="n">
        <v>32.6133</v>
      </c>
      <c r="I241" t="n">
        <v/>
      </c>
      <c r="J241" t="n">
        <v/>
      </c>
      <c r="K241" t="n">
        <v/>
      </c>
    </row>
    <row r="242">
      <c r="A242" s="98" t="n">
        <v>14246</v>
      </c>
      <c r="B242" t="n">
        <v>7.0599</v>
      </c>
      <c r="C242" t="n">
        <v/>
      </c>
      <c r="D242" t="n">
        <v/>
      </c>
      <c r="E242" t="n">
        <v>11.7767</v>
      </c>
      <c r="F242" t="n">
        <v/>
      </c>
      <c r="G242" t="n">
        <v>6.1792</v>
      </c>
      <c r="H242" t="n">
        <v>31.9954</v>
      </c>
      <c r="I242" t="n">
        <v>3.3283</v>
      </c>
      <c r="J242" t="n">
        <v/>
      </c>
      <c r="K242" t="n">
        <v/>
      </c>
    </row>
    <row r="243">
      <c r="A243" s="98" t="n">
        <v>14277</v>
      </c>
      <c r="B243" t="n">
        <v>7.1138</v>
      </c>
      <c r="C243" t="n">
        <v/>
      </c>
      <c r="D243" t="n">
        <v/>
      </c>
      <c r="E243" t="n">
        <v>11.7767</v>
      </c>
      <c r="F243" t="n">
        <v/>
      </c>
      <c r="G243" t="n">
        <v>6.2773</v>
      </c>
      <c r="H243" t="n">
        <v>32.1327</v>
      </c>
      <c r="I243" t="n">
        <v>3.3537</v>
      </c>
      <c r="J243" t="n">
        <v/>
      </c>
      <c r="K243" t="n">
        <v/>
      </c>
    </row>
    <row r="244">
      <c r="A244" s="98" t="n">
        <v>14305</v>
      </c>
      <c r="B244" t="n">
        <v>7.1408</v>
      </c>
      <c r="C244" t="n">
        <v/>
      </c>
      <c r="D244" t="n">
        <v/>
      </c>
      <c r="E244" t="n">
        <v>11.9698</v>
      </c>
      <c r="F244" t="n">
        <v/>
      </c>
      <c r="G244" t="n">
        <v>6.2773</v>
      </c>
      <c r="H244" t="n">
        <v>32.888</v>
      </c>
      <c r="I244" t="n">
        <v>3.4299</v>
      </c>
      <c r="J244" t="n">
        <v/>
      </c>
      <c r="K244" t="n">
        <v/>
      </c>
    </row>
    <row r="245">
      <c r="A245" s="98" t="n">
        <v>14336</v>
      </c>
      <c r="B245" t="n">
        <v>7.1138</v>
      </c>
      <c r="C245" t="n">
        <v/>
      </c>
      <c r="D245" t="n">
        <v/>
      </c>
      <c r="E245" t="n">
        <v>11.9698</v>
      </c>
      <c r="F245" t="n">
        <v/>
      </c>
      <c r="G245" t="n">
        <v>6.0811</v>
      </c>
      <c r="H245" t="n">
        <v>30.9655</v>
      </c>
      <c r="I245" t="n">
        <v>3.4553</v>
      </c>
      <c r="J245" t="n">
        <v/>
      </c>
      <c r="K245" t="n">
        <v/>
      </c>
    </row>
    <row r="246">
      <c r="A246" s="98" t="n">
        <v>14366</v>
      </c>
      <c r="B246" t="n">
        <v>7.0869</v>
      </c>
      <c r="C246" t="n">
        <v/>
      </c>
      <c r="D246" t="n">
        <v/>
      </c>
      <c r="E246" t="n">
        <v>12.0084</v>
      </c>
      <c r="F246" t="n">
        <v/>
      </c>
      <c r="G246" t="n">
        <v>6.0566</v>
      </c>
      <c r="H246" t="n">
        <v>31.2401</v>
      </c>
      <c r="I246" t="n">
        <v>3.4807</v>
      </c>
      <c r="J246" t="n">
        <v/>
      </c>
      <c r="K246" t="n">
        <v/>
      </c>
    </row>
    <row r="247">
      <c r="A247" s="98" t="n">
        <v>14397</v>
      </c>
      <c r="B247" t="n">
        <v>7.2486</v>
      </c>
      <c r="C247" t="n">
        <v/>
      </c>
      <c r="D247" t="n">
        <v/>
      </c>
      <c r="E247" t="n">
        <v>12.1242</v>
      </c>
      <c r="F247" t="n">
        <v/>
      </c>
      <c r="G247" t="n">
        <v>6.3509</v>
      </c>
      <c r="H247" t="n">
        <v>32.7507</v>
      </c>
      <c r="I247" t="n">
        <v>3.5061</v>
      </c>
      <c r="J247" t="n">
        <v/>
      </c>
      <c r="K247" t="n">
        <v/>
      </c>
    </row>
    <row r="248">
      <c r="A248" s="98" t="n">
        <v>14427</v>
      </c>
      <c r="B248" t="n">
        <v>7.4641</v>
      </c>
      <c r="C248" t="n">
        <v/>
      </c>
      <c r="D248" t="n">
        <v/>
      </c>
      <c r="E248" t="n">
        <v>12.2787</v>
      </c>
      <c r="F248" t="n">
        <v/>
      </c>
      <c r="G248" t="n">
        <v>6.6206</v>
      </c>
      <c r="H248" t="n">
        <v>33.9865</v>
      </c>
      <c r="I248" t="n">
        <v>3.5061</v>
      </c>
      <c r="J248" t="n">
        <v/>
      </c>
      <c r="K248" t="n">
        <v/>
      </c>
    </row>
    <row r="249">
      <c r="A249" s="98" t="n">
        <v>14458</v>
      </c>
      <c r="B249" t="n">
        <v>7.5719</v>
      </c>
      <c r="C249" t="n">
        <v/>
      </c>
      <c r="D249" t="n">
        <v/>
      </c>
      <c r="E249" t="n">
        <v>12.3173</v>
      </c>
      <c r="F249" t="n">
        <v/>
      </c>
      <c r="G249" t="n">
        <v>6.6942</v>
      </c>
      <c r="H249" t="n">
        <v>29.5236</v>
      </c>
      <c r="I249" t="n">
        <v>3.5316</v>
      </c>
      <c r="J249" t="n">
        <v/>
      </c>
      <c r="K249" t="n">
        <v/>
      </c>
    </row>
    <row r="250">
      <c r="A250" s="98" t="n">
        <v>14489</v>
      </c>
      <c r="B250" t="n">
        <v>8.029999999999999</v>
      </c>
      <c r="C250" t="n">
        <v/>
      </c>
      <c r="D250" t="n">
        <v/>
      </c>
      <c r="E250" t="n">
        <v>12.5103</v>
      </c>
      <c r="F250" t="n">
        <v/>
      </c>
      <c r="G250" t="n">
        <v>7.4543</v>
      </c>
      <c r="H250" t="n">
        <v>35.5657</v>
      </c>
      <c r="I250" t="n">
        <v>3.6332</v>
      </c>
      <c r="J250" t="n">
        <v/>
      </c>
      <c r="K250" t="n">
        <v/>
      </c>
    </row>
    <row r="251">
      <c r="A251" s="98" t="n">
        <v>14519</v>
      </c>
      <c r="B251" t="n">
        <v>8.434200000000001</v>
      </c>
      <c r="C251" t="n">
        <v/>
      </c>
      <c r="D251" t="n">
        <v/>
      </c>
      <c r="E251" t="n">
        <v>12.6262</v>
      </c>
      <c r="F251" t="n">
        <v/>
      </c>
      <c r="G251" t="n">
        <v>8.1654</v>
      </c>
      <c r="H251" t="n">
        <v>37.2135</v>
      </c>
      <c r="I251" t="n">
        <v>3.6332</v>
      </c>
      <c r="J251" t="n">
        <v/>
      </c>
      <c r="K251" t="n">
        <v/>
      </c>
    </row>
    <row r="252">
      <c r="A252" s="98" t="n">
        <v>14550</v>
      </c>
      <c r="B252" t="n">
        <v>8.649800000000001</v>
      </c>
      <c r="C252" t="n">
        <v/>
      </c>
      <c r="D252" t="n">
        <v/>
      </c>
      <c r="E252" t="n">
        <v>12.742</v>
      </c>
      <c r="F252" t="n">
        <v/>
      </c>
      <c r="G252" t="n">
        <v>8.3125</v>
      </c>
      <c r="H252" t="n">
        <v>37.2135</v>
      </c>
      <c r="I252" t="n">
        <v>3.684</v>
      </c>
      <c r="J252" t="n">
        <v/>
      </c>
      <c r="K252" t="n">
        <v/>
      </c>
    </row>
    <row r="253">
      <c r="A253" s="98" t="n">
        <v>14580</v>
      </c>
      <c r="B253" t="n">
        <v>8.649800000000001</v>
      </c>
      <c r="C253" t="n">
        <v/>
      </c>
      <c r="D253" t="n">
        <v/>
      </c>
      <c r="E253" t="n">
        <v>12.7806</v>
      </c>
      <c r="F253" t="n">
        <v/>
      </c>
      <c r="G253" t="n">
        <v>8.3125</v>
      </c>
      <c r="H253" t="n">
        <v>36.1836</v>
      </c>
      <c r="I253" t="n">
        <v>3.684</v>
      </c>
      <c r="J253" t="n">
        <v/>
      </c>
      <c r="K253" t="n">
        <v/>
      </c>
    </row>
    <row r="254">
      <c r="A254" s="98" t="n">
        <v>14611</v>
      </c>
      <c r="B254" t="n">
        <v>8.542</v>
      </c>
      <c r="C254" t="n">
        <v/>
      </c>
      <c r="D254" t="n">
        <v/>
      </c>
      <c r="E254" t="n">
        <v>12.742</v>
      </c>
      <c r="F254" t="n">
        <v/>
      </c>
      <c r="G254" t="n">
        <v>8.091799999999999</v>
      </c>
      <c r="H254" t="n">
        <v>37.2135</v>
      </c>
      <c r="I254" t="n">
        <v>3.7094</v>
      </c>
      <c r="J254" t="n">
        <v/>
      </c>
      <c r="K254" t="n">
        <v/>
      </c>
    </row>
    <row r="255">
      <c r="A255" s="98" t="n">
        <v>14642</v>
      </c>
      <c r="B255" t="n">
        <v>8.272500000000001</v>
      </c>
      <c r="C255" t="n">
        <v/>
      </c>
      <c r="D255" t="n">
        <v/>
      </c>
      <c r="E255" t="n">
        <v>12.7034</v>
      </c>
      <c r="F255" t="n">
        <v/>
      </c>
      <c r="G255" t="n">
        <v>7.6505</v>
      </c>
      <c r="H255" t="n">
        <v>36.4583</v>
      </c>
      <c r="I255" t="n">
        <v>3.7602</v>
      </c>
      <c r="J255" t="n">
        <v/>
      </c>
      <c r="K255" t="n">
        <v/>
      </c>
    </row>
    <row r="256">
      <c r="A256" s="98" t="n">
        <v>14671</v>
      </c>
      <c r="B256" t="n">
        <v>8.0839</v>
      </c>
      <c r="C256" t="n">
        <v/>
      </c>
      <c r="D256" t="n">
        <v/>
      </c>
      <c r="E256" t="n">
        <v>12.5489</v>
      </c>
      <c r="F256" t="n">
        <v/>
      </c>
      <c r="G256" t="n">
        <v>7.3562</v>
      </c>
      <c r="H256" t="n">
        <v>37.2135</v>
      </c>
      <c r="I256" t="n">
        <v>3.7856</v>
      </c>
      <c r="J256" t="n">
        <v/>
      </c>
      <c r="K256" t="n">
        <v/>
      </c>
    </row>
    <row r="257">
      <c r="A257" s="98" t="n">
        <v>14702</v>
      </c>
      <c r="B257" t="n">
        <v>8.2456</v>
      </c>
      <c r="C257" t="n">
        <v/>
      </c>
      <c r="D257" t="n">
        <v/>
      </c>
      <c r="E257" t="n">
        <v>12.6262</v>
      </c>
      <c r="F257" t="n">
        <v/>
      </c>
      <c r="G257" t="n">
        <v>7.5769</v>
      </c>
      <c r="H257" t="n">
        <v>40.3718</v>
      </c>
      <c r="I257" t="n">
        <v>3.7856</v>
      </c>
      <c r="J257" t="n">
        <v/>
      </c>
      <c r="K257" t="n">
        <v/>
      </c>
    </row>
    <row r="258">
      <c r="A258" s="98" t="n">
        <v>14732</v>
      </c>
      <c r="B258" t="n">
        <v>8.488099999999999</v>
      </c>
      <c r="C258" t="n">
        <v/>
      </c>
      <c r="D258" t="n">
        <v/>
      </c>
      <c r="E258" t="n">
        <v>12.7034</v>
      </c>
      <c r="F258" t="n">
        <v/>
      </c>
      <c r="G258" t="n">
        <v>7.9202</v>
      </c>
      <c r="H258" t="n">
        <v>38.2434</v>
      </c>
      <c r="I258" t="n">
        <v>3.8364</v>
      </c>
      <c r="J258" t="n">
        <v/>
      </c>
      <c r="K258" t="n">
        <v/>
      </c>
    </row>
    <row r="259">
      <c r="A259" s="98" t="n">
        <v>14763</v>
      </c>
      <c r="B259" t="n">
        <v>8.7575</v>
      </c>
      <c r="C259" t="n">
        <v/>
      </c>
      <c r="D259" t="n">
        <v/>
      </c>
      <c r="E259" t="n">
        <v>12.8192</v>
      </c>
      <c r="F259" t="n">
        <v/>
      </c>
      <c r="G259" t="n">
        <v>8.337</v>
      </c>
      <c r="H259" t="n">
        <v>37.2822</v>
      </c>
      <c r="I259" t="n">
        <v>3.8618</v>
      </c>
      <c r="J259" t="n">
        <v/>
      </c>
      <c r="K259" t="n">
        <v/>
      </c>
    </row>
    <row r="260">
      <c r="A260" s="98" t="n">
        <v>14793</v>
      </c>
      <c r="B260" t="n">
        <v>8.8653</v>
      </c>
      <c r="C260" t="n">
        <v/>
      </c>
      <c r="D260" t="n">
        <v/>
      </c>
      <c r="E260" t="n">
        <v>12.7806</v>
      </c>
      <c r="F260" t="n">
        <v/>
      </c>
      <c r="G260" t="n">
        <v>8.557700000000001</v>
      </c>
      <c r="H260" t="n">
        <v>37.2822</v>
      </c>
      <c r="I260" t="n">
        <v>3.8618</v>
      </c>
      <c r="J260" t="n">
        <v/>
      </c>
      <c r="K260" t="n">
        <v/>
      </c>
    </row>
    <row r="261">
      <c r="A261" s="98" t="n">
        <v>14824</v>
      </c>
      <c r="B261" t="n">
        <v>8.9192</v>
      </c>
      <c r="C261" t="n">
        <v/>
      </c>
      <c r="D261" t="n">
        <v/>
      </c>
      <c r="E261" t="n">
        <v>12.7806</v>
      </c>
      <c r="F261" t="n">
        <v/>
      </c>
      <c r="G261" t="n">
        <v>8.6313</v>
      </c>
      <c r="H261" t="n">
        <v>36.2523</v>
      </c>
      <c r="I261" t="n">
        <v>3.9127</v>
      </c>
      <c r="J261" t="n">
        <v/>
      </c>
      <c r="K261" t="n">
        <v/>
      </c>
    </row>
    <row r="262">
      <c r="A262" s="98" t="n">
        <v>14855</v>
      </c>
      <c r="B262" t="n">
        <v>9.107900000000001</v>
      </c>
      <c r="C262" t="n">
        <v/>
      </c>
      <c r="D262" t="n">
        <v/>
      </c>
      <c r="E262" t="n">
        <v>13.1281</v>
      </c>
      <c r="F262" t="n">
        <v/>
      </c>
      <c r="G262" t="n">
        <v>8.7294</v>
      </c>
      <c r="H262" t="n">
        <v>36.321</v>
      </c>
      <c r="I262" t="n">
        <v>3.9381</v>
      </c>
      <c r="J262" t="n">
        <v/>
      </c>
      <c r="K262" t="n">
        <v/>
      </c>
    </row>
    <row r="263">
      <c r="A263" s="98" t="n">
        <v>14885</v>
      </c>
      <c r="B263" t="n">
        <v>9.242599999999999</v>
      </c>
      <c r="C263" t="n">
        <v/>
      </c>
      <c r="D263" t="n">
        <v/>
      </c>
      <c r="E263" t="n">
        <v>13.3598</v>
      </c>
      <c r="F263" t="n">
        <v/>
      </c>
      <c r="G263" t="n">
        <v>8.827500000000001</v>
      </c>
      <c r="H263" t="n">
        <v>35.703</v>
      </c>
      <c r="I263" t="n">
        <v>3.9889</v>
      </c>
      <c r="J263" t="n">
        <v/>
      </c>
      <c r="K263" t="n">
        <v/>
      </c>
    </row>
    <row r="264">
      <c r="A264" s="98" t="n">
        <v>14916</v>
      </c>
      <c r="B264" t="n">
        <v>9.4582</v>
      </c>
      <c r="C264" t="n">
        <v/>
      </c>
      <c r="D264" t="n">
        <v/>
      </c>
      <c r="E264" t="n">
        <v>13.6301</v>
      </c>
      <c r="F264" t="n">
        <v/>
      </c>
      <c r="G264" t="n">
        <v>8.9991</v>
      </c>
      <c r="H264" t="n">
        <v>36.8015</v>
      </c>
      <c r="I264" t="n">
        <v>4.0905</v>
      </c>
      <c r="J264" t="n">
        <v/>
      </c>
      <c r="K264" t="n">
        <v/>
      </c>
    </row>
    <row r="265">
      <c r="A265" s="98" t="n">
        <v>14946</v>
      </c>
      <c r="B265" t="n">
        <v>9.781499999999999</v>
      </c>
      <c r="C265" t="n">
        <v/>
      </c>
      <c r="D265" t="n">
        <v/>
      </c>
      <c r="E265" t="n">
        <v>14.0548</v>
      </c>
      <c r="F265" t="n">
        <v/>
      </c>
      <c r="G265" t="n">
        <v>9.3179</v>
      </c>
      <c r="H265" t="n">
        <v>37.7628</v>
      </c>
      <c r="I265" t="n">
        <v>4.0905</v>
      </c>
      <c r="J265" t="n">
        <v/>
      </c>
      <c r="K265" t="n">
        <v/>
      </c>
    </row>
    <row r="266">
      <c r="A266" s="98" t="n">
        <v>14977</v>
      </c>
      <c r="B266" t="n">
        <v>10.024</v>
      </c>
      <c r="C266" t="n">
        <v/>
      </c>
      <c r="D266" t="n">
        <v/>
      </c>
      <c r="E266" t="n">
        <v>14.3251</v>
      </c>
      <c r="F266" t="n">
        <v/>
      </c>
      <c r="G266" t="n">
        <v>9.4405</v>
      </c>
      <c r="H266" t="n">
        <v>37.4195</v>
      </c>
      <c r="I266" t="n">
        <v>4.1413</v>
      </c>
      <c r="J266" t="n">
        <v/>
      </c>
      <c r="K266" t="n">
        <v/>
      </c>
    </row>
    <row r="267">
      <c r="A267" s="98" t="n">
        <v>15008</v>
      </c>
      <c r="B267" t="n">
        <v>10.3204</v>
      </c>
      <c r="C267" t="n">
        <v/>
      </c>
      <c r="D267" t="n">
        <v/>
      </c>
      <c r="E267" t="n">
        <v>14.7498</v>
      </c>
      <c r="F267" t="n">
        <v/>
      </c>
      <c r="G267" t="n">
        <v>9.7102</v>
      </c>
      <c r="H267" t="n">
        <v>37.6942</v>
      </c>
      <c r="I267" t="n">
        <v>4.1667</v>
      </c>
      <c r="J267" t="n">
        <v/>
      </c>
      <c r="K267" t="n">
        <v/>
      </c>
    </row>
    <row r="268">
      <c r="A268" s="98" t="n">
        <v>15036</v>
      </c>
      <c r="B268" t="n">
        <v>10.6438</v>
      </c>
      <c r="C268" t="n">
        <v/>
      </c>
      <c r="D268" t="n">
        <v/>
      </c>
      <c r="E268" t="n">
        <v>15.136</v>
      </c>
      <c r="F268" t="n">
        <v/>
      </c>
      <c r="G268" t="n">
        <v>10.0535</v>
      </c>
      <c r="H268" t="n">
        <v>40.0285</v>
      </c>
      <c r="I268" t="n">
        <v>4.2429</v>
      </c>
      <c r="J268" t="n">
        <v/>
      </c>
      <c r="K268" t="n">
        <v/>
      </c>
    </row>
    <row r="269">
      <c r="A269" s="98" t="n">
        <v>15067</v>
      </c>
      <c r="B269" t="n">
        <v>10.6707</v>
      </c>
      <c r="C269" t="n">
        <v/>
      </c>
      <c r="D269" t="n">
        <v/>
      </c>
      <c r="E269" t="n">
        <v>15.4062</v>
      </c>
      <c r="F269" t="n">
        <v/>
      </c>
      <c r="G269" t="n">
        <v>9.832800000000001</v>
      </c>
      <c r="H269" t="n">
        <v>32.064</v>
      </c>
      <c r="I269" t="n">
        <v>4.2684</v>
      </c>
      <c r="J269" t="n">
        <v/>
      </c>
      <c r="K269" t="n">
        <v/>
      </c>
    </row>
    <row r="270">
      <c r="A270" s="98" t="n">
        <v>15097</v>
      </c>
      <c r="B270" t="n">
        <v>11.1558</v>
      </c>
      <c r="C270" t="n">
        <v/>
      </c>
      <c r="D270" t="n">
        <v/>
      </c>
      <c r="E270" t="n">
        <v>15.8696</v>
      </c>
      <c r="F270" t="n">
        <v/>
      </c>
      <c r="G270" t="n">
        <v>10.4458</v>
      </c>
      <c r="H270" t="n">
        <v>39.0673</v>
      </c>
      <c r="I270" t="n">
        <v>4.3192</v>
      </c>
      <c r="J270" t="n">
        <v/>
      </c>
      <c r="K270" t="n">
        <v/>
      </c>
    </row>
    <row r="271">
      <c r="A271" s="98" t="n">
        <v>15128</v>
      </c>
      <c r="B271" t="n">
        <v>11.2366</v>
      </c>
      <c r="C271" t="n">
        <v/>
      </c>
      <c r="D271" t="n">
        <v/>
      </c>
      <c r="E271" t="n">
        <v>15.9082</v>
      </c>
      <c r="F271" t="n">
        <v/>
      </c>
      <c r="G271" t="n">
        <v>10.5929</v>
      </c>
      <c r="H271" t="n">
        <v>40.0973</v>
      </c>
      <c r="I271" t="n">
        <v>4.37</v>
      </c>
      <c r="J271" t="n">
        <v/>
      </c>
      <c r="K271" t="n">
        <v/>
      </c>
    </row>
    <row r="272">
      <c r="A272" s="98" t="n">
        <v>15158</v>
      </c>
      <c r="B272" t="n">
        <v>11.3713</v>
      </c>
      <c r="C272" t="n">
        <v/>
      </c>
      <c r="D272" t="n">
        <v/>
      </c>
      <c r="E272" t="n">
        <v>15.9082</v>
      </c>
      <c r="F272" t="n">
        <v/>
      </c>
      <c r="G272" t="n">
        <v>10.7401</v>
      </c>
      <c r="H272" t="n">
        <v>39.9599</v>
      </c>
      <c r="I272" t="n">
        <v>4.4208</v>
      </c>
      <c r="J272" t="n">
        <v/>
      </c>
      <c r="K272" t="n">
        <v/>
      </c>
    </row>
    <row r="273">
      <c r="A273" s="98" t="n">
        <v>15189</v>
      </c>
      <c r="B273" t="n">
        <v>11.5061</v>
      </c>
      <c r="C273" t="n">
        <v/>
      </c>
      <c r="D273" t="n">
        <v/>
      </c>
      <c r="E273" t="n">
        <v>15.9468</v>
      </c>
      <c r="F273" t="n">
        <v/>
      </c>
      <c r="G273" t="n">
        <v>10.8136</v>
      </c>
      <c r="H273" t="n">
        <v>40.6465</v>
      </c>
      <c r="I273" t="n">
        <v>4.4462</v>
      </c>
      <c r="J273" t="n">
        <v/>
      </c>
      <c r="K273" t="n">
        <v/>
      </c>
    </row>
    <row r="274">
      <c r="A274" s="98" t="n">
        <v>15220</v>
      </c>
      <c r="B274" t="n">
        <v>11.5061</v>
      </c>
      <c r="C274" t="n">
        <v/>
      </c>
      <c r="D274" t="n">
        <v/>
      </c>
      <c r="E274" t="n">
        <v>15.8696</v>
      </c>
      <c r="F274" t="n">
        <v/>
      </c>
      <c r="G274" t="n">
        <v>10.8136</v>
      </c>
      <c r="H274" t="n">
        <v>41.1271</v>
      </c>
      <c r="I274" t="n">
        <v>4.497</v>
      </c>
      <c r="J274" t="n">
        <v/>
      </c>
      <c r="K274" t="n">
        <v/>
      </c>
    </row>
    <row r="275">
      <c r="A275" s="98" t="n">
        <v>15250</v>
      </c>
      <c r="B275" t="n">
        <v>11.6139</v>
      </c>
      <c r="C275" t="n">
        <v/>
      </c>
      <c r="D275" t="n">
        <v/>
      </c>
      <c r="E275" t="n">
        <v>15.8696</v>
      </c>
      <c r="F275" t="n">
        <v/>
      </c>
      <c r="G275" t="n">
        <v>10.8627</v>
      </c>
      <c r="H275" t="n">
        <v>42.0884</v>
      </c>
      <c r="I275" t="n">
        <v>4.5224</v>
      </c>
      <c r="J275" t="n">
        <v/>
      </c>
      <c r="K275" t="n">
        <v/>
      </c>
    </row>
    <row r="276">
      <c r="A276" s="98" t="n">
        <v>15281</v>
      </c>
      <c r="B276" t="n">
        <v>11.6678</v>
      </c>
      <c r="C276" t="n">
        <v/>
      </c>
      <c r="D276" t="n">
        <v/>
      </c>
      <c r="E276" t="n">
        <v>15.9082</v>
      </c>
      <c r="F276" t="n">
        <v/>
      </c>
      <c r="G276" t="n">
        <v>10.9362</v>
      </c>
      <c r="H276" t="n">
        <v>41.4704</v>
      </c>
      <c r="I276" t="n">
        <v>4.5478</v>
      </c>
      <c r="J276" t="n">
        <v/>
      </c>
      <c r="K276" t="n">
        <v/>
      </c>
    </row>
    <row r="277">
      <c r="A277" s="98" t="n">
        <v>15311</v>
      </c>
      <c r="B277" t="n">
        <v>11.8564</v>
      </c>
      <c r="C277" t="n">
        <v/>
      </c>
      <c r="D277" t="n">
        <v/>
      </c>
      <c r="E277" t="n">
        <v>15.9082</v>
      </c>
      <c r="F277" t="n">
        <v/>
      </c>
      <c r="G277" t="n">
        <v>11.1569</v>
      </c>
      <c r="H277" t="n">
        <v>42.2257</v>
      </c>
      <c r="I277" t="n">
        <v>4.6495</v>
      </c>
      <c r="J277" t="n">
        <v/>
      </c>
      <c r="K277" t="n">
        <v/>
      </c>
    </row>
    <row r="278">
      <c r="A278" s="98" t="n">
        <v>15342</v>
      </c>
      <c r="B278" t="n">
        <v>12.0989</v>
      </c>
      <c r="C278" t="n">
        <v/>
      </c>
      <c r="D278" t="n">
        <v/>
      </c>
      <c r="E278" t="n">
        <v>16.2171</v>
      </c>
      <c r="F278" t="n">
        <v/>
      </c>
      <c r="G278" t="n">
        <v>11.1814</v>
      </c>
      <c r="H278" t="n">
        <v>41.6764</v>
      </c>
      <c r="I278" t="n">
        <v>4.7511</v>
      </c>
      <c r="J278" t="n">
        <v/>
      </c>
      <c r="K278" t="n">
        <v/>
      </c>
    </row>
    <row r="279">
      <c r="A279" s="98" t="n">
        <v>15373</v>
      </c>
      <c r="B279" t="n">
        <v>12.3145</v>
      </c>
      <c r="C279" t="n">
        <v/>
      </c>
      <c r="D279" t="n">
        <v/>
      </c>
      <c r="E279" t="n">
        <v>16.024</v>
      </c>
      <c r="F279" t="n">
        <v/>
      </c>
      <c r="G279" t="n">
        <v>11.3531</v>
      </c>
      <c r="H279" t="n">
        <v>41.951</v>
      </c>
      <c r="I279" t="n">
        <v>4.7765</v>
      </c>
      <c r="J279" t="n">
        <v/>
      </c>
      <c r="K279" t="n">
        <v/>
      </c>
    </row>
    <row r="280">
      <c r="A280" s="98" t="n">
        <v>15401</v>
      </c>
      <c r="B280" t="n">
        <v>12.4492</v>
      </c>
      <c r="C280" t="n">
        <v/>
      </c>
      <c r="D280" t="n">
        <v/>
      </c>
      <c r="E280" t="n">
        <v>16.024</v>
      </c>
      <c r="F280" t="n">
        <v/>
      </c>
      <c r="G280" t="n">
        <v>11.4512</v>
      </c>
      <c r="H280" t="n">
        <v>40.3032</v>
      </c>
      <c r="I280" t="n">
        <v>4.8019</v>
      </c>
      <c r="J280" t="n">
        <v/>
      </c>
      <c r="K280" t="n">
        <v/>
      </c>
    </row>
    <row r="281">
      <c r="A281" s="98" t="n">
        <v>15432</v>
      </c>
      <c r="B281" t="n">
        <v>12.0989</v>
      </c>
      <c r="C281" t="n">
        <v/>
      </c>
      <c r="D281" t="n">
        <v/>
      </c>
      <c r="E281" t="n">
        <v>13.8232</v>
      </c>
      <c r="F281" t="n">
        <v/>
      </c>
      <c r="G281" t="n">
        <v>11.7454</v>
      </c>
      <c r="H281" t="n">
        <v>41.5391</v>
      </c>
      <c r="I281" t="n">
        <v>4.8273</v>
      </c>
      <c r="J281" t="n">
        <v/>
      </c>
      <c r="K281" t="n">
        <v/>
      </c>
    </row>
    <row r="282">
      <c r="A282" s="98" t="n">
        <v>15462</v>
      </c>
      <c r="B282" t="n">
        <v>12.1258</v>
      </c>
      <c r="C282" t="n">
        <v/>
      </c>
      <c r="D282" t="n">
        <v/>
      </c>
      <c r="E282" t="n">
        <v>13.6687</v>
      </c>
      <c r="F282" t="n">
        <v/>
      </c>
      <c r="G282" t="n">
        <v>11.7209</v>
      </c>
      <c r="H282" t="n">
        <v>40.5092</v>
      </c>
      <c r="I282" t="n">
        <v>4.8019</v>
      </c>
      <c r="J282" t="n">
        <v/>
      </c>
      <c r="K282" t="n">
        <v/>
      </c>
    </row>
    <row r="283">
      <c r="A283" s="98" t="n">
        <v>15493</v>
      </c>
      <c r="B283" t="n">
        <v>12.1528</v>
      </c>
      <c r="C283" t="n">
        <v/>
      </c>
      <c r="D283" t="n">
        <v/>
      </c>
      <c r="E283" t="n">
        <v>13.437</v>
      </c>
      <c r="F283" t="n">
        <v/>
      </c>
      <c r="G283" t="n">
        <v>11.7454</v>
      </c>
      <c r="H283" t="n">
        <v>40.0286</v>
      </c>
      <c r="I283" t="n">
        <v>4.8273</v>
      </c>
      <c r="J283" t="n">
        <v/>
      </c>
      <c r="K283" t="n">
        <v/>
      </c>
    </row>
    <row r="284">
      <c r="A284" s="98" t="n">
        <v>15523</v>
      </c>
      <c r="B284" t="n">
        <v>12.4492</v>
      </c>
      <c r="C284" t="n">
        <v/>
      </c>
      <c r="D284" t="n">
        <v/>
      </c>
      <c r="E284" t="n">
        <v>13.6301</v>
      </c>
      <c r="F284" t="n">
        <v/>
      </c>
      <c r="G284" t="n">
        <v>11.9661</v>
      </c>
      <c r="H284" t="n">
        <v>39.8912</v>
      </c>
      <c r="I284" t="n">
        <v>4.9543</v>
      </c>
      <c r="J284" t="n">
        <v/>
      </c>
      <c r="K284" t="n">
        <v/>
      </c>
    </row>
    <row r="285">
      <c r="A285" s="98" t="n">
        <v>15554</v>
      </c>
      <c r="B285" t="n">
        <v>12.8264</v>
      </c>
      <c r="C285" t="n">
        <v/>
      </c>
      <c r="D285" t="n">
        <v/>
      </c>
      <c r="E285" t="n">
        <v>13.7459</v>
      </c>
      <c r="F285" t="n">
        <v/>
      </c>
      <c r="G285" t="n">
        <v>12.3094</v>
      </c>
      <c r="H285" t="n">
        <v>41.0584</v>
      </c>
      <c r="I285" t="n">
        <v>5.0052</v>
      </c>
      <c r="J285" t="n">
        <v/>
      </c>
      <c r="K285" t="n">
        <v/>
      </c>
    </row>
    <row r="286">
      <c r="A286" s="98" t="n">
        <v>15585</v>
      </c>
      <c r="B286" t="n">
        <v>13.1229</v>
      </c>
      <c r="C286" t="n">
        <v/>
      </c>
      <c r="D286" t="n">
        <v/>
      </c>
      <c r="E286" t="n">
        <v>13.7845</v>
      </c>
      <c r="F286" t="n">
        <v/>
      </c>
      <c r="G286" t="n">
        <v>12.4565</v>
      </c>
      <c r="H286" t="n">
        <v>40.8525</v>
      </c>
      <c r="I286" t="n">
        <v>5.0306</v>
      </c>
      <c r="J286" t="n">
        <v/>
      </c>
      <c r="K286" t="n">
        <v/>
      </c>
    </row>
    <row r="287">
      <c r="A287" s="98" t="n">
        <v>15615</v>
      </c>
      <c r="B287" t="n">
        <v>13.554</v>
      </c>
      <c r="C287" t="n">
        <v/>
      </c>
      <c r="D287" t="n">
        <v/>
      </c>
      <c r="E287" t="n">
        <v>14.0162</v>
      </c>
      <c r="F287" t="n">
        <v/>
      </c>
      <c r="G287" t="n">
        <v>12.7998</v>
      </c>
      <c r="H287" t="n">
        <v>40.5092</v>
      </c>
      <c r="I287" t="n">
        <v>5.056</v>
      </c>
      <c r="J287" t="n">
        <v/>
      </c>
      <c r="K287" t="n">
        <v/>
      </c>
    </row>
    <row r="288">
      <c r="A288" s="98" t="n">
        <v>15646</v>
      </c>
      <c r="B288" t="n">
        <v>13.8774</v>
      </c>
      <c r="C288" t="n">
        <v/>
      </c>
      <c r="D288" t="n">
        <v/>
      </c>
      <c r="E288" t="n">
        <v>14.0934</v>
      </c>
      <c r="F288" t="n">
        <v/>
      </c>
      <c r="G288" t="n">
        <v>12.996</v>
      </c>
      <c r="H288" t="n">
        <v>40.7838</v>
      </c>
      <c r="I288" t="n">
        <v>5.1068</v>
      </c>
      <c r="J288" t="n">
        <v/>
      </c>
      <c r="K288" t="n">
        <v/>
      </c>
    </row>
    <row r="289">
      <c r="A289" s="98" t="n">
        <v>15676</v>
      </c>
      <c r="B289" t="n">
        <v>14.2007</v>
      </c>
      <c r="C289" t="n">
        <v/>
      </c>
      <c r="D289" t="n">
        <v/>
      </c>
      <c r="E289" t="n">
        <v>14.4023</v>
      </c>
      <c r="F289" t="n">
        <v/>
      </c>
      <c r="G289" t="n">
        <v>13.1431</v>
      </c>
      <c r="H289" t="n">
        <v>40.3032</v>
      </c>
      <c r="I289" t="n">
        <v>5.183</v>
      </c>
      <c r="J289" t="n">
        <v/>
      </c>
      <c r="K289" t="n">
        <v/>
      </c>
    </row>
    <row r="290">
      <c r="A290" s="98" t="n">
        <v>15707</v>
      </c>
      <c r="B290" t="n">
        <v>14.3355</v>
      </c>
      <c r="C290" t="n">
        <v/>
      </c>
      <c r="D290" t="n">
        <v/>
      </c>
      <c r="E290" t="n">
        <v>13.9776</v>
      </c>
      <c r="F290" t="n">
        <v/>
      </c>
      <c r="G290" t="n">
        <v>13.3393</v>
      </c>
      <c r="H290" t="n">
        <v>39.0674</v>
      </c>
      <c r="I290" t="n">
        <v>5.1576</v>
      </c>
      <c r="J290" t="n">
        <v/>
      </c>
      <c r="K290" t="n">
        <v/>
      </c>
    </row>
    <row r="291">
      <c r="A291" s="98" t="n">
        <v>15738</v>
      </c>
      <c r="B291" t="n">
        <v>14.7127</v>
      </c>
      <c r="C291" t="n">
        <v/>
      </c>
      <c r="D291" t="n">
        <v/>
      </c>
      <c r="E291" t="n">
        <v>14.0934</v>
      </c>
      <c r="F291" t="n">
        <v/>
      </c>
      <c r="G291" t="n">
        <v>13.6826</v>
      </c>
      <c r="H291" t="n">
        <v>41.1271</v>
      </c>
      <c r="I291" t="n">
        <v>5.2084</v>
      </c>
      <c r="J291" t="n">
        <v/>
      </c>
      <c r="K291" t="n">
        <v/>
      </c>
    </row>
    <row r="292">
      <c r="A292" s="98" t="n">
        <v>15766</v>
      </c>
      <c r="B292" t="n">
        <v>14.8205</v>
      </c>
      <c r="C292" t="n">
        <v/>
      </c>
      <c r="D292" t="n">
        <v/>
      </c>
      <c r="E292" t="n">
        <v>14.1321</v>
      </c>
      <c r="F292" t="n">
        <v/>
      </c>
      <c r="G292" t="n">
        <v>13.8297</v>
      </c>
      <c r="H292" t="n">
        <v>42.4316</v>
      </c>
      <c r="I292" t="n">
        <v>5.2592</v>
      </c>
      <c r="J292" t="n">
        <v/>
      </c>
      <c r="K292" t="n">
        <v/>
      </c>
    </row>
    <row r="293">
      <c r="A293" s="98" t="n">
        <v>15797</v>
      </c>
      <c r="B293" t="n">
        <v>15.0091</v>
      </c>
      <c r="C293" t="n">
        <v/>
      </c>
      <c r="D293" t="n">
        <v/>
      </c>
      <c r="E293" t="n">
        <v>14.2865</v>
      </c>
      <c r="F293" t="n">
        <v/>
      </c>
      <c r="G293" t="n">
        <v>13.9523</v>
      </c>
      <c r="H293" t="n">
        <v>43.0496</v>
      </c>
      <c r="I293" t="n">
        <v>5.31</v>
      </c>
      <c r="J293" t="n">
        <v/>
      </c>
      <c r="K293" t="n">
        <v/>
      </c>
    </row>
    <row r="294">
      <c r="A294" s="98" t="n">
        <v>15827</v>
      </c>
      <c r="B294" t="n">
        <v>15.1169</v>
      </c>
      <c r="C294" t="n">
        <v/>
      </c>
      <c r="D294" t="n">
        <v/>
      </c>
      <c r="E294" t="n">
        <v>14.5182</v>
      </c>
      <c r="F294" t="n">
        <v/>
      </c>
      <c r="G294" t="n">
        <v>13.9278</v>
      </c>
      <c r="H294" t="n">
        <v>41.6077</v>
      </c>
      <c r="I294" t="n">
        <v>5.3354</v>
      </c>
      <c r="J294" t="n">
        <v/>
      </c>
      <c r="K294" t="n">
        <v/>
      </c>
    </row>
    <row r="295">
      <c r="A295" s="98" t="n">
        <v>15858</v>
      </c>
      <c r="B295" t="n">
        <v>15.0361</v>
      </c>
      <c r="C295" t="n">
        <v/>
      </c>
      <c r="D295" t="n">
        <v/>
      </c>
      <c r="E295" t="n">
        <v>14.7498</v>
      </c>
      <c r="F295" t="n">
        <v/>
      </c>
      <c r="G295" t="n">
        <v>13.5845</v>
      </c>
      <c r="H295" t="n">
        <v>36.8016</v>
      </c>
      <c r="I295" t="n">
        <v>5.4371</v>
      </c>
      <c r="J295" t="n">
        <v/>
      </c>
      <c r="K295" t="n">
        <v/>
      </c>
    </row>
    <row r="296">
      <c r="A296" s="98" t="n">
        <v>15888</v>
      </c>
      <c r="B296" t="n">
        <v>15.4941</v>
      </c>
      <c r="C296" t="n">
        <v/>
      </c>
      <c r="D296" t="n">
        <v/>
      </c>
      <c r="E296" t="n">
        <v>14.9815</v>
      </c>
      <c r="F296" t="n">
        <v/>
      </c>
      <c r="G296" t="n">
        <v>14.0994</v>
      </c>
      <c r="H296" t="n">
        <v>42.7063</v>
      </c>
      <c r="I296" t="n">
        <v>5.4371</v>
      </c>
      <c r="J296" t="n">
        <v/>
      </c>
      <c r="K296" t="n">
        <v/>
      </c>
    </row>
    <row r="297">
      <c r="A297" s="98" t="n">
        <v>15919</v>
      </c>
      <c r="B297" t="n">
        <v>15.8175</v>
      </c>
      <c r="C297" t="n">
        <v/>
      </c>
      <c r="D297" t="n">
        <v/>
      </c>
      <c r="E297" t="n">
        <v>15.0588</v>
      </c>
      <c r="F297" t="n">
        <v/>
      </c>
      <c r="G297" t="n">
        <v>14.3691</v>
      </c>
      <c r="H297" t="n">
        <v>42.4316</v>
      </c>
      <c r="I297" t="n">
        <v>5.4879</v>
      </c>
      <c r="J297" t="n">
        <v/>
      </c>
      <c r="K297" t="n">
        <v/>
      </c>
    </row>
    <row r="298">
      <c r="A298" s="98" t="n">
        <v>15950</v>
      </c>
      <c r="B298" t="n">
        <v>16.2217</v>
      </c>
      <c r="C298" t="n">
        <v/>
      </c>
      <c r="D298" t="n">
        <v/>
      </c>
      <c r="E298" t="n">
        <v>15.1746</v>
      </c>
      <c r="F298" t="n">
        <v/>
      </c>
      <c r="G298" t="n">
        <v>14.7369</v>
      </c>
      <c r="H298" t="n">
        <v>43.0496</v>
      </c>
      <c r="I298" t="n">
        <v>5.6149</v>
      </c>
      <c r="J298" t="n">
        <v/>
      </c>
      <c r="K298" t="n">
        <v/>
      </c>
    </row>
    <row r="299">
      <c r="A299" s="98" t="n">
        <v>15980</v>
      </c>
      <c r="B299" t="n">
        <v>16.4642</v>
      </c>
      <c r="C299" t="n">
        <v/>
      </c>
      <c r="D299" t="n">
        <v/>
      </c>
      <c r="E299" t="n">
        <v>15.0588</v>
      </c>
      <c r="F299" t="n">
        <v/>
      </c>
      <c r="G299" t="n">
        <v>14.9822</v>
      </c>
      <c r="H299" t="n">
        <v>42.7063</v>
      </c>
      <c r="I299" t="n">
        <v>5.6403</v>
      </c>
      <c r="J299" t="n">
        <v/>
      </c>
      <c r="K299" t="n">
        <v/>
      </c>
    </row>
    <row r="300">
      <c r="A300" s="98" t="n">
        <v>16011</v>
      </c>
      <c r="B300" t="n">
        <v>16.6798</v>
      </c>
      <c r="C300" t="n">
        <v/>
      </c>
      <c r="D300" t="n">
        <v/>
      </c>
      <c r="E300" t="n">
        <v>15.0201</v>
      </c>
      <c r="F300" t="n">
        <v/>
      </c>
      <c r="G300" t="n">
        <v>15.1048</v>
      </c>
      <c r="H300" t="n">
        <v>41.8138</v>
      </c>
      <c r="I300" t="n">
        <v>5.6911</v>
      </c>
      <c r="J300" t="n">
        <v/>
      </c>
      <c r="K300" t="n">
        <v/>
      </c>
    </row>
    <row r="301">
      <c r="A301" s="98" t="n">
        <v>16041</v>
      </c>
      <c r="B301" t="n">
        <v>16.4642</v>
      </c>
      <c r="C301" t="n">
        <v/>
      </c>
      <c r="D301" t="n">
        <v/>
      </c>
      <c r="E301" t="n">
        <v>14.7112</v>
      </c>
      <c r="F301" t="n">
        <v/>
      </c>
      <c r="G301" t="n">
        <v>15.1047</v>
      </c>
      <c r="H301" t="n">
        <v>43.9422</v>
      </c>
      <c r="I301" t="n">
        <v>5.6911</v>
      </c>
      <c r="J301" t="n">
        <v/>
      </c>
      <c r="K301" t="n">
        <v/>
      </c>
    </row>
    <row r="302">
      <c r="A302" s="98" t="n">
        <v>16072</v>
      </c>
      <c r="B302" t="n">
        <v>16.6528</v>
      </c>
      <c r="C302" t="n">
        <v/>
      </c>
      <c r="D302" t="n">
        <v/>
      </c>
      <c r="E302" t="n">
        <v>14.8657</v>
      </c>
      <c r="F302" t="n">
        <v/>
      </c>
      <c r="G302" t="n">
        <v>15.2519</v>
      </c>
      <c r="H302" t="n">
        <v>43.5302</v>
      </c>
      <c r="I302" t="n">
        <v>5.6657</v>
      </c>
      <c r="J302" t="n">
        <v/>
      </c>
      <c r="K302" t="n">
        <v/>
      </c>
    </row>
    <row r="303">
      <c r="A303" s="98" t="n">
        <v>16103</v>
      </c>
      <c r="B303" t="n">
        <v>16.7876</v>
      </c>
      <c r="C303" t="n">
        <v/>
      </c>
      <c r="D303" t="n">
        <v/>
      </c>
      <c r="E303" t="n">
        <v>14.9429</v>
      </c>
      <c r="F303" t="n">
        <v/>
      </c>
      <c r="G303" t="n">
        <v>15.3745</v>
      </c>
      <c r="H303" t="n">
        <v>44.7661</v>
      </c>
      <c r="I303" t="n">
        <v>5.7165</v>
      </c>
      <c r="J303" t="n">
        <v/>
      </c>
      <c r="K303" t="n">
        <v/>
      </c>
    </row>
    <row r="304">
      <c r="A304" s="98" t="n">
        <v>16132</v>
      </c>
      <c r="B304" t="n">
        <v>16.7606</v>
      </c>
      <c r="C304" t="n">
        <v/>
      </c>
      <c r="D304" t="n">
        <v/>
      </c>
      <c r="E304" t="n">
        <v>15.136</v>
      </c>
      <c r="F304" t="n">
        <v/>
      </c>
      <c r="G304" t="n">
        <v>15.3009</v>
      </c>
      <c r="H304" t="n">
        <v>44.4914</v>
      </c>
      <c r="I304" t="n">
        <v>5.8182</v>
      </c>
      <c r="J304" t="n">
        <v/>
      </c>
      <c r="K304" t="n">
        <v/>
      </c>
    </row>
    <row r="305">
      <c r="A305" s="98" t="n">
        <v>16163</v>
      </c>
      <c r="B305" t="n">
        <v>16.7606</v>
      </c>
      <c r="C305" t="n">
        <v/>
      </c>
      <c r="D305" t="n">
        <v/>
      </c>
      <c r="E305" t="n">
        <v>15.2132</v>
      </c>
      <c r="F305" t="n">
        <v/>
      </c>
      <c r="G305" t="n">
        <v>15.2519</v>
      </c>
      <c r="H305" t="n">
        <v>45.7273</v>
      </c>
      <c r="I305" t="n">
        <v>5.869</v>
      </c>
      <c r="J305" t="n">
        <v/>
      </c>
      <c r="K305" t="n">
        <v/>
      </c>
    </row>
    <row r="306">
      <c r="A306" s="98" t="n">
        <v>16193</v>
      </c>
      <c r="B306" t="n">
        <v>16.6528</v>
      </c>
      <c r="C306" t="n">
        <v/>
      </c>
      <c r="D306" t="n">
        <v/>
      </c>
      <c r="E306" t="n">
        <v>15.329</v>
      </c>
      <c r="F306" t="n">
        <v/>
      </c>
      <c r="G306" t="n">
        <v>15.0312</v>
      </c>
      <c r="H306" t="n">
        <v>46.002</v>
      </c>
      <c r="I306" t="n">
        <v>5.8436</v>
      </c>
      <c r="J306" t="n">
        <v/>
      </c>
      <c r="K306" t="n">
        <v/>
      </c>
    </row>
    <row r="307">
      <c r="A307" s="98" t="n">
        <v>16224</v>
      </c>
      <c r="B307" t="n">
        <v>16.5989</v>
      </c>
      <c r="C307" t="n">
        <v/>
      </c>
      <c r="D307" t="n">
        <v/>
      </c>
      <c r="E307" t="n">
        <v>15.4062</v>
      </c>
      <c r="F307" t="n">
        <v/>
      </c>
      <c r="G307" t="n">
        <v>14.8105</v>
      </c>
      <c r="H307" t="n">
        <v>44.6287</v>
      </c>
      <c r="I307" t="n">
        <v>5.8182</v>
      </c>
      <c r="J307" t="n">
        <v/>
      </c>
      <c r="K307" t="n">
        <v/>
      </c>
    </row>
    <row r="308">
      <c r="A308" s="98" t="n">
        <v>16254</v>
      </c>
      <c r="B308" t="n">
        <v>16.572</v>
      </c>
      <c r="C308" t="n">
        <v/>
      </c>
      <c r="D308" t="n">
        <v/>
      </c>
      <c r="E308" t="n">
        <v>15.4835</v>
      </c>
      <c r="F308" t="n">
        <v/>
      </c>
      <c r="G308" t="n">
        <v>14.5898</v>
      </c>
      <c r="H308" t="n">
        <v>44.1481</v>
      </c>
      <c r="I308" t="n">
        <v>5.7419</v>
      </c>
      <c r="J308" t="n">
        <v/>
      </c>
      <c r="K308" t="n">
        <v/>
      </c>
    </row>
    <row r="309">
      <c r="A309" s="98" t="n">
        <v>16285</v>
      </c>
      <c r="B309" t="n">
        <v>16.7876</v>
      </c>
      <c r="C309" t="n">
        <v/>
      </c>
      <c r="D309" t="n">
        <v/>
      </c>
      <c r="E309" t="n">
        <v>15.831</v>
      </c>
      <c r="F309" t="n">
        <v/>
      </c>
      <c r="G309" t="n">
        <v>14.7615</v>
      </c>
      <c r="H309" t="n">
        <v>44.5601</v>
      </c>
      <c r="I309" t="n">
        <v>5.7928</v>
      </c>
      <c r="J309" t="n">
        <v/>
      </c>
      <c r="K309" t="n">
        <v/>
      </c>
    </row>
    <row r="310">
      <c r="A310" s="98" t="n">
        <v>16316</v>
      </c>
      <c r="B310" t="n">
        <v>16.6798</v>
      </c>
      <c r="C310" t="n">
        <v/>
      </c>
      <c r="D310" t="n">
        <v/>
      </c>
      <c r="E310" t="n">
        <v>15.4835</v>
      </c>
      <c r="F310" t="n">
        <v/>
      </c>
      <c r="G310" t="n">
        <v>14.7369</v>
      </c>
      <c r="H310" t="n">
        <v>44.7661</v>
      </c>
      <c r="I310" t="n">
        <v>5.7928</v>
      </c>
      <c r="J310" t="n">
        <v/>
      </c>
      <c r="K310" t="n">
        <v/>
      </c>
    </row>
    <row r="311">
      <c r="A311" s="98" t="n">
        <v>16346</v>
      </c>
      <c r="B311" t="n">
        <v>16.7337</v>
      </c>
      <c r="C311" t="n">
        <v/>
      </c>
      <c r="D311" t="n">
        <v/>
      </c>
      <c r="E311" t="n">
        <v>15.5221</v>
      </c>
      <c r="F311" t="n">
        <v/>
      </c>
      <c r="G311" t="n">
        <v>14.786</v>
      </c>
      <c r="H311" t="n">
        <v>44.8348</v>
      </c>
      <c r="I311" t="n">
        <v>5.7928</v>
      </c>
      <c r="J311" t="n">
        <v/>
      </c>
      <c r="K311" t="n">
        <v/>
      </c>
    </row>
    <row r="312">
      <c r="A312" s="98" t="n">
        <v>16377</v>
      </c>
      <c r="B312" t="n">
        <v>16.5989</v>
      </c>
      <c r="C312" t="n">
        <v/>
      </c>
      <c r="D312" t="n">
        <v/>
      </c>
      <c r="E312" t="n">
        <v>15.4835</v>
      </c>
      <c r="F312" t="n">
        <v/>
      </c>
      <c r="G312" t="n">
        <v>14.8105</v>
      </c>
      <c r="H312" t="n">
        <v>45.2467</v>
      </c>
      <c r="I312" t="n">
        <v>5.7928</v>
      </c>
      <c r="J312" t="n">
        <v/>
      </c>
      <c r="K312" t="n">
        <v/>
      </c>
    </row>
    <row r="313">
      <c r="A313" s="98" t="n">
        <v>16407</v>
      </c>
      <c r="B313" t="n">
        <v>16.545</v>
      </c>
      <c r="C313" t="n">
        <v/>
      </c>
      <c r="D313" t="n">
        <v/>
      </c>
      <c r="E313" t="n">
        <v>15.4835</v>
      </c>
      <c r="F313" t="n">
        <v/>
      </c>
      <c r="G313" t="n">
        <v>14.8841</v>
      </c>
      <c r="H313" t="n">
        <v>44.0795</v>
      </c>
      <c r="I313" t="n">
        <v>5.8182</v>
      </c>
      <c r="J313" t="n">
        <v/>
      </c>
      <c r="K313" t="n">
        <v/>
      </c>
    </row>
    <row r="314">
      <c r="A314" s="98" t="n">
        <v>16438</v>
      </c>
      <c r="B314" t="n">
        <v>16.3834</v>
      </c>
      <c r="C314" t="n">
        <v/>
      </c>
      <c r="D314" t="n">
        <v/>
      </c>
      <c r="E314" t="n">
        <v>15.7151</v>
      </c>
      <c r="F314" t="n">
        <v/>
      </c>
      <c r="G314" t="n">
        <v>14.7124</v>
      </c>
      <c r="H314" t="n">
        <v>43.6675</v>
      </c>
      <c r="I314" t="n">
        <v>5.9198</v>
      </c>
      <c r="J314" t="n">
        <v/>
      </c>
      <c r="K314" t="n">
        <v/>
      </c>
    </row>
    <row r="315">
      <c r="A315" s="98" t="n">
        <v>16469</v>
      </c>
      <c r="B315" t="n">
        <v>16.3295</v>
      </c>
      <c r="C315" t="n">
        <v/>
      </c>
      <c r="D315" t="n">
        <v/>
      </c>
      <c r="E315" t="n">
        <v>15.5993</v>
      </c>
      <c r="F315" t="n">
        <v/>
      </c>
      <c r="G315" t="n">
        <v>14.8595</v>
      </c>
      <c r="H315" t="n">
        <v>44.4915</v>
      </c>
      <c r="I315" t="n">
        <v>5.9452</v>
      </c>
      <c r="J315" t="n">
        <v/>
      </c>
      <c r="K315" t="n">
        <v/>
      </c>
    </row>
    <row r="316">
      <c r="A316" s="98" t="n">
        <v>16497</v>
      </c>
      <c r="B316" t="n">
        <v>16.2217</v>
      </c>
      <c r="C316" t="n">
        <v/>
      </c>
      <c r="D316" t="n">
        <v/>
      </c>
      <c r="E316" t="n">
        <v>15.5607</v>
      </c>
      <c r="F316" t="n">
        <v/>
      </c>
      <c r="G316" t="n">
        <v>14.8841</v>
      </c>
      <c r="H316" t="n">
        <v>45.5213</v>
      </c>
      <c r="I316" t="n">
        <v>5.8944</v>
      </c>
      <c r="J316" t="n">
        <v/>
      </c>
      <c r="K316" t="n">
        <v/>
      </c>
    </row>
    <row r="317">
      <c r="A317" s="98" t="n">
        <v>16528</v>
      </c>
      <c r="B317" t="n">
        <v>15.9253</v>
      </c>
      <c r="C317" t="n">
        <v/>
      </c>
      <c r="D317" t="n">
        <v/>
      </c>
      <c r="E317" t="n">
        <v>15.6765</v>
      </c>
      <c r="F317" t="n">
        <v/>
      </c>
      <c r="G317" t="n">
        <v>14.6634</v>
      </c>
      <c r="H317" t="n">
        <v>45.9333</v>
      </c>
      <c r="I317" t="n">
        <v>5.8944</v>
      </c>
      <c r="J317" t="n">
        <v/>
      </c>
      <c r="K317" t="n">
        <v/>
      </c>
    </row>
    <row r="318">
      <c r="A318" s="98" t="n">
        <v>16558</v>
      </c>
      <c r="B318" t="n">
        <v>15.4941</v>
      </c>
      <c r="C318" t="n">
        <v/>
      </c>
      <c r="D318" t="n">
        <v/>
      </c>
      <c r="E318" t="n">
        <v>15.7151</v>
      </c>
      <c r="F318" t="n">
        <v/>
      </c>
      <c r="G318" t="n">
        <v>14.271</v>
      </c>
      <c r="H318" t="n">
        <v>44.6974</v>
      </c>
      <c r="I318" t="n">
        <v>5.9452</v>
      </c>
      <c r="J318" t="n">
        <v/>
      </c>
      <c r="K318" t="n">
        <v/>
      </c>
    </row>
    <row r="319">
      <c r="A319" s="98" t="n">
        <v>16589</v>
      </c>
      <c r="B319" t="n">
        <v>15.1438</v>
      </c>
      <c r="C319" t="n">
        <v/>
      </c>
      <c r="D319" t="n">
        <v/>
      </c>
      <c r="E319" t="n">
        <v>15.831</v>
      </c>
      <c r="F319" t="n">
        <v/>
      </c>
      <c r="G319" t="n">
        <v>13.9032</v>
      </c>
      <c r="H319" t="n">
        <v>45.2467</v>
      </c>
      <c r="I319" t="n">
        <v>5.996</v>
      </c>
      <c r="J319" t="n">
        <v/>
      </c>
      <c r="K319" t="n">
        <v/>
      </c>
    </row>
    <row r="320">
      <c r="A320" s="98" t="n">
        <v>16619</v>
      </c>
      <c r="B320" t="n">
        <v>14.7935</v>
      </c>
      <c r="C320" t="n">
        <v/>
      </c>
      <c r="D320" t="n">
        <v/>
      </c>
      <c r="E320" t="n">
        <v>15.7924</v>
      </c>
      <c r="F320" t="n">
        <v/>
      </c>
      <c r="G320" t="n">
        <v>13.3883</v>
      </c>
      <c r="H320" t="n">
        <v>45.178</v>
      </c>
      <c r="I320" t="n">
        <v>5.9452</v>
      </c>
      <c r="J320" t="n">
        <v/>
      </c>
      <c r="K320" t="n">
        <v/>
      </c>
    </row>
    <row r="321">
      <c r="A321" s="98" t="n">
        <v>16650</v>
      </c>
      <c r="B321" t="n">
        <v>13.2576</v>
      </c>
      <c r="C321" t="n">
        <v/>
      </c>
      <c r="D321" t="n">
        <v/>
      </c>
      <c r="E321" t="n">
        <v>15.0974</v>
      </c>
      <c r="F321" t="n">
        <v/>
      </c>
      <c r="G321" t="n">
        <v>12.1378</v>
      </c>
      <c r="H321" t="n">
        <v>43.9422</v>
      </c>
      <c r="I321" t="n">
        <v>5.869</v>
      </c>
      <c r="J321" t="n">
        <v/>
      </c>
      <c r="K321" t="n">
        <v/>
      </c>
    </row>
    <row r="322">
      <c r="A322" s="98" t="n">
        <v>16681</v>
      </c>
      <c r="B322" t="n">
        <v>12.072</v>
      </c>
      <c r="C322" t="n">
        <v/>
      </c>
      <c r="D322" t="n">
        <v/>
      </c>
      <c r="E322" t="n">
        <v>15.831</v>
      </c>
      <c r="F322" t="n">
        <v/>
      </c>
      <c r="G322" t="n">
        <v>11.2305</v>
      </c>
      <c r="H322" t="n">
        <v>42.0197</v>
      </c>
      <c r="I322" t="n">
        <v>5.7928</v>
      </c>
      <c r="J322" t="n">
        <v/>
      </c>
      <c r="K322" t="n">
        <v/>
      </c>
    </row>
    <row r="323">
      <c r="A323" s="98" t="n">
        <v>16711</v>
      </c>
      <c r="B323" t="n">
        <v>11.5869</v>
      </c>
      <c r="C323" t="n">
        <v/>
      </c>
      <c r="D323" t="n">
        <v/>
      </c>
      <c r="E323" t="n">
        <v>16.0627</v>
      </c>
      <c r="F323" t="n">
        <v/>
      </c>
      <c r="G323" t="n">
        <v>10.6175</v>
      </c>
      <c r="H323" t="n">
        <v>38.7927</v>
      </c>
      <c r="I323" t="n">
        <v>5.7928</v>
      </c>
      <c r="J323" t="n">
        <v/>
      </c>
      <c r="K323" t="n">
        <v/>
      </c>
    </row>
    <row r="324">
      <c r="A324" s="98" t="n">
        <v>16742</v>
      </c>
      <c r="B324" t="n">
        <v>12.0181</v>
      </c>
      <c r="C324" t="n">
        <v/>
      </c>
      <c r="D324" t="n">
        <v/>
      </c>
      <c r="E324" t="n">
        <v>16.526</v>
      </c>
      <c r="F324" t="n">
        <v/>
      </c>
      <c r="G324" t="n">
        <v>11.3531</v>
      </c>
      <c r="H324" t="n">
        <v>43.9422</v>
      </c>
      <c r="I324" t="n">
        <v>5.7928</v>
      </c>
      <c r="J324" t="n">
        <v/>
      </c>
      <c r="K324" t="n">
        <v/>
      </c>
    </row>
    <row r="325">
      <c r="A325" s="98" t="n">
        <v>16772</v>
      </c>
      <c r="B325" t="n">
        <v>12.072</v>
      </c>
      <c r="C325" t="n">
        <v/>
      </c>
      <c r="D325" t="n">
        <v/>
      </c>
      <c r="E325" t="n">
        <v>16.7191</v>
      </c>
      <c r="F325" t="n">
        <v/>
      </c>
      <c r="G325" t="n">
        <v>11.4757</v>
      </c>
      <c r="H325" t="n">
        <v>42.9122</v>
      </c>
      <c r="I325" t="n">
        <v>5.869</v>
      </c>
      <c r="J325" t="n">
        <v/>
      </c>
      <c r="K325" t="n">
        <v/>
      </c>
    </row>
    <row r="326">
      <c r="A326" s="98" t="n">
        <v>16803</v>
      </c>
      <c r="B326" t="n">
        <v>11.3983</v>
      </c>
      <c r="C326" t="n">
        <v/>
      </c>
      <c r="D326" t="n">
        <v/>
      </c>
      <c r="E326" t="n">
        <v>17.4527</v>
      </c>
      <c r="F326" t="n">
        <v/>
      </c>
      <c r="G326" t="n">
        <v>10.0535</v>
      </c>
      <c r="H326" t="n">
        <v>43.6675</v>
      </c>
      <c r="I326" t="n">
        <v>5.8436</v>
      </c>
      <c r="J326" t="n">
        <v/>
      </c>
      <c r="K326" t="n">
        <v/>
      </c>
    </row>
    <row r="327">
      <c r="A327" s="98" t="n">
        <v>16834</v>
      </c>
      <c r="B327" t="n">
        <v>10.8324</v>
      </c>
      <c r="C327" t="n">
        <v/>
      </c>
      <c r="D327" t="n">
        <v/>
      </c>
      <c r="E327" t="n">
        <v>18.1477</v>
      </c>
      <c r="F327" t="n">
        <v/>
      </c>
      <c r="G327" t="n">
        <v>8.852</v>
      </c>
      <c r="H327" t="n">
        <v>44.3541</v>
      </c>
      <c r="I327" t="n">
        <v>5.869</v>
      </c>
      <c r="J327" t="n">
        <v/>
      </c>
      <c r="K327" t="n">
        <v/>
      </c>
    </row>
    <row r="328">
      <c r="A328" s="98" t="n">
        <v>16862</v>
      </c>
      <c r="B328" t="n">
        <v>11.9642</v>
      </c>
      <c r="C328" t="n">
        <v/>
      </c>
      <c r="D328" t="n">
        <v/>
      </c>
      <c r="E328" t="n">
        <v>18.0319</v>
      </c>
      <c r="F328" t="n">
        <v/>
      </c>
      <c r="G328" t="n">
        <v>11.1324</v>
      </c>
      <c r="H328" t="n">
        <v>43.7362</v>
      </c>
      <c r="I328" t="n">
        <v>5.869</v>
      </c>
      <c r="J328" t="n">
        <v/>
      </c>
      <c r="K328" t="n">
        <v/>
      </c>
    </row>
    <row r="329">
      <c r="A329" s="98" t="n">
        <v>16893</v>
      </c>
      <c r="B329" t="n">
        <v>11.7486</v>
      </c>
      <c r="C329" t="n">
        <v/>
      </c>
      <c r="D329" t="n">
        <v/>
      </c>
      <c r="E329" t="n">
        <v>18.2249</v>
      </c>
      <c r="F329" t="n">
        <v/>
      </c>
      <c r="G329" t="n">
        <v>10.3968</v>
      </c>
      <c r="H329" t="n">
        <v>33.7805</v>
      </c>
      <c r="I329" t="n">
        <v>5.9706</v>
      </c>
      <c r="J329" t="n">
        <v/>
      </c>
      <c r="K329" t="n">
        <v/>
      </c>
    </row>
    <row r="330">
      <c r="A330" s="98" t="n">
        <v>16923</v>
      </c>
      <c r="B330" t="n">
        <v>11.3175</v>
      </c>
      <c r="C330" t="n">
        <v/>
      </c>
      <c r="D330" t="n">
        <v/>
      </c>
      <c r="E330" t="n">
        <v>18.3022</v>
      </c>
      <c r="F330" t="n">
        <v/>
      </c>
      <c r="G330" t="n">
        <v>9.6121</v>
      </c>
      <c r="H330" t="n">
        <v>37.3508</v>
      </c>
      <c r="I330" t="n">
        <v>5.9706</v>
      </c>
      <c r="J330" t="n">
        <v/>
      </c>
      <c r="K330" t="n">
        <v/>
      </c>
    </row>
    <row r="331">
      <c r="A331" s="98" t="n">
        <v>16954</v>
      </c>
      <c r="B331" t="n">
        <v>12.0181</v>
      </c>
      <c r="C331" t="n">
        <v/>
      </c>
      <c r="D331" t="n">
        <v/>
      </c>
      <c r="E331" t="n">
        <v>18.3408</v>
      </c>
      <c r="F331" t="n">
        <v/>
      </c>
      <c r="G331" t="n">
        <v>10.9608</v>
      </c>
      <c r="H331" t="n">
        <v>43.3929</v>
      </c>
      <c r="I331" t="n">
        <v>5.996</v>
      </c>
      <c r="J331" t="n">
        <v/>
      </c>
      <c r="K331" t="n">
        <v/>
      </c>
    </row>
    <row r="332">
      <c r="A332" s="98" t="n">
        <v>16984</v>
      </c>
      <c r="B332" t="n">
        <v>12.4223</v>
      </c>
      <c r="C332" t="n">
        <v/>
      </c>
      <c r="D332" t="n">
        <v/>
      </c>
      <c r="E332" t="n">
        <v>18.7655</v>
      </c>
      <c r="F332" t="n">
        <v/>
      </c>
      <c r="G332" t="n">
        <v>11.5983</v>
      </c>
      <c r="H332" t="n">
        <v>46.2766</v>
      </c>
      <c r="I332" t="n">
        <v>6.1231</v>
      </c>
      <c r="J332" t="n">
        <v/>
      </c>
      <c r="K332" t="n">
        <v/>
      </c>
    </row>
    <row r="333">
      <c r="A333" s="98" t="n">
        <v>17015</v>
      </c>
      <c r="B333" t="n">
        <v>12.8803</v>
      </c>
      <c r="C333" t="n">
        <v/>
      </c>
      <c r="D333" t="n">
        <v/>
      </c>
      <c r="E333" t="n">
        <v>19.3833</v>
      </c>
      <c r="F333" t="n">
        <v/>
      </c>
      <c r="G333" t="n">
        <v>12.0397</v>
      </c>
      <c r="H333" t="n">
        <v>44.9721</v>
      </c>
      <c r="I333" t="n">
        <v>6.2501</v>
      </c>
      <c r="J333" t="n">
        <v/>
      </c>
      <c r="K333" t="n">
        <v/>
      </c>
    </row>
    <row r="334">
      <c r="A334" s="98" t="n">
        <v>17046</v>
      </c>
      <c r="B334" t="n">
        <v>13.1229</v>
      </c>
      <c r="C334" t="n">
        <v/>
      </c>
      <c r="D334" t="n">
        <v/>
      </c>
      <c r="E334" t="n">
        <v>19.7694</v>
      </c>
      <c r="F334" t="n">
        <v/>
      </c>
      <c r="G334" t="n">
        <v>12.1132</v>
      </c>
      <c r="H334" t="n">
        <v>45.6587</v>
      </c>
      <c r="I334" t="n">
        <v>6.3517</v>
      </c>
      <c r="J334" t="n">
        <v/>
      </c>
      <c r="K334" t="n">
        <v/>
      </c>
    </row>
    <row r="335">
      <c r="A335" s="98" t="n">
        <v>17076</v>
      </c>
      <c r="B335" t="n">
        <v>13.3654</v>
      </c>
      <c r="C335" t="n">
        <v/>
      </c>
      <c r="D335" t="n">
        <v/>
      </c>
      <c r="E335" t="n">
        <v>20.0011</v>
      </c>
      <c r="F335" t="n">
        <v/>
      </c>
      <c r="G335" t="n">
        <v>12.383</v>
      </c>
      <c r="H335" t="n">
        <v>45.3154</v>
      </c>
      <c r="I335" t="n">
        <v>6.4279</v>
      </c>
      <c r="J335" t="n">
        <v/>
      </c>
      <c r="K335" t="n">
        <v/>
      </c>
    </row>
    <row r="336">
      <c r="A336" s="98" t="n">
        <v>17107</v>
      </c>
      <c r="B336" t="n">
        <v>13.4462</v>
      </c>
      <c r="C336" t="n">
        <v/>
      </c>
      <c r="D336" t="n">
        <v/>
      </c>
      <c r="E336" t="n">
        <v>20.2714</v>
      </c>
      <c r="F336" t="n">
        <v/>
      </c>
      <c r="G336" t="n">
        <v>12.3584</v>
      </c>
      <c r="H336" t="n">
        <v>43.3242</v>
      </c>
      <c r="I336" t="n">
        <v>6.4533</v>
      </c>
      <c r="J336" t="n">
        <v/>
      </c>
      <c r="K336" t="n">
        <v/>
      </c>
    </row>
    <row r="337">
      <c r="A337" s="98" t="n">
        <v>17137</v>
      </c>
      <c r="B337" t="n">
        <v>13.5271</v>
      </c>
      <c r="C337" t="n">
        <v/>
      </c>
      <c r="D337" t="n">
        <v/>
      </c>
      <c r="E337" t="n">
        <v>20.3872</v>
      </c>
      <c r="F337" t="n">
        <v/>
      </c>
      <c r="G337" t="n">
        <v>12.432</v>
      </c>
      <c r="H337" t="n">
        <v>44.3541</v>
      </c>
      <c r="I337" t="n">
        <v>6.4788</v>
      </c>
      <c r="J337" t="n">
        <v/>
      </c>
      <c r="K337" t="n">
        <v/>
      </c>
    </row>
    <row r="338">
      <c r="A338" s="98" t="n">
        <v>17168</v>
      </c>
      <c r="B338" t="n">
        <v>13.6887</v>
      </c>
      <c r="C338" t="n">
        <v>24.0133</v>
      </c>
      <c r="D338" t="n">
        <v>5.5114</v>
      </c>
      <c r="E338" t="n">
        <v>19.9625</v>
      </c>
      <c r="F338" t="n">
        <v/>
      </c>
      <c r="G338" t="n">
        <v>12.432</v>
      </c>
      <c r="H338" t="n">
        <v>47.3752</v>
      </c>
      <c r="I338" t="n">
        <v>6.2501</v>
      </c>
      <c r="J338" t="n">
        <v/>
      </c>
      <c r="K338" t="n">
        <v/>
      </c>
    </row>
    <row r="339">
      <c r="A339" s="98" t="n">
        <v>17199</v>
      </c>
      <c r="B339" t="n">
        <v>13.7696</v>
      </c>
      <c r="C339" t="n">
        <v>24.7342</v>
      </c>
      <c r="D339" t="n">
        <v>5.5709</v>
      </c>
      <c r="E339" t="n">
        <v>19.8853</v>
      </c>
      <c r="F339" t="n">
        <v/>
      </c>
      <c r="G339" t="n">
        <v>12.5301</v>
      </c>
      <c r="H339" t="n">
        <v>47.9244</v>
      </c>
      <c r="I339" t="n">
        <v>6.3009</v>
      </c>
      <c r="J339" t="n">
        <v/>
      </c>
      <c r="K339" t="n">
        <v/>
      </c>
    </row>
    <row r="340">
      <c r="A340" s="98" t="n">
        <v>17227</v>
      </c>
      <c r="B340" t="n">
        <v>13.8504</v>
      </c>
      <c r="C340" t="n">
        <v>25.0045</v>
      </c>
      <c r="D340" t="n">
        <v>5.6006</v>
      </c>
      <c r="E340" t="n">
        <v>19.9625</v>
      </c>
      <c r="F340" t="n">
        <v/>
      </c>
      <c r="G340" t="n">
        <v>12.9469</v>
      </c>
      <c r="H340" t="n">
        <v>48.817</v>
      </c>
      <c r="I340" t="n">
        <v>6.3517</v>
      </c>
      <c r="J340" t="n">
        <v/>
      </c>
      <c r="K340" t="n">
        <v/>
      </c>
    </row>
    <row r="341">
      <c r="A341" s="98" t="n">
        <v>17258</v>
      </c>
      <c r="B341" t="n">
        <v>13.7426</v>
      </c>
      <c r="C341" t="n">
        <v>25.2297</v>
      </c>
      <c r="D341" t="n">
        <v>5.6799</v>
      </c>
      <c r="E341" t="n">
        <v>19.8853</v>
      </c>
      <c r="F341" t="n">
        <v/>
      </c>
      <c r="G341" t="n">
        <v>12.6282</v>
      </c>
      <c r="H341" t="n">
        <v>44.6974</v>
      </c>
      <c r="I341" t="n">
        <v>6.4788</v>
      </c>
      <c r="J341" t="n">
        <v/>
      </c>
      <c r="K341" t="n">
        <v/>
      </c>
    </row>
    <row r="342">
      <c r="A342" s="98" t="n">
        <v>17288</v>
      </c>
      <c r="B342" t="n">
        <v>13.7965</v>
      </c>
      <c r="C342" t="n">
        <v>25.5451</v>
      </c>
      <c r="D342" t="n">
        <v>5.7097</v>
      </c>
      <c r="E342" t="n">
        <v>19.7308</v>
      </c>
      <c r="F342" t="n">
        <v/>
      </c>
      <c r="G342" t="n">
        <v>12.6772</v>
      </c>
      <c r="H342" t="n">
        <v>48.4051</v>
      </c>
      <c r="I342" t="n">
        <v>6.5804</v>
      </c>
      <c r="J342" t="n">
        <v/>
      </c>
      <c r="K342" t="n">
        <v/>
      </c>
    </row>
    <row r="343">
      <c r="A343" s="98" t="n">
        <v>17319</v>
      </c>
      <c r="B343" t="n">
        <v>13.7965</v>
      </c>
      <c r="C343" t="n">
        <v>25.5902</v>
      </c>
      <c r="D343" t="n">
        <v>5.7493</v>
      </c>
      <c r="E343" t="n">
        <v>19.7694</v>
      </c>
      <c r="F343" t="n">
        <v/>
      </c>
      <c r="G343" t="n">
        <v>12.5546</v>
      </c>
      <c r="H343" t="n">
        <v>47.9931</v>
      </c>
      <c r="I343" t="n">
        <v>6.6058</v>
      </c>
      <c r="J343" t="n">
        <v/>
      </c>
      <c r="K343" t="n">
        <v/>
      </c>
    </row>
    <row r="344">
      <c r="A344" s="98" t="n">
        <v>17349</v>
      </c>
      <c r="B344" t="n">
        <v>13.7157</v>
      </c>
      <c r="C344" t="n">
        <v>24.9594</v>
      </c>
      <c r="D344" t="n">
        <v>5.6502</v>
      </c>
      <c r="E344" t="n">
        <v>19.8467</v>
      </c>
      <c r="F344" t="n">
        <v/>
      </c>
      <c r="G344" t="n">
        <v>12.432</v>
      </c>
      <c r="H344" t="n">
        <v>48.7483</v>
      </c>
      <c r="I344" t="n">
        <v>6.6566</v>
      </c>
      <c r="J344" t="n">
        <v/>
      </c>
      <c r="K344" t="n">
        <v/>
      </c>
    </row>
    <row r="345">
      <c r="A345" s="98" t="n">
        <v>17380</v>
      </c>
      <c r="B345" t="n">
        <v>13.7965</v>
      </c>
      <c r="C345" t="n">
        <v>25.3199</v>
      </c>
      <c r="D345" t="n">
        <v>5.7493</v>
      </c>
      <c r="E345" t="n">
        <v>20.0011</v>
      </c>
      <c r="F345" t="n">
        <v/>
      </c>
      <c r="G345" t="n">
        <v>12.4075</v>
      </c>
      <c r="H345" t="n">
        <v>49.5723</v>
      </c>
      <c r="I345" t="n">
        <v>6.7328</v>
      </c>
      <c r="J345" t="n">
        <v/>
      </c>
      <c r="K345" t="n">
        <v/>
      </c>
    </row>
    <row r="346">
      <c r="A346" s="98" t="n">
        <v>17411</v>
      </c>
      <c r="B346" t="n">
        <v>13.9043</v>
      </c>
      <c r="C346" t="n">
        <v>25.5451</v>
      </c>
      <c r="D346" t="n">
        <v>5.8286</v>
      </c>
      <c r="E346" t="n">
        <v>20.1942</v>
      </c>
      <c r="F346" t="n">
        <v/>
      </c>
      <c r="G346" t="n">
        <v>12.5791</v>
      </c>
      <c r="H346" t="n">
        <v>50.1215</v>
      </c>
      <c r="I346" t="n">
        <v>6.809</v>
      </c>
      <c r="J346" t="n">
        <v/>
      </c>
      <c r="K346" t="n">
        <v/>
      </c>
    </row>
    <row r="347">
      <c r="A347" s="98" t="n">
        <v>17441</v>
      </c>
      <c r="B347" t="n">
        <v>14.039</v>
      </c>
      <c r="C347" t="n">
        <v>25.5001</v>
      </c>
      <c r="D347" t="n">
        <v>5.8683</v>
      </c>
      <c r="E347" t="n">
        <v>20.5031</v>
      </c>
      <c r="F347" t="n">
        <v/>
      </c>
      <c r="G347" t="n">
        <v>12.6772</v>
      </c>
      <c r="H347" t="n">
        <v>49.9156</v>
      </c>
      <c r="I347" t="n">
        <v>6.8599</v>
      </c>
      <c r="J347" t="n">
        <v/>
      </c>
      <c r="K347" t="n">
        <v/>
      </c>
    </row>
    <row r="348">
      <c r="A348" s="98" t="n">
        <v>17472</v>
      </c>
      <c r="B348" t="n">
        <v>14.2277</v>
      </c>
      <c r="C348" t="n">
        <v>25.9957</v>
      </c>
      <c r="D348" t="n">
        <v>5.8683</v>
      </c>
      <c r="E348" t="n">
        <v>20.8119</v>
      </c>
      <c r="F348" t="n">
        <v/>
      </c>
      <c r="G348" t="n">
        <v>12.9715</v>
      </c>
      <c r="H348" t="n">
        <v>50.3275</v>
      </c>
      <c r="I348" t="n">
        <v>6.9107</v>
      </c>
      <c r="J348" t="n">
        <v/>
      </c>
      <c r="K348" t="n">
        <v/>
      </c>
    </row>
    <row r="349">
      <c r="A349" s="98" t="n">
        <v>17502</v>
      </c>
      <c r="B349" t="n">
        <v>14.2815</v>
      </c>
      <c r="C349" t="n">
        <v>26.0407</v>
      </c>
      <c r="D349" t="n">
        <v>5.9178</v>
      </c>
      <c r="E349" t="n">
        <v>20.8506</v>
      </c>
      <c r="F349" t="n">
        <v/>
      </c>
      <c r="G349" t="n">
        <v>12.8243</v>
      </c>
      <c r="H349" t="n">
        <v>50.2589</v>
      </c>
      <c r="I349" t="n">
        <v>6.9615</v>
      </c>
      <c r="J349" t="n">
        <v/>
      </c>
      <c r="K349" t="n">
        <v/>
      </c>
    </row>
    <row r="350">
      <c r="A350" s="98" t="n">
        <v>17533</v>
      </c>
      <c r="B350" t="n">
        <v>14.3624</v>
      </c>
      <c r="C350" t="n">
        <v>27.2121</v>
      </c>
      <c r="D350" t="n">
        <v>5.9674</v>
      </c>
      <c r="E350" t="n">
        <v>20.7347</v>
      </c>
      <c r="F350" t="n">
        <v/>
      </c>
      <c r="G350" t="n">
        <v>12.8734</v>
      </c>
      <c r="H350" t="n">
        <v>50.9454</v>
      </c>
      <c r="I350" t="n">
        <v>7.0885</v>
      </c>
      <c r="J350" t="n">
        <v/>
      </c>
      <c r="K350" t="n">
        <v/>
      </c>
    </row>
    <row r="351">
      <c r="A351" s="98" t="n">
        <v>17564</v>
      </c>
      <c r="B351" t="n">
        <v>14.3893</v>
      </c>
      <c r="C351" t="n">
        <v>26.9418</v>
      </c>
      <c r="D351" t="n">
        <v>5.9377</v>
      </c>
      <c r="E351" t="n">
        <v>20.812</v>
      </c>
      <c r="F351" t="n">
        <v/>
      </c>
      <c r="G351" t="n">
        <v>12.9469</v>
      </c>
      <c r="H351" t="n">
        <v>51.0141</v>
      </c>
      <c r="I351" t="n">
        <v>7.1139</v>
      </c>
      <c r="J351" t="n">
        <v/>
      </c>
      <c r="K351" t="n">
        <v/>
      </c>
    </row>
    <row r="352">
      <c r="A352" s="98" t="n">
        <v>17593</v>
      </c>
      <c r="B352" t="n">
        <v>14.2277</v>
      </c>
      <c r="C352" t="n">
        <v>27.0319</v>
      </c>
      <c r="D352" t="n">
        <v>5.9773</v>
      </c>
      <c r="E352" t="n">
        <v>20.5803</v>
      </c>
      <c r="F352" t="n">
        <v/>
      </c>
      <c r="G352" t="n">
        <v>12.8243</v>
      </c>
      <c r="H352" t="n">
        <v>46.002</v>
      </c>
      <c r="I352" t="n">
        <v>7.2664</v>
      </c>
      <c r="J352" t="n">
        <v/>
      </c>
      <c r="K352" t="n">
        <v/>
      </c>
    </row>
    <row r="353">
      <c r="A353" s="98" t="n">
        <v>17624</v>
      </c>
      <c r="B353" t="n">
        <v>14.2546</v>
      </c>
      <c r="C353" t="n">
        <v>26.8517</v>
      </c>
      <c r="D353" t="n">
        <v>5.9377</v>
      </c>
      <c r="E353" t="n">
        <v>20.7347</v>
      </c>
      <c r="F353" t="n">
        <v/>
      </c>
      <c r="G353" t="n">
        <v>12.7263</v>
      </c>
      <c r="H353" t="n">
        <v>47.1692</v>
      </c>
      <c r="I353" t="n">
        <v>7.2156</v>
      </c>
      <c r="J353" t="n">
        <v/>
      </c>
      <c r="K353" t="n">
        <v/>
      </c>
    </row>
    <row r="354">
      <c r="A354" s="98" t="n">
        <v>17654</v>
      </c>
      <c r="B354" t="n">
        <v>14.4971</v>
      </c>
      <c r="C354" t="n">
        <v>27.0769</v>
      </c>
      <c r="D354" t="n">
        <v>5.9178</v>
      </c>
      <c r="E354" t="n">
        <v>20.6575</v>
      </c>
      <c r="F354" t="n">
        <v/>
      </c>
      <c r="G354" t="n">
        <v>13.3883</v>
      </c>
      <c r="H354" t="n">
        <v>53.0053</v>
      </c>
      <c r="I354" t="n">
        <v>7.2664</v>
      </c>
      <c r="J354" t="n">
        <v/>
      </c>
      <c r="K354" t="n">
        <v/>
      </c>
    </row>
    <row r="355">
      <c r="A355" s="98" t="n">
        <v>17685</v>
      </c>
      <c r="B355" t="n">
        <v>14.6857</v>
      </c>
      <c r="C355" t="n">
        <v>26.7616</v>
      </c>
      <c r="D355" t="n">
        <v>5.9971</v>
      </c>
      <c r="E355" t="n">
        <v>21.005</v>
      </c>
      <c r="F355" t="n">
        <v/>
      </c>
      <c r="G355" t="n">
        <v>13.4128</v>
      </c>
      <c r="H355" t="n">
        <v>53.0052</v>
      </c>
      <c r="I355" t="n">
        <v>7.3172</v>
      </c>
      <c r="J355" t="n">
        <v/>
      </c>
      <c r="K355" t="n">
        <v/>
      </c>
    </row>
    <row r="356">
      <c r="A356" s="98" t="n">
        <v>17715</v>
      </c>
      <c r="B356" t="n">
        <v>14.6857</v>
      </c>
      <c r="C356" t="n">
        <v>27.4824</v>
      </c>
      <c r="D356" t="n">
        <v>6.0269</v>
      </c>
      <c r="E356" t="n">
        <v>20.9664</v>
      </c>
      <c r="F356" t="n">
        <v/>
      </c>
      <c r="G356" t="n">
        <v>13.5109</v>
      </c>
      <c r="H356" t="n">
        <v>53.0052</v>
      </c>
      <c r="I356" t="n">
        <v>7.4188</v>
      </c>
      <c r="J356" t="n">
        <v/>
      </c>
      <c r="K356" t="n">
        <v/>
      </c>
    </row>
    <row r="357">
      <c r="A357" s="98" t="n">
        <v>17746</v>
      </c>
      <c r="B357" t="n">
        <v>14.6318</v>
      </c>
      <c r="C357" t="n">
        <v>27.3923</v>
      </c>
      <c r="D357" t="n">
        <v>6.017</v>
      </c>
      <c r="E357" t="n">
        <v>20.7733</v>
      </c>
      <c r="F357" t="n">
        <v/>
      </c>
      <c r="G357" t="n">
        <v>13.3393</v>
      </c>
      <c r="H357" t="n">
        <v>52.8679</v>
      </c>
      <c r="I357" t="n">
        <v>7.4696</v>
      </c>
      <c r="J357" t="n">
        <v/>
      </c>
      <c r="K357" t="n">
        <v/>
      </c>
    </row>
    <row r="358">
      <c r="A358" s="98" t="n">
        <v>17777</v>
      </c>
      <c r="B358" t="n">
        <v>14.5241</v>
      </c>
      <c r="C358" t="n">
        <v>27.0319</v>
      </c>
      <c r="D358" t="n">
        <v>5.9872</v>
      </c>
      <c r="E358" t="n">
        <v>20.6575</v>
      </c>
      <c r="F358" t="n">
        <v/>
      </c>
      <c r="G358" t="n">
        <v>13.3638</v>
      </c>
      <c r="H358" t="n">
        <v>51.7694</v>
      </c>
      <c r="I358" t="n">
        <v>7.5712</v>
      </c>
      <c r="J358" t="n">
        <v/>
      </c>
      <c r="K358" t="n">
        <v/>
      </c>
    </row>
    <row r="359">
      <c r="A359" s="98" t="n">
        <v>17807</v>
      </c>
      <c r="B359" t="n">
        <v>14.6319</v>
      </c>
      <c r="C359" t="n">
        <v>27.6176</v>
      </c>
      <c r="D359" t="n">
        <v>5.9079</v>
      </c>
      <c r="E359" t="n">
        <v>20.8892</v>
      </c>
      <c r="F359" t="n">
        <v/>
      </c>
      <c r="G359" t="n">
        <v>13.3883</v>
      </c>
      <c r="H359" t="n">
        <v>52.3873</v>
      </c>
      <c r="I359" t="n">
        <v>7.6475</v>
      </c>
      <c r="J359" t="n">
        <v/>
      </c>
      <c r="K359" t="n">
        <v/>
      </c>
    </row>
    <row r="360">
      <c r="A360" s="98" t="n">
        <v>17838</v>
      </c>
      <c r="B360" t="n">
        <v>14.4432</v>
      </c>
      <c r="C360" t="n">
        <v>26.8066</v>
      </c>
      <c r="D360" t="n">
        <v>5.8683</v>
      </c>
      <c r="E360" t="n">
        <v>20.6575</v>
      </c>
      <c r="F360" t="n">
        <v/>
      </c>
      <c r="G360" t="n">
        <v>13.2657</v>
      </c>
      <c r="H360" t="n">
        <v>51.5634</v>
      </c>
      <c r="I360" t="n">
        <v>7.7237</v>
      </c>
      <c r="J360" t="n">
        <v/>
      </c>
      <c r="K360" t="n">
        <v/>
      </c>
    </row>
    <row r="361">
      <c r="A361" s="98" t="n">
        <v>17868</v>
      </c>
      <c r="B361" t="n">
        <v>14.3085</v>
      </c>
      <c r="C361" t="n">
        <v>26.5814</v>
      </c>
      <c r="D361" t="n">
        <v>5.8187</v>
      </c>
      <c r="E361" t="n">
        <v>20.4258</v>
      </c>
      <c r="F361" t="n">
        <v/>
      </c>
      <c r="G361" t="n">
        <v>13.1921</v>
      </c>
      <c r="H361" t="n">
        <v>51.4947</v>
      </c>
      <c r="I361" t="n">
        <v>7.7237</v>
      </c>
      <c r="J361" t="n">
        <v/>
      </c>
      <c r="K361" t="n">
        <v/>
      </c>
    </row>
    <row r="362">
      <c r="A362" s="98" t="n">
        <v>17899</v>
      </c>
      <c r="B362" t="n">
        <v>14.1738</v>
      </c>
      <c r="C362" t="n">
        <v>25.8605</v>
      </c>
      <c r="D362" t="n">
        <v>5.6799</v>
      </c>
      <c r="E362" t="n">
        <v>20.1941</v>
      </c>
      <c r="F362" t="n">
        <v/>
      </c>
      <c r="G362" t="n">
        <v>12.9469</v>
      </c>
      <c r="H362" t="n">
        <v>50.1902</v>
      </c>
      <c r="I362" t="n">
        <v>7.6729</v>
      </c>
      <c r="J362" t="n">
        <v/>
      </c>
      <c r="K362" t="n">
        <v/>
      </c>
    </row>
    <row r="363">
      <c r="A363" s="98" t="n">
        <v>17930</v>
      </c>
      <c r="B363" t="n">
        <v>14.039</v>
      </c>
      <c r="C363" t="n">
        <v>25.3199</v>
      </c>
      <c r="D363" t="n">
        <v>5.6601</v>
      </c>
      <c r="E363" t="n">
        <v>20.1169</v>
      </c>
      <c r="F363" t="n">
        <v/>
      </c>
      <c r="G363" t="n">
        <v>12.8734</v>
      </c>
      <c r="H363" t="n">
        <v>49.9842</v>
      </c>
      <c r="I363" t="n">
        <v>7.6983</v>
      </c>
      <c r="J363" t="n">
        <v/>
      </c>
      <c r="K363" t="n">
        <v/>
      </c>
    </row>
    <row r="364">
      <c r="A364" s="98" t="n">
        <v>17958</v>
      </c>
      <c r="B364" t="n">
        <v>13.7696</v>
      </c>
      <c r="C364" t="n">
        <v>25.0045</v>
      </c>
      <c r="D364" t="n">
        <v>5.5312</v>
      </c>
      <c r="E364" t="n">
        <v>20.2714</v>
      </c>
      <c r="F364" t="n">
        <v/>
      </c>
      <c r="G364" t="n">
        <v>12.3585</v>
      </c>
      <c r="H364" t="n">
        <v>45.3154</v>
      </c>
      <c r="I364" t="n">
        <v>7.6983</v>
      </c>
      <c r="J364" t="n">
        <v/>
      </c>
      <c r="K364" t="n">
        <v/>
      </c>
    </row>
    <row r="365">
      <c r="A365" s="98" t="n">
        <v>17989</v>
      </c>
      <c r="B365" t="n">
        <v>13.6887</v>
      </c>
      <c r="C365" t="n">
        <v>24.599</v>
      </c>
      <c r="D365" t="n">
        <v>5.442</v>
      </c>
      <c r="E365" t="n">
        <v>20.2328</v>
      </c>
      <c r="F365" t="n">
        <v/>
      </c>
      <c r="G365" t="n">
        <v>12.1868</v>
      </c>
      <c r="H365" t="n">
        <v>49.4349</v>
      </c>
      <c r="I365" t="n">
        <v>7.7237</v>
      </c>
      <c r="J365" t="n">
        <v/>
      </c>
      <c r="K365" t="n">
        <v/>
      </c>
    </row>
    <row r="366">
      <c r="A366" s="98" t="n">
        <v>18019</v>
      </c>
      <c r="B366" t="n">
        <v>13.5001</v>
      </c>
      <c r="C366" t="n">
        <v>24.3287</v>
      </c>
      <c r="D366" t="n">
        <v>5.3231</v>
      </c>
      <c r="E366" t="n">
        <v>20.2328</v>
      </c>
      <c r="F366" t="n">
        <v/>
      </c>
      <c r="G366" t="n">
        <v>11.8435</v>
      </c>
      <c r="H366" t="n">
        <v>48.5424</v>
      </c>
      <c r="I366" t="n">
        <v>7.7237</v>
      </c>
      <c r="J366" t="n">
        <v/>
      </c>
      <c r="K366" t="n">
        <v/>
      </c>
    </row>
    <row r="367">
      <c r="A367" s="98" t="n">
        <v>18050</v>
      </c>
      <c r="B367" t="n">
        <v>13.4732</v>
      </c>
      <c r="C367" t="n">
        <v>24.2836</v>
      </c>
      <c r="D367" t="n">
        <v>5.2339</v>
      </c>
      <c r="E367" t="n">
        <v>20.4644</v>
      </c>
      <c r="F367" t="n">
        <v/>
      </c>
      <c r="G367" t="n">
        <v>11.6719</v>
      </c>
      <c r="H367" t="n">
        <v>45.178</v>
      </c>
      <c r="I367" t="n">
        <v>7.8253</v>
      </c>
      <c r="J367" t="n">
        <v/>
      </c>
      <c r="K367" t="n">
        <v/>
      </c>
    </row>
    <row r="368">
      <c r="A368" s="98" t="n">
        <v>18080</v>
      </c>
      <c r="B368" t="n">
        <v>13.4462</v>
      </c>
      <c r="C368" t="n">
        <v>24.0133</v>
      </c>
      <c r="D368" t="n">
        <v>5.1347</v>
      </c>
      <c r="E368" t="n">
        <v>20.6575</v>
      </c>
      <c r="F368" t="n">
        <v/>
      </c>
      <c r="G368" t="n">
        <v>11.6228</v>
      </c>
      <c r="H368" t="n">
        <v>44.0108</v>
      </c>
      <c r="I368" t="n">
        <v>7.9269</v>
      </c>
      <c r="J368" t="n">
        <v/>
      </c>
      <c r="K368" t="n">
        <v/>
      </c>
    </row>
    <row r="369">
      <c r="A369" s="98" t="n">
        <v>18111</v>
      </c>
      <c r="B369" t="n">
        <v>13.5809</v>
      </c>
      <c r="C369" t="n">
        <v>24.2386</v>
      </c>
      <c r="D369" t="n">
        <v>5.0852</v>
      </c>
      <c r="E369" t="n">
        <v>20.8506</v>
      </c>
      <c r="F369" t="n">
        <v/>
      </c>
      <c r="G369" t="n">
        <v>11.819</v>
      </c>
      <c r="H369" t="n">
        <v>43.8735</v>
      </c>
      <c r="I369" t="n">
        <v>8.0032</v>
      </c>
      <c r="J369" t="n">
        <v/>
      </c>
      <c r="K369" t="n">
        <v/>
      </c>
    </row>
    <row r="370">
      <c r="A370" s="98" t="n">
        <v>18142</v>
      </c>
      <c r="B370" t="n">
        <v>13.7157</v>
      </c>
      <c r="C370" t="n">
        <v>25.0045</v>
      </c>
      <c r="D370" t="n">
        <v>5.0554</v>
      </c>
      <c r="E370" t="n">
        <v>21.1595</v>
      </c>
      <c r="F370" t="n">
        <v/>
      </c>
      <c r="G370" t="n">
        <v>12.0151</v>
      </c>
      <c r="H370" t="n">
        <v>39.6166</v>
      </c>
      <c r="I370" t="n">
        <v>8.0032</v>
      </c>
      <c r="J370" t="n">
        <v/>
      </c>
      <c r="K370" t="n">
        <v/>
      </c>
    </row>
    <row r="371">
      <c r="A371" s="98" t="n">
        <v>18172</v>
      </c>
      <c r="B371" t="n">
        <v>13.2037</v>
      </c>
      <c r="C371" t="n">
        <v>24.1935</v>
      </c>
      <c r="D371" t="n">
        <v>4.8473</v>
      </c>
      <c r="E371" t="n">
        <v>21.2367</v>
      </c>
      <c r="F371" t="n">
        <v/>
      </c>
      <c r="G371" t="n">
        <v>10.7891</v>
      </c>
      <c r="H371" t="n">
        <v>37.2822</v>
      </c>
      <c r="I371" t="n">
        <v>8.028600000000001</v>
      </c>
      <c r="J371" t="n">
        <v/>
      </c>
      <c r="K371" t="n">
        <v/>
      </c>
    </row>
    <row r="372">
      <c r="A372" s="98" t="n">
        <v>18203</v>
      </c>
      <c r="B372" t="n">
        <v>13.554</v>
      </c>
      <c r="C372" t="n">
        <v>25.0045</v>
      </c>
      <c r="D372" t="n">
        <v>4.6986</v>
      </c>
      <c r="E372" t="n">
        <v>20.9278</v>
      </c>
      <c r="F372" t="n">
        <v/>
      </c>
      <c r="G372" t="n">
        <v>11.7945</v>
      </c>
      <c r="H372" t="n">
        <v>46.8259</v>
      </c>
      <c r="I372" t="n">
        <v>8.1556</v>
      </c>
      <c r="J372" t="n">
        <v/>
      </c>
      <c r="K372" t="n">
        <v/>
      </c>
    </row>
    <row r="373">
      <c r="A373" s="98" t="n">
        <v>18233</v>
      </c>
      <c r="B373" t="n">
        <v>13.7965</v>
      </c>
      <c r="C373" t="n">
        <v>26.0858</v>
      </c>
      <c r="D373" t="n">
        <v>4.7085</v>
      </c>
      <c r="E373" t="n">
        <v>20.6961</v>
      </c>
      <c r="F373" t="n">
        <v/>
      </c>
      <c r="G373" t="n">
        <v>12.3584</v>
      </c>
      <c r="H373" t="n">
        <v>45.0407</v>
      </c>
      <c r="I373" t="n">
        <v>8.3081</v>
      </c>
      <c r="J373" t="n">
        <v/>
      </c>
      <c r="K373" t="n">
        <v/>
      </c>
    </row>
    <row r="374">
      <c r="A374" s="98" t="n">
        <v>18264</v>
      </c>
      <c r="B374" t="n">
        <v>14.039</v>
      </c>
      <c r="C374" t="n">
        <v>25.7704</v>
      </c>
      <c r="D374" t="n">
        <v>4.7977</v>
      </c>
      <c r="E374" t="n">
        <v>21.5456</v>
      </c>
      <c r="F374" t="n">
        <v/>
      </c>
      <c r="G374" t="n">
        <v>12.4565</v>
      </c>
      <c r="H374" t="n">
        <v>44.1481</v>
      </c>
      <c r="I374" t="n">
        <v>8.409700000000001</v>
      </c>
      <c r="J374" t="n">
        <v/>
      </c>
      <c r="K374" t="n">
        <v/>
      </c>
    </row>
    <row r="375">
      <c r="A375" s="98" t="n">
        <v>18295</v>
      </c>
      <c r="B375" t="n">
        <v>14.0929</v>
      </c>
      <c r="C375" t="n">
        <v>26.7616</v>
      </c>
      <c r="D375" t="n">
        <v>4.9464</v>
      </c>
      <c r="E375" t="n">
        <v>21.5842</v>
      </c>
      <c r="F375" t="n">
        <v/>
      </c>
      <c r="G375" t="n">
        <v>12.2358</v>
      </c>
      <c r="H375" t="n">
        <v>40.6465</v>
      </c>
      <c r="I375" t="n">
        <v>8.485900000000001</v>
      </c>
      <c r="J375" t="n">
        <v/>
      </c>
      <c r="K375" t="n">
        <v/>
      </c>
    </row>
    <row r="376">
      <c r="A376" s="98" t="n">
        <v>18323</v>
      </c>
      <c r="B376" t="n">
        <v>14.551</v>
      </c>
      <c r="C376" t="n">
        <v>27.3923</v>
      </c>
      <c r="D376" t="n">
        <v>4.996</v>
      </c>
      <c r="E376" t="n">
        <v>22.0475</v>
      </c>
      <c r="F376" t="n">
        <v/>
      </c>
      <c r="G376" t="n">
        <v>13.0695</v>
      </c>
      <c r="H376" t="n">
        <v>50.3275</v>
      </c>
      <c r="I376" t="n">
        <v>8.638299999999999</v>
      </c>
      <c r="J376" t="n">
        <v/>
      </c>
      <c r="K376" t="n">
        <v/>
      </c>
    </row>
    <row r="377">
      <c r="A377" s="98" t="n">
        <v>18354</v>
      </c>
      <c r="B377" t="n">
        <v>15.036</v>
      </c>
      <c r="C377" t="n">
        <v>28.834</v>
      </c>
      <c r="D377" t="n">
        <v>5.1446</v>
      </c>
      <c r="E377" t="n">
        <v>22.6653</v>
      </c>
      <c r="F377" t="n">
        <v/>
      </c>
      <c r="G377" t="n">
        <v>13.609</v>
      </c>
      <c r="H377" t="n">
        <v>49.7096</v>
      </c>
      <c r="I377" t="n">
        <v>8.74</v>
      </c>
      <c r="J377" t="n">
        <v/>
      </c>
      <c r="K377" t="n">
        <v/>
      </c>
    </row>
    <row r="378">
      <c r="A378" s="98" t="n">
        <v>18384</v>
      </c>
      <c r="B378" t="n">
        <v>15.3863</v>
      </c>
      <c r="C378" t="n">
        <v>29.1043</v>
      </c>
      <c r="D378" t="n">
        <v>5.3627</v>
      </c>
      <c r="E378" t="n">
        <v>23.1673</v>
      </c>
      <c r="F378" t="n">
        <v/>
      </c>
      <c r="G378" t="n">
        <v>14.0013</v>
      </c>
      <c r="H378" t="n">
        <v>49.9155</v>
      </c>
      <c r="I378" t="n">
        <v>8.8924</v>
      </c>
      <c r="J378" t="n">
        <v/>
      </c>
      <c r="K378" t="n">
        <v/>
      </c>
    </row>
    <row r="379">
      <c r="A379" s="98" t="n">
        <v>18415</v>
      </c>
      <c r="B379" t="n">
        <v>15.8444</v>
      </c>
      <c r="C379" t="n">
        <v>30.1406</v>
      </c>
      <c r="D379" t="n">
        <v>5.5709</v>
      </c>
      <c r="E379" t="n">
        <v>23.7851</v>
      </c>
      <c r="F379" t="n">
        <v/>
      </c>
      <c r="G379" t="n">
        <v>14.5408</v>
      </c>
      <c r="H379" t="n">
        <v>51.4947</v>
      </c>
      <c r="I379" t="n">
        <v>8.943199999999999</v>
      </c>
      <c r="J379" t="n">
        <v/>
      </c>
      <c r="K379" t="n">
        <v/>
      </c>
    </row>
    <row r="380">
      <c r="A380" s="98" t="n">
        <v>18445</v>
      </c>
      <c r="B380" t="n">
        <v>16.3564</v>
      </c>
      <c r="C380" t="n">
        <v>30.9065</v>
      </c>
      <c r="D380" t="n">
        <v>5.7592</v>
      </c>
      <c r="E380" t="n">
        <v>24.5187</v>
      </c>
      <c r="F380" t="n">
        <v/>
      </c>
      <c r="G380" t="n">
        <v>14.9331</v>
      </c>
      <c r="H380" t="n">
        <v>52.456</v>
      </c>
      <c r="I380" t="n">
        <v>8.994</v>
      </c>
      <c r="J380" t="n">
        <v/>
      </c>
      <c r="K380" t="n">
        <v/>
      </c>
    </row>
    <row r="381">
      <c r="A381" s="98" t="n">
        <v>18476</v>
      </c>
      <c r="B381" t="n">
        <v>16.8684</v>
      </c>
      <c r="C381" t="n">
        <v>31.4921</v>
      </c>
      <c r="D381" t="n">
        <v>6.0764</v>
      </c>
      <c r="E381" t="n">
        <v>25.291</v>
      </c>
      <c r="F381" t="n">
        <v/>
      </c>
      <c r="G381" t="n">
        <v>15.3745</v>
      </c>
      <c r="H381" t="n">
        <v>53.5545</v>
      </c>
      <c r="I381" t="n">
        <v>9.095700000000001</v>
      </c>
      <c r="J381" t="n">
        <v/>
      </c>
      <c r="K381" t="n">
        <v/>
      </c>
    </row>
    <row r="382">
      <c r="A382" s="98" t="n">
        <v>18507</v>
      </c>
      <c r="B382" t="n">
        <v>16.7606</v>
      </c>
      <c r="C382" t="n">
        <v>31.5823</v>
      </c>
      <c r="D382" t="n">
        <v>5.9277</v>
      </c>
      <c r="E382" t="n">
        <v>24.6732</v>
      </c>
      <c r="F382" t="n">
        <v/>
      </c>
      <c r="G382" t="n">
        <v>15.5461</v>
      </c>
      <c r="H382" t="n">
        <v>54.3784</v>
      </c>
      <c r="I382" t="n">
        <v>9.171900000000001</v>
      </c>
      <c r="J382" t="n">
        <v/>
      </c>
      <c r="K382" t="n">
        <v/>
      </c>
    </row>
    <row r="383">
      <c r="A383" s="98" t="n">
        <v>18537</v>
      </c>
      <c r="B383" t="n">
        <v>16.8684</v>
      </c>
      <c r="C383" t="n">
        <v>31.8526</v>
      </c>
      <c r="D383" t="n">
        <v>6.0467</v>
      </c>
      <c r="E383" t="n">
        <v>24.4801</v>
      </c>
      <c r="F383" t="n">
        <v/>
      </c>
      <c r="G383" t="n">
        <v>15.7423</v>
      </c>
      <c r="H383" t="n">
        <v>54.5158</v>
      </c>
      <c r="I383" t="n">
        <v>9.3751</v>
      </c>
      <c r="J383" t="n">
        <v/>
      </c>
      <c r="K383" t="n">
        <v/>
      </c>
    </row>
    <row r="384">
      <c r="A384" s="98" t="n">
        <v>18568</v>
      </c>
      <c r="B384" t="n">
        <v>16.8415</v>
      </c>
      <c r="C384" t="n">
        <v>31.8976</v>
      </c>
      <c r="D384" t="n">
        <v>6.0963</v>
      </c>
      <c r="E384" t="n">
        <v>24.3643</v>
      </c>
      <c r="F384" t="n">
        <v/>
      </c>
      <c r="G384" t="n">
        <v>15.5706</v>
      </c>
      <c r="H384" t="n">
        <v>53.3486</v>
      </c>
      <c r="I384" t="n">
        <v>9.4259</v>
      </c>
      <c r="J384" t="n">
        <v/>
      </c>
      <c r="K384" t="n">
        <v/>
      </c>
    </row>
    <row r="385">
      <c r="A385" s="98" t="n">
        <v>18598</v>
      </c>
      <c r="B385" t="n">
        <v>17.1379</v>
      </c>
      <c r="C385" t="n">
        <v>31.9427</v>
      </c>
      <c r="D385" t="n">
        <v>6.1954</v>
      </c>
      <c r="E385" t="n">
        <v>24.7504</v>
      </c>
      <c r="F385" t="n">
        <v/>
      </c>
      <c r="G385" t="n">
        <v>15.8159</v>
      </c>
      <c r="H385" t="n">
        <v>54.0351</v>
      </c>
      <c r="I385" t="n">
        <v>9.5276</v>
      </c>
      <c r="J385" t="n">
        <v/>
      </c>
      <c r="K385" t="n">
        <v/>
      </c>
    </row>
    <row r="386">
      <c r="A386" s="98" t="n">
        <v>18629</v>
      </c>
      <c r="B386" t="n">
        <v>17.1917</v>
      </c>
      <c r="C386" t="n">
        <v>32.213</v>
      </c>
      <c r="D386" t="n">
        <v>6.2747</v>
      </c>
      <c r="E386" t="n">
        <v>24.9048</v>
      </c>
      <c r="F386" t="n">
        <v/>
      </c>
      <c r="G386" t="n">
        <v>15.6442</v>
      </c>
      <c r="H386" t="n">
        <v>54.7904</v>
      </c>
      <c r="I386" t="n">
        <v>9.68</v>
      </c>
      <c r="J386" t="n">
        <v/>
      </c>
      <c r="K386" t="n">
        <v/>
      </c>
    </row>
    <row r="387">
      <c r="A387" s="98" t="n">
        <v>18660</v>
      </c>
      <c r="B387" t="n">
        <v>17.2995</v>
      </c>
      <c r="C387" t="n">
        <v>31.8976</v>
      </c>
      <c r="D387" t="n">
        <v>6.3639</v>
      </c>
      <c r="E387" t="n">
        <v>24.8662</v>
      </c>
      <c r="F387" t="n">
        <v/>
      </c>
      <c r="G387" t="n">
        <v>15.7423</v>
      </c>
      <c r="H387" t="n">
        <v>53.8291</v>
      </c>
      <c r="I387" t="n">
        <v>9.857900000000001</v>
      </c>
      <c r="J387" t="n">
        <v/>
      </c>
      <c r="K387" t="n">
        <v/>
      </c>
    </row>
    <row r="388">
      <c r="A388" s="98" t="n">
        <v>18688</v>
      </c>
      <c r="B388" t="n">
        <v>17.3804</v>
      </c>
      <c r="C388" t="n">
        <v>32.0328</v>
      </c>
      <c r="D388" t="n">
        <v>6.4531</v>
      </c>
      <c r="E388" t="n">
        <v>24.5187</v>
      </c>
      <c r="F388" t="n">
        <v/>
      </c>
      <c r="G388" t="n">
        <v>16.0611</v>
      </c>
      <c r="H388" t="n">
        <v>54.3098</v>
      </c>
      <c r="I388" t="n">
        <v>9.9595</v>
      </c>
      <c r="J388" t="n">
        <v/>
      </c>
      <c r="K388" t="n">
        <v/>
      </c>
    </row>
    <row r="389">
      <c r="A389" s="98" t="n">
        <v>18719</v>
      </c>
      <c r="B389" t="n">
        <v>17.4073</v>
      </c>
      <c r="C389" t="n">
        <v>31.8976</v>
      </c>
      <c r="D389" t="n">
        <v>6.6117</v>
      </c>
      <c r="E389" t="n">
        <v>24.0554</v>
      </c>
      <c r="F389" t="n">
        <v/>
      </c>
      <c r="G389" t="n">
        <v>16.1837</v>
      </c>
      <c r="H389" t="n">
        <v>55.065</v>
      </c>
      <c r="I389" t="n">
        <v>10.1119</v>
      </c>
      <c r="J389" t="n">
        <v/>
      </c>
      <c r="K389" t="n">
        <v/>
      </c>
    </row>
    <row r="390">
      <c r="A390" s="98" t="n">
        <v>18749</v>
      </c>
      <c r="B390" t="n">
        <v>17.3534</v>
      </c>
      <c r="C390" t="n">
        <v>31.6724</v>
      </c>
      <c r="D390" t="n">
        <v>6.6712</v>
      </c>
      <c r="E390" t="n">
        <v>23.6306</v>
      </c>
      <c r="F390" t="n">
        <v/>
      </c>
      <c r="G390" t="n">
        <v>16.3063</v>
      </c>
      <c r="H390" t="n">
        <v>55.2711</v>
      </c>
      <c r="I390" t="n">
        <v>10.1627</v>
      </c>
      <c r="J390" t="n">
        <v/>
      </c>
      <c r="K390" t="n">
        <v/>
      </c>
    </row>
    <row r="391">
      <c r="A391" s="98" t="n">
        <v>18780</v>
      </c>
      <c r="B391" t="n">
        <v>17.2726</v>
      </c>
      <c r="C391" t="n">
        <v>31.4471</v>
      </c>
      <c r="D391" t="n">
        <v>6.7505</v>
      </c>
      <c r="E391" t="n">
        <v>23.3217</v>
      </c>
      <c r="F391" t="n">
        <v/>
      </c>
      <c r="G391" t="n">
        <v>16.3798</v>
      </c>
      <c r="H391" t="n">
        <v>55.4083</v>
      </c>
      <c r="I391" t="n">
        <v>10.239</v>
      </c>
      <c r="J391" t="n">
        <v/>
      </c>
      <c r="K391" t="n">
        <v/>
      </c>
    </row>
    <row r="392">
      <c r="A392" s="98" t="n">
        <v>18810</v>
      </c>
      <c r="B392" t="n">
        <v>17.0031</v>
      </c>
      <c r="C392" t="n">
        <v>30.6812</v>
      </c>
      <c r="D392" t="n">
        <v>6.81</v>
      </c>
      <c r="E392" t="n">
        <v>22.5495</v>
      </c>
      <c r="F392" t="n">
        <v/>
      </c>
      <c r="G392" t="n">
        <v>16.0856</v>
      </c>
      <c r="H392" t="n">
        <v>55.477</v>
      </c>
      <c r="I392" t="n">
        <v>10.2898</v>
      </c>
      <c r="J392" t="n">
        <v/>
      </c>
      <c r="K392" t="n">
        <v/>
      </c>
    </row>
    <row r="393">
      <c r="A393" s="98" t="n">
        <v>18841</v>
      </c>
      <c r="B393" t="n">
        <v>16.8415</v>
      </c>
      <c r="C393" t="n">
        <v>30.546</v>
      </c>
      <c r="D393" t="n">
        <v>6.8992</v>
      </c>
      <c r="E393" t="n">
        <v>22.0475</v>
      </c>
      <c r="F393" t="n">
        <v/>
      </c>
      <c r="G393" t="n">
        <v>15.8159</v>
      </c>
      <c r="H393" t="n">
        <v>55.9576</v>
      </c>
      <c r="I393" t="n">
        <v>10.3914</v>
      </c>
      <c r="J393" t="n">
        <v/>
      </c>
      <c r="K393" t="n">
        <v/>
      </c>
    </row>
    <row r="394">
      <c r="A394" s="98" t="n">
        <v>18872</v>
      </c>
      <c r="B394" t="n">
        <v>16.9492</v>
      </c>
      <c r="C394" t="n">
        <v>30.501</v>
      </c>
      <c r="D394" t="n">
        <v>7.0479</v>
      </c>
      <c r="E394" t="n">
        <v>22.2792</v>
      </c>
      <c r="F394" t="n">
        <v/>
      </c>
      <c r="G394" t="n">
        <v>15.9139</v>
      </c>
      <c r="H394" t="n">
        <v>56.3009</v>
      </c>
      <c r="I394" t="n">
        <v>10.4676</v>
      </c>
      <c r="J394" t="n">
        <v/>
      </c>
      <c r="K394" t="n">
        <v/>
      </c>
    </row>
    <row r="395">
      <c r="A395" s="98" t="n">
        <v>18902</v>
      </c>
      <c r="B395" t="n">
        <v>16.9223</v>
      </c>
      <c r="C395" t="n">
        <v>30.2307</v>
      </c>
      <c r="D395" t="n">
        <v>7.1668</v>
      </c>
      <c r="E395" t="n">
        <v>22.1248</v>
      </c>
      <c r="F395" t="n">
        <v/>
      </c>
      <c r="G395" t="n">
        <v>15.6933</v>
      </c>
      <c r="H395" t="n">
        <v>57.3308</v>
      </c>
      <c r="I395" t="n">
        <v>10.4676</v>
      </c>
      <c r="J395" t="n">
        <v/>
      </c>
      <c r="K395" t="n">
        <v/>
      </c>
    </row>
    <row r="396">
      <c r="A396" s="98" t="n">
        <v>18933</v>
      </c>
      <c r="B396" t="n">
        <v>17.057</v>
      </c>
      <c r="C396" t="n">
        <v>29.9603</v>
      </c>
      <c r="D396" t="n">
        <v>7.2957</v>
      </c>
      <c r="E396" t="n">
        <v>22.5109</v>
      </c>
      <c r="F396" t="n">
        <v/>
      </c>
      <c r="G396" t="n">
        <v>15.7423</v>
      </c>
      <c r="H396" t="n">
        <v>56.9188</v>
      </c>
      <c r="I396" t="n">
        <v>10.6201</v>
      </c>
      <c r="J396" t="n">
        <v/>
      </c>
      <c r="K396" t="n">
        <v/>
      </c>
    </row>
    <row r="397">
      <c r="A397" s="98" t="n">
        <v>18963</v>
      </c>
      <c r="B397" t="n">
        <v>17.1648</v>
      </c>
      <c r="C397" t="n">
        <v>30.0504</v>
      </c>
      <c r="D397" t="n">
        <v>7.3849</v>
      </c>
      <c r="E397" t="n">
        <v>22.6653</v>
      </c>
      <c r="F397" t="n">
        <v/>
      </c>
      <c r="G397" t="n">
        <v>15.7668</v>
      </c>
      <c r="H397" t="n">
        <v>56.7815</v>
      </c>
      <c r="I397" t="n">
        <v>10.6455</v>
      </c>
      <c r="J397" t="n">
        <v/>
      </c>
      <c r="K397" t="n">
        <v/>
      </c>
    </row>
    <row r="398">
      <c r="A398" s="98" t="n">
        <v>18994</v>
      </c>
      <c r="B398" t="n">
        <v>17.3534</v>
      </c>
      <c r="C398" t="n">
        <v>30.4559</v>
      </c>
      <c r="D398" t="n">
        <v>7.5732</v>
      </c>
      <c r="E398" t="n">
        <v>22.8584</v>
      </c>
      <c r="F398" t="n">
        <v/>
      </c>
      <c r="G398" t="n">
        <v>16.1346</v>
      </c>
      <c r="H398" t="n">
        <v>57.1248</v>
      </c>
      <c r="I398" t="n">
        <v>10.7725</v>
      </c>
      <c r="J398" t="n">
        <v/>
      </c>
      <c r="K398" t="n">
        <v/>
      </c>
    </row>
    <row r="399">
      <c r="A399" s="98" t="n">
        <v>19025</v>
      </c>
      <c r="B399" t="n">
        <v>17.4612</v>
      </c>
      <c r="C399" t="n">
        <v>30.6812</v>
      </c>
      <c r="D399" t="n">
        <v>7.6625</v>
      </c>
      <c r="E399" t="n">
        <v>23.0128</v>
      </c>
      <c r="F399" t="n">
        <v/>
      </c>
      <c r="G399" t="n">
        <v>15.9875</v>
      </c>
      <c r="H399" t="n">
        <v>57.6741</v>
      </c>
      <c r="I399" t="n">
        <v>10.8487</v>
      </c>
      <c r="J399" t="n">
        <v/>
      </c>
      <c r="K399" t="n">
        <v/>
      </c>
    </row>
    <row r="400">
      <c r="A400" s="98" t="n">
        <v>19054</v>
      </c>
      <c r="B400" t="n">
        <v>17.5151</v>
      </c>
      <c r="C400" t="n">
        <v>30.501</v>
      </c>
      <c r="D400" t="n">
        <v>7.7318</v>
      </c>
      <c r="E400" t="n">
        <v>23.1287</v>
      </c>
      <c r="F400" t="n">
        <v/>
      </c>
      <c r="G400" t="n">
        <v>15.9875</v>
      </c>
      <c r="H400" t="n">
        <v>57.3308</v>
      </c>
      <c r="I400" t="n">
        <v>10.8741</v>
      </c>
      <c r="J400" t="n">
        <v/>
      </c>
      <c r="K400" t="n">
        <v/>
      </c>
    </row>
    <row r="401">
      <c r="A401" s="98" t="n">
        <v>19085</v>
      </c>
      <c r="B401" t="n">
        <v>17.3534</v>
      </c>
      <c r="C401" t="n">
        <v>30.0054</v>
      </c>
      <c r="D401" t="n">
        <v>7.7021</v>
      </c>
      <c r="E401" t="n">
        <v>23.1287</v>
      </c>
      <c r="F401" t="n">
        <v/>
      </c>
      <c r="G401" t="n">
        <v>15.6933</v>
      </c>
      <c r="H401" t="n">
        <v>56.7815</v>
      </c>
      <c r="I401" t="n">
        <v>10.7979</v>
      </c>
      <c r="J401" t="n">
        <v/>
      </c>
      <c r="K401" t="n">
        <v/>
      </c>
    </row>
    <row r="402">
      <c r="A402" s="98" t="n">
        <v>19115</v>
      </c>
      <c r="B402" t="n">
        <v>17.1918</v>
      </c>
      <c r="C402" t="n">
        <v>29.5549</v>
      </c>
      <c r="D402" t="n">
        <v>7.7418</v>
      </c>
      <c r="E402" t="n">
        <v>23.0901</v>
      </c>
      <c r="F402" t="n">
        <v/>
      </c>
      <c r="G402" t="n">
        <v>15.4726</v>
      </c>
      <c r="H402" t="n">
        <v>50.6022</v>
      </c>
      <c r="I402" t="n">
        <v>10.8487</v>
      </c>
      <c r="J402" t="n">
        <v/>
      </c>
      <c r="K402" t="n">
        <v/>
      </c>
    </row>
    <row r="403">
      <c r="A403" s="98" t="n">
        <v>19146</v>
      </c>
      <c r="B403" t="n">
        <v>17.0301</v>
      </c>
      <c r="C403" t="n">
        <v>29.3746</v>
      </c>
      <c r="D403" t="n">
        <v>7.7913</v>
      </c>
      <c r="E403" t="n">
        <v>23.7465</v>
      </c>
      <c r="F403" t="n">
        <v/>
      </c>
      <c r="G403" t="n">
        <v>14.5898</v>
      </c>
      <c r="H403" t="n">
        <v>51.0828</v>
      </c>
      <c r="I403" t="n">
        <v>10.8995</v>
      </c>
      <c r="J403" t="n">
        <v/>
      </c>
      <c r="K403" t="n">
        <v/>
      </c>
    </row>
    <row r="404">
      <c r="A404" s="98" t="n">
        <v>19176</v>
      </c>
      <c r="B404" t="n">
        <v>16.7606</v>
      </c>
      <c r="C404" t="n">
        <v>29.3296</v>
      </c>
      <c r="D404" t="n">
        <v>7.4146</v>
      </c>
      <c r="E404" t="n">
        <v>23.3217</v>
      </c>
      <c r="F404" t="n">
        <v/>
      </c>
      <c r="G404" t="n">
        <v>14.271</v>
      </c>
      <c r="H404" t="n">
        <v>50.8081</v>
      </c>
      <c r="I404" t="n">
        <v>11.0012</v>
      </c>
      <c r="J404" t="n">
        <v/>
      </c>
      <c r="K404" t="n">
        <v/>
      </c>
    </row>
    <row r="405">
      <c r="A405" s="98" t="n">
        <v>19207</v>
      </c>
      <c r="B405" t="n">
        <v>17.8385</v>
      </c>
      <c r="C405" t="n">
        <v>31.3119</v>
      </c>
      <c r="D405" t="n">
        <v>7.5435</v>
      </c>
      <c r="E405" t="n">
        <v>23.7851</v>
      </c>
      <c r="F405" t="n">
        <v/>
      </c>
      <c r="G405" t="n">
        <v>16.0856</v>
      </c>
      <c r="H405" t="n">
        <v>54.1038</v>
      </c>
      <c r="I405" t="n">
        <v>11.2298</v>
      </c>
      <c r="J405" t="n">
        <v/>
      </c>
      <c r="K405" t="n">
        <v/>
      </c>
    </row>
    <row r="406">
      <c r="A406" s="98" t="n">
        <v>19238</v>
      </c>
      <c r="B406" t="n">
        <v>18.4852</v>
      </c>
      <c r="C406" t="n">
        <v>31.6273</v>
      </c>
      <c r="D406" t="n">
        <v>7.7219</v>
      </c>
      <c r="E406" t="n">
        <v>24.4029</v>
      </c>
      <c r="F406" t="n">
        <v/>
      </c>
      <c r="G406" t="n">
        <v>17.14</v>
      </c>
      <c r="H406" t="n">
        <v>58.0861</v>
      </c>
      <c r="I406" t="n">
        <v>11.4077</v>
      </c>
      <c r="J406" t="n">
        <v/>
      </c>
      <c r="K406" t="n">
        <v/>
      </c>
    </row>
    <row r="407">
      <c r="A407" s="98" t="n">
        <v>19268</v>
      </c>
      <c r="B407" t="n">
        <v>18.6738</v>
      </c>
      <c r="C407" t="n">
        <v>32.0779</v>
      </c>
      <c r="D407" t="n">
        <v>7.8012</v>
      </c>
      <c r="E407" t="n">
        <v>24.789</v>
      </c>
      <c r="F407" t="n">
        <v/>
      </c>
      <c r="G407" t="n">
        <v>17.0419</v>
      </c>
      <c r="H407" t="n">
        <v>54.2411</v>
      </c>
      <c r="I407" t="n">
        <v>11.5093</v>
      </c>
      <c r="J407" t="n">
        <v/>
      </c>
      <c r="K407" t="n">
        <v/>
      </c>
    </row>
    <row r="408">
      <c r="A408" s="98" t="n">
        <v>19299</v>
      </c>
      <c r="B408" t="n">
        <v>19.0511</v>
      </c>
      <c r="C408" t="n">
        <v>32.6185</v>
      </c>
      <c r="D408" t="n">
        <v>7.9003</v>
      </c>
      <c r="E408" t="n">
        <v>25.291</v>
      </c>
      <c r="F408" t="n">
        <v/>
      </c>
      <c r="G408" t="n">
        <v>17.5568</v>
      </c>
      <c r="H408" t="n">
        <v>57.8801</v>
      </c>
      <c r="I408" t="n">
        <v>11.5855</v>
      </c>
      <c r="J408" t="n">
        <v/>
      </c>
      <c r="K408" t="n">
        <v/>
      </c>
    </row>
    <row r="409">
      <c r="A409" s="98" t="n">
        <v>19329</v>
      </c>
      <c r="B409" t="n">
        <v>19.1588</v>
      </c>
      <c r="C409" t="n">
        <v>32.7536</v>
      </c>
      <c r="D409" t="n">
        <v>7.9796</v>
      </c>
      <c r="E409" t="n">
        <v>25.291</v>
      </c>
      <c r="F409" t="n">
        <v/>
      </c>
      <c r="G409" t="n">
        <v>17.6059</v>
      </c>
      <c r="H409" t="n">
        <v>56.5755</v>
      </c>
      <c r="I409" t="n">
        <v>11.6618</v>
      </c>
      <c r="J409" t="n">
        <v/>
      </c>
      <c r="K409" t="n">
        <v/>
      </c>
    </row>
    <row r="410">
      <c r="A410" s="98" t="n">
        <v>19360</v>
      </c>
      <c r="B410" t="n">
        <v>19.2127</v>
      </c>
      <c r="C410" t="n">
        <v>33.2943</v>
      </c>
      <c r="D410" t="n">
        <v>8.039099999999999</v>
      </c>
      <c r="E410" t="n">
        <v>25.5226</v>
      </c>
      <c r="F410" t="n">
        <v/>
      </c>
      <c r="G410" t="n">
        <v>17.5078</v>
      </c>
      <c r="H410" t="n">
        <v>55.889</v>
      </c>
      <c r="I410" t="n">
        <v>11.6109</v>
      </c>
      <c r="J410" t="n">
        <v/>
      </c>
      <c r="K410" t="n">
        <v/>
      </c>
    </row>
    <row r="411">
      <c r="A411" s="98" t="n">
        <v>19391</v>
      </c>
      <c r="B411" t="n">
        <v>19.3205</v>
      </c>
      <c r="C411" t="n">
        <v>33.7898</v>
      </c>
      <c r="D411" t="n">
        <v>8.068899999999999</v>
      </c>
      <c r="E411" t="n">
        <v>25.7157</v>
      </c>
      <c r="F411" t="n">
        <v/>
      </c>
      <c r="G411" t="n">
        <v>17.9246</v>
      </c>
      <c r="H411" t="n">
        <v>55.477</v>
      </c>
      <c r="I411" t="n">
        <v>11.6109</v>
      </c>
      <c r="J411" t="n">
        <v/>
      </c>
      <c r="K411" t="n">
        <v/>
      </c>
    </row>
    <row r="412">
      <c r="A412" s="98" t="n">
        <v>19419</v>
      </c>
      <c r="B412" t="n">
        <v>19.4822</v>
      </c>
      <c r="C412" t="n">
        <v>33.88</v>
      </c>
      <c r="D412" t="n">
        <v>8.128299999999999</v>
      </c>
      <c r="E412" t="n">
        <v>25.7543</v>
      </c>
      <c r="F412" t="n">
        <v/>
      </c>
      <c r="G412" t="n">
        <v>18.1453</v>
      </c>
      <c r="H412" t="n">
        <v>55.8203</v>
      </c>
      <c r="I412" t="n">
        <v>11.7634</v>
      </c>
      <c r="J412" t="n">
        <v/>
      </c>
      <c r="K412" t="n">
        <v/>
      </c>
    </row>
    <row r="413">
      <c r="A413" s="98" t="n">
        <v>19450</v>
      </c>
      <c r="B413" t="n">
        <v>19.563</v>
      </c>
      <c r="C413" t="n">
        <v>34.0151</v>
      </c>
      <c r="D413" t="n">
        <v>8.138299999999999</v>
      </c>
      <c r="E413" t="n">
        <v>25.6771</v>
      </c>
      <c r="F413" t="n">
        <v/>
      </c>
      <c r="G413" t="n">
        <v>18.2925</v>
      </c>
      <c r="H413" t="n">
        <v>56.1636</v>
      </c>
      <c r="I413" t="n">
        <v>11.8904</v>
      </c>
      <c r="J413" t="n">
        <v/>
      </c>
      <c r="K413" t="n">
        <v/>
      </c>
    </row>
    <row r="414">
      <c r="A414" s="98" t="n">
        <v>19480</v>
      </c>
      <c r="B414" t="n">
        <v>19.6708</v>
      </c>
      <c r="C414" t="n">
        <v>33.2943</v>
      </c>
      <c r="D414" t="n">
        <v>8.088699999999999</v>
      </c>
      <c r="E414" t="n">
        <v>25.7929</v>
      </c>
      <c r="F414" t="n">
        <v/>
      </c>
      <c r="G414" t="n">
        <v>18.6603</v>
      </c>
      <c r="H414" t="n">
        <v>56.9189</v>
      </c>
      <c r="I414" t="n">
        <v>12.0429</v>
      </c>
      <c r="J414" t="n">
        <v/>
      </c>
      <c r="K414" t="n">
        <v/>
      </c>
    </row>
    <row r="415">
      <c r="A415" s="98" t="n">
        <v>19511</v>
      </c>
      <c r="B415" t="n">
        <v>19.59</v>
      </c>
      <c r="C415" t="n">
        <v>33.069</v>
      </c>
      <c r="D415" t="n">
        <v>8.039099999999999</v>
      </c>
      <c r="E415" t="n">
        <v>25.4068</v>
      </c>
      <c r="F415" t="n">
        <v/>
      </c>
      <c r="G415" t="n">
        <v>18.6848</v>
      </c>
      <c r="H415" t="n">
        <v>57.4681</v>
      </c>
      <c r="I415" t="n">
        <v>12.1699</v>
      </c>
      <c r="J415" t="n">
        <v/>
      </c>
      <c r="K415" t="n">
        <v/>
      </c>
    </row>
    <row r="416">
      <c r="A416" s="98" t="n">
        <v>19541</v>
      </c>
      <c r="B416" t="n">
        <v>19.8325</v>
      </c>
      <c r="C416" t="n">
        <v>33.5195</v>
      </c>
      <c r="D416" t="n">
        <v>8.158099999999999</v>
      </c>
      <c r="E416" t="n">
        <v>25.4454</v>
      </c>
      <c r="F416" t="n">
        <v/>
      </c>
      <c r="G416" t="n">
        <v>18.9055</v>
      </c>
      <c r="H416" t="n">
        <v>58.1547</v>
      </c>
      <c r="I416" t="n">
        <v>12.2715</v>
      </c>
      <c r="J416" t="n">
        <v/>
      </c>
      <c r="K416" t="n">
        <v/>
      </c>
    </row>
    <row r="417">
      <c r="A417" s="98" t="n">
        <v>19572</v>
      </c>
      <c r="B417" t="n">
        <v>19.7247</v>
      </c>
      <c r="C417" t="n">
        <v>33.3844</v>
      </c>
      <c r="D417" t="n">
        <v>8.128299999999999</v>
      </c>
      <c r="E417" t="n">
        <v>25.291</v>
      </c>
      <c r="F417" t="n">
        <v/>
      </c>
      <c r="G417" t="n">
        <v>18.415</v>
      </c>
      <c r="H417" t="n">
        <v>58.5667</v>
      </c>
      <c r="I417" t="n">
        <v>12.2461</v>
      </c>
      <c r="J417" t="n">
        <v/>
      </c>
      <c r="K417" t="n">
        <v/>
      </c>
    </row>
    <row r="418">
      <c r="A418" s="98" t="n">
        <v>19603</v>
      </c>
      <c r="B418" t="n">
        <v>19.3205</v>
      </c>
      <c r="C418" t="n">
        <v>32.7536</v>
      </c>
      <c r="D418" t="n">
        <v>8.039099999999999</v>
      </c>
      <c r="E418" t="n">
        <v>24.9435</v>
      </c>
      <c r="F418" t="n">
        <v/>
      </c>
      <c r="G418" t="n">
        <v>17.9492</v>
      </c>
      <c r="H418" t="n">
        <v>58.0174</v>
      </c>
      <c r="I418" t="n">
        <v>12.2461</v>
      </c>
      <c r="J418" t="n">
        <v/>
      </c>
      <c r="K418" t="n">
        <v/>
      </c>
    </row>
    <row r="419">
      <c r="A419" s="98" t="n">
        <v>19633</v>
      </c>
      <c r="B419" t="n">
        <v>19.1588</v>
      </c>
      <c r="C419" t="n">
        <v>32.8438</v>
      </c>
      <c r="D419" t="n">
        <v>8.039099999999999</v>
      </c>
      <c r="E419" t="n">
        <v>24.9435</v>
      </c>
      <c r="F419" t="n">
        <v/>
      </c>
      <c r="G419" t="n">
        <v>17.3852</v>
      </c>
      <c r="H419" t="n">
        <v>56.4382</v>
      </c>
      <c r="I419" t="n">
        <v>12.2969</v>
      </c>
      <c r="J419" t="n">
        <v/>
      </c>
      <c r="K419" t="n">
        <v/>
      </c>
    </row>
    <row r="420">
      <c r="A420" s="98" t="n">
        <v>19664</v>
      </c>
      <c r="B420" t="n">
        <v>18.7008</v>
      </c>
      <c r="C420" t="n">
        <v>32.3031</v>
      </c>
      <c r="D420" t="n">
        <v>7.7616</v>
      </c>
      <c r="E420" t="n">
        <v>24.5573</v>
      </c>
      <c r="F420" t="n">
        <v/>
      </c>
      <c r="G420" t="n">
        <v>16.9438</v>
      </c>
      <c r="H420" t="n">
        <v>55.5456</v>
      </c>
      <c r="I420" t="n">
        <v>12.2207</v>
      </c>
      <c r="J420" t="n">
        <v/>
      </c>
      <c r="K420" t="n">
        <v/>
      </c>
    </row>
    <row r="421">
      <c r="A421" s="98" t="n">
        <v>19694</v>
      </c>
      <c r="B421" t="n">
        <v>18.2427</v>
      </c>
      <c r="C421" t="n">
        <v>31.5372</v>
      </c>
      <c r="D421" t="n">
        <v>7.6327</v>
      </c>
      <c r="E421" t="n">
        <v>24.1712</v>
      </c>
      <c r="F421" t="n">
        <v/>
      </c>
      <c r="G421" t="n">
        <v>16.5515</v>
      </c>
      <c r="H421" t="n">
        <v>54.9277</v>
      </c>
      <c r="I421" t="n">
        <v>12.2207</v>
      </c>
      <c r="J421" t="n">
        <v/>
      </c>
      <c r="K421" t="n">
        <v/>
      </c>
    </row>
    <row r="422">
      <c r="A422" s="98" t="n">
        <v>19725</v>
      </c>
      <c r="B422" t="n">
        <v>18.1079</v>
      </c>
      <c r="C422" t="n">
        <v>32.1229</v>
      </c>
      <c r="D422" t="n">
        <v>7.4047</v>
      </c>
      <c r="E422" t="n">
        <v>24.287</v>
      </c>
      <c r="F422" t="n">
        <v/>
      </c>
      <c r="G422" t="n">
        <v>16.3553</v>
      </c>
      <c r="H422" t="n">
        <v>54.7217</v>
      </c>
      <c r="I422" t="n">
        <v>12.5002</v>
      </c>
      <c r="J422" t="n">
        <v/>
      </c>
      <c r="K422" t="n">
        <v/>
      </c>
    </row>
    <row r="423">
      <c r="A423" s="98" t="n">
        <v>19756</v>
      </c>
      <c r="B423" t="n">
        <v>18.1618</v>
      </c>
      <c r="C423" t="n">
        <v>32.213</v>
      </c>
      <c r="D423" t="n">
        <v>7.3155</v>
      </c>
      <c r="E423" t="n">
        <v>24.5573</v>
      </c>
      <c r="F423" t="n">
        <v/>
      </c>
      <c r="G423" t="n">
        <v>16.3308</v>
      </c>
      <c r="H423" t="n">
        <v>54.7904</v>
      </c>
      <c r="I423" t="n">
        <v>12.5002</v>
      </c>
      <c r="J423" t="n">
        <v/>
      </c>
      <c r="K423" t="n">
        <v/>
      </c>
    </row>
    <row r="424">
      <c r="A424" s="98" t="n">
        <v>19784</v>
      </c>
      <c r="B424" t="n">
        <v>18.054</v>
      </c>
      <c r="C424" t="n">
        <v>31.9877</v>
      </c>
      <c r="D424" t="n">
        <v>7.2065</v>
      </c>
      <c r="E424" t="n">
        <v>24.5959</v>
      </c>
      <c r="F424" t="n">
        <v/>
      </c>
      <c r="G424" t="n">
        <v>16.1592</v>
      </c>
      <c r="H424" t="n">
        <v>54.7904</v>
      </c>
      <c r="I424" t="n">
        <v>12.6272</v>
      </c>
      <c r="J424" t="n">
        <v/>
      </c>
      <c r="K424" t="n">
        <v/>
      </c>
    </row>
    <row r="425">
      <c r="A425" s="98" t="n">
        <v>19815</v>
      </c>
      <c r="B425" t="n">
        <v>17.9462</v>
      </c>
      <c r="C425" t="n">
        <v>31.9877</v>
      </c>
      <c r="D425" t="n">
        <v>7.0776</v>
      </c>
      <c r="E425" t="n">
        <v>24.5959</v>
      </c>
      <c r="F425" t="n">
        <v/>
      </c>
      <c r="G425" t="n">
        <v>16.1346</v>
      </c>
      <c r="H425" t="n">
        <v>54.7904</v>
      </c>
      <c r="I425" t="n">
        <v>12.7288</v>
      </c>
      <c r="J425" t="n">
        <v/>
      </c>
      <c r="K425" t="n">
        <v/>
      </c>
    </row>
    <row r="426">
      <c r="A426" s="98" t="n">
        <v>19845</v>
      </c>
      <c r="B426" t="n">
        <v>18.054</v>
      </c>
      <c r="C426" t="n">
        <v>32.3932</v>
      </c>
      <c r="D426" t="n">
        <v>7.0677</v>
      </c>
      <c r="E426" t="n">
        <v>24.7504</v>
      </c>
      <c r="F426" t="n">
        <v/>
      </c>
      <c r="G426" t="n">
        <v>16.3553</v>
      </c>
      <c r="H426" t="n">
        <v>55.5457</v>
      </c>
      <c r="I426" t="n">
        <v>12.7543</v>
      </c>
      <c r="J426" t="n">
        <v/>
      </c>
      <c r="K426" t="n">
        <v/>
      </c>
    </row>
    <row r="427">
      <c r="A427" s="98" t="n">
        <v>19876</v>
      </c>
      <c r="B427" t="n">
        <v>18.1079</v>
      </c>
      <c r="C427" t="n">
        <v>31.6273</v>
      </c>
      <c r="D427" t="n">
        <v>6.9785</v>
      </c>
      <c r="E427" t="n">
        <v>24.9048</v>
      </c>
      <c r="F427" t="n">
        <v/>
      </c>
      <c r="G427" t="n">
        <v>16.5515</v>
      </c>
      <c r="H427" t="n">
        <v>56.7129</v>
      </c>
      <c r="I427" t="n">
        <v>12.8559</v>
      </c>
      <c r="J427" t="n">
        <v/>
      </c>
      <c r="K427" t="n">
        <v/>
      </c>
    </row>
    <row r="428">
      <c r="A428" s="98" t="n">
        <v>19906</v>
      </c>
      <c r="B428" t="n">
        <v>18.1349</v>
      </c>
      <c r="C428" t="n">
        <v>31.5823</v>
      </c>
      <c r="D428" t="n">
        <v>6.9586</v>
      </c>
      <c r="E428" t="n">
        <v>24.9821</v>
      </c>
      <c r="F428" t="n">
        <v/>
      </c>
      <c r="G428" t="n">
        <v>16.625</v>
      </c>
      <c r="H428" t="n">
        <v>56.5755</v>
      </c>
      <c r="I428" t="n">
        <v>12.9575</v>
      </c>
      <c r="J428" t="n">
        <v/>
      </c>
      <c r="K428" t="n">
        <v/>
      </c>
    </row>
    <row r="429">
      <c r="A429" s="98" t="n">
        <v>19937</v>
      </c>
      <c r="B429" t="n">
        <v>18.1079</v>
      </c>
      <c r="C429" t="n">
        <v>31.4021</v>
      </c>
      <c r="D429" t="n">
        <v>6.919</v>
      </c>
      <c r="E429" t="n">
        <v>25.0207</v>
      </c>
      <c r="F429" t="n">
        <v/>
      </c>
      <c r="G429" t="n">
        <v>16.527</v>
      </c>
      <c r="H429" t="n">
        <v>55.1337</v>
      </c>
      <c r="I429" t="n">
        <v>12.9829</v>
      </c>
      <c r="J429" t="n">
        <v/>
      </c>
      <c r="K429" t="n">
        <v/>
      </c>
    </row>
    <row r="430">
      <c r="A430" s="98" t="n">
        <v>19968</v>
      </c>
      <c r="B430" t="n">
        <v>18.1349</v>
      </c>
      <c r="C430" t="n">
        <v>32.9789</v>
      </c>
      <c r="D430" t="n">
        <v>6.8397</v>
      </c>
      <c r="E430" t="n">
        <v>25.2523</v>
      </c>
      <c r="F430" t="n">
        <v/>
      </c>
      <c r="G430" t="n">
        <v>16.4044</v>
      </c>
      <c r="H430" t="n">
        <v>54.3784</v>
      </c>
      <c r="I430" t="n">
        <v>13.11</v>
      </c>
      <c r="J430" t="n">
        <v/>
      </c>
      <c r="K430" t="n">
        <v/>
      </c>
    </row>
    <row r="431">
      <c r="A431" s="98" t="n">
        <v>19998</v>
      </c>
      <c r="B431" t="n">
        <v>18.3505</v>
      </c>
      <c r="C431" t="n">
        <v>34.0602</v>
      </c>
      <c r="D431" t="n">
        <v>6.8199</v>
      </c>
      <c r="E431" t="n">
        <v>25.3296</v>
      </c>
      <c r="F431" t="n">
        <v/>
      </c>
      <c r="G431" t="n">
        <v>16.7476</v>
      </c>
      <c r="H431" t="n">
        <v>54.9277</v>
      </c>
      <c r="I431" t="n">
        <v>13.364</v>
      </c>
      <c r="J431" t="n">
        <v/>
      </c>
      <c r="K431" t="n">
        <v/>
      </c>
    </row>
    <row r="432">
      <c r="A432" s="98" t="n">
        <v>20029</v>
      </c>
      <c r="B432" t="n">
        <v>18.6469</v>
      </c>
      <c r="C432" t="n">
        <v>34.3755</v>
      </c>
      <c r="D432" t="n">
        <v>6.9487</v>
      </c>
      <c r="E432" t="n">
        <v>25.8701</v>
      </c>
      <c r="F432" t="n">
        <v/>
      </c>
      <c r="G432" t="n">
        <v>17.0664</v>
      </c>
      <c r="H432" t="n">
        <v>56.0263</v>
      </c>
      <c r="I432" t="n">
        <v>13.5165</v>
      </c>
      <c r="J432" t="n">
        <v/>
      </c>
      <c r="K432" t="n">
        <v/>
      </c>
    </row>
    <row r="433">
      <c r="A433" s="98" t="n">
        <v>20059</v>
      </c>
      <c r="B433" t="n">
        <v>18.8894</v>
      </c>
      <c r="C433" t="n">
        <v>34.6909</v>
      </c>
      <c r="D433" t="n">
        <v>6.9686</v>
      </c>
      <c r="E433" t="n">
        <v>26.3335</v>
      </c>
      <c r="F433" t="n">
        <v/>
      </c>
      <c r="G433" t="n">
        <v>17.3607</v>
      </c>
      <c r="H433" t="n">
        <v>56.7129</v>
      </c>
      <c r="I433" t="n">
        <v>13.6181</v>
      </c>
      <c r="J433" t="n">
        <v/>
      </c>
      <c r="K433" t="n">
        <v/>
      </c>
    </row>
    <row r="434">
      <c r="A434" s="98" t="n">
        <v>20090</v>
      </c>
      <c r="B434" t="n">
        <v>19.3205</v>
      </c>
      <c r="C434" t="n">
        <v>35.1865</v>
      </c>
      <c r="D434" t="n">
        <v>7.0181</v>
      </c>
      <c r="E434" t="n">
        <v>26.9127</v>
      </c>
      <c r="F434" t="n">
        <v/>
      </c>
      <c r="G434" t="n">
        <v>17.9737</v>
      </c>
      <c r="H434" t="n">
        <v>58.3607</v>
      </c>
      <c r="I434" t="n">
        <v>13.5673</v>
      </c>
      <c r="J434" t="n">
        <v/>
      </c>
      <c r="K434" t="n">
        <v/>
      </c>
    </row>
    <row r="435">
      <c r="A435" s="98" t="n">
        <v>20121</v>
      </c>
      <c r="B435" t="n">
        <v>19.563</v>
      </c>
      <c r="C435" t="n">
        <v>35.6821</v>
      </c>
      <c r="D435" t="n">
        <v>7.1272</v>
      </c>
      <c r="E435" t="n">
        <v>27.0285</v>
      </c>
      <c r="F435" t="n">
        <v/>
      </c>
      <c r="G435" t="n">
        <v>18.4151</v>
      </c>
      <c r="H435" t="n">
        <v>59.5279</v>
      </c>
      <c r="I435" t="n">
        <v>13.8721</v>
      </c>
      <c r="J435" t="n">
        <v/>
      </c>
      <c r="K435" t="n">
        <v/>
      </c>
    </row>
    <row r="436">
      <c r="A436" s="98" t="n">
        <v>20149</v>
      </c>
      <c r="B436" t="n">
        <v>20.0211</v>
      </c>
      <c r="C436" t="n">
        <v>36.8535</v>
      </c>
      <c r="D436" t="n">
        <v>7.1966</v>
      </c>
      <c r="E436" t="n">
        <v>27.5305</v>
      </c>
      <c r="F436" t="n">
        <v/>
      </c>
      <c r="G436" t="n">
        <v>18.9055</v>
      </c>
      <c r="H436" t="n">
        <v>59.3219</v>
      </c>
      <c r="I436" t="n">
        <v>14.0754</v>
      </c>
      <c r="J436" t="n">
        <v/>
      </c>
      <c r="K436" t="n">
        <v/>
      </c>
    </row>
    <row r="437">
      <c r="A437" s="98" t="n">
        <v>20180</v>
      </c>
      <c r="B437" t="n">
        <v>20.2636</v>
      </c>
      <c r="C437" t="n">
        <v>37.1238</v>
      </c>
      <c r="D437" t="n">
        <v>7.4444</v>
      </c>
      <c r="E437" t="n">
        <v>27.7235</v>
      </c>
      <c r="F437" t="n">
        <v/>
      </c>
      <c r="G437" t="n">
        <v>19.2733</v>
      </c>
      <c r="H437" t="n">
        <v>60.5578</v>
      </c>
      <c r="I437" t="n">
        <v>14.2024</v>
      </c>
      <c r="J437" t="n">
        <v/>
      </c>
      <c r="K437" t="n">
        <v/>
      </c>
    </row>
    <row r="438">
      <c r="A438" s="98" t="n">
        <v>20210</v>
      </c>
      <c r="B438" t="n">
        <v>20.587</v>
      </c>
      <c r="C438" t="n">
        <v>37.259</v>
      </c>
      <c r="D438" t="n">
        <v>7.5534</v>
      </c>
      <c r="E438" t="n">
        <v>28.1096</v>
      </c>
      <c r="F438" t="n">
        <v/>
      </c>
      <c r="G438" t="n">
        <v>19.6411</v>
      </c>
      <c r="H438" t="n">
        <v>60.9011</v>
      </c>
      <c r="I438" t="n">
        <v>14.2787</v>
      </c>
      <c r="J438" t="n">
        <v/>
      </c>
      <c r="K438" t="n">
        <v/>
      </c>
    </row>
    <row r="439">
      <c r="A439" s="98" t="n">
        <v>20241</v>
      </c>
      <c r="B439" t="n">
        <v>20.6139</v>
      </c>
      <c r="C439" t="n">
        <v>37.9348</v>
      </c>
      <c r="D439" t="n">
        <v>7.6426</v>
      </c>
      <c r="E439" t="n">
        <v>27.878</v>
      </c>
      <c r="F439" t="n">
        <v/>
      </c>
      <c r="G439" t="n">
        <v>19.6901</v>
      </c>
      <c r="H439" t="n">
        <v>61.7937</v>
      </c>
      <c r="I439" t="n">
        <v>14.3041</v>
      </c>
      <c r="J439" t="n">
        <v/>
      </c>
      <c r="K439" t="n">
        <v/>
      </c>
    </row>
    <row r="440">
      <c r="A440" s="98" t="n">
        <v>20271</v>
      </c>
      <c r="B440" t="n">
        <v>20.7756</v>
      </c>
      <c r="C440" t="n">
        <v>37.9798</v>
      </c>
      <c r="D440" t="n">
        <v>7.6624</v>
      </c>
      <c r="E440" t="n">
        <v>27.9552</v>
      </c>
      <c r="F440" t="n">
        <v/>
      </c>
      <c r="G440" t="n">
        <v>19.9353</v>
      </c>
      <c r="H440" t="n">
        <v>61.8623</v>
      </c>
      <c r="I440" t="n">
        <v>14.3549</v>
      </c>
      <c r="J440" t="n">
        <v/>
      </c>
      <c r="K440" t="n">
        <v/>
      </c>
    </row>
    <row r="441">
      <c r="A441" s="98" t="n">
        <v>20302</v>
      </c>
      <c r="B441" t="n">
        <v>20.7487</v>
      </c>
      <c r="C441" t="n">
        <v>37.9798</v>
      </c>
      <c r="D441" t="n">
        <v>7.712</v>
      </c>
      <c r="E441" t="n">
        <v>28.0324</v>
      </c>
      <c r="F441" t="n">
        <v/>
      </c>
      <c r="G441" t="n">
        <v>19.9108</v>
      </c>
      <c r="H441" t="n">
        <v>62.6176</v>
      </c>
      <c r="I441" t="n">
        <v>14.7106</v>
      </c>
      <c r="J441" t="n">
        <v/>
      </c>
      <c r="K441" t="n">
        <v/>
      </c>
    </row>
    <row r="442">
      <c r="A442" s="98" t="n">
        <v>20333</v>
      </c>
      <c r="B442" t="n">
        <v>20.8834</v>
      </c>
      <c r="C442" t="n">
        <v>38.2051</v>
      </c>
      <c r="D442" t="n">
        <v>7.7616</v>
      </c>
      <c r="E442" t="n">
        <v>28.1869</v>
      </c>
      <c r="F442" t="n">
        <v/>
      </c>
      <c r="G442" t="n">
        <v>20.1315</v>
      </c>
      <c r="H442" t="n">
        <v>63.1669</v>
      </c>
      <c r="I442" t="n">
        <v>14.9138</v>
      </c>
      <c r="J442" t="n">
        <v/>
      </c>
      <c r="K442" t="n">
        <v/>
      </c>
    </row>
    <row r="443">
      <c r="A443" s="98" t="n">
        <v>20363</v>
      </c>
      <c r="B443" t="n">
        <v>21.2337</v>
      </c>
      <c r="C443" t="n">
        <v>38.2051</v>
      </c>
      <c r="D443" t="n">
        <v>8.118399999999999</v>
      </c>
      <c r="E443" t="n">
        <v>28.7274</v>
      </c>
      <c r="F443" t="n">
        <v/>
      </c>
      <c r="G443" t="n">
        <v>20.3522</v>
      </c>
      <c r="H443" t="n">
        <v>64.1968</v>
      </c>
      <c r="I443" t="n">
        <v>15.0663</v>
      </c>
      <c r="J443" t="n">
        <v/>
      </c>
      <c r="K443" t="n">
        <v/>
      </c>
    </row>
    <row r="444">
      <c r="A444" s="98" t="n">
        <v>20394</v>
      </c>
      <c r="B444" t="n">
        <v>21.2876</v>
      </c>
      <c r="C444" t="n">
        <v>38.6556</v>
      </c>
      <c r="D444" t="n">
        <v>8.158099999999999</v>
      </c>
      <c r="E444" t="n">
        <v>28.8047</v>
      </c>
      <c r="F444" t="n">
        <v/>
      </c>
      <c r="G444" t="n">
        <v>20.2541</v>
      </c>
      <c r="H444" t="n">
        <v>64.4714</v>
      </c>
      <c r="I444" t="n">
        <v>15.1933</v>
      </c>
      <c r="J444" t="n">
        <v/>
      </c>
      <c r="K444" t="n">
        <v/>
      </c>
    </row>
    <row r="445">
      <c r="A445" s="98" t="n">
        <v>20424</v>
      </c>
      <c r="B445" t="n">
        <v>21.3684</v>
      </c>
      <c r="C445" t="n">
        <v>38.8809</v>
      </c>
      <c r="D445" t="n">
        <v>8.296900000000001</v>
      </c>
      <c r="E445" t="n">
        <v>28.9591</v>
      </c>
      <c r="F445" t="n">
        <v/>
      </c>
      <c r="G445" t="n">
        <v>20.4012</v>
      </c>
      <c r="H445" t="n">
        <v>64.2655</v>
      </c>
      <c r="I445" t="n">
        <v>15.3712</v>
      </c>
      <c r="J445" t="n">
        <v/>
      </c>
      <c r="K445" t="n">
        <v/>
      </c>
    </row>
    <row r="446">
      <c r="A446" s="98" t="n">
        <v>20455</v>
      </c>
      <c r="B446" t="n">
        <v>21.5032</v>
      </c>
      <c r="C446" t="n">
        <v>39.5116</v>
      </c>
      <c r="D446" t="n">
        <v>8.356299999999999</v>
      </c>
      <c r="E446" t="n">
        <v>28.9977</v>
      </c>
      <c r="F446" t="n">
        <v/>
      </c>
      <c r="G446" t="n">
        <v>20.4993</v>
      </c>
      <c r="H446" t="n">
        <v>64.4714</v>
      </c>
      <c r="I446" t="n">
        <v>15.422</v>
      </c>
      <c r="J446" t="n">
        <v/>
      </c>
      <c r="K446" t="n">
        <v/>
      </c>
    </row>
    <row r="447">
      <c r="A447" s="98" t="n">
        <v>20486</v>
      </c>
      <c r="B447" t="n">
        <v>21.3145</v>
      </c>
      <c r="C447" t="n">
        <v>39.3764</v>
      </c>
      <c r="D447" t="n">
        <v>8.475300000000001</v>
      </c>
      <c r="E447" t="n">
        <v>28.9205</v>
      </c>
      <c r="F447" t="n">
        <v/>
      </c>
      <c r="G447" t="n">
        <v>20.107</v>
      </c>
      <c r="H447" t="n">
        <v>64.0594</v>
      </c>
      <c r="I447" t="n">
        <v>15.5998</v>
      </c>
      <c r="J447" t="n">
        <v/>
      </c>
      <c r="K447" t="n">
        <v/>
      </c>
    </row>
    <row r="448">
      <c r="A448" s="98" t="n">
        <v>20515</v>
      </c>
      <c r="B448" t="n">
        <v>21.3145</v>
      </c>
      <c r="C448" t="n">
        <v>39.2863</v>
      </c>
      <c r="D448" t="n">
        <v>8.574400000000001</v>
      </c>
      <c r="E448" t="n">
        <v>28.8819</v>
      </c>
      <c r="F448" t="n">
        <v/>
      </c>
      <c r="G448" t="n">
        <v>20.0334</v>
      </c>
      <c r="H448" t="n">
        <v>64.952</v>
      </c>
      <c r="I448" t="n">
        <v>15.7015</v>
      </c>
      <c r="J448" t="n">
        <v/>
      </c>
      <c r="K448" t="n">
        <v/>
      </c>
    </row>
    <row r="449">
      <c r="A449" s="98" t="n">
        <v>20546</v>
      </c>
      <c r="B449" t="n">
        <v>21.4762</v>
      </c>
      <c r="C449" t="n">
        <v>39.1061</v>
      </c>
      <c r="D449" t="n">
        <v>8.8222</v>
      </c>
      <c r="E449" t="n">
        <v>28.9977</v>
      </c>
      <c r="F449" t="n">
        <v/>
      </c>
      <c r="G449" t="n">
        <v>20.1806</v>
      </c>
      <c r="H449" t="n">
        <v>66.3252</v>
      </c>
      <c r="I449" t="n">
        <v>15.8285</v>
      </c>
      <c r="J449" t="n">
        <v/>
      </c>
      <c r="K449" t="n">
        <v/>
      </c>
    </row>
    <row r="450">
      <c r="A450" s="98" t="n">
        <v>20576</v>
      </c>
      <c r="B450" t="n">
        <v>21.2876</v>
      </c>
      <c r="C450" t="n">
        <v>38.5655</v>
      </c>
      <c r="D450" t="n">
        <v>8.7925</v>
      </c>
      <c r="E450" t="n">
        <v>28.8433</v>
      </c>
      <c r="F450" t="n">
        <v/>
      </c>
      <c r="G450" t="n">
        <v>19.8127</v>
      </c>
      <c r="H450" t="n">
        <v>65.43259999999999</v>
      </c>
      <c r="I450" t="n">
        <v>16.0317</v>
      </c>
      <c r="J450" t="n">
        <v/>
      </c>
      <c r="K450" t="n">
        <v/>
      </c>
    </row>
    <row r="451">
      <c r="A451" s="98" t="n">
        <v>20607</v>
      </c>
      <c r="B451" t="n">
        <v>21.099</v>
      </c>
      <c r="C451" t="n">
        <v>38.115</v>
      </c>
      <c r="D451" t="n">
        <v>8.8222</v>
      </c>
      <c r="E451" t="n">
        <v>28.7661</v>
      </c>
      <c r="F451" t="n">
        <v/>
      </c>
      <c r="G451" t="n">
        <v>19.543</v>
      </c>
      <c r="H451" t="n">
        <v>65.43259999999999</v>
      </c>
      <c r="I451" t="n">
        <v>16.0063</v>
      </c>
      <c r="J451" t="n">
        <v/>
      </c>
      <c r="K451" t="n">
        <v/>
      </c>
    </row>
    <row r="452">
      <c r="A452" s="98" t="n">
        <v>20637</v>
      </c>
      <c r="B452" t="n">
        <v>20.4522</v>
      </c>
      <c r="C452" t="n">
        <v>36.1326</v>
      </c>
      <c r="D452" t="n">
        <v>8.8222</v>
      </c>
      <c r="E452" t="n">
        <v>28.8433</v>
      </c>
      <c r="F452" t="n">
        <v/>
      </c>
      <c r="G452" t="n">
        <v>17.9737</v>
      </c>
      <c r="H452" t="n">
        <v>61.8623</v>
      </c>
      <c r="I452" t="n">
        <v>15.9047</v>
      </c>
      <c r="J452" t="n">
        <v/>
      </c>
      <c r="K452" t="n">
        <v/>
      </c>
    </row>
    <row r="453">
      <c r="A453" s="98" t="n">
        <v>20668</v>
      </c>
      <c r="B453" t="n">
        <v>21.2876</v>
      </c>
      <c r="C453" t="n">
        <v>37.9798</v>
      </c>
      <c r="D453" t="n">
        <v>8.9313</v>
      </c>
      <c r="E453" t="n">
        <v>28.9977</v>
      </c>
      <c r="F453" t="n">
        <v/>
      </c>
      <c r="G453" t="n">
        <v>19.6166</v>
      </c>
      <c r="H453" t="n">
        <v>65.0894</v>
      </c>
      <c r="I453" t="n">
        <v>15.8793</v>
      </c>
      <c r="J453" t="n">
        <v/>
      </c>
      <c r="K453" t="n">
        <v/>
      </c>
    </row>
    <row r="454">
      <c r="A454" s="98" t="n">
        <v>20699</v>
      </c>
      <c r="B454" t="n">
        <v>21.7726</v>
      </c>
      <c r="C454" t="n">
        <v>38.971</v>
      </c>
      <c r="D454" t="n">
        <v>8.9709</v>
      </c>
      <c r="E454" t="n">
        <v>28.9591</v>
      </c>
      <c r="F454" t="n">
        <v/>
      </c>
      <c r="G454" t="n">
        <v>20.671</v>
      </c>
      <c r="H454" t="n">
        <v>65.8446</v>
      </c>
      <c r="I454" t="n">
        <v>15.9047</v>
      </c>
      <c r="J454" t="n">
        <v/>
      </c>
      <c r="K454" t="n">
        <v/>
      </c>
    </row>
    <row r="455">
      <c r="A455" s="98" t="n">
        <v>20729</v>
      </c>
      <c r="B455" t="n">
        <v>21.9613</v>
      </c>
      <c r="C455" t="n">
        <v>38.7007</v>
      </c>
      <c r="D455" t="n">
        <v>9.0403</v>
      </c>
      <c r="E455" t="n">
        <v>29.1908</v>
      </c>
      <c r="F455" t="n">
        <v/>
      </c>
      <c r="G455" t="n">
        <v>20.9897</v>
      </c>
      <c r="H455" t="n">
        <v>65.9819</v>
      </c>
      <c r="I455" t="n">
        <v>16.0825</v>
      </c>
      <c r="J455" t="n">
        <v/>
      </c>
      <c r="K455" t="n">
        <v/>
      </c>
    </row>
    <row r="456">
      <c r="A456" s="98" t="n">
        <v>20760</v>
      </c>
      <c r="B456" t="n">
        <v>21.7726</v>
      </c>
      <c r="C456" t="n">
        <v>38.3853</v>
      </c>
      <c r="D456" t="n">
        <v>9.189</v>
      </c>
      <c r="E456" t="n">
        <v>29.0364</v>
      </c>
      <c r="F456" t="n">
        <v/>
      </c>
      <c r="G456" t="n">
        <v>20.5238</v>
      </c>
      <c r="H456" t="n">
        <v>66.1193</v>
      </c>
      <c r="I456" t="n">
        <v>16.1842</v>
      </c>
      <c r="J456" t="n">
        <v/>
      </c>
      <c r="K456" t="n">
        <v/>
      </c>
    </row>
    <row r="457">
      <c r="A457" s="98" t="n">
        <v>20790</v>
      </c>
      <c r="B457" t="n">
        <v>22.096</v>
      </c>
      <c r="C457" t="n">
        <v>39.1061</v>
      </c>
      <c r="D457" t="n">
        <v>9.298</v>
      </c>
      <c r="E457" t="n">
        <v>29.268</v>
      </c>
      <c r="F457" t="n">
        <v/>
      </c>
      <c r="G457" t="n">
        <v>20.8916</v>
      </c>
      <c r="H457" t="n">
        <v>65.08929999999999</v>
      </c>
      <c r="I457" t="n">
        <v>16.2604</v>
      </c>
      <c r="J457" t="n">
        <v/>
      </c>
      <c r="K457" t="n">
        <v/>
      </c>
    </row>
    <row r="458">
      <c r="A458" s="98" t="n">
        <v>20821</v>
      </c>
      <c r="B458" t="n">
        <v>22.0151</v>
      </c>
      <c r="C458" t="n">
        <v>38.5204</v>
      </c>
      <c r="D458" t="n">
        <v>9.4269</v>
      </c>
      <c r="E458" t="n">
        <v>29.4611</v>
      </c>
      <c r="F458" t="n">
        <v/>
      </c>
      <c r="G458" t="n">
        <v>20.4993</v>
      </c>
      <c r="H458" t="n">
        <v>65.364</v>
      </c>
      <c r="I458" t="n">
        <v>16.4382</v>
      </c>
      <c r="J458" t="n">
        <v/>
      </c>
      <c r="K458" t="n">
        <v/>
      </c>
    </row>
    <row r="459">
      <c r="A459" s="98" t="n">
        <v>20852</v>
      </c>
      <c r="B459" t="n">
        <v>22.2307</v>
      </c>
      <c r="C459" t="n">
        <v>39.6918</v>
      </c>
      <c r="D459" t="n">
        <v>9.6351</v>
      </c>
      <c r="E459" t="n">
        <v>29.8086</v>
      </c>
      <c r="F459" t="n">
        <v/>
      </c>
      <c r="G459" t="n">
        <v>20.6219</v>
      </c>
      <c r="H459" t="n">
        <v>66.46250000000001</v>
      </c>
      <c r="I459" t="n">
        <v>16.6161</v>
      </c>
      <c r="J459" t="n">
        <v/>
      </c>
      <c r="K459" t="n">
        <v/>
      </c>
    </row>
    <row r="460">
      <c r="A460" s="98" t="n">
        <v>20880</v>
      </c>
      <c r="B460" t="n">
        <v>22.2038</v>
      </c>
      <c r="C460" t="n">
        <v>39.0611</v>
      </c>
      <c r="D460" t="n">
        <v>9.5855</v>
      </c>
      <c r="E460" t="n">
        <v>29.8858</v>
      </c>
      <c r="F460" t="n">
        <v/>
      </c>
      <c r="G460" t="n">
        <v>20.5484</v>
      </c>
      <c r="H460" t="n">
        <v>67.0804</v>
      </c>
      <c r="I460" t="n">
        <v>16.6415</v>
      </c>
      <c r="J460" t="n">
        <v/>
      </c>
      <c r="K460" t="n">
        <v/>
      </c>
    </row>
    <row r="461">
      <c r="A461" s="98" t="n">
        <v>20911</v>
      </c>
      <c r="B461" t="n">
        <v>21.9074</v>
      </c>
      <c r="C461" t="n">
        <v>38.2051</v>
      </c>
      <c r="D461" t="n">
        <v>9.3972</v>
      </c>
      <c r="E461" t="n">
        <v>29.5769</v>
      </c>
      <c r="F461" t="n">
        <v/>
      </c>
      <c r="G461" t="n">
        <v>20.2786</v>
      </c>
      <c r="H461" t="n">
        <v>66.59990000000001</v>
      </c>
      <c r="I461" t="n">
        <v>16.7685</v>
      </c>
      <c r="J461" t="n">
        <v/>
      </c>
      <c r="K461" t="n">
        <v/>
      </c>
    </row>
    <row r="462">
      <c r="A462" s="98" t="n">
        <v>20941</v>
      </c>
      <c r="B462" t="n">
        <v>21.8265</v>
      </c>
      <c r="C462" t="n">
        <v>38.0249</v>
      </c>
      <c r="D462" t="n">
        <v>9.2286</v>
      </c>
      <c r="E462" t="n">
        <v>29.6541</v>
      </c>
      <c r="F462" t="n">
        <v/>
      </c>
      <c r="G462" t="n">
        <v>20.1805</v>
      </c>
      <c r="H462" t="n">
        <v>66.1879</v>
      </c>
      <c r="I462" t="n">
        <v>16.8956</v>
      </c>
      <c r="J462" t="n">
        <v/>
      </c>
      <c r="K462" t="n">
        <v/>
      </c>
    </row>
    <row r="463">
      <c r="A463" s="98" t="n">
        <v>20972</v>
      </c>
      <c r="B463" t="n">
        <v>21.8804</v>
      </c>
      <c r="C463" t="n">
        <v>38.2952</v>
      </c>
      <c r="D463" t="n">
        <v>9.2683</v>
      </c>
      <c r="E463" t="n">
        <v>29.77</v>
      </c>
      <c r="F463" t="n">
        <v/>
      </c>
      <c r="G463" t="n">
        <v>20.2786</v>
      </c>
      <c r="H463" t="n">
        <v>65.56999999999999</v>
      </c>
      <c r="I463" t="n">
        <v>16.8956</v>
      </c>
      <c r="J463" t="n">
        <v/>
      </c>
      <c r="K463" t="n">
        <v/>
      </c>
    </row>
    <row r="464">
      <c r="A464" s="98" t="n">
        <v>21002</v>
      </c>
      <c r="B464" t="n">
        <v>22.0151</v>
      </c>
      <c r="C464" t="n">
        <v>38.3853</v>
      </c>
      <c r="D464" t="n">
        <v>9.3079</v>
      </c>
      <c r="E464" t="n">
        <v>29.8858</v>
      </c>
      <c r="F464" t="n">
        <v/>
      </c>
      <c r="G464" t="n">
        <v>20.4012</v>
      </c>
      <c r="H464" t="n">
        <v>65.8446</v>
      </c>
      <c r="I464" t="n">
        <v>17.175</v>
      </c>
      <c r="J464" t="n">
        <v/>
      </c>
      <c r="K464" t="n">
        <v/>
      </c>
    </row>
    <row r="465">
      <c r="A465" s="98" t="n">
        <v>21033</v>
      </c>
      <c r="B465" t="n">
        <v>22.0152</v>
      </c>
      <c r="C465" t="n">
        <v>38.0699</v>
      </c>
      <c r="D465" t="n">
        <v>9.2881</v>
      </c>
      <c r="E465" t="n">
        <v>30.0403</v>
      </c>
      <c r="F465" t="n">
        <v/>
      </c>
      <c r="G465" t="n">
        <v>20.4503</v>
      </c>
      <c r="H465" t="n">
        <v>65.77589999999999</v>
      </c>
      <c r="I465" t="n">
        <v>17.2767</v>
      </c>
      <c r="J465" t="n">
        <v/>
      </c>
      <c r="K465" t="n">
        <v/>
      </c>
    </row>
    <row r="466">
      <c r="A466" s="98" t="n">
        <v>21064</v>
      </c>
      <c r="B466" t="n">
        <v>21.8265</v>
      </c>
      <c r="C466" t="n">
        <v>37.8446</v>
      </c>
      <c r="D466" t="n">
        <v>9.1692</v>
      </c>
      <c r="E466" t="n">
        <v>30.0403</v>
      </c>
      <c r="F466" t="n">
        <v/>
      </c>
      <c r="G466" t="n">
        <v>20.1805</v>
      </c>
      <c r="H466" t="n">
        <v>64.9521</v>
      </c>
      <c r="I466" t="n">
        <v>17.1242</v>
      </c>
      <c r="J466" t="n">
        <v/>
      </c>
      <c r="K466" t="n">
        <v/>
      </c>
    </row>
    <row r="467">
      <c r="A467" s="98" t="n">
        <v>21094</v>
      </c>
      <c r="B467" t="n">
        <v>21.5032</v>
      </c>
      <c r="C467" t="n">
        <v>37.3941</v>
      </c>
      <c r="D467" t="n">
        <v>8.9213</v>
      </c>
      <c r="E467" t="n">
        <v>29.5769</v>
      </c>
      <c r="F467" t="n">
        <v/>
      </c>
      <c r="G467" t="n">
        <v>19.8618</v>
      </c>
      <c r="H467" t="n">
        <v>64.0594</v>
      </c>
      <c r="I467" t="n">
        <v>17.2005</v>
      </c>
      <c r="J467" t="n">
        <v/>
      </c>
      <c r="K467" t="n">
        <v/>
      </c>
    </row>
    <row r="468">
      <c r="A468" s="98" t="n">
        <v>21125</v>
      </c>
      <c r="B468" t="n">
        <v>20.9912</v>
      </c>
      <c r="C468" t="n">
        <v>36.9436</v>
      </c>
      <c r="D468" t="n">
        <v>8.6934</v>
      </c>
      <c r="E468" t="n">
        <v>29.4997</v>
      </c>
      <c r="F468" t="n">
        <v/>
      </c>
      <c r="G468" t="n">
        <v>19.1507</v>
      </c>
      <c r="H468" t="n">
        <v>62.137</v>
      </c>
      <c r="I468" t="n">
        <v>17.4037</v>
      </c>
      <c r="J468" t="n">
        <v/>
      </c>
      <c r="K468" t="n">
        <v/>
      </c>
    </row>
    <row r="469">
      <c r="A469" s="98" t="n">
        <v>21155</v>
      </c>
      <c r="B469" t="n">
        <v>20.587</v>
      </c>
      <c r="C469" t="n">
        <v>36.3579</v>
      </c>
      <c r="D469" t="n">
        <v>8.425700000000001</v>
      </c>
      <c r="E469" t="n">
        <v>29.3066</v>
      </c>
      <c r="F469" t="n">
        <v/>
      </c>
      <c r="G469" t="n">
        <v>18.5131</v>
      </c>
      <c r="H469" t="n">
        <v>61.5191</v>
      </c>
      <c r="I469" t="n">
        <v>17.3529</v>
      </c>
      <c r="J469" t="n">
        <v/>
      </c>
      <c r="K469" t="n">
        <v/>
      </c>
    </row>
    <row r="470">
      <c r="A470" s="98" t="n">
        <v>21186</v>
      </c>
      <c r="B470" t="n">
        <v>20.2097</v>
      </c>
      <c r="C470" t="n">
        <v>35.9073</v>
      </c>
      <c r="D470" t="n">
        <v>8.257199999999999</v>
      </c>
      <c r="E470" t="n">
        <v>28.9205</v>
      </c>
      <c r="F470" t="n">
        <v/>
      </c>
      <c r="G470" t="n">
        <v>17.9737</v>
      </c>
      <c r="H470" t="n">
        <v>60.4205</v>
      </c>
      <c r="I470" t="n">
        <v>17.3783</v>
      </c>
      <c r="J470" t="n">
        <v/>
      </c>
      <c r="K470" t="n">
        <v/>
      </c>
    </row>
    <row r="471">
      <c r="A471" s="98" t="n">
        <v>21217</v>
      </c>
      <c r="B471" t="n">
        <v>19.7786</v>
      </c>
      <c r="C471" t="n">
        <v>34.736</v>
      </c>
      <c r="D471" t="n">
        <v>7.9598</v>
      </c>
      <c r="E471" t="n">
        <v>28.7275</v>
      </c>
      <c r="F471" t="n">
        <v/>
      </c>
      <c r="G471" t="n">
        <v>17.3852</v>
      </c>
      <c r="H471" t="n">
        <v>59.5966</v>
      </c>
      <c r="I471" t="n">
        <v>17.4545</v>
      </c>
      <c r="J471" t="n">
        <v/>
      </c>
      <c r="K471" t="n">
        <v/>
      </c>
    </row>
    <row r="472">
      <c r="A472" s="98" t="n">
        <v>21245</v>
      </c>
      <c r="B472" t="n">
        <v>19.5361</v>
      </c>
      <c r="C472" t="n">
        <v>34.5558</v>
      </c>
      <c r="D472" t="n">
        <v>7.7913</v>
      </c>
      <c r="E472" t="n">
        <v>28.4958</v>
      </c>
      <c r="F472" t="n">
        <v/>
      </c>
      <c r="G472" t="n">
        <v>16.9438</v>
      </c>
      <c r="H472" t="n">
        <v>56.6442</v>
      </c>
      <c r="I472" t="n">
        <v>17.4799</v>
      </c>
      <c r="J472" t="n">
        <v/>
      </c>
      <c r="K472" t="n">
        <v/>
      </c>
    </row>
    <row r="473">
      <c r="A473" s="98" t="n">
        <v>21276</v>
      </c>
      <c r="B473" t="n">
        <v>19.2127</v>
      </c>
      <c r="C473" t="n">
        <v>34.1052</v>
      </c>
      <c r="D473" t="n">
        <v>7.6327</v>
      </c>
      <c r="E473" t="n">
        <v>28.1869</v>
      </c>
      <c r="F473" t="n">
        <v/>
      </c>
      <c r="G473" t="n">
        <v>16.527</v>
      </c>
      <c r="H473" t="n">
        <v>55.5456</v>
      </c>
      <c r="I473" t="n">
        <v>17.3529</v>
      </c>
      <c r="J473" t="n">
        <v/>
      </c>
      <c r="K473" t="n">
        <v/>
      </c>
    </row>
    <row r="474">
      <c r="A474" s="98" t="n">
        <v>21306</v>
      </c>
      <c r="B474" t="n">
        <v>19.4013</v>
      </c>
      <c r="C474" t="n">
        <v>35.2766</v>
      </c>
      <c r="D474" t="n">
        <v>7.4444</v>
      </c>
      <c r="E474" t="n">
        <v>28.6116</v>
      </c>
      <c r="F474" t="n">
        <v/>
      </c>
      <c r="G474" t="n">
        <v>16.7231</v>
      </c>
      <c r="H474" t="n">
        <v>55.477</v>
      </c>
      <c r="I474" t="n">
        <v>17.4291</v>
      </c>
      <c r="J474" t="n">
        <v/>
      </c>
      <c r="K474" t="n">
        <v/>
      </c>
    </row>
    <row r="475">
      <c r="A475" s="98" t="n">
        <v>21337</v>
      </c>
      <c r="B475" t="n">
        <v>19.9133</v>
      </c>
      <c r="C475" t="n">
        <v>36.6733</v>
      </c>
      <c r="D475" t="n">
        <v>7.4444</v>
      </c>
      <c r="E475" t="n">
        <v>29.1908</v>
      </c>
      <c r="F475" t="n">
        <v/>
      </c>
      <c r="G475" t="n">
        <v>17.4342</v>
      </c>
      <c r="H475" t="n">
        <v>57.6054</v>
      </c>
      <c r="I475" t="n">
        <v>17.607</v>
      </c>
      <c r="J475" t="n">
        <v/>
      </c>
      <c r="K475" t="n">
        <v/>
      </c>
    </row>
    <row r="476">
      <c r="A476" s="98" t="n">
        <v>21367</v>
      </c>
      <c r="B476" t="n">
        <v>20.2097</v>
      </c>
      <c r="C476" t="n">
        <v>36.448</v>
      </c>
      <c r="D476" t="n">
        <v>7.4939</v>
      </c>
      <c r="E476" t="n">
        <v>29.6155</v>
      </c>
      <c r="F476" t="n">
        <v/>
      </c>
      <c r="G476" t="n">
        <v>17.8756</v>
      </c>
      <c r="H476" t="n">
        <v>59.4592</v>
      </c>
      <c r="I476" t="n">
        <v>17.6832</v>
      </c>
      <c r="J476" t="n">
        <v/>
      </c>
      <c r="K476" t="n">
        <v/>
      </c>
    </row>
    <row r="477">
      <c r="A477" s="98" t="n">
        <v>21398</v>
      </c>
      <c r="B477" t="n">
        <v>20.6139</v>
      </c>
      <c r="C477" t="n">
        <v>38.0699</v>
      </c>
      <c r="D477" t="n">
        <v>7.6228</v>
      </c>
      <c r="E477" t="n">
        <v>29.7314</v>
      </c>
      <c r="F477" t="n">
        <v/>
      </c>
      <c r="G477" t="n">
        <v>18.4396</v>
      </c>
      <c r="H477" t="n">
        <v>61.5877</v>
      </c>
      <c r="I477" t="n">
        <v>17.8864</v>
      </c>
      <c r="J477" t="n">
        <v/>
      </c>
      <c r="K477" t="n">
        <v/>
      </c>
    </row>
    <row r="478">
      <c r="A478" s="98" t="n">
        <v>21429</v>
      </c>
      <c r="B478" t="n">
        <v>20.8026</v>
      </c>
      <c r="C478" t="n">
        <v>38.16</v>
      </c>
      <c r="D478" t="n">
        <v>7.6922</v>
      </c>
      <c r="E478" t="n">
        <v>29.3839</v>
      </c>
      <c r="F478" t="n">
        <v/>
      </c>
      <c r="G478" t="n">
        <v>18.881</v>
      </c>
      <c r="H478" t="n">
        <v>62.6176</v>
      </c>
      <c r="I478" t="n">
        <v>18.0643</v>
      </c>
      <c r="J478" t="n">
        <v/>
      </c>
      <c r="K478" t="n">
        <v/>
      </c>
    </row>
    <row r="479">
      <c r="A479" s="98" t="n">
        <v>21459</v>
      </c>
      <c r="B479" t="n">
        <v>21.0451</v>
      </c>
      <c r="C479" t="n">
        <v>38.1149</v>
      </c>
      <c r="D479" t="n">
        <v>7.7913</v>
      </c>
      <c r="E479" t="n">
        <v>29.6541</v>
      </c>
      <c r="F479" t="n">
        <v/>
      </c>
      <c r="G479" t="n">
        <v>19.1997</v>
      </c>
      <c r="H479" t="n">
        <v>62.5489</v>
      </c>
      <c r="I479" t="n">
        <v>18.1659</v>
      </c>
      <c r="J479" t="n">
        <v/>
      </c>
      <c r="K479" t="n">
        <v/>
      </c>
    </row>
    <row r="480">
      <c r="A480" s="98" t="n">
        <v>21490</v>
      </c>
      <c r="B480" t="n">
        <v>21.6649</v>
      </c>
      <c r="C480" t="n">
        <v>39.6017</v>
      </c>
      <c r="D480" t="n">
        <v>7.9301</v>
      </c>
      <c r="E480" t="n">
        <v>31.0828</v>
      </c>
      <c r="F480" t="n">
        <v/>
      </c>
      <c r="G480" t="n">
        <v>19.7392</v>
      </c>
      <c r="H480" t="n">
        <v>62.4116</v>
      </c>
      <c r="I480" t="n">
        <v>18.2675</v>
      </c>
      <c r="J480" t="n">
        <v/>
      </c>
      <c r="K480" t="n">
        <v/>
      </c>
    </row>
    <row r="481">
      <c r="A481" s="98" t="n">
        <v>21520</v>
      </c>
      <c r="B481" t="n">
        <v>21.6918</v>
      </c>
      <c r="C481" t="n">
        <v>39.1061</v>
      </c>
      <c r="D481" t="n">
        <v>7.9896</v>
      </c>
      <c r="E481" t="n">
        <v>31.2372</v>
      </c>
      <c r="F481" t="n">
        <v/>
      </c>
      <c r="G481" t="n">
        <v>19.7882</v>
      </c>
      <c r="H481" t="n">
        <v>62.7549</v>
      </c>
      <c r="I481" t="n">
        <v>18.5216</v>
      </c>
      <c r="J481" t="n">
        <v/>
      </c>
      <c r="K481" t="n">
        <v/>
      </c>
    </row>
    <row r="482">
      <c r="A482" s="98" t="n">
        <v>21551</v>
      </c>
      <c r="B482" t="n">
        <v>22.0151</v>
      </c>
      <c r="C482" t="n">
        <v>39.872</v>
      </c>
      <c r="D482" t="n">
        <v>8.148199999999999</v>
      </c>
      <c r="E482" t="n">
        <v>31.5847</v>
      </c>
      <c r="F482" t="n">
        <v/>
      </c>
      <c r="G482" t="n">
        <v>20.1315</v>
      </c>
      <c r="H482" t="n">
        <v>62.6176</v>
      </c>
      <c r="I482" t="n">
        <v>18.8011</v>
      </c>
      <c r="J482" t="n">
        <v/>
      </c>
      <c r="K482" t="n">
        <v/>
      </c>
    </row>
    <row r="483">
      <c r="A483" s="98" t="n">
        <v>21582</v>
      </c>
      <c r="B483" t="n">
        <v>22.4463</v>
      </c>
      <c r="C483" t="n">
        <v>40.9533</v>
      </c>
      <c r="D483" t="n">
        <v>8.257199999999999</v>
      </c>
      <c r="E483" t="n">
        <v>31.8164</v>
      </c>
      <c r="F483" t="n">
        <v/>
      </c>
      <c r="G483" t="n">
        <v>20.769</v>
      </c>
      <c r="H483" t="n">
        <v>63.0295</v>
      </c>
      <c r="I483" t="n">
        <v>18.9281</v>
      </c>
      <c r="J483" t="n">
        <v/>
      </c>
      <c r="K483" t="n">
        <v/>
      </c>
    </row>
    <row r="484">
      <c r="A484" s="98" t="n">
        <v>21610</v>
      </c>
      <c r="B484" t="n">
        <v>22.7696</v>
      </c>
      <c r="C484" t="n">
        <v>41.9895</v>
      </c>
      <c r="D484" t="n">
        <v>8.346399999999999</v>
      </c>
      <c r="E484" t="n">
        <v>31.8164</v>
      </c>
      <c r="F484" t="n">
        <v/>
      </c>
      <c r="G484" t="n">
        <v>21.3085</v>
      </c>
      <c r="H484" t="n">
        <v>63.1668</v>
      </c>
      <c r="I484" t="n">
        <v>19.0806</v>
      </c>
      <c r="J484" t="n">
        <v/>
      </c>
      <c r="K484" t="n">
        <v/>
      </c>
    </row>
    <row r="485">
      <c r="A485" s="98" t="n">
        <v>21641</v>
      </c>
      <c r="B485" t="n">
        <v>23.2547</v>
      </c>
      <c r="C485" t="n">
        <v>43.206</v>
      </c>
      <c r="D485" t="n">
        <v>8.564500000000001</v>
      </c>
      <c r="E485" t="n">
        <v>32.3184</v>
      </c>
      <c r="F485" t="n">
        <v/>
      </c>
      <c r="G485" t="n">
        <v>21.897</v>
      </c>
      <c r="H485" t="n">
        <v>65.02070000000001</v>
      </c>
      <c r="I485" t="n">
        <v>19.2076</v>
      </c>
      <c r="J485" t="n">
        <v/>
      </c>
      <c r="K485" t="n">
        <v/>
      </c>
    </row>
    <row r="486">
      <c r="A486" s="98" t="n">
        <v>21671</v>
      </c>
      <c r="B486" t="n">
        <v>23.605</v>
      </c>
      <c r="C486" t="n">
        <v>43.5664</v>
      </c>
      <c r="D486" t="n">
        <v>8.842000000000001</v>
      </c>
      <c r="E486" t="n">
        <v>32.4728</v>
      </c>
      <c r="F486" t="n">
        <v/>
      </c>
      <c r="G486" t="n">
        <v>22.461</v>
      </c>
      <c r="H486" t="n">
        <v>66.46250000000001</v>
      </c>
      <c r="I486" t="n">
        <v>19.4871</v>
      </c>
      <c r="J486" t="n">
        <v/>
      </c>
      <c r="K486" t="n">
        <v/>
      </c>
    </row>
    <row r="487">
      <c r="A487" s="98" t="n">
        <v>21702</v>
      </c>
      <c r="B487" t="n">
        <v>23.6319</v>
      </c>
      <c r="C487" t="n">
        <v>43.3862</v>
      </c>
      <c r="D487" t="n">
        <v>9.0502</v>
      </c>
      <c r="E487" t="n">
        <v>32.3184</v>
      </c>
      <c r="F487" t="n">
        <v/>
      </c>
      <c r="G487" t="n">
        <v>22.3138</v>
      </c>
      <c r="H487" t="n">
        <v>65.158</v>
      </c>
      <c r="I487" t="n">
        <v>19.6903</v>
      </c>
      <c r="J487" t="n">
        <v/>
      </c>
      <c r="K487" t="n">
        <v/>
      </c>
    </row>
    <row r="488">
      <c r="A488" s="98" t="n">
        <v>21732</v>
      </c>
      <c r="B488" t="n">
        <v>23.066</v>
      </c>
      <c r="C488" t="n">
        <v>41.6741</v>
      </c>
      <c r="D488" t="n">
        <v>9.07</v>
      </c>
      <c r="E488" t="n">
        <v>32.7431</v>
      </c>
      <c r="F488" t="n">
        <v/>
      </c>
      <c r="G488" t="n">
        <v>20.9897</v>
      </c>
      <c r="H488" t="n">
        <v>62.137</v>
      </c>
      <c r="I488" t="n">
        <v>19.792</v>
      </c>
      <c r="J488" t="n">
        <v/>
      </c>
      <c r="K488" t="n">
        <v/>
      </c>
    </row>
    <row r="489">
      <c r="A489" s="98" t="n">
        <v>21763</v>
      </c>
      <c r="B489" t="n">
        <v>22.2846</v>
      </c>
      <c r="C489" t="n">
        <v>39.0611</v>
      </c>
      <c r="D489" t="n">
        <v>8.9907</v>
      </c>
      <c r="E489" t="n">
        <v>32.7817</v>
      </c>
      <c r="F489" t="n">
        <v/>
      </c>
      <c r="G489" t="n">
        <v>19.3959</v>
      </c>
      <c r="H489" t="n">
        <v>58.8413</v>
      </c>
      <c r="I489" t="n">
        <v>19.5887</v>
      </c>
      <c r="J489" t="n">
        <v/>
      </c>
      <c r="K489" t="n">
        <v/>
      </c>
    </row>
    <row r="490">
      <c r="A490" s="98" t="n">
        <v>21794</v>
      </c>
      <c r="B490" t="n">
        <v>22.2577</v>
      </c>
      <c r="C490" t="n">
        <v>38.6106</v>
      </c>
      <c r="D490" t="n">
        <v>8.9213</v>
      </c>
      <c r="E490" t="n">
        <v>32.6659</v>
      </c>
      <c r="F490" t="n">
        <v/>
      </c>
      <c r="G490" t="n">
        <v>19.3714</v>
      </c>
      <c r="H490" t="n">
        <v>58.498</v>
      </c>
      <c r="I490" t="n">
        <v>19.8936</v>
      </c>
      <c r="J490" t="n">
        <v/>
      </c>
      <c r="K490" t="n">
        <v/>
      </c>
    </row>
    <row r="491">
      <c r="A491" s="98" t="n">
        <v>21824</v>
      </c>
      <c r="B491" t="n">
        <v>22.096</v>
      </c>
      <c r="C491" t="n">
        <v>38.7457</v>
      </c>
      <c r="D491" t="n">
        <v>8.852</v>
      </c>
      <c r="E491" t="n">
        <v>32.5115</v>
      </c>
      <c r="F491" t="n">
        <v/>
      </c>
      <c r="G491" t="n">
        <v>19.1752</v>
      </c>
      <c r="H491" t="n">
        <v>58.8413</v>
      </c>
      <c r="I491" t="n">
        <v>19.8428</v>
      </c>
      <c r="J491" t="n">
        <v/>
      </c>
      <c r="K491" t="n">
        <v/>
      </c>
    </row>
    <row r="492">
      <c r="A492" s="98" t="n">
        <v>21855</v>
      </c>
      <c r="B492" t="n">
        <v>22.2307</v>
      </c>
      <c r="C492" t="n">
        <v>40.0522</v>
      </c>
      <c r="D492" t="n">
        <v>8.713200000000001</v>
      </c>
      <c r="E492" t="n">
        <v>31.8164</v>
      </c>
      <c r="F492" t="n">
        <v/>
      </c>
      <c r="G492" t="n">
        <v>19.9353</v>
      </c>
      <c r="H492" t="n">
        <v>62.7549</v>
      </c>
      <c r="I492" t="n">
        <v>20.0206</v>
      </c>
      <c r="J492" t="n">
        <v/>
      </c>
      <c r="K492" t="n">
        <v/>
      </c>
    </row>
    <row r="493">
      <c r="A493" s="98" t="n">
        <v>21885</v>
      </c>
      <c r="B493" t="n">
        <v>23.605</v>
      </c>
      <c r="C493" t="n">
        <v>43.206</v>
      </c>
      <c r="D493" t="n">
        <v>8.8421</v>
      </c>
      <c r="E493" t="n">
        <v>32.8589</v>
      </c>
      <c r="F493" t="n">
        <v/>
      </c>
      <c r="G493" t="n">
        <v>22.0686</v>
      </c>
      <c r="H493" t="n">
        <v>64.0595</v>
      </c>
      <c r="I493" t="n">
        <v>20.4017</v>
      </c>
      <c r="J493" t="n">
        <v/>
      </c>
      <c r="K493" t="n">
        <v/>
      </c>
    </row>
    <row r="494">
      <c r="A494" s="98" t="n">
        <v>21916</v>
      </c>
      <c r="B494" t="n">
        <v>24.2247</v>
      </c>
      <c r="C494" t="n">
        <v>42.8906</v>
      </c>
      <c r="D494" t="n">
        <v>9.1692</v>
      </c>
      <c r="E494" t="n">
        <v>33.9015</v>
      </c>
      <c r="F494" t="n">
        <v/>
      </c>
      <c r="G494" t="n">
        <v>22.7062</v>
      </c>
      <c r="H494" t="n">
        <v>62.8236</v>
      </c>
      <c r="I494" t="n">
        <v>20.4525</v>
      </c>
      <c r="J494" t="n">
        <v/>
      </c>
      <c r="K494" t="n">
        <v/>
      </c>
    </row>
    <row r="495">
      <c r="A495" s="98" t="n">
        <v>21947</v>
      </c>
      <c r="B495" t="n">
        <v>24.0092</v>
      </c>
      <c r="C495" t="n">
        <v>42.44</v>
      </c>
      <c r="D495" t="n">
        <v>9.2286</v>
      </c>
      <c r="E495" t="n">
        <v>33.5154</v>
      </c>
      <c r="F495" t="n">
        <v/>
      </c>
      <c r="G495" t="n">
        <v>22.4119</v>
      </c>
      <c r="H495" t="n">
        <v>63.3728</v>
      </c>
      <c r="I495" t="n">
        <v>20.6304</v>
      </c>
      <c r="J495" t="n">
        <v/>
      </c>
      <c r="K495" t="n">
        <v/>
      </c>
    </row>
    <row r="496">
      <c r="A496" s="98" t="n">
        <v>21976</v>
      </c>
      <c r="B496" t="n">
        <v>23.7936</v>
      </c>
      <c r="C496" t="n">
        <v>41.1335</v>
      </c>
      <c r="D496" t="n">
        <v>9.2485</v>
      </c>
      <c r="E496" t="n">
        <v>33.554</v>
      </c>
      <c r="F496" t="n">
        <v/>
      </c>
      <c r="G496" t="n">
        <v>22.0441</v>
      </c>
      <c r="H496" t="n">
        <v>63.6475</v>
      </c>
      <c r="I496" t="n">
        <v>20.9861</v>
      </c>
      <c r="J496" t="n">
        <v/>
      </c>
      <c r="K496" t="n">
        <v/>
      </c>
    </row>
    <row r="497">
      <c r="A497" s="98" t="n">
        <v>22007</v>
      </c>
      <c r="B497" t="n">
        <v>23.605</v>
      </c>
      <c r="C497" t="n">
        <v>41.1335</v>
      </c>
      <c r="D497" t="n">
        <v>9.1493</v>
      </c>
      <c r="E497" t="n">
        <v>33.7856</v>
      </c>
      <c r="F497" t="n">
        <v/>
      </c>
      <c r="G497" t="n">
        <v>21.5292</v>
      </c>
      <c r="H497" t="n">
        <v>65.364</v>
      </c>
      <c r="I497" t="n">
        <v>20.9353</v>
      </c>
      <c r="J497" t="n">
        <v/>
      </c>
      <c r="K497" t="n">
        <v/>
      </c>
    </row>
    <row r="498">
      <c r="A498" s="98" t="n">
        <v>22037</v>
      </c>
      <c r="B498" t="n">
        <v>23.578</v>
      </c>
      <c r="C498" t="n">
        <v>40.7281</v>
      </c>
      <c r="D498" t="n">
        <v>9.1791</v>
      </c>
      <c r="E498" t="n">
        <v>33.9787</v>
      </c>
      <c r="F498" t="n">
        <v/>
      </c>
      <c r="G498" t="n">
        <v>21.333</v>
      </c>
      <c r="H498" t="n">
        <v>64.5401</v>
      </c>
      <c r="I498" t="n">
        <v>20.732</v>
      </c>
      <c r="J498" t="n">
        <v/>
      </c>
      <c r="K498" t="n">
        <v/>
      </c>
    </row>
    <row r="499">
      <c r="A499" s="98" t="n">
        <v>22068</v>
      </c>
      <c r="B499" t="n">
        <v>23.2816</v>
      </c>
      <c r="C499" t="n">
        <v>39.9622</v>
      </c>
      <c r="D499" t="n">
        <v>9.0601</v>
      </c>
      <c r="E499" t="n">
        <v>33.747</v>
      </c>
      <c r="F499" t="n">
        <v/>
      </c>
      <c r="G499" t="n">
        <v>20.9897</v>
      </c>
      <c r="H499" t="n">
        <v>63.9221</v>
      </c>
      <c r="I499" t="n">
        <v>20.8336</v>
      </c>
      <c r="J499" t="n">
        <v/>
      </c>
      <c r="K499" t="n">
        <v/>
      </c>
    </row>
    <row r="500">
      <c r="A500" s="98" t="n">
        <v>22098</v>
      </c>
      <c r="B500" t="n">
        <v>23.2008</v>
      </c>
      <c r="C500" t="n">
        <v>40.3676</v>
      </c>
      <c r="D500" t="n">
        <v>8.9511</v>
      </c>
      <c r="E500" t="n">
        <v>33.4381</v>
      </c>
      <c r="F500" t="n">
        <v/>
      </c>
      <c r="G500" t="n">
        <v>21.0142</v>
      </c>
      <c r="H500" t="n">
        <v>63.4415</v>
      </c>
      <c r="I500" t="n">
        <v>20.8844</v>
      </c>
      <c r="J500" t="n">
        <v/>
      </c>
      <c r="K500" t="n">
        <v/>
      </c>
    </row>
    <row r="501">
      <c r="A501" s="98" t="n">
        <v>22129</v>
      </c>
      <c r="B501" t="n">
        <v>23.1738</v>
      </c>
      <c r="C501" t="n">
        <v>39.3765</v>
      </c>
      <c r="D501" t="n">
        <v>8.832100000000001</v>
      </c>
      <c r="E501" t="n">
        <v>33.5154</v>
      </c>
      <c r="F501" t="n">
        <v/>
      </c>
      <c r="G501" t="n">
        <v>20.9162</v>
      </c>
      <c r="H501" t="n">
        <v>63.9908</v>
      </c>
      <c r="I501" t="n">
        <v>21.0369</v>
      </c>
      <c r="J501" t="n">
        <v/>
      </c>
      <c r="K501" t="n">
        <v/>
      </c>
    </row>
    <row r="502">
      <c r="A502" s="98" t="n">
        <v>22160</v>
      </c>
      <c r="B502" t="n">
        <v>22.9313</v>
      </c>
      <c r="C502" t="n">
        <v>39.016</v>
      </c>
      <c r="D502" t="n">
        <v>8.752800000000001</v>
      </c>
      <c r="E502" t="n">
        <v>33.3609</v>
      </c>
      <c r="F502" t="n">
        <v/>
      </c>
      <c r="G502" t="n">
        <v>20.5729</v>
      </c>
      <c r="H502" t="n">
        <v>63.4415</v>
      </c>
      <c r="I502" t="n">
        <v>21.1385</v>
      </c>
      <c r="J502" t="n">
        <v/>
      </c>
      <c r="K502" t="n">
        <v/>
      </c>
    </row>
    <row r="503">
      <c r="A503" s="98" t="n">
        <v>22190</v>
      </c>
      <c r="B503" t="n">
        <v>22.9044</v>
      </c>
      <c r="C503" t="n">
        <v>39.1061</v>
      </c>
      <c r="D503" t="n">
        <v>8.683400000000001</v>
      </c>
      <c r="E503" t="n">
        <v>33.7084</v>
      </c>
      <c r="F503" t="n">
        <v/>
      </c>
      <c r="G503" t="n">
        <v>20.4993</v>
      </c>
      <c r="H503" t="n">
        <v>63.1669</v>
      </c>
      <c r="I503" t="n">
        <v>21.1131</v>
      </c>
      <c r="J503" t="n">
        <v/>
      </c>
      <c r="K503" t="n">
        <v/>
      </c>
    </row>
    <row r="504">
      <c r="A504" s="98" t="n">
        <v>22221</v>
      </c>
      <c r="B504" t="n">
        <v>22.581</v>
      </c>
      <c r="C504" t="n">
        <v>38.6556</v>
      </c>
      <c r="D504" t="n">
        <v>8.663600000000001</v>
      </c>
      <c r="E504" t="n">
        <v>33.0906</v>
      </c>
      <c r="F504" t="n">
        <v/>
      </c>
      <c r="G504" t="n">
        <v>19.9599</v>
      </c>
      <c r="H504" t="n">
        <v>62.9609</v>
      </c>
      <c r="I504" t="n">
        <v>21.1639</v>
      </c>
      <c r="J504" t="n">
        <v/>
      </c>
      <c r="K504" t="n">
        <v/>
      </c>
    </row>
    <row r="505">
      <c r="A505" s="98" t="n">
        <v>22251</v>
      </c>
      <c r="B505" t="n">
        <v>22.1499</v>
      </c>
      <c r="C505" t="n">
        <v>38.16</v>
      </c>
      <c r="D505" t="n">
        <v>8.465400000000001</v>
      </c>
      <c r="E505" t="n">
        <v>32.8589</v>
      </c>
      <c r="F505" t="n">
        <v/>
      </c>
      <c r="G505" t="n">
        <v>19.4204</v>
      </c>
      <c r="H505" t="n">
        <v>62.8922</v>
      </c>
      <c r="I505" t="n">
        <v>21.1893</v>
      </c>
      <c r="J505" t="n">
        <v/>
      </c>
      <c r="K505" t="n">
        <v/>
      </c>
    </row>
    <row r="506">
      <c r="A506" s="98" t="n">
        <v>22282</v>
      </c>
      <c r="B506" t="n">
        <v>22.1768</v>
      </c>
      <c r="C506" t="n">
        <v>37.7996</v>
      </c>
      <c r="D506" t="n">
        <v>8.524800000000001</v>
      </c>
      <c r="E506" t="n">
        <v>32.5887</v>
      </c>
      <c r="F506" t="n">
        <v/>
      </c>
      <c r="G506" t="n">
        <v>19.592</v>
      </c>
      <c r="H506" t="n">
        <v>62.8236</v>
      </c>
      <c r="I506" t="n">
        <v>21.2148</v>
      </c>
      <c r="J506" t="n">
        <v/>
      </c>
      <c r="K506" t="n">
        <v/>
      </c>
    </row>
    <row r="507">
      <c r="A507" s="98" t="n">
        <v>22313</v>
      </c>
      <c r="B507" t="n">
        <v>22.1499</v>
      </c>
      <c r="C507" t="n">
        <v>37.7545</v>
      </c>
      <c r="D507" t="n">
        <v>8.445499999999999</v>
      </c>
      <c r="E507" t="n">
        <v>32.7817</v>
      </c>
      <c r="F507" t="n">
        <v/>
      </c>
      <c r="G507" t="n">
        <v>19.4449</v>
      </c>
      <c r="H507" t="n">
        <v>62.5489</v>
      </c>
      <c r="I507" t="n">
        <v>21.291</v>
      </c>
      <c r="J507" t="n">
        <v/>
      </c>
      <c r="K507" t="n">
        <v/>
      </c>
    </row>
    <row r="508">
      <c r="A508" s="98" t="n">
        <v>22341</v>
      </c>
      <c r="B508" t="n">
        <v>22.2846</v>
      </c>
      <c r="C508" t="n">
        <v>38.6105</v>
      </c>
      <c r="D508" t="n">
        <v>8.435600000000001</v>
      </c>
      <c r="E508" t="n">
        <v>32.7817</v>
      </c>
      <c r="F508" t="n">
        <v/>
      </c>
      <c r="G508" t="n">
        <v>19.6166</v>
      </c>
      <c r="H508" t="n">
        <v>63.0295</v>
      </c>
      <c r="I508" t="n">
        <v>21.3164</v>
      </c>
      <c r="J508" t="n">
        <v/>
      </c>
      <c r="K508" t="n">
        <v/>
      </c>
    </row>
    <row r="509">
      <c r="A509" s="98" t="n">
        <v>22372</v>
      </c>
      <c r="B509" t="n">
        <v>22.7427</v>
      </c>
      <c r="C509" t="n">
        <v>39.6017</v>
      </c>
      <c r="D509" t="n">
        <v>8.524800000000001</v>
      </c>
      <c r="E509" t="n">
        <v>33.554</v>
      </c>
      <c r="F509" t="n">
        <v/>
      </c>
      <c r="G509" t="n">
        <v>20.2051</v>
      </c>
      <c r="H509" t="n">
        <v>62.8236</v>
      </c>
      <c r="I509" t="n">
        <v>21.6721</v>
      </c>
      <c r="J509" t="n">
        <v/>
      </c>
      <c r="K509" t="n">
        <v/>
      </c>
    </row>
    <row r="510">
      <c r="A510" s="98" t="n">
        <v>22402</v>
      </c>
      <c r="B510" t="n">
        <v>23.093</v>
      </c>
      <c r="C510" t="n">
        <v>39.7369</v>
      </c>
      <c r="D510" t="n">
        <v>8.534800000000001</v>
      </c>
      <c r="E510" t="n">
        <v>33.9401</v>
      </c>
      <c r="F510" t="n">
        <v/>
      </c>
      <c r="G510" t="n">
        <v>20.8181</v>
      </c>
      <c r="H510" t="n">
        <v>62.8923</v>
      </c>
      <c r="I510" t="n">
        <v>22.1294</v>
      </c>
      <c r="J510" t="n">
        <v/>
      </c>
      <c r="K510" t="n">
        <v/>
      </c>
    </row>
    <row r="511">
      <c r="A511" s="98" t="n">
        <v>22433</v>
      </c>
      <c r="B511" t="n">
        <v>23.4164</v>
      </c>
      <c r="C511" t="n">
        <v>40.5929</v>
      </c>
      <c r="D511" t="n">
        <v>8.604100000000001</v>
      </c>
      <c r="E511" t="n">
        <v>34.3262</v>
      </c>
      <c r="F511" t="n">
        <v/>
      </c>
      <c r="G511" t="n">
        <v>21.1368</v>
      </c>
      <c r="H511" t="n">
        <v>63.4415</v>
      </c>
      <c r="I511" t="n">
        <v>22.0532</v>
      </c>
      <c r="J511" t="n">
        <v/>
      </c>
      <c r="K511" t="n">
        <v/>
      </c>
    </row>
    <row r="512">
      <c r="A512" s="98" t="n">
        <v>22463</v>
      </c>
      <c r="B512" t="n">
        <v>23.6858</v>
      </c>
      <c r="C512" t="n">
        <v>41.2236</v>
      </c>
      <c r="D512" t="n">
        <v>8.653700000000001</v>
      </c>
      <c r="E512" t="n">
        <v>34.6351</v>
      </c>
      <c r="F512" t="n">
        <v/>
      </c>
      <c r="G512" t="n">
        <v>21.4311</v>
      </c>
      <c r="H512" t="n">
        <v>63.6475</v>
      </c>
      <c r="I512" t="n">
        <v>22.0532</v>
      </c>
      <c r="J512" t="n">
        <v/>
      </c>
      <c r="K512" t="n">
        <v/>
      </c>
    </row>
    <row r="513">
      <c r="A513" s="98" t="n">
        <v>22494</v>
      </c>
      <c r="B513" t="n">
        <v>23.9014</v>
      </c>
      <c r="C513" t="n">
        <v>41.7192</v>
      </c>
      <c r="D513" t="n">
        <v>8.6934</v>
      </c>
      <c r="E513" t="n">
        <v>34.8668</v>
      </c>
      <c r="F513" t="n">
        <v/>
      </c>
      <c r="G513" t="n">
        <v>21.848</v>
      </c>
      <c r="H513" t="n">
        <v>64.8147</v>
      </c>
      <c r="I513" t="n">
        <v>22.3835</v>
      </c>
      <c r="J513" t="n">
        <v/>
      </c>
      <c r="K513" t="n">
        <v/>
      </c>
    </row>
    <row r="514">
      <c r="A514" s="98" t="n">
        <v>22525</v>
      </c>
      <c r="B514" t="n">
        <v>23.8745</v>
      </c>
      <c r="C514" t="n">
        <v>42.0797</v>
      </c>
      <c r="D514" t="n">
        <v>8.8222</v>
      </c>
      <c r="E514" t="n">
        <v>34.2876</v>
      </c>
      <c r="F514" t="n">
        <v/>
      </c>
      <c r="G514" t="n">
        <v>21.897</v>
      </c>
      <c r="H514" t="n">
        <v>64.746</v>
      </c>
      <c r="I514" t="n">
        <v>22.6121</v>
      </c>
      <c r="J514" t="n">
        <v/>
      </c>
      <c r="K514" t="n">
        <v/>
      </c>
    </row>
    <row r="515">
      <c r="A515" s="98" t="n">
        <v>22555</v>
      </c>
      <c r="B515" t="n">
        <v>24.3325</v>
      </c>
      <c r="C515" t="n">
        <v>42.395</v>
      </c>
      <c r="D515" t="n">
        <v>8.8123</v>
      </c>
      <c r="E515" t="n">
        <v>35.2143</v>
      </c>
      <c r="F515" t="n">
        <v/>
      </c>
      <c r="G515" t="n">
        <v>22.2893</v>
      </c>
      <c r="H515" t="n">
        <v>66.11920000000001</v>
      </c>
      <c r="I515" t="n">
        <v>22.7646</v>
      </c>
      <c r="J515" t="n">
        <v/>
      </c>
      <c r="K515" t="n">
        <v/>
      </c>
    </row>
    <row r="516">
      <c r="A516" s="98" t="n">
        <v>22586</v>
      </c>
      <c r="B516" t="n">
        <v>24.7098</v>
      </c>
      <c r="C516" t="n">
        <v>42.0796</v>
      </c>
      <c r="D516" t="n">
        <v>9.0502</v>
      </c>
      <c r="E516" t="n">
        <v>35.8321</v>
      </c>
      <c r="F516" t="n">
        <v/>
      </c>
      <c r="G516" t="n">
        <v>22.5836</v>
      </c>
      <c r="H516" t="n">
        <v>66.25660000000001</v>
      </c>
      <c r="I516" t="n">
        <v>22.79</v>
      </c>
      <c r="J516" t="n">
        <v/>
      </c>
      <c r="K516" t="n">
        <v/>
      </c>
    </row>
    <row r="517">
      <c r="A517" s="98" t="n">
        <v>22616</v>
      </c>
      <c r="B517" t="n">
        <v>24.9253</v>
      </c>
      <c r="C517" t="n">
        <v>42.395</v>
      </c>
      <c r="D517" t="n">
        <v>9.08</v>
      </c>
      <c r="E517" t="n">
        <v>35.9093</v>
      </c>
      <c r="F517" t="n">
        <v/>
      </c>
      <c r="G517" t="n">
        <v>22.9023</v>
      </c>
      <c r="H517" t="n">
        <v>66.1879</v>
      </c>
      <c r="I517" t="n">
        <v>22.8916</v>
      </c>
      <c r="J517" t="n">
        <v/>
      </c>
      <c r="K517" t="n">
        <v/>
      </c>
    </row>
    <row r="518">
      <c r="A518" s="98" t="n">
        <v>22647</v>
      </c>
      <c r="B518" t="n">
        <v>24.7098</v>
      </c>
      <c r="C518" t="n">
        <v>40.4127</v>
      </c>
      <c r="D518" t="n">
        <v>9.0502</v>
      </c>
      <c r="E518" t="n">
        <v>35.639</v>
      </c>
      <c r="F518" t="n">
        <v/>
      </c>
      <c r="G518" t="n">
        <v>22.7307</v>
      </c>
      <c r="H518" t="n">
        <v>65.6386</v>
      </c>
      <c r="I518" t="n">
        <v>23.2473</v>
      </c>
      <c r="J518" t="n">
        <v/>
      </c>
      <c r="K518" t="n">
        <v/>
      </c>
    </row>
    <row r="519">
      <c r="A519" s="98" t="n">
        <v>22678</v>
      </c>
      <c r="B519" t="n">
        <v>25.114</v>
      </c>
      <c r="C519" t="n">
        <v>42.7554</v>
      </c>
      <c r="D519" t="n">
        <v>9.1791</v>
      </c>
      <c r="E519" t="n">
        <v>35.8707</v>
      </c>
      <c r="F519" t="n">
        <v/>
      </c>
      <c r="G519" t="n">
        <v>23.0985</v>
      </c>
      <c r="H519" t="n">
        <v>65.9819</v>
      </c>
      <c r="I519" t="n">
        <v>23.1711</v>
      </c>
      <c r="J519" t="n">
        <v/>
      </c>
      <c r="K519" t="n">
        <v/>
      </c>
    </row>
    <row r="520">
      <c r="A520" s="98" t="n">
        <v>22706</v>
      </c>
      <c r="B520" t="n">
        <v>25.2487</v>
      </c>
      <c r="C520" t="n">
        <v>43.2961</v>
      </c>
      <c r="D520" t="n">
        <v>9.298</v>
      </c>
      <c r="E520" t="n">
        <v>36.141</v>
      </c>
      <c r="F520" t="n">
        <v/>
      </c>
      <c r="G520" t="n">
        <v>23.123</v>
      </c>
      <c r="H520" t="n">
        <v>66.3252</v>
      </c>
      <c r="I520" t="n">
        <v>23.3489</v>
      </c>
      <c r="J520" t="n">
        <v/>
      </c>
      <c r="K520" t="n">
        <v/>
      </c>
    </row>
    <row r="521">
      <c r="A521" s="98" t="n">
        <v>22737</v>
      </c>
      <c r="B521" t="n">
        <v>25.3026</v>
      </c>
      <c r="C521" t="n">
        <v>42.7104</v>
      </c>
      <c r="D521" t="n">
        <v>9.3575</v>
      </c>
      <c r="E521" t="n">
        <v>36.4499</v>
      </c>
      <c r="F521" t="n">
        <v/>
      </c>
      <c r="G521" t="n">
        <v>23.0985</v>
      </c>
      <c r="H521" t="n">
        <v>66.0506</v>
      </c>
      <c r="I521" t="n">
        <v>23.2473</v>
      </c>
      <c r="J521" t="n">
        <v/>
      </c>
      <c r="K521" t="n">
        <v/>
      </c>
    </row>
    <row r="522">
      <c r="A522" s="98" t="n">
        <v>22767</v>
      </c>
      <c r="B522" t="n">
        <v>25.2756</v>
      </c>
      <c r="C522" t="n">
        <v>42.6653</v>
      </c>
      <c r="D522" t="n">
        <v>9.3575</v>
      </c>
      <c r="E522" t="n">
        <v>36.6429</v>
      </c>
      <c r="F522" t="n">
        <v/>
      </c>
      <c r="G522" t="n">
        <v>22.7797</v>
      </c>
      <c r="H522" t="n">
        <v>65.7073</v>
      </c>
      <c r="I522" t="n">
        <v>23.6284</v>
      </c>
      <c r="J522" t="n">
        <v/>
      </c>
      <c r="K522" t="n">
        <v/>
      </c>
    </row>
    <row r="523">
      <c r="A523" s="98" t="n">
        <v>22798</v>
      </c>
      <c r="B523" t="n">
        <v>25.2218</v>
      </c>
      <c r="C523" t="n">
        <v>42.9807</v>
      </c>
      <c r="D523" t="n">
        <v>9.4467</v>
      </c>
      <c r="E523" t="n">
        <v>36.4113</v>
      </c>
      <c r="F523" t="n">
        <v/>
      </c>
      <c r="G523" t="n">
        <v>22.7062</v>
      </c>
      <c r="H523" t="n">
        <v>65.6386</v>
      </c>
      <c r="I523" t="n">
        <v>23.8062</v>
      </c>
      <c r="J523" t="n">
        <v/>
      </c>
      <c r="K523" t="n">
        <v/>
      </c>
    </row>
    <row r="524">
      <c r="A524" s="98" t="n">
        <v>22828</v>
      </c>
      <c r="B524" t="n">
        <v>25.4643</v>
      </c>
      <c r="C524" t="n">
        <v>42.8005</v>
      </c>
      <c r="D524" t="n">
        <v>9.526</v>
      </c>
      <c r="E524" t="n">
        <v>37.0291</v>
      </c>
      <c r="F524" t="n">
        <v/>
      </c>
      <c r="G524" t="n">
        <v>22.9023</v>
      </c>
      <c r="H524" t="n">
        <v>66.0506</v>
      </c>
      <c r="I524" t="n">
        <v>24.0095</v>
      </c>
      <c r="J524" t="n">
        <v/>
      </c>
      <c r="K524" t="n">
        <v/>
      </c>
    </row>
    <row r="525">
      <c r="A525" s="98" t="n">
        <v>22859</v>
      </c>
      <c r="B525" t="n">
        <v>25.4912</v>
      </c>
      <c r="C525" t="n">
        <v>43.5664</v>
      </c>
      <c r="D525" t="n">
        <v>9.6251</v>
      </c>
      <c r="E525" t="n">
        <v>36.6043</v>
      </c>
      <c r="F525" t="n">
        <v/>
      </c>
      <c r="G525" t="n">
        <v>22.9514</v>
      </c>
      <c r="H525" t="n">
        <v>66.6686</v>
      </c>
      <c r="I525" t="n">
        <v>23.9079</v>
      </c>
      <c r="J525" t="n">
        <v/>
      </c>
      <c r="K525" t="n">
        <v/>
      </c>
    </row>
    <row r="526">
      <c r="A526" s="98" t="n">
        <v>22890</v>
      </c>
      <c r="B526" t="n">
        <v>25.6529</v>
      </c>
      <c r="C526" t="n">
        <v>44.062</v>
      </c>
      <c r="D526" t="n">
        <v>9.6152</v>
      </c>
      <c r="E526" t="n">
        <v>36.836</v>
      </c>
      <c r="F526" t="n">
        <v/>
      </c>
      <c r="G526" t="n">
        <v>23.1476</v>
      </c>
      <c r="H526" t="n">
        <v>66.46250000000001</v>
      </c>
      <c r="I526" t="n">
        <v>23.9841</v>
      </c>
      <c r="J526" t="n">
        <v/>
      </c>
      <c r="K526" t="n">
        <v/>
      </c>
    </row>
    <row r="527">
      <c r="A527" s="98" t="n">
        <v>22920</v>
      </c>
      <c r="B527" t="n">
        <v>25.6799</v>
      </c>
      <c r="C527" t="n">
        <v>43.3412</v>
      </c>
      <c r="D527" t="n">
        <v>9.6549</v>
      </c>
      <c r="E527" t="n">
        <v>36.7588</v>
      </c>
      <c r="F527" t="n">
        <v/>
      </c>
      <c r="G527" t="n">
        <v>23.1476</v>
      </c>
      <c r="H527" t="n">
        <v>65.6386</v>
      </c>
      <c r="I527" t="n">
        <v>24.1111</v>
      </c>
      <c r="J527" t="n">
        <v/>
      </c>
      <c r="K527" t="n">
        <v/>
      </c>
    </row>
    <row r="528">
      <c r="A528" s="98" t="n">
        <v>22951</v>
      </c>
      <c r="B528" t="n">
        <v>25.7876</v>
      </c>
      <c r="C528" t="n">
        <v>43.5213</v>
      </c>
      <c r="D528" t="n">
        <v>9.6549</v>
      </c>
      <c r="E528" t="n">
        <v>36.9905</v>
      </c>
      <c r="F528" t="n">
        <v/>
      </c>
      <c r="G528" t="n">
        <v>23.3437</v>
      </c>
      <c r="H528" t="n">
        <v>65.982</v>
      </c>
      <c r="I528" t="n">
        <v>24.3652</v>
      </c>
      <c r="J528" t="n">
        <v/>
      </c>
      <c r="K528" t="n">
        <v/>
      </c>
    </row>
    <row r="529">
      <c r="A529" s="98" t="n">
        <v>22981</v>
      </c>
      <c r="B529" t="n">
        <v>25.7876</v>
      </c>
      <c r="C529" t="n">
        <v>43.8818</v>
      </c>
      <c r="D529" t="n">
        <v>9.5954</v>
      </c>
      <c r="E529" t="n">
        <v>37.1449</v>
      </c>
      <c r="F529" t="n">
        <v/>
      </c>
      <c r="G529" t="n">
        <v>23.2211</v>
      </c>
      <c r="H529" t="n">
        <v>65.158</v>
      </c>
      <c r="I529" t="n">
        <v>24.416</v>
      </c>
      <c r="J529" t="n">
        <v/>
      </c>
      <c r="K529" t="n">
        <v/>
      </c>
    </row>
    <row r="530">
      <c r="A530" s="98" t="n">
        <v>23012</v>
      </c>
      <c r="B530" t="n">
        <v>25.9762</v>
      </c>
      <c r="C530" t="n">
        <v>42.8005</v>
      </c>
      <c r="D530" t="n">
        <v>9.5558</v>
      </c>
      <c r="E530" t="n">
        <v>37.6082</v>
      </c>
      <c r="F530" t="n">
        <v/>
      </c>
      <c r="G530" t="n">
        <v>23.3192</v>
      </c>
      <c r="H530" t="n">
        <v>66.11920000000001</v>
      </c>
      <c r="I530" t="n">
        <v>24.8988</v>
      </c>
      <c r="J530" t="n">
        <v/>
      </c>
      <c r="K530" t="n">
        <v/>
      </c>
    </row>
    <row r="531">
      <c r="A531" s="98" t="n">
        <v>23043</v>
      </c>
      <c r="B531" t="n">
        <v>26.2727</v>
      </c>
      <c r="C531" t="n">
        <v>42.8906</v>
      </c>
      <c r="D531" t="n">
        <v>9.6945</v>
      </c>
      <c r="E531" t="n">
        <v>38.033</v>
      </c>
      <c r="F531" t="n">
        <v/>
      </c>
      <c r="G531" t="n">
        <v>23.6625</v>
      </c>
      <c r="H531" t="n">
        <v>67.4924</v>
      </c>
      <c r="I531" t="n">
        <v>25.229</v>
      </c>
      <c r="J531" t="n">
        <v/>
      </c>
      <c r="K531" t="n">
        <v/>
      </c>
    </row>
    <row r="532">
      <c r="A532" s="98" t="n">
        <v>23071</v>
      </c>
      <c r="B532" t="n">
        <v>26.4344</v>
      </c>
      <c r="C532" t="n">
        <v>43.3862</v>
      </c>
      <c r="D532" t="n">
        <v>9.6351</v>
      </c>
      <c r="E532" t="n">
        <v>38.1874</v>
      </c>
      <c r="F532" t="n">
        <v/>
      </c>
      <c r="G532" t="n">
        <v>24.0058</v>
      </c>
      <c r="H532" t="n">
        <v>67.6297</v>
      </c>
      <c r="I532" t="n">
        <v>25.0258</v>
      </c>
      <c r="J532" t="n">
        <v/>
      </c>
      <c r="K532" t="n">
        <v/>
      </c>
    </row>
    <row r="533">
      <c r="A533" s="98" t="n">
        <v>23102</v>
      </c>
      <c r="B533" t="n">
        <v>26.6769</v>
      </c>
      <c r="C533" t="n">
        <v>44.8729</v>
      </c>
      <c r="D533" t="n">
        <v>9.724299999999999</v>
      </c>
      <c r="E533" t="n">
        <v>38.3419</v>
      </c>
      <c r="F533" t="n">
        <v/>
      </c>
      <c r="G533" t="n">
        <v>24.2265</v>
      </c>
      <c r="H533" t="n">
        <v>67.6298</v>
      </c>
      <c r="I533" t="n">
        <v>24.9495</v>
      </c>
      <c r="J533" t="n">
        <v/>
      </c>
      <c r="K533" t="n">
        <v/>
      </c>
    </row>
    <row r="534">
      <c r="A534" s="98" t="n">
        <v>23132</v>
      </c>
      <c r="B534" t="n">
        <v>27.0002</v>
      </c>
      <c r="C534" t="n">
        <v>45.8641</v>
      </c>
      <c r="D534" t="n">
        <v>9.6945</v>
      </c>
      <c r="E534" t="n">
        <v>38.4191</v>
      </c>
      <c r="F534" t="n">
        <v/>
      </c>
      <c r="G534" t="n">
        <v>24.7904</v>
      </c>
      <c r="H534" t="n">
        <v>69.27760000000001</v>
      </c>
      <c r="I534" t="n">
        <v>25.229</v>
      </c>
      <c r="J534" t="n">
        <v/>
      </c>
      <c r="K534" t="n">
        <v/>
      </c>
    </row>
    <row r="535">
      <c r="A535" s="98" t="n">
        <v>23163</v>
      </c>
      <c r="B535" t="n">
        <v>27.0811</v>
      </c>
      <c r="C535" t="n">
        <v>45.6839</v>
      </c>
      <c r="D535" t="n">
        <v>9.7342</v>
      </c>
      <c r="E535" t="n">
        <v>38.6508</v>
      </c>
      <c r="F535" t="n">
        <v/>
      </c>
      <c r="G535" t="n">
        <v>24.8885</v>
      </c>
      <c r="H535" t="n">
        <v>68.6596</v>
      </c>
      <c r="I535" t="n">
        <v>25.3815</v>
      </c>
      <c r="J535" t="n">
        <v/>
      </c>
      <c r="K535" t="n">
        <v/>
      </c>
    </row>
    <row r="536">
      <c r="A536" s="98" t="n">
        <v>23193</v>
      </c>
      <c r="B536" t="n">
        <v>26.9733</v>
      </c>
      <c r="C536" t="n">
        <v>45.5037</v>
      </c>
      <c r="D536" t="n">
        <v>9.872999999999999</v>
      </c>
      <c r="E536" t="n">
        <v>38.5349</v>
      </c>
      <c r="F536" t="n">
        <v/>
      </c>
      <c r="G536" t="n">
        <v>24.6433</v>
      </c>
      <c r="H536" t="n">
        <v>69.4149</v>
      </c>
      <c r="I536" t="n">
        <v>25.2291</v>
      </c>
      <c r="J536" t="n">
        <v/>
      </c>
      <c r="K536" t="n">
        <v/>
      </c>
    </row>
    <row r="537">
      <c r="A537" s="98" t="n">
        <v>23224</v>
      </c>
      <c r="B537" t="n">
        <v>27.0272</v>
      </c>
      <c r="C537" t="n">
        <v>45.6388</v>
      </c>
      <c r="D537" t="n">
        <v>10.1109</v>
      </c>
      <c r="E537" t="n">
        <v>38.8438</v>
      </c>
      <c r="F537" t="n">
        <v/>
      </c>
      <c r="G537" t="n">
        <v>24.4226</v>
      </c>
      <c r="H537" t="n">
        <v>69.6896</v>
      </c>
      <c r="I537" t="n">
        <v>25.3815</v>
      </c>
      <c r="J537" t="n">
        <v/>
      </c>
      <c r="K537" t="n">
        <v/>
      </c>
    </row>
    <row r="538">
      <c r="A538" s="98" t="n">
        <v>23255</v>
      </c>
      <c r="B538" t="n">
        <v>27.2966</v>
      </c>
      <c r="C538" t="n">
        <v>45.3235</v>
      </c>
      <c r="D538" t="n">
        <v>10.0811</v>
      </c>
      <c r="E538" t="n">
        <v>38.9597</v>
      </c>
      <c r="F538" t="n">
        <v/>
      </c>
      <c r="G538" t="n">
        <v>24.913</v>
      </c>
      <c r="H538" t="n">
        <v>69.62090000000001</v>
      </c>
      <c r="I538" t="n">
        <v>25.6101</v>
      </c>
      <c r="J538" t="n">
        <v/>
      </c>
      <c r="K538" t="n">
        <v/>
      </c>
    </row>
    <row r="539">
      <c r="A539" s="98" t="n">
        <v>23285</v>
      </c>
      <c r="B539" t="n">
        <v>27.4853</v>
      </c>
      <c r="C539" t="n">
        <v>45.9993</v>
      </c>
      <c r="D539" t="n">
        <v>10.2596</v>
      </c>
      <c r="E539" t="n">
        <v>39.23</v>
      </c>
      <c r="F539" t="n">
        <v/>
      </c>
      <c r="G539" t="n">
        <v>25.0602</v>
      </c>
      <c r="H539" t="n">
        <v>69.209</v>
      </c>
      <c r="I539" t="n">
        <v>25.8134</v>
      </c>
      <c r="J539" t="n">
        <v/>
      </c>
      <c r="K539" t="n">
        <v/>
      </c>
    </row>
    <row r="540">
      <c r="A540" s="98" t="n">
        <v>23316</v>
      </c>
      <c r="B540" t="n">
        <v>27.62</v>
      </c>
      <c r="C540" t="n">
        <v>46.5399</v>
      </c>
      <c r="D540" t="n">
        <v>10.3388</v>
      </c>
      <c r="E540" t="n">
        <v>39.2686</v>
      </c>
      <c r="F540" t="n">
        <v/>
      </c>
      <c r="G540" t="n">
        <v>25.2073</v>
      </c>
      <c r="H540" t="n">
        <v>69.62090000000001</v>
      </c>
      <c r="I540" t="n">
        <v>26.0421</v>
      </c>
      <c r="J540" t="n">
        <v/>
      </c>
      <c r="K540" t="n">
        <v/>
      </c>
    </row>
    <row r="541">
      <c r="A541" s="98" t="n">
        <v>23346</v>
      </c>
      <c r="B541" t="n">
        <v>27.5661</v>
      </c>
      <c r="C541" t="n">
        <v>45.8641</v>
      </c>
      <c r="D541" t="n">
        <v>10.319</v>
      </c>
      <c r="E541" t="n">
        <v>39.5002</v>
      </c>
      <c r="F541" t="n">
        <v/>
      </c>
      <c r="G541" t="n">
        <v>25.0602</v>
      </c>
      <c r="H541" t="n">
        <v>69.5522</v>
      </c>
      <c r="I541" t="n">
        <v>26.1183</v>
      </c>
      <c r="J541" t="n">
        <v/>
      </c>
      <c r="K541" t="n">
        <v/>
      </c>
    </row>
    <row r="542">
      <c r="A542" s="98" t="n">
        <v>23377</v>
      </c>
      <c r="B542" t="n">
        <v>27.8086</v>
      </c>
      <c r="C542" t="n">
        <v>46.1344</v>
      </c>
      <c r="D542" t="n">
        <v>10.5867</v>
      </c>
      <c r="E542" t="n">
        <v>39.8864</v>
      </c>
      <c r="F542" t="n">
        <v/>
      </c>
      <c r="G542" t="n">
        <v>25.2563</v>
      </c>
      <c r="H542" t="n">
        <v>70.5134</v>
      </c>
      <c r="I542" t="n">
        <v>26.5502</v>
      </c>
      <c r="J542" t="n">
        <v/>
      </c>
      <c r="K542" t="n">
        <v/>
      </c>
    </row>
    <row r="543">
      <c r="A543" s="98" t="n">
        <v>23408</v>
      </c>
      <c r="B543" t="n">
        <v>27.9972</v>
      </c>
      <c r="C543" t="n">
        <v>47.3509</v>
      </c>
      <c r="D543" t="n">
        <v>10.5371</v>
      </c>
      <c r="E543" t="n">
        <v>39.8092</v>
      </c>
      <c r="F543" t="n">
        <v/>
      </c>
      <c r="G543" t="n">
        <v>25.6487</v>
      </c>
      <c r="H543" t="n">
        <v>70.9941</v>
      </c>
      <c r="I543" t="n">
        <v>26.601</v>
      </c>
      <c r="J543" t="n">
        <v/>
      </c>
      <c r="K543" t="n">
        <v/>
      </c>
    </row>
    <row r="544">
      <c r="A544" s="98" t="n">
        <v>23437</v>
      </c>
      <c r="B544" t="n">
        <v>27.9972</v>
      </c>
      <c r="C544" t="n">
        <v>47.486</v>
      </c>
      <c r="D544" t="n">
        <v>10.666</v>
      </c>
      <c r="E544" t="n">
        <v>39.6161</v>
      </c>
      <c r="F544" t="n">
        <v/>
      </c>
      <c r="G544" t="n">
        <v>25.6487</v>
      </c>
      <c r="H544" t="n">
        <v>70.71939999999999</v>
      </c>
      <c r="I544" t="n">
        <v>26.8043</v>
      </c>
      <c r="J544" t="n">
        <v/>
      </c>
      <c r="K544" t="n">
        <v/>
      </c>
    </row>
    <row r="545">
      <c r="A545" s="98" t="n">
        <v>23468</v>
      </c>
      <c r="B545" t="n">
        <v>28.4553</v>
      </c>
      <c r="C545" t="n">
        <v>47.6663</v>
      </c>
      <c r="D545" t="n">
        <v>10.9138</v>
      </c>
      <c r="E545" t="n">
        <v>40.62</v>
      </c>
      <c r="F545" t="n">
        <v/>
      </c>
      <c r="G545" t="n">
        <v>25.9429</v>
      </c>
      <c r="H545" t="n">
        <v>70.71939999999999</v>
      </c>
      <c r="I545" t="n">
        <v>27.2362</v>
      </c>
      <c r="J545" t="n">
        <v/>
      </c>
      <c r="K545" t="n">
        <v/>
      </c>
    </row>
    <row r="546">
      <c r="A546" s="98" t="n">
        <v>23498</v>
      </c>
      <c r="B546" t="n">
        <v>28.617</v>
      </c>
      <c r="C546" t="n">
        <v>47.8915</v>
      </c>
      <c r="D546" t="n">
        <v>11.0327</v>
      </c>
      <c r="E546" t="n">
        <v>40.9289</v>
      </c>
      <c r="F546" t="n">
        <v/>
      </c>
      <c r="G546" t="n">
        <v>26.1636</v>
      </c>
      <c r="H546" t="n">
        <v>71.0628</v>
      </c>
      <c r="I546" t="n">
        <v>27.4394</v>
      </c>
      <c r="J546" t="n">
        <v/>
      </c>
      <c r="K546" t="n">
        <v/>
      </c>
    </row>
    <row r="547">
      <c r="A547" s="98" t="n">
        <v>23529</v>
      </c>
      <c r="B547" t="n">
        <v>28.6978</v>
      </c>
      <c r="C547" t="n">
        <v>47.5761</v>
      </c>
      <c r="D547" t="n">
        <v>11.0724</v>
      </c>
      <c r="E547" t="n">
        <v>40.8517</v>
      </c>
      <c r="F547" t="n">
        <v/>
      </c>
      <c r="G547" t="n">
        <v>26.3352</v>
      </c>
      <c r="H547" t="n">
        <v>71.4747</v>
      </c>
      <c r="I547" t="n">
        <v>27.7443</v>
      </c>
      <c r="J547" t="n">
        <v/>
      </c>
      <c r="K547" t="n">
        <v/>
      </c>
    </row>
    <row r="548">
      <c r="A548" s="98" t="n">
        <v>23559</v>
      </c>
      <c r="B548" t="n">
        <v>28.8865</v>
      </c>
      <c r="C548" t="n">
        <v>48.4772</v>
      </c>
      <c r="D548" t="n">
        <v>11.2211</v>
      </c>
      <c r="E548" t="n">
        <v>41.4308</v>
      </c>
      <c r="F548" t="n">
        <v/>
      </c>
      <c r="G548" t="n">
        <v>26.3843</v>
      </c>
      <c r="H548" t="n">
        <v>70.9941</v>
      </c>
      <c r="I548" t="n">
        <v>27.973</v>
      </c>
      <c r="J548" t="n">
        <v/>
      </c>
      <c r="K548" t="n">
        <v/>
      </c>
    </row>
    <row r="549">
      <c r="A549" s="98" t="n">
        <v>23590</v>
      </c>
      <c r="B549" t="n">
        <v>29.0751</v>
      </c>
      <c r="C549" t="n">
        <v>47.9816</v>
      </c>
      <c r="D549" t="n">
        <v>11.2112</v>
      </c>
      <c r="E549" t="n">
        <v>41.3536</v>
      </c>
      <c r="F549" t="n">
        <v/>
      </c>
      <c r="G549" t="n">
        <v>26.9237</v>
      </c>
      <c r="H549" t="n">
        <v>71.4747</v>
      </c>
      <c r="I549" t="n">
        <v>27.973</v>
      </c>
      <c r="J549" t="n">
        <v/>
      </c>
      <c r="K549" t="n">
        <v/>
      </c>
    </row>
    <row r="550">
      <c r="A550" s="98" t="n">
        <v>23621</v>
      </c>
      <c r="B550" t="n">
        <v>29.1829</v>
      </c>
      <c r="C550" t="n">
        <v>47.6212</v>
      </c>
      <c r="D550" t="n">
        <v>11.3103</v>
      </c>
      <c r="E550" t="n">
        <v>40.8903</v>
      </c>
      <c r="F550" t="n">
        <v/>
      </c>
      <c r="G550" t="n">
        <v>27.3406</v>
      </c>
      <c r="H550" t="n">
        <v>72.024</v>
      </c>
      <c r="I550" t="n">
        <v>28.0492</v>
      </c>
      <c r="J550" t="n">
        <v/>
      </c>
      <c r="K550" t="n">
        <v/>
      </c>
    </row>
    <row r="551">
      <c r="A551" s="98" t="n">
        <v>23651</v>
      </c>
      <c r="B551" t="n">
        <v>28.7787</v>
      </c>
      <c r="C551" t="n">
        <v>47.8014</v>
      </c>
      <c r="D551" t="n">
        <v>11.2211</v>
      </c>
      <c r="E551" t="n">
        <v>40.0794</v>
      </c>
      <c r="F551" t="n">
        <v/>
      </c>
      <c r="G551" t="n">
        <v>26.8257</v>
      </c>
      <c r="H551" t="n">
        <v>72.1613</v>
      </c>
      <c r="I551" t="n">
        <v>28.1508</v>
      </c>
      <c r="J551" t="n">
        <v/>
      </c>
      <c r="K551" t="n">
        <v/>
      </c>
    </row>
    <row r="552">
      <c r="A552" s="98" t="n">
        <v>23682</v>
      </c>
      <c r="B552" t="n">
        <v>29.6679</v>
      </c>
      <c r="C552" t="n">
        <v>48.9277</v>
      </c>
      <c r="D552" t="n">
        <v>11.5978</v>
      </c>
      <c r="E552" t="n">
        <v>41.5853</v>
      </c>
      <c r="F552" t="n">
        <v/>
      </c>
      <c r="G552" t="n">
        <v>27.6594</v>
      </c>
      <c r="H552" t="n">
        <v>73.2599</v>
      </c>
      <c r="I552" t="n">
        <v>28.0746</v>
      </c>
      <c r="J552" t="n">
        <v/>
      </c>
      <c r="K552" t="n">
        <v/>
      </c>
    </row>
    <row r="553">
      <c r="A553" s="98" t="n">
        <v>23712</v>
      </c>
      <c r="B553" t="n">
        <v>30.0182</v>
      </c>
      <c r="C553" t="n">
        <v>48.297</v>
      </c>
      <c r="D553" t="n">
        <v>11.8059</v>
      </c>
      <c r="E553" t="n">
        <v>42.4348</v>
      </c>
      <c r="F553" t="n">
        <v/>
      </c>
      <c r="G553" t="n">
        <v>28.0026</v>
      </c>
      <c r="H553" t="n">
        <v>72.3673</v>
      </c>
      <c r="I553" t="n">
        <v>28.4049</v>
      </c>
      <c r="J553" t="n">
        <v/>
      </c>
      <c r="K553" t="n">
        <v/>
      </c>
    </row>
    <row r="554">
      <c r="A554" s="98" t="n">
        <v>23743</v>
      </c>
      <c r="B554" t="n">
        <v>30.3416</v>
      </c>
      <c r="C554" t="n">
        <v>48.6574</v>
      </c>
      <c r="D554" t="n">
        <v>11.7861</v>
      </c>
      <c r="E554" t="n">
        <v>43.0526</v>
      </c>
      <c r="F554" t="n">
        <v/>
      </c>
      <c r="G554" t="n">
        <v>28.3214</v>
      </c>
      <c r="H554" t="n">
        <v>72.64190000000001</v>
      </c>
      <c r="I554" t="n">
        <v>28.3287</v>
      </c>
      <c r="J554" t="n">
        <v/>
      </c>
      <c r="K554" t="n">
        <v/>
      </c>
    </row>
    <row r="555">
      <c r="A555" s="98" t="n">
        <v>23774</v>
      </c>
      <c r="B555" t="n">
        <v>30.5302</v>
      </c>
      <c r="C555" t="n">
        <v>49.9189</v>
      </c>
      <c r="D555" t="n">
        <v>11.9843</v>
      </c>
      <c r="E555" t="n">
        <v>43.1684</v>
      </c>
      <c r="F555" t="n">
        <v/>
      </c>
      <c r="G555" t="n">
        <v>28.4195</v>
      </c>
      <c r="H555" t="n">
        <v>72.7106</v>
      </c>
      <c r="I555" t="n">
        <v>28.4811</v>
      </c>
      <c r="J555" t="n">
        <v/>
      </c>
      <c r="K555" t="n">
        <v/>
      </c>
    </row>
    <row r="556">
      <c r="A556" s="98" t="n">
        <v>23802</v>
      </c>
      <c r="B556" t="n">
        <v>30.9344</v>
      </c>
      <c r="C556" t="n">
        <v>50.3244</v>
      </c>
      <c r="D556" t="n">
        <v>12.143</v>
      </c>
      <c r="E556" t="n">
        <v>43.5545</v>
      </c>
      <c r="F556" t="n">
        <v/>
      </c>
      <c r="G556" t="n">
        <v>28.8609</v>
      </c>
      <c r="H556" t="n">
        <v>73.2598</v>
      </c>
      <c r="I556" t="n">
        <v>28.8114</v>
      </c>
      <c r="J556" t="n">
        <v/>
      </c>
      <c r="K556" t="n">
        <v/>
      </c>
    </row>
    <row r="557">
      <c r="A557" s="98" t="n">
        <v>23833</v>
      </c>
      <c r="B557" t="n">
        <v>31.0691</v>
      </c>
      <c r="C557" t="n">
        <v>49.6035</v>
      </c>
      <c r="D557" t="n">
        <v>12.252</v>
      </c>
      <c r="E557" t="n">
        <v>43.4387</v>
      </c>
      <c r="F557" t="n">
        <v/>
      </c>
      <c r="G557" t="n">
        <v>29.1551</v>
      </c>
      <c r="H557" t="n">
        <v>73.19119999999999</v>
      </c>
      <c r="I557" t="n">
        <v>29.2433</v>
      </c>
      <c r="J557" t="n">
        <v/>
      </c>
      <c r="K557" t="n">
        <v/>
      </c>
    </row>
    <row r="558">
      <c r="A558" s="98" t="n">
        <v>23863</v>
      </c>
      <c r="B558" t="n">
        <v>31.3116</v>
      </c>
      <c r="C558" t="n">
        <v>50.0991</v>
      </c>
      <c r="D558" t="n">
        <v>12.4304</v>
      </c>
      <c r="E558" t="n">
        <v>43.709</v>
      </c>
      <c r="F558" t="n">
        <v/>
      </c>
      <c r="G558" t="n">
        <v>29.2777</v>
      </c>
      <c r="H558" t="n">
        <v>73.19119999999999</v>
      </c>
      <c r="I558" t="n">
        <v>29.0655</v>
      </c>
      <c r="J558" t="n">
        <v/>
      </c>
      <c r="K558" t="n">
        <v/>
      </c>
    </row>
    <row r="559">
      <c r="A559" s="98" t="n">
        <v>23894</v>
      </c>
      <c r="B559" t="n">
        <v>31.5541</v>
      </c>
      <c r="C559" t="n">
        <v>50.1442</v>
      </c>
      <c r="D559" t="n">
        <v>12.6089</v>
      </c>
      <c r="E559" t="n">
        <v>43.8248</v>
      </c>
      <c r="F559" t="n">
        <v/>
      </c>
      <c r="G559" t="n">
        <v>29.621</v>
      </c>
      <c r="H559" t="n">
        <v>74.0838</v>
      </c>
      <c r="I559" t="n">
        <v>29.2433</v>
      </c>
      <c r="J559" t="n">
        <v/>
      </c>
      <c r="K559" t="n">
        <v/>
      </c>
    </row>
    <row r="560">
      <c r="A560" s="98" t="n">
        <v>23924</v>
      </c>
      <c r="B560" t="n">
        <v>31.8506</v>
      </c>
      <c r="C560" t="n">
        <v>51.5408</v>
      </c>
      <c r="D560" t="n">
        <v>12.8269</v>
      </c>
      <c r="E560" t="n">
        <v>43.8248</v>
      </c>
      <c r="F560" t="n">
        <v/>
      </c>
      <c r="G560" t="n">
        <v>29.8907</v>
      </c>
      <c r="H560" t="n">
        <v>74.0151</v>
      </c>
      <c r="I560" t="n">
        <v>29.0147</v>
      </c>
      <c r="J560" t="n">
        <v/>
      </c>
      <c r="K560" t="n">
        <v/>
      </c>
    </row>
    <row r="561">
      <c r="A561" s="98" t="n">
        <v>23955</v>
      </c>
      <c r="B561" t="n">
        <v>31.9853</v>
      </c>
      <c r="C561" t="n">
        <v>51.0452</v>
      </c>
      <c r="D561" t="n">
        <v>12.8269</v>
      </c>
      <c r="E561" t="n">
        <v>43.7862</v>
      </c>
      <c r="F561" t="n">
        <v/>
      </c>
      <c r="G561" t="n">
        <v>30.185</v>
      </c>
      <c r="H561" t="n">
        <v>74.7704</v>
      </c>
      <c r="I561" t="n">
        <v>29.1925</v>
      </c>
      <c r="J561" t="n">
        <v/>
      </c>
      <c r="K561" t="n">
        <v/>
      </c>
    </row>
    <row r="562">
      <c r="A562" s="98" t="n">
        <v>23986</v>
      </c>
      <c r="B562" t="n">
        <v>32.0661</v>
      </c>
      <c r="C562" t="n">
        <v>50.5947</v>
      </c>
      <c r="D562" t="n">
        <v>13.0747</v>
      </c>
      <c r="E562" t="n">
        <v>44.4426</v>
      </c>
      <c r="F562" t="n">
        <v/>
      </c>
      <c r="G562" t="n">
        <v>29.9398</v>
      </c>
      <c r="H562" t="n">
        <v>73.19119999999999</v>
      </c>
      <c r="I562" t="n">
        <v>29.7515</v>
      </c>
      <c r="J562" t="n">
        <v/>
      </c>
      <c r="K562" t="n">
        <v/>
      </c>
    </row>
    <row r="563">
      <c r="A563" s="98" t="n">
        <v>24016</v>
      </c>
      <c r="B563" t="n">
        <v>32.3895</v>
      </c>
      <c r="C563" t="n">
        <v>51.3606</v>
      </c>
      <c r="D563" t="n">
        <v>13.2631</v>
      </c>
      <c r="E563" t="n">
        <v>44.6743</v>
      </c>
      <c r="F563" t="n">
        <v/>
      </c>
      <c r="G563" t="n">
        <v>30.2586</v>
      </c>
      <c r="H563" t="n">
        <v>75.80029999999999</v>
      </c>
      <c r="I563" t="n">
        <v>30.1834</v>
      </c>
      <c r="J563" t="n">
        <v/>
      </c>
      <c r="K563" t="n">
        <v/>
      </c>
    </row>
    <row r="564">
      <c r="A564" s="98" t="n">
        <v>24047</v>
      </c>
      <c r="B564" t="n">
        <v>32.5242</v>
      </c>
      <c r="C564" t="n">
        <v>52.0814</v>
      </c>
      <c r="D564" t="n">
        <v>13.5109</v>
      </c>
      <c r="E564" t="n">
        <v>44.9059</v>
      </c>
      <c r="F564" t="n">
        <v/>
      </c>
      <c r="G564" t="n">
        <v>30.136</v>
      </c>
      <c r="H564" t="n">
        <v>75.5943</v>
      </c>
      <c r="I564" t="n">
        <v>29.9801</v>
      </c>
      <c r="J564" t="n">
        <v/>
      </c>
      <c r="K564" t="n">
        <v/>
      </c>
    </row>
    <row r="565">
      <c r="A565" s="98" t="n">
        <v>24077</v>
      </c>
      <c r="B565" t="n">
        <v>32.9284</v>
      </c>
      <c r="C565" t="n">
        <v>53.2078</v>
      </c>
      <c r="D565" t="n">
        <v>13.7984</v>
      </c>
      <c r="E565" t="n">
        <v>45.1762</v>
      </c>
      <c r="F565" t="n">
        <v/>
      </c>
      <c r="G565" t="n">
        <v>30.4792</v>
      </c>
      <c r="H565" t="n">
        <v>76.3496</v>
      </c>
      <c r="I565" t="n">
        <v>30.1326</v>
      </c>
      <c r="J565" t="n">
        <v/>
      </c>
      <c r="K565" t="n">
        <v/>
      </c>
    </row>
    <row r="566">
      <c r="A566" s="98" t="n">
        <v>24108</v>
      </c>
      <c r="B566" t="n">
        <v>33.2518</v>
      </c>
      <c r="C566" t="n">
        <v>53.1177</v>
      </c>
      <c r="D566" t="n">
        <v>14.0759</v>
      </c>
      <c r="E566" t="n">
        <v>45.4079</v>
      </c>
      <c r="F566" t="n">
        <v/>
      </c>
      <c r="G566" t="n">
        <v>30.8961</v>
      </c>
      <c r="H566" t="n">
        <v>76.69280000000001</v>
      </c>
      <c r="I566" t="n">
        <v>30.1834</v>
      </c>
      <c r="J566" t="n">
        <v/>
      </c>
      <c r="K566" t="n">
        <v/>
      </c>
    </row>
    <row r="567">
      <c r="A567" s="98" t="n">
        <v>24139</v>
      </c>
      <c r="B567" t="n">
        <v>33.4674</v>
      </c>
      <c r="C567" t="n">
        <v>52.6221</v>
      </c>
      <c r="D567" t="n">
        <v>14.0363</v>
      </c>
      <c r="E567" t="n">
        <v>45.5238</v>
      </c>
      <c r="F567" t="n">
        <v/>
      </c>
      <c r="G567" t="n">
        <v>31.2394</v>
      </c>
      <c r="H567" t="n">
        <v>76.4182</v>
      </c>
      <c r="I567" t="n">
        <v>30.6407</v>
      </c>
      <c r="J567" t="n">
        <v/>
      </c>
      <c r="K567" t="n">
        <v/>
      </c>
    </row>
    <row r="568">
      <c r="A568" s="98" t="n">
        <v>24167</v>
      </c>
      <c r="B568" t="n">
        <v>33.9254</v>
      </c>
      <c r="C568" t="n">
        <v>53.6583</v>
      </c>
      <c r="D568" t="n">
        <v>14.3138</v>
      </c>
      <c r="E568" t="n">
        <v>45.8713</v>
      </c>
      <c r="F568" t="n">
        <v/>
      </c>
      <c r="G568" t="n">
        <v>31.8033</v>
      </c>
      <c r="H568" t="n">
        <v>78.2033</v>
      </c>
      <c r="I568" t="n">
        <v>30.7169</v>
      </c>
      <c r="J568" t="n">
        <v/>
      </c>
      <c r="K568" t="n">
        <v/>
      </c>
    </row>
    <row r="569">
      <c r="A569" s="98" t="n">
        <v>24198</v>
      </c>
      <c r="B569" t="n">
        <v>33.9793</v>
      </c>
      <c r="C569" t="n">
        <v>53.6583</v>
      </c>
      <c r="D569" t="n">
        <v>14.4229</v>
      </c>
      <c r="E569" t="n">
        <v>46.0257</v>
      </c>
      <c r="F569" t="n">
        <v/>
      </c>
      <c r="G569" t="n">
        <v>31.7298</v>
      </c>
      <c r="H569" t="n">
        <v>75.4569</v>
      </c>
      <c r="I569" t="n">
        <v>30.9202</v>
      </c>
      <c r="J569" t="n">
        <v/>
      </c>
      <c r="K569" t="n">
        <v/>
      </c>
    </row>
    <row r="570">
      <c r="A570" s="98" t="n">
        <v>24228</v>
      </c>
      <c r="B570" t="n">
        <v>34.3027</v>
      </c>
      <c r="C570" t="n">
        <v>53.9286</v>
      </c>
      <c r="D570" t="n">
        <v>14.6112</v>
      </c>
      <c r="E570" t="n">
        <v>46.0257</v>
      </c>
      <c r="F570" t="n">
        <v/>
      </c>
      <c r="G570" t="n">
        <v>32.0976</v>
      </c>
      <c r="H570" t="n">
        <v>77.9974</v>
      </c>
      <c r="I570" t="n">
        <v>31.1234</v>
      </c>
      <c r="J570" t="n">
        <v/>
      </c>
      <c r="K570" t="n">
        <v/>
      </c>
    </row>
    <row r="571">
      <c r="A571" s="98" t="n">
        <v>24259</v>
      </c>
      <c r="B571" t="n">
        <v>34.4643</v>
      </c>
      <c r="C571" t="n">
        <v>53.1627</v>
      </c>
      <c r="D571" t="n">
        <v>14.75</v>
      </c>
      <c r="E571" t="n">
        <v>46.2188</v>
      </c>
      <c r="F571" t="n">
        <v/>
      </c>
      <c r="G571" t="n">
        <v>32.2938</v>
      </c>
      <c r="H571" t="n">
        <v>78.2033</v>
      </c>
      <c r="I571" t="n">
        <v>31.5553</v>
      </c>
      <c r="J571" t="n">
        <v/>
      </c>
      <c r="K571" t="n">
        <v/>
      </c>
    </row>
    <row r="572">
      <c r="A572" s="98" t="n">
        <v>24289</v>
      </c>
      <c r="B572" t="n">
        <v>34.653</v>
      </c>
      <c r="C572" t="n">
        <v>53.6583</v>
      </c>
      <c r="D572" t="n">
        <v>14.9879</v>
      </c>
      <c r="E572" t="n">
        <v>46.1415</v>
      </c>
      <c r="F572" t="n">
        <v/>
      </c>
      <c r="G572" t="n">
        <v>32.3673</v>
      </c>
      <c r="H572" t="n">
        <v>78.4093</v>
      </c>
      <c r="I572" t="n">
        <v>32.0635</v>
      </c>
      <c r="J572" t="n">
        <v/>
      </c>
      <c r="K572" t="n">
        <v/>
      </c>
    </row>
    <row r="573">
      <c r="A573" s="98" t="n">
        <v>24320</v>
      </c>
      <c r="B573" t="n">
        <v>34.6799</v>
      </c>
      <c r="C573" t="n">
        <v>52.0815</v>
      </c>
      <c r="D573" t="n">
        <v>15.0473</v>
      </c>
      <c r="E573" t="n">
        <v>45.9871</v>
      </c>
      <c r="F573" t="n">
        <v/>
      </c>
      <c r="G573" t="n">
        <v>32.637</v>
      </c>
      <c r="H573" t="n">
        <v>78.7526</v>
      </c>
      <c r="I573" t="n">
        <v>32.1397</v>
      </c>
      <c r="J573" t="n">
        <v/>
      </c>
      <c r="K573" t="n">
        <v/>
      </c>
    </row>
    <row r="574">
      <c r="A574" s="98" t="n">
        <v>24351</v>
      </c>
      <c r="B574" t="n">
        <v>35.0033</v>
      </c>
      <c r="C574" t="n">
        <v>52.0815</v>
      </c>
      <c r="D574" t="n">
        <v>15.2158</v>
      </c>
      <c r="E574" t="n">
        <v>46.1416</v>
      </c>
      <c r="F574" t="n">
        <v/>
      </c>
      <c r="G574" t="n">
        <v>32.9558</v>
      </c>
      <c r="H574" t="n">
        <v>78.7526</v>
      </c>
      <c r="I574" t="n">
        <v>32.1143</v>
      </c>
      <c r="J574" t="n">
        <v/>
      </c>
      <c r="K574" t="n">
        <v/>
      </c>
    </row>
    <row r="575">
      <c r="A575" s="98" t="n">
        <v>24381</v>
      </c>
      <c r="B575" t="n">
        <v>35.2458</v>
      </c>
      <c r="C575" t="n">
        <v>52.1265</v>
      </c>
      <c r="D575" t="n">
        <v>15.1663</v>
      </c>
      <c r="E575" t="n">
        <v>47.1068</v>
      </c>
      <c r="F575" t="n">
        <v/>
      </c>
      <c r="G575" t="n">
        <v>33.103</v>
      </c>
      <c r="H575" t="n">
        <v>79.0959</v>
      </c>
      <c r="I575" t="n">
        <v>32.0635</v>
      </c>
      <c r="J575" t="n">
        <v/>
      </c>
      <c r="K575" t="n">
        <v/>
      </c>
    </row>
    <row r="576">
      <c r="A576" s="98" t="n">
        <v>24412</v>
      </c>
      <c r="B576" t="n">
        <v>35.0033</v>
      </c>
      <c r="C576" t="n">
        <v>52.1715</v>
      </c>
      <c r="D576" t="n">
        <v>14.9482</v>
      </c>
      <c r="E576" t="n">
        <v>46.8752</v>
      </c>
      <c r="F576" t="n">
        <v/>
      </c>
      <c r="G576" t="n">
        <v>32.6126</v>
      </c>
      <c r="H576" t="n">
        <v>79.2333</v>
      </c>
      <c r="I576" t="n">
        <v>32.3684</v>
      </c>
      <c r="J576" t="n">
        <v/>
      </c>
      <c r="K576" t="n">
        <v/>
      </c>
    </row>
    <row r="577">
      <c r="A577" s="98" t="n">
        <v>24442</v>
      </c>
      <c r="B577" t="n">
        <v>35.0841</v>
      </c>
      <c r="C577" t="n">
        <v>52.0814</v>
      </c>
      <c r="D577" t="n">
        <v>15.1564</v>
      </c>
      <c r="E577" t="n">
        <v>46.7593</v>
      </c>
      <c r="F577" t="n">
        <v/>
      </c>
      <c r="G577" t="n">
        <v>32.6125</v>
      </c>
      <c r="H577" t="n">
        <v>79.7826</v>
      </c>
      <c r="I577" t="n">
        <v>32.3938</v>
      </c>
      <c r="J577" t="n">
        <v/>
      </c>
      <c r="K577" t="n">
        <v/>
      </c>
    </row>
    <row r="578">
      <c r="A578" s="98" t="n">
        <v>24473</v>
      </c>
      <c r="B578" t="n">
        <v>35.2496</v>
      </c>
      <c r="C578" t="n">
        <v>53.5164</v>
      </c>
      <c r="D578" t="n">
        <v>15.0497</v>
      </c>
      <c r="E578" t="n">
        <v>47.1834</v>
      </c>
      <c r="F578" t="n">
        <v/>
      </c>
      <c r="G578" t="n">
        <v>32.4756</v>
      </c>
      <c r="H578" t="n">
        <v>79.68940000000001</v>
      </c>
      <c r="I578" t="n">
        <v>32.278</v>
      </c>
      <c r="J578" t="n">
        <v>89.39019999999999</v>
      </c>
      <c r="K578" t="n">
        <v/>
      </c>
    </row>
    <row r="579">
      <c r="A579" s="98" t="n">
        <v>24504</v>
      </c>
      <c r="B579" t="n">
        <v>34.8498</v>
      </c>
      <c r="C579" t="n">
        <v>53.0037</v>
      </c>
      <c r="D579" t="n">
        <v>15.0682</v>
      </c>
      <c r="E579" t="n">
        <v>46.5487</v>
      </c>
      <c r="F579" t="n">
        <v/>
      </c>
      <c r="G579" t="n">
        <v>31.8581</v>
      </c>
      <c r="H579" t="n">
        <v>78.3588</v>
      </c>
      <c r="I579" t="n">
        <v>32.3655</v>
      </c>
      <c r="J579" t="n">
        <v>87.97499999999999</v>
      </c>
      <c r="K579" t="n">
        <v/>
      </c>
    </row>
    <row r="580">
      <c r="A580" s="98" t="n">
        <v>24532</v>
      </c>
      <c r="B580" t="n">
        <v>34.6534</v>
      </c>
      <c r="C580" t="n">
        <v>53.1017</v>
      </c>
      <c r="D580" t="n">
        <v>15.0431</v>
      </c>
      <c r="E580" t="n">
        <v>46.6982</v>
      </c>
      <c r="F580" t="n">
        <v/>
      </c>
      <c r="G580" t="n">
        <v>31.2688</v>
      </c>
      <c r="H580" t="n">
        <v>77.72150000000001</v>
      </c>
      <c r="I580" t="n">
        <v>32.0841</v>
      </c>
      <c r="J580" t="n">
        <v>87.0835</v>
      </c>
      <c r="K580" t="n">
        <v/>
      </c>
    </row>
    <row r="581">
      <c r="A581" s="98" t="n">
        <v>24563</v>
      </c>
      <c r="B581" t="n">
        <v>34.9802</v>
      </c>
      <c r="C581" t="n">
        <v>52.9397</v>
      </c>
      <c r="D581" t="n">
        <v>15.0316</v>
      </c>
      <c r="E581" t="n">
        <v>47.4952</v>
      </c>
      <c r="F581" t="n">
        <v/>
      </c>
      <c r="G581" t="n">
        <v>31.5666</v>
      </c>
      <c r="H581" t="n">
        <v>78.14400000000001</v>
      </c>
      <c r="I581" t="n">
        <v>33.4226</v>
      </c>
      <c r="J581" t="n">
        <v>87.5089</v>
      </c>
      <c r="K581" t="n">
        <v/>
      </c>
    </row>
    <row r="582">
      <c r="A582" s="98" t="n">
        <v>24593</v>
      </c>
      <c r="B582" t="n">
        <v>34.675</v>
      </c>
      <c r="C582" t="n">
        <v>53.7826</v>
      </c>
      <c r="D582" t="n">
        <v>15.088</v>
      </c>
      <c r="E582" t="n">
        <v>46.5779</v>
      </c>
      <c r="F582" t="n">
        <v/>
      </c>
      <c r="G582" t="n">
        <v>31.2208</v>
      </c>
      <c r="H582" t="n">
        <v>76.8811</v>
      </c>
      <c r="I582" t="n">
        <v>33.081</v>
      </c>
      <c r="J582" t="n">
        <v>86.3566</v>
      </c>
      <c r="K582" t="n">
        <v/>
      </c>
    </row>
    <row r="583">
      <c r="A583" s="98" t="n">
        <v>24624</v>
      </c>
      <c r="B583" t="n">
        <v>34.6707</v>
      </c>
      <c r="C583" t="n">
        <v>54.084</v>
      </c>
      <c r="D583" t="n">
        <v>15.0063</v>
      </c>
      <c r="E583" t="n">
        <v>46.7175</v>
      </c>
      <c r="F583" t="n">
        <v/>
      </c>
      <c r="G583" t="n">
        <v>31.1563</v>
      </c>
      <c r="H583" t="n">
        <v>77.22150000000001</v>
      </c>
      <c r="I583" t="n">
        <v>32.7761</v>
      </c>
      <c r="J583" t="n">
        <v>85.9603</v>
      </c>
      <c r="K583" t="n">
        <v/>
      </c>
    </row>
    <row r="584">
      <c r="A584" s="98" t="n">
        <v>24654</v>
      </c>
      <c r="B584" t="n">
        <v>34.5918</v>
      </c>
      <c r="C584" t="n">
        <v>54.3418</v>
      </c>
      <c r="D584" t="n">
        <v>14.7045</v>
      </c>
      <c r="E584" t="n">
        <v>46.6495</v>
      </c>
      <c r="F584" t="n">
        <v/>
      </c>
      <c r="G584" t="n">
        <v>31.1446</v>
      </c>
      <c r="H584" t="n">
        <v>79.64660000000001</v>
      </c>
      <c r="I584" t="n">
        <v>32.9421</v>
      </c>
      <c r="J584" t="n">
        <v>85.38330000000001</v>
      </c>
      <c r="K584" t="n">
        <v/>
      </c>
    </row>
    <row r="585">
      <c r="A585" s="98" t="n">
        <v>24685</v>
      </c>
      <c r="B585" t="n">
        <v>35.2545</v>
      </c>
      <c r="C585" t="n">
        <v>54.8903</v>
      </c>
      <c r="D585" t="n">
        <v>14.9759</v>
      </c>
      <c r="E585" t="n">
        <v>47.1025</v>
      </c>
      <c r="F585" t="n">
        <v/>
      </c>
      <c r="G585" t="n">
        <v>32.0708</v>
      </c>
      <c r="H585" t="n">
        <v>80.4298</v>
      </c>
      <c r="I585" t="n">
        <v>32.4777</v>
      </c>
      <c r="J585" t="n">
        <v>86.6339</v>
      </c>
      <c r="K585" t="n">
        <v/>
      </c>
    </row>
    <row r="586">
      <c r="A586" s="98" t="n">
        <v>24716</v>
      </c>
      <c r="B586" t="n">
        <v>35.1972</v>
      </c>
      <c r="C586" t="n">
        <v>55.3509</v>
      </c>
      <c r="D586" t="n">
        <v>14.8991</v>
      </c>
      <c r="E586" t="n">
        <v>47.1953</v>
      </c>
      <c r="F586" t="n">
        <v/>
      </c>
      <c r="G586" t="n">
        <v>31.8619</v>
      </c>
      <c r="H586" t="n">
        <v>79.05419999999999</v>
      </c>
      <c r="I586" t="n">
        <v>32.7419</v>
      </c>
      <c r="J586" t="n">
        <v>86.1122</v>
      </c>
      <c r="K586" t="n">
        <v/>
      </c>
    </row>
    <row r="587">
      <c r="A587" s="98" t="n">
        <v>24746</v>
      </c>
      <c r="B587" t="n">
        <v>35.4839</v>
      </c>
      <c r="C587" t="n">
        <v>55.0541</v>
      </c>
      <c r="D587" t="n">
        <v>14.7756</v>
      </c>
      <c r="E587" t="n">
        <v>47.8277</v>
      </c>
      <c r="F587" t="n">
        <v/>
      </c>
      <c r="G587" t="n">
        <v>32.2643</v>
      </c>
      <c r="H587" t="n">
        <v>78.98860000000001</v>
      </c>
      <c r="I587" t="n">
        <v>34.1332</v>
      </c>
      <c r="J587" t="n">
        <v>86.4325</v>
      </c>
      <c r="K587" t="n">
        <v/>
      </c>
    </row>
    <row r="588">
      <c r="A588" s="98" t="n">
        <v>24777</v>
      </c>
      <c r="B588" t="n">
        <v>35.9914</v>
      </c>
      <c r="C588" t="n">
        <v>55.4428</v>
      </c>
      <c r="D588" t="n">
        <v>15.1639</v>
      </c>
      <c r="E588" t="n">
        <v>48.8444</v>
      </c>
      <c r="F588" t="n">
        <v/>
      </c>
      <c r="G588" t="n">
        <v>32.6232</v>
      </c>
      <c r="H588" t="n">
        <v>78.6075</v>
      </c>
      <c r="I588" t="n">
        <v>34.1725</v>
      </c>
      <c r="J588" t="n">
        <v>87.2856</v>
      </c>
      <c r="K588" t="n">
        <v/>
      </c>
    </row>
    <row r="589">
      <c r="A589" s="98" t="n">
        <v>24807</v>
      </c>
      <c r="B589" t="n">
        <v>36.379</v>
      </c>
      <c r="C589" t="n">
        <v>55.3776</v>
      </c>
      <c r="D589" t="n">
        <v>15.3149</v>
      </c>
      <c r="E589" t="n">
        <v>49.6421</v>
      </c>
      <c r="F589" t="n">
        <v/>
      </c>
      <c r="G589" t="n">
        <v>33.0527</v>
      </c>
      <c r="H589" t="n">
        <v>78.2454</v>
      </c>
      <c r="I589" t="n">
        <v>34.8564</v>
      </c>
      <c r="J589" t="n">
        <v>87.8417</v>
      </c>
      <c r="K589" t="n">
        <v/>
      </c>
    </row>
    <row r="590">
      <c r="A590" s="98" t="n">
        <v>24838</v>
      </c>
      <c r="B590" t="n">
        <v>36.3399</v>
      </c>
      <c r="C590" t="n">
        <v>55.7538</v>
      </c>
      <c r="D590" t="n">
        <v>15.3818</v>
      </c>
      <c r="E590" t="n">
        <v>48.9753</v>
      </c>
      <c r="F590" t="n">
        <v/>
      </c>
      <c r="G590" t="n">
        <v>33.1979</v>
      </c>
      <c r="H590" t="n">
        <v>79.0585</v>
      </c>
      <c r="I590" t="n">
        <v>34.7144</v>
      </c>
      <c r="J590" t="n">
        <v>87.3841</v>
      </c>
      <c r="K590" t="n">
        <v/>
      </c>
    </row>
    <row r="591">
      <c r="A591" s="98" t="n">
        <v>24869</v>
      </c>
      <c r="B591" t="n">
        <v>36.4701</v>
      </c>
      <c r="C591" t="n">
        <v>56.3188</v>
      </c>
      <c r="D591" t="n">
        <v>15.3958</v>
      </c>
      <c r="E591" t="n">
        <v>49.237</v>
      </c>
      <c r="F591" t="n">
        <v/>
      </c>
      <c r="G591" t="n">
        <v>33.1999</v>
      </c>
      <c r="H591" t="n">
        <v>80.2557</v>
      </c>
      <c r="I591" t="n">
        <v>34.5511</v>
      </c>
      <c r="J591" t="n">
        <v>87.34910000000001</v>
      </c>
      <c r="K591" t="n">
        <v/>
      </c>
    </row>
    <row r="592">
      <c r="A592" s="98" t="n">
        <v>24898</v>
      </c>
      <c r="B592" t="n">
        <v>36.5839</v>
      </c>
      <c r="C592" t="n">
        <v>56.4287</v>
      </c>
      <c r="D592" t="n">
        <v>15.5291</v>
      </c>
      <c r="E592" t="n">
        <v>49.5295</v>
      </c>
      <c r="F592" t="n">
        <v/>
      </c>
      <c r="G592" t="n">
        <v>33.3269</v>
      </c>
      <c r="H592" t="n">
        <v>80.95359999999999</v>
      </c>
      <c r="I592" t="n">
        <v>35.132</v>
      </c>
      <c r="J592" t="n">
        <v>87.27500000000001</v>
      </c>
      <c r="K592" t="n">
        <v/>
      </c>
    </row>
    <row r="593">
      <c r="A593" s="98" t="n">
        <v>24929</v>
      </c>
      <c r="B593" t="n">
        <v>36.6369</v>
      </c>
      <c r="C593" t="n">
        <v>56.7388</v>
      </c>
      <c r="D593" t="n">
        <v>15.4522</v>
      </c>
      <c r="E593" t="n">
        <v>49.446</v>
      </c>
      <c r="F593" t="n">
        <v/>
      </c>
      <c r="G593" t="n">
        <v>33.5814</v>
      </c>
      <c r="H593" t="n">
        <v>81.5153</v>
      </c>
      <c r="I593" t="n">
        <v>35.14</v>
      </c>
      <c r="J593" t="n">
        <v>87.0569</v>
      </c>
      <c r="K593" t="n">
        <v/>
      </c>
    </row>
    <row r="594">
      <c r="A594" s="98" t="n">
        <v>24959</v>
      </c>
      <c r="B594" t="n">
        <v>37.0478</v>
      </c>
      <c r="C594" t="n">
        <v>56.9666</v>
      </c>
      <c r="D594" t="n">
        <v>15.6846</v>
      </c>
      <c r="E594" t="n">
        <v>49.7107</v>
      </c>
      <c r="F594" t="n">
        <v/>
      </c>
      <c r="G594" t="n">
        <v>34.0924</v>
      </c>
      <c r="H594" t="n">
        <v>81.8446</v>
      </c>
      <c r="I594" t="n">
        <v>35.5727</v>
      </c>
      <c r="J594" t="n">
        <v>87.68770000000001</v>
      </c>
      <c r="K594" t="n">
        <v/>
      </c>
    </row>
    <row r="595">
      <c r="A595" s="98" t="n">
        <v>24990</v>
      </c>
      <c r="B595" t="n">
        <v>37.1839</v>
      </c>
      <c r="C595" t="n">
        <v>56.9957</v>
      </c>
      <c r="D595" t="n">
        <v>15.6491</v>
      </c>
      <c r="E595" t="n">
        <v>50.0164</v>
      </c>
      <c r="F595" t="n">
        <v/>
      </c>
      <c r="G595" t="n">
        <v>34.2301</v>
      </c>
      <c r="H595" t="n">
        <v>81.4589</v>
      </c>
      <c r="I595" t="n">
        <v>35.962</v>
      </c>
      <c r="J595" t="n">
        <v>87.6656</v>
      </c>
      <c r="K595" t="n">
        <v/>
      </c>
    </row>
    <row r="596">
      <c r="A596" s="98" t="n">
        <v>25020</v>
      </c>
      <c r="B596" t="n">
        <v>37.1269</v>
      </c>
      <c r="C596" t="n">
        <v>57.0206</v>
      </c>
      <c r="D596" t="n">
        <v>15.4977</v>
      </c>
      <c r="E596" t="n">
        <v>49.8965</v>
      </c>
      <c r="F596" t="n">
        <v/>
      </c>
      <c r="G596" t="n">
        <v>34.2643</v>
      </c>
      <c r="H596" t="n">
        <v>82.8723</v>
      </c>
      <c r="I596" t="n">
        <v>35.5893</v>
      </c>
      <c r="J596" t="n">
        <v>87.19</v>
      </c>
      <c r="K596" t="n">
        <v/>
      </c>
    </row>
    <row r="597">
      <c r="A597" s="98" t="n">
        <v>25051</v>
      </c>
      <c r="B597" t="n">
        <v>37.2305</v>
      </c>
      <c r="C597" t="n">
        <v>57.3101</v>
      </c>
      <c r="D597" t="n">
        <v>15.6362</v>
      </c>
      <c r="E597" t="n">
        <v>50.4926</v>
      </c>
      <c r="F597" t="n">
        <v/>
      </c>
      <c r="G597" t="n">
        <v>34.0077</v>
      </c>
      <c r="H597" t="n">
        <v>82.58620000000001</v>
      </c>
      <c r="I597" t="n">
        <v>35.8744</v>
      </c>
      <c r="J597" t="n">
        <v>87.0938</v>
      </c>
      <c r="K597" t="n">
        <v/>
      </c>
    </row>
    <row r="598">
      <c r="A598" s="98" t="n">
        <v>25082</v>
      </c>
      <c r="B598" t="n">
        <v>37.3715</v>
      </c>
      <c r="C598" t="n">
        <v>56.8547</v>
      </c>
      <c r="D598" t="n">
        <v>15.8042</v>
      </c>
      <c r="E598" t="n">
        <v>50.6934</v>
      </c>
      <c r="F598" t="n">
        <v/>
      </c>
      <c r="G598" t="n">
        <v>34.147</v>
      </c>
      <c r="H598" t="n">
        <v>82.3301</v>
      </c>
      <c r="I598" t="n">
        <v>36.4266</v>
      </c>
      <c r="J598" t="n">
        <v>87.0857</v>
      </c>
      <c r="K598" t="n">
        <v/>
      </c>
    </row>
    <row r="599">
      <c r="A599" s="98" t="n">
        <v>25112</v>
      </c>
      <c r="B599" t="n">
        <v>37.4457</v>
      </c>
      <c r="C599" t="n">
        <v>56.8205</v>
      </c>
      <c r="D599" t="n">
        <v>15.9401</v>
      </c>
      <c r="E599" t="n">
        <v>51.0139</v>
      </c>
      <c r="F599" t="n">
        <v/>
      </c>
      <c r="G599" t="n">
        <v>34.1869</v>
      </c>
      <c r="H599" t="n">
        <v>80.2323</v>
      </c>
      <c r="I599" t="n">
        <v>36.394</v>
      </c>
      <c r="J599" t="n">
        <v>86.92230000000001</v>
      </c>
      <c r="K599" t="n">
        <v/>
      </c>
    </row>
    <row r="600">
      <c r="A600" s="98" t="n">
        <v>25143</v>
      </c>
      <c r="B600" t="n">
        <v>37.9301</v>
      </c>
      <c r="C600" t="n">
        <v>58.1614</v>
      </c>
      <c r="D600" t="n">
        <v>15.9515</v>
      </c>
      <c r="E600" t="n">
        <v>51.6785</v>
      </c>
      <c r="F600" t="n">
        <v/>
      </c>
      <c r="G600" t="n">
        <v>34.7331</v>
      </c>
      <c r="H600" t="n">
        <v>82.4379</v>
      </c>
      <c r="I600" t="n">
        <v>36.6184</v>
      </c>
      <c r="J600" t="n">
        <v>87.70869999999999</v>
      </c>
      <c r="K600" t="n">
        <v/>
      </c>
    </row>
    <row r="601">
      <c r="A601" s="98" t="n">
        <v>25173</v>
      </c>
      <c r="B601" t="n">
        <v>38.0499</v>
      </c>
      <c r="C601" t="n">
        <v>59.2336</v>
      </c>
      <c r="D601" t="n">
        <v>16.1195</v>
      </c>
      <c r="E601" t="n">
        <v>51.3911</v>
      </c>
      <c r="F601" t="n">
        <v/>
      </c>
      <c r="G601" t="n">
        <v>34.9145</v>
      </c>
      <c r="H601" t="n">
        <v>82.72069999999999</v>
      </c>
      <c r="I601" t="n">
        <v>37.8986</v>
      </c>
      <c r="J601" t="n">
        <v>87.64919999999999</v>
      </c>
      <c r="K601" t="n">
        <v/>
      </c>
    </row>
    <row r="602">
      <c r="A602" s="98" t="n">
        <v>25204</v>
      </c>
      <c r="B602" t="n">
        <v>38.2801</v>
      </c>
      <c r="C602" t="n">
        <v>59.618</v>
      </c>
      <c r="D602" t="n">
        <v>16.3447</v>
      </c>
      <c r="E602" t="n">
        <v>51.6649</v>
      </c>
      <c r="F602" t="n">
        <v/>
      </c>
      <c r="G602" t="n">
        <v>35.0862</v>
      </c>
      <c r="H602" t="n">
        <v>83.139</v>
      </c>
      <c r="I602" t="n">
        <v>37.6547</v>
      </c>
      <c r="J602" t="n">
        <v>87.852</v>
      </c>
      <c r="K602" t="n">
        <v/>
      </c>
    </row>
    <row r="603">
      <c r="A603" s="98" t="n">
        <v>25235</v>
      </c>
      <c r="B603" t="n">
        <v>38.525</v>
      </c>
      <c r="C603" t="n">
        <v>60.1853</v>
      </c>
      <c r="D603" t="n">
        <v>16.3381</v>
      </c>
      <c r="E603" t="n">
        <v>52.0885</v>
      </c>
      <c r="F603" t="n">
        <v/>
      </c>
      <c r="G603" t="n">
        <v>35.4638</v>
      </c>
      <c r="H603" t="n">
        <v>82.7649</v>
      </c>
      <c r="I603" t="n">
        <v>37.9158</v>
      </c>
      <c r="J603" t="n">
        <v>88.096</v>
      </c>
      <c r="K603" t="n">
        <v/>
      </c>
    </row>
    <row r="604">
      <c r="A604" s="98" t="n">
        <v>25263</v>
      </c>
      <c r="B604" t="n">
        <v>38.8271</v>
      </c>
      <c r="C604" t="n">
        <v>60.4036</v>
      </c>
      <c r="D604" t="n">
        <v>16.5002</v>
      </c>
      <c r="E604" t="n">
        <v>52.4529</v>
      </c>
      <c r="F604" t="n">
        <v/>
      </c>
      <c r="G604" t="n">
        <v>35.6303</v>
      </c>
      <c r="H604" t="n">
        <v>83.18210000000001</v>
      </c>
      <c r="I604" t="n">
        <v>38.3346</v>
      </c>
      <c r="J604" t="n">
        <v>88.468</v>
      </c>
      <c r="K604" t="n">
        <v/>
      </c>
    </row>
    <row r="605">
      <c r="A605" s="98" t="n">
        <v>25294</v>
      </c>
      <c r="B605" t="n">
        <v>38.6842</v>
      </c>
      <c r="C605" t="n">
        <v>59.8357</v>
      </c>
      <c r="D605" t="n">
        <v>16.67</v>
      </c>
      <c r="E605" t="n">
        <v>51.6782</v>
      </c>
      <c r="F605" t="n">
        <v/>
      </c>
      <c r="G605" t="n">
        <v>35.7336</v>
      </c>
      <c r="H605" t="n">
        <v>83.351</v>
      </c>
      <c r="I605" t="n">
        <v>38.1404</v>
      </c>
      <c r="J605" t="n">
        <v>87.8272</v>
      </c>
      <c r="K605" t="n">
        <v/>
      </c>
    </row>
    <row r="606">
      <c r="A606" s="98" t="n">
        <v>25324</v>
      </c>
      <c r="B606" t="n">
        <v>38.538</v>
      </c>
      <c r="C606" t="n">
        <v>59.4435</v>
      </c>
      <c r="D606" t="n">
        <v>16.5584</v>
      </c>
      <c r="E606" t="n">
        <v>51.2924</v>
      </c>
      <c r="F606" t="n">
        <v/>
      </c>
      <c r="G606" t="n">
        <v>35.6491</v>
      </c>
      <c r="H606" t="n">
        <v>84.1054</v>
      </c>
      <c r="I606" t="n">
        <v>38.1674</v>
      </c>
      <c r="J606" t="n">
        <v>87.1833</v>
      </c>
      <c r="K606" t="n">
        <v/>
      </c>
    </row>
    <row r="607">
      <c r="A607" s="98" t="n">
        <v>25355</v>
      </c>
      <c r="B607" t="n">
        <v>38.9145</v>
      </c>
      <c r="C607" t="n">
        <v>59.7596</v>
      </c>
      <c r="D607" t="n">
        <v>16.725</v>
      </c>
      <c r="E607" t="n">
        <v>51.8844</v>
      </c>
      <c r="F607" t="n">
        <v/>
      </c>
      <c r="G607" t="n">
        <v>36.1267</v>
      </c>
      <c r="H607" t="n">
        <v>86.38039999999999</v>
      </c>
      <c r="I607" t="n">
        <v>38.8857</v>
      </c>
      <c r="J607" t="n">
        <v>87.7223</v>
      </c>
      <c r="K607" t="n">
        <v/>
      </c>
    </row>
    <row r="608">
      <c r="A608" s="98" t="n">
        <v>25385</v>
      </c>
      <c r="B608" t="n">
        <v>39.12</v>
      </c>
      <c r="C608" t="n">
        <v>59.2338</v>
      </c>
      <c r="D608" t="n">
        <v>16.8946</v>
      </c>
      <c r="E608" t="n">
        <v>52.7911</v>
      </c>
      <c r="F608" t="n">
        <v/>
      </c>
      <c r="G608" t="n">
        <v>36.1436</v>
      </c>
      <c r="H608" t="n">
        <v>84.3908</v>
      </c>
      <c r="I608" t="n">
        <v>39.501</v>
      </c>
      <c r="J608" t="n">
        <v>87.87309999999999</v>
      </c>
      <c r="K608" t="n">
        <v/>
      </c>
    </row>
    <row r="609">
      <c r="A609" s="98" t="n">
        <v>25416</v>
      </c>
      <c r="B609" t="n">
        <v>39.2099</v>
      </c>
      <c r="C609" t="n">
        <v>59.1693</v>
      </c>
      <c r="D609" t="n">
        <v>16.8281</v>
      </c>
      <c r="E609" t="n">
        <v>52.6966</v>
      </c>
      <c r="F609" t="n">
        <v/>
      </c>
      <c r="G609" t="n">
        <v>36.5135</v>
      </c>
      <c r="H609" t="n">
        <v>84.6609</v>
      </c>
      <c r="I609" t="n">
        <v>39.6976</v>
      </c>
      <c r="J609" t="n">
        <v>87.7642</v>
      </c>
      <c r="K609" t="n">
        <v/>
      </c>
    </row>
    <row r="610">
      <c r="A610" s="98" t="n">
        <v>25447</v>
      </c>
      <c r="B610" t="n">
        <v>39.2011</v>
      </c>
      <c r="C610" t="n">
        <v>59.1824</v>
      </c>
      <c r="D610" t="n">
        <v>16.9948</v>
      </c>
      <c r="E610" t="n">
        <v>52.2971</v>
      </c>
      <c r="F610" t="n">
        <v/>
      </c>
      <c r="G610" t="n">
        <v>36.6089</v>
      </c>
      <c r="H610" t="n">
        <v>85.4986</v>
      </c>
      <c r="I610" t="n">
        <v>39.2816</v>
      </c>
      <c r="J610" t="n">
        <v>87.43600000000001</v>
      </c>
      <c r="K610" t="n">
        <v/>
      </c>
    </row>
    <row r="611">
      <c r="A611" s="98" t="n">
        <v>25477</v>
      </c>
      <c r="B611" t="n">
        <v>39.2125</v>
      </c>
      <c r="C611" t="n">
        <v>59.3898</v>
      </c>
      <c r="D611" t="n">
        <v>17.0434</v>
      </c>
      <c r="E611" t="n">
        <v>52.3194</v>
      </c>
      <c r="F611" t="n">
        <v/>
      </c>
      <c r="G611" t="n">
        <v>36.6017</v>
      </c>
      <c r="H611" t="n">
        <v>85.9328</v>
      </c>
      <c r="I611" t="n">
        <v>39.5766</v>
      </c>
      <c r="J611" t="n">
        <v>87.155</v>
      </c>
      <c r="K611" t="n">
        <v/>
      </c>
    </row>
    <row r="612">
      <c r="A612" s="98" t="n">
        <v>25508</v>
      </c>
      <c r="B612" t="n">
        <v>38.8429</v>
      </c>
      <c r="C612" t="n">
        <v>59.0239</v>
      </c>
      <c r="D612" t="n">
        <v>16.6529</v>
      </c>
      <c r="E612" t="n">
        <v>51.8645</v>
      </c>
      <c r="F612" t="n">
        <v/>
      </c>
      <c r="G612" t="n">
        <v>36.4091</v>
      </c>
      <c r="H612" t="n">
        <v>86.31570000000001</v>
      </c>
      <c r="I612" t="n">
        <v>40.1632</v>
      </c>
      <c r="J612" t="n">
        <v>86.032</v>
      </c>
      <c r="K612" t="n">
        <v/>
      </c>
    </row>
    <row r="613">
      <c r="A613" s="98" t="n">
        <v>25538</v>
      </c>
      <c r="B613" t="n">
        <v>38.7387</v>
      </c>
      <c r="C613" t="n">
        <v>58.7007</v>
      </c>
      <c r="D613" t="n">
        <v>16.5911</v>
      </c>
      <c r="E613" t="n">
        <v>51.9343</v>
      </c>
      <c r="F613" t="n">
        <v/>
      </c>
      <c r="G613" t="n">
        <v>36.1956</v>
      </c>
      <c r="H613" t="n">
        <v>87.5813</v>
      </c>
      <c r="I613" t="n">
        <v>40.1579</v>
      </c>
      <c r="J613" t="n">
        <v>85.50239999999999</v>
      </c>
      <c r="K613" t="n">
        <v/>
      </c>
    </row>
    <row r="614">
      <c r="A614" s="98" t="n">
        <v>25569</v>
      </c>
      <c r="B614" t="n">
        <v>38.0213</v>
      </c>
      <c r="C614" t="n">
        <v>56.8623</v>
      </c>
      <c r="D614" t="n">
        <v>16.3598</v>
      </c>
      <c r="E614" t="n">
        <v>51.0633</v>
      </c>
      <c r="F614" t="n">
        <v/>
      </c>
      <c r="G614" t="n">
        <v>35.3638</v>
      </c>
      <c r="H614" t="n">
        <v>86.9813</v>
      </c>
      <c r="I614" t="n">
        <v>40.2346</v>
      </c>
      <c r="J614" t="n">
        <v>83.6414</v>
      </c>
      <c r="K614" t="n">
        <v/>
      </c>
    </row>
    <row r="615">
      <c r="A615" s="98" t="n">
        <v>25600</v>
      </c>
      <c r="B615" t="n">
        <v>37.9963</v>
      </c>
      <c r="C615" t="n">
        <v>56.6585</v>
      </c>
      <c r="D615" t="n">
        <v>16.4292</v>
      </c>
      <c r="E615" t="n">
        <v>51.5674</v>
      </c>
      <c r="F615" t="n">
        <v/>
      </c>
      <c r="G615" t="n">
        <v>35.165</v>
      </c>
      <c r="H615" t="n">
        <v>86.053</v>
      </c>
      <c r="I615" t="n">
        <v>40.2235</v>
      </c>
      <c r="J615" t="n">
        <v>83.3245</v>
      </c>
      <c r="K615" t="n">
        <v/>
      </c>
    </row>
    <row r="616">
      <c r="A616" s="98" t="n">
        <v>25628</v>
      </c>
      <c r="B616" t="n">
        <v>37.9469</v>
      </c>
      <c r="C616" t="n">
        <v>57.1567</v>
      </c>
      <c r="D616" t="n">
        <v>16.4624</v>
      </c>
      <c r="E616" t="n">
        <v>51.5056</v>
      </c>
      <c r="F616" t="n">
        <v/>
      </c>
      <c r="G616" t="n">
        <v>35.0824</v>
      </c>
      <c r="H616" t="n">
        <v>86.1752</v>
      </c>
      <c r="I616" t="n">
        <v>40.7566</v>
      </c>
      <c r="J616" t="n">
        <v>82.956</v>
      </c>
      <c r="K616" t="n">
        <v/>
      </c>
    </row>
    <row r="617">
      <c r="A617" s="98" t="n">
        <v>25659</v>
      </c>
      <c r="B617" t="n">
        <v>37.8494</v>
      </c>
      <c r="C617" t="n">
        <v>57.7458</v>
      </c>
      <c r="D617" t="n">
        <v>16.4549</v>
      </c>
      <c r="E617" t="n">
        <v>51.7142</v>
      </c>
      <c r="F617" t="n">
        <v/>
      </c>
      <c r="G617" t="n">
        <v>34.8398</v>
      </c>
      <c r="H617" t="n">
        <v>85.8929</v>
      </c>
      <c r="I617" t="n">
        <v>40.993</v>
      </c>
      <c r="J617" t="n">
        <v>82.48480000000001</v>
      </c>
      <c r="K617" t="n">
        <v/>
      </c>
    </row>
    <row r="618">
      <c r="A618" s="98" t="n">
        <v>25689</v>
      </c>
      <c r="B618" t="n">
        <v>37.8053</v>
      </c>
      <c r="C618" t="n">
        <v>57.797</v>
      </c>
      <c r="D618" t="n">
        <v>16.4382</v>
      </c>
      <c r="E618" t="n">
        <v>51.9949</v>
      </c>
      <c r="F618" t="n">
        <v/>
      </c>
      <c r="G618" t="n">
        <v>34.7244</v>
      </c>
      <c r="H618" t="n">
        <v>85.67659999999999</v>
      </c>
      <c r="I618" t="n">
        <v>41.7562</v>
      </c>
      <c r="J618" t="n">
        <v>82.13249999999999</v>
      </c>
      <c r="K618" t="n">
        <v/>
      </c>
    </row>
    <row r="619">
      <c r="A619" s="98" t="n">
        <v>25720</v>
      </c>
      <c r="B619" t="n">
        <v>37.683</v>
      </c>
      <c r="C619" t="n">
        <v>57.5529</v>
      </c>
      <c r="D619" t="n">
        <v>16.3384</v>
      </c>
      <c r="E619" t="n">
        <v>52.1251</v>
      </c>
      <c r="F619" t="n">
        <v/>
      </c>
      <c r="G619" t="n">
        <v>34.5681</v>
      </c>
      <c r="H619" t="n">
        <v>85.4588</v>
      </c>
      <c r="I619" t="n">
        <v>40.9219</v>
      </c>
      <c r="J619" t="n">
        <v>81.61320000000001</v>
      </c>
      <c r="K619" t="n">
        <v/>
      </c>
    </row>
    <row r="620">
      <c r="A620" s="98" t="n">
        <v>25750</v>
      </c>
      <c r="B620" t="n">
        <v>37.7755</v>
      </c>
      <c r="C620" t="n">
        <v>58.2154</v>
      </c>
      <c r="D620" t="n">
        <v>16.2959</v>
      </c>
      <c r="E620" t="n">
        <v>52.2502</v>
      </c>
      <c r="F620" t="n">
        <v/>
      </c>
      <c r="G620" t="n">
        <v>34.7418</v>
      </c>
      <c r="H620" t="n">
        <v>84.6306</v>
      </c>
      <c r="I620" t="n">
        <v>41.5392</v>
      </c>
      <c r="J620" t="n">
        <v>81.5608</v>
      </c>
      <c r="K620" t="n">
        <v/>
      </c>
    </row>
    <row r="621">
      <c r="A621" s="98" t="n">
        <v>25781</v>
      </c>
      <c r="B621" t="n">
        <v>37.7081</v>
      </c>
      <c r="C621" t="n">
        <v>57.9662</v>
      </c>
      <c r="D621" t="n">
        <v>16.2511</v>
      </c>
      <c r="E621" t="n">
        <v>51.3611</v>
      </c>
      <c r="F621" t="n">
        <v/>
      </c>
      <c r="G621" t="n">
        <v>35.1621</v>
      </c>
      <c r="H621" t="n">
        <v>87.05759999999999</v>
      </c>
      <c r="I621" t="n">
        <v>42.0886</v>
      </c>
      <c r="J621" t="n">
        <v>81.1645</v>
      </c>
      <c r="K621" t="n">
        <v/>
      </c>
    </row>
    <row r="622">
      <c r="A622" s="98" t="n">
        <v>25812</v>
      </c>
      <c r="B622" t="n">
        <v>37.4482</v>
      </c>
      <c r="C622" t="n">
        <v>57.8309</v>
      </c>
      <c r="D622" t="n">
        <v>15.9043</v>
      </c>
      <c r="E622" t="n">
        <v>51.1658</v>
      </c>
      <c r="F622" t="n">
        <v/>
      </c>
      <c r="G622" t="n">
        <v>34.9196</v>
      </c>
      <c r="H622" t="n">
        <v>87.96259999999999</v>
      </c>
      <c r="I622" t="n">
        <v>42.3347</v>
      </c>
      <c r="J622" t="n">
        <v>80.3574</v>
      </c>
      <c r="K622" t="n">
        <v/>
      </c>
    </row>
    <row r="623">
      <c r="A623" s="98" t="n">
        <v>25842</v>
      </c>
      <c r="B623" t="n">
        <v>36.6991</v>
      </c>
      <c r="C623" t="n">
        <v>57.2465</v>
      </c>
      <c r="D623" t="n">
        <v>15.3839</v>
      </c>
      <c r="E623" t="n">
        <v>50.5363</v>
      </c>
      <c r="F623" t="n">
        <v/>
      </c>
      <c r="G623" t="n">
        <v>33.9978</v>
      </c>
      <c r="H623" t="n">
        <v>89.51609999999999</v>
      </c>
      <c r="I623" t="n">
        <v>41.7034</v>
      </c>
      <c r="J623" t="n">
        <v>78.50879999999999</v>
      </c>
      <c r="K623" t="n">
        <v/>
      </c>
    </row>
    <row r="624">
      <c r="A624" s="98" t="n">
        <v>25873</v>
      </c>
      <c r="B624" t="n">
        <v>36.4768</v>
      </c>
      <c r="C624" t="n">
        <v>56.5427</v>
      </c>
      <c r="D624" t="n">
        <v>15.2984</v>
      </c>
      <c r="E624" t="n">
        <v>50.1989</v>
      </c>
      <c r="F624" t="n">
        <v/>
      </c>
      <c r="G624" t="n">
        <v>33.7944</v>
      </c>
      <c r="H624" t="n">
        <v>89.56019999999999</v>
      </c>
      <c r="I624" t="n">
        <v>41.883</v>
      </c>
      <c r="J624" t="n">
        <v>77.79510000000001</v>
      </c>
      <c r="K624" t="n">
        <v/>
      </c>
    </row>
    <row r="625">
      <c r="A625" s="98" t="n">
        <v>25903</v>
      </c>
      <c r="B625" t="n">
        <v>37.3145</v>
      </c>
      <c r="C625" t="n">
        <v>57.1667</v>
      </c>
      <c r="D625" t="n">
        <v>15.4937</v>
      </c>
      <c r="E625" t="n">
        <v>52.3617</v>
      </c>
      <c r="F625" t="n">
        <v/>
      </c>
      <c r="G625" t="n">
        <v>34.5591</v>
      </c>
      <c r="H625" t="n">
        <v>89.017</v>
      </c>
      <c r="I625" t="n">
        <v>41.8369</v>
      </c>
      <c r="J625" t="n">
        <v>79.3394</v>
      </c>
      <c r="K625" t="n">
        <v/>
      </c>
    </row>
    <row r="626">
      <c r="A626" s="98" t="n">
        <v>25934</v>
      </c>
      <c r="B626" t="n">
        <v>37.6015</v>
      </c>
      <c r="C626" t="n">
        <v>57.2203</v>
      </c>
      <c r="D626" t="n">
        <v>15.1548</v>
      </c>
      <c r="E626" t="n">
        <v>53.1439</v>
      </c>
      <c r="F626" t="n">
        <v/>
      </c>
      <c r="G626" t="n">
        <v>35.0416</v>
      </c>
      <c r="H626" t="n">
        <v>87.63379999999999</v>
      </c>
      <c r="I626" t="n">
        <v>42.8789</v>
      </c>
      <c r="J626" t="n">
        <v>79.7259</v>
      </c>
      <c r="K626" t="n">
        <v/>
      </c>
    </row>
    <row r="627">
      <c r="A627" s="98" t="n">
        <v>25965</v>
      </c>
      <c r="B627" t="n">
        <v>37.5299</v>
      </c>
      <c r="C627" t="n">
        <v>57.5927</v>
      </c>
      <c r="D627" t="n">
        <v>15.2392</v>
      </c>
      <c r="E627" t="n">
        <v>53.1141</v>
      </c>
      <c r="F627" t="n">
        <v/>
      </c>
      <c r="G627" t="n">
        <v>34.8339</v>
      </c>
      <c r="H627" t="n">
        <v>86.1108</v>
      </c>
      <c r="I627" t="n">
        <v>42.6197</v>
      </c>
      <c r="J627" t="n">
        <v>79.3711</v>
      </c>
      <c r="K627" t="n">
        <v/>
      </c>
    </row>
    <row r="628">
      <c r="A628" s="98" t="n">
        <v>25993</v>
      </c>
      <c r="B628" t="n">
        <v>37.4892</v>
      </c>
      <c r="C628" t="n">
        <v>57.3698</v>
      </c>
      <c r="D628" t="n">
        <v>15.0864</v>
      </c>
      <c r="E628" t="n">
        <v>53.2657</v>
      </c>
      <c r="F628" t="n">
        <v/>
      </c>
      <c r="G628" t="n">
        <v>34.9004</v>
      </c>
      <c r="H628" t="n">
        <v>86.4248</v>
      </c>
      <c r="I628" t="n">
        <v>42.9815</v>
      </c>
      <c r="J628" t="n">
        <v>79.0831</v>
      </c>
      <c r="K628" t="n">
        <v/>
      </c>
    </row>
    <row r="629">
      <c r="A629" s="98" t="n">
        <v>26024</v>
      </c>
      <c r="B629" t="n">
        <v>37.6998</v>
      </c>
      <c r="C629" t="n">
        <v>57.9051</v>
      </c>
      <c r="D629" t="n">
        <v>14.9963</v>
      </c>
      <c r="E629" t="n">
        <v>53.7018</v>
      </c>
      <c r="F629" t="n">
        <v/>
      </c>
      <c r="G629" t="n">
        <v>35.1312</v>
      </c>
      <c r="H629" t="n">
        <v>86.6528</v>
      </c>
      <c r="I629" t="n">
        <v>43.1237</v>
      </c>
      <c r="J629" t="n">
        <v>79.3252</v>
      </c>
      <c r="K629" t="n">
        <v/>
      </c>
    </row>
    <row r="630">
      <c r="A630" s="98" t="n">
        <v>26054</v>
      </c>
      <c r="B630" t="n">
        <v>37.8911</v>
      </c>
      <c r="C630" t="n">
        <v>58.177</v>
      </c>
      <c r="D630" t="n">
        <v>14.8935</v>
      </c>
      <c r="E630" t="n">
        <v>53.7483</v>
      </c>
      <c r="F630" t="n">
        <v/>
      </c>
      <c r="G630" t="n">
        <v>35.5449</v>
      </c>
      <c r="H630" t="n">
        <v>86.4687</v>
      </c>
      <c r="I630" t="n">
        <v>43.4964</v>
      </c>
      <c r="J630" t="n">
        <v>79.5256</v>
      </c>
      <c r="K630" t="n">
        <v/>
      </c>
    </row>
    <row r="631">
      <c r="A631" s="98" t="n">
        <v>26085</v>
      </c>
      <c r="B631" t="n">
        <v>38.05</v>
      </c>
      <c r="C631" t="n">
        <v>58.8305</v>
      </c>
      <c r="D631" t="n">
        <v>14.9677</v>
      </c>
      <c r="E631" t="n">
        <v>54.1472</v>
      </c>
      <c r="F631" t="n">
        <v/>
      </c>
      <c r="G631" t="n">
        <v>35.7046</v>
      </c>
      <c r="H631" t="n">
        <v>86.2167</v>
      </c>
      <c r="I631" t="n">
        <v>43.8424</v>
      </c>
      <c r="J631" t="n">
        <v>79.6572</v>
      </c>
      <c r="K631" t="n">
        <v/>
      </c>
    </row>
    <row r="632">
      <c r="A632" s="98" t="n">
        <v>26115</v>
      </c>
      <c r="B632" t="n">
        <v>37.9395</v>
      </c>
      <c r="C632" t="n">
        <v>59.3493</v>
      </c>
      <c r="D632" t="n">
        <v>14.9922</v>
      </c>
      <c r="E632" t="n">
        <v>54.9851</v>
      </c>
      <c r="F632" t="n">
        <v/>
      </c>
      <c r="G632" t="n">
        <v>34.843</v>
      </c>
      <c r="H632" t="n">
        <v>83.4181</v>
      </c>
      <c r="I632" t="n">
        <v>43.6378</v>
      </c>
      <c r="J632" t="n">
        <v>79.2256</v>
      </c>
      <c r="K632" t="n">
        <v/>
      </c>
    </row>
    <row r="633">
      <c r="A633" s="98" t="n">
        <v>26146</v>
      </c>
      <c r="B633" t="n">
        <v>37.7193</v>
      </c>
      <c r="C633" t="n">
        <v>58.3145</v>
      </c>
      <c r="D633" t="n">
        <v>15.2206</v>
      </c>
      <c r="E633" t="n">
        <v>54.3558</v>
      </c>
      <c r="F633" t="n">
        <v/>
      </c>
      <c r="G633" t="n">
        <v>34.638</v>
      </c>
      <c r="H633" t="n">
        <v>85.2046</v>
      </c>
      <c r="I633" t="n">
        <v>43.2726</v>
      </c>
      <c r="J633" t="n">
        <v>78.5675</v>
      </c>
      <c r="K633" t="n">
        <v/>
      </c>
    </row>
    <row r="634">
      <c r="A634" s="98" t="n">
        <v>26177</v>
      </c>
      <c r="B634" t="n">
        <v>38.3324</v>
      </c>
      <c r="C634" t="n">
        <v>60.4827</v>
      </c>
      <c r="D634" t="n">
        <v>15.5705</v>
      </c>
      <c r="E634" t="n">
        <v>54.8568</v>
      </c>
      <c r="F634" t="n">
        <v/>
      </c>
      <c r="G634" t="n">
        <v>35.3008</v>
      </c>
      <c r="H634" t="n">
        <v>84.65009999999999</v>
      </c>
      <c r="I634" t="n">
        <v>43.5242</v>
      </c>
      <c r="J634" t="n">
        <v>79.64400000000001</v>
      </c>
      <c r="K634" t="n">
        <v/>
      </c>
    </row>
    <row r="635">
      <c r="A635" s="98" t="n">
        <v>26207</v>
      </c>
      <c r="B635" t="n">
        <v>38.6193</v>
      </c>
      <c r="C635" t="n">
        <v>61.3278</v>
      </c>
      <c r="D635" t="n">
        <v>15.7229</v>
      </c>
      <c r="E635" t="n">
        <v>55.5988</v>
      </c>
      <c r="F635" t="n">
        <v/>
      </c>
      <c r="G635" t="n">
        <v>35.4064</v>
      </c>
      <c r="H635" t="n">
        <v>77.57550000000001</v>
      </c>
      <c r="I635" t="n">
        <v>44.1514</v>
      </c>
      <c r="J635" t="n">
        <v>80.03919999999999</v>
      </c>
      <c r="K635" t="n">
        <v/>
      </c>
    </row>
    <row r="636">
      <c r="A636" s="98" t="n">
        <v>26238</v>
      </c>
      <c r="B636" t="n">
        <v>38.7832</v>
      </c>
      <c r="C636" t="n">
        <v>61.5199</v>
      </c>
      <c r="D636" t="n">
        <v>15.7947</v>
      </c>
      <c r="E636" t="n">
        <v>56.0411</v>
      </c>
      <c r="F636" t="n">
        <v/>
      </c>
      <c r="G636" t="n">
        <v>35.4661</v>
      </c>
      <c r="H636" t="n">
        <v>80.68689999999999</v>
      </c>
      <c r="I636" t="n">
        <v>43.5239</v>
      </c>
      <c r="J636" t="n">
        <v>80.1781</v>
      </c>
      <c r="K636" t="n">
        <v/>
      </c>
    </row>
    <row r="637">
      <c r="A637" s="98" t="n">
        <v>26268</v>
      </c>
      <c r="B637" t="n">
        <v>39.2309</v>
      </c>
      <c r="C637" t="n">
        <v>62.572</v>
      </c>
      <c r="D637" t="n">
        <v>15.8833</v>
      </c>
      <c r="E637" t="n">
        <v>56.4184</v>
      </c>
      <c r="F637" t="n">
        <v/>
      </c>
      <c r="G637" t="n">
        <v>36.1957</v>
      </c>
      <c r="H637" t="n">
        <v>86.04900000000001</v>
      </c>
      <c r="I637" t="n">
        <v>43.2753</v>
      </c>
      <c r="J637" t="n">
        <v>80.9015</v>
      </c>
      <c r="K637" t="n">
        <v/>
      </c>
    </row>
    <row r="638">
      <c r="A638" s="98" t="n">
        <v>26299</v>
      </c>
      <c r="B638" t="n">
        <v>40.1688</v>
      </c>
      <c r="C638" t="n">
        <v>64.27160000000001</v>
      </c>
      <c r="D638" t="n">
        <v>16.3923</v>
      </c>
      <c r="E638" t="n">
        <v>57.2599</v>
      </c>
      <c r="F638" t="n">
        <v>36.0427</v>
      </c>
      <c r="G638" t="n">
        <v>37.3189</v>
      </c>
      <c r="H638" t="n">
        <v>86.3601</v>
      </c>
      <c r="I638" t="n">
        <v>44.073</v>
      </c>
      <c r="J638" t="n">
        <v>82.6258</v>
      </c>
      <c r="K638" t="n">
        <v/>
      </c>
    </row>
    <row r="639">
      <c r="A639" s="98" t="n">
        <v>26330</v>
      </c>
      <c r="B639" t="n">
        <v>40.5837</v>
      </c>
      <c r="C639" t="n">
        <v>64.5659</v>
      </c>
      <c r="D639" t="n">
        <v>16.6636</v>
      </c>
      <c r="E639" t="n">
        <v>57.6195</v>
      </c>
      <c r="F639" t="n">
        <v>36.3288</v>
      </c>
      <c r="G639" t="n">
        <v>37.7376</v>
      </c>
      <c r="H639" t="n">
        <v>85.4537</v>
      </c>
      <c r="I639" t="n">
        <v>46.1374</v>
      </c>
      <c r="J639" t="n">
        <v>83.285</v>
      </c>
      <c r="K639" t="n">
        <v/>
      </c>
    </row>
    <row r="640">
      <c r="A640" s="98" t="n">
        <v>26359</v>
      </c>
      <c r="B640" t="n">
        <v>40.8655</v>
      </c>
      <c r="C640" t="n">
        <v>65.0252</v>
      </c>
      <c r="D640" t="n">
        <v>16.8662</v>
      </c>
      <c r="E640" t="n">
        <v>57.5978</v>
      </c>
      <c r="F640" t="n">
        <v>36.5734</v>
      </c>
      <c r="G640" t="n">
        <v>38.1111</v>
      </c>
      <c r="H640" t="n">
        <v>86.0754</v>
      </c>
      <c r="I640" t="n">
        <v>46.3437</v>
      </c>
      <c r="J640" t="n">
        <v>83.6643</v>
      </c>
      <c r="K640" t="n">
        <v/>
      </c>
    </row>
    <row r="641">
      <c r="A641" s="98" t="n">
        <v>26390</v>
      </c>
      <c r="B641" t="n">
        <v>41.2656</v>
      </c>
      <c r="C641" t="n">
        <v>65.74120000000001</v>
      </c>
      <c r="D641" t="n">
        <v>17.1459</v>
      </c>
      <c r="E641" t="n">
        <v>58.2688</v>
      </c>
      <c r="F641" t="n">
        <v>36.982</v>
      </c>
      <c r="G641" t="n">
        <v>38.4569</v>
      </c>
      <c r="H641" t="n">
        <v>86.96339999999999</v>
      </c>
      <c r="I641" t="n">
        <v>46.2177</v>
      </c>
      <c r="J641" t="n">
        <v>84.2783</v>
      </c>
      <c r="K641" t="n">
        <v/>
      </c>
    </row>
    <row r="642">
      <c r="A642" s="98" t="n">
        <v>26420</v>
      </c>
      <c r="B642" t="n">
        <v>41.2706</v>
      </c>
      <c r="C642" t="n">
        <v>66.0842</v>
      </c>
      <c r="D642" t="n">
        <v>17.1372</v>
      </c>
      <c r="E642" t="n">
        <v>58.0142</v>
      </c>
      <c r="F642" t="n">
        <v>37.0537</v>
      </c>
      <c r="G642" t="n">
        <v>38.5451</v>
      </c>
      <c r="H642" t="n">
        <v>86.2223</v>
      </c>
      <c r="I642" t="n">
        <v>45.6413</v>
      </c>
      <c r="J642" t="n">
        <v>84.0812</v>
      </c>
      <c r="K642" t="n">
        <v/>
      </c>
    </row>
    <row r="643">
      <c r="A643" s="98" t="n">
        <v>26451</v>
      </c>
      <c r="B643" t="n">
        <v>41.3786</v>
      </c>
      <c r="C643" t="n">
        <v>66.6507</v>
      </c>
      <c r="D643" t="n">
        <v>17.1982</v>
      </c>
      <c r="E643" t="n">
        <v>58.0391</v>
      </c>
      <c r="F643" t="n">
        <v>37.1634</v>
      </c>
      <c r="G643" t="n">
        <v>38.6086</v>
      </c>
      <c r="H643" t="n">
        <v>86.29559999999999</v>
      </c>
      <c r="I643" t="n">
        <v>45.3364</v>
      </c>
      <c r="J643" t="n">
        <v>84.089</v>
      </c>
      <c r="K643" t="n">
        <v/>
      </c>
    </row>
    <row r="644">
      <c r="A644" s="98" t="n">
        <v>26481</v>
      </c>
      <c r="B644" t="n">
        <v>41.3347</v>
      </c>
      <c r="C644" t="n">
        <v>67.55629999999999</v>
      </c>
      <c r="D644" t="n">
        <v>17.1943</v>
      </c>
      <c r="E644" t="n">
        <v>58.4712</v>
      </c>
      <c r="F644" t="n">
        <v>37.1534</v>
      </c>
      <c r="G644" t="n">
        <v>38.2971</v>
      </c>
      <c r="H644" t="n">
        <v>86.1264</v>
      </c>
      <c r="I644" t="n">
        <v>44.8827</v>
      </c>
      <c r="J644" t="n">
        <v>83.7837</v>
      </c>
      <c r="K644" t="n">
        <v/>
      </c>
    </row>
    <row r="645">
      <c r="A645" s="98" t="n">
        <v>26512</v>
      </c>
      <c r="B645" t="n">
        <v>41.9046</v>
      </c>
      <c r="C645" t="n">
        <v>68.04179999999999</v>
      </c>
      <c r="D645" t="n">
        <v>17.5533</v>
      </c>
      <c r="E645" t="n">
        <v>59.1054</v>
      </c>
      <c r="F645" t="n">
        <v>37.6508</v>
      </c>
      <c r="G645" t="n">
        <v>38.9065</v>
      </c>
      <c r="H645" t="n">
        <v>87.1159</v>
      </c>
      <c r="I645" t="n">
        <v>45.8258</v>
      </c>
      <c r="J645" t="n">
        <v>84.7127</v>
      </c>
      <c r="K645" t="n">
        <v/>
      </c>
    </row>
    <row r="646">
      <c r="A646" s="98" t="n">
        <v>26543</v>
      </c>
      <c r="B646" t="n">
        <v>42.2284</v>
      </c>
      <c r="C646" t="n">
        <v>68.6528</v>
      </c>
      <c r="D646" t="n">
        <v>17.699</v>
      </c>
      <c r="E646" t="n">
        <v>59.4319</v>
      </c>
      <c r="F646" t="n">
        <v>37.9189</v>
      </c>
      <c r="G646" t="n">
        <v>39.2951</v>
      </c>
      <c r="H646" t="n">
        <v>87.233</v>
      </c>
      <c r="I646" t="n">
        <v>46.3742</v>
      </c>
      <c r="J646" t="n">
        <v>85.131</v>
      </c>
      <c r="K646" t="n">
        <v/>
      </c>
    </row>
    <row r="647">
      <c r="A647" s="98" t="n">
        <v>26573</v>
      </c>
      <c r="B647" t="n">
        <v>42.7745</v>
      </c>
      <c r="C647" t="n">
        <v>69.69629999999999</v>
      </c>
      <c r="D647" t="n">
        <v>18.0627</v>
      </c>
      <c r="E647" t="n">
        <v>60.2839</v>
      </c>
      <c r="F647" t="n">
        <v>38.487</v>
      </c>
      <c r="G647" t="n">
        <v>39.68</v>
      </c>
      <c r="H647" t="n">
        <v>86.8625</v>
      </c>
      <c r="I647" t="n">
        <v>46.8918</v>
      </c>
      <c r="J647" t="n">
        <v>85.9834</v>
      </c>
      <c r="K647" t="n">
        <v/>
      </c>
    </row>
    <row r="648">
      <c r="A648" s="98" t="n">
        <v>26604</v>
      </c>
      <c r="B648" t="n">
        <v>43.2795</v>
      </c>
      <c r="C648" t="n">
        <v>70.17400000000001</v>
      </c>
      <c r="D648" t="n">
        <v>18.3796</v>
      </c>
      <c r="E648" t="n">
        <v>60.7095</v>
      </c>
      <c r="F648" t="n">
        <v>38.9853</v>
      </c>
      <c r="G648" t="n">
        <v>40.264</v>
      </c>
      <c r="H648" t="n">
        <v>86.8057</v>
      </c>
      <c r="I648" t="n">
        <v>47.6285</v>
      </c>
      <c r="J648" t="n">
        <v>86.7375</v>
      </c>
      <c r="K648" t="n">
        <v/>
      </c>
    </row>
    <row r="649">
      <c r="A649" s="98" t="n">
        <v>26634</v>
      </c>
      <c r="B649" t="n">
        <v>43.7695</v>
      </c>
      <c r="C649" t="n">
        <v>69.9481</v>
      </c>
      <c r="D649" t="n">
        <v>18.6132</v>
      </c>
      <c r="E649" t="n">
        <v>61.2107</v>
      </c>
      <c r="F649" t="n">
        <v>39.5493</v>
      </c>
      <c r="G649" t="n">
        <v>40.9065</v>
      </c>
      <c r="H649" t="n">
        <v>86.6814</v>
      </c>
      <c r="I649" t="n">
        <v>47.6589</v>
      </c>
      <c r="J649" t="n">
        <v>87.4478</v>
      </c>
      <c r="K649" t="n">
        <v/>
      </c>
    </row>
    <row r="650">
      <c r="A650" s="98" t="n">
        <v>26665</v>
      </c>
      <c r="B650" t="n">
        <v>44.0847</v>
      </c>
      <c r="C650" t="n">
        <v>70.77849999999999</v>
      </c>
      <c r="D650" t="n">
        <v>18.922</v>
      </c>
      <c r="E650" t="n">
        <v>61.1048</v>
      </c>
      <c r="F650" t="n">
        <v>39.8491</v>
      </c>
      <c r="G650" t="n">
        <v>41.2784</v>
      </c>
      <c r="H650" t="n">
        <v>86.74469999999999</v>
      </c>
      <c r="I650" t="n">
        <v>48.0365</v>
      </c>
      <c r="J650" t="n">
        <v>87.8002</v>
      </c>
      <c r="K650" t="n">
        <v/>
      </c>
    </row>
    <row r="651">
      <c r="A651" s="98" t="n">
        <v>26696</v>
      </c>
      <c r="B651" t="n">
        <v>44.7242</v>
      </c>
      <c r="C651" t="n">
        <v>72.0883</v>
      </c>
      <c r="D651" t="n">
        <v>19.3136</v>
      </c>
      <c r="E651" t="n">
        <v>61.8662</v>
      </c>
      <c r="F651" t="n">
        <v>40.4859</v>
      </c>
      <c r="G651" t="n">
        <v>41.8955</v>
      </c>
      <c r="H651" t="n">
        <v>86.8609</v>
      </c>
      <c r="I651" t="n">
        <v>48.4178</v>
      </c>
      <c r="J651" t="n">
        <v>88.78489999999999</v>
      </c>
      <c r="K651" t="n">
        <v/>
      </c>
    </row>
    <row r="652">
      <c r="A652" s="98" t="n">
        <v>26724</v>
      </c>
      <c r="B652" t="n">
        <v>44.7435</v>
      </c>
      <c r="C652" t="n">
        <v>72.5087</v>
      </c>
      <c r="D652" t="n">
        <v>19.4682</v>
      </c>
      <c r="E652" t="n">
        <v>62.0317</v>
      </c>
      <c r="F652" t="n">
        <v>40.561</v>
      </c>
      <c r="G652" t="n">
        <v>41.7652</v>
      </c>
      <c r="H652" t="n">
        <v>85.989</v>
      </c>
      <c r="I652" t="n">
        <v>48.0932</v>
      </c>
      <c r="J652" t="n">
        <v>88.5283</v>
      </c>
      <c r="K652" t="n">
        <v/>
      </c>
    </row>
    <row r="653">
      <c r="A653" s="98"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8" t="n">
        <v>26785</v>
      </c>
      <c r="B654" t="n">
        <v>44.9741</v>
      </c>
      <c r="C654" t="n">
        <v>72.7092</v>
      </c>
      <c r="D654" t="n">
        <v>19.8283</v>
      </c>
      <c r="E654" t="n">
        <v>61.7602</v>
      </c>
      <c r="F654" t="n">
        <v>40.768</v>
      </c>
      <c r="G654" t="n">
        <v>42.1229</v>
      </c>
      <c r="H654" t="n">
        <v>86.1245</v>
      </c>
      <c r="I654" t="n">
        <v>48.7703</v>
      </c>
      <c r="J654" t="n">
        <v>88.3831</v>
      </c>
      <c r="K654" t="n">
        <v/>
      </c>
    </row>
    <row r="655">
      <c r="A655" s="98" t="n">
        <v>26816</v>
      </c>
      <c r="B655" t="n">
        <v>45.0257</v>
      </c>
      <c r="C655" t="n">
        <v>72.88800000000001</v>
      </c>
      <c r="D655" t="n">
        <v>20.0275</v>
      </c>
      <c r="E655" t="n">
        <v>61.3513</v>
      </c>
      <c r="F655" t="n">
        <v>40.7744</v>
      </c>
      <c r="G655" t="n">
        <v>42.2142</v>
      </c>
      <c r="H655" t="n">
        <v>86.43429999999999</v>
      </c>
      <c r="I655" t="n">
        <v>49.3794</v>
      </c>
      <c r="J655" t="n">
        <v>88.1789</v>
      </c>
      <c r="K655" t="n">
        <v/>
      </c>
    </row>
    <row r="656">
      <c r="A656" s="98" t="n">
        <v>26846</v>
      </c>
      <c r="B656" t="n">
        <v>45.1952</v>
      </c>
      <c r="C656" t="n">
        <v>73.4736</v>
      </c>
      <c r="D656" t="n">
        <v>20.2707</v>
      </c>
      <c r="E656" t="n">
        <v>61.1928</v>
      </c>
      <c r="F656" t="n">
        <v>40.9621</v>
      </c>
      <c r="G656" t="n">
        <v>42.38</v>
      </c>
      <c r="H656" t="n">
        <v>87.8378</v>
      </c>
      <c r="I656" t="n">
        <v>48.8139</v>
      </c>
      <c r="J656" t="n">
        <v>88.2073</v>
      </c>
      <c r="K656" t="n">
        <v/>
      </c>
    </row>
    <row r="657">
      <c r="A657" s="98" t="n">
        <v>26877</v>
      </c>
      <c r="B657" t="n">
        <v>45.1308</v>
      </c>
      <c r="C657" t="n">
        <v>73.5398</v>
      </c>
      <c r="D657" t="n">
        <v>20.3236</v>
      </c>
      <c r="E657" t="n">
        <v>60.6269</v>
      </c>
      <c r="F657" t="n">
        <v>40.8521</v>
      </c>
      <c r="G657" t="n">
        <v>42.4336</v>
      </c>
      <c r="H657" t="n">
        <v>87.9631</v>
      </c>
      <c r="I657" t="n">
        <v>49.2595</v>
      </c>
      <c r="J657" t="n">
        <v>87.7833</v>
      </c>
      <c r="K657" t="n">
        <v/>
      </c>
    </row>
    <row r="658">
      <c r="A658" s="98" t="n">
        <v>26908</v>
      </c>
      <c r="B658" t="n">
        <v>45.4862</v>
      </c>
      <c r="C658" t="n">
        <v>73.42870000000001</v>
      </c>
      <c r="D658" t="n">
        <v>20.6678</v>
      </c>
      <c r="E658" t="n">
        <v>61.5627</v>
      </c>
      <c r="F658" t="n">
        <v>41.1894</v>
      </c>
      <c r="G658" t="n">
        <v>42.6164</v>
      </c>
      <c r="H658" t="n">
        <v>87.1628</v>
      </c>
      <c r="I658" t="n">
        <v>50.5654</v>
      </c>
      <c r="J658" t="n">
        <v>88.17959999999999</v>
      </c>
      <c r="K658" t="n">
        <v/>
      </c>
    </row>
    <row r="659">
      <c r="A659" s="98" t="n">
        <v>26938</v>
      </c>
      <c r="B659" t="n">
        <v>45.8531</v>
      </c>
      <c r="C659" t="n">
        <v>73.404</v>
      </c>
      <c r="D659" t="n">
        <v>20.9655</v>
      </c>
      <c r="E659" t="n">
        <v>61.8275</v>
      </c>
      <c r="F659" t="n">
        <v>41.5971</v>
      </c>
      <c r="G659" t="n">
        <v>42.9657</v>
      </c>
      <c r="H659" t="n">
        <v>87.4406</v>
      </c>
      <c r="I659" t="n">
        <v>50.2493</v>
      </c>
      <c r="J659" t="n">
        <v>88.6003</v>
      </c>
      <c r="K659" t="n">
        <v/>
      </c>
    </row>
    <row r="660">
      <c r="A660" s="98" t="n">
        <v>26969</v>
      </c>
      <c r="B660" t="n">
        <v>46.0654</v>
      </c>
      <c r="C660" t="n">
        <v>73.91030000000001</v>
      </c>
      <c r="D660" t="n">
        <v>21.1127</v>
      </c>
      <c r="E660" t="n">
        <v>62.0231</v>
      </c>
      <c r="F660" t="n">
        <v>41.8856</v>
      </c>
      <c r="G660" t="n">
        <v>43.2241</v>
      </c>
      <c r="H660" t="n">
        <v>87.084</v>
      </c>
      <c r="I660" t="n">
        <v>49.4727</v>
      </c>
      <c r="J660" t="n">
        <v>88.7268</v>
      </c>
      <c r="K660" t="n">
        <v/>
      </c>
    </row>
    <row r="661">
      <c r="A661" s="98" t="n">
        <v>26999</v>
      </c>
      <c r="B661" t="n">
        <v>45.9344</v>
      </c>
      <c r="C661" t="n">
        <v>74.467</v>
      </c>
      <c r="D661" t="n">
        <v>21.1912</v>
      </c>
      <c r="E661" t="n">
        <v>60.9131</v>
      </c>
      <c r="F661" t="n">
        <v>41.8901</v>
      </c>
      <c r="G661" t="n">
        <v>43.3735</v>
      </c>
      <c r="H661" t="n">
        <v>88.20740000000001</v>
      </c>
      <c r="I661" t="n">
        <v>46.6888</v>
      </c>
      <c r="J661" t="n">
        <v>88.2022</v>
      </c>
      <c r="K661" t="n">
        <v/>
      </c>
    </row>
    <row r="662">
      <c r="A662" s="98" t="n">
        <v>27030</v>
      </c>
      <c r="B662" t="n">
        <v>45.6298</v>
      </c>
      <c r="C662" t="n">
        <v>74.625</v>
      </c>
      <c r="D662" t="n">
        <v>21.1739</v>
      </c>
      <c r="E662" t="n">
        <v>60.1199</v>
      </c>
      <c r="F662" t="n">
        <v>41.5396</v>
      </c>
      <c r="G662" t="n">
        <v>43.0542</v>
      </c>
      <c r="H662" t="n">
        <v>87.9708</v>
      </c>
      <c r="I662" t="n">
        <v>46.8615</v>
      </c>
      <c r="J662" t="n">
        <v>87.3535</v>
      </c>
      <c r="K662" t="n">
        <v>49.7</v>
      </c>
    </row>
    <row r="663">
      <c r="A663" s="98" t="n">
        <v>27061</v>
      </c>
      <c r="B663" t="n">
        <v>45.4951</v>
      </c>
      <c r="C663" t="n">
        <v>73.7182</v>
      </c>
      <c r="D663" t="n">
        <v>21.0939</v>
      </c>
      <c r="E663" t="n">
        <v>59.9222</v>
      </c>
      <c r="F663" t="n">
        <v>41.3683</v>
      </c>
      <c r="G663" t="n">
        <v>42.9732</v>
      </c>
      <c r="H663" t="n">
        <v>87.9877</v>
      </c>
      <c r="I663" t="n">
        <v>47.0639</v>
      </c>
      <c r="J663" t="n">
        <v>86.8441</v>
      </c>
      <c r="K663" t="n">
        <v>50</v>
      </c>
    </row>
    <row r="664">
      <c r="A664" s="98" t="n">
        <v>27089</v>
      </c>
      <c r="B664" t="n">
        <v>45.4952</v>
      </c>
      <c r="C664" t="n">
        <v>73.8882</v>
      </c>
      <c r="D664" t="n">
        <v>21.2817</v>
      </c>
      <c r="E664" t="n">
        <v>60.0319</v>
      </c>
      <c r="F664" t="n">
        <v>41.3479</v>
      </c>
      <c r="G664" t="n">
        <v>42.8272</v>
      </c>
      <c r="H664" t="n">
        <v>87.23439999999999</v>
      </c>
      <c r="I664" t="n">
        <v>48.0707</v>
      </c>
      <c r="J664" t="n">
        <v>86.6033</v>
      </c>
      <c r="K664" t="n">
        <v>50.5</v>
      </c>
    </row>
    <row r="665">
      <c r="A665" s="98" t="n">
        <v>27120</v>
      </c>
      <c r="B665" t="n">
        <v>45.3625</v>
      </c>
      <c r="C665" t="n">
        <v>73.2333</v>
      </c>
      <c r="D665" t="n">
        <v>21.0441</v>
      </c>
      <c r="E665" t="n">
        <v>59.8373</v>
      </c>
      <c r="F665" t="n">
        <v>41.1713</v>
      </c>
      <c r="G665" t="n">
        <v>42.7708</v>
      </c>
      <c r="H665" t="n">
        <v>87.03879999999999</v>
      </c>
      <c r="I665" t="n">
        <v>48.6411</v>
      </c>
      <c r="J665" t="n">
        <v>86.1238</v>
      </c>
      <c r="K665" t="n">
        <v>51.1</v>
      </c>
    </row>
    <row r="666">
      <c r="A666" s="98" t="n">
        <v>27150</v>
      </c>
      <c r="B666" t="n">
        <v>45.7241</v>
      </c>
      <c r="C666" t="n">
        <v>73.5543</v>
      </c>
      <c r="D666" t="n">
        <v>21.3799</v>
      </c>
      <c r="E666" t="n">
        <v>60.4217</v>
      </c>
      <c r="F666" t="n">
        <v>41.4615</v>
      </c>
      <c r="G666" t="n">
        <v>43.0506</v>
      </c>
      <c r="H666" t="n">
        <v>87.6915</v>
      </c>
      <c r="I666" t="n">
        <v>49.2537</v>
      </c>
      <c r="J666" t="n">
        <v>86.5925</v>
      </c>
      <c r="K666" t="n">
        <v>52.2</v>
      </c>
    </row>
    <row r="667">
      <c r="A667" s="98" t="n">
        <v>27181</v>
      </c>
      <c r="B667" t="n">
        <v>45.639</v>
      </c>
      <c r="C667" t="n">
        <v>73.1251</v>
      </c>
      <c r="D667" t="n">
        <v>21.4052</v>
      </c>
      <c r="E667" t="n">
        <v>60.6175</v>
      </c>
      <c r="F667" t="n">
        <v>41.4823</v>
      </c>
      <c r="G667" t="n">
        <v>42.8378</v>
      </c>
      <c r="H667" t="n">
        <v>86.2839</v>
      </c>
      <c r="I667" t="n">
        <v>48.7824</v>
      </c>
      <c r="J667" t="n">
        <v>86.2239</v>
      </c>
      <c r="K667" t="n">
        <v>53.1</v>
      </c>
    </row>
    <row r="668">
      <c r="A668" s="98" t="n">
        <v>27211</v>
      </c>
      <c r="B668" t="n">
        <v>45.7193</v>
      </c>
      <c r="C668" t="n">
        <v>71.7873</v>
      </c>
      <c r="D668" t="n">
        <v>21.4634</v>
      </c>
      <c r="E668" t="n">
        <v>60.594</v>
      </c>
      <c r="F668" t="n">
        <v>41.4625</v>
      </c>
      <c r="G668" t="n">
        <v>43.0786</v>
      </c>
      <c r="H668" t="n">
        <v>86.7998</v>
      </c>
      <c r="I668" t="n">
        <v>49.8492</v>
      </c>
      <c r="J668" t="n">
        <v>86.1801</v>
      </c>
      <c r="K668" t="n">
        <v>54</v>
      </c>
    </row>
    <row r="669">
      <c r="A669" s="98" t="n">
        <v>27242</v>
      </c>
      <c r="B669" t="n">
        <v>45.2357</v>
      </c>
      <c r="C669" t="n">
        <v>70.84739999999999</v>
      </c>
      <c r="D669" t="n">
        <v>21.3796</v>
      </c>
      <c r="E669" t="n">
        <v>60.5099</v>
      </c>
      <c r="F669" t="n">
        <v>41.0702</v>
      </c>
      <c r="G669" t="n">
        <v>42.3027</v>
      </c>
      <c r="H669" t="n">
        <v>84.3689</v>
      </c>
      <c r="I669" t="n">
        <v>49.4197</v>
      </c>
      <c r="J669" t="n">
        <v>85.0853</v>
      </c>
      <c r="K669" t="n">
        <v>55</v>
      </c>
    </row>
    <row r="670">
      <c r="A670" s="98" t="n">
        <v>27273</v>
      </c>
      <c r="B670" t="n">
        <v>45.2421</v>
      </c>
      <c r="C670" t="n">
        <v>70.37130000000001</v>
      </c>
      <c r="D670" t="n">
        <v>21.7684</v>
      </c>
      <c r="E670" t="n">
        <v>59.9866</v>
      </c>
      <c r="F670" t="n">
        <v>41.1255</v>
      </c>
      <c r="G670" t="n">
        <v>42.3892</v>
      </c>
      <c r="H670" t="n">
        <v>85.4085</v>
      </c>
      <c r="I670" t="n">
        <v>48.7657</v>
      </c>
      <c r="J670" t="n">
        <v>84.9226</v>
      </c>
      <c r="K670" t="n">
        <v>55.7</v>
      </c>
    </row>
    <row r="671">
      <c r="A671" s="98" t="n">
        <v>27303</v>
      </c>
      <c r="B671" t="n">
        <v>45.1011</v>
      </c>
      <c r="C671" t="n">
        <v>69.11879999999999</v>
      </c>
      <c r="D671" t="n">
        <v>21.7879</v>
      </c>
      <c r="E671" t="n">
        <v>60.0019</v>
      </c>
      <c r="F671" t="n">
        <v>40.8343</v>
      </c>
      <c r="G671" t="n">
        <v>42.1838</v>
      </c>
      <c r="H671" t="n">
        <v>86.1568</v>
      </c>
      <c r="I671" t="n">
        <v>50.0111</v>
      </c>
      <c r="J671" t="n">
        <v>84.49079999999999</v>
      </c>
      <c r="K671" t="n">
        <v>56.7</v>
      </c>
    </row>
    <row r="672">
      <c r="A672" s="98" t="n">
        <v>27334</v>
      </c>
      <c r="B672" t="n">
        <v>43.6158</v>
      </c>
      <c r="C672" t="n">
        <v>66.9421</v>
      </c>
      <c r="D672" t="n">
        <v>21.4692</v>
      </c>
      <c r="E672" t="n">
        <v>58.3066</v>
      </c>
      <c r="F672" t="n">
        <v>39.5796</v>
      </c>
      <c r="G672" t="n">
        <v>40.3917</v>
      </c>
      <c r="H672" t="n">
        <v>79.8484</v>
      </c>
      <c r="I672" t="n">
        <v>48.9591</v>
      </c>
      <c r="J672" t="n">
        <v>81.5578</v>
      </c>
      <c r="K672" t="n">
        <v>57.4</v>
      </c>
    </row>
    <row r="673">
      <c r="A673" s="98" t="n">
        <v>27364</v>
      </c>
      <c r="B673" t="n">
        <v>42.0553</v>
      </c>
      <c r="C673" t="n">
        <v>63.8305</v>
      </c>
      <c r="D673" t="n">
        <v>20.6</v>
      </c>
      <c r="E673" t="n">
        <v>56.3866</v>
      </c>
      <c r="F673" t="n">
        <v>37.7559</v>
      </c>
      <c r="G673" t="n">
        <v>38.7978</v>
      </c>
      <c r="H673" t="n">
        <v>81.9473</v>
      </c>
      <c r="I673" t="n">
        <v>48.9901</v>
      </c>
      <c r="J673" t="n">
        <v>78.5012</v>
      </c>
      <c r="K673" t="n">
        <v>57.9</v>
      </c>
    </row>
    <row r="674">
      <c r="A674" s="98" t="n">
        <v>27395</v>
      </c>
      <c r="B674" t="n">
        <v>41.475</v>
      </c>
      <c r="C674" t="n">
        <v>63.444</v>
      </c>
      <c r="D674" t="n">
        <v>20.1167</v>
      </c>
      <c r="E674" t="n">
        <v>55.1</v>
      </c>
      <c r="F674" t="n">
        <v>36.9621</v>
      </c>
      <c r="G674" t="n">
        <v>38.4738</v>
      </c>
      <c r="H674" t="n">
        <v>86.39100000000001</v>
      </c>
      <c r="I674" t="n">
        <v>48.0429</v>
      </c>
      <c r="J674" t="n">
        <v>77.2871</v>
      </c>
      <c r="K674" t="n">
        <v>58.3</v>
      </c>
    </row>
    <row r="675">
      <c r="A675" s="98" t="n">
        <v>27426</v>
      </c>
      <c r="B675" t="n">
        <v>40.529</v>
      </c>
      <c r="C675" t="n">
        <v>61.5639</v>
      </c>
      <c r="D675" t="n">
        <v>19.4456</v>
      </c>
      <c r="E675" t="n">
        <v>54.3616</v>
      </c>
      <c r="F675" t="n">
        <v>35.9238</v>
      </c>
      <c r="G675" t="n">
        <v>37.55</v>
      </c>
      <c r="H675" t="n">
        <v>85.2942</v>
      </c>
      <c r="I675" t="n">
        <v>48.7601</v>
      </c>
      <c r="J675" t="n">
        <v>75.3989</v>
      </c>
      <c r="K675" t="n">
        <v>58.7</v>
      </c>
    </row>
    <row r="676">
      <c r="A676" s="98" t="n">
        <v>27454</v>
      </c>
      <c r="B676" t="n">
        <v>40.0796</v>
      </c>
      <c r="C676" t="n">
        <v>59.2078</v>
      </c>
      <c r="D676" t="n">
        <v>19.1171</v>
      </c>
      <c r="E676" t="n">
        <v>54.5054</v>
      </c>
      <c r="F676" t="n">
        <v>35.4241</v>
      </c>
      <c r="G676" t="n">
        <v>37.0146</v>
      </c>
      <c r="H676" t="n">
        <v>83.58329999999999</v>
      </c>
      <c r="I676" t="n">
        <v>49.9045</v>
      </c>
      <c r="J676" t="n">
        <v>74.4422</v>
      </c>
      <c r="K676" t="n">
        <v>59</v>
      </c>
    </row>
    <row r="677">
      <c r="A677" s="98" t="n">
        <v>27485</v>
      </c>
      <c r="B677" t="n">
        <v>40.1527</v>
      </c>
      <c r="C677" t="n">
        <v>58.7667</v>
      </c>
      <c r="D677" t="n">
        <v>19.0131</v>
      </c>
      <c r="E677" t="n">
        <v>55.6551</v>
      </c>
      <c r="F677" t="n">
        <v>35.4205</v>
      </c>
      <c r="G677" t="n">
        <v>36.8116</v>
      </c>
      <c r="H677" t="n">
        <v>83.3486</v>
      </c>
      <c r="I677" t="n">
        <v>51.2004</v>
      </c>
      <c r="J677" t="n">
        <v>74.4605</v>
      </c>
      <c r="K677" t="n">
        <v>59.2</v>
      </c>
    </row>
    <row r="678">
      <c r="A678" s="98" t="n">
        <v>27515</v>
      </c>
      <c r="B678" t="n">
        <v>40.0399</v>
      </c>
      <c r="C678" t="n">
        <v>58.7356</v>
      </c>
      <c r="D678" t="n">
        <v>18.7573</v>
      </c>
      <c r="E678" t="n">
        <v>55.9199</v>
      </c>
      <c r="F678" t="n">
        <v>35.3558</v>
      </c>
      <c r="G678" t="n">
        <v>36.5672</v>
      </c>
      <c r="H678" t="n">
        <v>83.08799999999999</v>
      </c>
      <c r="I678" t="n">
        <v>50.3156</v>
      </c>
      <c r="J678" t="n">
        <v>74.1345</v>
      </c>
      <c r="K678" t="n">
        <v>59.3</v>
      </c>
    </row>
    <row r="679">
      <c r="A679" s="98" t="n">
        <v>27546</v>
      </c>
      <c r="B679" t="n">
        <v>40.2987</v>
      </c>
      <c r="C679" t="n">
        <v>58.4521</v>
      </c>
      <c r="D679" t="n">
        <v>18.6136</v>
      </c>
      <c r="E679" t="n">
        <v>56.6894</v>
      </c>
      <c r="F679" t="n">
        <v>35.6616</v>
      </c>
      <c r="G679" t="n">
        <v>36.8303</v>
      </c>
      <c r="H679" t="n">
        <v>84.447</v>
      </c>
      <c r="I679" t="n">
        <v>49.1373</v>
      </c>
      <c r="J679" t="n">
        <v>74.4945</v>
      </c>
      <c r="K679" t="n">
        <v>59.5</v>
      </c>
    </row>
    <row r="680">
      <c r="A680" s="98" t="n">
        <v>27576</v>
      </c>
      <c r="B680" t="n">
        <v>40.7094</v>
      </c>
      <c r="C680" t="n">
        <v>59.1866</v>
      </c>
      <c r="D680" t="n">
        <v>18.733</v>
      </c>
      <c r="E680" t="n">
        <v>58.1377</v>
      </c>
      <c r="F680" t="n">
        <v>36.1755</v>
      </c>
      <c r="G680" t="n">
        <v>36.972</v>
      </c>
      <c r="H680" t="n">
        <v>82.30119999999999</v>
      </c>
      <c r="I680" t="n">
        <v>49.8458</v>
      </c>
      <c r="J680" t="n">
        <v>75.1324</v>
      </c>
      <c r="K680" t="n">
        <v>59.8</v>
      </c>
    </row>
    <row r="681">
      <c r="A681" s="98" t="n">
        <v>27607</v>
      </c>
      <c r="B681" t="n">
        <v>41.1098</v>
      </c>
      <c r="C681" t="n">
        <v>59.9165</v>
      </c>
      <c r="D681" t="n">
        <v>18.6163</v>
      </c>
      <c r="E681" t="n">
        <v>58.4548</v>
      </c>
      <c r="F681" t="n">
        <v>36.5525</v>
      </c>
      <c r="G681" t="n">
        <v>37.5908</v>
      </c>
      <c r="H681" t="n">
        <v>82.9833</v>
      </c>
      <c r="I681" t="n">
        <v>50.3093</v>
      </c>
      <c r="J681" t="n">
        <v>75.74509999999999</v>
      </c>
      <c r="K681" t="n">
        <v>59.9</v>
      </c>
    </row>
    <row r="682">
      <c r="A682" s="98" t="n">
        <v>27638</v>
      </c>
      <c r="B682" t="n">
        <v>41.638</v>
      </c>
      <c r="C682" t="n">
        <v>60.5674</v>
      </c>
      <c r="D682" t="n">
        <v>18.8894</v>
      </c>
      <c r="E682" t="n">
        <v>59.3076</v>
      </c>
      <c r="F682" t="n">
        <v>37.1874</v>
      </c>
      <c r="G682" t="n">
        <v>38.0679</v>
      </c>
      <c r="H682" t="n">
        <v>82.64019999999999</v>
      </c>
      <c r="I682" t="n">
        <v>50.0812</v>
      </c>
      <c r="J682" t="n">
        <v>76.58629999999999</v>
      </c>
      <c r="K682" t="n">
        <v>60.2</v>
      </c>
    </row>
    <row r="683">
      <c r="A683" s="98" t="n">
        <v>27668</v>
      </c>
      <c r="B683" t="n">
        <v>41.8171</v>
      </c>
      <c r="C683" t="n">
        <v>60.9065</v>
      </c>
      <c r="D683" t="n">
        <v>18.9478</v>
      </c>
      <c r="E683" t="n">
        <v>59.3992</v>
      </c>
      <c r="F683" t="n">
        <v>37.3908</v>
      </c>
      <c r="G683" t="n">
        <v>38.2893</v>
      </c>
      <c r="H683" t="n">
        <v>82.8638</v>
      </c>
      <c r="I683" t="n">
        <v>49.9492</v>
      </c>
      <c r="J683" t="n">
        <v>76.7786</v>
      </c>
      <c r="K683" t="n">
        <v>60.6</v>
      </c>
    </row>
    <row r="684">
      <c r="A684" s="98" t="n">
        <v>27699</v>
      </c>
      <c r="B684" t="n">
        <v>41.8764</v>
      </c>
      <c r="C684" t="n">
        <v>61.1569</v>
      </c>
      <c r="D684" t="n">
        <v>18.9104</v>
      </c>
      <c r="E684" t="n">
        <v>59.6045</v>
      </c>
      <c r="F684" t="n">
        <v>37.4734</v>
      </c>
      <c r="G684" t="n">
        <v>38.3995</v>
      </c>
      <c r="H684" t="n">
        <v>83.883</v>
      </c>
      <c r="I684" t="n">
        <v>49.3719</v>
      </c>
      <c r="J684" t="n">
        <v>76.74550000000001</v>
      </c>
      <c r="K684" t="n">
        <v>61</v>
      </c>
    </row>
    <row r="685">
      <c r="A685" s="98" t="n">
        <v>27729</v>
      </c>
      <c r="B685" t="n">
        <v>42.4484</v>
      </c>
      <c r="C685" t="n">
        <v>61.2345</v>
      </c>
      <c r="D685" t="n">
        <v>19.2517</v>
      </c>
      <c r="E685" t="n">
        <v>60.166</v>
      </c>
      <c r="F685" t="n">
        <v>38.0018</v>
      </c>
      <c r="G685" t="n">
        <v>39.0092</v>
      </c>
      <c r="H685" t="n">
        <v>84.09529999999999</v>
      </c>
      <c r="I685" t="n">
        <v>50.247</v>
      </c>
      <c r="J685" t="n">
        <v>77.64570000000001</v>
      </c>
      <c r="K685" t="n">
        <v>61.4</v>
      </c>
    </row>
    <row r="686">
      <c r="A686" s="98" t="n">
        <v>27760</v>
      </c>
      <c r="B686" t="n">
        <v>43.0149</v>
      </c>
      <c r="C686" t="n">
        <v>62.6477</v>
      </c>
      <c r="D686" t="n">
        <v>19.4354</v>
      </c>
      <c r="E686" t="n">
        <v>60.8622</v>
      </c>
      <c r="F686" t="n">
        <v>38.4732</v>
      </c>
      <c r="G686" t="n">
        <v>39.6041</v>
      </c>
      <c r="H686" t="n">
        <v>85.6537</v>
      </c>
      <c r="I686" t="n">
        <v>51.4261</v>
      </c>
      <c r="J686" t="n">
        <v>78.52809999999999</v>
      </c>
      <c r="K686" t="n">
        <v>61.7</v>
      </c>
    </row>
    <row r="687">
      <c r="A687" s="98" t="n">
        <v>27791</v>
      </c>
      <c r="B687" t="n">
        <v>43.4515</v>
      </c>
      <c r="C687" t="n">
        <v>63.7661</v>
      </c>
      <c r="D687" t="n">
        <v>19.5711</v>
      </c>
      <c r="E687" t="n">
        <v>61.1504</v>
      </c>
      <c r="F687" t="n">
        <v>39.0839</v>
      </c>
      <c r="G687" t="n">
        <v>40.1788</v>
      </c>
      <c r="H687" t="n">
        <v>85.2693</v>
      </c>
      <c r="I687" t="n">
        <v>50.3777</v>
      </c>
      <c r="J687" t="n">
        <v>79.16240000000001</v>
      </c>
      <c r="K687" t="n">
        <v>61.9</v>
      </c>
    </row>
    <row r="688">
      <c r="A688" s="98" t="n">
        <v>27820</v>
      </c>
      <c r="B688" t="n">
        <v>43.5359</v>
      </c>
      <c r="C688" t="n">
        <v>62.8214</v>
      </c>
      <c r="D688" t="n">
        <v>19.6961</v>
      </c>
      <c r="E688" t="n">
        <v>61.0655</v>
      </c>
      <c r="F688" t="n">
        <v>39.2018</v>
      </c>
      <c r="G688" t="n">
        <v>40.3415</v>
      </c>
      <c r="H688" t="n">
        <v>84.22839999999999</v>
      </c>
      <c r="I688" t="n">
        <v>50.7299</v>
      </c>
      <c r="J688" t="n">
        <v>79.14919999999999</v>
      </c>
      <c r="K688" t="n">
        <v>62.2</v>
      </c>
    </row>
    <row r="689">
      <c r="A689" s="98" t="n">
        <v>27851</v>
      </c>
      <c r="B689" t="n">
        <v>43.7593</v>
      </c>
      <c r="C689" t="n">
        <v>63.6409</v>
      </c>
      <c r="D689" t="n">
        <v>19.8656</v>
      </c>
      <c r="E689" t="n">
        <v>61.1914</v>
      </c>
      <c r="F689" t="n">
        <v>39.4153</v>
      </c>
      <c r="G689" t="n">
        <v>40.6203</v>
      </c>
      <c r="H689" t="n">
        <v>83.87990000000001</v>
      </c>
      <c r="I689" t="n">
        <v>51.1092</v>
      </c>
      <c r="J689" t="n">
        <v>79.3843</v>
      </c>
      <c r="K689" t="n">
        <v>62.3</v>
      </c>
    </row>
    <row r="690">
      <c r="A690" s="98" t="n">
        <v>27881</v>
      </c>
      <c r="B690" t="n">
        <v>43.9359</v>
      </c>
      <c r="C690" t="n">
        <v>64.3319</v>
      </c>
      <c r="D690" t="n">
        <v>20.0008</v>
      </c>
      <c r="E690" t="n">
        <v>61.6574</v>
      </c>
      <c r="F690" t="n">
        <v>39.6052</v>
      </c>
      <c r="G690" t="n">
        <v>40.6696</v>
      </c>
      <c r="H690" t="n">
        <v>84.08199999999999</v>
      </c>
      <c r="I690" t="n">
        <v>50.9654</v>
      </c>
      <c r="J690" t="n">
        <v>79.52979999999999</v>
      </c>
      <c r="K690" t="n">
        <v>62.4</v>
      </c>
    </row>
    <row r="691">
      <c r="A691" s="98"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8" t="n">
        <v>27942</v>
      </c>
      <c r="B692" t="n">
        <v>44.2254</v>
      </c>
      <c r="C692" t="n">
        <v>66.20399999999999</v>
      </c>
      <c r="D692" t="n">
        <v>20.2366</v>
      </c>
      <c r="E692" t="n">
        <v>61.8652</v>
      </c>
      <c r="F692" t="n">
        <v>39.9249</v>
      </c>
      <c r="G692" t="n">
        <v>40.9375</v>
      </c>
      <c r="H692" t="n">
        <v>82.8201</v>
      </c>
      <c r="I692" t="n">
        <v>51.6189</v>
      </c>
      <c r="J692" t="n">
        <v>79.6935</v>
      </c>
      <c r="K692" t="n">
        <v>63.1</v>
      </c>
    </row>
    <row r="693">
      <c r="A693" s="98" t="n">
        <v>27973</v>
      </c>
      <c r="B693" t="n">
        <v>44.5365</v>
      </c>
      <c r="C693" t="n">
        <v>65.5551</v>
      </c>
      <c r="D693" t="n">
        <v>20.5802</v>
      </c>
      <c r="E693" t="n">
        <v>61.9872</v>
      </c>
      <c r="F693" t="n">
        <v>40.1817</v>
      </c>
      <c r="G693" t="n">
        <v>41.3699</v>
      </c>
      <c r="H693" t="n">
        <v>83.9413</v>
      </c>
      <c r="I693" t="n">
        <v>51.8151</v>
      </c>
      <c r="J693" t="n">
        <v>80.0711</v>
      </c>
      <c r="K693" t="n">
        <v>63.5</v>
      </c>
    </row>
    <row r="694">
      <c r="A694" s="98" t="n">
        <v>28004</v>
      </c>
      <c r="B694" t="n">
        <v>44.6775</v>
      </c>
      <c r="C694" t="n">
        <v>65.97190000000001</v>
      </c>
      <c r="D694" t="n">
        <v>20.5249</v>
      </c>
      <c r="E694" t="n">
        <v>62.0492</v>
      </c>
      <c r="F694" t="n">
        <v>40.2817</v>
      </c>
      <c r="G694" t="n">
        <v>41.464</v>
      </c>
      <c r="H694" t="n">
        <v>84.2028</v>
      </c>
      <c r="I694" t="n">
        <v>52.2418</v>
      </c>
      <c r="J694" t="n">
        <v>80.13979999999999</v>
      </c>
      <c r="K694" t="n">
        <v>63.9</v>
      </c>
    </row>
    <row r="695">
      <c r="A695" s="98" t="n">
        <v>28034</v>
      </c>
      <c r="B695" t="n">
        <v>44.6695</v>
      </c>
      <c r="C695" t="n">
        <v>65.9414</v>
      </c>
      <c r="D695" t="n">
        <v>20.554</v>
      </c>
      <c r="E695" t="n">
        <v>62.4906</v>
      </c>
      <c r="F695" t="n">
        <v>40.2219</v>
      </c>
      <c r="G695" t="n">
        <v>41.225</v>
      </c>
      <c r="H695" t="n">
        <v>84.0254</v>
      </c>
      <c r="I695" t="n">
        <v>52.7823</v>
      </c>
      <c r="J695" t="n">
        <v>79.9393</v>
      </c>
      <c r="K695" t="n">
        <v>64.09999999999999</v>
      </c>
    </row>
    <row r="696">
      <c r="A696" s="98" t="n">
        <v>28065</v>
      </c>
      <c r="B696" t="n">
        <v>45.354</v>
      </c>
      <c r="C696" t="n">
        <v>66.21850000000001</v>
      </c>
      <c r="D696" t="n">
        <v>21.2322</v>
      </c>
      <c r="E696" t="n">
        <v>63.6051</v>
      </c>
      <c r="F696" t="n">
        <v>40.766</v>
      </c>
      <c r="G696" t="n">
        <v>41.7951</v>
      </c>
      <c r="H696" t="n">
        <v>84.6399</v>
      </c>
      <c r="I696" t="n">
        <v>55.2</v>
      </c>
      <c r="J696" t="n">
        <v>80.9729</v>
      </c>
      <c r="K696" t="n">
        <v>64.59999999999999</v>
      </c>
    </row>
    <row r="697">
      <c r="A697" s="98" t="n">
        <v>28095</v>
      </c>
      <c r="B697" t="n">
        <v>45.8357</v>
      </c>
      <c r="C697" t="n">
        <v>66.6845</v>
      </c>
      <c r="D697" t="n">
        <v>21.5603</v>
      </c>
      <c r="E697" t="n">
        <v>64.29170000000001</v>
      </c>
      <c r="F697" t="n">
        <v>41.2083</v>
      </c>
      <c r="G697" t="n">
        <v>42.2525</v>
      </c>
      <c r="H697" t="n">
        <v>85.735</v>
      </c>
      <c r="I697" t="n">
        <v>55.6411</v>
      </c>
      <c r="J697" t="n">
        <v>81.6384</v>
      </c>
      <c r="K697" t="n">
        <v>64.90000000000001</v>
      </c>
    </row>
    <row r="698">
      <c r="A698" s="98" t="n">
        <v>28126</v>
      </c>
      <c r="B698" t="n">
        <v>45.5276</v>
      </c>
      <c r="C698" t="n">
        <v>65.5341</v>
      </c>
      <c r="D698" t="n">
        <v>21.622</v>
      </c>
      <c r="E698" t="n">
        <v>64.0256</v>
      </c>
      <c r="F698" t="n">
        <v>41.0659</v>
      </c>
      <c r="G698" t="n">
        <v>41.8579</v>
      </c>
      <c r="H698" t="n">
        <v>83.10299999999999</v>
      </c>
      <c r="I698" t="n">
        <v>55.1936</v>
      </c>
      <c r="J698" t="n">
        <v>80.8974</v>
      </c>
      <c r="K698" t="n">
        <v>65.09999999999999</v>
      </c>
    </row>
    <row r="699">
      <c r="A699" s="98" t="n">
        <v>28157</v>
      </c>
      <c r="B699" t="n">
        <v>46.2567</v>
      </c>
      <c r="C699" t="n">
        <v>67.0665</v>
      </c>
      <c r="D699" t="n">
        <v>22.1738</v>
      </c>
      <c r="E699" t="n">
        <v>64.9161</v>
      </c>
      <c r="F699" t="n">
        <v>41.8335</v>
      </c>
      <c r="G699" t="n">
        <v>42.4829</v>
      </c>
      <c r="H699" t="n">
        <v>86.0397</v>
      </c>
      <c r="I699" t="n">
        <v>53.3793</v>
      </c>
      <c r="J699" t="n">
        <v>81.9889</v>
      </c>
      <c r="K699" t="n">
        <v>65.40000000000001</v>
      </c>
    </row>
    <row r="700">
      <c r="A700" s="98" t="n">
        <v>28185</v>
      </c>
      <c r="B700" t="n">
        <v>46.8356</v>
      </c>
      <c r="C700" t="n">
        <v>68.45229999999999</v>
      </c>
      <c r="D700" t="n">
        <v>22.526</v>
      </c>
      <c r="E700" t="n">
        <v>65.0022</v>
      </c>
      <c r="F700" t="n">
        <v>42.444</v>
      </c>
      <c r="G700" t="n">
        <v>43.3001</v>
      </c>
      <c r="H700" t="n">
        <v>87.54470000000001</v>
      </c>
      <c r="I700" t="n">
        <v>52.5676</v>
      </c>
      <c r="J700" t="n">
        <v>82.8056</v>
      </c>
      <c r="K700" t="n">
        <v>65.7</v>
      </c>
    </row>
    <row r="701">
      <c r="A701" s="98" t="n">
        <v>28216</v>
      </c>
      <c r="B701" t="n">
        <v>47.2898</v>
      </c>
      <c r="C701" t="n">
        <v>70.0686</v>
      </c>
      <c r="D701" t="n">
        <v>22.8424</v>
      </c>
      <c r="E701" t="n">
        <v>65.4568</v>
      </c>
      <c r="F701" t="n">
        <v>42.8761</v>
      </c>
      <c r="G701" t="n">
        <v>43.6646</v>
      </c>
      <c r="H701" t="n">
        <v>87.2906</v>
      </c>
      <c r="I701" t="n">
        <v>53.2519</v>
      </c>
      <c r="J701" t="n">
        <v>83.39570000000001</v>
      </c>
      <c r="K701" t="n">
        <v>65.90000000000001</v>
      </c>
    </row>
    <row r="702">
      <c r="A702" s="98" t="n">
        <v>28246</v>
      </c>
      <c r="B702" t="n">
        <v>47.6607</v>
      </c>
      <c r="C702" t="n">
        <v>71.1062</v>
      </c>
      <c r="D702" t="n">
        <v>23.3045</v>
      </c>
      <c r="E702" t="n">
        <v>65.4615</v>
      </c>
      <c r="F702" t="n">
        <v>43.2292</v>
      </c>
      <c r="G702" t="n">
        <v>44.0217</v>
      </c>
      <c r="H702" t="n">
        <v>87.25879999999999</v>
      </c>
      <c r="I702" t="n">
        <v>54.0986</v>
      </c>
      <c r="J702" t="n">
        <v>83.831</v>
      </c>
      <c r="K702" t="n">
        <v>66.09999999999999</v>
      </c>
    </row>
    <row r="703">
      <c r="A703" s="98" t="n">
        <v>28277</v>
      </c>
      <c r="B703" t="n">
        <v>48.0196</v>
      </c>
      <c r="C703" t="n">
        <v>71.6416</v>
      </c>
      <c r="D703" t="n">
        <v>23.8259</v>
      </c>
      <c r="E703" t="n">
        <v>65.9415</v>
      </c>
      <c r="F703" t="n">
        <v>43.6118</v>
      </c>
      <c r="G703" t="n">
        <v>44.2067</v>
      </c>
      <c r="H703" t="n">
        <v>86.6108</v>
      </c>
      <c r="I703" t="n">
        <v>54.8173</v>
      </c>
      <c r="J703" t="n">
        <v>84.2371</v>
      </c>
      <c r="K703" t="n">
        <v>66.5</v>
      </c>
    </row>
    <row r="704">
      <c r="A704" s="98" t="n">
        <v>28307</v>
      </c>
      <c r="B704" t="n">
        <v>48.0819</v>
      </c>
      <c r="C704" t="n">
        <v>71.6815</v>
      </c>
      <c r="D704" t="n">
        <v>23.9664</v>
      </c>
      <c r="E704" t="n">
        <v>66.06359999999999</v>
      </c>
      <c r="F704" t="n">
        <v>43.6132</v>
      </c>
      <c r="G704" t="n">
        <v>44.1955</v>
      </c>
      <c r="H704" t="n">
        <v>87.0087</v>
      </c>
      <c r="I704" t="n">
        <v>55.4763</v>
      </c>
      <c r="J704" t="n">
        <v>84.1186</v>
      </c>
      <c r="K704" t="n">
        <v>66.8</v>
      </c>
    </row>
    <row r="705">
      <c r="A705" s="98" t="n">
        <v>28338</v>
      </c>
      <c r="B705" t="n">
        <v>48.1315</v>
      </c>
      <c r="C705" t="n">
        <v>72.26990000000001</v>
      </c>
      <c r="D705" t="n">
        <v>24.0428</v>
      </c>
      <c r="E705" t="n">
        <v>66.193</v>
      </c>
      <c r="F705" t="n">
        <v>43.8519</v>
      </c>
      <c r="G705" t="n">
        <v>44.1302</v>
      </c>
      <c r="H705" t="n">
        <v>85.0057</v>
      </c>
      <c r="I705" t="n">
        <v>54.5678</v>
      </c>
      <c r="J705" t="n">
        <v>83.9747</v>
      </c>
      <c r="K705" t="n">
        <v>67.3</v>
      </c>
    </row>
    <row r="706">
      <c r="A706" s="98" t="n">
        <v>28369</v>
      </c>
      <c r="B706" t="n">
        <v>48.3308</v>
      </c>
      <c r="C706" t="n">
        <v>71.9547</v>
      </c>
      <c r="D706" t="n">
        <v>24.1349</v>
      </c>
      <c r="E706" t="n">
        <v>66.3105</v>
      </c>
      <c r="F706" t="n">
        <v>43.856</v>
      </c>
      <c r="G706" t="n">
        <v>44.4085</v>
      </c>
      <c r="H706" t="n">
        <v>87.9344</v>
      </c>
      <c r="I706" t="n">
        <v>54.7721</v>
      </c>
      <c r="J706" t="n">
        <v>84.0881</v>
      </c>
      <c r="K706" t="n">
        <v>67.8</v>
      </c>
    </row>
    <row r="707">
      <c r="A707" s="98" t="n">
        <v>28399</v>
      </c>
      <c r="B707" t="n">
        <v>48.4014</v>
      </c>
      <c r="C707" t="n">
        <v>71.9286</v>
      </c>
      <c r="D707" t="n">
        <v>24.0333</v>
      </c>
      <c r="E707" t="n">
        <v>66.81489999999999</v>
      </c>
      <c r="F707" t="n">
        <v>43.9496</v>
      </c>
      <c r="G707" t="n">
        <v>44.5675</v>
      </c>
      <c r="H707" t="n">
        <v>87.84050000000001</v>
      </c>
      <c r="I707" t="n">
        <v>54.7804</v>
      </c>
      <c r="J707" t="n">
        <v>83.974</v>
      </c>
      <c r="K707" t="n">
        <v>68.2</v>
      </c>
    </row>
    <row r="708">
      <c r="A708" s="98" t="n">
        <v>28430</v>
      </c>
      <c r="B708" t="n">
        <v>48.4924</v>
      </c>
      <c r="C708" t="n">
        <v>72.2633</v>
      </c>
      <c r="D708" t="n">
        <v>24.0366</v>
      </c>
      <c r="E708" t="n">
        <v>66.9014</v>
      </c>
      <c r="F708" t="n">
        <v>44.0722</v>
      </c>
      <c r="G708" t="n">
        <v>44.6688</v>
      </c>
      <c r="H708" t="n">
        <v>88.52070000000001</v>
      </c>
      <c r="I708" t="n">
        <v>54.0554</v>
      </c>
      <c r="J708" t="n">
        <v>83.89239999999999</v>
      </c>
      <c r="K708" t="n">
        <v>68.8</v>
      </c>
    </row>
    <row r="709">
      <c r="A709" s="98"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8" t="n">
        <v>28491</v>
      </c>
      <c r="B710" t="n">
        <v>47.8693</v>
      </c>
      <c r="C710" t="n">
        <v>71.5937</v>
      </c>
      <c r="D710" t="n">
        <v>23.8664</v>
      </c>
      <c r="E710" t="n">
        <v>65.7081</v>
      </c>
      <c r="F710" t="n">
        <v>43.8768</v>
      </c>
      <c r="G710" t="n">
        <v>43.8983</v>
      </c>
      <c r="H710" t="n">
        <v>79.1927</v>
      </c>
      <c r="I710" t="n">
        <v>54.9421</v>
      </c>
      <c r="J710" t="n">
        <v>82.34399999999999</v>
      </c>
      <c r="K710" t="n">
        <v>69.2</v>
      </c>
    </row>
    <row r="711">
      <c r="A711" s="98" t="n">
        <v>28522</v>
      </c>
      <c r="B711" t="n">
        <v>48.1283</v>
      </c>
      <c r="C711" t="n">
        <v>71.366</v>
      </c>
      <c r="D711" t="n">
        <v>24.4646</v>
      </c>
      <c r="E711" t="n">
        <v>66.78870000000001</v>
      </c>
      <c r="F711" t="n">
        <v>44.035</v>
      </c>
      <c r="G711" t="n">
        <v>43.822</v>
      </c>
      <c r="H711" t="n">
        <v>79.95529999999999</v>
      </c>
      <c r="I711" t="n">
        <v>55.822</v>
      </c>
      <c r="J711" t="n">
        <v>82.5534</v>
      </c>
      <c r="K711" t="n">
        <v>69.5</v>
      </c>
    </row>
    <row r="712">
      <c r="A712" s="98"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8"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8" t="n">
        <v>28611</v>
      </c>
      <c r="B714" t="n">
        <v>50.2717</v>
      </c>
      <c r="C714" t="n">
        <v>74.2872</v>
      </c>
      <c r="D714" t="n">
        <v>25.889</v>
      </c>
      <c r="E714" t="n">
        <v>68.1925</v>
      </c>
      <c r="F714" t="n">
        <v>45.7574</v>
      </c>
      <c r="G714" t="n">
        <v>46.1934</v>
      </c>
      <c r="H714" t="n">
        <v>91.7206</v>
      </c>
      <c r="I714" t="n">
        <v>55.3566</v>
      </c>
      <c r="J714" t="n">
        <v>85.5004</v>
      </c>
      <c r="K714" t="n">
        <v>71.09999999999999</v>
      </c>
    </row>
    <row r="715">
      <c r="A715" s="98" t="n">
        <v>28642</v>
      </c>
      <c r="B715" t="n">
        <v>50.5939</v>
      </c>
      <c r="C715" t="n">
        <v>74.913</v>
      </c>
      <c r="D715" t="n">
        <v>26.2969</v>
      </c>
      <c r="E715" t="n">
        <v>68.55929999999999</v>
      </c>
      <c r="F715" t="n">
        <v>46.0971</v>
      </c>
      <c r="G715" t="n">
        <v>46.3899</v>
      </c>
      <c r="H715" t="n">
        <v>91.52</v>
      </c>
      <c r="I715" t="n">
        <v>55.9296</v>
      </c>
      <c r="J715" t="n">
        <v>85.80589999999999</v>
      </c>
      <c r="K715" t="n">
        <v>71.7</v>
      </c>
    </row>
    <row r="716">
      <c r="A716" s="98" t="n">
        <v>28672</v>
      </c>
      <c r="B716" t="n">
        <v>50.5499</v>
      </c>
      <c r="C716" t="n">
        <v>74.7655</v>
      </c>
      <c r="D716" t="n">
        <v>26.4912</v>
      </c>
      <c r="E716" t="n">
        <v>68.18429999999999</v>
      </c>
      <c r="F716" t="n">
        <v>46.0535</v>
      </c>
      <c r="G716" t="n">
        <v>46.371</v>
      </c>
      <c r="H716" t="n">
        <v>92.42449999999999</v>
      </c>
      <c r="I716" t="n">
        <v>55.2288</v>
      </c>
      <c r="J716" t="n">
        <v>85.492</v>
      </c>
      <c r="K716" t="n">
        <v>72.3</v>
      </c>
    </row>
    <row r="717">
      <c r="A717" s="98" t="n">
        <v>28703</v>
      </c>
      <c r="B717" t="n">
        <v>50.7622</v>
      </c>
      <c r="C717" t="n">
        <v>74.9034</v>
      </c>
      <c r="D717" t="n">
        <v>26.9881</v>
      </c>
      <c r="E717" t="n">
        <v>68.0789</v>
      </c>
      <c r="F717" t="n">
        <v>46.3195</v>
      </c>
      <c r="G717" t="n">
        <v>46.5404</v>
      </c>
      <c r="H717" t="n">
        <v>91.4722</v>
      </c>
      <c r="I717" t="n">
        <v>55.995</v>
      </c>
      <c r="J717" t="n">
        <v>85.61279999999999</v>
      </c>
      <c r="K717" t="n">
        <v>72.8</v>
      </c>
    </row>
    <row r="718">
      <c r="A718" s="98" t="n">
        <v>28734</v>
      </c>
      <c r="B718" t="n">
        <v>50.8856</v>
      </c>
      <c r="C718" t="n">
        <v>75.19110000000001</v>
      </c>
      <c r="D718" t="n">
        <v>27.266</v>
      </c>
      <c r="E718" t="n">
        <v>68.1905</v>
      </c>
      <c r="F718" t="n">
        <v>46.5614</v>
      </c>
      <c r="G718" t="n">
        <v>46.6023</v>
      </c>
      <c r="H718" t="n">
        <v>89.9053</v>
      </c>
      <c r="I718" t="n">
        <v>56.4473</v>
      </c>
      <c r="J718" t="n">
        <v>85.5839</v>
      </c>
      <c r="K718" t="n">
        <v>73.5</v>
      </c>
    </row>
    <row r="719">
      <c r="A719" s="98" t="n">
        <v>28764</v>
      </c>
      <c r="B719" t="n">
        <v>51.2821</v>
      </c>
      <c r="C719" t="n">
        <v>75.9199</v>
      </c>
      <c r="D719" t="n">
        <v>27.8211</v>
      </c>
      <c r="E719" t="n">
        <v>68.09</v>
      </c>
      <c r="F719" t="n">
        <v>46.8915</v>
      </c>
      <c r="G719" t="n">
        <v>47.0547</v>
      </c>
      <c r="H719" t="n">
        <v>92.0742</v>
      </c>
      <c r="I719" t="n">
        <v>56.0549</v>
      </c>
      <c r="J719" t="n">
        <v>86.0128</v>
      </c>
      <c r="K719" t="n">
        <v>73.40000000000001</v>
      </c>
    </row>
    <row r="720">
      <c r="A720" s="98" t="n">
        <v>28795</v>
      </c>
      <c r="B720" t="n">
        <v>51.6737</v>
      </c>
      <c r="C720" t="n">
        <v>76.42659999999999</v>
      </c>
      <c r="D720" t="n">
        <v>28.2857</v>
      </c>
      <c r="E720" t="n">
        <v>68.3032</v>
      </c>
      <c r="F720" t="n">
        <v>47.3334</v>
      </c>
      <c r="G720" t="n">
        <v>47.4565</v>
      </c>
      <c r="H720" t="n">
        <v>91.9165</v>
      </c>
      <c r="I720" t="n">
        <v>56.2519</v>
      </c>
      <c r="J720" t="n">
        <v>86.4323</v>
      </c>
      <c r="K720" t="n">
        <v>74.09999999999999</v>
      </c>
    </row>
    <row r="721">
      <c r="A721" s="98"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8" t="n">
        <v>28856</v>
      </c>
      <c r="B722" t="n">
        <v>51.6507</v>
      </c>
      <c r="C722" t="n">
        <v>75.8086</v>
      </c>
      <c r="D722" t="n">
        <v>28.9157</v>
      </c>
      <c r="E722" t="n">
        <v>68.29170000000001</v>
      </c>
      <c r="F722" t="n">
        <v>47.3248</v>
      </c>
      <c r="G722" t="n">
        <v>47.0863</v>
      </c>
      <c r="H722" t="n">
        <v>90.2273</v>
      </c>
      <c r="I722" t="n">
        <v>57.3164</v>
      </c>
      <c r="J722" t="n">
        <v>85.92789999999999</v>
      </c>
      <c r="K722" t="n">
        <v>75.3</v>
      </c>
    </row>
    <row r="723">
      <c r="A723" s="98"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8" t="n">
        <v>28915</v>
      </c>
      <c r="B724" t="n">
        <v>52.0667</v>
      </c>
      <c r="C724" t="n">
        <v>77.22</v>
      </c>
      <c r="D724" t="n">
        <v>29.4567</v>
      </c>
      <c r="E724" t="n">
        <v>68.071</v>
      </c>
      <c r="F724" t="n">
        <v>47.6943</v>
      </c>
      <c r="G724" t="n">
        <v>47.5284</v>
      </c>
      <c r="H724" t="n">
        <v>90.5155</v>
      </c>
      <c r="I724" t="n">
        <v>58.1106</v>
      </c>
      <c r="J724" t="n">
        <v>86.1622</v>
      </c>
      <c r="K724" t="n">
        <v>76.40000000000001</v>
      </c>
    </row>
    <row r="725">
      <c r="A725" s="98" t="n">
        <v>28946</v>
      </c>
      <c r="B725" t="n">
        <v>51.4548</v>
      </c>
      <c r="C725" t="n">
        <v>75.94119999999999</v>
      </c>
      <c r="D725" t="n">
        <v>28.8559</v>
      </c>
      <c r="E725" t="n">
        <v>66.7599</v>
      </c>
      <c r="F725" t="n">
        <v>46.8944</v>
      </c>
      <c r="G725" t="n">
        <v>47.2065</v>
      </c>
      <c r="H725" t="n">
        <v>91.687</v>
      </c>
      <c r="I725" t="n">
        <v>58.58</v>
      </c>
      <c r="J725" t="n">
        <v>84.93000000000001</v>
      </c>
      <c r="K725" t="n">
        <v>77</v>
      </c>
    </row>
    <row r="726">
      <c r="A726" s="98" t="n">
        <v>28976</v>
      </c>
      <c r="B726" t="n">
        <v>51.9061</v>
      </c>
      <c r="C726" t="n">
        <v>76.48869999999999</v>
      </c>
      <c r="D726" t="n">
        <v>29.6898</v>
      </c>
      <c r="E726" t="n">
        <v>67.262</v>
      </c>
      <c r="F726" t="n">
        <v>47.5489</v>
      </c>
      <c r="G726" t="n">
        <v>47.4661</v>
      </c>
      <c r="H726" t="n">
        <v>91.161</v>
      </c>
      <c r="I726" t="n">
        <v>57.0711</v>
      </c>
      <c r="J726" t="n">
        <v>85.4571</v>
      </c>
      <c r="K726" t="n">
        <v>77.40000000000001</v>
      </c>
    </row>
    <row r="727">
      <c r="A727" s="98"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8" t="n">
        <v>29037</v>
      </c>
      <c r="B728" t="n">
        <v>51.8258</v>
      </c>
      <c r="C728" t="n">
        <v>76.8429</v>
      </c>
      <c r="D728" t="n">
        <v>30.1013</v>
      </c>
      <c r="E728" t="n">
        <v>66.4943</v>
      </c>
      <c r="F728" t="n">
        <v>47.6303</v>
      </c>
      <c r="G728" t="n">
        <v>47.3544</v>
      </c>
      <c r="H728" t="n">
        <v>90.398</v>
      </c>
      <c r="I728" t="n">
        <v>55.2097</v>
      </c>
      <c r="J728" t="n">
        <v>84.9061</v>
      </c>
      <c r="K728" t="n">
        <v>78.5</v>
      </c>
    </row>
    <row r="729">
      <c r="A729" s="98" t="n">
        <v>29068</v>
      </c>
      <c r="B729" t="n">
        <v>51.49</v>
      </c>
      <c r="C729" t="n">
        <v>76.09310000000001</v>
      </c>
      <c r="D729" t="n">
        <v>29.7383</v>
      </c>
      <c r="E729" t="n">
        <v>65.7611</v>
      </c>
      <c r="F729" t="n">
        <v>47.0076</v>
      </c>
      <c r="G729" t="n">
        <v>47.0921</v>
      </c>
      <c r="H729" t="n">
        <v>92.4299</v>
      </c>
      <c r="I729" t="n">
        <v>56.0748</v>
      </c>
      <c r="J729" t="n">
        <v>84.15989999999999</v>
      </c>
      <c r="K729" t="n">
        <v>78.8</v>
      </c>
    </row>
    <row r="730">
      <c r="A730" s="98" t="n">
        <v>29099</v>
      </c>
      <c r="B730" t="n">
        <v>51.4847</v>
      </c>
      <c r="C730" t="n">
        <v>76.1554</v>
      </c>
      <c r="D730" t="n">
        <v>30.4635</v>
      </c>
      <c r="E730" t="n">
        <v>66.10039999999999</v>
      </c>
      <c r="F730" t="n">
        <v>47.064</v>
      </c>
      <c r="G730" t="n">
        <v>46.7613</v>
      </c>
      <c r="H730" t="n">
        <v>92.1311</v>
      </c>
      <c r="I730" t="n">
        <v>55.6577</v>
      </c>
      <c r="J730" t="n">
        <v>83.9623</v>
      </c>
      <c r="K730" t="n">
        <v>79.7</v>
      </c>
    </row>
    <row r="731">
      <c r="A731" s="98" t="n">
        <v>29129</v>
      </c>
      <c r="B731" t="n">
        <v>51.8421</v>
      </c>
      <c r="C731" t="n">
        <v>76.8164</v>
      </c>
      <c r="D731" t="n">
        <v>30.1814</v>
      </c>
      <c r="E731" t="n">
        <v>66.3325</v>
      </c>
      <c r="F731" t="n">
        <v>47.3149</v>
      </c>
      <c r="G731" t="n">
        <v>47.257</v>
      </c>
      <c r="H731" t="n">
        <v>93.4143</v>
      </c>
      <c r="I731" t="n">
        <v>56.4784</v>
      </c>
      <c r="J731" t="n">
        <v>84.3617</v>
      </c>
      <c r="K731" t="n">
        <v>80.40000000000001</v>
      </c>
    </row>
    <row r="732">
      <c r="A732" s="98" t="n">
        <v>29160</v>
      </c>
      <c r="B732" t="n">
        <v>51.7591</v>
      </c>
      <c r="C732" t="n">
        <v>76.65819999999999</v>
      </c>
      <c r="D732" t="n">
        <v>30.1269</v>
      </c>
      <c r="E732" t="n">
        <v>66.1528</v>
      </c>
      <c r="F732" t="n">
        <v>47.1364</v>
      </c>
      <c r="G732" t="n">
        <v>47.1413</v>
      </c>
      <c r="H732" t="n">
        <v>93.7189</v>
      </c>
      <c r="I732" t="n">
        <v>56.8607</v>
      </c>
      <c r="J732" t="n">
        <v>84.0501</v>
      </c>
      <c r="K732" t="n">
        <v>81</v>
      </c>
    </row>
    <row r="733">
      <c r="A733" s="98"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8" t="n">
        <v>29221</v>
      </c>
      <c r="B734" t="n">
        <v>52.0677</v>
      </c>
      <c r="C734" t="n">
        <v>76.714</v>
      </c>
      <c r="D734" t="n">
        <v>30.8694</v>
      </c>
      <c r="E734" t="n">
        <v>65.9649</v>
      </c>
      <c r="F734" t="n">
        <v>47.525</v>
      </c>
      <c r="G734" t="n">
        <v>47.4223</v>
      </c>
      <c r="H734" t="n">
        <v>95.375</v>
      </c>
      <c r="I734" t="n">
        <v>54.9486</v>
      </c>
      <c r="J734" t="n">
        <v>84.2146</v>
      </c>
      <c r="K734" t="n">
        <v>83.3</v>
      </c>
    </row>
    <row r="735">
      <c r="A735" s="98" t="n">
        <v>29252</v>
      </c>
      <c r="B735" t="n">
        <v>52.0899</v>
      </c>
      <c r="C735" t="n">
        <v>75.5573</v>
      </c>
      <c r="D735" t="n">
        <v>31.0318</v>
      </c>
      <c r="E735" t="n">
        <v>66.14749999999999</v>
      </c>
      <c r="F735" t="n">
        <v>47.4562</v>
      </c>
      <c r="G735" t="n">
        <v>47.33</v>
      </c>
      <c r="H735" t="n">
        <v>94.304</v>
      </c>
      <c r="I735" t="n">
        <v>56.9781</v>
      </c>
      <c r="J735" t="n">
        <v>84.0878</v>
      </c>
      <c r="K735" t="n">
        <v>84.2</v>
      </c>
    </row>
    <row r="736">
      <c r="A736" s="98" t="n">
        <v>29281</v>
      </c>
      <c r="B736" t="n">
        <v>51.8687</v>
      </c>
      <c r="C736" t="n">
        <v>74.57599999999999</v>
      </c>
      <c r="D736" t="n">
        <v>30.7627</v>
      </c>
      <c r="E736" t="n">
        <v>65.6366</v>
      </c>
      <c r="F736" t="n">
        <v>47.0636</v>
      </c>
      <c r="G736" t="n">
        <v>47.2566</v>
      </c>
      <c r="H736" t="n">
        <v>95.1267</v>
      </c>
      <c r="I736" t="n">
        <v>58.0854</v>
      </c>
      <c r="J736" t="n">
        <v>83.5715</v>
      </c>
      <c r="K736" t="n">
        <v>84.7</v>
      </c>
    </row>
    <row r="737">
      <c r="A737" s="98" t="n">
        <v>29312</v>
      </c>
      <c r="B737" t="n">
        <v>50.8454</v>
      </c>
      <c r="C737" t="n">
        <v>71.1694</v>
      </c>
      <c r="D737" t="n">
        <v>30.4558</v>
      </c>
      <c r="E737" t="n">
        <v>64.5926</v>
      </c>
      <c r="F737" t="n">
        <v>46.0841</v>
      </c>
      <c r="G737" t="n">
        <v>46.121</v>
      </c>
      <c r="H737" t="n">
        <v>94.0343</v>
      </c>
      <c r="I737" t="n">
        <v>56.4212</v>
      </c>
      <c r="J737" t="n">
        <v>81.7688</v>
      </c>
      <c r="K737" t="n">
        <v>85.5</v>
      </c>
    </row>
    <row r="738">
      <c r="A738" s="98" t="n">
        <v>29342</v>
      </c>
      <c r="B738" t="n">
        <v>49.5947</v>
      </c>
      <c r="C738" t="n">
        <v>68.2518</v>
      </c>
      <c r="D738" t="n">
        <v>29.9803</v>
      </c>
      <c r="E738" t="n">
        <v>63.2246</v>
      </c>
      <c r="F738" t="n">
        <v>44.6476</v>
      </c>
      <c r="G738" t="n">
        <v>44.7619</v>
      </c>
      <c r="H738" t="n">
        <v>93.98690000000001</v>
      </c>
      <c r="I738" t="n">
        <v>55.5353</v>
      </c>
      <c r="J738" t="n">
        <v>79.60639999999999</v>
      </c>
      <c r="K738" t="n">
        <v>85.7</v>
      </c>
    </row>
    <row r="739">
      <c r="A739" s="98" t="n">
        <v>29373</v>
      </c>
      <c r="B739" t="n">
        <v>48.9621</v>
      </c>
      <c r="C739" t="n">
        <v>66.935</v>
      </c>
      <c r="D739" t="n">
        <v>29.6268</v>
      </c>
      <c r="E739" t="n">
        <v>62.8638</v>
      </c>
      <c r="F739" t="n">
        <v>43.9261</v>
      </c>
      <c r="G739" t="n">
        <v>43.9932</v>
      </c>
      <c r="H739" t="n">
        <v>93.64060000000001</v>
      </c>
      <c r="I739" t="n">
        <v>55.5436</v>
      </c>
      <c r="J739" t="n">
        <v>78.4388</v>
      </c>
      <c r="K739" t="n">
        <v>86.59999999999999</v>
      </c>
    </row>
    <row r="740">
      <c r="A740" s="98" t="n">
        <v>29403</v>
      </c>
      <c r="B740" t="n">
        <v>48.609</v>
      </c>
      <c r="C740" t="n">
        <v>66.3278</v>
      </c>
      <c r="D740" t="n">
        <v>29.6311</v>
      </c>
      <c r="E740" t="n">
        <v>62.8796</v>
      </c>
      <c r="F740" t="n">
        <v>43.4275</v>
      </c>
      <c r="G740" t="n">
        <v>43.3146</v>
      </c>
      <c r="H740" t="n">
        <v>92.0348</v>
      </c>
      <c r="I740" t="n">
        <v>57.665</v>
      </c>
      <c r="J740" t="n">
        <v>77.7197</v>
      </c>
      <c r="K740" t="n">
        <v>87.7</v>
      </c>
    </row>
    <row r="741">
      <c r="A741" s="98" t="n">
        <v>29434</v>
      </c>
      <c r="B741" t="n">
        <v>48.7646</v>
      </c>
      <c r="C741" t="n">
        <v>67.2932</v>
      </c>
      <c r="D741" t="n">
        <v>29.5587</v>
      </c>
      <c r="E741" t="n">
        <v>63.1066</v>
      </c>
      <c r="F741" t="n">
        <v>43.7442</v>
      </c>
      <c r="G741" t="n">
        <v>43.4571</v>
      </c>
      <c r="H741" t="n">
        <v>90.3502</v>
      </c>
      <c r="I741" t="n">
        <v>57.9624</v>
      </c>
      <c r="J741" t="n">
        <v>77.81100000000001</v>
      </c>
      <c r="K741" t="n">
        <v>88.40000000000001</v>
      </c>
    </row>
    <row r="742">
      <c r="A742" s="98" t="n">
        <v>29465</v>
      </c>
      <c r="B742" t="n">
        <v>49.5764</v>
      </c>
      <c r="C742" t="n">
        <v>68.9876</v>
      </c>
      <c r="D742" t="n">
        <v>30.1604</v>
      </c>
      <c r="E742" t="n">
        <v>63.7135</v>
      </c>
      <c r="F742" t="n">
        <v>44.5102</v>
      </c>
      <c r="G742" t="n">
        <v>44.3155</v>
      </c>
      <c r="H742" t="n">
        <v>92.0365</v>
      </c>
      <c r="I742" t="n">
        <v>58.7063</v>
      </c>
      <c r="J742" t="n">
        <v>78.941</v>
      </c>
      <c r="K742" t="n">
        <v>88.8</v>
      </c>
    </row>
    <row r="743">
      <c r="A743" s="98"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8"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8" t="n">
        <v>29556</v>
      </c>
      <c r="B745" t="n">
        <v>51.3906</v>
      </c>
      <c r="C745" t="n">
        <v>71.8733</v>
      </c>
      <c r="D745" t="n">
        <v>31.3399</v>
      </c>
      <c r="E745" t="n">
        <v>64.49339999999999</v>
      </c>
      <c r="F745" t="n">
        <v>46.3542</v>
      </c>
      <c r="G745" t="n">
        <v>46.4302</v>
      </c>
      <c r="H745" t="n">
        <v>95.4297</v>
      </c>
      <c r="I745" t="n">
        <v>58.7269</v>
      </c>
      <c r="J745" t="n">
        <v>81.2803</v>
      </c>
      <c r="K745" t="n">
        <v>90.40000000000001</v>
      </c>
    </row>
    <row r="746">
      <c r="A746" s="98"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8" t="n">
        <v>29618</v>
      </c>
      <c r="B747" t="n">
        <v>50.8554</v>
      </c>
      <c r="C747" t="n">
        <v>71.014</v>
      </c>
      <c r="D747" t="n">
        <v>31.0008</v>
      </c>
      <c r="E747" t="n">
        <v>64.3706</v>
      </c>
      <c r="F747" t="n">
        <v>45.9388</v>
      </c>
      <c r="G747" t="n">
        <v>45.7593</v>
      </c>
      <c r="H747" t="n">
        <v>95.41160000000001</v>
      </c>
      <c r="I747" t="n">
        <v>56.4194</v>
      </c>
      <c r="J747" t="n">
        <v>80.04689999999999</v>
      </c>
      <c r="K747" t="n">
        <v>92</v>
      </c>
    </row>
    <row r="748">
      <c r="A748" s="98" t="n">
        <v>29646</v>
      </c>
      <c r="B748" t="n">
        <v>51.1107</v>
      </c>
      <c r="C748" t="n">
        <v>71.264</v>
      </c>
      <c r="D748" t="n">
        <v>31.3113</v>
      </c>
      <c r="E748" t="n">
        <v>64.3228</v>
      </c>
      <c r="F748" t="n">
        <v>46.0845</v>
      </c>
      <c r="G748" t="n">
        <v>46.0391</v>
      </c>
      <c r="H748" t="n">
        <v>96.2692</v>
      </c>
      <c r="I748" t="n">
        <v>57.3463</v>
      </c>
      <c r="J748" t="n">
        <v>80.2479</v>
      </c>
      <c r="K748" t="n">
        <v>92.59999999999999</v>
      </c>
    </row>
    <row r="749">
      <c r="A749" s="98" t="n">
        <v>29677</v>
      </c>
      <c r="B749" t="n">
        <v>50.8864</v>
      </c>
      <c r="C749" t="n">
        <v>71.27290000000001</v>
      </c>
      <c r="D749" t="n">
        <v>31.6616</v>
      </c>
      <c r="E749" t="n">
        <v>64.4759</v>
      </c>
      <c r="F749" t="n">
        <v>46.3287</v>
      </c>
      <c r="G749" t="n">
        <v>45.4436</v>
      </c>
      <c r="H749" t="n">
        <v>91.1974</v>
      </c>
      <c r="I749" t="n">
        <v>57.3881</v>
      </c>
      <c r="J749" t="n">
        <v>79.6948</v>
      </c>
      <c r="K749" t="n">
        <v>93.5</v>
      </c>
    </row>
    <row r="750">
      <c r="A750" s="98"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8" t="n">
        <v>29738</v>
      </c>
      <c r="B751" t="n">
        <v>51.4496</v>
      </c>
      <c r="C751" t="n">
        <v>70.1596</v>
      </c>
      <c r="D751" t="n">
        <v>31.5392</v>
      </c>
      <c r="E751" t="n">
        <v>64.6748</v>
      </c>
      <c r="F751" t="n">
        <v>46.3194</v>
      </c>
      <c r="G751" t="n">
        <v>46.3136</v>
      </c>
      <c r="H751" t="n">
        <v>95.69329999999999</v>
      </c>
      <c r="I751" t="n">
        <v>59.656</v>
      </c>
      <c r="J751" t="n">
        <v>80.166</v>
      </c>
      <c r="K751" t="n">
        <v>94.59999999999999</v>
      </c>
    </row>
    <row r="752">
      <c r="A752" s="98" t="n">
        <v>29768</v>
      </c>
      <c r="B752" t="n">
        <v>51.7764</v>
      </c>
      <c r="C752" t="n">
        <v>70.3625</v>
      </c>
      <c r="D752" t="n">
        <v>31.5861</v>
      </c>
      <c r="E752" t="n">
        <v>65.14019999999999</v>
      </c>
      <c r="F752" t="n">
        <v>46.4129</v>
      </c>
      <c r="G752" t="n">
        <v>46.5832</v>
      </c>
      <c r="H752" t="n">
        <v>98.7422</v>
      </c>
      <c r="I752" t="n">
        <v>59.5047</v>
      </c>
      <c r="J752" t="n">
        <v>80.4696</v>
      </c>
      <c r="K752" t="n">
        <v>94.8</v>
      </c>
    </row>
    <row r="753">
      <c r="A753" s="98" t="n">
        <v>29799</v>
      </c>
      <c r="B753" t="n">
        <v>51.7129</v>
      </c>
      <c r="C753" t="n">
        <v>70.13500000000001</v>
      </c>
      <c r="D753" t="n">
        <v>31.5254</v>
      </c>
      <c r="E753" t="n">
        <v>65.1302</v>
      </c>
      <c r="F753" t="n">
        <v>46.3933</v>
      </c>
      <c r="G753" t="n">
        <v>46.5201</v>
      </c>
      <c r="H753" t="n">
        <v>99.0655</v>
      </c>
      <c r="I753" t="n">
        <v>58.2902</v>
      </c>
      <c r="J753" t="n">
        <v>80.1692</v>
      </c>
      <c r="K753" t="n">
        <v>95.3</v>
      </c>
    </row>
    <row r="754">
      <c r="A754" s="98" t="n">
        <v>29830</v>
      </c>
      <c r="B754" t="n">
        <v>51.4605</v>
      </c>
      <c r="C754" t="n">
        <v>69.75660000000001</v>
      </c>
      <c r="D754" t="n">
        <v>31.5552</v>
      </c>
      <c r="E754" t="n">
        <v>64.6626</v>
      </c>
      <c r="F754" t="n">
        <v>46.2051</v>
      </c>
      <c r="G754" t="n">
        <v>46.1519</v>
      </c>
      <c r="H754" t="n">
        <v>98.4602</v>
      </c>
      <c r="I754" t="n">
        <v>57.4627</v>
      </c>
      <c r="J754" t="n">
        <v>79.5809</v>
      </c>
      <c r="K754" t="n">
        <v>95.90000000000001</v>
      </c>
    </row>
    <row r="755">
      <c r="A755" s="98" t="n">
        <v>29860</v>
      </c>
      <c r="B755" t="n">
        <v>51.0625</v>
      </c>
      <c r="C755" t="n">
        <v>67.5706</v>
      </c>
      <c r="D755" t="n">
        <v>31.454</v>
      </c>
      <c r="E755" t="n">
        <v>64.9837</v>
      </c>
      <c r="F755" t="n">
        <v>45.7267</v>
      </c>
      <c r="G755" t="n">
        <v>45.5135</v>
      </c>
      <c r="H755" t="n">
        <v>97.8154</v>
      </c>
      <c r="I755" t="n">
        <v>58.1755</v>
      </c>
      <c r="J755" t="n">
        <v>78.7744</v>
      </c>
      <c r="K755" t="n">
        <v>96.5</v>
      </c>
    </row>
    <row r="756">
      <c r="A756" s="98" t="n">
        <v>29891</v>
      </c>
      <c r="B756" t="n">
        <v>50.473</v>
      </c>
      <c r="C756" t="n">
        <v>66.5103</v>
      </c>
      <c r="D756" t="n">
        <v>30.9371</v>
      </c>
      <c r="E756" t="n">
        <v>64.8822</v>
      </c>
      <c r="F756" t="n">
        <v>45.124</v>
      </c>
      <c r="G756" t="n">
        <v>44.7098</v>
      </c>
      <c r="H756" t="n">
        <v>96.953</v>
      </c>
      <c r="I756" t="n">
        <v>57.6621</v>
      </c>
      <c r="J756" t="n">
        <v>77.6816</v>
      </c>
      <c r="K756" t="n">
        <v>97</v>
      </c>
    </row>
    <row r="757">
      <c r="A757" s="98"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8" t="n">
        <v>29952</v>
      </c>
      <c r="B758" t="n">
        <v>48.9114</v>
      </c>
      <c r="C758" t="n">
        <v>63.0328</v>
      </c>
      <c r="D758" t="n">
        <v>29.2934</v>
      </c>
      <c r="E758" t="n">
        <v>63.0442</v>
      </c>
      <c r="F758" t="n">
        <v>43.2401</v>
      </c>
      <c r="G758" t="n">
        <v>43.3743</v>
      </c>
      <c r="H758" t="n">
        <v>95.75579999999999</v>
      </c>
      <c r="I758" t="n">
        <v>58.6998</v>
      </c>
      <c r="J758" t="n">
        <v>74.9452</v>
      </c>
      <c r="K758" t="n">
        <v>98.09999999999999</v>
      </c>
    </row>
    <row r="759">
      <c r="A759" s="98"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8" t="n">
        <v>30011</v>
      </c>
      <c r="B760" t="n">
        <v>49.5691</v>
      </c>
      <c r="C760" t="n">
        <v>63.9331</v>
      </c>
      <c r="D760" t="n">
        <v>29.9967</v>
      </c>
      <c r="E760" t="n">
        <v>64.4581</v>
      </c>
      <c r="F760" t="n">
        <v>44.1416</v>
      </c>
      <c r="G760" t="n">
        <v>43.5824</v>
      </c>
      <c r="H760" t="n">
        <v>95.97629999999999</v>
      </c>
      <c r="I760" t="n">
        <v>57.0869</v>
      </c>
      <c r="J760" t="n">
        <v>75.6444</v>
      </c>
      <c r="K760" t="n">
        <v>98.7</v>
      </c>
    </row>
    <row r="761">
      <c r="A761" s="98" t="n">
        <v>30042</v>
      </c>
      <c r="B761" t="n">
        <v>49.1146</v>
      </c>
      <c r="C761" t="n">
        <v>63.4404</v>
      </c>
      <c r="D761" t="n">
        <v>29.5437</v>
      </c>
      <c r="E761" t="n">
        <v>64.407</v>
      </c>
      <c r="F761" t="n">
        <v>43.8204</v>
      </c>
      <c r="G761" t="n">
        <v>43.0475</v>
      </c>
      <c r="H761" t="n">
        <v>93.9766</v>
      </c>
      <c r="I761" t="n">
        <v>57.1509</v>
      </c>
      <c r="J761" t="n">
        <v>74.8135</v>
      </c>
      <c r="K761" t="n">
        <v>99</v>
      </c>
    </row>
    <row r="762">
      <c r="A762" s="98" t="n">
        <v>30072</v>
      </c>
      <c r="B762" t="n">
        <v>48.7805</v>
      </c>
      <c r="C762" t="n">
        <v>63.7842</v>
      </c>
      <c r="D762" t="n">
        <v>29.34</v>
      </c>
      <c r="E762" t="n">
        <v>64.4448</v>
      </c>
      <c r="F762" t="n">
        <v>43.7193</v>
      </c>
      <c r="G762" t="n">
        <v>42.5379</v>
      </c>
      <c r="H762" t="n">
        <v>92.4538</v>
      </c>
      <c r="I762" t="n">
        <v>55.6</v>
      </c>
      <c r="J762" t="n">
        <v>74.17829999999999</v>
      </c>
      <c r="K762" t="n">
        <v>99.40000000000001</v>
      </c>
    </row>
    <row r="763">
      <c r="A763" s="98" t="n">
        <v>30103</v>
      </c>
      <c r="B763" t="n">
        <v>48.6606</v>
      </c>
      <c r="C763" t="n">
        <v>63.2901</v>
      </c>
      <c r="D763" t="n">
        <v>28.8176</v>
      </c>
      <c r="E763" t="n">
        <v>64.8866</v>
      </c>
      <c r="F763" t="n">
        <v>43.6909</v>
      </c>
      <c r="G763" t="n">
        <v>42.4241</v>
      </c>
      <c r="H763" t="n">
        <v>91.1789</v>
      </c>
      <c r="I763" t="n">
        <v>55.7901</v>
      </c>
      <c r="J763" t="n">
        <v>73.87990000000001</v>
      </c>
      <c r="K763" t="n">
        <v>99.90000000000001</v>
      </c>
    </row>
    <row r="764">
      <c r="A764" s="98" t="n">
        <v>30133</v>
      </c>
      <c r="B764" t="n">
        <v>48.4863</v>
      </c>
      <c r="C764" t="n">
        <v>63.1444</v>
      </c>
      <c r="D764" t="n">
        <v>28.7302</v>
      </c>
      <c r="E764" t="n">
        <v>65.0424</v>
      </c>
      <c r="F764" t="n">
        <v>43.6249</v>
      </c>
      <c r="G764" t="n">
        <v>42.1089</v>
      </c>
      <c r="H764" t="n">
        <v>89.8575</v>
      </c>
      <c r="I764" t="n">
        <v>55.7766</v>
      </c>
      <c r="J764" t="n">
        <v>73.5119</v>
      </c>
      <c r="K764" t="n">
        <v>100.1</v>
      </c>
    </row>
    <row r="765">
      <c r="A765" s="98" t="n">
        <v>30164</v>
      </c>
      <c r="B765" t="n">
        <v>48.0569</v>
      </c>
      <c r="C765" t="n">
        <v>63.1556</v>
      </c>
      <c r="D765" t="n">
        <v>28.0118</v>
      </c>
      <c r="E765" t="n">
        <v>64.869</v>
      </c>
      <c r="F765" t="n">
        <v>43.2104</v>
      </c>
      <c r="G765" t="n">
        <v>41.6921</v>
      </c>
      <c r="H765" t="n">
        <v>89.1767</v>
      </c>
      <c r="I765" t="n">
        <v>55.08</v>
      </c>
      <c r="J765" t="n">
        <v>72.77070000000001</v>
      </c>
      <c r="K765" t="n">
        <v>100.6</v>
      </c>
    </row>
    <row r="766">
      <c r="A766" s="98" t="n">
        <v>30195</v>
      </c>
      <c r="B766" t="n">
        <v>47.9303</v>
      </c>
      <c r="C766" t="n">
        <v>63.3488</v>
      </c>
      <c r="D766" t="n">
        <v>27.8929</v>
      </c>
      <c r="E766" t="n">
        <v>64.84229999999999</v>
      </c>
      <c r="F766" t="n">
        <v>43.1285</v>
      </c>
      <c r="G766" t="n">
        <v>41.4875</v>
      </c>
      <c r="H766" t="n">
        <v>88.3043</v>
      </c>
      <c r="I766" t="n">
        <v>55.2571</v>
      </c>
      <c r="J766" t="n">
        <v>72.5013</v>
      </c>
      <c r="K766" t="n">
        <v>100.8</v>
      </c>
    </row>
    <row r="767">
      <c r="A767" s="98" t="n">
        <v>30225</v>
      </c>
      <c r="B767" t="n">
        <v>47.4738</v>
      </c>
      <c r="C767" t="n">
        <v>62.4331</v>
      </c>
      <c r="D767" t="n">
        <v>27.2559</v>
      </c>
      <c r="E767" t="n">
        <v>64.8523</v>
      </c>
      <c r="F767" t="n">
        <v>42.5704</v>
      </c>
      <c r="G767" t="n">
        <v>40.9949</v>
      </c>
      <c r="H767" t="n">
        <v>87.9971</v>
      </c>
      <c r="I767" t="n">
        <v>55.4173</v>
      </c>
      <c r="J767" t="n">
        <v>71.7456</v>
      </c>
      <c r="K767" t="n">
        <v>101.3</v>
      </c>
    </row>
    <row r="768">
      <c r="A768" s="98" t="n">
        <v>30256</v>
      </c>
      <c r="B768" t="n">
        <v>47.32</v>
      </c>
      <c r="C768" t="n">
        <v>62.0656</v>
      </c>
      <c r="D768" t="n">
        <v>27.1515</v>
      </c>
      <c r="E768" t="n">
        <v>64.7337</v>
      </c>
      <c r="F768" t="n">
        <v>42.3097</v>
      </c>
      <c r="G768" t="n">
        <v>40.8351</v>
      </c>
      <c r="H768" t="n">
        <v>87.75660000000001</v>
      </c>
      <c r="I768" t="n">
        <v>56.1524</v>
      </c>
      <c r="J768" t="n">
        <v>71.4593</v>
      </c>
      <c r="K768" t="n">
        <v>101.6</v>
      </c>
    </row>
    <row r="769">
      <c r="A769" s="98" t="n">
        <v>30286</v>
      </c>
      <c r="B769" t="n">
        <v>46.9813</v>
      </c>
      <c r="C769" t="n">
        <v>61.6162</v>
      </c>
      <c r="D769" t="n">
        <v>27.434</v>
      </c>
      <c r="E769" t="n">
        <v>63.9088</v>
      </c>
      <c r="F769" t="n">
        <v>42.1691</v>
      </c>
      <c r="G769" t="n">
        <v>40.4708</v>
      </c>
      <c r="H769" t="n">
        <v>86.70480000000001</v>
      </c>
      <c r="I769" t="n">
        <v>54.4366</v>
      </c>
      <c r="J769" t="n">
        <v>70.9046</v>
      </c>
      <c r="K769" t="n">
        <v>102.2</v>
      </c>
    </row>
    <row r="770">
      <c r="A770" s="98" t="n">
        <v>30317</v>
      </c>
      <c r="B770" t="n">
        <v>47.8523</v>
      </c>
      <c r="C770" t="n">
        <v>63.8125</v>
      </c>
      <c r="D770" t="n">
        <v>27.4745</v>
      </c>
      <c r="E770" t="n">
        <v>65.2804</v>
      </c>
      <c r="F770" t="n">
        <v>43.1658</v>
      </c>
      <c r="G770" t="n">
        <v>41.3767</v>
      </c>
      <c r="H770" t="n">
        <v>87.5433</v>
      </c>
      <c r="I770" t="n">
        <v>54.3183</v>
      </c>
      <c r="J770" t="n">
        <v>72.1842</v>
      </c>
      <c r="K770" t="n">
        <v>101.8</v>
      </c>
    </row>
    <row r="771">
      <c r="A771" s="98" t="n">
        <v>30348</v>
      </c>
      <c r="B771" t="n">
        <v>47.5667</v>
      </c>
      <c r="C771" t="n">
        <v>63.4981</v>
      </c>
      <c r="D771" t="n">
        <v>27.3907</v>
      </c>
      <c r="E771" t="n">
        <v>64.4517</v>
      </c>
      <c r="F771" t="n">
        <v>43.1574</v>
      </c>
      <c r="G771" t="n">
        <v>41.2404</v>
      </c>
      <c r="H771" t="n">
        <v>85.81489999999999</v>
      </c>
      <c r="I771" t="n">
        <v>52.9202</v>
      </c>
      <c r="J771" t="n">
        <v>71.726</v>
      </c>
      <c r="K771" t="n">
        <v>102.2</v>
      </c>
    </row>
    <row r="772">
      <c r="A772" s="98" t="n">
        <v>30376</v>
      </c>
      <c r="B772" t="n">
        <v>47.9599</v>
      </c>
      <c r="C772" t="n">
        <v>64.2196</v>
      </c>
      <c r="D772" t="n">
        <v>27.6862</v>
      </c>
      <c r="E772" t="n">
        <v>64.7152</v>
      </c>
      <c r="F772" t="n">
        <v>43.5744</v>
      </c>
      <c r="G772" t="n">
        <v>41.6162</v>
      </c>
      <c r="H772" t="n">
        <v>84.72490000000001</v>
      </c>
      <c r="I772" t="n">
        <v>54.8506</v>
      </c>
      <c r="J772" t="n">
        <v>72.29730000000001</v>
      </c>
      <c r="K772" t="n">
        <v>102.5</v>
      </c>
    </row>
    <row r="773">
      <c r="A773" s="98"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8" t="n">
        <v>30437</v>
      </c>
      <c r="B774" t="n">
        <v>48.8647</v>
      </c>
      <c r="C774" t="n">
        <v>66.3206</v>
      </c>
      <c r="D774" t="n">
        <v>28.0904</v>
      </c>
      <c r="E774" t="n">
        <v>66.2488</v>
      </c>
      <c r="F774" t="n">
        <v>44.6504</v>
      </c>
      <c r="G774" t="n">
        <v>42.4177</v>
      </c>
      <c r="H774" t="n">
        <v>85.20950000000001</v>
      </c>
      <c r="I774" t="n">
        <v>54.8556</v>
      </c>
      <c r="J774" t="n">
        <v>73.62690000000001</v>
      </c>
      <c r="K774" t="n">
        <v>102.6</v>
      </c>
    </row>
    <row r="775">
      <c r="A775" s="98" t="n">
        <v>30468</v>
      </c>
      <c r="B775" t="n">
        <v>49.1558</v>
      </c>
      <c r="C775" t="n">
        <v>67.4795</v>
      </c>
      <c r="D775" t="n">
        <v>28.2937</v>
      </c>
      <c r="E775" t="n">
        <v>66.47499999999999</v>
      </c>
      <c r="F775" t="n">
        <v>45.0187</v>
      </c>
      <c r="G775" t="n">
        <v>42.7195</v>
      </c>
      <c r="H775" t="n">
        <v>85.4432</v>
      </c>
      <c r="I775" t="n">
        <v>54.6927</v>
      </c>
      <c r="J775" t="n">
        <v>74.04819999999999</v>
      </c>
      <c r="K775" t="n">
        <v>102.8</v>
      </c>
    </row>
    <row r="776">
      <c r="A776" s="98" t="n">
        <v>30498</v>
      </c>
      <c r="B776" t="n">
        <v>49.8873</v>
      </c>
      <c r="C776" t="n">
        <v>68.8884</v>
      </c>
      <c r="D776" t="n">
        <v>28.8631</v>
      </c>
      <c r="E776" t="n">
        <v>67.3446</v>
      </c>
      <c r="F776" t="n">
        <v>45.6932</v>
      </c>
      <c r="G776" t="n">
        <v>43.4042</v>
      </c>
      <c r="H776" t="n">
        <v>85.9676</v>
      </c>
      <c r="I776" t="n">
        <v>56.5753</v>
      </c>
      <c r="J776" t="n">
        <v>75.1289</v>
      </c>
      <c r="K776" t="n">
        <v>103.1</v>
      </c>
    </row>
    <row r="777">
      <c r="A777" s="98" t="n">
        <v>30529</v>
      </c>
      <c r="B777" t="n">
        <v>50.4843</v>
      </c>
      <c r="C777" t="n">
        <v>69.1858</v>
      </c>
      <c r="D777" t="n">
        <v>29.1578</v>
      </c>
      <c r="E777" t="n">
        <v>67.9481</v>
      </c>
      <c r="F777" t="n">
        <v>46.0875</v>
      </c>
      <c r="G777" t="n">
        <v>44.0445</v>
      </c>
      <c r="H777" t="n">
        <v>86.7422</v>
      </c>
      <c r="I777" t="n">
        <v>58.8709</v>
      </c>
      <c r="J777" t="n">
        <v>75.99979999999999</v>
      </c>
      <c r="K777" t="n">
        <v>103.5</v>
      </c>
    </row>
    <row r="778">
      <c r="A778" s="98" t="n">
        <v>30560</v>
      </c>
      <c r="B778" t="n">
        <v>51.216</v>
      </c>
      <c r="C778" t="n">
        <v>70.0416</v>
      </c>
      <c r="D778" t="n">
        <v>29.9409</v>
      </c>
      <c r="E778" t="n">
        <v>68.80370000000001</v>
      </c>
      <c r="F778" t="n">
        <v>46.9684</v>
      </c>
      <c r="G778" t="n">
        <v>44.6155</v>
      </c>
      <c r="H778" t="n">
        <v>87.3126</v>
      </c>
      <c r="I778" t="n">
        <v>58.7254</v>
      </c>
      <c r="J778" t="n">
        <v>77.0638</v>
      </c>
      <c r="K778" t="n">
        <v>103.5</v>
      </c>
    </row>
    <row r="779">
      <c r="A779" s="98" t="n">
        <v>30590</v>
      </c>
      <c r="B779" t="n">
        <v>51.6139</v>
      </c>
      <c r="C779" t="n">
        <v>71.1674</v>
      </c>
      <c r="D779" t="n">
        <v>30.2867</v>
      </c>
      <c r="E779" t="n">
        <v>68.4028</v>
      </c>
      <c r="F779" t="n">
        <v>47.4583</v>
      </c>
      <c r="G779" t="n">
        <v>45.2027</v>
      </c>
      <c r="H779" t="n">
        <v>88.18989999999999</v>
      </c>
      <c r="I779" t="n">
        <v>57.7975</v>
      </c>
      <c r="J779" t="n">
        <v>77.6138</v>
      </c>
      <c r="K779" t="n">
        <v>103.6</v>
      </c>
    </row>
    <row r="780">
      <c r="A780" s="98" t="n">
        <v>30621</v>
      </c>
      <c r="B780" t="n">
        <v>51.842</v>
      </c>
      <c r="C780" t="n">
        <v>70.99160000000001</v>
      </c>
      <c r="D780" t="n">
        <v>30.6112</v>
      </c>
      <c r="E780" t="n">
        <v>68.51479999999999</v>
      </c>
      <c r="F780" t="n">
        <v>47.7005</v>
      </c>
      <c r="G780" t="n">
        <v>45.4487</v>
      </c>
      <c r="H780" t="n">
        <v>88.1887</v>
      </c>
      <c r="I780" t="n">
        <v>58.1483</v>
      </c>
      <c r="J780" t="n">
        <v>77.896</v>
      </c>
      <c r="K780" t="n">
        <v>103.8</v>
      </c>
    </row>
    <row r="781">
      <c r="A781" s="98" t="n">
        <v>30651</v>
      </c>
      <c r="B781" t="n">
        <v>52.0948</v>
      </c>
      <c r="C781" t="n">
        <v>71.18680000000001</v>
      </c>
      <c r="D781" t="n">
        <v>30.8883</v>
      </c>
      <c r="E781" t="n">
        <v>68.61</v>
      </c>
      <c r="F781" t="n">
        <v>47.8494</v>
      </c>
      <c r="G781" t="n">
        <v>45.639</v>
      </c>
      <c r="H781" t="n">
        <v>87.2064</v>
      </c>
      <c r="I781" t="n">
        <v>60.8625</v>
      </c>
      <c r="J781" t="n">
        <v>78.20229999999999</v>
      </c>
      <c r="K781" t="n">
        <v>104.1</v>
      </c>
    </row>
    <row r="782">
      <c r="A782" s="98" t="n">
        <v>30682</v>
      </c>
      <c r="B782" t="n">
        <v>53.1348</v>
      </c>
      <c r="C782" t="n">
        <v>71.63339999999999</v>
      </c>
      <c r="D782" t="n">
        <v>31.5836</v>
      </c>
      <c r="E782" t="n">
        <v>69.9819</v>
      </c>
      <c r="F782" t="n">
        <v>48.7326</v>
      </c>
      <c r="G782" t="n">
        <v>46.5809</v>
      </c>
      <c r="H782" t="n">
        <v>91.2997</v>
      </c>
      <c r="I782" t="n">
        <v>60.6442</v>
      </c>
      <c r="J782" t="n">
        <v>79.6754</v>
      </c>
      <c r="K782" t="n">
        <v>104.5</v>
      </c>
    </row>
    <row r="783">
      <c r="A783" s="98" t="n">
        <v>30713</v>
      </c>
      <c r="B783" t="n">
        <v>53.3763</v>
      </c>
      <c r="C783" t="n">
        <v>73.2188</v>
      </c>
      <c r="D783" t="n">
        <v>31.8484</v>
      </c>
      <c r="E783" t="n">
        <v>69.82989999999999</v>
      </c>
      <c r="F783" t="n">
        <v>49.2659</v>
      </c>
      <c r="G783" t="n">
        <v>46.823</v>
      </c>
      <c r="H783" t="n">
        <v>90.2961</v>
      </c>
      <c r="I783" t="n">
        <v>59.358</v>
      </c>
      <c r="J783" t="n">
        <v>79.9355</v>
      </c>
      <c r="K783" t="n">
        <v>104.7</v>
      </c>
    </row>
    <row r="784">
      <c r="A784" s="98" t="n">
        <v>30742</v>
      </c>
      <c r="B784" t="n">
        <v>53.6314</v>
      </c>
      <c r="C784" t="n">
        <v>72.7548</v>
      </c>
      <c r="D784" t="n">
        <v>32.1616</v>
      </c>
      <c r="E784" t="n">
        <v>70.0925</v>
      </c>
      <c r="F784" t="n">
        <v>49.4814</v>
      </c>
      <c r="G784" t="n">
        <v>47.0375</v>
      </c>
      <c r="H784" t="n">
        <v>89.63630000000001</v>
      </c>
      <c r="I784" t="n">
        <v>60.8143</v>
      </c>
      <c r="J784" t="n">
        <v>80.2017</v>
      </c>
      <c r="K784" t="n">
        <v>105.2</v>
      </c>
    </row>
    <row r="785">
      <c r="A785" s="98" t="n">
        <v>30773</v>
      </c>
      <c r="B785" t="n">
        <v>53.9491</v>
      </c>
      <c r="C785" t="n">
        <v>73.2508</v>
      </c>
      <c r="D785" t="n">
        <v>32.4374</v>
      </c>
      <c r="E785" t="n">
        <v>70.27509999999999</v>
      </c>
      <c r="F785" t="n">
        <v>49.728</v>
      </c>
      <c r="G785" t="n">
        <v>47.3467</v>
      </c>
      <c r="H785" t="n">
        <v>91.3933</v>
      </c>
      <c r="I785" t="n">
        <v>60.4976</v>
      </c>
      <c r="J785" t="n">
        <v>80.54730000000001</v>
      </c>
      <c r="K785" t="n">
        <v>105.3</v>
      </c>
    </row>
    <row r="786">
      <c r="A786" s="98" t="n">
        <v>30803</v>
      </c>
      <c r="B786" t="n">
        <v>54.2396</v>
      </c>
      <c r="C786" t="n">
        <v>73.44710000000001</v>
      </c>
      <c r="D786" t="n">
        <v>32.5987</v>
      </c>
      <c r="E786" t="n">
        <v>70.0265</v>
      </c>
      <c r="F786" t="n">
        <v>49.8811</v>
      </c>
      <c r="G786" t="n">
        <v>47.699</v>
      </c>
      <c r="H786" t="n">
        <v>92.7561</v>
      </c>
      <c r="I786" t="n">
        <v>61.063</v>
      </c>
      <c r="J786" t="n">
        <v>80.83839999999999</v>
      </c>
      <c r="K786" t="n">
        <v>105.3</v>
      </c>
    </row>
    <row r="787">
      <c r="A787" s="98" t="n">
        <v>30834</v>
      </c>
      <c r="B787" t="n">
        <v>54.4288</v>
      </c>
      <c r="C787" t="n">
        <v>73.9568</v>
      </c>
      <c r="D787" t="n">
        <v>32.9337</v>
      </c>
      <c r="E787" t="n">
        <v>69.9914</v>
      </c>
      <c r="F787" t="n">
        <v>50.1051</v>
      </c>
      <c r="G787" t="n">
        <v>47.8023</v>
      </c>
      <c r="H787" t="n">
        <v>93.1331</v>
      </c>
      <c r="I787" t="n">
        <v>60.7403</v>
      </c>
      <c r="J787" t="n">
        <v>80.9648</v>
      </c>
      <c r="K787" t="n">
        <v>105.5</v>
      </c>
    </row>
    <row r="788">
      <c r="A788" s="98" t="n">
        <v>30864</v>
      </c>
      <c r="B788" t="n">
        <v>54.5865</v>
      </c>
      <c r="C788" t="n">
        <v>73.711</v>
      </c>
      <c r="D788" t="n">
        <v>33.393</v>
      </c>
      <c r="E788" t="n">
        <v>69.9905</v>
      </c>
      <c r="F788" t="n">
        <v>50.3185</v>
      </c>
      <c r="G788" t="n">
        <v>47.9437</v>
      </c>
      <c r="H788" t="n">
        <v>94.7073</v>
      </c>
      <c r="I788" t="n">
        <v>59.0972</v>
      </c>
      <c r="J788" t="n">
        <v>81.0339</v>
      </c>
      <c r="K788" t="n">
        <v>105.7</v>
      </c>
    </row>
    <row r="789">
      <c r="A789" s="98"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8" t="n">
        <v>30926</v>
      </c>
      <c r="B790" t="n">
        <v>54.4949</v>
      </c>
      <c r="C790" t="n">
        <v>74.15689999999999</v>
      </c>
      <c r="D790" t="n">
        <v>33.7664</v>
      </c>
      <c r="E790" t="n">
        <v>69.4036</v>
      </c>
      <c r="F790" t="n">
        <v>50.2189</v>
      </c>
      <c r="G790" t="n">
        <v>47.6642</v>
      </c>
      <c r="H790" t="n">
        <v>94.3206</v>
      </c>
      <c r="I790" t="n">
        <v>59.1017</v>
      </c>
      <c r="J790" t="n">
        <v>80.54389999999999</v>
      </c>
      <c r="K790" t="n">
        <v>106.2</v>
      </c>
    </row>
    <row r="791">
      <c r="A791" s="98" t="n">
        <v>30956</v>
      </c>
      <c r="B791" t="n">
        <v>54.4772</v>
      </c>
      <c r="C791" t="n">
        <v>73.97750000000001</v>
      </c>
      <c r="D791" t="n">
        <v>34.0444</v>
      </c>
      <c r="E791" t="n">
        <v>70.0313</v>
      </c>
      <c r="F791" t="n">
        <v>50.4879</v>
      </c>
      <c r="G791" t="n">
        <v>47.2781</v>
      </c>
      <c r="H791" t="n">
        <v>91.24290000000001</v>
      </c>
      <c r="I791" t="n">
        <v>59.07</v>
      </c>
      <c r="J791" t="n">
        <v>80.3305</v>
      </c>
      <c r="K791" t="n">
        <v>105.9</v>
      </c>
    </row>
    <row r="792">
      <c r="A792" s="98" t="n">
        <v>30987</v>
      </c>
      <c r="B792" t="n">
        <v>54.6594</v>
      </c>
      <c r="C792" t="n">
        <v>73.8374</v>
      </c>
      <c r="D792" t="n">
        <v>34.3361</v>
      </c>
      <c r="E792" t="n">
        <v>70.2392</v>
      </c>
      <c r="F792" t="n">
        <v>50.6238</v>
      </c>
      <c r="G792" t="n">
        <v>47.4325</v>
      </c>
      <c r="H792" t="n">
        <v>91.3049</v>
      </c>
      <c r="I792" t="n">
        <v>59.8278</v>
      </c>
      <c r="J792" t="n">
        <v>80.4055</v>
      </c>
      <c r="K792" t="n">
        <v>106.2</v>
      </c>
    </row>
    <row r="793">
      <c r="A793" s="98"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8" t="n">
        <v>31048</v>
      </c>
      <c r="B794" t="n">
        <v>54.6505</v>
      </c>
      <c r="C794" t="n">
        <v>73.2538</v>
      </c>
      <c r="D794" t="n">
        <v>34.4701</v>
      </c>
      <c r="E794" t="n">
        <v>70.1605</v>
      </c>
      <c r="F794" t="n">
        <v>50.628</v>
      </c>
      <c r="G794" t="n">
        <v>47.4324</v>
      </c>
      <c r="H794" t="n">
        <v>89.2931</v>
      </c>
      <c r="I794" t="n">
        <v>61.2992</v>
      </c>
      <c r="J794" t="n">
        <v>79.995</v>
      </c>
      <c r="K794" t="n">
        <v>106.9</v>
      </c>
    </row>
    <row r="795">
      <c r="A795" s="98" t="n">
        <v>31079</v>
      </c>
      <c r="B795" t="n">
        <v>54.8169</v>
      </c>
      <c r="C795" t="n">
        <v>73.3493</v>
      </c>
      <c r="D795" t="n">
        <v>34.2311</v>
      </c>
      <c r="E795" t="n">
        <v>70.5591</v>
      </c>
      <c r="F795" t="n">
        <v>50.4069</v>
      </c>
      <c r="G795" t="n">
        <v>47.5538</v>
      </c>
      <c r="H795" t="n">
        <v>90.9619</v>
      </c>
      <c r="I795" t="n">
        <v>63.43</v>
      </c>
      <c r="J795" t="n">
        <v>80.0351</v>
      </c>
      <c r="K795" t="n">
        <v>107.3</v>
      </c>
    </row>
    <row r="796">
      <c r="A796" s="98" t="n">
        <v>31107</v>
      </c>
      <c r="B796" t="n">
        <v>54.8978</v>
      </c>
      <c r="C796" t="n">
        <v>75.33759999999999</v>
      </c>
      <c r="D796" t="n">
        <v>34.6098</v>
      </c>
      <c r="E796" t="n">
        <v>70.5001</v>
      </c>
      <c r="F796" t="n">
        <v>50.79</v>
      </c>
      <c r="G796" t="n">
        <v>47.4591</v>
      </c>
      <c r="H796" t="n">
        <v>91.1982</v>
      </c>
      <c r="I796" t="n">
        <v>60.5102</v>
      </c>
      <c r="J796" t="n">
        <v>79.9495</v>
      </c>
      <c r="K796" t="n">
        <v>107.6</v>
      </c>
    </row>
    <row r="797">
      <c r="A797" s="98" t="n">
        <v>31138</v>
      </c>
      <c r="B797" t="n">
        <v>54.7833</v>
      </c>
      <c r="C797" t="n">
        <v>75.2714</v>
      </c>
      <c r="D797" t="n">
        <v>34.3124</v>
      </c>
      <c r="E797" t="n">
        <v>70.1288</v>
      </c>
      <c r="F797" t="n">
        <v>50.6097</v>
      </c>
      <c r="G797" t="n">
        <v>47.439</v>
      </c>
      <c r="H797" t="n">
        <v>90.9492</v>
      </c>
      <c r="I797" t="n">
        <v>61.1028</v>
      </c>
      <c r="J797" t="n">
        <v>79.5821</v>
      </c>
      <c r="K797" t="n">
        <v>107.6</v>
      </c>
    </row>
    <row r="798">
      <c r="A798" s="98"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8" t="n">
        <v>31199</v>
      </c>
      <c r="B799" t="n">
        <v>54.8401</v>
      </c>
      <c r="C799" t="n">
        <v>75.9712</v>
      </c>
      <c r="D799" t="n">
        <v>34.4327</v>
      </c>
      <c r="E799" t="n">
        <v>70.471</v>
      </c>
      <c r="F799" t="n">
        <v>50.7372</v>
      </c>
      <c r="G799" t="n">
        <v>47.3368</v>
      </c>
      <c r="H799" t="n">
        <v>91.2317</v>
      </c>
      <c r="I799" t="n">
        <v>60.4238</v>
      </c>
      <c r="J799" t="n">
        <v>79.274</v>
      </c>
      <c r="K799" t="n">
        <v>108.2</v>
      </c>
    </row>
    <row r="800">
      <c r="A800" s="98" t="n">
        <v>31229</v>
      </c>
      <c r="B800" t="n">
        <v>54.5582</v>
      </c>
      <c r="C800" t="n">
        <v>75.69589999999999</v>
      </c>
      <c r="D800" t="n">
        <v>34.2761</v>
      </c>
      <c r="E800" t="n">
        <v>70.2495</v>
      </c>
      <c r="F800" t="n">
        <v>50.5184</v>
      </c>
      <c r="G800" t="n">
        <v>47.0555</v>
      </c>
      <c r="H800" t="n">
        <v>89.6647</v>
      </c>
      <c r="I800" t="n">
        <v>60.6371</v>
      </c>
      <c r="J800" t="n">
        <v>78.6824</v>
      </c>
      <c r="K800" t="n">
        <v>108.4</v>
      </c>
    </row>
    <row r="801">
      <c r="A801" s="98" t="n">
        <v>31260</v>
      </c>
      <c r="B801" t="n">
        <v>54.7381</v>
      </c>
      <c r="C801" t="n">
        <v>75.7611</v>
      </c>
      <c r="D801" t="n">
        <v>34.3151</v>
      </c>
      <c r="E801" t="n">
        <v>70.57769999999999</v>
      </c>
      <c r="F801" t="n">
        <v>50.7752</v>
      </c>
      <c r="G801" t="n">
        <v>47.1249</v>
      </c>
      <c r="H801" t="n">
        <v>89.5052</v>
      </c>
      <c r="I801" t="n">
        <v>60.5032</v>
      </c>
      <c r="J801" t="n">
        <v>78.7658</v>
      </c>
      <c r="K801" t="n">
        <v>108.5</v>
      </c>
    </row>
    <row r="802">
      <c r="A802" s="98" t="n">
        <v>31291</v>
      </c>
      <c r="B802" t="n">
        <v>54.9416</v>
      </c>
      <c r="C802" t="n">
        <v>75.738</v>
      </c>
      <c r="D802" t="n">
        <v>34.2251</v>
      </c>
      <c r="E802" t="n">
        <v>70.9164</v>
      </c>
      <c r="F802" t="n">
        <v>50.8264</v>
      </c>
      <c r="G802" t="n">
        <v>47.3626</v>
      </c>
      <c r="H802" t="n">
        <v>90.54000000000001</v>
      </c>
      <c r="I802" t="n">
        <v>61.6737</v>
      </c>
      <c r="J802" t="n">
        <v>78.89279999999999</v>
      </c>
      <c r="K802" t="n">
        <v>107.9</v>
      </c>
    </row>
    <row r="803">
      <c r="A803" s="98" t="n">
        <v>31321</v>
      </c>
      <c r="B803" t="n">
        <v>54.7538</v>
      </c>
      <c r="C803" t="n">
        <v>75.85850000000001</v>
      </c>
      <c r="D803" t="n">
        <v>34.1798</v>
      </c>
      <c r="E803" t="n">
        <v>70.83069999999999</v>
      </c>
      <c r="F803" t="n">
        <v>50.7344</v>
      </c>
      <c r="G803" t="n">
        <v>47.0864</v>
      </c>
      <c r="H803" t="n">
        <v>89.9511</v>
      </c>
      <c r="I803" t="n">
        <v>61.1189</v>
      </c>
      <c r="J803" t="n">
        <v>78.4693</v>
      </c>
      <c r="K803" t="n">
        <v>108.9</v>
      </c>
    </row>
    <row r="804">
      <c r="A804" s="98" t="n">
        <v>31352</v>
      </c>
      <c r="B804" t="n">
        <v>54.939</v>
      </c>
      <c r="C804" t="n">
        <v>75.8075</v>
      </c>
      <c r="D804" t="n">
        <v>34.4861</v>
      </c>
      <c r="E804" t="n">
        <v>71.22790000000001</v>
      </c>
      <c r="F804" t="n">
        <v>51.0852</v>
      </c>
      <c r="G804" t="n">
        <v>47.1444</v>
      </c>
      <c r="H804" t="n">
        <v>88.8419</v>
      </c>
      <c r="I804" t="n">
        <v>61.0142</v>
      </c>
      <c r="J804" t="n">
        <v>78.5929</v>
      </c>
      <c r="K804" t="n">
        <v>109.1</v>
      </c>
    </row>
    <row r="805">
      <c r="A805" s="98" t="n">
        <v>31382</v>
      </c>
      <c r="B805" t="n">
        <v>55.4945</v>
      </c>
      <c r="C805" t="n">
        <v>75.5611</v>
      </c>
      <c r="D805" t="n">
        <v>34.4236</v>
      </c>
      <c r="E805" t="n">
        <v>71.9089</v>
      </c>
      <c r="F805" t="n">
        <v>51.2667</v>
      </c>
      <c r="G805" t="n">
        <v>47.8152</v>
      </c>
      <c r="H805" t="n">
        <v>90.6799</v>
      </c>
      <c r="I805" t="n">
        <v>63.9188</v>
      </c>
      <c r="J805" t="n">
        <v>79.25749999999999</v>
      </c>
      <c r="K805" t="n">
        <v>109.1</v>
      </c>
    </row>
    <row r="806">
      <c r="A806" s="98" t="n">
        <v>31413</v>
      </c>
      <c r="B806" t="n">
        <v>55.7802</v>
      </c>
      <c r="C806" t="n">
        <v>77.1759</v>
      </c>
      <c r="D806" t="n">
        <v>34.5047</v>
      </c>
      <c r="E806" t="n">
        <v>72.74290000000001</v>
      </c>
      <c r="F806" t="n">
        <v>51.8829</v>
      </c>
      <c r="G806" t="n">
        <v>47.885</v>
      </c>
      <c r="H806" t="n">
        <v>90.40519999999999</v>
      </c>
      <c r="I806" t="n">
        <v>61.8959</v>
      </c>
      <c r="J806" t="n">
        <v>79.5471</v>
      </c>
      <c r="K806" t="n">
        <v>109.3</v>
      </c>
    </row>
    <row r="807">
      <c r="A807" s="98" t="n">
        <v>31444</v>
      </c>
      <c r="B807" t="n">
        <v>55.3994</v>
      </c>
      <c r="C807" t="n">
        <v>76.446</v>
      </c>
      <c r="D807" t="n">
        <v>34.1369</v>
      </c>
      <c r="E807" t="n">
        <v>72.12860000000001</v>
      </c>
      <c r="F807" t="n">
        <v>51.6139</v>
      </c>
      <c r="G807" t="n">
        <v>47.7022</v>
      </c>
      <c r="H807" t="n">
        <v>89.16630000000001</v>
      </c>
      <c r="I807" t="n">
        <v>61.3635</v>
      </c>
      <c r="J807" t="n">
        <v>78.8993</v>
      </c>
      <c r="K807" t="n">
        <v>109.5</v>
      </c>
    </row>
    <row r="808">
      <c r="A808" s="98" t="n">
        <v>31472</v>
      </c>
      <c r="B808" t="n">
        <v>55.0001</v>
      </c>
      <c r="C808" t="n">
        <v>76.6143</v>
      </c>
      <c r="D808" t="n">
        <v>34.1041</v>
      </c>
      <c r="E808" t="n">
        <v>71.8613</v>
      </c>
      <c r="F808" t="n">
        <v>51.4254</v>
      </c>
      <c r="G808" t="n">
        <v>47.1564</v>
      </c>
      <c r="H808" t="n">
        <v>86.7723</v>
      </c>
      <c r="I808" t="n">
        <v>60.5034</v>
      </c>
      <c r="J808" t="n">
        <v>78.2371</v>
      </c>
      <c r="K808" t="n">
        <v>109.6</v>
      </c>
    </row>
    <row r="809">
      <c r="A809" s="98" t="n">
        <v>31503</v>
      </c>
      <c r="B809" t="n">
        <v>55.0641</v>
      </c>
      <c r="C809" t="n">
        <v>77.3475</v>
      </c>
      <c r="D809" t="n">
        <v>33.8864</v>
      </c>
      <c r="E809" t="n">
        <v>72.3446</v>
      </c>
      <c r="F809" t="n">
        <v>51.5592</v>
      </c>
      <c r="G809" t="n">
        <v>47.0848</v>
      </c>
      <c r="H809" t="n">
        <v>83.9027</v>
      </c>
      <c r="I809" t="n">
        <v>60.863</v>
      </c>
      <c r="J809" t="n">
        <v>78.2427</v>
      </c>
      <c r="K809" t="n">
        <v>110.1</v>
      </c>
    </row>
    <row r="810">
      <c r="A810" s="98" t="n">
        <v>31533</v>
      </c>
      <c r="B810" t="n">
        <v>55.1705</v>
      </c>
      <c r="C810" t="n">
        <v>77.79519999999999</v>
      </c>
      <c r="D810" t="n">
        <v>33.8295</v>
      </c>
      <c r="E810" t="n">
        <v>72.74679999999999</v>
      </c>
      <c r="F810" t="n">
        <v>51.6179</v>
      </c>
      <c r="G810" t="n">
        <v>47.0928</v>
      </c>
      <c r="H810" t="n">
        <v>83.3981</v>
      </c>
      <c r="I810" t="n">
        <v>61.5726</v>
      </c>
      <c r="J810" t="n">
        <v>78.3137</v>
      </c>
      <c r="K810" t="n">
        <v>110.2</v>
      </c>
    </row>
    <row r="811">
      <c r="A811" s="98" t="n">
        <v>31564</v>
      </c>
      <c r="B811" t="n">
        <v>54.9588</v>
      </c>
      <c r="C811" t="n">
        <v>77.0256</v>
      </c>
      <c r="D811" t="n">
        <v>33.4837</v>
      </c>
      <c r="E811" t="n">
        <v>72.741</v>
      </c>
      <c r="F811" t="n">
        <v>51.4214</v>
      </c>
      <c r="G811" t="n">
        <v>46.843</v>
      </c>
      <c r="H811" t="n">
        <v>82.26990000000001</v>
      </c>
      <c r="I811" t="n">
        <v>61.9337</v>
      </c>
      <c r="J811" t="n">
        <v>77.9358</v>
      </c>
      <c r="K811" t="n">
        <v>110.5</v>
      </c>
    </row>
    <row r="812">
      <c r="A812" s="98" t="n">
        <v>31594</v>
      </c>
      <c r="B812" t="n">
        <v>55.2944</v>
      </c>
      <c r="C812" t="n">
        <v>77.44029999999999</v>
      </c>
      <c r="D812" t="n">
        <v>33.7321</v>
      </c>
      <c r="E812" t="n">
        <v>73.1842</v>
      </c>
      <c r="F812" t="n">
        <v>51.7014</v>
      </c>
      <c r="G812" t="n">
        <v>47.1706</v>
      </c>
      <c r="H812" t="n">
        <v>81.9263</v>
      </c>
      <c r="I812" t="n">
        <v>63.0508</v>
      </c>
      <c r="J812" t="n">
        <v>78.3349</v>
      </c>
      <c r="K812" t="n">
        <v>110.7</v>
      </c>
    </row>
    <row r="813">
      <c r="A813" s="98" t="n">
        <v>31625</v>
      </c>
      <c r="B813" t="n">
        <v>55.2029</v>
      </c>
      <c r="C813" t="n">
        <v>78.2196</v>
      </c>
      <c r="D813" t="n">
        <v>33.7042</v>
      </c>
      <c r="E813" t="n">
        <v>73.12350000000001</v>
      </c>
      <c r="F813" t="n">
        <v>51.8462</v>
      </c>
      <c r="G813" t="n">
        <v>46.9749</v>
      </c>
      <c r="H813" t="n">
        <v>81.1729</v>
      </c>
      <c r="I813" t="n">
        <v>61.499</v>
      </c>
      <c r="J813" t="n">
        <v>78.1263</v>
      </c>
      <c r="K813" t="n">
        <v>110.8</v>
      </c>
    </row>
    <row r="814">
      <c r="A814" s="98"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8" t="n">
        <v>31686</v>
      </c>
      <c r="B815" t="n">
        <v>55.5857</v>
      </c>
      <c r="C815" t="n">
        <v>78.3047</v>
      </c>
      <c r="D815" t="n">
        <v>33.6989</v>
      </c>
      <c r="E815" t="n">
        <v>73.52119999999999</v>
      </c>
      <c r="F815" t="n">
        <v>52.1872</v>
      </c>
      <c r="G815" t="n">
        <v>47.4314</v>
      </c>
      <c r="H815" t="n">
        <v>81.06310000000001</v>
      </c>
      <c r="I815" t="n">
        <v>62.4918</v>
      </c>
      <c r="J815" t="n">
        <v>78.4907</v>
      </c>
      <c r="K815" t="n">
        <v>111.8</v>
      </c>
    </row>
    <row r="816">
      <c r="A816" s="98" t="n">
        <v>31717</v>
      </c>
      <c r="B816" t="n">
        <v>55.803</v>
      </c>
      <c r="C816" t="n">
        <v>78.4851</v>
      </c>
      <c r="D816" t="n">
        <v>33.6932</v>
      </c>
      <c r="E816" t="n">
        <v>74.0232</v>
      </c>
      <c r="F816" t="n">
        <v>52.3749</v>
      </c>
      <c r="G816" t="n">
        <v>47.6318</v>
      </c>
      <c r="H816" t="n">
        <v>82.03700000000001</v>
      </c>
      <c r="I816" t="n">
        <v>62.5215</v>
      </c>
      <c r="J816" t="n">
        <v>78.69499999999999</v>
      </c>
      <c r="K816" t="n">
        <v>112</v>
      </c>
    </row>
    <row r="817">
      <c r="A817" s="98" t="n">
        <v>31747</v>
      </c>
      <c r="B817" t="n">
        <v>56.3441</v>
      </c>
      <c r="C817" t="n">
        <v>79.0356</v>
      </c>
      <c r="D817" t="n">
        <v>34.0801</v>
      </c>
      <c r="E817" t="n">
        <v>74.78749999999999</v>
      </c>
      <c r="F817" t="n">
        <v>52.9033</v>
      </c>
      <c r="G817" t="n">
        <v>48.0392</v>
      </c>
      <c r="H817" t="n">
        <v>82.092</v>
      </c>
      <c r="I817" t="n">
        <v>63.4032</v>
      </c>
      <c r="J817" t="n">
        <v>79.34520000000001</v>
      </c>
      <c r="K817" t="n">
        <v>112.1</v>
      </c>
    </row>
    <row r="818">
      <c r="A818" s="98" t="n">
        <v>31778</v>
      </c>
      <c r="B818" t="n">
        <v>56.1259</v>
      </c>
      <c r="C818" t="n">
        <v>79.8223</v>
      </c>
      <c r="D818" t="n">
        <v>34.114</v>
      </c>
      <c r="E818" t="n">
        <v>73.96250000000001</v>
      </c>
      <c r="F818" t="n">
        <v>52.7079</v>
      </c>
      <c r="G818" t="n">
        <v>47.9432</v>
      </c>
      <c r="H818" t="n">
        <v>82.7891</v>
      </c>
      <c r="I818" t="n">
        <v>62.492</v>
      </c>
      <c r="J818" t="n">
        <v>78.9169</v>
      </c>
      <c r="K818" t="n">
        <v>112.5</v>
      </c>
    </row>
    <row r="819">
      <c r="A819" s="98" t="n">
        <v>31809</v>
      </c>
      <c r="B819" t="n">
        <v>56.8779</v>
      </c>
      <c r="C819" t="n">
        <v>81.434</v>
      </c>
      <c r="D819" t="n">
        <v>34.8911</v>
      </c>
      <c r="E819" t="n">
        <v>74.95910000000001</v>
      </c>
      <c r="F819" t="n">
        <v>53.498</v>
      </c>
      <c r="G819" t="n">
        <v>48.5371</v>
      </c>
      <c r="H819" t="n">
        <v>82.90349999999999</v>
      </c>
      <c r="I819" t="n">
        <v>63.0947</v>
      </c>
      <c r="J819" t="n">
        <v>79.8398</v>
      </c>
      <c r="K819" t="n">
        <v>112.3</v>
      </c>
    </row>
    <row r="820">
      <c r="A820" s="98" t="n">
        <v>31837</v>
      </c>
      <c r="B820" t="n">
        <v>56.9516</v>
      </c>
      <c r="C820" t="n">
        <v>81.0382</v>
      </c>
      <c r="D820" t="n">
        <v>34.8537</v>
      </c>
      <c r="E820" t="n">
        <v>75.1234</v>
      </c>
      <c r="F820" t="n">
        <v>53.5104</v>
      </c>
      <c r="G820" t="n">
        <v>48.5988</v>
      </c>
      <c r="H820" t="n">
        <v>82.504</v>
      </c>
      <c r="I820" t="n">
        <v>63.7668</v>
      </c>
      <c r="J820" t="n">
        <v>79.7993</v>
      </c>
      <c r="K820" t="n">
        <v>112.4</v>
      </c>
    </row>
    <row r="821">
      <c r="A821" s="98" t="n">
        <v>31868</v>
      </c>
      <c r="B821" t="n">
        <v>57.3177</v>
      </c>
      <c r="C821" t="n">
        <v>81.43519999999999</v>
      </c>
      <c r="D821" t="n">
        <v>35.1569</v>
      </c>
      <c r="E821" t="n">
        <v>75.01479999999999</v>
      </c>
      <c r="F821" t="n">
        <v>53.835</v>
      </c>
      <c r="G821" t="n">
        <v>49.0758</v>
      </c>
      <c r="H821" t="n">
        <v>83.1093</v>
      </c>
      <c r="I821" t="n">
        <v>64.3865</v>
      </c>
      <c r="J821" t="n">
        <v>80.1614</v>
      </c>
      <c r="K821" t="n">
        <v>112.9</v>
      </c>
    </row>
    <row r="822">
      <c r="A822" s="98" t="n">
        <v>31898</v>
      </c>
      <c r="B822" t="n">
        <v>57.6774</v>
      </c>
      <c r="C822" t="n">
        <v>82.0976</v>
      </c>
      <c r="D822" t="n">
        <v>35.4506</v>
      </c>
      <c r="E822" t="n">
        <v>75.5976</v>
      </c>
      <c r="F822" t="n">
        <v>54.2143</v>
      </c>
      <c r="G822" t="n">
        <v>49.2837</v>
      </c>
      <c r="H822" t="n">
        <v>82.8973</v>
      </c>
      <c r="I822" t="n">
        <v>64.85469999999999</v>
      </c>
      <c r="J822" t="n">
        <v>80.5085</v>
      </c>
      <c r="K822" t="n">
        <v>113</v>
      </c>
    </row>
    <row r="823">
      <c r="A823" s="98"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8" t="n">
        <v>31959</v>
      </c>
      <c r="B824" t="n">
        <v>58.379</v>
      </c>
      <c r="C824" t="n">
        <v>82.65389999999999</v>
      </c>
      <c r="D824" t="n">
        <v>35.9916</v>
      </c>
      <c r="E824" t="n">
        <v>76.31310000000001</v>
      </c>
      <c r="F824" t="n">
        <v>54.8501</v>
      </c>
      <c r="G824" t="n">
        <v>49.983</v>
      </c>
      <c r="H824" t="n">
        <v>83.9661</v>
      </c>
      <c r="I824" t="n">
        <v>65.703</v>
      </c>
      <c r="J824" t="n">
        <v>81.1722</v>
      </c>
      <c r="K824" t="n">
        <v>113.3</v>
      </c>
    </row>
    <row r="825">
      <c r="A825" s="98"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8" t="n">
        <v>32021</v>
      </c>
      <c r="B826" t="n">
        <v>59.0391</v>
      </c>
      <c r="C826" t="n">
        <v>83.7383</v>
      </c>
      <c r="D826" t="n">
        <v>37.0795</v>
      </c>
      <c r="E826" t="n">
        <v>76.4838</v>
      </c>
      <c r="F826" t="n">
        <v>55.5373</v>
      </c>
      <c r="G826" t="n">
        <v>50.5738</v>
      </c>
      <c r="H826" t="n">
        <v>86.15560000000001</v>
      </c>
      <c r="I826" t="n">
        <v>65.16379999999999</v>
      </c>
      <c r="J826" t="n">
        <v>81.8</v>
      </c>
      <c r="K826" t="n">
        <v>113.9</v>
      </c>
    </row>
    <row r="827">
      <c r="A827" s="98"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8"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8" t="n">
        <v>32112</v>
      </c>
      <c r="B829" t="n">
        <v>60.4739</v>
      </c>
      <c r="C829" t="n">
        <v>85.5266</v>
      </c>
      <c r="D829" t="n">
        <v>38.5158</v>
      </c>
      <c r="E829" t="n">
        <v>78.0247</v>
      </c>
      <c r="F829" t="n">
        <v>57.1049</v>
      </c>
      <c r="G829" t="n">
        <v>51.9991</v>
      </c>
      <c r="H829" t="n">
        <v>87.56399999999999</v>
      </c>
      <c r="I829" t="n">
        <v>65.8387</v>
      </c>
      <c r="J829" t="n">
        <v>83.44499999999999</v>
      </c>
      <c r="K829" t="n">
        <v>114.3</v>
      </c>
    </row>
    <row r="830">
      <c r="A830" s="98" t="n">
        <v>32143</v>
      </c>
      <c r="B830" t="n">
        <v>60.4594</v>
      </c>
      <c r="C830" t="n">
        <v>83.9905</v>
      </c>
      <c r="D830" t="n">
        <v>38.5604</v>
      </c>
      <c r="E830" t="n">
        <v>78.30840000000001</v>
      </c>
      <c r="F830" t="n">
        <v>56.9621</v>
      </c>
      <c r="G830" t="n">
        <v>51.8164</v>
      </c>
      <c r="H830" t="n">
        <v>86.3164</v>
      </c>
      <c r="I830" t="n">
        <v>67.6399</v>
      </c>
      <c r="J830" t="n">
        <v>83.3424</v>
      </c>
      <c r="K830" t="n">
        <v>115</v>
      </c>
    </row>
    <row r="831">
      <c r="A831" s="98" t="n">
        <v>32174</v>
      </c>
      <c r="B831" t="n">
        <v>60.7643</v>
      </c>
      <c r="C831" t="n">
        <v>84.837</v>
      </c>
      <c r="D831" t="n">
        <v>38.8618</v>
      </c>
      <c r="E831" t="n">
        <v>78.684</v>
      </c>
      <c r="F831" t="n">
        <v>57.1656</v>
      </c>
      <c r="G831" t="n">
        <v>52.0652</v>
      </c>
      <c r="H831" t="n">
        <v>86.6567</v>
      </c>
      <c r="I831" t="n">
        <v>69.045</v>
      </c>
      <c r="J831" t="n">
        <v>83.696</v>
      </c>
      <c r="K831" t="n">
        <v>115.3</v>
      </c>
    </row>
    <row r="832">
      <c r="A832" s="98" t="n">
        <v>32203</v>
      </c>
      <c r="B832" t="n">
        <v>60.8948</v>
      </c>
      <c r="C832" t="n">
        <v>85.1455</v>
      </c>
      <c r="D832" t="n">
        <v>39.2869</v>
      </c>
      <c r="E832" t="n">
        <v>78.56100000000001</v>
      </c>
      <c r="F832" t="n">
        <v>57.3371</v>
      </c>
      <c r="G832" t="n">
        <v>52.2403</v>
      </c>
      <c r="H832" t="n">
        <v>87.2979</v>
      </c>
      <c r="I832" t="n">
        <v>68.78619999999999</v>
      </c>
      <c r="J832" t="n">
        <v>83.8229</v>
      </c>
      <c r="K832" t="n">
        <v>115.6</v>
      </c>
    </row>
    <row r="833">
      <c r="A833" s="98"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8" t="n">
        <v>32264</v>
      </c>
      <c r="B834" t="n">
        <v>61.1353</v>
      </c>
      <c r="C834" t="n">
        <v>84.98569999999999</v>
      </c>
      <c r="D834" t="n">
        <v>39.9008</v>
      </c>
      <c r="E834" t="n">
        <v>78.7717</v>
      </c>
      <c r="F834" t="n">
        <v>57.7443</v>
      </c>
      <c r="G834" t="n">
        <v>52.5472</v>
      </c>
      <c r="H834" t="n">
        <v>87.63809999999999</v>
      </c>
      <c r="I834" t="n">
        <v>67.8064</v>
      </c>
      <c r="J834" t="n">
        <v>84.0784</v>
      </c>
      <c r="K834" t="n">
        <v>116.2</v>
      </c>
    </row>
    <row r="835">
      <c r="A835" s="98" t="n">
        <v>32295</v>
      </c>
      <c r="B835" t="n">
        <v>61.2995</v>
      </c>
      <c r="C835" t="n">
        <v>84.3314</v>
      </c>
      <c r="D835" t="n">
        <v>40.2294</v>
      </c>
      <c r="E835" t="n">
        <v>78.7638</v>
      </c>
      <c r="F835" t="n">
        <v>57.8754</v>
      </c>
      <c r="G835" t="n">
        <v>52.7757</v>
      </c>
      <c r="H835" t="n">
        <v>87.4507</v>
      </c>
      <c r="I835" t="n">
        <v>68.7094</v>
      </c>
      <c r="J835" t="n">
        <v>84.27290000000001</v>
      </c>
      <c r="K835" t="n">
        <v>116.6</v>
      </c>
    </row>
    <row r="836">
      <c r="A836" s="98" t="n">
        <v>32325</v>
      </c>
      <c r="B836" t="n">
        <v>61.311</v>
      </c>
      <c r="C836" t="n">
        <v>84.355</v>
      </c>
      <c r="D836" t="n">
        <v>39.876</v>
      </c>
      <c r="E836" t="n">
        <v>78.71599999999999</v>
      </c>
      <c r="F836" t="n">
        <v>57.855</v>
      </c>
      <c r="G836" t="n">
        <v>52.8437</v>
      </c>
      <c r="H836" t="n">
        <v>87.1841</v>
      </c>
      <c r="I836" t="n">
        <v>69.3716</v>
      </c>
      <c r="J836" t="n">
        <v>84.25700000000001</v>
      </c>
      <c r="K836" t="n">
        <v>117.2</v>
      </c>
    </row>
    <row r="837">
      <c r="A837" s="98" t="n">
        <v>32356</v>
      </c>
      <c r="B837" t="n">
        <v>61.6234</v>
      </c>
      <c r="C837" t="n">
        <v>83.84999999999999</v>
      </c>
      <c r="D837" t="n">
        <v>40.0484</v>
      </c>
      <c r="E837" t="n">
        <v>79.2432</v>
      </c>
      <c r="F837" t="n">
        <v>57.9536</v>
      </c>
      <c r="G837" t="n">
        <v>53.1278</v>
      </c>
      <c r="H837" t="n">
        <v>87.3694</v>
      </c>
      <c r="I837" t="n">
        <v>71.7901</v>
      </c>
      <c r="J837" t="n">
        <v>84.6494</v>
      </c>
      <c r="K837" t="n">
        <v>117.7</v>
      </c>
    </row>
    <row r="838">
      <c r="A838" s="98" t="n">
        <v>32387</v>
      </c>
      <c r="B838" t="n">
        <v>61.4255</v>
      </c>
      <c r="C838" t="n">
        <v>84.1587</v>
      </c>
      <c r="D838" t="n">
        <v>40.4386</v>
      </c>
      <c r="E838" t="n">
        <v>78.7645</v>
      </c>
      <c r="F838" t="n">
        <v>58.1355</v>
      </c>
      <c r="G838" t="n">
        <v>52.8795</v>
      </c>
      <c r="H838" t="n">
        <v>86.2649</v>
      </c>
      <c r="I838" t="n">
        <v>68.49630000000001</v>
      </c>
      <c r="J838" t="n">
        <v>84.3319</v>
      </c>
      <c r="K838" t="n">
        <v>118.1</v>
      </c>
    </row>
    <row r="839">
      <c r="A839" s="98" t="n">
        <v>32417</v>
      </c>
      <c r="B839" t="n">
        <v>61.694</v>
      </c>
      <c r="C839" t="n">
        <v>84.4821</v>
      </c>
      <c r="D839" t="n">
        <v>40.6984</v>
      </c>
      <c r="E839" t="n">
        <v>79.36539999999999</v>
      </c>
      <c r="F839" t="n">
        <v>58.3721</v>
      </c>
      <c r="G839" t="n">
        <v>52.9998</v>
      </c>
      <c r="H839" t="n">
        <v>86.4315</v>
      </c>
      <c r="I839" t="n">
        <v>68.9644</v>
      </c>
      <c r="J839" t="n">
        <v>84.643</v>
      </c>
      <c r="K839" t="n">
        <v>118.4</v>
      </c>
    </row>
    <row r="840">
      <c r="A840" s="98" t="n">
        <v>32448</v>
      </c>
      <c r="B840" t="n">
        <v>61.8494</v>
      </c>
      <c r="C840" t="n">
        <v>84.8693</v>
      </c>
      <c r="D840" t="n">
        <v>40.795</v>
      </c>
      <c r="E840" t="n">
        <v>79.5226</v>
      </c>
      <c r="F840" t="n">
        <v>58.6076</v>
      </c>
      <c r="G840" t="n">
        <v>53.1742</v>
      </c>
      <c r="H840" t="n">
        <v>86.4427</v>
      </c>
      <c r="I840" t="n">
        <v>68.6087</v>
      </c>
      <c r="J840" t="n">
        <v>84.7842</v>
      </c>
      <c r="K840" t="n">
        <v>118.7</v>
      </c>
    </row>
    <row r="841">
      <c r="A841" s="98" t="n">
        <v>32478</v>
      </c>
      <c r="B841" t="n">
        <v>62.1171</v>
      </c>
      <c r="C841" t="n">
        <v>84.809</v>
      </c>
      <c r="D841" t="n">
        <v>40.9175</v>
      </c>
      <c r="E841" t="n">
        <v>79.937</v>
      </c>
      <c r="F841" t="n">
        <v>58.8712</v>
      </c>
      <c r="G841" t="n">
        <v>53.4281</v>
      </c>
      <c r="H841" t="n">
        <v>86.3237</v>
      </c>
      <c r="I841" t="n">
        <v>69.02290000000001</v>
      </c>
      <c r="J841" t="n">
        <v>85.0641</v>
      </c>
      <c r="K841" t="n">
        <v>119.2</v>
      </c>
    </row>
    <row r="842">
      <c r="A842" s="98" t="n">
        <v>32509</v>
      </c>
      <c r="B842" t="n">
        <v>62.3103</v>
      </c>
      <c r="C842" t="n">
        <v>86.41970000000001</v>
      </c>
      <c r="D842" t="n">
        <v>41.3447</v>
      </c>
      <c r="E842" t="n">
        <v>79.9871</v>
      </c>
      <c r="F842" t="n">
        <v>59.3831</v>
      </c>
      <c r="G842" t="n">
        <v>53.5788</v>
      </c>
      <c r="H842" t="n">
        <v>86.1362</v>
      </c>
      <c r="I842" t="n">
        <v>66.71259999999999</v>
      </c>
      <c r="J842" t="n">
        <v>85.2256</v>
      </c>
      <c r="K842" t="n">
        <v>119.9</v>
      </c>
    </row>
    <row r="843">
      <c r="A843" s="98" t="n">
        <v>32540</v>
      </c>
      <c r="B843" t="n">
        <v>62.0353</v>
      </c>
      <c r="C843" t="n">
        <v>84.2611</v>
      </c>
      <c r="D843" t="n">
        <v>41.176</v>
      </c>
      <c r="E843" t="n">
        <v>79.99290000000001</v>
      </c>
      <c r="F843" t="n">
        <v>58.7775</v>
      </c>
      <c r="G843" t="n">
        <v>53.2075</v>
      </c>
      <c r="H843" t="n">
        <v>84.5783</v>
      </c>
      <c r="I843" t="n">
        <v>70.0643</v>
      </c>
      <c r="J843" t="n">
        <v>84.7311</v>
      </c>
      <c r="K843" t="n">
        <v>120.5</v>
      </c>
    </row>
    <row r="844">
      <c r="A844" s="98" t="n">
        <v>32568</v>
      </c>
      <c r="B844" t="n">
        <v>62.195</v>
      </c>
      <c r="C844" t="n">
        <v>84.4956</v>
      </c>
      <c r="D844" t="n">
        <v>40.9799</v>
      </c>
      <c r="E844" t="n">
        <v>80.143</v>
      </c>
      <c r="F844" t="n">
        <v>58.7114</v>
      </c>
      <c r="G844" t="n">
        <v>53.4189</v>
      </c>
      <c r="H844" t="n">
        <v>85.214</v>
      </c>
      <c r="I844" t="n">
        <v>71.9256</v>
      </c>
      <c r="J844" t="n">
        <v>84.8139</v>
      </c>
      <c r="K844" t="n">
        <v>120.7</v>
      </c>
    </row>
    <row r="845">
      <c r="A845" s="98" t="n">
        <v>32599</v>
      </c>
      <c r="B845" t="n">
        <v>62.1753</v>
      </c>
      <c r="C845" t="n">
        <v>84.4725</v>
      </c>
      <c r="D845" t="n">
        <v>41.5825</v>
      </c>
      <c r="E845" t="n">
        <v>79.9606</v>
      </c>
      <c r="F845" t="n">
        <v>58.8113</v>
      </c>
      <c r="G845" t="n">
        <v>53.3052</v>
      </c>
      <c r="H845" t="n">
        <v>86.94889999999999</v>
      </c>
      <c r="I845" t="n">
        <v>69.967</v>
      </c>
      <c r="J845" t="n">
        <v>84.63720000000001</v>
      </c>
      <c r="K845" t="n">
        <v>120.8</v>
      </c>
    </row>
    <row r="846">
      <c r="A846" s="98" t="n">
        <v>32629</v>
      </c>
      <c r="B846" t="n">
        <v>61.8321</v>
      </c>
      <c r="C846" t="n">
        <v>83.7975</v>
      </c>
      <c r="D846" t="n">
        <v>41.04</v>
      </c>
      <c r="E846" t="n">
        <v>79.24120000000001</v>
      </c>
      <c r="F846" t="n">
        <v>58.3342</v>
      </c>
      <c r="G846" t="n">
        <v>53.1552</v>
      </c>
      <c r="H846" t="n">
        <v>87.2329</v>
      </c>
      <c r="I846" t="n">
        <v>70.298</v>
      </c>
      <c r="J846" t="n">
        <v>84.0067</v>
      </c>
      <c r="K846" t="n">
        <v>121.6</v>
      </c>
    </row>
    <row r="847">
      <c r="A847" s="98" t="n">
        <v>32660</v>
      </c>
      <c r="B847" t="n">
        <v>61.8246</v>
      </c>
      <c r="C847" t="n">
        <v>83.9967</v>
      </c>
      <c r="D847" t="n">
        <v>41.5889</v>
      </c>
      <c r="E847" t="n">
        <v>79.2527</v>
      </c>
      <c r="F847" t="n">
        <v>58.4416</v>
      </c>
      <c r="G847" t="n">
        <v>52.9165</v>
      </c>
      <c r="H847" t="n">
        <v>86.0954</v>
      </c>
      <c r="I847" t="n">
        <v>70.1281</v>
      </c>
      <c r="J847" t="n">
        <v>83.8205</v>
      </c>
      <c r="K847" t="n">
        <v>122.2</v>
      </c>
    </row>
    <row r="848">
      <c r="A848" s="98" t="n">
        <v>32690</v>
      </c>
      <c r="B848" t="n">
        <v>61.2285</v>
      </c>
      <c r="C848" t="n">
        <v>83.95</v>
      </c>
      <c r="D848" t="n">
        <v>41.0323</v>
      </c>
      <c r="E848" t="n">
        <v>77.4988</v>
      </c>
      <c r="F848" t="n">
        <v>57.729</v>
      </c>
      <c r="G848" t="n">
        <v>52.7027</v>
      </c>
      <c r="H848" t="n">
        <v>85.6418</v>
      </c>
      <c r="I848" t="n">
        <v>70.4949</v>
      </c>
      <c r="J848" t="n">
        <v>82.82899999999999</v>
      </c>
      <c r="K848" t="n">
        <v>122.1</v>
      </c>
    </row>
    <row r="849">
      <c r="A849" s="98" t="n">
        <v>32721</v>
      </c>
      <c r="B849" t="n">
        <v>61.8334</v>
      </c>
      <c r="C849" t="n">
        <v>83.9298</v>
      </c>
      <c r="D849" t="n">
        <v>41.6261</v>
      </c>
      <c r="E849" t="n">
        <v>78.8593</v>
      </c>
      <c r="F849" t="n">
        <v>58.3168</v>
      </c>
      <c r="G849" t="n">
        <v>53.0589</v>
      </c>
      <c r="H849" t="n">
        <v>86.48180000000001</v>
      </c>
      <c r="I849" t="n">
        <v>71.4038</v>
      </c>
      <c r="J849" t="n">
        <v>83.4552</v>
      </c>
      <c r="K849" t="n">
        <v>122.7</v>
      </c>
    </row>
    <row r="850">
      <c r="A850" s="98" t="n">
        <v>32752</v>
      </c>
      <c r="B850" t="n">
        <v>61.6221</v>
      </c>
      <c r="C850" t="n">
        <v>83.7226</v>
      </c>
      <c r="D850" t="n">
        <v>41.4459</v>
      </c>
      <c r="E850" t="n">
        <v>78.5775</v>
      </c>
      <c r="F850" t="n">
        <v>58.1873</v>
      </c>
      <c r="G850" t="n">
        <v>52.8227</v>
      </c>
      <c r="H850" t="n">
        <v>86.4654</v>
      </c>
      <c r="I850" t="n">
        <v>70.4622</v>
      </c>
      <c r="J850" t="n">
        <v>82.974</v>
      </c>
      <c r="K850" t="n">
        <v>123.1</v>
      </c>
    </row>
    <row r="851">
      <c r="A851" s="98"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8" t="n">
        <v>32813</v>
      </c>
      <c r="B852" t="n">
        <v>61.7575</v>
      </c>
      <c r="C852" t="n">
        <v>84.113</v>
      </c>
      <c r="D852" t="n">
        <v>41.1649</v>
      </c>
      <c r="E852" t="n">
        <v>79.0746</v>
      </c>
      <c r="F852" t="n">
        <v>58.1648</v>
      </c>
      <c r="G852" t="n">
        <v>53.0713</v>
      </c>
      <c r="H852" t="n">
        <v>86.4378</v>
      </c>
      <c r="I852" t="n">
        <v>72.0448</v>
      </c>
      <c r="J852" t="n">
        <v>82.75700000000001</v>
      </c>
      <c r="K852" t="n">
        <v>123.9</v>
      </c>
    </row>
    <row r="853">
      <c r="A853" s="98" t="n">
        <v>32843</v>
      </c>
      <c r="B853" t="n">
        <v>62.1111</v>
      </c>
      <c r="C853" t="n">
        <v>83.0547</v>
      </c>
      <c r="D853" t="n">
        <v>41.7469</v>
      </c>
      <c r="E853" t="n">
        <v>80.3404</v>
      </c>
      <c r="F853" t="n">
        <v>58.1965</v>
      </c>
      <c r="G853" t="n">
        <v>53.0059</v>
      </c>
      <c r="H853" t="n">
        <v>84.0646</v>
      </c>
      <c r="I853" t="n">
        <v>77.23390000000001</v>
      </c>
      <c r="J853" t="n">
        <v>83.032</v>
      </c>
      <c r="K853" t="n">
        <v>124.2</v>
      </c>
    </row>
    <row r="854">
      <c r="A854" s="98" t="n">
        <v>32874</v>
      </c>
      <c r="B854" t="n">
        <v>61.7781</v>
      </c>
      <c r="C854" t="n">
        <v>84.9126</v>
      </c>
      <c r="D854" t="n">
        <v>41.353</v>
      </c>
      <c r="E854" t="n">
        <v>78.64960000000001</v>
      </c>
      <c r="F854" t="n">
        <v>58.1316</v>
      </c>
      <c r="G854" t="n">
        <v>52.9027</v>
      </c>
      <c r="H854" t="n">
        <v>88.0792</v>
      </c>
      <c r="I854" t="n">
        <v>71.4051</v>
      </c>
      <c r="J854" t="n">
        <v>82.3927</v>
      </c>
      <c r="K854" t="n">
        <v>124.5</v>
      </c>
    </row>
    <row r="855">
      <c r="A855" s="98" t="n">
        <v>32905</v>
      </c>
      <c r="B855" t="n">
        <v>62.3426</v>
      </c>
      <c r="C855" t="n">
        <v>85.2383</v>
      </c>
      <c r="D855" t="n">
        <v>42.0769</v>
      </c>
      <c r="E855" t="n">
        <v>79.61279999999999</v>
      </c>
      <c r="F855" t="n">
        <v>58.9459</v>
      </c>
      <c r="G855" t="n">
        <v>53.3911</v>
      </c>
      <c r="H855" t="n">
        <v>87.3222</v>
      </c>
      <c r="I855" t="n">
        <v>70.5095</v>
      </c>
      <c r="J855" t="n">
        <v>82.9547</v>
      </c>
      <c r="K855" t="n">
        <v>124.9</v>
      </c>
    </row>
    <row r="856">
      <c r="A856" s="98" t="n">
        <v>32933</v>
      </c>
      <c r="B856" t="n">
        <v>62.6446</v>
      </c>
      <c r="C856" t="n">
        <v>85.0694</v>
      </c>
      <c r="D856" t="n">
        <v>42.7939</v>
      </c>
      <c r="E856" t="n">
        <v>80.1279</v>
      </c>
      <c r="F856" t="n">
        <v>59.2653</v>
      </c>
      <c r="G856" t="n">
        <v>53.4818</v>
      </c>
      <c r="H856" t="n">
        <v>86.6023</v>
      </c>
      <c r="I856" t="n">
        <v>71.4962</v>
      </c>
      <c r="J856" t="n">
        <v>83.1713</v>
      </c>
      <c r="K856" t="n">
        <v>125.3</v>
      </c>
    </row>
    <row r="857">
      <c r="A857" s="98" t="n">
        <v>32964</v>
      </c>
      <c r="B857" t="n">
        <v>62.5104</v>
      </c>
      <c r="C857" t="n">
        <v>84.25069999999999</v>
      </c>
      <c r="D857" t="n">
        <v>42.5735</v>
      </c>
      <c r="E857" t="n">
        <v>79.7924</v>
      </c>
      <c r="F857" t="n">
        <v>59.0462</v>
      </c>
      <c r="G857" t="n">
        <v>53.5152</v>
      </c>
      <c r="H857" t="n">
        <v>86.9605</v>
      </c>
      <c r="I857" t="n">
        <v>71.97799999999999</v>
      </c>
      <c r="J857" t="n">
        <v>82.8172</v>
      </c>
      <c r="K857" t="n">
        <v>125.5</v>
      </c>
    </row>
    <row r="858">
      <c r="A858" s="98" t="n">
        <v>32994</v>
      </c>
      <c r="B858" t="n">
        <v>62.6898</v>
      </c>
      <c r="C858" t="n">
        <v>83.7791</v>
      </c>
      <c r="D858" t="n">
        <v>43.1524</v>
      </c>
      <c r="E858" t="n">
        <v>79.733</v>
      </c>
      <c r="F858" t="n">
        <v>59.2181</v>
      </c>
      <c r="G858" t="n">
        <v>53.6638</v>
      </c>
      <c r="H858" t="n">
        <v>86.8719</v>
      </c>
      <c r="I858" t="n">
        <v>72.3764</v>
      </c>
      <c r="J858" t="n">
        <v>82.8873</v>
      </c>
      <c r="K858" t="n">
        <v>126</v>
      </c>
    </row>
    <row r="859">
      <c r="A859" s="98" t="n">
        <v>33025</v>
      </c>
      <c r="B859" t="n">
        <v>62.8923</v>
      </c>
      <c r="C859" t="n">
        <v>84.1447</v>
      </c>
      <c r="D859" t="n">
        <v>43.203</v>
      </c>
      <c r="E859" t="n">
        <v>80.56829999999999</v>
      </c>
      <c r="F859" t="n">
        <v>59.4096</v>
      </c>
      <c r="G859" t="n">
        <v>53.7344</v>
      </c>
      <c r="H859" t="n">
        <v>86.6183</v>
      </c>
      <c r="I859" t="n">
        <v>73.11499999999999</v>
      </c>
      <c r="J859" t="n">
        <v>82.9965</v>
      </c>
      <c r="K859" t="n">
        <v>126.4</v>
      </c>
    </row>
    <row r="860">
      <c r="A860" s="98" t="n">
        <v>33055</v>
      </c>
      <c r="B860" t="n">
        <v>62.7933</v>
      </c>
      <c r="C860" t="n">
        <v>83.4054</v>
      </c>
      <c r="D860" t="n">
        <v>43.3912</v>
      </c>
      <c r="E860" t="n">
        <v>79.9058</v>
      </c>
      <c r="F860" t="n">
        <v>59.2716</v>
      </c>
      <c r="G860" t="n">
        <v>53.7446</v>
      </c>
      <c r="H860" t="n">
        <v>87.1849</v>
      </c>
      <c r="I860" t="n">
        <v>72.8724</v>
      </c>
      <c r="J860" t="n">
        <v>82.7192</v>
      </c>
      <c r="K860" t="n">
        <v>126.6</v>
      </c>
    </row>
    <row r="861">
      <c r="A861" s="98" t="n">
        <v>33086</v>
      </c>
      <c r="B861" t="n">
        <v>63.0241</v>
      </c>
      <c r="C861" t="n">
        <v>83.3496</v>
      </c>
      <c r="D861" t="n">
        <v>43.6411</v>
      </c>
      <c r="E861" t="n">
        <v>80.1765</v>
      </c>
      <c r="F861" t="n">
        <v>59.5008</v>
      </c>
      <c r="G861" t="n">
        <v>54.0651</v>
      </c>
      <c r="H861" t="n">
        <v>86.8201</v>
      </c>
      <c r="I861" t="n">
        <v>73.5759</v>
      </c>
      <c r="J861" t="n">
        <v>82.887</v>
      </c>
      <c r="K861" t="n">
        <v>127.1</v>
      </c>
    </row>
    <row r="862">
      <c r="A862" s="98" t="n">
        <v>33117</v>
      </c>
      <c r="B862" t="n">
        <v>63.0328</v>
      </c>
      <c r="C862" t="n">
        <v>82.9623</v>
      </c>
      <c r="D862" t="n">
        <v>43.6302</v>
      </c>
      <c r="E862" t="n">
        <v>80.7195</v>
      </c>
      <c r="F862" t="n">
        <v>59.4235</v>
      </c>
      <c r="G862" t="n">
        <v>53.9233</v>
      </c>
      <c r="H862" t="n">
        <v>87.3079</v>
      </c>
      <c r="I862" t="n">
        <v>74.4452</v>
      </c>
      <c r="J862" t="n">
        <v>82.773</v>
      </c>
      <c r="K862" t="n">
        <v>127.7</v>
      </c>
    </row>
    <row r="863">
      <c r="A863" s="98" t="n">
        <v>33147</v>
      </c>
      <c r="B863" t="n">
        <v>62.6466</v>
      </c>
      <c r="C863" t="n">
        <v>82.16330000000001</v>
      </c>
      <c r="D863" t="n">
        <v>43.5417</v>
      </c>
      <c r="E863" t="n">
        <v>79.6228</v>
      </c>
      <c r="F863" t="n">
        <v>59.0289</v>
      </c>
      <c r="G863" t="n">
        <v>53.698</v>
      </c>
      <c r="H863" t="n">
        <v>88.1651</v>
      </c>
      <c r="I863" t="n">
        <v>73.3151</v>
      </c>
      <c r="J863" t="n">
        <v>82.151</v>
      </c>
      <c r="K863" t="n">
        <v>128</v>
      </c>
    </row>
    <row r="864">
      <c r="A864" s="98" t="n">
        <v>33178</v>
      </c>
      <c r="B864" t="n">
        <v>61.8681</v>
      </c>
      <c r="C864" t="n">
        <v>82.1288</v>
      </c>
      <c r="D864" t="n">
        <v>42.5016</v>
      </c>
      <c r="E864" t="n">
        <v>78.7325</v>
      </c>
      <c r="F864" t="n">
        <v>58.3223</v>
      </c>
      <c r="G864" t="n">
        <v>53.0233</v>
      </c>
      <c r="H864" t="n">
        <v>87.5384</v>
      </c>
      <c r="I864" t="n">
        <v>71.78959999999999</v>
      </c>
      <c r="J864" t="n">
        <v>81.0261</v>
      </c>
      <c r="K864" t="n">
        <v>128.4</v>
      </c>
    </row>
    <row r="865">
      <c r="A865" s="98"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8" t="n">
        <v>33239</v>
      </c>
      <c r="B866" t="n">
        <v>61.2241</v>
      </c>
      <c r="C866" t="n">
        <v>78.6044</v>
      </c>
      <c r="D866" t="n">
        <v>42.0081</v>
      </c>
      <c r="E866" t="n">
        <v>78.5257</v>
      </c>
      <c r="F866" t="n">
        <v>57.4718</v>
      </c>
      <c r="G866" t="n">
        <v>52.3521</v>
      </c>
      <c r="H866" t="n">
        <v>86.161</v>
      </c>
      <c r="I866" t="n">
        <v>73.53740000000001</v>
      </c>
      <c r="J866" t="n">
        <v>80.00149999999999</v>
      </c>
      <c r="K866" t="n">
        <v>129.5</v>
      </c>
    </row>
    <row r="867">
      <c r="A867" s="98" t="n">
        <v>33270</v>
      </c>
      <c r="B867" t="n">
        <v>60.779</v>
      </c>
      <c r="C867" t="n">
        <v>78.2979</v>
      </c>
      <c r="D867" t="n">
        <v>41.7048</v>
      </c>
      <c r="E867" t="n">
        <v>77.77290000000001</v>
      </c>
      <c r="F867" t="n">
        <v>57.051</v>
      </c>
      <c r="G867" t="n">
        <v>52.0622</v>
      </c>
      <c r="H867" t="n">
        <v>87.4957</v>
      </c>
      <c r="I867" t="n">
        <v>71.6649</v>
      </c>
      <c r="J867" t="n">
        <v>79.3396</v>
      </c>
      <c r="K867" t="n">
        <v>129.8</v>
      </c>
    </row>
    <row r="868">
      <c r="A868" s="98" t="n">
        <v>33298</v>
      </c>
      <c r="B868" t="n">
        <v>60.4377</v>
      </c>
      <c r="C868" t="n">
        <v>77.3498</v>
      </c>
      <c r="D868" t="n">
        <v>41.6493</v>
      </c>
      <c r="E868" t="n">
        <v>77.8262</v>
      </c>
      <c r="F868" t="n">
        <v>56.6604</v>
      </c>
      <c r="G868" t="n">
        <v>51.6398</v>
      </c>
      <c r="H868" t="n">
        <v>86.55070000000001</v>
      </c>
      <c r="I868" t="n">
        <v>72.6382</v>
      </c>
      <c r="J868" t="n">
        <v>78.81870000000001</v>
      </c>
      <c r="K868" t="n">
        <v>130.1</v>
      </c>
    </row>
    <row r="869">
      <c r="A869" s="98" t="n">
        <v>33329</v>
      </c>
      <c r="B869" t="n">
        <v>60.5982</v>
      </c>
      <c r="C869" t="n">
        <v>77.97750000000001</v>
      </c>
      <c r="D869" t="n">
        <v>41.6427</v>
      </c>
      <c r="E869" t="n">
        <v>77.84829999999999</v>
      </c>
      <c r="F869" t="n">
        <v>56.9087</v>
      </c>
      <c r="G869" t="n">
        <v>51.9113</v>
      </c>
      <c r="H869" t="n">
        <v>85.6919</v>
      </c>
      <c r="I869" t="n">
        <v>72.5639</v>
      </c>
      <c r="J869" t="n">
        <v>78.955</v>
      </c>
      <c r="K869" t="n">
        <v>130.4</v>
      </c>
    </row>
    <row r="870">
      <c r="A870" s="98" t="n">
        <v>33359</v>
      </c>
      <c r="B870" t="n">
        <v>61.2041</v>
      </c>
      <c r="C870" t="n">
        <v>78.09059999999999</v>
      </c>
      <c r="D870" t="n">
        <v>41.9363</v>
      </c>
      <c r="E870" t="n">
        <v>79.1824</v>
      </c>
      <c r="F870" t="n">
        <v>57.3182</v>
      </c>
      <c r="G870" t="n">
        <v>52.4014</v>
      </c>
      <c r="H870" t="n">
        <v>85.4391</v>
      </c>
      <c r="I870" t="n">
        <v>75.7265</v>
      </c>
      <c r="J870" t="n">
        <v>79.6705</v>
      </c>
      <c r="K870" t="n">
        <v>130.6</v>
      </c>
    </row>
    <row r="871">
      <c r="A871" s="98" t="n">
        <v>33390</v>
      </c>
      <c r="B871" t="n">
        <v>61.6923</v>
      </c>
      <c r="C871" t="n">
        <v>79.40049999999999</v>
      </c>
      <c r="D871" t="n">
        <v>42.366</v>
      </c>
      <c r="E871" t="n">
        <v>80.1341</v>
      </c>
      <c r="F871" t="n">
        <v>57.8765</v>
      </c>
      <c r="G871" t="n">
        <v>52.6885</v>
      </c>
      <c r="H871" t="n">
        <v>85.60809999999999</v>
      </c>
      <c r="I871" t="n">
        <v>76.0026</v>
      </c>
      <c r="J871" t="n">
        <v>80.2291</v>
      </c>
      <c r="K871" t="n">
        <v>130.7</v>
      </c>
    </row>
    <row r="872">
      <c r="A872" s="98" t="n">
        <v>33420</v>
      </c>
      <c r="B872" t="n">
        <v>61.8569</v>
      </c>
      <c r="C872" t="n">
        <v>79.20829999999999</v>
      </c>
      <c r="D872" t="n">
        <v>42.6193</v>
      </c>
      <c r="E872" t="n">
        <v>79.9421</v>
      </c>
      <c r="F872" t="n">
        <v>58.199</v>
      </c>
      <c r="G872" t="n">
        <v>53.1222</v>
      </c>
      <c r="H872" t="n">
        <v>84.71769999999999</v>
      </c>
      <c r="I872" t="n">
        <v>75.4123</v>
      </c>
      <c r="J872" t="n">
        <v>80.3627</v>
      </c>
      <c r="K872" t="n">
        <v>131</v>
      </c>
    </row>
    <row r="873">
      <c r="A873" s="98" t="n">
        <v>33451</v>
      </c>
      <c r="B873" t="n">
        <v>61.8681</v>
      </c>
      <c r="C873" t="n">
        <v>79.9686</v>
      </c>
      <c r="D873" t="n">
        <v>42.4222</v>
      </c>
      <c r="E873" t="n">
        <v>79.9479</v>
      </c>
      <c r="F873" t="n">
        <v>58.2471</v>
      </c>
      <c r="G873" t="n">
        <v>53.089</v>
      </c>
      <c r="H873" t="n">
        <v>84.5797</v>
      </c>
      <c r="I873" t="n">
        <v>74.87350000000001</v>
      </c>
      <c r="J873" t="n">
        <v>80.2907</v>
      </c>
      <c r="K873" t="n">
        <v>131.3</v>
      </c>
    </row>
    <row r="874">
      <c r="A874" s="98" t="n">
        <v>33482</v>
      </c>
      <c r="B874" t="n">
        <v>62.3855</v>
      </c>
      <c r="C874" t="n">
        <v>80.31480000000001</v>
      </c>
      <c r="D874" t="n">
        <v>43.0439</v>
      </c>
      <c r="E874" t="n">
        <v>81.1079</v>
      </c>
      <c r="F874" t="n">
        <v>58.8866</v>
      </c>
      <c r="G874" t="n">
        <v>53.3638</v>
      </c>
      <c r="H874" t="n">
        <v>84.68300000000001</v>
      </c>
      <c r="I874" t="n">
        <v>74.7467</v>
      </c>
      <c r="J874" t="n">
        <v>80.8673</v>
      </c>
      <c r="K874" t="n">
        <v>131.8</v>
      </c>
    </row>
    <row r="875">
      <c r="A875" s="98" t="n">
        <v>33512</v>
      </c>
      <c r="B875" t="n">
        <v>62.3229</v>
      </c>
      <c r="C875" t="n">
        <v>79.4543</v>
      </c>
      <c r="D875" t="n">
        <v>42.7555</v>
      </c>
      <c r="E875" t="n">
        <v>80.91589999999999</v>
      </c>
      <c r="F875" t="n">
        <v>58.8168</v>
      </c>
      <c r="G875" t="n">
        <v>53.4778</v>
      </c>
      <c r="H875" t="n">
        <v>84.5582</v>
      </c>
      <c r="I875" t="n">
        <v>74.6647</v>
      </c>
      <c r="J875" t="n">
        <v>80.6828</v>
      </c>
      <c r="K875" t="n">
        <v>132.3</v>
      </c>
    </row>
    <row r="876">
      <c r="A876" s="98" t="n">
        <v>33543</v>
      </c>
      <c r="B876" t="n">
        <v>62.2427</v>
      </c>
      <c r="C876" t="n">
        <v>80.19119999999999</v>
      </c>
      <c r="D876" t="n">
        <v>42.7398</v>
      </c>
      <c r="E876" t="n">
        <v>81.032</v>
      </c>
      <c r="F876" t="n">
        <v>58.7078</v>
      </c>
      <c r="G876" t="n">
        <v>53.2426</v>
      </c>
      <c r="H876" t="n">
        <v>83.8507</v>
      </c>
      <c r="I876" t="n">
        <v>75.3817</v>
      </c>
      <c r="J876" t="n">
        <v>80.4666</v>
      </c>
      <c r="K876" t="n">
        <v>132.5</v>
      </c>
    </row>
    <row r="877">
      <c r="A877" s="98" t="n">
        <v>33573</v>
      </c>
      <c r="B877" t="n">
        <v>61.9705</v>
      </c>
      <c r="C877" t="n">
        <v>80.1699</v>
      </c>
      <c r="D877" t="n">
        <v>42.6825</v>
      </c>
      <c r="E877" t="n">
        <v>80.01260000000001</v>
      </c>
      <c r="F877" t="n">
        <v>58.5804</v>
      </c>
      <c r="G877" t="n">
        <v>53.2187</v>
      </c>
      <c r="H877" t="n">
        <v>84.3028</v>
      </c>
      <c r="I877" t="n">
        <v>73.3895</v>
      </c>
      <c r="J877" t="n">
        <v>79.9941</v>
      </c>
      <c r="K877" t="n">
        <v>132.6</v>
      </c>
    </row>
    <row r="878">
      <c r="A878" s="98" t="n">
        <v>33604</v>
      </c>
      <c r="B878" t="n">
        <v>61.6471</v>
      </c>
      <c r="C878" t="n">
        <v>80.2895</v>
      </c>
      <c r="D878" t="n">
        <v>41.9601</v>
      </c>
      <c r="E878" t="n">
        <v>79.248</v>
      </c>
      <c r="F878" t="n">
        <v>58.2734</v>
      </c>
      <c r="G878" t="n">
        <v>53.1847</v>
      </c>
      <c r="H878" t="n">
        <v>84.1116</v>
      </c>
      <c r="I878" t="n">
        <v>73.0391</v>
      </c>
      <c r="J878" t="n">
        <v>79.43040000000001</v>
      </c>
      <c r="K878" t="n">
        <v>133</v>
      </c>
    </row>
    <row r="879">
      <c r="A879" s="98"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8" t="n">
        <v>33664</v>
      </c>
      <c r="B880" t="n">
        <v>62.5955</v>
      </c>
      <c r="C880" t="n">
        <v>81.5206</v>
      </c>
      <c r="D880" t="n">
        <v>43.31</v>
      </c>
      <c r="E880" t="n">
        <v>80.7864</v>
      </c>
      <c r="F880" t="n">
        <v>59.4442</v>
      </c>
      <c r="G880" t="n">
        <v>53.8408</v>
      </c>
      <c r="H880" t="n">
        <v>83.3224</v>
      </c>
      <c r="I880" t="n">
        <v>73.2509</v>
      </c>
      <c r="J880" t="n">
        <v>80.33880000000001</v>
      </c>
      <c r="K880" t="n">
        <v>133.4</v>
      </c>
    </row>
    <row r="881">
      <c r="A881" s="98" t="n">
        <v>33695</v>
      </c>
      <c r="B881" t="n">
        <v>63.0726</v>
      </c>
      <c r="C881" t="n">
        <v>82.05880000000001</v>
      </c>
      <c r="D881" t="n">
        <v>43.7271</v>
      </c>
      <c r="E881" t="n">
        <v>81.5448</v>
      </c>
      <c r="F881" t="n">
        <v>59.7834</v>
      </c>
      <c r="G881" t="n">
        <v>54.2621</v>
      </c>
      <c r="H881" t="n">
        <v>84.2773</v>
      </c>
      <c r="I881" t="n">
        <v>74.9512</v>
      </c>
      <c r="J881" t="n">
        <v>80.78230000000001</v>
      </c>
      <c r="K881" t="n">
        <v>133.8</v>
      </c>
    </row>
    <row r="882">
      <c r="A882" s="98" t="n">
        <v>33725</v>
      </c>
      <c r="B882" t="n">
        <v>63.2761</v>
      </c>
      <c r="C882" t="n">
        <v>82.9021</v>
      </c>
      <c r="D882" t="n">
        <v>44.075</v>
      </c>
      <c r="E882" t="n">
        <v>82.07510000000001</v>
      </c>
      <c r="F882" t="n">
        <v>60.1338</v>
      </c>
      <c r="G882" t="n">
        <v>54.2812</v>
      </c>
      <c r="H882" t="n">
        <v>84.0964</v>
      </c>
      <c r="I882" t="n">
        <v>73.8995</v>
      </c>
      <c r="J882" t="n">
        <v>80.8686</v>
      </c>
      <c r="K882" t="n">
        <v>134.3</v>
      </c>
    </row>
    <row r="883">
      <c r="A883" s="98" t="n">
        <v>33756</v>
      </c>
      <c r="B883" t="n">
        <v>63.3102</v>
      </c>
      <c r="C883" t="n">
        <v>82.5504</v>
      </c>
      <c r="D883" t="n">
        <v>44.1841</v>
      </c>
      <c r="E883" t="n">
        <v>81.67359999999999</v>
      </c>
      <c r="F883" t="n">
        <v>60.3312</v>
      </c>
      <c r="G883" t="n">
        <v>54.5149</v>
      </c>
      <c r="H883" t="n">
        <v>83.1978</v>
      </c>
      <c r="I883" t="n">
        <v>72.8198</v>
      </c>
      <c r="J883" t="n">
        <v>80.7347</v>
      </c>
      <c r="K883" t="n">
        <v>134.1</v>
      </c>
    </row>
    <row r="884">
      <c r="A884" s="98"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8" t="n">
        <v>33817</v>
      </c>
      <c r="B885" t="n">
        <v>63.5221</v>
      </c>
      <c r="C885" t="n">
        <v>83.27500000000001</v>
      </c>
      <c r="D885" t="n">
        <v>44.4091</v>
      </c>
      <c r="E885" t="n">
        <v>82.7722</v>
      </c>
      <c r="F885" t="n">
        <v>60.6092</v>
      </c>
      <c r="G885" t="n">
        <v>54.3168</v>
      </c>
      <c r="H885" t="n">
        <v>82.9036</v>
      </c>
      <c r="I885" t="n">
        <v>73.041</v>
      </c>
      <c r="J885" t="n">
        <v>80.65349999999999</v>
      </c>
      <c r="K885" t="n">
        <v>134.3</v>
      </c>
    </row>
    <row r="886">
      <c r="A886" s="98" t="n">
        <v>33848</v>
      </c>
      <c r="B886" t="n">
        <v>63.7217</v>
      </c>
      <c r="C886" t="n">
        <v>83.24160000000001</v>
      </c>
      <c r="D886" t="n">
        <v>44.5927</v>
      </c>
      <c r="E886" t="n">
        <v>82.4072</v>
      </c>
      <c r="F886" t="n">
        <v>60.7115</v>
      </c>
      <c r="G886" t="n">
        <v>54.7452</v>
      </c>
      <c r="H886" t="n">
        <v>83.45440000000001</v>
      </c>
      <c r="I886" t="n">
        <v>74.1357</v>
      </c>
      <c r="J886" t="n">
        <v>80.7384</v>
      </c>
      <c r="K886" t="n">
        <v>134.6</v>
      </c>
    </row>
    <row r="887">
      <c r="A887" s="98"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8" t="n">
        <v>33909</v>
      </c>
      <c r="B888" t="n">
        <v>64.4144</v>
      </c>
      <c r="C888" t="n">
        <v>82.9316</v>
      </c>
      <c r="D888" t="n">
        <v>45.0758</v>
      </c>
      <c r="E888" t="n">
        <v>83.6754</v>
      </c>
      <c r="F888" t="n">
        <v>61.3501</v>
      </c>
      <c r="G888" t="n">
        <v>55.3554</v>
      </c>
      <c r="H888" t="n">
        <v>83.7555</v>
      </c>
      <c r="I888" t="n">
        <v>76.0278</v>
      </c>
      <c r="J888" t="n">
        <v>81.29730000000001</v>
      </c>
      <c r="K888" t="n">
        <v>135.1</v>
      </c>
    </row>
    <row r="889">
      <c r="A889" s="98" t="n">
        <v>33939</v>
      </c>
      <c r="B889" t="n">
        <v>64.51609999999999</v>
      </c>
      <c r="C889" t="n">
        <v>83.31</v>
      </c>
      <c r="D889" t="n">
        <v>45.4915</v>
      </c>
      <c r="E889" t="n">
        <v>83.6973</v>
      </c>
      <c r="F889" t="n">
        <v>61.3004</v>
      </c>
      <c r="G889" t="n">
        <v>55.3168</v>
      </c>
      <c r="H889" t="n">
        <v>84.059</v>
      </c>
      <c r="I889" t="n">
        <v>77.29349999999999</v>
      </c>
      <c r="J889" t="n">
        <v>81.2801</v>
      </c>
      <c r="K889" t="n">
        <v>135.2</v>
      </c>
    </row>
    <row r="890">
      <c r="A890" s="98"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8" t="n">
        <v>34001</v>
      </c>
      <c r="B891" t="n">
        <v>65.0805</v>
      </c>
      <c r="C891" t="n">
        <v>85.0682</v>
      </c>
      <c r="D891" t="n">
        <v>45.7054</v>
      </c>
      <c r="E891" t="n">
        <v>84.2672</v>
      </c>
      <c r="F891" t="n">
        <v>62.0286</v>
      </c>
      <c r="G891" t="n">
        <v>55.9445</v>
      </c>
      <c r="H891" t="n">
        <v>83.21599999999999</v>
      </c>
      <c r="I891" t="n">
        <v>76.7226</v>
      </c>
      <c r="J891" t="n">
        <v>81.7157</v>
      </c>
      <c r="K891" t="n">
        <v>135.9</v>
      </c>
    </row>
    <row r="892">
      <c r="A892" s="98" t="n">
        <v>34029</v>
      </c>
      <c r="B892" t="n">
        <v>65.0176</v>
      </c>
      <c r="C892" t="n">
        <v>84.352</v>
      </c>
      <c r="D892" t="n">
        <v>45.8105</v>
      </c>
      <c r="E892" t="n">
        <v>84.30880000000001</v>
      </c>
      <c r="F892" t="n">
        <v>61.9013</v>
      </c>
      <c r="G892" t="n">
        <v>55.7704</v>
      </c>
      <c r="H892" t="n">
        <v>82.6708</v>
      </c>
      <c r="I892" t="n">
        <v>77.495</v>
      </c>
      <c r="J892" t="n">
        <v>81.51049999999999</v>
      </c>
      <c r="K892" t="n">
        <v>136.1</v>
      </c>
    </row>
    <row r="893">
      <c r="A893" s="98" t="n">
        <v>34060</v>
      </c>
      <c r="B893" t="n">
        <v>65.2041</v>
      </c>
      <c r="C893" t="n">
        <v>84.6284</v>
      </c>
      <c r="D893" t="n">
        <v>46.1124</v>
      </c>
      <c r="E893" t="n">
        <v>84.3873</v>
      </c>
      <c r="F893" t="n">
        <v>62.2209</v>
      </c>
      <c r="G893" t="n">
        <v>55.9991</v>
      </c>
      <c r="H893" t="n">
        <v>82.78279999999999</v>
      </c>
      <c r="I893" t="n">
        <v>76.6015</v>
      </c>
      <c r="J893" t="n">
        <v>81.62430000000001</v>
      </c>
      <c r="K893" t="n">
        <v>136.5</v>
      </c>
    </row>
    <row r="894">
      <c r="A894" s="98"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8" t="n">
        <v>34121</v>
      </c>
      <c r="B895" t="n">
        <v>65.0984</v>
      </c>
      <c r="C895" t="n">
        <v>85.5476</v>
      </c>
      <c r="D895" t="n">
        <v>45.8491</v>
      </c>
      <c r="E895" t="n">
        <v>83.922</v>
      </c>
      <c r="F895" t="n">
        <v>62.0525</v>
      </c>
      <c r="G895" t="n">
        <v>56.0951</v>
      </c>
      <c r="H895" t="n">
        <v>83.6347</v>
      </c>
      <c r="I895" t="n">
        <v>76.4075</v>
      </c>
      <c r="J895" t="n">
        <v>81.2564</v>
      </c>
      <c r="K895" t="n">
        <v>136.4</v>
      </c>
    </row>
    <row r="896">
      <c r="A896" s="98"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8"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8" t="n">
        <v>34213</v>
      </c>
      <c r="B898" t="n">
        <v>65.5282</v>
      </c>
      <c r="C898" t="n">
        <v>86.733</v>
      </c>
      <c r="D898" t="n">
        <v>46.2157</v>
      </c>
      <c r="E898" t="n">
        <v>84.7427</v>
      </c>
      <c r="F898" t="n">
        <v>62.5778</v>
      </c>
      <c r="G898" t="n">
        <v>56.314</v>
      </c>
      <c r="H898" t="n">
        <v>83.50709999999999</v>
      </c>
      <c r="I898" t="n">
        <v>77.10509999999999</v>
      </c>
      <c r="J898" t="n">
        <v>81.4106</v>
      </c>
      <c r="K898" t="n">
        <v>134.9</v>
      </c>
    </row>
    <row r="899">
      <c r="A899" s="98"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8"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8"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8" t="n">
        <v>34335</v>
      </c>
      <c r="B902" t="n">
        <v>66.9164</v>
      </c>
      <c r="C902" t="n">
        <v>89.0183</v>
      </c>
      <c r="D902" t="n">
        <v>48.0272</v>
      </c>
      <c r="E902" t="n">
        <v>86.0697</v>
      </c>
      <c r="F902" t="n">
        <v>63.909</v>
      </c>
      <c r="G902" t="n">
        <v>57.6817</v>
      </c>
      <c r="H902" t="n">
        <v>83.9716</v>
      </c>
      <c r="I902" t="n">
        <v>79.94110000000001</v>
      </c>
      <c r="J902" t="n">
        <v>82.4721</v>
      </c>
      <c r="K902" t="n">
        <v>136.3</v>
      </c>
    </row>
    <row r="903">
      <c r="A903" s="98"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8" t="n">
        <v>34394</v>
      </c>
      <c r="B904" t="n">
        <v>67.6335</v>
      </c>
      <c r="C904" t="n">
        <v>90.0317</v>
      </c>
      <c r="D904" t="n">
        <v>48.1183</v>
      </c>
      <c r="E904" t="n">
        <v>86.9627</v>
      </c>
      <c r="F904" t="n">
        <v>64.8792</v>
      </c>
      <c r="G904" t="n">
        <v>58.4999</v>
      </c>
      <c r="H904" t="n">
        <v>85.6819</v>
      </c>
      <c r="I904" t="n">
        <v>77.8462</v>
      </c>
      <c r="J904" t="n">
        <v>82.9472</v>
      </c>
      <c r="K904" t="n">
        <v>136.4</v>
      </c>
    </row>
    <row r="905">
      <c r="A905" s="98" t="n">
        <v>34425</v>
      </c>
      <c r="B905" t="n">
        <v>68.0334</v>
      </c>
      <c r="C905" t="n">
        <v>91.4734</v>
      </c>
      <c r="D905" t="n">
        <v>48.4609</v>
      </c>
      <c r="E905" t="n">
        <v>87.2097</v>
      </c>
      <c r="F905" t="n">
        <v>65.4726</v>
      </c>
      <c r="G905" t="n">
        <v>58.9461</v>
      </c>
      <c r="H905" t="n">
        <v>84.9646</v>
      </c>
      <c r="I905" t="n">
        <v>77.10209999999999</v>
      </c>
      <c r="J905" t="n">
        <v>83.2133</v>
      </c>
      <c r="K905" t="n">
        <v>136.6</v>
      </c>
    </row>
    <row r="906">
      <c r="A906" s="98" t="n">
        <v>34455</v>
      </c>
      <c r="B906" t="n">
        <v>68.3531</v>
      </c>
      <c r="C906" t="n">
        <v>92.1942</v>
      </c>
      <c r="D906" t="n">
        <v>48.6104</v>
      </c>
      <c r="E906" t="n">
        <v>87.6994</v>
      </c>
      <c r="F906" t="n">
        <v>65.9064</v>
      </c>
      <c r="G906" t="n">
        <v>59.3195</v>
      </c>
      <c r="H906" t="n">
        <v>85.23779999999999</v>
      </c>
      <c r="I906" t="n">
        <v>76.7683</v>
      </c>
      <c r="J906" t="n">
        <v>83.3664</v>
      </c>
      <c r="K906" t="n">
        <v>137</v>
      </c>
    </row>
    <row r="907">
      <c r="A907" s="98" t="n">
        <v>34486</v>
      </c>
      <c r="B907" t="n">
        <v>68.8002</v>
      </c>
      <c r="C907" t="n">
        <v>92.2756</v>
      </c>
      <c r="D907" t="n">
        <v>48.9021</v>
      </c>
      <c r="E907" t="n">
        <v>88.322</v>
      </c>
      <c r="F907" t="n">
        <v>66.1347</v>
      </c>
      <c r="G907" t="n">
        <v>59.7613</v>
      </c>
      <c r="H907" t="n">
        <v>85.1296</v>
      </c>
      <c r="I907" t="n">
        <v>80.06189999999999</v>
      </c>
      <c r="J907" t="n">
        <v>83.6606</v>
      </c>
      <c r="K907" t="n">
        <v>137.2</v>
      </c>
    </row>
    <row r="908">
      <c r="A908" s="98" t="n">
        <v>34516</v>
      </c>
      <c r="B908" t="n">
        <v>68.88630000000001</v>
      </c>
      <c r="C908" t="n">
        <v>93.206</v>
      </c>
      <c r="D908" t="n">
        <v>49.4648</v>
      </c>
      <c r="E908" t="n">
        <v>87.8857</v>
      </c>
      <c r="F908" t="n">
        <v>66.4222</v>
      </c>
      <c r="G908" t="n">
        <v>59.9583</v>
      </c>
      <c r="H908" t="n">
        <v>85.123</v>
      </c>
      <c r="I908" t="n">
        <v>78.6391</v>
      </c>
      <c r="J908" t="n">
        <v>83.5065</v>
      </c>
      <c r="K908" t="n">
        <v>137.3</v>
      </c>
    </row>
    <row r="909">
      <c r="A909" s="98" t="n">
        <v>34547</v>
      </c>
      <c r="B909" t="n">
        <v>69.3412</v>
      </c>
      <c r="C909" t="n">
        <v>93.1601</v>
      </c>
      <c r="D909" t="n">
        <v>49.6393</v>
      </c>
      <c r="E909" t="n">
        <v>89.024</v>
      </c>
      <c r="F909" t="n">
        <v>66.97199999999999</v>
      </c>
      <c r="G909" t="n">
        <v>60.3681</v>
      </c>
      <c r="H909" t="n">
        <v>85.0857</v>
      </c>
      <c r="I909" t="n">
        <v>78.0939</v>
      </c>
      <c r="J909" t="n">
        <v>83.79179999999999</v>
      </c>
      <c r="K909" t="n">
        <v>137.6</v>
      </c>
    </row>
    <row r="910">
      <c r="A910" s="98"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8" t="n">
        <v>34608</v>
      </c>
      <c r="B911" t="n">
        <v>70.119</v>
      </c>
      <c r="C911" t="n">
        <v>94.4037</v>
      </c>
      <c r="D911" t="n">
        <v>50.99</v>
      </c>
      <c r="E911" t="n">
        <v>89.4032</v>
      </c>
      <c r="F911" t="n">
        <v>67.91289999999999</v>
      </c>
      <c r="G911" t="n">
        <v>61.0503</v>
      </c>
      <c r="H911" t="n">
        <v>84.4355</v>
      </c>
      <c r="I911" t="n">
        <v>78.30549999999999</v>
      </c>
      <c r="J911" t="n">
        <v>84.1798</v>
      </c>
      <c r="K911" t="n">
        <v>137.4</v>
      </c>
    </row>
    <row r="912">
      <c r="A912" s="98"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8" t="n">
        <v>34669</v>
      </c>
      <c r="B913" t="n">
        <v>71.2814</v>
      </c>
      <c r="C913" t="n">
        <v>95.2923</v>
      </c>
      <c r="D913" t="n">
        <v>52.0999</v>
      </c>
      <c r="E913" t="n">
        <v>90.1934</v>
      </c>
      <c r="F913" t="n">
        <v>69.23260000000001</v>
      </c>
      <c r="G913" t="n">
        <v>62.3932</v>
      </c>
      <c r="H913" t="n">
        <v>86.0295</v>
      </c>
      <c r="I913" t="n">
        <v>77.8723</v>
      </c>
      <c r="J913" t="n">
        <v>84.99890000000001</v>
      </c>
      <c r="K913" t="n">
        <v>137.9</v>
      </c>
    </row>
    <row r="914">
      <c r="A914" s="98" t="n">
        <v>34700</v>
      </c>
      <c r="B914" t="n">
        <v>71.4303</v>
      </c>
      <c r="C914" t="n">
        <v>95.6336</v>
      </c>
      <c r="D914" t="n">
        <v>52.4415</v>
      </c>
      <c r="E914" t="n">
        <v>90.0322</v>
      </c>
      <c r="F914" t="n">
        <v>69.3663</v>
      </c>
      <c r="G914" t="n">
        <v>62.5776</v>
      </c>
      <c r="H914" t="n">
        <v>85.6647</v>
      </c>
      <c r="I914" t="n">
        <v>78.49079999999999</v>
      </c>
      <c r="J914" t="n">
        <v>84.88679999999999</v>
      </c>
      <c r="K914" t="n">
        <v>138.4</v>
      </c>
    </row>
    <row r="915">
      <c r="A915" s="98" t="n">
        <v>34731</v>
      </c>
      <c r="B915" t="n">
        <v>71.3343</v>
      </c>
      <c r="C915" t="n">
        <v>94.3279</v>
      </c>
      <c r="D915" t="n">
        <v>52.4569</v>
      </c>
      <c r="E915" t="n">
        <v>90.2148</v>
      </c>
      <c r="F915" t="n">
        <v>69.1782</v>
      </c>
      <c r="G915" t="n">
        <v>62.4435</v>
      </c>
      <c r="H915" t="n">
        <v>85.4529</v>
      </c>
      <c r="I915" t="n">
        <v>79.2077</v>
      </c>
      <c r="J915" t="n">
        <v>84.4811</v>
      </c>
      <c r="K915" t="n">
        <v>138.7</v>
      </c>
    </row>
    <row r="916">
      <c r="A916" s="98"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8" t="n">
        <v>34790</v>
      </c>
      <c r="B917" t="n">
        <v>71.3289</v>
      </c>
      <c r="C917" t="n">
        <v>93.6065</v>
      </c>
      <c r="D917" t="n">
        <v>52.8694</v>
      </c>
      <c r="E917" t="n">
        <v>89.7388</v>
      </c>
      <c r="F917" t="n">
        <v>69.1909</v>
      </c>
      <c r="G917" t="n">
        <v>62.5905</v>
      </c>
      <c r="H917" t="n">
        <v>84.6563</v>
      </c>
      <c r="I917" t="n">
        <v>79.8964</v>
      </c>
      <c r="J917" t="n">
        <v>83.8841</v>
      </c>
      <c r="K917" t="n">
        <v>139.3</v>
      </c>
    </row>
    <row r="918">
      <c r="A918" s="98" t="n">
        <v>34820</v>
      </c>
      <c r="B918" t="n">
        <v>71.66</v>
      </c>
      <c r="C918" t="n">
        <v>93.1887</v>
      </c>
      <c r="D918" t="n">
        <v>53.5193</v>
      </c>
      <c r="E918" t="n">
        <v>90.0573</v>
      </c>
      <c r="F918" t="n">
        <v>69.4237</v>
      </c>
      <c r="G918" t="n">
        <v>62.8193</v>
      </c>
      <c r="H918" t="n">
        <v>84.8856</v>
      </c>
      <c r="I918" t="n">
        <v>81.09690000000001</v>
      </c>
      <c r="J918" t="n">
        <v>83.9709</v>
      </c>
      <c r="K918" t="n">
        <v>139.7</v>
      </c>
    </row>
    <row r="919">
      <c r="A919" s="98" t="n">
        <v>34851</v>
      </c>
      <c r="B919" t="n">
        <v>71.8967</v>
      </c>
      <c r="C919" t="n">
        <v>93.3515</v>
      </c>
      <c r="D919" t="n">
        <v>54.1984</v>
      </c>
      <c r="E919" t="n">
        <v>90.4415</v>
      </c>
      <c r="F919" t="n">
        <v>69.7509</v>
      </c>
      <c r="G919" t="n">
        <v>62.8421</v>
      </c>
      <c r="H919" t="n">
        <v>84.8108</v>
      </c>
      <c r="I919" t="n">
        <v>80.55800000000001</v>
      </c>
      <c r="J919" t="n">
        <v>83.9376</v>
      </c>
      <c r="K919" t="n">
        <v>139.8</v>
      </c>
    </row>
    <row r="920">
      <c r="A920" s="98" t="n">
        <v>34881</v>
      </c>
      <c r="B920" t="n">
        <v>71.5924</v>
      </c>
      <c r="C920" t="n">
        <v>93.0847</v>
      </c>
      <c r="D920" t="n">
        <v>53.9022</v>
      </c>
      <c r="E920" t="n">
        <v>89.9468</v>
      </c>
      <c r="F920" t="n">
        <v>69.2837</v>
      </c>
      <c r="G920" t="n">
        <v>62.5702</v>
      </c>
      <c r="H920" t="n">
        <v>85.4306</v>
      </c>
      <c r="I920" t="n">
        <v>81.5622</v>
      </c>
      <c r="J920" t="n">
        <v>83.2671</v>
      </c>
      <c r="K920" t="n">
        <v>140.2</v>
      </c>
    </row>
    <row r="921">
      <c r="A921" s="98" t="n">
        <v>34912</v>
      </c>
      <c r="B921" t="n">
        <v>72.5339</v>
      </c>
      <c r="C921" t="n">
        <v>93.9528</v>
      </c>
      <c r="D921" t="n">
        <v>54.9408</v>
      </c>
      <c r="E921" t="n">
        <v>91.3169</v>
      </c>
      <c r="F921" t="n">
        <v>70.13039999999999</v>
      </c>
      <c r="G921" t="n">
        <v>63.3147</v>
      </c>
      <c r="H921" t="n">
        <v>84.3223</v>
      </c>
      <c r="I921" t="n">
        <v>84.8115</v>
      </c>
      <c r="J921" t="n">
        <v>84.0342</v>
      </c>
      <c r="K921" t="n">
        <v>140.2</v>
      </c>
    </row>
    <row r="922">
      <c r="A922" s="98"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8" t="n">
        <v>34973</v>
      </c>
      <c r="B923" t="n">
        <v>72.71299999999999</v>
      </c>
      <c r="C923" t="n">
        <v>95.3982</v>
      </c>
      <c r="D923" t="n">
        <v>55.4116</v>
      </c>
      <c r="E923" t="n">
        <v>90.6705</v>
      </c>
      <c r="F923" t="n">
        <v>70.7317</v>
      </c>
      <c r="G923" t="n">
        <v>63.7182</v>
      </c>
      <c r="H923" t="n">
        <v>84.2833</v>
      </c>
      <c r="I923" t="n">
        <v>81.3912</v>
      </c>
      <c r="J923" t="n">
        <v>83.5583</v>
      </c>
      <c r="K923" t="n">
        <v>141</v>
      </c>
    </row>
    <row r="924">
      <c r="A924" s="98" t="n">
        <v>35004</v>
      </c>
      <c r="B924" t="n">
        <v>72.8884</v>
      </c>
      <c r="C924" t="n">
        <v>95.4466</v>
      </c>
      <c r="D924" t="n">
        <v>55.6038</v>
      </c>
      <c r="E924" t="n">
        <v>90.9772</v>
      </c>
      <c r="F924" t="n">
        <v>70.80419999999999</v>
      </c>
      <c r="G924" t="n">
        <v>63.871</v>
      </c>
      <c r="H924" t="n">
        <v>85.1416</v>
      </c>
      <c r="I924" t="n">
        <v>82.41849999999999</v>
      </c>
      <c r="J924" t="n">
        <v>83.4038</v>
      </c>
      <c r="K924" t="n">
        <v>141.3</v>
      </c>
    </row>
    <row r="925">
      <c r="A925" s="98" t="n">
        <v>35034</v>
      </c>
      <c r="B925" t="n">
        <v>73.1429</v>
      </c>
      <c r="C925" t="n">
        <v>95.798</v>
      </c>
      <c r="D925" t="n">
        <v>56.0089</v>
      </c>
      <c r="E925" t="n">
        <v>91.2615</v>
      </c>
      <c r="F925" t="n">
        <v>71.0979</v>
      </c>
      <c r="G925" t="n">
        <v>64.11450000000001</v>
      </c>
      <c r="H925" t="n">
        <v>84.9158</v>
      </c>
      <c r="I925" t="n">
        <v>83.05419999999999</v>
      </c>
      <c r="J925" t="n">
        <v>83.3301</v>
      </c>
      <c r="K925" t="n">
        <v>141.5</v>
      </c>
    </row>
    <row r="926">
      <c r="A926" s="98"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8" t="n">
        <v>35096</v>
      </c>
      <c r="B927" t="n">
        <v>73.7871</v>
      </c>
      <c r="C927" t="n">
        <v>95.4845</v>
      </c>
      <c r="D927" t="n">
        <v>56.7899</v>
      </c>
      <c r="E927" t="n">
        <v>91.59820000000001</v>
      </c>
      <c r="F927" t="n">
        <v>71.68170000000001</v>
      </c>
      <c r="G927" t="n">
        <v>64.8866</v>
      </c>
      <c r="H927" t="n">
        <v>84.8965</v>
      </c>
      <c r="I927" t="n">
        <v>84.9038</v>
      </c>
      <c r="J927" t="n">
        <v>83.3145</v>
      </c>
      <c r="K927" t="n">
        <v>141.6</v>
      </c>
    </row>
    <row r="928">
      <c r="A928" s="98"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8" t="n">
        <v>35156</v>
      </c>
      <c r="B929" t="n">
        <v>74.4153</v>
      </c>
      <c r="C929" t="n">
        <v>97.2278</v>
      </c>
      <c r="D929" t="n">
        <v>58.0365</v>
      </c>
      <c r="E929" t="n">
        <v>91.8783</v>
      </c>
      <c r="F929" t="n">
        <v>72.39570000000001</v>
      </c>
      <c r="G929" t="n">
        <v>65.4633</v>
      </c>
      <c r="H929" t="n">
        <v>86.499</v>
      </c>
      <c r="I929" t="n">
        <v>84.0975</v>
      </c>
      <c r="J929" t="n">
        <v>83.2544</v>
      </c>
      <c r="K929" t="n">
        <v>141.6</v>
      </c>
    </row>
    <row r="930">
      <c r="A930" s="98" t="n">
        <v>35186</v>
      </c>
      <c r="B930" t="n">
        <v>74.9718</v>
      </c>
      <c r="C930" t="n">
        <v>98.2312</v>
      </c>
      <c r="D930" t="n">
        <v>58.8332</v>
      </c>
      <c r="E930" t="n">
        <v>92.0234</v>
      </c>
      <c r="F930" t="n">
        <v>72.98309999999999</v>
      </c>
      <c r="G930" t="n">
        <v>66.0316</v>
      </c>
      <c r="H930" t="n">
        <v>86.17489999999999</v>
      </c>
      <c r="I930" t="n">
        <v>84.9811</v>
      </c>
      <c r="J930" t="n">
        <v>83.4872</v>
      </c>
      <c r="K930" t="n">
        <v>142</v>
      </c>
    </row>
    <row r="931">
      <c r="A931" s="98" t="n">
        <v>35217</v>
      </c>
      <c r="B931" t="n">
        <v>75.5317</v>
      </c>
      <c r="C931" t="n">
        <v>99.7616</v>
      </c>
      <c r="D931" t="n">
        <v>59.6929</v>
      </c>
      <c r="E931" t="n">
        <v>92.6754</v>
      </c>
      <c r="F931" t="n">
        <v>73.70820000000001</v>
      </c>
      <c r="G931" t="n">
        <v>66.509</v>
      </c>
      <c r="H931" t="n">
        <v>87.514</v>
      </c>
      <c r="I931" t="n">
        <v>83.85169999999999</v>
      </c>
      <c r="J931" t="n">
        <v>83.7192</v>
      </c>
      <c r="K931" t="n">
        <v>142.2</v>
      </c>
    </row>
    <row r="932">
      <c r="A932" s="98"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8" t="n">
        <v>35278</v>
      </c>
      <c r="B933" t="n">
        <v>75.91289999999999</v>
      </c>
      <c r="C933" t="n">
        <v>100.1738</v>
      </c>
      <c r="D933" t="n">
        <v>60.7383</v>
      </c>
      <c r="E933" t="n">
        <v>91.8693</v>
      </c>
      <c r="F933" t="n">
        <v>74.35120000000001</v>
      </c>
      <c r="G933" t="n">
        <v>67.083</v>
      </c>
      <c r="H933" t="n">
        <v>87.2195</v>
      </c>
      <c r="I933" t="n">
        <v>82.0039</v>
      </c>
      <c r="J933" t="n">
        <v>83.3663</v>
      </c>
      <c r="K933" t="n">
        <v>142.3</v>
      </c>
    </row>
    <row r="934">
      <c r="A934" s="98" t="n">
        <v>35309</v>
      </c>
      <c r="B934" t="n">
        <v>76.4032</v>
      </c>
      <c r="C934" t="n">
        <v>100.5264</v>
      </c>
      <c r="D934" t="n">
        <v>61.4313</v>
      </c>
      <c r="E934" t="n">
        <v>92.8177</v>
      </c>
      <c r="F934" t="n">
        <v>74.9851</v>
      </c>
      <c r="G934" t="n">
        <v>67.35209999999999</v>
      </c>
      <c r="H934" t="n">
        <v>87.41549999999999</v>
      </c>
      <c r="I934" t="n">
        <v>81.6604</v>
      </c>
      <c r="J934" t="n">
        <v>83.515</v>
      </c>
      <c r="K934" t="n">
        <v>142.2</v>
      </c>
    </row>
    <row r="935">
      <c r="A935" s="98"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8" t="n">
        <v>35370</v>
      </c>
      <c r="B936" t="n">
        <v>77.0672</v>
      </c>
      <c r="C936" t="n">
        <v>101.4128</v>
      </c>
      <c r="D936" t="n">
        <v>62.2115</v>
      </c>
      <c r="E936" t="n">
        <v>93.3862</v>
      </c>
      <c r="F936" t="n">
        <v>75.5364</v>
      </c>
      <c r="G936" t="n">
        <v>67.9726</v>
      </c>
      <c r="H936" t="n">
        <v>86.7093</v>
      </c>
      <c r="I936" t="n">
        <v>83.9919</v>
      </c>
      <c r="J936" t="n">
        <v>83.4462</v>
      </c>
      <c r="K936" t="n">
        <v>142.1</v>
      </c>
    </row>
    <row r="937">
      <c r="A937" s="98" t="n">
        <v>35400</v>
      </c>
      <c r="B937" t="n">
        <v>77.5543</v>
      </c>
      <c r="C937" t="n">
        <v>100.9579</v>
      </c>
      <c r="D937" t="n">
        <v>63.3265</v>
      </c>
      <c r="E937" t="n">
        <v>93.60769999999999</v>
      </c>
      <c r="F937" t="n">
        <v>76.1658</v>
      </c>
      <c r="G937" t="n">
        <v>68.4543</v>
      </c>
      <c r="H937" t="n">
        <v>86.8723</v>
      </c>
      <c r="I937" t="n">
        <v>83.04770000000001</v>
      </c>
      <c r="J937" t="n">
        <v>83.5689</v>
      </c>
      <c r="K937" t="n">
        <v>142.3</v>
      </c>
    </row>
    <row r="938">
      <c r="A938" s="98"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8"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8"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8"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8"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8" t="n">
        <v>35582</v>
      </c>
      <c r="B943" t="n">
        <v>79.9802</v>
      </c>
      <c r="C943" t="n">
        <v>103.0868</v>
      </c>
      <c r="D943" t="n">
        <v>68.1048</v>
      </c>
      <c r="E943" t="n">
        <v>94.256</v>
      </c>
      <c r="F943" t="n">
        <v>79.0198</v>
      </c>
      <c r="G943" t="n">
        <v>70.95350000000001</v>
      </c>
      <c r="H943" t="n">
        <v>88.22929999999999</v>
      </c>
      <c r="I943" t="n">
        <v>81.4105</v>
      </c>
      <c r="J943" t="n">
        <v>83.5904</v>
      </c>
      <c r="K943" t="n">
        <v>142.4</v>
      </c>
    </row>
    <row r="944">
      <c r="A944" s="98"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8"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8" t="n">
        <v>35674</v>
      </c>
      <c r="B946" t="n">
        <v>82.212</v>
      </c>
      <c r="C946" t="n">
        <v>104.3555</v>
      </c>
      <c r="D946" t="n">
        <v>70.6139</v>
      </c>
      <c r="E946" t="n">
        <v>96.70699999999999</v>
      </c>
      <c r="F946" t="n">
        <v>81.33320000000001</v>
      </c>
      <c r="G946" t="n">
        <v>73.107</v>
      </c>
      <c r="H946" t="n">
        <v>88.9014</v>
      </c>
      <c r="I946" t="n">
        <v>83.7367</v>
      </c>
      <c r="J946" t="n">
        <v>84.4269</v>
      </c>
      <c r="K946" t="n">
        <v>142.6</v>
      </c>
    </row>
    <row r="947">
      <c r="A947" s="98"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8" t="n">
        <v>35735</v>
      </c>
      <c r="B948" t="n">
        <v>83.5919</v>
      </c>
      <c r="C948" t="n">
        <v>105.2767</v>
      </c>
      <c r="D948" t="n">
        <v>72.8776</v>
      </c>
      <c r="E948" t="n">
        <v>98.41670000000001</v>
      </c>
      <c r="F948" t="n">
        <v>82.9165</v>
      </c>
      <c r="G948" t="n">
        <v>74.1725</v>
      </c>
      <c r="H948" t="n">
        <v>87.57340000000001</v>
      </c>
      <c r="I948" t="n">
        <v>85.1688</v>
      </c>
      <c r="J948" t="n">
        <v>84.7629</v>
      </c>
      <c r="K948" t="n">
        <v>142.4</v>
      </c>
    </row>
    <row r="949">
      <c r="A949" s="98" t="n">
        <v>35765</v>
      </c>
      <c r="B949" t="n">
        <v>83.9696</v>
      </c>
      <c r="C949" t="n">
        <v>106.7137</v>
      </c>
      <c r="D949" t="n">
        <v>73.401</v>
      </c>
      <c r="E949" t="n">
        <v>98.11539999999999</v>
      </c>
      <c r="F949" t="n">
        <v>83.3892</v>
      </c>
      <c r="G949" t="n">
        <v>74.6987</v>
      </c>
      <c r="H949" t="n">
        <v>88.0236</v>
      </c>
      <c r="I949" t="n">
        <v>84.8021</v>
      </c>
      <c r="J949" t="n">
        <v>84.59439999999999</v>
      </c>
      <c r="K949" t="n">
        <v>142.3</v>
      </c>
    </row>
    <row r="950">
      <c r="A950" s="98" t="n">
        <v>35796</v>
      </c>
      <c r="B950" t="n">
        <v>84.3467</v>
      </c>
      <c r="C950" t="n">
        <v>107.3002</v>
      </c>
      <c r="D950" t="n">
        <v>74.3673</v>
      </c>
      <c r="E950" t="n">
        <v>98.5558</v>
      </c>
      <c r="F950" t="n">
        <v>84.0855</v>
      </c>
      <c r="G950" t="n">
        <v>74.9175</v>
      </c>
      <c r="H950" t="n">
        <v>90.4156</v>
      </c>
      <c r="I950" t="n">
        <v>81.4268</v>
      </c>
      <c r="J950" t="n">
        <v>84.4194</v>
      </c>
      <c r="K950" t="n">
        <v>142.4</v>
      </c>
    </row>
    <row r="951">
      <c r="A951" s="98"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8"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8"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8" t="n">
        <v>35916</v>
      </c>
      <c r="B954" t="n">
        <v>85.3596</v>
      </c>
      <c r="C954" t="n">
        <v>108.9911</v>
      </c>
      <c r="D954" t="n">
        <v>75.7042</v>
      </c>
      <c r="E954" t="n">
        <v>99.505</v>
      </c>
      <c r="F954" t="n">
        <v>84.8416</v>
      </c>
      <c r="G954" t="n">
        <v>75.6495</v>
      </c>
      <c r="H954" t="n">
        <v>88.6237</v>
      </c>
      <c r="I954" t="n">
        <v>85.6973</v>
      </c>
      <c r="J954" t="n">
        <v>83.2637</v>
      </c>
      <c r="K954" t="n">
        <v>143.5</v>
      </c>
    </row>
    <row r="955">
      <c r="A955" s="98"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8" t="n">
        <v>35977</v>
      </c>
      <c r="B956" t="n">
        <v>84.5061</v>
      </c>
      <c r="C956" t="n">
        <v>109.2122</v>
      </c>
      <c r="D956" t="n">
        <v>75.3173</v>
      </c>
      <c r="E956" t="n">
        <v>97.5946</v>
      </c>
      <c r="F956" t="n">
        <v>83.7244</v>
      </c>
      <c r="G956" t="n">
        <v>74.7076</v>
      </c>
      <c r="H956" t="n">
        <v>85.7266</v>
      </c>
      <c r="I956" t="n">
        <v>87.366</v>
      </c>
      <c r="J956" t="n">
        <v>81.4782</v>
      </c>
      <c r="K956" t="n">
        <v>143.8</v>
      </c>
    </row>
    <row r="957">
      <c r="A957" s="98"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8"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8" t="n">
        <v>36069</v>
      </c>
      <c r="B959" t="n">
        <v>86.7671</v>
      </c>
      <c r="C959" t="n">
        <v>110.1781</v>
      </c>
      <c r="D959" t="n">
        <v>78.4982</v>
      </c>
      <c r="E959" t="n">
        <v>100.0114</v>
      </c>
      <c r="F959" t="n">
        <v>86.5483</v>
      </c>
      <c r="G959" t="n">
        <v>77.0325</v>
      </c>
      <c r="H959" t="n">
        <v>84.22410000000001</v>
      </c>
      <c r="I959" t="n">
        <v>87.41249999999999</v>
      </c>
      <c r="J959" t="n">
        <v>82.383</v>
      </c>
      <c r="K959" t="n">
        <v>144.2</v>
      </c>
    </row>
    <row r="960">
      <c r="A960" s="98"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8"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8" t="n">
        <v>36161</v>
      </c>
      <c r="B962" t="n">
        <v>87.4252</v>
      </c>
      <c r="C962" t="n">
        <v>111.0729</v>
      </c>
      <c r="D962" t="n">
        <v>78.6259</v>
      </c>
      <c r="E962" t="n">
        <v>100.401</v>
      </c>
      <c r="F962" t="n">
        <v>87.4415</v>
      </c>
      <c r="G962" t="n">
        <v>77.9748</v>
      </c>
      <c r="H962" t="n">
        <v>82.4653</v>
      </c>
      <c r="I962" t="n">
        <v>87.3599</v>
      </c>
      <c r="J962" t="n">
        <v>81.8747</v>
      </c>
      <c r="K962" t="n">
        <v>145.6</v>
      </c>
    </row>
    <row r="963">
      <c r="A963" s="98" t="n">
        <v>36192</v>
      </c>
      <c r="B963" t="n">
        <v>87.926</v>
      </c>
      <c r="C963" t="n">
        <v>111.2581</v>
      </c>
      <c r="D963" t="n">
        <v>79.2667</v>
      </c>
      <c r="E963" t="n">
        <v>100.8216</v>
      </c>
      <c r="F963" t="n">
        <v>88.245</v>
      </c>
      <c r="G963" t="n">
        <v>78.5347</v>
      </c>
      <c r="H963" t="n">
        <v>81.8417</v>
      </c>
      <c r="I963" t="n">
        <v>85.9363</v>
      </c>
      <c r="J963" t="n">
        <v>81.9924</v>
      </c>
      <c r="K963" t="n">
        <v>145.7</v>
      </c>
    </row>
    <row r="964">
      <c r="A964" s="98"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8" t="n">
        <v>36251</v>
      </c>
      <c r="B965" t="n">
        <v>88.31059999999999</v>
      </c>
      <c r="C965" t="n">
        <v>110.4741</v>
      </c>
      <c r="D965" t="n">
        <v>79.6563</v>
      </c>
      <c r="E965" t="n">
        <v>100.4738</v>
      </c>
      <c r="F965" t="n">
        <v>88.5581</v>
      </c>
      <c r="G965" t="n">
        <v>79.431</v>
      </c>
      <c r="H965" t="n">
        <v>80.9418</v>
      </c>
      <c r="I965" t="n">
        <v>87.9061</v>
      </c>
      <c r="J965" t="n">
        <v>81.6888</v>
      </c>
      <c r="K965" t="n">
        <v>145.7</v>
      </c>
    </row>
    <row r="966">
      <c r="A966" s="98"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8" t="n">
        <v>36312</v>
      </c>
      <c r="B967" t="n">
        <v>88.7978</v>
      </c>
      <c r="C967" t="n">
        <v>110.8252</v>
      </c>
      <c r="D967" t="n">
        <v>80.268</v>
      </c>
      <c r="E967" t="n">
        <v>100.4316</v>
      </c>
      <c r="F967" t="n">
        <v>89.0936</v>
      </c>
      <c r="G967" t="n">
        <v>80.2694</v>
      </c>
      <c r="H967" t="n">
        <v>81.2414</v>
      </c>
      <c r="I967" t="n">
        <v>88.41419999999999</v>
      </c>
      <c r="J967" t="n">
        <v>81.51909999999999</v>
      </c>
      <c r="K967" t="n">
        <v>145.8</v>
      </c>
    </row>
    <row r="968">
      <c r="A968" s="98" t="n">
        <v>36342</v>
      </c>
      <c r="B968" t="n">
        <v>89.31189999999999</v>
      </c>
      <c r="C968" t="n">
        <v>111.5708</v>
      </c>
      <c r="D968" t="n">
        <v>80.8325</v>
      </c>
      <c r="E968" t="n">
        <v>100.0696</v>
      </c>
      <c r="F968" t="n">
        <v>89.5106</v>
      </c>
      <c r="G968" t="n">
        <v>81.2443</v>
      </c>
      <c r="H968" t="n">
        <v>81.9969</v>
      </c>
      <c r="I968" t="n">
        <v>90.3214</v>
      </c>
      <c r="J968" t="n">
        <v>81.6934</v>
      </c>
      <c r="K968" t="n">
        <v>145.8</v>
      </c>
    </row>
    <row r="969">
      <c r="A969" s="98"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8" t="n">
        <v>36404</v>
      </c>
      <c r="B970" t="n">
        <v>89.3331</v>
      </c>
      <c r="C970" t="n">
        <v>111.6039</v>
      </c>
      <c r="D970" t="n">
        <v>81.0223</v>
      </c>
      <c r="E970" t="n">
        <v>100.5576</v>
      </c>
      <c r="F970" t="n">
        <v>89.5707</v>
      </c>
      <c r="G970" t="n">
        <v>81.03660000000001</v>
      </c>
      <c r="H970" t="n">
        <v>82.0136</v>
      </c>
      <c r="I970" t="n">
        <v>88.62</v>
      </c>
      <c r="J970" t="n">
        <v>81.12520000000001</v>
      </c>
      <c r="K970" t="n">
        <v>146.5</v>
      </c>
    </row>
    <row r="971">
      <c r="A971" s="98"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8" t="n">
        <v>36465</v>
      </c>
      <c r="B972" t="n">
        <v>90.965</v>
      </c>
      <c r="C972" t="n">
        <v>113.6375</v>
      </c>
      <c r="D972" t="n">
        <v>81.7914</v>
      </c>
      <c r="E972" t="n">
        <v>102.4432</v>
      </c>
      <c r="F972" t="n">
        <v>91.547</v>
      </c>
      <c r="G972" t="n">
        <v>82.898</v>
      </c>
      <c r="H972" t="n">
        <v>83.717</v>
      </c>
      <c r="I972" t="n">
        <v>87.06229999999999</v>
      </c>
      <c r="J972" t="n">
        <v>82.0253</v>
      </c>
      <c r="K972" t="n">
        <v>146.9</v>
      </c>
    </row>
    <row r="973">
      <c r="A973" s="98" t="n">
        <v>36495</v>
      </c>
      <c r="B973" t="n">
        <v>91.68040000000001</v>
      </c>
      <c r="C973" t="n">
        <v>114.7782</v>
      </c>
      <c r="D973" t="n">
        <v>82.4623</v>
      </c>
      <c r="E973" t="n">
        <v>103.5578</v>
      </c>
      <c r="F973" t="n">
        <v>92.2076</v>
      </c>
      <c r="G973" t="n">
        <v>83.4225</v>
      </c>
      <c r="H973" t="n">
        <v>84.3852</v>
      </c>
      <c r="I973" t="n">
        <v>88.5677</v>
      </c>
      <c r="J973" t="n">
        <v>82.384</v>
      </c>
      <c r="K973" t="n">
        <v>147</v>
      </c>
    </row>
    <row r="974">
      <c r="A974" s="98"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8"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8"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8"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8" t="n">
        <v>36647</v>
      </c>
      <c r="B978" t="n">
        <v>93.16200000000001</v>
      </c>
      <c r="C978" t="n">
        <v>114.3001</v>
      </c>
      <c r="D978" t="n">
        <v>87.2518</v>
      </c>
      <c r="E978" t="n">
        <v>103.6429</v>
      </c>
      <c r="F978" t="n">
        <v>93.8815</v>
      </c>
      <c r="G978" t="n">
        <v>84.9889</v>
      </c>
      <c r="H978" t="n">
        <v>83.3506</v>
      </c>
      <c r="I978" t="n">
        <v>92.3302</v>
      </c>
      <c r="J978" t="n">
        <v>82.30549999999999</v>
      </c>
      <c r="K978" t="n">
        <v>147.8</v>
      </c>
    </row>
    <row r="979">
      <c r="A979" s="98" t="n">
        <v>36678</v>
      </c>
      <c r="B979" t="n">
        <v>93.21680000000001</v>
      </c>
      <c r="C979" t="n">
        <v>113.7782</v>
      </c>
      <c r="D979" t="n">
        <v>87.3614</v>
      </c>
      <c r="E979" t="n">
        <v>103.727</v>
      </c>
      <c r="F979" t="n">
        <v>94.0159</v>
      </c>
      <c r="G979" t="n">
        <v>85.0925</v>
      </c>
      <c r="H979" t="n">
        <v>83.8677</v>
      </c>
      <c r="I979" t="n">
        <v>90.9761</v>
      </c>
      <c r="J979" t="n">
        <v>82.07989999999999</v>
      </c>
      <c r="K979" t="n">
        <v>147.8</v>
      </c>
    </row>
    <row r="980">
      <c r="A980" s="98" t="n">
        <v>36708</v>
      </c>
      <c r="B980" t="n">
        <v>93.04000000000001</v>
      </c>
      <c r="C980" t="n">
        <v>114.325</v>
      </c>
      <c r="D980" t="n">
        <v>87.8813</v>
      </c>
      <c r="E980" t="n">
        <v>103.2899</v>
      </c>
      <c r="F980" t="n">
        <v>94.093</v>
      </c>
      <c r="G980" t="n">
        <v>84.7026</v>
      </c>
      <c r="H980" t="n">
        <v>83.8184</v>
      </c>
      <c r="I980" t="n">
        <v>88.2762</v>
      </c>
      <c r="J980" t="n">
        <v>81.65519999999999</v>
      </c>
      <c r="K980" t="n">
        <v>148.1</v>
      </c>
    </row>
    <row r="981">
      <c r="A981" s="98"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8" t="n">
        <v>36770</v>
      </c>
      <c r="B982" t="n">
        <v>93.15470000000001</v>
      </c>
      <c r="C982" t="n">
        <v>113.6265</v>
      </c>
      <c r="D982" t="n">
        <v>88.2315</v>
      </c>
      <c r="E982" t="n">
        <v>103.7769</v>
      </c>
      <c r="F982" t="n">
        <v>93.9426</v>
      </c>
      <c r="G982" t="n">
        <v>84.9126</v>
      </c>
      <c r="H982" t="n">
        <v>84.0201</v>
      </c>
      <c r="I982" t="n">
        <v>91.30329999999999</v>
      </c>
      <c r="J982" t="n">
        <v>81.2234</v>
      </c>
      <c r="K982" t="n">
        <v>148.6</v>
      </c>
    </row>
    <row r="983">
      <c r="A983" s="98"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8" t="n">
        <v>36831</v>
      </c>
      <c r="B984" t="n">
        <v>92.8395</v>
      </c>
      <c r="C984" t="n">
        <v>112.9322</v>
      </c>
      <c r="D984" t="n">
        <v>88.0286</v>
      </c>
      <c r="E984" t="n">
        <v>102.9923</v>
      </c>
      <c r="F984" t="n">
        <v>93.4114</v>
      </c>
      <c r="G984" t="n">
        <v>84.62</v>
      </c>
      <c r="H984" t="n">
        <v>83.93989999999999</v>
      </c>
      <c r="I984" t="n">
        <v>93.5979</v>
      </c>
      <c r="J984" t="n">
        <v>80.4228</v>
      </c>
      <c r="K984" t="n">
        <v>148.7</v>
      </c>
    </row>
    <row r="985">
      <c r="A985" s="98"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8" t="n">
        <v>36892</v>
      </c>
      <c r="B986" t="n">
        <v>92.0304</v>
      </c>
      <c r="C986" t="n">
        <v>111.9186</v>
      </c>
      <c r="D986" t="n">
        <v>87.3451</v>
      </c>
      <c r="E986" t="n">
        <v>102.683</v>
      </c>
      <c r="F986" t="n">
        <v>92.4312</v>
      </c>
      <c r="G986" t="n">
        <v>83.3017</v>
      </c>
      <c r="H986" t="n">
        <v>83.7445</v>
      </c>
      <c r="I986" t="n">
        <v>93.9358</v>
      </c>
      <c r="J986" t="n">
        <v>79.2103</v>
      </c>
      <c r="K986" t="n">
        <v>149.5</v>
      </c>
    </row>
    <row r="987">
      <c r="A987" s="98" t="n">
        <v>36923</v>
      </c>
      <c r="B987" t="n">
        <v>91.4079</v>
      </c>
      <c r="C987" t="n">
        <v>110.5078</v>
      </c>
      <c r="D987" t="n">
        <v>86.7432</v>
      </c>
      <c r="E987" t="n">
        <v>102.0327</v>
      </c>
      <c r="F987" t="n">
        <v>91.898</v>
      </c>
      <c r="G987" t="n">
        <v>82.89700000000001</v>
      </c>
      <c r="H987" t="n">
        <v>84.7587</v>
      </c>
      <c r="I987" t="n">
        <v>92.06059999999999</v>
      </c>
      <c r="J987" t="n">
        <v>78.4277</v>
      </c>
      <c r="K987" t="n">
        <v>149.2</v>
      </c>
    </row>
    <row r="988">
      <c r="A988" s="98" t="n">
        <v>36951</v>
      </c>
      <c r="B988" t="n">
        <v>91.1751</v>
      </c>
      <c r="C988" t="n">
        <v>110.6226</v>
      </c>
      <c r="D988" t="n">
        <v>86.1263</v>
      </c>
      <c r="E988" t="n">
        <v>101.9992</v>
      </c>
      <c r="F988" t="n">
        <v>91.7163</v>
      </c>
      <c r="G988" t="n">
        <v>82.6138</v>
      </c>
      <c r="H988" t="n">
        <v>84.87779999999999</v>
      </c>
      <c r="I988" t="n">
        <v>91.40260000000001</v>
      </c>
      <c r="J988" t="n">
        <v>77.9877</v>
      </c>
      <c r="K988" t="n">
        <v>149.5</v>
      </c>
    </row>
    <row r="989">
      <c r="A989" s="98" t="n">
        <v>36982</v>
      </c>
      <c r="B989" t="n">
        <v>90.8767</v>
      </c>
      <c r="C989" t="n">
        <v>110.4067</v>
      </c>
      <c r="D989" t="n">
        <v>84.1814</v>
      </c>
      <c r="E989" t="n">
        <v>102.3592</v>
      </c>
      <c r="F989" t="n">
        <v>91.3506</v>
      </c>
      <c r="G989" t="n">
        <v>82.41030000000001</v>
      </c>
      <c r="H989" t="n">
        <v>85.131</v>
      </c>
      <c r="I989" t="n">
        <v>90.9397</v>
      </c>
      <c r="J989" t="n">
        <v>77.5008</v>
      </c>
      <c r="K989" t="n">
        <v>149.8</v>
      </c>
    </row>
    <row r="990">
      <c r="A990" s="98" t="n">
        <v>37012</v>
      </c>
      <c r="B990" t="n">
        <v>90.375</v>
      </c>
      <c r="C990" t="n">
        <v>109.7104</v>
      </c>
      <c r="D990" t="n">
        <v>82.7668</v>
      </c>
      <c r="E990" t="n">
        <v>102.3594</v>
      </c>
      <c r="F990" t="n">
        <v>90.7504</v>
      </c>
      <c r="G990" t="n">
        <v>81.8518</v>
      </c>
      <c r="H990" t="n">
        <v>85.2079</v>
      </c>
      <c r="I990" t="n">
        <v>90.2028</v>
      </c>
      <c r="J990" t="n">
        <v>76.8523</v>
      </c>
      <c r="K990" t="n">
        <v>150.1</v>
      </c>
    </row>
    <row r="991">
      <c r="A991" s="98" t="n">
        <v>37043</v>
      </c>
      <c r="B991" t="n">
        <v>89.8626</v>
      </c>
      <c r="C991" t="n">
        <v>108.9582</v>
      </c>
      <c r="D991" t="n">
        <v>81.7186</v>
      </c>
      <c r="E991" t="n">
        <v>102.3794</v>
      </c>
      <c r="F991" t="n">
        <v>90.1484</v>
      </c>
      <c r="G991" t="n">
        <v>81.0963</v>
      </c>
      <c r="H991" t="n">
        <v>84.3321</v>
      </c>
      <c r="I991" t="n">
        <v>90.473</v>
      </c>
      <c r="J991" t="n">
        <v>76.2089</v>
      </c>
      <c r="K991" t="n">
        <v>150.2</v>
      </c>
    </row>
    <row r="992">
      <c r="A992" s="98" t="n">
        <v>37073</v>
      </c>
      <c r="B992" t="n">
        <v>89.3288</v>
      </c>
      <c r="C992" t="n">
        <v>109.0355</v>
      </c>
      <c r="D992" t="n">
        <v>80.88930000000001</v>
      </c>
      <c r="E992" t="n">
        <v>101.869</v>
      </c>
      <c r="F992" t="n">
        <v>89.6332</v>
      </c>
      <c r="G992" t="n">
        <v>80.4494</v>
      </c>
      <c r="H992" t="n">
        <v>84.0361</v>
      </c>
      <c r="I992" t="n">
        <v>88.9063</v>
      </c>
      <c r="J992" t="n">
        <v>75.5633</v>
      </c>
      <c r="K992" t="n">
        <v>150.5</v>
      </c>
    </row>
    <row r="993">
      <c r="A993" s="98" t="n">
        <v>37104</v>
      </c>
      <c r="B993" t="n">
        <v>89.2201</v>
      </c>
      <c r="C993" t="n">
        <v>107.7281</v>
      </c>
      <c r="D993" t="n">
        <v>79.3747</v>
      </c>
      <c r="E993" t="n">
        <v>102.078</v>
      </c>
      <c r="F993" t="n">
        <v>89.273</v>
      </c>
      <c r="G993" t="n">
        <v>80.7501</v>
      </c>
      <c r="H993" t="n">
        <v>84.02290000000001</v>
      </c>
      <c r="I993" t="n">
        <v>91.3073</v>
      </c>
      <c r="J993" t="n">
        <v>75.2891</v>
      </c>
      <c r="K993" t="n">
        <v>150.5</v>
      </c>
    </row>
    <row r="994">
      <c r="A994" s="98" t="n">
        <v>37135</v>
      </c>
      <c r="B994" t="n">
        <v>88.7478</v>
      </c>
      <c r="C994" t="n">
        <v>107.5289</v>
      </c>
      <c r="D994" t="n">
        <v>78.0861</v>
      </c>
      <c r="E994" t="n">
        <v>101.5252</v>
      </c>
      <c r="F994" t="n">
        <v>88.9165</v>
      </c>
      <c r="G994" t="n">
        <v>80.4156</v>
      </c>
      <c r="H994" t="n">
        <v>84.09269999999999</v>
      </c>
      <c r="I994" t="n">
        <v>89.34059999999999</v>
      </c>
      <c r="J994" t="n">
        <v>74.7196</v>
      </c>
      <c r="K994" t="n">
        <v>150.7</v>
      </c>
    </row>
    <row r="995">
      <c r="A995" s="98"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8" t="n">
        <v>37196</v>
      </c>
      <c r="B996" t="n">
        <v>87.9631</v>
      </c>
      <c r="C996" t="n">
        <v>106.137</v>
      </c>
      <c r="D996" t="n">
        <v>76.3433</v>
      </c>
      <c r="E996" t="n">
        <v>101.9045</v>
      </c>
      <c r="F996" t="n">
        <v>88.2363</v>
      </c>
      <c r="G996" t="n">
        <v>79.45010000000001</v>
      </c>
      <c r="H996" t="n">
        <v>83.0309</v>
      </c>
      <c r="I996" t="n">
        <v>88.15860000000001</v>
      </c>
      <c r="J996" t="n">
        <v>73.7535</v>
      </c>
      <c r="K996" t="n">
        <v>150.2</v>
      </c>
    </row>
    <row r="997">
      <c r="A997" s="98" t="n">
        <v>37226</v>
      </c>
      <c r="B997" t="n">
        <v>87.9329</v>
      </c>
      <c r="C997" t="n">
        <v>106.9018</v>
      </c>
      <c r="D997" t="n">
        <v>75.5753</v>
      </c>
      <c r="E997" t="n">
        <v>102.4789</v>
      </c>
      <c r="F997" t="n">
        <v>88.4092</v>
      </c>
      <c r="G997" t="n">
        <v>79.23999999999999</v>
      </c>
      <c r="H997" t="n">
        <v>82.1446</v>
      </c>
      <c r="I997" t="n">
        <v>86.9877</v>
      </c>
      <c r="J997" t="n">
        <v>73.5947</v>
      </c>
      <c r="K997" t="n">
        <v>150.4</v>
      </c>
    </row>
    <row r="998">
      <c r="A998" s="98" t="n">
        <v>37257</v>
      </c>
      <c r="B998" t="n">
        <v>88.54519999999999</v>
      </c>
      <c r="C998" t="n">
        <v>106.7652</v>
      </c>
      <c r="D998" t="n">
        <v>75.3944</v>
      </c>
      <c r="E998" t="n">
        <v>103.5265</v>
      </c>
      <c r="F998" t="n">
        <v>89.0228</v>
      </c>
      <c r="G998" t="n">
        <v>80.1116</v>
      </c>
      <c r="H998" t="n">
        <v>81.5022</v>
      </c>
      <c r="I998" t="n">
        <v>88.944</v>
      </c>
      <c r="J998" t="n">
        <v>73.9862</v>
      </c>
      <c r="K998" t="n">
        <v>150</v>
      </c>
    </row>
    <row r="999">
      <c r="A999" s="98"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8" t="n">
        <v>37316</v>
      </c>
      <c r="B1000" t="n">
        <v>89.2097</v>
      </c>
      <c r="C1000" t="n">
        <v>108.6831</v>
      </c>
      <c r="D1000" t="n">
        <v>75.5097</v>
      </c>
      <c r="E1000" t="n">
        <v>103.7061</v>
      </c>
      <c r="F1000" t="n">
        <v>89.7615</v>
      </c>
      <c r="G1000" t="n">
        <v>81.1678</v>
      </c>
      <c r="H1000" t="n">
        <v>80.0188</v>
      </c>
      <c r="I1000" t="n">
        <v>91.8047</v>
      </c>
      <c r="J1000" t="n">
        <v>74.34610000000001</v>
      </c>
      <c r="K1000" t="n">
        <v>150</v>
      </c>
    </row>
    <row r="1001">
      <c r="A1001" s="98"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8" t="n">
        <v>37377</v>
      </c>
      <c r="B1002" t="n">
        <v>90.0271</v>
      </c>
      <c r="C1002" t="n">
        <v>109.1457</v>
      </c>
      <c r="D1002" t="n">
        <v>75.5324</v>
      </c>
      <c r="E1002" t="n">
        <v>103.9622</v>
      </c>
      <c r="F1002" t="n">
        <v>90.5791</v>
      </c>
      <c r="G1002" t="n">
        <v>82.492</v>
      </c>
      <c r="H1002" t="n">
        <v>80.9376</v>
      </c>
      <c r="I1002" t="n">
        <v>93.3887</v>
      </c>
      <c r="J1002" t="n">
        <v>74.89700000000001</v>
      </c>
      <c r="K1002" t="n">
        <v>150.2</v>
      </c>
    </row>
    <row r="1003">
      <c r="A1003" s="98"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8"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8" t="n">
        <v>37469</v>
      </c>
      <c r="B1005" t="n">
        <v>90.6268</v>
      </c>
      <c r="C1005" t="n">
        <v>108.9087</v>
      </c>
      <c r="D1005" t="n">
        <v>76.1666</v>
      </c>
      <c r="E1005" t="n">
        <v>104.3943</v>
      </c>
      <c r="F1005" t="n">
        <v>91.4704</v>
      </c>
      <c r="G1005" t="n">
        <v>83.2426</v>
      </c>
      <c r="H1005" t="n">
        <v>80.7636</v>
      </c>
      <c r="I1005" t="n">
        <v>92.30200000000001</v>
      </c>
      <c r="J1005" t="n">
        <v>75.318</v>
      </c>
      <c r="K1005" t="n">
        <v>149.9</v>
      </c>
    </row>
    <row r="1006">
      <c r="A1006" s="98"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8"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8" t="n">
        <v>37561</v>
      </c>
      <c r="B1008" t="n">
        <v>90.9823</v>
      </c>
      <c r="C1008" t="n">
        <v>109.4365</v>
      </c>
      <c r="D1008" t="n">
        <v>76.202</v>
      </c>
      <c r="E1008" t="n">
        <v>105.1564</v>
      </c>
      <c r="F1008" t="n">
        <v>91.7625</v>
      </c>
      <c r="G1008" t="n">
        <v>83.2996</v>
      </c>
      <c r="H1008" t="n">
        <v>79.7334</v>
      </c>
      <c r="I1008" t="n">
        <v>94.82769999999999</v>
      </c>
      <c r="J1008" t="n">
        <v>75.6427</v>
      </c>
      <c r="K1008" t="n">
        <v>150.3</v>
      </c>
    </row>
    <row r="1009">
      <c r="A1009" s="98" t="n">
        <v>37591</v>
      </c>
      <c r="B1009" t="n">
        <v>90.4919</v>
      </c>
      <c r="C1009" t="n">
        <v>108.6027</v>
      </c>
      <c r="D1009" t="n">
        <v>75.3532</v>
      </c>
      <c r="E1009" t="n">
        <v>104.2045</v>
      </c>
      <c r="F1009" t="n">
        <v>91.1347</v>
      </c>
      <c r="G1009" t="n">
        <v>82.96980000000001</v>
      </c>
      <c r="H1009" t="n">
        <v>80.2076</v>
      </c>
      <c r="I1009" t="n">
        <v>93.8587</v>
      </c>
      <c r="J1009" t="n">
        <v>75.2617</v>
      </c>
      <c r="K1009" t="n">
        <v>149.5</v>
      </c>
    </row>
    <row r="1010">
      <c r="A1010" s="98"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8"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8" t="n">
        <v>37681</v>
      </c>
      <c r="B1012" t="n">
        <v>91.069</v>
      </c>
      <c r="C1012" t="n">
        <v>107.6896</v>
      </c>
      <c r="D1012" t="n">
        <v>75.6875</v>
      </c>
      <c r="E1012" t="n">
        <v>105.8917</v>
      </c>
      <c r="F1012" t="n">
        <v>91.8943</v>
      </c>
      <c r="G1012" t="n">
        <v>82.9851</v>
      </c>
      <c r="H1012" t="n">
        <v>80.3762</v>
      </c>
      <c r="I1012" t="n">
        <v>93.9911</v>
      </c>
      <c r="J1012" t="n">
        <v>75.8295</v>
      </c>
      <c r="K1012" t="n">
        <v>150.7</v>
      </c>
    </row>
    <row r="1013">
      <c r="A1013" s="98"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8" t="n">
        <v>37742</v>
      </c>
      <c r="B1014" t="n">
        <v>90.4697</v>
      </c>
      <c r="C1014" t="n">
        <v>107.952</v>
      </c>
      <c r="D1014" t="n">
        <v>74.9281</v>
      </c>
      <c r="E1014" t="n">
        <v>104.768</v>
      </c>
      <c r="F1014" t="n">
        <v>91.2911</v>
      </c>
      <c r="G1014" t="n">
        <v>82.604</v>
      </c>
      <c r="H1014" t="n">
        <v>79.6404</v>
      </c>
      <c r="I1014" t="n">
        <v>94.0562</v>
      </c>
      <c r="J1014" t="n">
        <v>75.3926</v>
      </c>
      <c r="K1014" t="n">
        <v>150.1</v>
      </c>
    </row>
    <row r="1015">
      <c r="A1015" s="98"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8" t="n">
        <v>37803</v>
      </c>
      <c r="B1016" t="n">
        <v>91.06140000000001</v>
      </c>
      <c r="C1016" t="n">
        <v>107.8937</v>
      </c>
      <c r="D1016" t="n">
        <v>75.5899</v>
      </c>
      <c r="E1016" t="n">
        <v>106.021</v>
      </c>
      <c r="F1016" t="n">
        <v>92.0878</v>
      </c>
      <c r="G1016" t="n">
        <v>82.988</v>
      </c>
      <c r="H1016" t="n">
        <v>79.4808</v>
      </c>
      <c r="I1016" t="n">
        <v>94.3338</v>
      </c>
      <c r="J1016" t="n">
        <v>75.9353</v>
      </c>
      <c r="K1016" t="n">
        <v>150.3</v>
      </c>
    </row>
    <row r="1017">
      <c r="A1017" s="98"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8"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8" t="n">
        <v>37895</v>
      </c>
      <c r="B1019" t="n">
        <v>91.5595</v>
      </c>
      <c r="C1019" t="n">
        <v>108.8664</v>
      </c>
      <c r="D1019" t="n">
        <v>76.3644</v>
      </c>
      <c r="E1019" t="n">
        <v>105.3013</v>
      </c>
      <c r="F1019" t="n">
        <v>92.6163</v>
      </c>
      <c r="G1019" t="n">
        <v>84.1322</v>
      </c>
      <c r="H1019" t="n">
        <v>80.93089999999999</v>
      </c>
      <c r="I1019" t="n">
        <v>94.4485</v>
      </c>
      <c r="J1019" t="n">
        <v>76.3943</v>
      </c>
      <c r="K1019" t="n">
        <v>151.1</v>
      </c>
    </row>
    <row r="1020">
      <c r="A1020" s="98"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8"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8" t="n">
        <v>37987</v>
      </c>
      <c r="B1022" t="n">
        <v>92.4067</v>
      </c>
      <c r="C1022" t="n">
        <v>109.9603</v>
      </c>
      <c r="D1022" t="n">
        <v>77.7118</v>
      </c>
      <c r="E1022" t="n">
        <v>106.5091</v>
      </c>
      <c r="F1022" t="n">
        <v>93.3571</v>
      </c>
      <c r="G1022" t="n">
        <v>84.8717</v>
      </c>
      <c r="H1022" t="n">
        <v>81.11</v>
      </c>
      <c r="I1022" t="n">
        <v>97.4589</v>
      </c>
      <c r="J1022" t="n">
        <v>77.13849999999999</v>
      </c>
      <c r="K1022" t="n">
        <v>151.4</v>
      </c>
    </row>
    <row r="1023">
      <c r="A1023" s="98" t="n">
        <v>38018</v>
      </c>
      <c r="B1023" t="n">
        <v>92.9687</v>
      </c>
      <c r="C1023" t="n">
        <v>109.9604</v>
      </c>
      <c r="D1023" t="n">
        <v>78.708</v>
      </c>
      <c r="E1023" t="n">
        <v>107.0544</v>
      </c>
      <c r="F1023" t="n">
        <v>94.042</v>
      </c>
      <c r="G1023" t="n">
        <v>85.2899</v>
      </c>
      <c r="H1023" t="n">
        <v>80.23</v>
      </c>
      <c r="I1023" t="n">
        <v>98.37820000000001</v>
      </c>
      <c r="J1023" t="n">
        <v>77.6211</v>
      </c>
      <c r="K1023" t="n">
        <v>151.3</v>
      </c>
    </row>
    <row r="1024">
      <c r="A1024" s="98"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8"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8"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8"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8" t="n">
        <v>38169</v>
      </c>
      <c r="B1028" t="n">
        <v>93.6109</v>
      </c>
      <c r="C1028" t="n">
        <v>111.5854</v>
      </c>
      <c r="D1028" t="n">
        <v>81.0059</v>
      </c>
      <c r="E1028" t="n">
        <v>106.0019</v>
      </c>
      <c r="F1028" t="n">
        <v>95.0968</v>
      </c>
      <c r="G1028" t="n">
        <v>86.2041</v>
      </c>
      <c r="H1028" t="n">
        <v>81.2119</v>
      </c>
      <c r="I1028" t="n">
        <v>94.0947</v>
      </c>
      <c r="J1028" t="n">
        <v>78.21599999999999</v>
      </c>
      <c r="K1028" t="n">
        <v>152.5</v>
      </c>
    </row>
    <row r="1029">
      <c r="A1029" s="98"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8"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8"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8"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8"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8" t="n">
        <v>38353</v>
      </c>
      <c r="B1034" t="n">
        <v>95.9285</v>
      </c>
      <c r="C1034" t="n">
        <v>113.5749</v>
      </c>
      <c r="D1034" t="n">
        <v>83.4494</v>
      </c>
      <c r="E1034" t="n">
        <v>108.313</v>
      </c>
      <c r="F1034" t="n">
        <v>97.9992</v>
      </c>
      <c r="G1034" t="n">
        <v>88.4067</v>
      </c>
      <c r="H1034" t="n">
        <v>80.7987</v>
      </c>
      <c r="I1034" t="n">
        <v>96.4071</v>
      </c>
      <c r="J1034" t="n">
        <v>79.9978</v>
      </c>
      <c r="K1034" t="n">
        <v>155.4</v>
      </c>
    </row>
    <row r="1035">
      <c r="A1035" s="98"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8" t="n">
        <v>38412</v>
      </c>
      <c r="B1036" t="n">
        <v>96.4907</v>
      </c>
      <c r="C1036" t="n">
        <v>113.3353</v>
      </c>
      <c r="D1036" t="n">
        <v>84.3394</v>
      </c>
      <c r="E1036" t="n">
        <v>108.4769</v>
      </c>
      <c r="F1036" t="n">
        <v>98.4306</v>
      </c>
      <c r="G1036" t="n">
        <v>89.1129</v>
      </c>
      <c r="H1036" t="n">
        <v>81.6557</v>
      </c>
      <c r="I1036" t="n">
        <v>98.0988</v>
      </c>
      <c r="J1036" t="n">
        <v>80.3194</v>
      </c>
      <c r="K1036" t="n">
        <v>155.6</v>
      </c>
    </row>
    <row r="1037">
      <c r="A1037" s="98"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8" t="n">
        <v>38473</v>
      </c>
      <c r="B1038" t="n">
        <v>96.7925</v>
      </c>
      <c r="C1038" t="n">
        <v>115.5461</v>
      </c>
      <c r="D1038" t="n">
        <v>86.06</v>
      </c>
      <c r="E1038" t="n">
        <v>109.0165</v>
      </c>
      <c r="F1038" t="n">
        <v>99.1139</v>
      </c>
      <c r="G1038" t="n">
        <v>88.7351</v>
      </c>
      <c r="H1038" t="n">
        <v>81.0386</v>
      </c>
      <c r="I1038" t="n">
        <v>96.1504</v>
      </c>
      <c r="J1038" t="n">
        <v>80.387</v>
      </c>
      <c r="K1038" t="n">
        <v>156.4</v>
      </c>
    </row>
    <row r="1039">
      <c r="A1039" s="98" t="n">
        <v>38504</v>
      </c>
      <c r="B1039" t="n">
        <v>97.19</v>
      </c>
      <c r="C1039" t="n">
        <v>114.5201</v>
      </c>
      <c r="D1039" t="n">
        <v>85.8553</v>
      </c>
      <c r="E1039" t="n">
        <v>109.9852</v>
      </c>
      <c r="F1039" t="n">
        <v>99.3489</v>
      </c>
      <c r="G1039" t="n">
        <v>89.0373</v>
      </c>
      <c r="H1039" t="n">
        <v>81.0085</v>
      </c>
      <c r="I1039" t="n">
        <v>99.2688</v>
      </c>
      <c r="J1039" t="n">
        <v>80.613</v>
      </c>
      <c r="K1039" t="n">
        <v>156.2</v>
      </c>
    </row>
    <row r="1040">
      <c r="A1040" s="98" t="n">
        <v>38534</v>
      </c>
      <c r="B1040" t="n">
        <v>96.8981</v>
      </c>
      <c r="C1040" t="n">
        <v>115.4163</v>
      </c>
      <c r="D1040" t="n">
        <v>85.41849999999999</v>
      </c>
      <c r="E1040" t="n">
        <v>109.5509</v>
      </c>
      <c r="F1040" t="n">
        <v>99.0157</v>
      </c>
      <c r="G1040" t="n">
        <v>88.75</v>
      </c>
      <c r="H1040" t="n">
        <v>80.6853</v>
      </c>
      <c r="I1040" t="n">
        <v>99.33</v>
      </c>
      <c r="J1040" t="n">
        <v>80.2625</v>
      </c>
      <c r="K1040" t="n">
        <v>156.8</v>
      </c>
    </row>
    <row r="1041">
      <c r="A1041" s="98"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8" t="n">
        <v>38596</v>
      </c>
      <c r="B1042" t="n">
        <v>95.3463</v>
      </c>
      <c r="C1042" t="n">
        <v>117.5813</v>
      </c>
      <c r="D1042" t="n">
        <v>83.89409999999999</v>
      </c>
      <c r="E1042" t="n">
        <v>110.193</v>
      </c>
      <c r="F1042" t="n">
        <v>98.4303</v>
      </c>
      <c r="G1042" t="n">
        <v>85.3288</v>
      </c>
      <c r="H1042" t="n">
        <v>72.5598</v>
      </c>
      <c r="I1042" t="n">
        <v>100.2611</v>
      </c>
      <c r="J1042" t="n">
        <v>78.7578</v>
      </c>
      <c r="K1042" t="n">
        <v>157.1</v>
      </c>
    </row>
    <row r="1043">
      <c r="A1043" s="98"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8" t="n">
        <v>38657</v>
      </c>
      <c r="B1044" t="n">
        <v>97.5646</v>
      </c>
      <c r="C1044" t="n">
        <v>120.8832</v>
      </c>
      <c r="D1044" t="n">
        <v>89.6063</v>
      </c>
      <c r="E1044" t="n">
        <v>110.039</v>
      </c>
      <c r="F1044" t="n">
        <v>100.8458</v>
      </c>
      <c r="G1044" t="n">
        <v>88.18000000000001</v>
      </c>
      <c r="H1044" t="n">
        <v>77.392</v>
      </c>
      <c r="I1044" t="n">
        <v>97.4483</v>
      </c>
      <c r="J1044" t="n">
        <v>80.3644</v>
      </c>
      <c r="K1044" t="n">
        <v>156.8</v>
      </c>
    </row>
    <row r="1045">
      <c r="A1045" s="98" t="n">
        <v>38687</v>
      </c>
      <c r="B1045" t="n">
        <v>98.0222</v>
      </c>
      <c r="C1045" t="n">
        <v>120.7648</v>
      </c>
      <c r="D1045" t="n">
        <v>88.9162</v>
      </c>
      <c r="E1045" t="n">
        <v>110.8018</v>
      </c>
      <c r="F1045" t="n">
        <v>100.9394</v>
      </c>
      <c r="G1045" t="n">
        <v>88.8614</v>
      </c>
      <c r="H1045" t="n">
        <v>78.2469</v>
      </c>
      <c r="I1045" t="n">
        <v>100.3901</v>
      </c>
      <c r="J1045" t="n">
        <v>80.6284</v>
      </c>
      <c r="K1045" t="n">
        <v>156.8</v>
      </c>
    </row>
    <row r="1046">
      <c r="A1046" s="98"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8"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8"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8"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8"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8" t="n">
        <v>38869</v>
      </c>
      <c r="B1051" t="n">
        <v>99.1069</v>
      </c>
      <c r="C1051" t="n">
        <v>118.9088</v>
      </c>
      <c r="D1051" t="n">
        <v>93.9616</v>
      </c>
      <c r="E1051" t="n">
        <v>110.6351</v>
      </c>
      <c r="F1051" t="n">
        <v>101.9031</v>
      </c>
      <c r="G1051" t="n">
        <v>90.1764</v>
      </c>
      <c r="H1051" t="n">
        <v>81.5801</v>
      </c>
      <c r="I1051" t="n">
        <v>99.1066</v>
      </c>
      <c r="J1051" t="n">
        <v>80.7824</v>
      </c>
      <c r="K1051" t="n">
        <v>159</v>
      </c>
    </row>
    <row r="1052">
      <c r="A1052" s="98"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8"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8" t="n">
        <v>38961</v>
      </c>
      <c r="B1054" t="n">
        <v>99.2544</v>
      </c>
      <c r="C1054" t="n">
        <v>118.2364</v>
      </c>
      <c r="D1054" t="n">
        <v>95.5706</v>
      </c>
      <c r="E1054" t="n">
        <v>110.1818</v>
      </c>
      <c r="F1054" t="n">
        <v>102.4877</v>
      </c>
      <c r="G1054" t="n">
        <v>90.3824</v>
      </c>
      <c r="H1054" t="n">
        <v>82.0247</v>
      </c>
      <c r="I1054" t="n">
        <v>96.72329999999999</v>
      </c>
      <c r="J1054" t="n">
        <v>80.414</v>
      </c>
      <c r="K1054" t="n">
        <v>159.2</v>
      </c>
    </row>
    <row r="1055">
      <c r="A1055" s="98" t="n">
        <v>38991</v>
      </c>
      <c r="B1055" t="n">
        <v>99.1514</v>
      </c>
      <c r="C1055" t="n">
        <v>116.9911</v>
      </c>
      <c r="D1055" t="n">
        <v>95.8259</v>
      </c>
      <c r="E1055" t="n">
        <v>110.0495</v>
      </c>
      <c r="F1055" t="n">
        <v>102.0098</v>
      </c>
      <c r="G1055" t="n">
        <v>90.2157</v>
      </c>
      <c r="H1055" t="n">
        <v>82.4058</v>
      </c>
      <c r="I1055" t="n">
        <v>98.6815</v>
      </c>
      <c r="J1055" t="n">
        <v>80.1481</v>
      </c>
      <c r="K1055" t="n">
        <v>158.5</v>
      </c>
    </row>
    <row r="1056">
      <c r="A1056" s="98"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8"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8"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8"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8"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8"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8"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8" t="n">
        <v>39234</v>
      </c>
      <c r="B1063" t="n">
        <v>101.6741</v>
      </c>
      <c r="C1063" t="n">
        <v>119.2965</v>
      </c>
      <c r="D1063" t="n">
        <v>99.6878</v>
      </c>
      <c r="E1063" t="n">
        <v>110.7778</v>
      </c>
      <c r="F1063" t="n">
        <v>105.6801</v>
      </c>
      <c r="G1063" t="n">
        <v>93.1322</v>
      </c>
      <c r="H1063" t="n">
        <v>81.8677</v>
      </c>
      <c r="I1063" t="n">
        <v>99.1917</v>
      </c>
      <c r="J1063" t="n">
        <v>80.7548</v>
      </c>
      <c r="K1063" t="n">
        <v>161.7</v>
      </c>
    </row>
    <row r="1064">
      <c r="A1064" s="98"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8"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8"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8" t="n">
        <v>39356</v>
      </c>
      <c r="B1067" t="n">
        <v>101.7289</v>
      </c>
      <c r="C1067" t="n">
        <v>117.6798</v>
      </c>
      <c r="D1067" t="n">
        <v>101.1163</v>
      </c>
      <c r="E1067" t="n">
        <v>109.1465</v>
      </c>
      <c r="F1067" t="n">
        <v>105.7554</v>
      </c>
      <c r="G1067" t="n">
        <v>93.9413</v>
      </c>
      <c r="H1067" t="n">
        <v>81.6901</v>
      </c>
      <c r="I1067" t="n">
        <v>101.5683</v>
      </c>
      <c r="J1067" t="n">
        <v>80.5459</v>
      </c>
      <c r="K1067" t="n">
        <v>162.9</v>
      </c>
    </row>
    <row r="1068">
      <c r="A1068" s="98"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8"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8" t="n">
        <v>39448</v>
      </c>
      <c r="B1070" t="n">
        <v>102.1686</v>
      </c>
      <c r="C1070" t="n">
        <v>117.7918</v>
      </c>
      <c r="D1070" t="n">
        <v>103.3248</v>
      </c>
      <c r="E1070" t="n">
        <v>108.5327</v>
      </c>
      <c r="F1070" t="n">
        <v>106.2347</v>
      </c>
      <c r="G1070" t="n">
        <v>94.5361</v>
      </c>
      <c r="H1070" t="n">
        <v>82.9096</v>
      </c>
      <c r="I1070" t="n">
        <v>100.9131</v>
      </c>
      <c r="J1070" t="n">
        <v>80.961</v>
      </c>
      <c r="K1070" t="n">
        <v>164.1</v>
      </c>
    </row>
    <row r="1071">
      <c r="A1071" s="98" t="n">
        <v>39479</v>
      </c>
      <c r="B1071" t="n">
        <v>101.7673</v>
      </c>
      <c r="C1071" t="n">
        <v>115.3884</v>
      </c>
      <c r="D1071" t="n">
        <v>103.3305</v>
      </c>
      <c r="E1071" t="n">
        <v>108.3496</v>
      </c>
      <c r="F1071" t="n">
        <v>105.4327</v>
      </c>
      <c r="G1071" t="n">
        <v>94.0598</v>
      </c>
      <c r="H1071" t="n">
        <v>83.0025</v>
      </c>
      <c r="I1071" t="n">
        <v>102.3261</v>
      </c>
      <c r="J1071" t="n">
        <v>80.6913</v>
      </c>
      <c r="K1071" t="n">
        <v>164.8</v>
      </c>
    </row>
    <row r="1072">
      <c r="A1072" s="98"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8"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8"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8"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8"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8"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8"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8" t="n">
        <v>39722</v>
      </c>
      <c r="B1079" t="n">
        <v>94.58450000000001</v>
      </c>
      <c r="C1079" t="n">
        <v>102.4148</v>
      </c>
      <c r="D1079" t="n">
        <v>87.6828</v>
      </c>
      <c r="E1079" t="n">
        <v>102.2941</v>
      </c>
      <c r="F1079" t="n">
        <v>96.1906</v>
      </c>
      <c r="G1079" t="n">
        <v>87.9704</v>
      </c>
      <c r="H1079" t="n">
        <v>82.0121</v>
      </c>
      <c r="I1079" t="n">
        <v>99.3892</v>
      </c>
      <c r="J1079" t="n">
        <v>74.9366</v>
      </c>
      <c r="K1079" t="n">
        <v>170.5</v>
      </c>
    </row>
    <row r="1080">
      <c r="A1080" s="98"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8" t="n">
        <v>39783</v>
      </c>
      <c r="B1081" t="n">
        <v>90.7183</v>
      </c>
      <c r="C1081" t="n">
        <v>91.8626</v>
      </c>
      <c r="D1081" t="n">
        <v>89.7488</v>
      </c>
      <c r="E1081" t="n">
        <v>99.3912</v>
      </c>
      <c r="F1081" t="n">
        <v>90.5617</v>
      </c>
      <c r="G1081" t="n">
        <v>83.4243</v>
      </c>
      <c r="H1081" t="n">
        <v>82.3552</v>
      </c>
      <c r="I1081" t="n">
        <v>100.3211</v>
      </c>
      <c r="J1081" t="n">
        <v>71.6866</v>
      </c>
      <c r="K1081" t="n">
        <v>170.8</v>
      </c>
    </row>
    <row r="1082">
      <c r="A1082" s="98" t="n">
        <v>39814</v>
      </c>
      <c r="B1082" t="n">
        <v>88.4683</v>
      </c>
      <c r="C1082" t="n">
        <v>87.8075</v>
      </c>
      <c r="D1082" t="n">
        <v>84.7324</v>
      </c>
      <c r="E1082" t="n">
        <v>97.0261</v>
      </c>
      <c r="F1082" t="n">
        <v>87.6202</v>
      </c>
      <c r="G1082" t="n">
        <v>81.8544</v>
      </c>
      <c r="H1082" t="n">
        <v>81.87869999999999</v>
      </c>
      <c r="I1082" t="n">
        <v>100.2004</v>
      </c>
      <c r="J1082" t="n">
        <v>69.8112</v>
      </c>
      <c r="K1082" t="n">
        <v>170.8</v>
      </c>
    </row>
    <row r="1083">
      <c r="A1083" s="98"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8"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8"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8"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8" t="n">
        <v>39965</v>
      </c>
      <c r="B1087" t="n">
        <v>84.7277</v>
      </c>
      <c r="C1087" t="n">
        <v>81.5883</v>
      </c>
      <c r="D1087" t="n">
        <v>77.9725</v>
      </c>
      <c r="E1087" t="n">
        <v>94.6027</v>
      </c>
      <c r="F1087" t="n">
        <v>84.4011</v>
      </c>
      <c r="G1087" t="n">
        <v>78.5959</v>
      </c>
      <c r="H1087" t="n">
        <v>77.3768</v>
      </c>
      <c r="I1087" t="n">
        <v>96.00409999999999</v>
      </c>
      <c r="J1087" t="n">
        <v>66.5671</v>
      </c>
      <c r="K1087" t="n">
        <v>171.8</v>
      </c>
    </row>
    <row r="1088">
      <c r="A1088" s="98"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8"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8"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8"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8" t="n">
        <v>40118</v>
      </c>
      <c r="B1092" t="n">
        <v>87.9144</v>
      </c>
      <c r="C1092" t="n">
        <v>82.48099999999999</v>
      </c>
      <c r="D1092" t="n">
        <v>80.4871</v>
      </c>
      <c r="E1092" t="n">
        <v>97.1524</v>
      </c>
      <c r="F1092" t="n">
        <v>88.6429</v>
      </c>
      <c r="G1092" t="n">
        <v>82.7978</v>
      </c>
      <c r="H1092" t="n">
        <v>78.2444</v>
      </c>
      <c r="I1092" t="n">
        <v>96.0077</v>
      </c>
      <c r="J1092" t="n">
        <v>69.3475</v>
      </c>
      <c r="K1092" t="n">
        <v>172.1</v>
      </c>
    </row>
    <row r="1093">
      <c r="A1093" s="98"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8"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8"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8"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8"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8"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8"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8" t="n">
        <v>40360</v>
      </c>
      <c r="B1100" t="n">
        <v>92.27370000000001</v>
      </c>
      <c r="C1100" t="n">
        <v>85.9765</v>
      </c>
      <c r="D1100" t="n">
        <v>88.1305</v>
      </c>
      <c r="E1100" t="n">
        <v>98.6369</v>
      </c>
      <c r="F1100" t="n">
        <v>93.3609</v>
      </c>
      <c r="G1100" t="n">
        <v>88.102</v>
      </c>
      <c r="H1100" t="n">
        <v>82.1814</v>
      </c>
      <c r="I1100" t="n">
        <v>101.8014</v>
      </c>
      <c r="J1100" t="n">
        <v>73.9645</v>
      </c>
      <c r="K1100" t="n">
        <v>173.7</v>
      </c>
    </row>
    <row r="1101">
      <c r="A1101" s="98"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8"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8"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8"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8" t="n">
        <v>40513</v>
      </c>
      <c r="B1105" t="n">
        <v>93.5741</v>
      </c>
      <c r="C1105" t="n">
        <v>86.2748</v>
      </c>
      <c r="D1105" t="n">
        <v>89.5219</v>
      </c>
      <c r="E1105" t="n">
        <v>98.556</v>
      </c>
      <c r="F1105" t="n">
        <v>94.2651</v>
      </c>
      <c r="G1105" t="n">
        <v>90.4406</v>
      </c>
      <c r="H1105" t="n">
        <v>84.5376</v>
      </c>
      <c r="I1105" t="n">
        <v>105.2658</v>
      </c>
      <c r="J1105" t="n">
        <v>75.4618</v>
      </c>
      <c r="K1105" t="n">
        <v>174.6</v>
      </c>
    </row>
    <row r="1106">
      <c r="A1106" s="98"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8"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8"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8"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8"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8"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8"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8"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8" t="n">
        <v>40787</v>
      </c>
      <c r="B1114" t="n">
        <v>95.0732</v>
      </c>
      <c r="C1114" t="n">
        <v>88.5147</v>
      </c>
      <c r="D1114" t="n">
        <v>93.1294</v>
      </c>
      <c r="E1114" t="n">
        <v>99.2675</v>
      </c>
      <c r="F1114" t="n">
        <v>96.0685</v>
      </c>
      <c r="G1114" t="n">
        <v>91.9277</v>
      </c>
      <c r="H1114" t="n">
        <v>88.3265</v>
      </c>
      <c r="I1114" t="n">
        <v>100.9898</v>
      </c>
      <c r="J1114" t="n">
        <v>76.2599</v>
      </c>
      <c r="K1114" t="n">
        <v>179</v>
      </c>
    </row>
    <row r="1115">
      <c r="A1115" s="98"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8"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8"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8"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8" t="n">
        <v>40940</v>
      </c>
      <c r="B1119" t="n">
        <v>97.1033</v>
      </c>
      <c r="C1119" t="n">
        <v>91.4876</v>
      </c>
      <c r="D1119" t="n">
        <v>98.982</v>
      </c>
      <c r="E1119" t="n">
        <v>98.2777</v>
      </c>
      <c r="F1119" t="n">
        <v>98.3492</v>
      </c>
      <c r="G1119" t="n">
        <v>94.9342</v>
      </c>
      <c r="H1119" t="n">
        <v>93.3117</v>
      </c>
      <c r="I1119" t="n">
        <v>95.7077</v>
      </c>
      <c r="J1119" t="n">
        <v>77.1936</v>
      </c>
      <c r="K1119" t="n">
        <v>181</v>
      </c>
    </row>
    <row r="1120">
      <c r="A1120" s="98"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8" t="n">
        <v>41000</v>
      </c>
      <c r="B1121" t="n">
        <v>97.3006</v>
      </c>
      <c r="C1121" t="n">
        <v>92.5629</v>
      </c>
      <c r="D1121" t="n">
        <v>100.7896</v>
      </c>
      <c r="E1121" t="n">
        <v>97.4657</v>
      </c>
      <c r="F1121" t="n">
        <v>98.3617</v>
      </c>
      <c r="G1121" t="n">
        <v>95.3342</v>
      </c>
      <c r="H1121" t="n">
        <v>93.5544</v>
      </c>
      <c r="I1121" t="n">
        <v>97.7531</v>
      </c>
      <c r="J1121" t="n">
        <v>77.0603</v>
      </c>
      <c r="K1121" t="n">
        <v>181.6</v>
      </c>
    </row>
    <row r="1122">
      <c r="A1122" s="98"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8" t="n">
        <v>41061</v>
      </c>
      <c r="B1123" t="n">
        <v>97.4903</v>
      </c>
      <c r="C1123" t="n">
        <v>90.9152</v>
      </c>
      <c r="D1123" t="n">
        <v>102.8094</v>
      </c>
      <c r="E1123" t="n">
        <v>97.7299</v>
      </c>
      <c r="F1123" t="n">
        <v>98.39960000000001</v>
      </c>
      <c r="G1123" t="n">
        <v>95.3319</v>
      </c>
      <c r="H1123" t="n">
        <v>93.9413</v>
      </c>
      <c r="I1123" t="n">
        <v>99.7774</v>
      </c>
      <c r="J1123" t="n">
        <v>76.9315</v>
      </c>
      <c r="K1123" t="n">
        <v>182.1</v>
      </c>
    </row>
    <row r="1124">
      <c r="A1124" s="98"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8"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8"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8"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8"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8"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8"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8" t="n">
        <v>41306</v>
      </c>
      <c r="B1131" t="n">
        <v>98.6835</v>
      </c>
      <c r="C1131" t="n">
        <v>94.059</v>
      </c>
      <c r="D1131" t="n">
        <v>102.0342</v>
      </c>
      <c r="E1131" t="n">
        <v>97.8819</v>
      </c>
      <c r="F1131" t="n">
        <v>99.366</v>
      </c>
      <c r="G1131" t="n">
        <v>97.5889</v>
      </c>
      <c r="H1131" t="n">
        <v>98.0562</v>
      </c>
      <c r="I1131" t="n">
        <v>98.6628</v>
      </c>
      <c r="J1131" t="n">
        <v>76.93389999999999</v>
      </c>
      <c r="K1131" t="n">
        <v>184.2</v>
      </c>
    </row>
    <row r="1132">
      <c r="A1132" s="98" t="n">
        <v>41334</v>
      </c>
      <c r="B1132" t="n">
        <v>99.0994</v>
      </c>
      <c r="C1132" t="n">
        <v>93.721</v>
      </c>
      <c r="D1132" t="n">
        <v>102.4492</v>
      </c>
      <c r="E1132" t="n">
        <v>98.4564</v>
      </c>
      <c r="F1132" t="n">
        <v>99.3249</v>
      </c>
      <c r="G1132" t="n">
        <v>98.0479</v>
      </c>
      <c r="H1132" t="n">
        <v>98.56529999999999</v>
      </c>
      <c r="I1132" t="n">
        <v>102.6965</v>
      </c>
      <c r="J1132" t="n">
        <v>77.1665</v>
      </c>
      <c r="K1132" t="n">
        <v>184.4</v>
      </c>
    </row>
    <row r="1133">
      <c r="A1133" s="98"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8"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8"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8" t="n">
        <v>41456</v>
      </c>
      <c r="B1136" t="n">
        <v>98.9132</v>
      </c>
      <c r="C1136" t="n">
        <v>93.9295</v>
      </c>
      <c r="D1136" t="n">
        <v>99.37949999999999</v>
      </c>
      <c r="E1136" t="n">
        <v>97.3884</v>
      </c>
      <c r="F1136" t="n">
        <v>98.5984</v>
      </c>
      <c r="G1136" t="n">
        <v>98.7098</v>
      </c>
      <c r="H1136" t="n">
        <v>101.6883</v>
      </c>
      <c r="I1136" t="n">
        <v>98.9894</v>
      </c>
      <c r="J1136" t="n">
        <v>76.7312</v>
      </c>
      <c r="K1136" t="n">
        <v>185.2</v>
      </c>
    </row>
    <row r="1137">
      <c r="A1137" s="98"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8"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8"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8"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8"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8" t="n">
        <v>41640</v>
      </c>
      <c r="B1142" t="n">
        <v>99.9828</v>
      </c>
      <c r="C1142" t="n">
        <v>94.0705</v>
      </c>
      <c r="D1142" t="n">
        <v>100.3523</v>
      </c>
      <c r="E1142" t="n">
        <v>97.6412</v>
      </c>
      <c r="F1142" t="n">
        <v>98.4046</v>
      </c>
      <c r="G1142" t="n">
        <v>100.7251</v>
      </c>
      <c r="H1142" t="n">
        <v>104.3058</v>
      </c>
      <c r="I1142" t="n">
        <v>106.2126</v>
      </c>
      <c r="J1142" t="n">
        <v>77.2542</v>
      </c>
      <c r="K1142" t="n">
        <v>187.5</v>
      </c>
    </row>
    <row r="1143">
      <c r="A1143" s="98"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8"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8"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8" t="n">
        <v>41760</v>
      </c>
      <c r="B1146" t="n">
        <v>102.2116</v>
      </c>
      <c r="C1146" t="n">
        <v>96.8519</v>
      </c>
      <c r="D1146" t="n">
        <v>103.3156</v>
      </c>
      <c r="E1146" t="n">
        <v>98.8755</v>
      </c>
      <c r="F1146" t="n">
        <v>100.5074</v>
      </c>
      <c r="G1146" t="n">
        <v>103.5009</v>
      </c>
      <c r="H1146" t="n">
        <v>110.5845</v>
      </c>
      <c r="I1146" t="n">
        <v>101.6146</v>
      </c>
      <c r="J1146" t="n">
        <v>78.7491</v>
      </c>
      <c r="K1146" t="n">
        <v>188.2</v>
      </c>
    </row>
    <row r="1147">
      <c r="A1147" s="98"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8"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8"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8" t="n">
        <v>41883</v>
      </c>
      <c r="B1150" t="n">
        <v>102.9647</v>
      </c>
      <c r="C1150" t="n">
        <v>98.8152</v>
      </c>
      <c r="D1150" t="n">
        <v>102.8363</v>
      </c>
      <c r="E1150" t="n">
        <v>98.8826</v>
      </c>
      <c r="F1150" t="n">
        <v>100.8722</v>
      </c>
      <c r="G1150" t="n">
        <v>104.9126</v>
      </c>
      <c r="H1150" t="n">
        <v>114.3013</v>
      </c>
      <c r="I1150" t="n">
        <v>100.6702</v>
      </c>
      <c r="J1150" t="n">
        <v>79.0273</v>
      </c>
      <c r="K1150" t="n">
        <v>189.2</v>
      </c>
    </row>
    <row r="1151">
      <c r="A1151" s="98"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8" t="n">
        <v>41944</v>
      </c>
      <c r="B1152" t="n">
        <v>103.6017</v>
      </c>
      <c r="C1152" t="n">
        <v>98.0913</v>
      </c>
      <c r="D1152" t="n">
        <v>105.1203</v>
      </c>
      <c r="E1152" t="n">
        <v>100.4474</v>
      </c>
      <c r="F1152" t="n">
        <v>101.4676</v>
      </c>
      <c r="G1152" t="n">
        <v>104.9239</v>
      </c>
      <c r="H1152" t="n">
        <v>113.8607</v>
      </c>
      <c r="I1152" t="n">
        <v>104.3845</v>
      </c>
      <c r="J1152" t="n">
        <v>79.3741</v>
      </c>
      <c r="K1152" t="n">
        <v>189.7</v>
      </c>
    </row>
    <row r="1153">
      <c r="A1153" s="98"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8"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8"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8" t="n">
        <v>42064</v>
      </c>
      <c r="B1156" t="n">
        <v>101.8077</v>
      </c>
      <c r="C1156" t="n">
        <v>96.2248</v>
      </c>
      <c r="D1156" t="n">
        <v>102.6665</v>
      </c>
      <c r="E1156" t="n">
        <v>101.0236</v>
      </c>
      <c r="F1156" t="n">
        <v>100.2806</v>
      </c>
      <c r="G1156" t="n">
        <v>102.6595</v>
      </c>
      <c r="H1156" t="n">
        <v>107.9909</v>
      </c>
      <c r="I1156" t="n">
        <v>104.437</v>
      </c>
      <c r="J1156" t="n">
        <v>77.8113</v>
      </c>
      <c r="K1156" t="n">
        <v>191.4</v>
      </c>
    </row>
    <row r="1157">
      <c r="A1157" s="98" t="n">
        <v>42095</v>
      </c>
      <c r="B1157" t="n">
        <v>101.2285</v>
      </c>
      <c r="C1157" t="n">
        <v>96.9265</v>
      </c>
      <c r="D1157" t="n">
        <v>101.921</v>
      </c>
      <c r="E1157" t="n">
        <v>100.1135</v>
      </c>
      <c r="F1157" t="n">
        <v>100.2455</v>
      </c>
      <c r="G1157" t="n">
        <v>102.2106</v>
      </c>
      <c r="H1157" t="n">
        <v>106.2953</v>
      </c>
      <c r="I1157" t="n">
        <v>101.5466</v>
      </c>
      <c r="J1157" t="n">
        <v>77.3419</v>
      </c>
      <c r="K1157" t="n">
        <v>191.5</v>
      </c>
    </row>
    <row r="1158">
      <c r="A1158" s="98"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8"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8"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8" t="n">
        <v>42217</v>
      </c>
      <c r="B1161" t="n">
        <v>100.8802</v>
      </c>
      <c r="C1161" t="n">
        <v>98.3379</v>
      </c>
      <c r="D1161" t="n">
        <v>100.9861</v>
      </c>
      <c r="E1161" t="n">
        <v>101.3542</v>
      </c>
      <c r="F1161" t="n">
        <v>100.234</v>
      </c>
      <c r="G1161" t="n">
        <v>100.8981</v>
      </c>
      <c r="H1161" t="n">
        <v>104.6582</v>
      </c>
      <c r="I1161" t="n">
        <v>100.8438</v>
      </c>
      <c r="J1161" t="n">
        <v>77.0521</v>
      </c>
      <c r="K1161" t="n">
        <v>193</v>
      </c>
    </row>
    <row r="1162">
      <c r="A1162" s="98"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8"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8" t="n">
        <v>42309</v>
      </c>
      <c r="B1164" t="n">
        <v>99.3817</v>
      </c>
      <c r="C1164" t="n">
        <v>98.67019999999999</v>
      </c>
      <c r="D1164" t="n">
        <v>97.6681</v>
      </c>
      <c r="E1164" t="n">
        <v>100.2643</v>
      </c>
      <c r="F1164" t="n">
        <v>99.578</v>
      </c>
      <c r="G1164" t="n">
        <v>99.0646</v>
      </c>
      <c r="H1164" t="n">
        <v>99.0335</v>
      </c>
      <c r="I1164" t="n">
        <v>97.7244</v>
      </c>
      <c r="J1164" t="n">
        <v>75.9303</v>
      </c>
      <c r="K1164" t="n">
        <v>193.2</v>
      </c>
    </row>
    <row r="1165">
      <c r="A1165" s="98"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8"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8"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8"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8"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8"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8"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8"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8"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8"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8"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8" t="n">
        <v>42675</v>
      </c>
      <c r="B1176" t="n">
        <v>98.3004</v>
      </c>
      <c r="C1176" t="n">
        <v>99.6309</v>
      </c>
      <c r="D1176" t="n">
        <v>95.0371</v>
      </c>
      <c r="E1176" t="n">
        <v>99.9436</v>
      </c>
      <c r="F1176" t="n">
        <v>99.33199999999999</v>
      </c>
      <c r="G1176" t="n">
        <v>97.7891</v>
      </c>
      <c r="H1176" t="n">
        <v>92.0968</v>
      </c>
      <c r="I1176" t="n">
        <v>97.0712</v>
      </c>
      <c r="J1176" t="n">
        <v>74.9308</v>
      </c>
      <c r="K1176" t="n">
        <v>196.3</v>
      </c>
    </row>
    <row r="1177">
      <c r="A1177" s="98"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8"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8"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8"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8"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8" t="n">
        <v>42856</v>
      </c>
      <c r="B1182" t="n">
        <v>100.139</v>
      </c>
      <c r="C1182" t="n">
        <v>99.7731</v>
      </c>
      <c r="D1182" t="n">
        <v>99.8623</v>
      </c>
      <c r="E1182" t="n">
        <v>100.7988</v>
      </c>
      <c r="F1182" t="n">
        <v>100.1552</v>
      </c>
      <c r="G1182" t="n">
        <v>99.8742</v>
      </c>
      <c r="H1182" t="n">
        <v>99.4504</v>
      </c>
      <c r="I1182" t="n">
        <v>100.7774</v>
      </c>
      <c r="J1182" t="n">
        <v>76.4721</v>
      </c>
      <c r="K1182" t="n">
        <v>198.5</v>
      </c>
    </row>
    <row r="1183">
      <c r="A1183" s="98"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8"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8"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8"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8" t="n">
        <v>43009</v>
      </c>
      <c r="B1187" t="n">
        <v>101.0401</v>
      </c>
      <c r="C1187" t="n">
        <v>100.9723</v>
      </c>
      <c r="D1187" t="n">
        <v>102.8722</v>
      </c>
      <c r="E1187" t="n">
        <v>100.4711</v>
      </c>
      <c r="F1187" t="n">
        <v>100.7491</v>
      </c>
      <c r="G1187" t="n">
        <v>101.1081</v>
      </c>
      <c r="H1187" t="n">
        <v>102.6926</v>
      </c>
      <c r="I1187" t="n">
        <v>101.4318</v>
      </c>
      <c r="J1187" t="n">
        <v>77.5402</v>
      </c>
      <c r="K1187" t="n">
        <v>200</v>
      </c>
    </row>
    <row r="1188">
      <c r="A1188" s="98"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8"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8" t="n">
        <v>43101</v>
      </c>
      <c r="B1190" t="n">
        <v>101.345</v>
      </c>
      <c r="C1190" t="n">
        <v>98.7752</v>
      </c>
      <c r="D1190" t="n">
        <v>103.7684</v>
      </c>
      <c r="E1190" t="n">
        <v>100.7267</v>
      </c>
      <c r="F1190" t="n">
        <v>100.0893</v>
      </c>
      <c r="G1190" t="n">
        <v>101.5448</v>
      </c>
      <c r="H1190" t="n">
        <v>104.0635</v>
      </c>
      <c r="I1190" t="n">
        <v>107.6914</v>
      </c>
      <c r="J1190" t="n">
        <v>77.9966</v>
      </c>
      <c r="K1190" t="n">
        <v>200.9</v>
      </c>
    </row>
    <row r="1191">
      <c r="A1191" s="98" t="n">
        <v>43132</v>
      </c>
      <c r="B1191" t="n">
        <v>101.7068</v>
      </c>
      <c r="C1191" t="n">
        <v>101.6777</v>
      </c>
      <c r="D1191" t="n">
        <v>104.4159</v>
      </c>
      <c r="E1191" t="n">
        <v>100.1498</v>
      </c>
      <c r="F1191" t="n">
        <v>101.1146</v>
      </c>
      <c r="G1191" t="n">
        <v>102.1013</v>
      </c>
      <c r="H1191" t="n">
        <v>106.9061</v>
      </c>
      <c r="I1191" t="n">
        <v>100.6625</v>
      </c>
      <c r="J1191" t="n">
        <v>78.3304</v>
      </c>
      <c r="K1191" t="n">
        <v>201.3</v>
      </c>
    </row>
    <row r="1192">
      <c r="A1192" s="98" t="n">
        <v>43160</v>
      </c>
      <c r="B1192" t="n">
        <v>102.2785</v>
      </c>
      <c r="C1192" t="n">
        <v>100.9468</v>
      </c>
      <c r="D1192" t="n">
        <v>104.5989</v>
      </c>
      <c r="E1192" t="n">
        <v>100.5068</v>
      </c>
      <c r="F1192" t="n">
        <v>101.205</v>
      </c>
      <c r="G1192" t="n">
        <v>103.1035</v>
      </c>
      <c r="H1192" t="n">
        <v>108.709</v>
      </c>
      <c r="I1192" t="n">
        <v>103.3884</v>
      </c>
      <c r="J1192" t="n">
        <v>78.815</v>
      </c>
      <c r="K1192" t="n">
        <v>201.9</v>
      </c>
    </row>
    <row r="1193">
      <c r="A1193" s="98"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8"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8" t="n">
        <v>43252</v>
      </c>
      <c r="B1195" t="n">
        <v>103.2508</v>
      </c>
      <c r="C1195" t="n">
        <v>102.3398</v>
      </c>
      <c r="D1195" t="n">
        <v>104.9924</v>
      </c>
      <c r="E1195" t="n">
        <v>100.4302</v>
      </c>
      <c r="F1195" t="n">
        <v>101.7339</v>
      </c>
      <c r="G1195" t="n">
        <v>104.6938</v>
      </c>
      <c r="H1195" t="n">
        <v>112.9338</v>
      </c>
      <c r="I1195" t="n">
        <v>104.5593</v>
      </c>
      <c r="J1195" t="n">
        <v>79.6224</v>
      </c>
      <c r="K1195" t="n">
        <v>203</v>
      </c>
    </row>
    <row r="1196">
      <c r="A1196" s="98" t="n">
        <v>43282</v>
      </c>
      <c r="B1196" t="n">
        <v>103.4588</v>
      </c>
      <c r="C1196" t="n">
        <v>102.2436</v>
      </c>
      <c r="D1196" t="n">
        <v>104.4686</v>
      </c>
      <c r="E1196" t="n">
        <v>100.3079</v>
      </c>
      <c r="F1196" t="n">
        <v>101.8353</v>
      </c>
      <c r="G1196" t="n">
        <v>105.2927</v>
      </c>
      <c r="H1196" t="n">
        <v>114.3934</v>
      </c>
      <c r="I1196" t="n">
        <v>103.8251</v>
      </c>
      <c r="J1196" t="n">
        <v>79.7732</v>
      </c>
      <c r="K1196" t="n">
        <v>203.6</v>
      </c>
    </row>
    <row r="1197">
      <c r="A1197" s="98" t="n">
        <v>43313</v>
      </c>
      <c r="B1197" t="n">
        <v>104.1802</v>
      </c>
      <c r="C1197" t="n">
        <v>102.4964</v>
      </c>
      <c r="D1197" t="n">
        <v>104.7217</v>
      </c>
      <c r="E1197" t="n">
        <v>101.1618</v>
      </c>
      <c r="F1197" t="n">
        <v>102.1497</v>
      </c>
      <c r="G1197" t="n">
        <v>106.2011</v>
      </c>
      <c r="H1197" t="n">
        <v>117.3459</v>
      </c>
      <c r="I1197" t="n">
        <v>104.7383</v>
      </c>
      <c r="J1197" t="n">
        <v>80.3073</v>
      </c>
      <c r="K1197" t="n">
        <v>204.1</v>
      </c>
    </row>
    <row r="1198">
      <c r="A1198" s="98" t="n">
        <v>43344</v>
      </c>
      <c r="B1198" t="n">
        <v>104.1665</v>
      </c>
      <c r="C1198" t="n">
        <v>101.8092</v>
      </c>
      <c r="D1198" t="n">
        <v>104.1682</v>
      </c>
      <c r="E1198" t="n">
        <v>101.1465</v>
      </c>
      <c r="F1198" t="n">
        <v>102.1115</v>
      </c>
      <c r="G1198" t="n">
        <v>106.2865</v>
      </c>
      <c r="H1198" t="n">
        <v>117.749</v>
      </c>
      <c r="I1198" t="n">
        <v>104.3374</v>
      </c>
      <c r="J1198" t="n">
        <v>80.2637</v>
      </c>
      <c r="K1198" t="n">
        <v>204.4</v>
      </c>
    </row>
    <row r="1199">
      <c r="A1199" s="98" t="n">
        <v>43374</v>
      </c>
      <c r="B1199" t="n">
        <v>104.0476</v>
      </c>
      <c r="C1199" t="n">
        <v>101.792</v>
      </c>
      <c r="D1199" t="n">
        <v>103.2689</v>
      </c>
      <c r="E1199" t="n">
        <v>101.1639</v>
      </c>
      <c r="F1199" t="n">
        <v>101.7088</v>
      </c>
      <c r="G1199" t="n">
        <v>106.1691</v>
      </c>
      <c r="H1199" t="n">
        <v>117.8592</v>
      </c>
      <c r="I1199" t="n">
        <v>106.0998</v>
      </c>
      <c r="J1199" t="n">
        <v>80.1297</v>
      </c>
      <c r="K1199" t="n">
        <v>205.1</v>
      </c>
    </row>
    <row r="1200">
      <c r="A1200" s="98" t="n">
        <v>43405</v>
      </c>
      <c r="B1200" t="n">
        <v>103.9603</v>
      </c>
      <c r="C1200" t="n">
        <v>101.3634</v>
      </c>
      <c r="D1200" t="n">
        <v>101.8002</v>
      </c>
      <c r="E1200" t="n">
        <v>101.2022</v>
      </c>
      <c r="F1200" t="n">
        <v>101.2783</v>
      </c>
      <c r="G1200" t="n">
        <v>106.4877</v>
      </c>
      <c r="H1200" t="n">
        <v>118.5522</v>
      </c>
      <c r="I1200" t="n">
        <v>107.4857</v>
      </c>
      <c r="J1200" t="n">
        <v>80.0121</v>
      </c>
      <c r="K1200" t="n">
        <v>205.6</v>
      </c>
    </row>
    <row r="1201">
      <c r="A1201" s="98"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8" t="n">
        <v>43466</v>
      </c>
      <c r="B1202" t="n">
        <v>103.2684</v>
      </c>
      <c r="C1202" t="n">
        <v>101.9348</v>
      </c>
      <c r="D1202" t="n">
        <v>99.532</v>
      </c>
      <c r="E1202" t="n">
        <v>100.2374</v>
      </c>
      <c r="F1202" t="n">
        <v>100.6521</v>
      </c>
      <c r="G1202" t="n">
        <v>105.9249</v>
      </c>
      <c r="H1202" t="n">
        <v>119.6639</v>
      </c>
      <c r="I1202" t="n">
        <v>104.4662</v>
      </c>
      <c r="J1202" t="n">
        <v>79.3593</v>
      </c>
      <c r="K1202" t="n">
        <v>206.7</v>
      </c>
    </row>
    <row r="1203">
      <c r="A1203" s="98" t="n">
        <v>43497</v>
      </c>
      <c r="B1203" t="n">
        <v>102.8157</v>
      </c>
      <c r="C1203" t="n">
        <v>100.1206</v>
      </c>
      <c r="D1203" t="n">
        <v>98.6086</v>
      </c>
      <c r="E1203" t="n">
        <v>100.5533</v>
      </c>
      <c r="F1203" t="n">
        <v>100.2042</v>
      </c>
      <c r="G1203" t="n">
        <v>105.2959</v>
      </c>
      <c r="H1203" t="n">
        <v>118.0695</v>
      </c>
      <c r="I1203" t="n">
        <v>105.1543</v>
      </c>
      <c r="J1203" t="n">
        <v>78.9453</v>
      </c>
      <c r="K1203" t="n">
        <v>206.9</v>
      </c>
    </row>
    <row r="1204">
      <c r="A1204" s="98"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8"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8"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8"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8"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8"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8" t="n">
        <v>43709</v>
      </c>
      <c r="B1210" t="n">
        <v>102.579</v>
      </c>
      <c r="C1210" t="n">
        <v>100.6456</v>
      </c>
      <c r="D1210" t="n">
        <v>93.7225</v>
      </c>
      <c r="E1210" t="n">
        <v>100.2008</v>
      </c>
      <c r="F1210" t="n">
        <v>99.182</v>
      </c>
      <c r="G1210" t="n">
        <v>105.845</v>
      </c>
      <c r="H1210" t="n">
        <v>123.3466</v>
      </c>
      <c r="I1210" t="n">
        <v>105.05</v>
      </c>
      <c r="J1210" t="n">
        <v>78.2029</v>
      </c>
      <c r="K1210" t="n">
        <v>208.2</v>
      </c>
    </row>
    <row r="1211">
      <c r="A1211" s="98"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8"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8" t="n">
        <v>43800</v>
      </c>
      <c r="B1213" t="n">
        <v>101.7632</v>
      </c>
      <c r="C1213" t="n">
        <v>100.0692</v>
      </c>
      <c r="D1213" t="n">
        <v>94.2296</v>
      </c>
      <c r="E1213" t="n">
        <v>100.4454</v>
      </c>
      <c r="F1213" t="n">
        <v>98.9808</v>
      </c>
      <c r="G1213" t="n">
        <v>103.7571</v>
      </c>
      <c r="H1213" t="n">
        <v>120.3918</v>
      </c>
      <c r="I1213" t="n">
        <v>102.5188</v>
      </c>
      <c r="J1213" t="n">
        <v>77.374</v>
      </c>
      <c r="K1213" t="n">
        <v>208.8</v>
      </c>
    </row>
    <row r="1214">
      <c r="A1214" s="98" t="n">
        <v>43831</v>
      </c>
      <c r="B1214" t="n">
        <v>101.303</v>
      </c>
      <c r="C1214" t="n">
        <v>102.3667</v>
      </c>
      <c r="D1214" t="n">
        <v>91.6994</v>
      </c>
      <c r="E1214" t="n">
        <v>100.0985</v>
      </c>
      <c r="F1214" t="n">
        <v>98.871</v>
      </c>
      <c r="G1214" t="n">
        <v>103.2635</v>
      </c>
      <c r="H1214" t="n">
        <v>120.2858</v>
      </c>
      <c r="I1214" t="n">
        <v>99.0595</v>
      </c>
      <c r="J1214" t="n">
        <v>76.9769</v>
      </c>
      <c r="K1214" t="n">
        <v>208.8</v>
      </c>
    </row>
    <row r="1215">
      <c r="A1215" s="98" t="n">
        <v>43862</v>
      </c>
      <c r="B1215" t="n">
        <v>101.7038</v>
      </c>
      <c r="C1215" t="n">
        <v>102.3902</v>
      </c>
      <c r="D1215" t="n">
        <v>91.4521</v>
      </c>
      <c r="E1215" t="n">
        <v>101.1524</v>
      </c>
      <c r="F1215" t="n">
        <v>99.1914</v>
      </c>
      <c r="G1215" t="n">
        <v>103.3217</v>
      </c>
      <c r="H1215" t="n">
        <v>119.0613</v>
      </c>
      <c r="I1215" t="n">
        <v>102.0314</v>
      </c>
      <c r="J1215" t="n">
        <v>77.2526</v>
      </c>
      <c r="K1215" t="n">
        <v>209.4</v>
      </c>
    </row>
    <row r="1216">
      <c r="A1216" s="98" t="n">
        <v>43891</v>
      </c>
      <c r="B1216" t="n">
        <v>97.8746</v>
      </c>
      <c r="C1216" t="n">
        <v>99.0064</v>
      </c>
      <c r="D1216" t="n">
        <v>85.3456</v>
      </c>
      <c r="E1216" t="n">
        <v>96.3369</v>
      </c>
      <c r="F1216" t="n">
        <v>94.9624</v>
      </c>
      <c r="G1216" t="n">
        <v>100.7296</v>
      </c>
      <c r="H1216" t="n">
        <v>118.9124</v>
      </c>
      <c r="I1216" t="n">
        <v>98.55370000000001</v>
      </c>
      <c r="J1216" t="n">
        <v>74.333</v>
      </c>
      <c r="K1216" t="n">
        <v>209.5</v>
      </c>
    </row>
    <row r="1217">
      <c r="A1217" s="98" t="n">
        <v>43922</v>
      </c>
      <c r="B1217" t="n">
        <v>84.959</v>
      </c>
      <c r="C1217" t="n">
        <v>88.2073</v>
      </c>
      <c r="D1217" t="n">
        <v>65.4396</v>
      </c>
      <c r="E1217" t="n">
        <v>85.2092</v>
      </c>
      <c r="F1217" t="n">
        <v>80.3952</v>
      </c>
      <c r="G1217" t="n">
        <v>88.0274</v>
      </c>
      <c r="H1217" t="n">
        <v>102.9563</v>
      </c>
      <c r="I1217" t="n">
        <v>100.4235</v>
      </c>
      <c r="J1217" t="n">
        <v>64.52979999999999</v>
      </c>
      <c r="K1217" t="n">
        <v>210</v>
      </c>
    </row>
    <row r="1218">
      <c r="A1218" s="98"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8" t="n">
        <v>43983</v>
      </c>
      <c r="B1219" t="n">
        <v>91.75230000000001</v>
      </c>
      <c r="C1219" t="n">
        <v>92.9284</v>
      </c>
      <c r="D1219" t="n">
        <v>79.3914</v>
      </c>
      <c r="E1219" t="n">
        <v>96.6271</v>
      </c>
      <c r="F1219" t="n">
        <v>90.2099</v>
      </c>
      <c r="G1219" t="n">
        <v>91.2547</v>
      </c>
      <c r="H1219" t="n">
        <v>91.8244</v>
      </c>
      <c r="I1219" t="n">
        <v>100.9439</v>
      </c>
      <c r="J1219" t="n">
        <v>69.7637</v>
      </c>
      <c r="K1219" t="n">
        <v>209.9</v>
      </c>
    </row>
    <row r="1220">
      <c r="A1220" s="98"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8"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8"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8"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8" t="n">
        <v>44136</v>
      </c>
      <c r="B1224" t="n">
        <v>97.1183</v>
      </c>
      <c r="C1224" t="n">
        <v>98.148</v>
      </c>
      <c r="D1224" t="n">
        <v>86.8079</v>
      </c>
      <c r="E1224" t="n">
        <v>100.6807</v>
      </c>
      <c r="F1224" t="n">
        <v>96.358</v>
      </c>
      <c r="G1224" t="n">
        <v>96.74339999999999</v>
      </c>
      <c r="H1224" t="n">
        <v>100.1941</v>
      </c>
      <c r="I1224" t="n">
        <v>97.6628</v>
      </c>
      <c r="J1224" t="n">
        <v>74.4156</v>
      </c>
      <c r="K1224" t="n">
        <v>211.4</v>
      </c>
    </row>
    <row r="1225">
      <c r="A1225" s="98"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8"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8" t="n">
        <v>44228</v>
      </c>
      <c r="B1227" t="n">
        <v>96.2231</v>
      </c>
      <c r="C1227" t="n">
        <v>97.0132</v>
      </c>
      <c r="D1227" t="n">
        <v>88.1001</v>
      </c>
      <c r="E1227" t="n">
        <v>100.9525</v>
      </c>
      <c r="F1227" t="n">
        <v>94.7465</v>
      </c>
      <c r="G1227" t="n">
        <v>94.286</v>
      </c>
      <c r="H1227" t="n">
        <v>93.84529999999999</v>
      </c>
      <c r="I1227" t="n">
        <v>108.2527</v>
      </c>
      <c r="J1227" t="n">
        <v>74.1634</v>
      </c>
      <c r="K1227" t="n">
        <v>213</v>
      </c>
    </row>
    <row r="1228">
      <c r="A1228" s="98"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8"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8"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8"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8"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8"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8"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8"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8" t="n">
        <v>44501</v>
      </c>
      <c r="B1236" t="n">
        <v>101.961</v>
      </c>
      <c r="C1236" t="n">
        <v>104.8263</v>
      </c>
      <c r="D1236" t="n">
        <v>93.4156</v>
      </c>
      <c r="E1236" t="n">
        <v>102.9771</v>
      </c>
      <c r="F1236" t="n">
        <v>100.8291</v>
      </c>
      <c r="G1236" t="n">
        <v>102.0746</v>
      </c>
      <c r="H1236" t="n">
        <v>110.1619</v>
      </c>
      <c r="I1236" t="n">
        <v>101.8721</v>
      </c>
      <c r="J1236" t="n">
        <v>78.9808</v>
      </c>
      <c r="K1236" t="n">
        <v>224.076</v>
      </c>
    </row>
    <row r="1237">
      <c r="A1237" s="98"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8" t="n">
        <v>44562</v>
      </c>
      <c r="B1238" t="n">
        <v>102.146</v>
      </c>
      <c r="C1238" t="n">
        <v>103.7324</v>
      </c>
      <c r="D1238" t="n">
        <v>93.4282</v>
      </c>
      <c r="E1238" t="n">
        <v>104.2414</v>
      </c>
      <c r="F1238" t="n">
        <v>100.4851</v>
      </c>
      <c r="G1238" t="n">
        <v>101.8282</v>
      </c>
      <c r="H1238" t="n">
        <v>109.115</v>
      </c>
      <c r="I1238" t="n">
        <v>108.3532</v>
      </c>
      <c r="J1238" t="n">
        <v>78.9421</v>
      </c>
      <c r="K1238" t="n">
        <v>227.299</v>
      </c>
    </row>
    <row r="1239">
      <c r="A1239" s="98"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8" t="n">
        <v>44621</v>
      </c>
      <c r="B1240" t="n">
        <v>103.5717</v>
      </c>
      <c r="C1240" t="n">
        <v>105.2346</v>
      </c>
      <c r="D1240" t="n">
        <v>96.3921</v>
      </c>
      <c r="E1240" t="n">
        <v>104.6884</v>
      </c>
      <c r="F1240" t="n">
        <v>102.4339</v>
      </c>
      <c r="G1240" t="n">
        <v>103.3555</v>
      </c>
      <c r="H1240" t="n">
        <v>111.91</v>
      </c>
      <c r="I1240" t="n">
        <v>103.1042</v>
      </c>
      <c r="J1240" t="n">
        <v>79.8154</v>
      </c>
      <c r="K1240" t="n">
        <v>231.101</v>
      </c>
    </row>
    <row r="1241">
      <c r="A1241" s="98"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8" t="n">
        <v>44682</v>
      </c>
      <c r="B1242" t="n">
        <v>104.1646</v>
      </c>
      <c r="C1242" t="n">
        <v>105.1437</v>
      </c>
      <c r="D1242" t="n">
        <v>97.0181</v>
      </c>
      <c r="E1242" t="n">
        <v>105.2305</v>
      </c>
      <c r="F1242" t="n">
        <v>102.4763</v>
      </c>
      <c r="G1242" t="n">
        <v>104.0153</v>
      </c>
      <c r="H1242" t="n">
        <v>113.6204</v>
      </c>
      <c r="I1242" t="n">
        <v>107.0307</v>
      </c>
      <c r="J1242" t="n">
        <v>80.0198</v>
      </c>
      <c r="K1242" t="n">
        <v>235.448</v>
      </c>
    </row>
    <row r="1243">
      <c r="A1243" s="98" t="n">
        <v>44713</v>
      </c>
      <c r="B1243" t="n">
        <v>103.9464</v>
      </c>
      <c r="C1243" t="n">
        <v>103.8624</v>
      </c>
      <c r="D1243" t="n">
        <v>96.82470000000001</v>
      </c>
      <c r="E1243" t="n">
        <v>104.1889</v>
      </c>
      <c r="F1243" t="n">
        <v>101.7132</v>
      </c>
      <c r="G1243" t="n">
        <v>104.4086</v>
      </c>
      <c r="H1243" t="n">
        <v>115.3869</v>
      </c>
      <c r="I1243" t="n">
        <v>107.5915</v>
      </c>
      <c r="J1243" t="n">
        <v>79.7281</v>
      </c>
      <c r="K1243" t="n">
        <v>237.1</v>
      </c>
    </row>
    <row r="1244">
      <c r="A1244" s="98" t="n">
        <v>44743</v>
      </c>
      <c r="B1244" t="n">
        <v>104.4824</v>
      </c>
      <c r="C1244" t="n">
        <v>104.4501</v>
      </c>
      <c r="D1244" t="n">
        <v>97.49509999999999</v>
      </c>
      <c r="E1244" t="n">
        <v>104.4344</v>
      </c>
      <c r="F1244" t="n">
        <v>102.1307</v>
      </c>
      <c r="G1244" t="n">
        <v>105.0326</v>
      </c>
      <c r="H1244" t="n">
        <v>116.8773</v>
      </c>
      <c r="I1244" t="n">
        <v>107.7486</v>
      </c>
      <c r="J1244" t="n">
        <v>80.0213</v>
      </c>
      <c r="K1244" t="n">
        <v>238.432</v>
      </c>
    </row>
    <row r="1245">
      <c r="A1245" s="98" t="n">
        <v>44774</v>
      </c>
      <c r="B1245" t="n">
        <v>104.4696</v>
      </c>
      <c r="C1245" t="n">
        <v>104.1361</v>
      </c>
      <c r="D1245" t="n">
        <v>98.31359999999999</v>
      </c>
      <c r="E1245" t="n">
        <v>104.6436</v>
      </c>
      <c r="F1245" t="n">
        <v>102.3092</v>
      </c>
      <c r="G1245" t="n">
        <v>104.7296</v>
      </c>
      <c r="H1245" t="n">
        <v>116.8358</v>
      </c>
      <c r="I1245" t="n">
        <v>106.3337</v>
      </c>
      <c r="J1245" t="n">
        <v>79.90170000000001</v>
      </c>
      <c r="K1245" t="n">
        <v>239.644</v>
      </c>
    </row>
    <row r="1246">
      <c r="A1246" s="98" t="n">
        <v>44805</v>
      </c>
      <c r="B1246" t="n">
        <v>104.8292</v>
      </c>
      <c r="C1246" t="n">
        <v>104.7329</v>
      </c>
      <c r="D1246" t="n">
        <v>98.9922</v>
      </c>
      <c r="E1246" t="n">
        <v>104.296</v>
      </c>
      <c r="F1246" t="n">
        <v>102.5138</v>
      </c>
      <c r="G1246" t="n">
        <v>105.4392</v>
      </c>
      <c r="H1246" t="n">
        <v>119.1833</v>
      </c>
      <c r="I1246" t="n">
        <v>104.2016</v>
      </c>
      <c r="J1246" t="n">
        <v>80.0758</v>
      </c>
      <c r="K1246" t="n">
        <v>240.323</v>
      </c>
    </row>
    <row r="1247">
      <c r="A1247" s="98" t="n">
        <v>44835</v>
      </c>
      <c r="B1247" t="n">
        <v>104.7972</v>
      </c>
      <c r="C1247" t="n">
        <v>104.5094</v>
      </c>
      <c r="D1247" t="n">
        <v>99.3428</v>
      </c>
      <c r="E1247" t="n">
        <v>105.0504</v>
      </c>
      <c r="F1247" t="n">
        <v>102.8422</v>
      </c>
      <c r="G1247" t="n">
        <v>104.9429</v>
      </c>
      <c r="H1247" t="n">
        <v>119.1429</v>
      </c>
      <c r="I1247" t="n">
        <v>101.5533</v>
      </c>
      <c r="J1247" t="n">
        <v>79.958</v>
      </c>
      <c r="K1247" t="n">
        <v>240.924</v>
      </c>
    </row>
    <row r="1248">
      <c r="A1248" s="98" t="n">
        <v>44866</v>
      </c>
      <c r="B1248" t="n">
        <v>104.1863</v>
      </c>
      <c r="C1248" t="n">
        <v>104.2047</v>
      </c>
      <c r="D1248" t="n">
        <v>97.5707</v>
      </c>
      <c r="E1248" t="n">
        <v>104.5137</v>
      </c>
      <c r="F1248" t="n">
        <v>101.7142</v>
      </c>
      <c r="G1248" t="n">
        <v>104.3764</v>
      </c>
      <c r="H1248" t="n">
        <v>117.7031</v>
      </c>
      <c r="I1248" t="n">
        <v>106.1584</v>
      </c>
      <c r="J1248" t="n">
        <v>79.4063</v>
      </c>
      <c r="K1248" t="n">
        <v>242.041</v>
      </c>
    </row>
    <row r="1249">
      <c r="A1249" s="98" t="n">
        <v>44896</v>
      </c>
      <c r="B1249" t="n">
        <v>103.4332</v>
      </c>
      <c r="C1249" t="n">
        <v>102.7464</v>
      </c>
      <c r="D1249" t="n">
        <v>95.6437</v>
      </c>
      <c r="E1249" t="n">
        <v>104.4371</v>
      </c>
      <c r="F1249" t="n">
        <v>100.3869</v>
      </c>
      <c r="G1249" t="n">
        <v>103.6326</v>
      </c>
      <c r="H1249" t="n">
        <v>116.6567</v>
      </c>
      <c r="I1249" t="n">
        <v>110.2011</v>
      </c>
      <c r="J1249" t="n">
        <v>78.7539</v>
      </c>
      <c r="K1249" t="n">
        <v>242.807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4"/>
  <sheetViews>
    <sheetView zoomScale="130" zoomScaleNormal="130" workbookViewId="0">
      <pane ySplit="6" topLeftCell="A1229" activePane="bottomLeft" state="frozen"/>
      <selection pane="bottomLeft" activeCell="E1270" sqref="E1270"/>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79" min="5" max="6"/>
    <col width="10.6328125" bestFit="1" customWidth="1" style="79" min="7" max="7"/>
    <col width="10.6328125" customWidth="1" style="79" min="8" max="8"/>
    <col width="9.1796875" customWidth="1" style="79" min="9" max="15"/>
    <col width="25" customWidth="1" style="79" min="16" max="16"/>
    <col width="9.1796875" customWidth="1" style="79" min="17" max="26"/>
    <col width="18" bestFit="1" customWidth="1" style="79" min="27" max="27"/>
    <col width="9.1796875" customWidth="1" style="79" min="28" max="42"/>
    <col width="9.1796875" customWidth="1" style="79" min="43" max="16384"/>
  </cols>
  <sheetData>
    <row r="1">
      <c r="A1" s="14" t="inlineStr">
        <is>
          <t>INDPRO</t>
        </is>
      </c>
    </row>
    <row r="5" ht="16" customHeight="1"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c r="A14" s="31" t="n">
        <v>7153</v>
      </c>
      <c r="B14" s="32">
        <f>VLOOKUP(Table10[[#This Row],[Month]],database!A:J,MATCH('IP from start'!$A$1,database!$A$1:$J$1,),)</f>
        <v/>
      </c>
      <c r="C14" s="32" t="n"/>
      <c r="D14" s="32" t="n"/>
    </row>
    <row r="15" ht="16" customHeight="1">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79">
        <f>YEAR(R1188)</f>
        <v/>
      </c>
      <c r="V1188" s="79">
        <f>VLOOKUP(R1188,A:B,2,)</f>
        <v/>
      </c>
      <c r="AA1188" s="8">
        <f>S1188</f>
        <v/>
      </c>
      <c r="AB1188" s="5">
        <f>T1188</f>
        <v/>
      </c>
      <c r="AC1188" s="5">
        <f>T1192</f>
        <v/>
      </c>
      <c r="AD1188" s="5">
        <f>T1196</f>
        <v/>
      </c>
      <c r="AE1188" s="5">
        <f>T1200</f>
        <v/>
      </c>
      <c r="AF1188" s="5">
        <f>T1204</f>
        <v/>
      </c>
      <c r="AG1188" s="5">
        <f>T1208</f>
        <v/>
      </c>
      <c r="AH1188" s="6">
        <f>T1212</f>
        <v/>
      </c>
    </row>
    <row r="1189" ht="16" customHeight="1"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79">
        <f>YEAR(R1189)</f>
        <v/>
      </c>
      <c r="U1189" s="79">
        <f>T1189-T1188</f>
        <v/>
      </c>
      <c r="V1189" s="79">
        <f>VLOOKUP(R1189,A:B,2,)</f>
        <v/>
      </c>
      <c r="W1189" s="79">
        <f>(V1189-V1188)/V1188</f>
        <v/>
      </c>
      <c r="X1189" s="79">
        <f>(1+W1189)^(1/20)</f>
        <v/>
      </c>
      <c r="AA1189" s="9">
        <f>S1189</f>
        <v/>
      </c>
      <c r="AB1189" s="13">
        <f>T1189</f>
        <v/>
      </c>
      <c r="AC1189" s="13">
        <f>T1193</f>
        <v/>
      </c>
      <c r="AD1189" s="13">
        <f>T1197</f>
        <v/>
      </c>
      <c r="AE1189" s="13">
        <f>T1201</f>
        <v/>
      </c>
      <c r="AF1189" s="13">
        <f>T1205</f>
        <v/>
      </c>
      <c r="AG1189" s="13">
        <f>T1209</f>
        <v/>
      </c>
      <c r="AH1189" s="7">
        <f>T1213</f>
        <v/>
      </c>
    </row>
    <row r="1190" ht="16" customHeight="1" thickBot="1">
      <c r="A1190" s="31" t="n">
        <v>42948</v>
      </c>
      <c r="B1190" s="32">
        <f>VLOOKUP(Table10[[#This Row],[Month]],database!A:J,MATCH('IP from start'!$A$1,database!$A$1:$J$1,),)</f>
        <v/>
      </c>
      <c r="C1190" s="33">
        <f>(Table10[[#This Row],[Industrial Production ]]-B1178)/B1178</f>
        <v/>
      </c>
      <c r="D1190" s="34">
        <f>AVERAGE(C1179:C1190)</f>
        <v/>
      </c>
      <c r="T1190" s="60">
        <f>X1190</f>
        <v/>
      </c>
      <c r="X1190" s="4">
        <f>X1189-1</f>
        <v/>
      </c>
      <c r="AA1190" s="71" t="inlineStr">
        <is>
          <t>IP Annualized Growth</t>
        </is>
      </c>
      <c r="AB1190" s="72">
        <f>T1190</f>
        <v/>
      </c>
      <c r="AC1190" s="72">
        <f>T1194</f>
        <v/>
      </c>
      <c r="AD1190" s="72">
        <f>T1198</f>
        <v/>
      </c>
      <c r="AE1190" s="72">
        <f>T1202</f>
        <v/>
      </c>
      <c r="AF1190" s="72">
        <f>T1206</f>
        <v/>
      </c>
      <c r="AG1190" s="72">
        <f>T1210</f>
        <v/>
      </c>
      <c r="AH1190" s="73">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79">
        <f>YEAR(R1192)</f>
        <v/>
      </c>
      <c r="V1192" s="7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79">
        <f>YEAR(R1193)</f>
        <v/>
      </c>
      <c r="U1193" s="79">
        <f>T1193-T1192</f>
        <v/>
      </c>
      <c r="V1193" s="79">
        <f>VLOOKUP(R1193,A:B,2,)</f>
        <v/>
      </c>
      <c r="W1193" s="79">
        <f>(V1193-V1192)/V1192</f>
        <v/>
      </c>
      <c r="X1193" s="79">
        <f>(1+W1193)^(1/20)</f>
        <v/>
      </c>
    </row>
    <row r="1194">
      <c r="A1194" s="31" t="n">
        <v>43070</v>
      </c>
      <c r="B1194" s="32">
        <f>VLOOKUP(Table10[[#This Row],[Month]],database!A:J,MATCH('IP from start'!$A$1,database!$A$1:$J$1,),)</f>
        <v/>
      </c>
      <c r="C1194" s="33">
        <f>(Table10[[#This Row],[Industrial Production ]]-B1182)/B1182</f>
        <v/>
      </c>
      <c r="D1194" s="34">
        <f>AVERAGE(C1183:C1194)</f>
        <v/>
      </c>
      <c r="T1194" s="60">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79">
        <f>YEAR(R1196)</f>
        <v/>
      </c>
      <c r="V1196" s="7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79">
        <f>YEAR(R1197)</f>
        <v/>
      </c>
      <c r="U1197" s="79">
        <f>T1197-T1196</f>
        <v/>
      </c>
      <c r="V1197" s="79">
        <f>VLOOKUP(R1197,A:B,2,)</f>
        <v/>
      </c>
      <c r="W1197" s="79">
        <f>(V1197-V1196)/V1196</f>
        <v/>
      </c>
      <c r="X1197" s="79">
        <f>(1+W1197)^(1/20)</f>
        <v/>
      </c>
    </row>
    <row r="1198">
      <c r="A1198" s="31" t="n">
        <v>43191</v>
      </c>
      <c r="B1198" s="32">
        <f>VLOOKUP(Table10[[#This Row],[Month]],database!A:J,MATCH('IP from start'!$A$1,database!$A$1:$J$1,),)</f>
        <v/>
      </c>
      <c r="C1198" s="33">
        <f>(Table10[[#This Row],[Industrial Production ]]-B1186)/B1186</f>
        <v/>
      </c>
      <c r="D1198" s="34">
        <f>AVERAGE(C1187:C1198)</f>
        <v/>
      </c>
      <c r="T1198" s="60">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79">
        <f>YEAR(R1200)</f>
        <v/>
      </c>
      <c r="V1200" s="7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79">
        <f>YEAR(R1201)</f>
        <v/>
      </c>
      <c r="U1201" s="79">
        <f>T1201-T1200</f>
        <v/>
      </c>
      <c r="V1201" s="79">
        <f>VLOOKUP(R1201,A:B,2,)</f>
        <v/>
      </c>
      <c r="W1201" s="79">
        <f>(V1201-V1200)/V1200</f>
        <v/>
      </c>
      <c r="X1201" s="79">
        <f>(1+W1201)^(1/20)</f>
        <v/>
      </c>
    </row>
    <row r="1202">
      <c r="A1202" s="31" t="n">
        <v>43313</v>
      </c>
      <c r="B1202" s="32">
        <f>VLOOKUP(Table10[[#This Row],[Month]],database!A:J,MATCH('IP from start'!$A$1,database!$A$1:$J$1,),)</f>
        <v/>
      </c>
      <c r="C1202" s="33">
        <f>(Table10[[#This Row],[Industrial Production ]]-B1190)/B1190</f>
        <v/>
      </c>
      <c r="D1202" s="34">
        <f>AVERAGE(C1191:C1202)</f>
        <v/>
      </c>
      <c r="T1202" s="60">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79">
        <f>YEAR(R1204)</f>
        <v/>
      </c>
      <c r="V1204" s="7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79">
        <f>YEAR(R1205)</f>
        <v/>
      </c>
      <c r="U1205" s="79">
        <f>T1205-T1204</f>
        <v/>
      </c>
      <c r="V1205" s="79">
        <f>VLOOKUP(R1205,A:B,2,)</f>
        <v/>
      </c>
      <c r="W1205" s="79">
        <f>(V1205-V1204)/V1204</f>
        <v/>
      </c>
      <c r="X1205" s="79">
        <f>(1+W1205)^(1/20)</f>
        <v/>
      </c>
    </row>
    <row r="1206">
      <c r="A1206" s="31" t="n">
        <v>43435</v>
      </c>
      <c r="B1206" s="32">
        <f>VLOOKUP(Table10[[#This Row],[Month]],database!A:J,MATCH('IP from start'!$A$1,database!$A$1:$J$1,),)</f>
        <v/>
      </c>
      <c r="C1206" s="33">
        <f>(Table10[[#This Row],[Industrial Production ]]-B1194)/B1194</f>
        <v/>
      </c>
      <c r="D1206" s="34">
        <f>AVERAGE(C1195:C1206)</f>
        <v/>
      </c>
      <c r="T1206" s="60">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79">
        <f>YEAR(R1208)</f>
        <v/>
      </c>
      <c r="V1208" s="7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79">
        <f>YEAR(R1209)</f>
        <v/>
      </c>
      <c r="U1209" s="79">
        <f>T1209-T1208</f>
        <v/>
      </c>
      <c r="V1209" s="79">
        <f>VLOOKUP(R1209,A:B,2,)</f>
        <v/>
      </c>
      <c r="W1209" s="79">
        <f>(V1209-V1208)/V1208</f>
        <v/>
      </c>
      <c r="X1209" s="79">
        <f>(1+W1209)^(1/20)</f>
        <v/>
      </c>
    </row>
    <row r="1210">
      <c r="A1210" s="31" t="n">
        <v>43556</v>
      </c>
      <c r="B1210" s="32">
        <f>VLOOKUP(Table10[[#This Row],[Month]],database!A:J,MATCH('IP from start'!$A$1,database!$A$1:$J$1,),)</f>
        <v/>
      </c>
      <c r="C1210" s="33">
        <f>(Table10[[#This Row],[Industrial Production ]]-B1198)/B1198</f>
        <v/>
      </c>
      <c r="D1210" s="34">
        <f>AVERAGE(C1199:C1210)</f>
        <v/>
      </c>
      <c r="T1210" s="60">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79">
        <f>YEAR(R1212)</f>
        <v/>
      </c>
      <c r="V1212" s="7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79">
        <f>YEAR(R1213)</f>
        <v/>
      </c>
      <c r="U1213" s="79">
        <f>T1213-T1212</f>
        <v/>
      </c>
      <c r="V1213" s="79">
        <f>VLOOKUP(R1213,A:B,2,)</f>
        <v/>
      </c>
      <c r="W1213" s="79">
        <f>(V1213-V1212)/V1212</f>
        <v/>
      </c>
      <c r="X1213" s="79">
        <f>(1+W1213)^(1/20)</f>
        <v/>
      </c>
    </row>
    <row r="1214">
      <c r="A1214" s="31" t="n">
        <v>43678</v>
      </c>
      <c r="B1214" s="32">
        <f>VLOOKUP(Table10[[#This Row],[Month]],database!A:J,MATCH('IP from start'!$A$1,database!$A$1:$J$1,),)</f>
        <v/>
      </c>
      <c r="C1214" s="33">
        <f>(Table10[[#This Row],[Industrial Production ]]-B1202)/B1202</f>
        <v/>
      </c>
      <c r="D1214" s="34">
        <f>AVERAGE(C1203:C1214)</f>
        <v/>
      </c>
      <c r="T1214" s="60">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AVERAGE(D20:D1255)</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row r="1253">
      <c r="A1253" s="31" t="n">
        <v>44866</v>
      </c>
      <c r="B1253" s="32">
        <f>VLOOKUP(Table10[[#This Row],[Month]],database!A:J,MATCH('IP from start'!$A$1,database!$A$1:$J$1,),)</f>
        <v/>
      </c>
      <c r="C1253" s="33">
        <f>(Table10[[#This Row],[Industrial Production ]]-B1241)/B1241</f>
        <v/>
      </c>
      <c r="D1253" s="34">
        <f>AVERAGE(C1242:C1253)</f>
        <v/>
      </c>
    </row>
    <row r="1254">
      <c r="A1254" s="31" t="n">
        <v>44896</v>
      </c>
      <c r="B1254" s="32">
        <f>VLOOKUP(Table10[[#This Row],[Month]],database!A:J,MATCH('IP from start'!$A$1,database!$A$1:$J$1,),)</f>
        <v/>
      </c>
      <c r="C1254" s="33">
        <f>(Table10[[#This Row],[Industrial Production ]]-B1242)/B1242</f>
        <v/>
      </c>
      <c r="D1254" s="34">
        <f>AVERAGE(C1243:C1254)</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8"/>
  <sheetViews>
    <sheetView zoomScale="120" zoomScaleNormal="120" workbookViewId="0">
      <pane ySplit="6" topLeftCell="A611" activePane="bottomLeft" state="frozen"/>
      <selection pane="bottomLeft" activeCell="A615" sqref="A615:D618"/>
    </sheetView>
  </sheetViews>
  <sheetFormatPr baseColWidth="8" defaultColWidth="9.1796875" defaultRowHeight="14.5"/>
  <cols>
    <col width="20.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INDPRO</t>
        </is>
      </c>
      <c r="B1" s="79" t="n"/>
      <c r="C1" s="79" t="n"/>
      <c r="V1" s="54" t="inlineStr">
        <is>
          <t xml:space="preserve">Industrial Production Index </t>
        </is>
      </c>
      <c r="X1" s="79">
        <f>V1&amp;V2</f>
        <v/>
      </c>
      <c r="AB1" s="60">
        <f>X2&amp; V2</f>
        <v/>
      </c>
    </row>
    <row r="2">
      <c r="A2" s="16" t="n"/>
      <c r="B2" s="79" t="n"/>
      <c r="C2" s="62" t="n"/>
      <c r="K2" s="92" t="inlineStr">
        <is>
          <t>https://www.federalreserve.gov/releases/g17/current/default.htm</t>
        </is>
      </c>
      <c r="V2" s="62" t="inlineStr">
        <is>
          <t xml:space="preserve"> since 2000 - </t>
        </is>
      </c>
      <c r="X2" s="79">
        <f>V1&amp;Table1[[#Headers],[yoy]]</f>
        <v/>
      </c>
    </row>
    <row r="3">
      <c r="A3" s="16" t="n"/>
      <c r="B3" s="55" t="n"/>
      <c r="C3" s="62" t="n"/>
      <c r="K3" s="92" t="n"/>
    </row>
    <row r="4">
      <c r="A4" s="16" t="n"/>
      <c r="B4" s="55" t="n"/>
      <c r="C4" s="62" t="n"/>
      <c r="K4" s="92" t="n"/>
    </row>
    <row r="5" ht="16" customHeight="1" thickBot="1">
      <c r="A5" s="16" t="n"/>
      <c r="B5" s="55" t="inlineStr">
        <is>
          <t>INDPRO</t>
        </is>
      </c>
      <c r="C5" s="62" t="n"/>
    </row>
    <row r="6" ht="16" customHeight="1" thickBot="1">
      <c r="A6" s="36" t="inlineStr">
        <is>
          <t>Date</t>
        </is>
      </c>
      <c r="B6" s="56" t="inlineStr">
        <is>
          <t>Index</t>
        </is>
      </c>
      <c r="C6" s="63" t="inlineStr">
        <is>
          <t>mom</t>
        </is>
      </c>
      <c r="D6" s="64" t="inlineStr">
        <is>
          <t>yoy</t>
        </is>
      </c>
    </row>
    <row r="7">
      <c r="A7" s="35" t="n">
        <v>26299</v>
      </c>
      <c r="B7" s="57">
        <f>VLOOKUP(Table1[[#This Row],[Date]],database!A:B,2,)</f>
        <v/>
      </c>
      <c r="C7" s="65" t="n"/>
      <c r="D7" s="65" t="n"/>
    </row>
    <row r="8">
      <c r="A8" s="17" t="n">
        <v>26330</v>
      </c>
      <c r="B8" s="58">
        <f>VLOOKUP(Table1[[#This Row],[Date]],database!A:B,2,)</f>
        <v/>
      </c>
      <c r="C8" s="66">
        <f>B8/B7-1</f>
        <v/>
      </c>
      <c r="D8" s="66" t="n"/>
    </row>
    <row r="9">
      <c r="A9" s="17" t="n">
        <v>26359</v>
      </c>
      <c r="B9" s="58">
        <f>VLOOKUP(Table1[[#This Row],[Date]],database!A:B,2,)</f>
        <v/>
      </c>
      <c r="C9" s="66">
        <f>B9/B8-1</f>
        <v/>
      </c>
      <c r="D9" s="66" t="n"/>
    </row>
    <row r="10">
      <c r="A10" s="17" t="n">
        <v>26390</v>
      </c>
      <c r="B10" s="58">
        <f>VLOOKUP(Table1[[#This Row],[Date]],database!A:B,2,)</f>
        <v/>
      </c>
      <c r="C10" s="66">
        <f>B10/B9-1</f>
        <v/>
      </c>
      <c r="D10" s="66" t="n"/>
    </row>
    <row r="11">
      <c r="A11" s="17" t="n">
        <v>26420</v>
      </c>
      <c r="B11" s="58">
        <f>VLOOKUP(Table1[[#This Row],[Date]],database!A:B,2,)</f>
        <v/>
      </c>
      <c r="C11" s="66">
        <f>B11/B10-1</f>
        <v/>
      </c>
      <c r="D11" s="66" t="n"/>
    </row>
    <row r="12">
      <c r="A12" s="17" t="n">
        <v>26451</v>
      </c>
      <c r="B12" s="58">
        <f>VLOOKUP(Table1[[#This Row],[Date]],database!A:B,2,)</f>
        <v/>
      </c>
      <c r="C12" s="66">
        <f>B12/B11-1</f>
        <v/>
      </c>
      <c r="D12" s="66" t="n"/>
    </row>
    <row r="13">
      <c r="A13" s="17" t="n">
        <v>26481</v>
      </c>
      <c r="B13" s="58">
        <f>VLOOKUP(Table1[[#This Row],[Date]],database!A:B,2,)</f>
        <v/>
      </c>
      <c r="C13" s="66">
        <f>B13/B12-1</f>
        <v/>
      </c>
      <c r="D13" s="66" t="n"/>
    </row>
    <row r="14">
      <c r="A14" s="17" t="n">
        <v>26512</v>
      </c>
      <c r="B14" s="58">
        <f>VLOOKUP(Table1[[#This Row],[Date]],database!A:B,2,)</f>
        <v/>
      </c>
      <c r="C14" s="66">
        <f>B14/B13-1</f>
        <v/>
      </c>
      <c r="D14" s="66" t="n"/>
    </row>
    <row r="15">
      <c r="A15" s="17" t="n">
        <v>26543</v>
      </c>
      <c r="B15" s="58">
        <f>VLOOKUP(Table1[[#This Row],[Date]],database!A:B,2,)</f>
        <v/>
      </c>
      <c r="C15" s="66">
        <f>B15/B14-1</f>
        <v/>
      </c>
      <c r="D15" s="66" t="n"/>
    </row>
    <row r="16">
      <c r="A16" s="17" t="n">
        <v>26573</v>
      </c>
      <c r="B16" s="58">
        <f>VLOOKUP(Table1[[#This Row],[Date]],database!A:B,2,)</f>
        <v/>
      </c>
      <c r="C16" s="66">
        <f>B16/B15-1</f>
        <v/>
      </c>
      <c r="D16" s="66" t="n"/>
    </row>
    <row r="17">
      <c r="A17" s="17" t="n">
        <v>26604</v>
      </c>
      <c r="B17" s="58">
        <f>VLOOKUP(Table1[[#This Row],[Date]],database!A:B,2,)</f>
        <v/>
      </c>
      <c r="C17" s="66">
        <f>B17/B16-1</f>
        <v/>
      </c>
      <c r="D17" s="66" t="n"/>
    </row>
    <row r="18">
      <c r="A18" s="17" t="n">
        <v>26634</v>
      </c>
      <c r="B18" s="58">
        <f>VLOOKUP(Table1[[#This Row],[Date]],database!A:B,2,)</f>
        <v/>
      </c>
      <c r="C18" s="66">
        <f>B18/B17-1</f>
        <v/>
      </c>
      <c r="D18" s="66" t="n"/>
    </row>
    <row r="19">
      <c r="A19" s="17" t="n">
        <v>26665</v>
      </c>
      <c r="B19" s="58">
        <f>VLOOKUP(Table1[[#This Row],[Date]],database!A:B,2,)</f>
        <v/>
      </c>
      <c r="C19" s="66">
        <f>B19/B18-1</f>
        <v/>
      </c>
      <c r="D19" s="66" t="n"/>
    </row>
    <row r="20">
      <c r="A20" s="17" t="n">
        <v>26696</v>
      </c>
      <c r="B20" s="58">
        <f>VLOOKUP(Table1[[#This Row],[Date]],database!A:B,2,)</f>
        <v/>
      </c>
      <c r="C20" s="66">
        <f>B20/B19-1</f>
        <v/>
      </c>
      <c r="D20" s="66">
        <f>(Table1[[#This Row],[Index]]-B8)/B8</f>
        <v/>
      </c>
    </row>
    <row r="21">
      <c r="A21" s="17" t="n">
        <v>26724</v>
      </c>
      <c r="B21" s="58">
        <f>VLOOKUP(Table1[[#This Row],[Date]],database!A:B,2,)</f>
        <v/>
      </c>
      <c r="C21" s="66">
        <f>B21/B20-1</f>
        <v/>
      </c>
      <c r="D21" s="66">
        <f>(Table1[[#This Row],[Index]]-B9)/B9</f>
        <v/>
      </c>
    </row>
    <row r="22">
      <c r="A22" s="17" t="n">
        <v>26755</v>
      </c>
      <c r="B22" s="58">
        <f>VLOOKUP(Table1[[#This Row],[Date]],database!A:B,2,)</f>
        <v/>
      </c>
      <c r="C22" s="66">
        <f>B22/B21-1</f>
        <v/>
      </c>
      <c r="D22" s="66">
        <f>(Table1[[#This Row],[Index]]-B10)/B10</f>
        <v/>
      </c>
    </row>
    <row r="23">
      <c r="A23" s="17" t="n">
        <v>26785</v>
      </c>
      <c r="B23" s="58">
        <f>VLOOKUP(Table1[[#This Row],[Date]],database!A:B,2,)</f>
        <v/>
      </c>
      <c r="C23" s="66">
        <f>B23/B22-1</f>
        <v/>
      </c>
      <c r="D23" s="66">
        <f>(Table1[[#This Row],[Index]]-B11)/B11</f>
        <v/>
      </c>
    </row>
    <row r="24">
      <c r="A24" s="17" t="n">
        <v>26816</v>
      </c>
      <c r="B24" s="58">
        <f>VLOOKUP(Table1[[#This Row],[Date]],database!A:B,2,)</f>
        <v/>
      </c>
      <c r="C24" s="66">
        <f>B24/B23-1</f>
        <v/>
      </c>
      <c r="D24" s="66">
        <f>(Table1[[#This Row],[Index]]-B12)/B12</f>
        <v/>
      </c>
    </row>
    <row r="25">
      <c r="A25" s="17" t="n">
        <v>26846</v>
      </c>
      <c r="B25" s="58">
        <f>VLOOKUP(Table1[[#This Row],[Date]],database!A:B,2,)</f>
        <v/>
      </c>
      <c r="C25" s="66">
        <f>B25/B24-1</f>
        <v/>
      </c>
      <c r="D25" s="66">
        <f>(Table1[[#This Row],[Index]]-B13)/B13</f>
        <v/>
      </c>
    </row>
    <row r="26">
      <c r="A26" s="17" t="n">
        <v>26877</v>
      </c>
      <c r="B26" s="58">
        <f>VLOOKUP(Table1[[#This Row],[Date]],database!A:B,2,)</f>
        <v/>
      </c>
      <c r="C26" s="66">
        <f>B26/B25-1</f>
        <v/>
      </c>
      <c r="D26" s="66">
        <f>(Table1[[#This Row],[Index]]-B14)/B14</f>
        <v/>
      </c>
    </row>
    <row r="27">
      <c r="A27" s="17" t="n">
        <v>26908</v>
      </c>
      <c r="B27" s="58">
        <f>VLOOKUP(Table1[[#This Row],[Date]],database!A:B,2,)</f>
        <v/>
      </c>
      <c r="C27" s="66">
        <f>B27/B26-1</f>
        <v/>
      </c>
      <c r="D27" s="66">
        <f>(Table1[[#This Row],[Index]]-B15)/B15</f>
        <v/>
      </c>
    </row>
    <row r="28">
      <c r="A28" s="17" t="n">
        <v>26938</v>
      </c>
      <c r="B28" s="58">
        <f>VLOOKUP(Table1[[#This Row],[Date]],database!A:B,2,)</f>
        <v/>
      </c>
      <c r="C28" s="66">
        <f>B28/B27-1</f>
        <v/>
      </c>
      <c r="D28" s="66">
        <f>(Table1[[#This Row],[Index]]-B16)/B16</f>
        <v/>
      </c>
    </row>
    <row r="29">
      <c r="A29" s="17" t="n">
        <v>26969</v>
      </c>
      <c r="B29" s="58">
        <f>VLOOKUP(Table1[[#This Row],[Date]],database!A:B,2,)</f>
        <v/>
      </c>
      <c r="C29" s="66">
        <f>B29/B28-1</f>
        <v/>
      </c>
      <c r="D29" s="66">
        <f>(Table1[[#This Row],[Index]]-B17)/B17</f>
        <v/>
      </c>
    </row>
    <row r="30">
      <c r="A30" s="17" t="n">
        <v>26999</v>
      </c>
      <c r="B30" s="58">
        <f>VLOOKUP(Table1[[#This Row],[Date]],database!A:B,2,)</f>
        <v/>
      </c>
      <c r="C30" s="66">
        <f>B30/B29-1</f>
        <v/>
      </c>
      <c r="D30" s="66">
        <f>(Table1[[#This Row],[Index]]-B18)/B18</f>
        <v/>
      </c>
    </row>
    <row r="31">
      <c r="A31" s="17" t="n">
        <v>27030</v>
      </c>
      <c r="B31" s="58">
        <f>VLOOKUP(Table1[[#This Row],[Date]],database!A:B,2,)</f>
        <v/>
      </c>
      <c r="C31" s="66">
        <f>B31/B30-1</f>
        <v/>
      </c>
      <c r="D31" s="66">
        <f>(Table1[[#This Row],[Index]]-B19)/B19</f>
        <v/>
      </c>
    </row>
    <row r="32">
      <c r="A32" s="17" t="n">
        <v>27061</v>
      </c>
      <c r="B32" s="58">
        <f>VLOOKUP(Table1[[#This Row],[Date]],database!A:B,2,)</f>
        <v/>
      </c>
      <c r="C32" s="66">
        <f>B32/B31-1</f>
        <v/>
      </c>
      <c r="D32" s="66">
        <f>(Table1[[#This Row],[Index]]-B20)/B20</f>
        <v/>
      </c>
    </row>
    <row r="33">
      <c r="A33" s="17" t="n">
        <v>27089</v>
      </c>
      <c r="B33" s="58">
        <f>VLOOKUP(Table1[[#This Row],[Date]],database!A:B,2,)</f>
        <v/>
      </c>
      <c r="C33" s="66">
        <f>B33/B32-1</f>
        <v/>
      </c>
      <c r="D33" s="66">
        <f>(Table1[[#This Row],[Index]]-B21)/B21</f>
        <v/>
      </c>
    </row>
    <row r="34">
      <c r="A34" s="17" t="n">
        <v>27120</v>
      </c>
      <c r="B34" s="58">
        <f>VLOOKUP(Table1[[#This Row],[Date]],database!A:B,2,)</f>
        <v/>
      </c>
      <c r="C34" s="66">
        <f>B34/B33-1</f>
        <v/>
      </c>
      <c r="D34" s="66">
        <f>(Table1[[#This Row],[Index]]-B22)/B22</f>
        <v/>
      </c>
    </row>
    <row r="35">
      <c r="A35" s="17" t="n">
        <v>27150</v>
      </c>
      <c r="B35" s="58">
        <f>VLOOKUP(Table1[[#This Row],[Date]],database!A:B,2,)</f>
        <v/>
      </c>
      <c r="C35" s="66">
        <f>B35/B34-1</f>
        <v/>
      </c>
      <c r="D35" s="66">
        <f>(Table1[[#This Row],[Index]]-B23)/B23</f>
        <v/>
      </c>
    </row>
    <row r="36">
      <c r="A36" s="17" t="n">
        <v>27181</v>
      </c>
      <c r="B36" s="58">
        <f>VLOOKUP(Table1[[#This Row],[Date]],database!A:B,2,)</f>
        <v/>
      </c>
      <c r="C36" s="66">
        <f>B36/B35-1</f>
        <v/>
      </c>
      <c r="D36" s="66">
        <f>(Table1[[#This Row],[Index]]-B24)/B24</f>
        <v/>
      </c>
    </row>
    <row r="37">
      <c r="A37" s="17" t="n">
        <v>27211</v>
      </c>
      <c r="B37" s="58">
        <f>VLOOKUP(Table1[[#This Row],[Date]],database!A:B,2,)</f>
        <v/>
      </c>
      <c r="C37" s="66">
        <f>B37/B36-1</f>
        <v/>
      </c>
      <c r="D37" s="66">
        <f>(Table1[[#This Row],[Index]]-B25)/B25</f>
        <v/>
      </c>
    </row>
    <row r="38">
      <c r="A38" s="17" t="n">
        <v>27242</v>
      </c>
      <c r="B38" s="58">
        <f>VLOOKUP(Table1[[#This Row],[Date]],database!A:B,2,)</f>
        <v/>
      </c>
      <c r="C38" s="66">
        <f>B38/B37-1</f>
        <v/>
      </c>
      <c r="D38" s="66">
        <f>(Table1[[#This Row],[Index]]-B26)/B26</f>
        <v/>
      </c>
    </row>
    <row r="39">
      <c r="A39" s="17" t="n">
        <v>27273</v>
      </c>
      <c r="B39" s="58">
        <f>VLOOKUP(Table1[[#This Row],[Date]],database!A:B,2,)</f>
        <v/>
      </c>
      <c r="C39" s="66">
        <f>B39/B38-1</f>
        <v/>
      </c>
      <c r="D39" s="66">
        <f>(Table1[[#This Row],[Index]]-B27)/B27</f>
        <v/>
      </c>
    </row>
    <row r="40">
      <c r="A40" s="17" t="n">
        <v>27303</v>
      </c>
      <c r="B40" s="58">
        <f>VLOOKUP(Table1[[#This Row],[Date]],database!A:B,2,)</f>
        <v/>
      </c>
      <c r="C40" s="66">
        <f>B40/B39-1</f>
        <v/>
      </c>
      <c r="D40" s="66">
        <f>(Table1[[#This Row],[Index]]-B28)/B28</f>
        <v/>
      </c>
    </row>
    <row r="41">
      <c r="A41" s="17" t="n">
        <v>27334</v>
      </c>
      <c r="B41" s="58">
        <f>VLOOKUP(Table1[[#This Row],[Date]],database!A:B,2,)</f>
        <v/>
      </c>
      <c r="C41" s="66">
        <f>B41/B40-1</f>
        <v/>
      </c>
      <c r="D41" s="66">
        <f>(Table1[[#This Row],[Index]]-B29)/B29</f>
        <v/>
      </c>
    </row>
    <row r="42">
      <c r="A42" s="17" t="n">
        <v>27364</v>
      </c>
      <c r="B42" s="58">
        <f>VLOOKUP(Table1[[#This Row],[Date]],database!A:B,2,)</f>
        <v/>
      </c>
      <c r="C42" s="66">
        <f>B42/B41-1</f>
        <v/>
      </c>
      <c r="D42" s="66">
        <f>(Table1[[#This Row],[Index]]-B30)/B30</f>
        <v/>
      </c>
    </row>
    <row r="43">
      <c r="A43" s="17" t="n">
        <v>27395</v>
      </c>
      <c r="B43" s="58">
        <f>VLOOKUP(Table1[[#This Row],[Date]],database!A:B,2,)</f>
        <v/>
      </c>
      <c r="C43" s="66">
        <f>B43/B42-1</f>
        <v/>
      </c>
      <c r="D43" s="66">
        <f>(Table1[[#This Row],[Index]]-B31)/B31</f>
        <v/>
      </c>
    </row>
    <row r="44">
      <c r="A44" s="17" t="n">
        <v>27426</v>
      </c>
      <c r="B44" s="58">
        <f>VLOOKUP(Table1[[#This Row],[Date]],database!A:B,2,)</f>
        <v/>
      </c>
      <c r="C44" s="66">
        <f>B44/B43-1</f>
        <v/>
      </c>
      <c r="D44" s="66">
        <f>(Table1[[#This Row],[Index]]-B32)/B32</f>
        <v/>
      </c>
    </row>
    <row r="45">
      <c r="A45" s="17" t="n">
        <v>27454</v>
      </c>
      <c r="B45" s="58">
        <f>VLOOKUP(Table1[[#This Row],[Date]],database!A:B,2,)</f>
        <v/>
      </c>
      <c r="C45" s="66">
        <f>B45/B44-1</f>
        <v/>
      </c>
      <c r="D45" s="66">
        <f>(Table1[[#This Row],[Index]]-B33)/B33</f>
        <v/>
      </c>
    </row>
    <row r="46">
      <c r="A46" s="17" t="n">
        <v>27485</v>
      </c>
      <c r="B46" s="58">
        <f>VLOOKUP(Table1[[#This Row],[Date]],database!A:B,2,)</f>
        <v/>
      </c>
      <c r="C46" s="66">
        <f>B46/B45-1</f>
        <v/>
      </c>
      <c r="D46" s="66">
        <f>(Table1[[#This Row],[Index]]-B34)/B34</f>
        <v/>
      </c>
    </row>
    <row r="47">
      <c r="A47" s="17" t="n">
        <v>27515</v>
      </c>
      <c r="B47" s="58">
        <f>VLOOKUP(Table1[[#This Row],[Date]],database!A:B,2,)</f>
        <v/>
      </c>
      <c r="C47" s="66">
        <f>B47/B46-1</f>
        <v/>
      </c>
      <c r="D47" s="66">
        <f>(Table1[[#This Row],[Index]]-B35)/B35</f>
        <v/>
      </c>
    </row>
    <row r="48">
      <c r="A48" s="17" t="n">
        <v>27546</v>
      </c>
      <c r="B48" s="58">
        <f>VLOOKUP(Table1[[#This Row],[Date]],database!A:B,2,)</f>
        <v/>
      </c>
      <c r="C48" s="66">
        <f>B48/B47-1</f>
        <v/>
      </c>
      <c r="D48" s="66">
        <f>(Table1[[#This Row],[Index]]-B36)/B36</f>
        <v/>
      </c>
    </row>
    <row r="49">
      <c r="A49" s="17" t="n">
        <v>27576</v>
      </c>
      <c r="B49" s="58">
        <f>VLOOKUP(Table1[[#This Row],[Date]],database!A:B,2,)</f>
        <v/>
      </c>
      <c r="C49" s="66">
        <f>B49/B48-1</f>
        <v/>
      </c>
      <c r="D49" s="66">
        <f>(Table1[[#This Row],[Index]]-B37)/B37</f>
        <v/>
      </c>
    </row>
    <row r="50">
      <c r="A50" s="17" t="n">
        <v>27607</v>
      </c>
      <c r="B50" s="58">
        <f>VLOOKUP(Table1[[#This Row],[Date]],database!A:B,2,)</f>
        <v/>
      </c>
      <c r="C50" s="66">
        <f>B50/B49-1</f>
        <v/>
      </c>
      <c r="D50" s="66">
        <f>(Table1[[#This Row],[Index]]-B38)/B38</f>
        <v/>
      </c>
    </row>
    <row r="51">
      <c r="A51" s="17" t="n">
        <v>27638</v>
      </c>
      <c r="B51" s="58">
        <f>VLOOKUP(Table1[[#This Row],[Date]],database!A:B,2,)</f>
        <v/>
      </c>
      <c r="C51" s="66">
        <f>B51/B50-1</f>
        <v/>
      </c>
      <c r="D51" s="66">
        <f>(Table1[[#This Row],[Index]]-B39)/B39</f>
        <v/>
      </c>
    </row>
    <row r="52">
      <c r="A52" s="17" t="n">
        <v>27668</v>
      </c>
      <c r="B52" s="58">
        <f>VLOOKUP(Table1[[#This Row],[Date]],database!A:B,2,)</f>
        <v/>
      </c>
      <c r="C52" s="66">
        <f>B52/B51-1</f>
        <v/>
      </c>
      <c r="D52" s="66">
        <f>(Table1[[#This Row],[Index]]-B40)/B40</f>
        <v/>
      </c>
    </row>
    <row r="53">
      <c r="A53" s="17" t="n">
        <v>27699</v>
      </c>
      <c r="B53" s="58">
        <f>VLOOKUP(Table1[[#This Row],[Date]],database!A:B,2,)</f>
        <v/>
      </c>
      <c r="C53" s="66">
        <f>B53/B52-1</f>
        <v/>
      </c>
      <c r="D53" s="66">
        <f>(Table1[[#This Row],[Index]]-B41)/B41</f>
        <v/>
      </c>
    </row>
    <row r="54">
      <c r="A54" s="17" t="n">
        <v>27729</v>
      </c>
      <c r="B54" s="58">
        <f>VLOOKUP(Table1[[#This Row],[Date]],database!A:B,2,)</f>
        <v/>
      </c>
      <c r="C54" s="66">
        <f>B54/B53-1</f>
        <v/>
      </c>
      <c r="D54" s="66">
        <f>(Table1[[#This Row],[Index]]-B42)/B42</f>
        <v/>
      </c>
    </row>
    <row r="55">
      <c r="A55" s="17" t="n">
        <v>27760</v>
      </c>
      <c r="B55" s="58">
        <f>VLOOKUP(Table1[[#This Row],[Date]],database!A:B,2,)</f>
        <v/>
      </c>
      <c r="C55" s="66">
        <f>B55/B54-1</f>
        <v/>
      </c>
      <c r="D55" s="66">
        <f>(Table1[[#This Row],[Index]]-B43)/B43</f>
        <v/>
      </c>
    </row>
    <row r="56">
      <c r="A56" s="17" t="n">
        <v>27791</v>
      </c>
      <c r="B56" s="58">
        <f>VLOOKUP(Table1[[#This Row],[Date]],database!A:B,2,)</f>
        <v/>
      </c>
      <c r="C56" s="66">
        <f>B56/B55-1</f>
        <v/>
      </c>
      <c r="D56" s="66">
        <f>(Table1[[#This Row],[Index]]-B44)/B44</f>
        <v/>
      </c>
    </row>
    <row r="57">
      <c r="A57" s="17" t="n">
        <v>27820</v>
      </c>
      <c r="B57" s="58">
        <f>VLOOKUP(Table1[[#This Row],[Date]],database!A:B,2,)</f>
        <v/>
      </c>
      <c r="C57" s="66">
        <f>B57/B56-1</f>
        <v/>
      </c>
      <c r="D57" s="66">
        <f>(Table1[[#This Row],[Index]]-B45)/B45</f>
        <v/>
      </c>
    </row>
    <row r="58">
      <c r="A58" s="17" t="n">
        <v>27851</v>
      </c>
      <c r="B58" s="58">
        <f>VLOOKUP(Table1[[#This Row],[Date]],database!A:B,2,)</f>
        <v/>
      </c>
      <c r="C58" s="66">
        <f>B58/B57-1</f>
        <v/>
      </c>
      <c r="D58" s="66">
        <f>(Table1[[#This Row],[Index]]-B46)/B46</f>
        <v/>
      </c>
    </row>
    <row r="59">
      <c r="A59" s="17" t="n">
        <v>27881</v>
      </c>
      <c r="B59" s="58">
        <f>VLOOKUP(Table1[[#This Row],[Date]],database!A:B,2,)</f>
        <v/>
      </c>
      <c r="C59" s="66">
        <f>B59/B58-1</f>
        <v/>
      </c>
      <c r="D59" s="66">
        <f>(Table1[[#This Row],[Index]]-B47)/B47</f>
        <v/>
      </c>
    </row>
    <row r="60">
      <c r="A60" s="17" t="n">
        <v>27912</v>
      </c>
      <c r="B60" s="58">
        <f>VLOOKUP(Table1[[#This Row],[Date]],database!A:B,2,)</f>
        <v/>
      </c>
      <c r="C60" s="66">
        <f>B60/B59-1</f>
        <v/>
      </c>
      <c r="D60" s="66">
        <f>(Table1[[#This Row],[Index]]-B48)/B48</f>
        <v/>
      </c>
    </row>
    <row r="61">
      <c r="A61" s="17" t="n">
        <v>27942</v>
      </c>
      <c r="B61" s="58">
        <f>VLOOKUP(Table1[[#This Row],[Date]],database!A:B,2,)</f>
        <v/>
      </c>
      <c r="C61" s="66">
        <f>B61/B60-1</f>
        <v/>
      </c>
      <c r="D61" s="66">
        <f>(Table1[[#This Row],[Index]]-B49)/B49</f>
        <v/>
      </c>
    </row>
    <row r="62">
      <c r="A62" s="17" t="n">
        <v>27973</v>
      </c>
      <c r="B62" s="58">
        <f>VLOOKUP(Table1[[#This Row],[Date]],database!A:B,2,)</f>
        <v/>
      </c>
      <c r="C62" s="66">
        <f>B62/B61-1</f>
        <v/>
      </c>
      <c r="D62" s="66">
        <f>(Table1[[#This Row],[Index]]-B50)/B50</f>
        <v/>
      </c>
    </row>
    <row r="63">
      <c r="A63" s="17" t="n">
        <v>28004</v>
      </c>
      <c r="B63" s="58">
        <f>VLOOKUP(Table1[[#This Row],[Date]],database!A:B,2,)</f>
        <v/>
      </c>
      <c r="C63" s="66">
        <f>B63/B62-1</f>
        <v/>
      </c>
      <c r="D63" s="66">
        <f>(Table1[[#This Row],[Index]]-B51)/B51</f>
        <v/>
      </c>
    </row>
    <row r="64">
      <c r="A64" s="17" t="n">
        <v>28034</v>
      </c>
      <c r="B64" s="58">
        <f>VLOOKUP(Table1[[#This Row],[Date]],database!A:B,2,)</f>
        <v/>
      </c>
      <c r="C64" s="66">
        <f>B64/B63-1</f>
        <v/>
      </c>
      <c r="D64" s="66">
        <f>(Table1[[#This Row],[Index]]-B52)/B52</f>
        <v/>
      </c>
    </row>
    <row r="65">
      <c r="A65" s="17" t="n">
        <v>28065</v>
      </c>
      <c r="B65" s="58">
        <f>VLOOKUP(Table1[[#This Row],[Date]],database!A:B,2,)</f>
        <v/>
      </c>
      <c r="C65" s="66">
        <f>B65/B64-1</f>
        <v/>
      </c>
      <c r="D65" s="66">
        <f>(Table1[[#This Row],[Index]]-B53)/B53</f>
        <v/>
      </c>
    </row>
    <row r="66">
      <c r="A66" s="17" t="n">
        <v>28095</v>
      </c>
      <c r="B66" s="58">
        <f>VLOOKUP(Table1[[#This Row],[Date]],database!A:B,2,)</f>
        <v/>
      </c>
      <c r="C66" s="66">
        <f>B66/B65-1</f>
        <v/>
      </c>
      <c r="D66" s="66">
        <f>(Table1[[#This Row],[Index]]-B54)/B54</f>
        <v/>
      </c>
    </row>
    <row r="67">
      <c r="A67" s="17" t="n">
        <v>28126</v>
      </c>
      <c r="B67" s="58">
        <f>VLOOKUP(Table1[[#This Row],[Date]],database!A:B,2,)</f>
        <v/>
      </c>
      <c r="C67" s="66">
        <f>B67/B66-1</f>
        <v/>
      </c>
      <c r="D67" s="66">
        <f>(Table1[[#This Row],[Index]]-B55)/B55</f>
        <v/>
      </c>
    </row>
    <row r="68">
      <c r="A68" s="17" t="n">
        <v>28157</v>
      </c>
      <c r="B68" s="58">
        <f>VLOOKUP(Table1[[#This Row],[Date]],database!A:B,2,)</f>
        <v/>
      </c>
      <c r="C68" s="66">
        <f>B68/B67-1</f>
        <v/>
      </c>
      <c r="D68" s="66">
        <f>(Table1[[#This Row],[Index]]-B56)/B56</f>
        <v/>
      </c>
    </row>
    <row r="69">
      <c r="A69" s="17" t="n">
        <v>28185</v>
      </c>
      <c r="B69" s="58">
        <f>VLOOKUP(Table1[[#This Row],[Date]],database!A:B,2,)</f>
        <v/>
      </c>
      <c r="C69" s="66">
        <f>B69/B68-1</f>
        <v/>
      </c>
      <c r="D69" s="66">
        <f>(Table1[[#This Row],[Index]]-B57)/B57</f>
        <v/>
      </c>
    </row>
    <row r="70">
      <c r="A70" s="17" t="n">
        <v>28216</v>
      </c>
      <c r="B70" s="58">
        <f>VLOOKUP(Table1[[#This Row],[Date]],database!A:B,2,)</f>
        <v/>
      </c>
      <c r="C70" s="66">
        <f>B70/B69-1</f>
        <v/>
      </c>
      <c r="D70" s="66">
        <f>(Table1[[#This Row],[Index]]-B58)/B58</f>
        <v/>
      </c>
    </row>
    <row r="71">
      <c r="A71" s="17" t="n">
        <v>28246</v>
      </c>
      <c r="B71" s="58">
        <f>VLOOKUP(Table1[[#This Row],[Date]],database!A:B,2,)</f>
        <v/>
      </c>
      <c r="C71" s="66">
        <f>B71/B70-1</f>
        <v/>
      </c>
      <c r="D71" s="66">
        <f>(Table1[[#This Row],[Index]]-B59)/B59</f>
        <v/>
      </c>
    </row>
    <row r="72">
      <c r="A72" s="17" t="n">
        <v>28277</v>
      </c>
      <c r="B72" s="58">
        <f>VLOOKUP(Table1[[#This Row],[Date]],database!A:B,2,)</f>
        <v/>
      </c>
      <c r="C72" s="66">
        <f>B72/B71-1</f>
        <v/>
      </c>
      <c r="D72" s="66">
        <f>(Table1[[#This Row],[Index]]-B60)/B60</f>
        <v/>
      </c>
    </row>
    <row r="73">
      <c r="A73" s="17" t="n">
        <v>28307</v>
      </c>
      <c r="B73" s="58">
        <f>VLOOKUP(Table1[[#This Row],[Date]],database!A:B,2,)</f>
        <v/>
      </c>
      <c r="C73" s="66">
        <f>B73/B72-1</f>
        <v/>
      </c>
      <c r="D73" s="66">
        <f>(Table1[[#This Row],[Index]]-B61)/B61</f>
        <v/>
      </c>
    </row>
    <row r="74">
      <c r="A74" s="17" t="n">
        <v>28338</v>
      </c>
      <c r="B74" s="58">
        <f>VLOOKUP(Table1[[#This Row],[Date]],database!A:B,2,)</f>
        <v/>
      </c>
      <c r="C74" s="66">
        <f>B74/B73-1</f>
        <v/>
      </c>
      <c r="D74" s="66">
        <f>(Table1[[#This Row],[Index]]-B62)/B62</f>
        <v/>
      </c>
    </row>
    <row r="75">
      <c r="A75" s="17" t="n">
        <v>28369</v>
      </c>
      <c r="B75" s="58">
        <f>VLOOKUP(Table1[[#This Row],[Date]],database!A:B,2,)</f>
        <v/>
      </c>
      <c r="C75" s="66">
        <f>B75/B74-1</f>
        <v/>
      </c>
      <c r="D75" s="66">
        <f>(Table1[[#This Row],[Index]]-B63)/B63</f>
        <v/>
      </c>
    </row>
    <row r="76">
      <c r="A76" s="17" t="n">
        <v>28399</v>
      </c>
      <c r="B76" s="58">
        <f>VLOOKUP(Table1[[#This Row],[Date]],database!A:B,2,)</f>
        <v/>
      </c>
      <c r="C76" s="66">
        <f>B76/B75-1</f>
        <v/>
      </c>
      <c r="D76" s="66">
        <f>(Table1[[#This Row],[Index]]-B64)/B64</f>
        <v/>
      </c>
    </row>
    <row r="77">
      <c r="A77" s="17" t="n">
        <v>28430</v>
      </c>
      <c r="B77" s="58">
        <f>VLOOKUP(Table1[[#This Row],[Date]],database!A:B,2,)</f>
        <v/>
      </c>
      <c r="C77" s="66">
        <f>B77/B76-1</f>
        <v/>
      </c>
      <c r="D77" s="66">
        <f>(Table1[[#This Row],[Index]]-B65)/B65</f>
        <v/>
      </c>
    </row>
    <row r="78">
      <c r="A78" s="17" t="n">
        <v>28460</v>
      </c>
      <c r="B78" s="58">
        <f>VLOOKUP(Table1[[#This Row],[Date]],database!A:B,2,)</f>
        <v/>
      </c>
      <c r="C78" s="66">
        <f>B78/B77-1</f>
        <v/>
      </c>
      <c r="D78" s="66">
        <f>(Table1[[#This Row],[Index]]-B66)/B66</f>
        <v/>
      </c>
    </row>
    <row r="79">
      <c r="A79" s="17" t="n">
        <v>28491</v>
      </c>
      <c r="B79" s="58">
        <f>VLOOKUP(Table1[[#This Row],[Date]],database!A:B,2,)</f>
        <v/>
      </c>
      <c r="C79" s="66">
        <f>B79/B78-1</f>
        <v/>
      </c>
      <c r="D79" s="66">
        <f>(Table1[[#This Row],[Index]]-B67)/B67</f>
        <v/>
      </c>
    </row>
    <row r="80">
      <c r="A80" s="17" t="n">
        <v>28522</v>
      </c>
      <c r="B80" s="58">
        <f>VLOOKUP(Table1[[#This Row],[Date]],database!A:B,2,)</f>
        <v/>
      </c>
      <c r="C80" s="66">
        <f>B80/B79-1</f>
        <v/>
      </c>
      <c r="D80" s="66">
        <f>(Table1[[#This Row],[Index]]-B68)/B68</f>
        <v/>
      </c>
    </row>
    <row r="81">
      <c r="A81" s="17" t="n">
        <v>28550</v>
      </c>
      <c r="B81" s="58">
        <f>VLOOKUP(Table1[[#This Row],[Date]],database!A:B,2,)</f>
        <v/>
      </c>
      <c r="C81" s="66">
        <f>B81/B80-1</f>
        <v/>
      </c>
      <c r="D81" s="66">
        <f>(Table1[[#This Row],[Index]]-B69)/B69</f>
        <v/>
      </c>
    </row>
    <row r="82">
      <c r="A82" s="17" t="n">
        <v>28581</v>
      </c>
      <c r="B82" s="58">
        <f>VLOOKUP(Table1[[#This Row],[Date]],database!A:B,2,)</f>
        <v/>
      </c>
      <c r="C82" s="66">
        <f>B82/B81-1</f>
        <v/>
      </c>
      <c r="D82" s="66">
        <f>(Table1[[#This Row],[Index]]-B70)/B70</f>
        <v/>
      </c>
    </row>
    <row r="83">
      <c r="A83" s="17" t="n">
        <v>28611</v>
      </c>
      <c r="B83" s="58">
        <f>VLOOKUP(Table1[[#This Row],[Date]],database!A:B,2,)</f>
        <v/>
      </c>
      <c r="C83" s="66">
        <f>B83/B82-1</f>
        <v/>
      </c>
      <c r="D83" s="66">
        <f>(Table1[[#This Row],[Index]]-B71)/B71</f>
        <v/>
      </c>
    </row>
    <row r="84">
      <c r="A84" s="17" t="n">
        <v>28642</v>
      </c>
      <c r="B84" s="58">
        <f>VLOOKUP(Table1[[#This Row],[Date]],database!A:B,2,)</f>
        <v/>
      </c>
      <c r="C84" s="66">
        <f>B84/B83-1</f>
        <v/>
      </c>
      <c r="D84" s="66">
        <f>(Table1[[#This Row],[Index]]-B72)/B72</f>
        <v/>
      </c>
    </row>
    <row r="85">
      <c r="A85" s="17" t="n">
        <v>28672</v>
      </c>
      <c r="B85" s="58">
        <f>VLOOKUP(Table1[[#This Row],[Date]],database!A:B,2,)</f>
        <v/>
      </c>
      <c r="C85" s="66">
        <f>B85/B84-1</f>
        <v/>
      </c>
      <c r="D85" s="66">
        <f>(Table1[[#This Row],[Index]]-B73)/B73</f>
        <v/>
      </c>
    </row>
    <row r="86">
      <c r="A86" s="17" t="n">
        <v>28703</v>
      </c>
      <c r="B86" s="58">
        <f>VLOOKUP(Table1[[#This Row],[Date]],database!A:B,2,)</f>
        <v/>
      </c>
      <c r="C86" s="66">
        <f>B86/B85-1</f>
        <v/>
      </c>
      <c r="D86" s="66">
        <f>(Table1[[#This Row],[Index]]-B74)/B74</f>
        <v/>
      </c>
    </row>
    <row r="87">
      <c r="A87" s="17" t="n">
        <v>28734</v>
      </c>
      <c r="B87" s="58">
        <f>VLOOKUP(Table1[[#This Row],[Date]],database!A:B,2,)</f>
        <v/>
      </c>
      <c r="C87" s="66">
        <f>B87/B86-1</f>
        <v/>
      </c>
      <c r="D87" s="66">
        <f>(Table1[[#This Row],[Index]]-B75)/B75</f>
        <v/>
      </c>
    </row>
    <row r="88">
      <c r="A88" s="17" t="n">
        <v>28764</v>
      </c>
      <c r="B88" s="58">
        <f>VLOOKUP(Table1[[#This Row],[Date]],database!A:B,2,)</f>
        <v/>
      </c>
      <c r="C88" s="66">
        <f>B88/B87-1</f>
        <v/>
      </c>
      <c r="D88" s="66">
        <f>(Table1[[#This Row],[Index]]-B76)/B76</f>
        <v/>
      </c>
    </row>
    <row r="89">
      <c r="A89" s="17" t="n">
        <v>28795</v>
      </c>
      <c r="B89" s="58">
        <f>VLOOKUP(Table1[[#This Row],[Date]],database!A:B,2,)</f>
        <v/>
      </c>
      <c r="C89" s="66">
        <f>B89/B88-1</f>
        <v/>
      </c>
      <c r="D89" s="66">
        <f>(Table1[[#This Row],[Index]]-B77)/B77</f>
        <v/>
      </c>
    </row>
    <row r="90">
      <c r="A90" s="17" t="n">
        <v>28825</v>
      </c>
      <c r="B90" s="58">
        <f>VLOOKUP(Table1[[#This Row],[Date]],database!A:B,2,)</f>
        <v/>
      </c>
      <c r="C90" s="66">
        <f>B90/B89-1</f>
        <v/>
      </c>
      <c r="D90" s="66">
        <f>(Table1[[#This Row],[Index]]-B78)/B78</f>
        <v/>
      </c>
    </row>
    <row r="91">
      <c r="A91" s="17" t="n">
        <v>28856</v>
      </c>
      <c r="B91" s="58">
        <f>VLOOKUP(Table1[[#This Row],[Date]],database!A:B,2,)</f>
        <v/>
      </c>
      <c r="C91" s="66">
        <f>B91/B90-1</f>
        <v/>
      </c>
      <c r="D91" s="66">
        <f>(Table1[[#This Row],[Index]]-B79)/B79</f>
        <v/>
      </c>
    </row>
    <row r="92">
      <c r="A92" s="17" t="n">
        <v>28887</v>
      </c>
      <c r="B92" s="58">
        <f>VLOOKUP(Table1[[#This Row],[Date]],database!A:B,2,)</f>
        <v/>
      </c>
      <c r="C92" s="66">
        <f>B92/B91-1</f>
        <v/>
      </c>
      <c r="D92" s="66">
        <f>(Table1[[#This Row],[Index]]-B80)/B80</f>
        <v/>
      </c>
    </row>
    <row r="93">
      <c r="A93" s="17" t="n">
        <v>28915</v>
      </c>
      <c r="B93" s="58">
        <f>VLOOKUP(Table1[[#This Row],[Date]],database!A:B,2,)</f>
        <v/>
      </c>
      <c r="C93" s="66">
        <f>B93/B92-1</f>
        <v/>
      </c>
      <c r="D93" s="66">
        <f>(Table1[[#This Row],[Index]]-B81)/B81</f>
        <v/>
      </c>
    </row>
    <row r="94">
      <c r="A94" s="17" t="n">
        <v>28946</v>
      </c>
      <c r="B94" s="58">
        <f>VLOOKUP(Table1[[#This Row],[Date]],database!A:B,2,)</f>
        <v/>
      </c>
      <c r="C94" s="66">
        <f>B94/B93-1</f>
        <v/>
      </c>
      <c r="D94" s="66">
        <f>(Table1[[#This Row],[Index]]-B82)/B82</f>
        <v/>
      </c>
    </row>
    <row r="95">
      <c r="A95" s="17" t="n">
        <v>28976</v>
      </c>
      <c r="B95" s="58">
        <f>VLOOKUP(Table1[[#This Row],[Date]],database!A:B,2,)</f>
        <v/>
      </c>
      <c r="C95" s="66">
        <f>B95/B94-1</f>
        <v/>
      </c>
      <c r="D95" s="66">
        <f>(Table1[[#This Row],[Index]]-B83)/B83</f>
        <v/>
      </c>
    </row>
    <row r="96">
      <c r="A96" s="17" t="n">
        <v>29007</v>
      </c>
      <c r="B96" s="58">
        <f>VLOOKUP(Table1[[#This Row],[Date]],database!A:B,2,)</f>
        <v/>
      </c>
      <c r="C96" s="66">
        <f>B96/B95-1</f>
        <v/>
      </c>
      <c r="D96" s="66">
        <f>(Table1[[#This Row],[Index]]-B84)/B84</f>
        <v/>
      </c>
    </row>
    <row r="97">
      <c r="A97" s="17" t="n">
        <v>29037</v>
      </c>
      <c r="B97" s="58">
        <f>VLOOKUP(Table1[[#This Row],[Date]],database!A:B,2,)</f>
        <v/>
      </c>
      <c r="C97" s="66">
        <f>B97/B96-1</f>
        <v/>
      </c>
      <c r="D97" s="66">
        <f>(Table1[[#This Row],[Index]]-B85)/B85</f>
        <v/>
      </c>
    </row>
    <row r="98">
      <c r="A98" s="17" t="n">
        <v>29068</v>
      </c>
      <c r="B98" s="58">
        <f>VLOOKUP(Table1[[#This Row],[Date]],database!A:B,2,)</f>
        <v/>
      </c>
      <c r="C98" s="66">
        <f>B98/B97-1</f>
        <v/>
      </c>
      <c r="D98" s="66">
        <f>(Table1[[#This Row],[Index]]-B86)/B86</f>
        <v/>
      </c>
    </row>
    <row r="99">
      <c r="A99" s="17" t="n">
        <v>29099</v>
      </c>
      <c r="B99" s="58">
        <f>VLOOKUP(Table1[[#This Row],[Date]],database!A:B,2,)</f>
        <v/>
      </c>
      <c r="C99" s="66">
        <f>B99/B98-1</f>
        <v/>
      </c>
      <c r="D99" s="66">
        <f>(Table1[[#This Row],[Index]]-B87)/B87</f>
        <v/>
      </c>
    </row>
    <row r="100">
      <c r="A100" s="17" t="n">
        <v>29129</v>
      </c>
      <c r="B100" s="58">
        <f>VLOOKUP(Table1[[#This Row],[Date]],database!A:B,2,)</f>
        <v/>
      </c>
      <c r="C100" s="66">
        <f>B100/B99-1</f>
        <v/>
      </c>
      <c r="D100" s="66">
        <f>(Table1[[#This Row],[Index]]-B88)/B88</f>
        <v/>
      </c>
    </row>
    <row r="101">
      <c r="A101" s="17" t="n">
        <v>29160</v>
      </c>
      <c r="B101" s="58">
        <f>VLOOKUP(Table1[[#This Row],[Date]],database!A:B,2,)</f>
        <v/>
      </c>
      <c r="C101" s="66">
        <f>B101/B100-1</f>
        <v/>
      </c>
      <c r="D101" s="66">
        <f>(Table1[[#This Row],[Index]]-B89)/B89</f>
        <v/>
      </c>
    </row>
    <row r="102">
      <c r="A102" s="17" t="n">
        <v>29190</v>
      </c>
      <c r="B102" s="58">
        <f>VLOOKUP(Table1[[#This Row],[Date]],database!A:B,2,)</f>
        <v/>
      </c>
      <c r="C102" s="66">
        <f>B102/B101-1</f>
        <v/>
      </c>
      <c r="D102" s="66">
        <f>(Table1[[#This Row],[Index]]-B90)/B90</f>
        <v/>
      </c>
    </row>
    <row r="103">
      <c r="A103" s="17" t="n">
        <v>29221</v>
      </c>
      <c r="B103" s="58">
        <f>VLOOKUP(Table1[[#This Row],[Date]],database!A:B,2,)</f>
        <v/>
      </c>
      <c r="C103" s="66">
        <f>B103/B102-1</f>
        <v/>
      </c>
      <c r="D103" s="66">
        <f>(Table1[[#This Row],[Index]]-B91)/B91</f>
        <v/>
      </c>
    </row>
    <row r="104">
      <c r="A104" s="17" t="n">
        <v>29252</v>
      </c>
      <c r="B104" s="58">
        <f>VLOOKUP(Table1[[#This Row],[Date]],database!A:B,2,)</f>
        <v/>
      </c>
      <c r="C104" s="66">
        <f>B104/B103-1</f>
        <v/>
      </c>
      <c r="D104" s="66">
        <f>(Table1[[#This Row],[Index]]-B92)/B92</f>
        <v/>
      </c>
    </row>
    <row r="105">
      <c r="A105" s="17" t="n">
        <v>29281</v>
      </c>
      <c r="B105" s="58">
        <f>VLOOKUP(Table1[[#This Row],[Date]],database!A:B,2,)</f>
        <v/>
      </c>
      <c r="C105" s="66">
        <f>B105/B104-1</f>
        <v/>
      </c>
      <c r="D105" s="66">
        <f>(Table1[[#This Row],[Index]]-B93)/B93</f>
        <v/>
      </c>
    </row>
    <row r="106">
      <c r="A106" s="17" t="n">
        <v>29312</v>
      </c>
      <c r="B106" s="58">
        <f>VLOOKUP(Table1[[#This Row],[Date]],database!A:B,2,)</f>
        <v/>
      </c>
      <c r="C106" s="66">
        <f>B106/B105-1</f>
        <v/>
      </c>
      <c r="D106" s="66">
        <f>(Table1[[#This Row],[Index]]-B94)/B94</f>
        <v/>
      </c>
    </row>
    <row r="107">
      <c r="A107" s="17" t="n">
        <v>29342</v>
      </c>
      <c r="B107" s="58">
        <f>VLOOKUP(Table1[[#This Row],[Date]],database!A:B,2,)</f>
        <v/>
      </c>
      <c r="C107" s="66">
        <f>B107/B106-1</f>
        <v/>
      </c>
      <c r="D107" s="66">
        <f>(Table1[[#This Row],[Index]]-B95)/B95</f>
        <v/>
      </c>
    </row>
    <row r="108">
      <c r="A108" s="17" t="n">
        <v>29373</v>
      </c>
      <c r="B108" s="58">
        <f>VLOOKUP(Table1[[#This Row],[Date]],database!A:B,2,)</f>
        <v/>
      </c>
      <c r="C108" s="66">
        <f>B108/B107-1</f>
        <v/>
      </c>
      <c r="D108" s="66">
        <f>(Table1[[#This Row],[Index]]-B96)/B96</f>
        <v/>
      </c>
    </row>
    <row r="109">
      <c r="A109" s="17" t="n">
        <v>29403</v>
      </c>
      <c r="B109" s="58">
        <f>VLOOKUP(Table1[[#This Row],[Date]],database!A:B,2,)</f>
        <v/>
      </c>
      <c r="C109" s="66">
        <f>B109/B108-1</f>
        <v/>
      </c>
      <c r="D109" s="66">
        <f>(Table1[[#This Row],[Index]]-B97)/B97</f>
        <v/>
      </c>
    </row>
    <row r="110">
      <c r="A110" s="17" t="n">
        <v>29434</v>
      </c>
      <c r="B110" s="58">
        <f>VLOOKUP(Table1[[#This Row],[Date]],database!A:B,2,)</f>
        <v/>
      </c>
      <c r="C110" s="66">
        <f>B110/B109-1</f>
        <v/>
      </c>
      <c r="D110" s="66">
        <f>(Table1[[#This Row],[Index]]-B98)/B98</f>
        <v/>
      </c>
    </row>
    <row r="111">
      <c r="A111" s="17" t="n">
        <v>29465</v>
      </c>
      <c r="B111" s="58">
        <f>VLOOKUP(Table1[[#This Row],[Date]],database!A:B,2,)</f>
        <v/>
      </c>
      <c r="C111" s="66">
        <f>B111/B110-1</f>
        <v/>
      </c>
      <c r="D111" s="66">
        <f>(Table1[[#This Row],[Index]]-B99)/B99</f>
        <v/>
      </c>
    </row>
    <row r="112">
      <c r="A112" s="17" t="n">
        <v>29495</v>
      </c>
      <c r="B112" s="58">
        <f>VLOOKUP(Table1[[#This Row],[Date]],database!A:B,2,)</f>
        <v/>
      </c>
      <c r="C112" s="66">
        <f>B112/B111-1</f>
        <v/>
      </c>
      <c r="D112" s="66">
        <f>(Table1[[#This Row],[Index]]-B100)/B100</f>
        <v/>
      </c>
    </row>
    <row r="113">
      <c r="A113" s="17" t="n">
        <v>29526</v>
      </c>
      <c r="B113" s="58">
        <f>VLOOKUP(Table1[[#This Row],[Date]],database!A:B,2,)</f>
        <v/>
      </c>
      <c r="C113" s="66">
        <f>B113/B112-1</f>
        <v/>
      </c>
      <c r="D113" s="66">
        <f>(Table1[[#This Row],[Index]]-B101)/B101</f>
        <v/>
      </c>
    </row>
    <row r="114">
      <c r="A114" s="17" t="n">
        <v>29556</v>
      </c>
      <c r="B114" s="58">
        <f>VLOOKUP(Table1[[#This Row],[Date]],database!A:B,2,)</f>
        <v/>
      </c>
      <c r="C114" s="66">
        <f>B114/B113-1</f>
        <v/>
      </c>
      <c r="D114" s="66">
        <f>(Table1[[#This Row],[Index]]-B102)/B102</f>
        <v/>
      </c>
    </row>
    <row r="115">
      <c r="A115" s="17" t="n">
        <v>29587</v>
      </c>
      <c r="B115" s="58">
        <f>VLOOKUP(Table1[[#This Row],[Date]],database!A:B,2,)</f>
        <v/>
      </c>
      <c r="C115" s="66">
        <f>B115/B114-1</f>
        <v/>
      </c>
      <c r="D115" s="66">
        <f>(Table1[[#This Row],[Index]]-B103)/B103</f>
        <v/>
      </c>
    </row>
    <row r="116">
      <c r="A116" s="17" t="n">
        <v>29618</v>
      </c>
      <c r="B116" s="58">
        <f>VLOOKUP(Table1[[#This Row],[Date]],database!A:B,2,)</f>
        <v/>
      </c>
      <c r="C116" s="66">
        <f>B116/B115-1</f>
        <v/>
      </c>
      <c r="D116" s="66">
        <f>(Table1[[#This Row],[Index]]-B104)/B104</f>
        <v/>
      </c>
    </row>
    <row r="117">
      <c r="A117" s="17" t="n">
        <v>29646</v>
      </c>
      <c r="B117" s="58">
        <f>VLOOKUP(Table1[[#This Row],[Date]],database!A:B,2,)</f>
        <v/>
      </c>
      <c r="C117" s="66">
        <f>B117/B116-1</f>
        <v/>
      </c>
      <c r="D117" s="66">
        <f>(Table1[[#This Row],[Index]]-B105)/B105</f>
        <v/>
      </c>
    </row>
    <row r="118">
      <c r="A118" s="17" t="n">
        <v>29677</v>
      </c>
      <c r="B118" s="58">
        <f>VLOOKUP(Table1[[#This Row],[Date]],database!A:B,2,)</f>
        <v/>
      </c>
      <c r="C118" s="66">
        <f>B118/B117-1</f>
        <v/>
      </c>
      <c r="D118" s="66">
        <f>(Table1[[#This Row],[Index]]-B106)/B106</f>
        <v/>
      </c>
    </row>
    <row r="119">
      <c r="A119" s="17" t="n">
        <v>29707</v>
      </c>
      <c r="B119" s="58">
        <f>VLOOKUP(Table1[[#This Row],[Date]],database!A:B,2,)</f>
        <v/>
      </c>
      <c r="C119" s="66">
        <f>B119/B118-1</f>
        <v/>
      </c>
      <c r="D119" s="66">
        <f>(Table1[[#This Row],[Index]]-B107)/B107</f>
        <v/>
      </c>
    </row>
    <row r="120">
      <c r="A120" s="17" t="n">
        <v>29738</v>
      </c>
      <c r="B120" s="58">
        <f>VLOOKUP(Table1[[#This Row],[Date]],database!A:B,2,)</f>
        <v/>
      </c>
      <c r="C120" s="66">
        <f>B120/B119-1</f>
        <v/>
      </c>
      <c r="D120" s="66">
        <f>(Table1[[#This Row],[Index]]-B108)/B108</f>
        <v/>
      </c>
    </row>
    <row r="121">
      <c r="A121" s="17" t="n">
        <v>29768</v>
      </c>
      <c r="B121" s="58">
        <f>VLOOKUP(Table1[[#This Row],[Date]],database!A:B,2,)</f>
        <v/>
      </c>
      <c r="C121" s="66">
        <f>B121/B120-1</f>
        <v/>
      </c>
      <c r="D121" s="66">
        <f>(Table1[[#This Row],[Index]]-B109)/B109</f>
        <v/>
      </c>
    </row>
    <row r="122">
      <c r="A122" s="17" t="n">
        <v>29799</v>
      </c>
      <c r="B122" s="58">
        <f>VLOOKUP(Table1[[#This Row],[Date]],database!A:B,2,)</f>
        <v/>
      </c>
      <c r="C122" s="66">
        <f>B122/B121-1</f>
        <v/>
      </c>
      <c r="D122" s="66">
        <f>(Table1[[#This Row],[Index]]-B110)/B110</f>
        <v/>
      </c>
    </row>
    <row r="123">
      <c r="A123" s="17" t="n">
        <v>29830</v>
      </c>
      <c r="B123" s="58">
        <f>VLOOKUP(Table1[[#This Row],[Date]],database!A:B,2,)</f>
        <v/>
      </c>
      <c r="C123" s="66">
        <f>B123/B122-1</f>
        <v/>
      </c>
      <c r="D123" s="66">
        <f>(Table1[[#This Row],[Index]]-B111)/B111</f>
        <v/>
      </c>
    </row>
    <row r="124">
      <c r="A124" s="17" t="n">
        <v>29860</v>
      </c>
      <c r="B124" s="58">
        <f>VLOOKUP(Table1[[#This Row],[Date]],database!A:B,2,)</f>
        <v/>
      </c>
      <c r="C124" s="66">
        <f>B124/B123-1</f>
        <v/>
      </c>
      <c r="D124" s="66">
        <f>(Table1[[#This Row],[Index]]-B112)/B112</f>
        <v/>
      </c>
    </row>
    <row r="125">
      <c r="A125" s="17" t="n">
        <v>29891</v>
      </c>
      <c r="B125" s="58">
        <f>VLOOKUP(Table1[[#This Row],[Date]],database!A:B,2,)</f>
        <v/>
      </c>
      <c r="C125" s="66">
        <f>B125/B124-1</f>
        <v/>
      </c>
      <c r="D125" s="66">
        <f>(Table1[[#This Row],[Index]]-B113)/B113</f>
        <v/>
      </c>
    </row>
    <row r="126">
      <c r="A126" s="17" t="n">
        <v>29921</v>
      </c>
      <c r="B126" s="58">
        <f>VLOOKUP(Table1[[#This Row],[Date]],database!A:B,2,)</f>
        <v/>
      </c>
      <c r="C126" s="66">
        <f>B126/B125-1</f>
        <v/>
      </c>
      <c r="D126" s="66">
        <f>(Table1[[#This Row],[Index]]-B114)/B114</f>
        <v/>
      </c>
    </row>
    <row r="127">
      <c r="A127" s="17" t="n">
        <v>29952</v>
      </c>
      <c r="B127" s="58">
        <f>VLOOKUP(Table1[[#This Row],[Date]],database!A:B,2,)</f>
        <v/>
      </c>
      <c r="C127" s="66">
        <f>B127/B126-1</f>
        <v/>
      </c>
      <c r="D127" s="66">
        <f>(Table1[[#This Row],[Index]]-B115)/B115</f>
        <v/>
      </c>
    </row>
    <row r="128">
      <c r="A128" s="17" t="n">
        <v>29983</v>
      </c>
      <c r="B128" s="58">
        <f>VLOOKUP(Table1[[#This Row],[Date]],database!A:B,2,)</f>
        <v/>
      </c>
      <c r="C128" s="66">
        <f>B128/B127-1</f>
        <v/>
      </c>
      <c r="D128" s="66">
        <f>(Table1[[#This Row],[Index]]-B116)/B116</f>
        <v/>
      </c>
    </row>
    <row r="129">
      <c r="A129" s="17" t="n">
        <v>30011</v>
      </c>
      <c r="B129" s="58">
        <f>VLOOKUP(Table1[[#This Row],[Date]],database!A:B,2,)</f>
        <v/>
      </c>
      <c r="C129" s="66">
        <f>B129/B128-1</f>
        <v/>
      </c>
      <c r="D129" s="66">
        <f>(Table1[[#This Row],[Index]]-B117)/B117</f>
        <v/>
      </c>
    </row>
    <row r="130">
      <c r="A130" s="17" t="n">
        <v>30042</v>
      </c>
      <c r="B130" s="58">
        <f>VLOOKUP(Table1[[#This Row],[Date]],database!A:B,2,)</f>
        <v/>
      </c>
      <c r="C130" s="66">
        <f>B130/B129-1</f>
        <v/>
      </c>
      <c r="D130" s="66">
        <f>(Table1[[#This Row],[Index]]-B118)/B118</f>
        <v/>
      </c>
    </row>
    <row r="131">
      <c r="A131" s="17" t="n">
        <v>30072</v>
      </c>
      <c r="B131" s="58">
        <f>VLOOKUP(Table1[[#This Row],[Date]],database!A:B,2,)</f>
        <v/>
      </c>
      <c r="C131" s="66">
        <f>B131/B130-1</f>
        <v/>
      </c>
      <c r="D131" s="66">
        <f>(Table1[[#This Row],[Index]]-B119)/B119</f>
        <v/>
      </c>
    </row>
    <row r="132">
      <c r="A132" s="17" t="n">
        <v>30103</v>
      </c>
      <c r="B132" s="58">
        <f>VLOOKUP(Table1[[#This Row],[Date]],database!A:B,2,)</f>
        <v/>
      </c>
      <c r="C132" s="66">
        <f>B132/B131-1</f>
        <v/>
      </c>
      <c r="D132" s="66">
        <f>(Table1[[#This Row],[Index]]-B120)/B120</f>
        <v/>
      </c>
    </row>
    <row r="133">
      <c r="A133" s="17" t="n">
        <v>30133</v>
      </c>
      <c r="B133" s="58">
        <f>VLOOKUP(Table1[[#This Row],[Date]],database!A:B,2,)</f>
        <v/>
      </c>
      <c r="C133" s="66">
        <f>B133/B132-1</f>
        <v/>
      </c>
      <c r="D133" s="66">
        <f>(Table1[[#This Row],[Index]]-B121)/B121</f>
        <v/>
      </c>
    </row>
    <row r="134">
      <c r="A134" s="17" t="n">
        <v>30164</v>
      </c>
      <c r="B134" s="58">
        <f>VLOOKUP(Table1[[#This Row],[Date]],database!A:B,2,)</f>
        <v/>
      </c>
      <c r="C134" s="66">
        <f>B134/B133-1</f>
        <v/>
      </c>
      <c r="D134" s="66">
        <f>(Table1[[#This Row],[Index]]-B122)/B122</f>
        <v/>
      </c>
    </row>
    <row r="135">
      <c r="A135" s="17" t="n">
        <v>30195</v>
      </c>
      <c r="B135" s="58">
        <f>VLOOKUP(Table1[[#This Row],[Date]],database!A:B,2,)</f>
        <v/>
      </c>
      <c r="C135" s="66">
        <f>B135/B134-1</f>
        <v/>
      </c>
      <c r="D135" s="66">
        <f>(Table1[[#This Row],[Index]]-B123)/B123</f>
        <v/>
      </c>
    </row>
    <row r="136">
      <c r="A136" s="17" t="n">
        <v>30225</v>
      </c>
      <c r="B136" s="58">
        <f>VLOOKUP(Table1[[#This Row],[Date]],database!A:B,2,)</f>
        <v/>
      </c>
      <c r="C136" s="66">
        <f>B136/B135-1</f>
        <v/>
      </c>
      <c r="D136" s="66">
        <f>(Table1[[#This Row],[Index]]-B124)/B124</f>
        <v/>
      </c>
    </row>
    <row r="137">
      <c r="A137" s="17" t="n">
        <v>30256</v>
      </c>
      <c r="B137" s="58">
        <f>VLOOKUP(Table1[[#This Row],[Date]],database!A:B,2,)</f>
        <v/>
      </c>
      <c r="C137" s="66">
        <f>B137/B136-1</f>
        <v/>
      </c>
      <c r="D137" s="66">
        <f>(Table1[[#This Row],[Index]]-B125)/B125</f>
        <v/>
      </c>
    </row>
    <row r="138">
      <c r="A138" s="17" t="n">
        <v>30286</v>
      </c>
      <c r="B138" s="58">
        <f>VLOOKUP(Table1[[#This Row],[Date]],database!A:B,2,)</f>
        <v/>
      </c>
      <c r="C138" s="66">
        <f>B138/B137-1</f>
        <v/>
      </c>
      <c r="D138" s="66">
        <f>(Table1[[#This Row],[Index]]-B126)/B126</f>
        <v/>
      </c>
    </row>
    <row r="139">
      <c r="A139" s="17" t="n">
        <v>30317</v>
      </c>
      <c r="B139" s="58">
        <f>VLOOKUP(Table1[[#This Row],[Date]],database!A:B,2,)</f>
        <v/>
      </c>
      <c r="C139" s="66">
        <f>B139/B138-1</f>
        <v/>
      </c>
      <c r="D139" s="66">
        <f>(Table1[[#This Row],[Index]]-B127)/B127</f>
        <v/>
      </c>
    </row>
    <row r="140">
      <c r="A140" s="17" t="n">
        <v>30348</v>
      </c>
      <c r="B140" s="58">
        <f>VLOOKUP(Table1[[#This Row],[Date]],database!A:B,2,)</f>
        <v/>
      </c>
      <c r="C140" s="66">
        <f>B140/B139-1</f>
        <v/>
      </c>
      <c r="D140" s="66">
        <f>(Table1[[#This Row],[Index]]-B128)/B128</f>
        <v/>
      </c>
    </row>
    <row r="141">
      <c r="A141" s="17" t="n">
        <v>30376</v>
      </c>
      <c r="B141" s="58">
        <f>VLOOKUP(Table1[[#This Row],[Date]],database!A:B,2,)</f>
        <v/>
      </c>
      <c r="C141" s="66">
        <f>B141/B140-1</f>
        <v/>
      </c>
      <c r="D141" s="66">
        <f>(Table1[[#This Row],[Index]]-B129)/B129</f>
        <v/>
      </c>
    </row>
    <row r="142">
      <c r="A142" s="17" t="n">
        <v>30407</v>
      </c>
      <c r="B142" s="58">
        <f>VLOOKUP(Table1[[#This Row],[Date]],database!A:B,2,)</f>
        <v/>
      </c>
      <c r="C142" s="66">
        <f>B142/B141-1</f>
        <v/>
      </c>
      <c r="D142" s="66">
        <f>(Table1[[#This Row],[Index]]-B130)/B130</f>
        <v/>
      </c>
    </row>
    <row r="143">
      <c r="A143" s="17" t="n">
        <v>30437</v>
      </c>
      <c r="B143" s="58">
        <f>VLOOKUP(Table1[[#This Row],[Date]],database!A:B,2,)</f>
        <v/>
      </c>
      <c r="C143" s="66">
        <f>B143/B142-1</f>
        <v/>
      </c>
      <c r="D143" s="66">
        <f>(Table1[[#This Row],[Index]]-B131)/B131</f>
        <v/>
      </c>
    </row>
    <row r="144">
      <c r="A144" s="17" t="n">
        <v>30468</v>
      </c>
      <c r="B144" s="58">
        <f>VLOOKUP(Table1[[#This Row],[Date]],database!A:B,2,)</f>
        <v/>
      </c>
      <c r="C144" s="66">
        <f>B144/B143-1</f>
        <v/>
      </c>
      <c r="D144" s="66">
        <f>(Table1[[#This Row],[Index]]-B132)/B132</f>
        <v/>
      </c>
    </row>
    <row r="145">
      <c r="A145" s="17" t="n">
        <v>30498</v>
      </c>
      <c r="B145" s="58">
        <f>VLOOKUP(Table1[[#This Row],[Date]],database!A:B,2,)</f>
        <v/>
      </c>
      <c r="C145" s="66">
        <f>B145/B144-1</f>
        <v/>
      </c>
      <c r="D145" s="66">
        <f>(Table1[[#This Row],[Index]]-B133)/B133</f>
        <v/>
      </c>
    </row>
    <row r="146">
      <c r="A146" s="17" t="n">
        <v>30529</v>
      </c>
      <c r="B146" s="58">
        <f>VLOOKUP(Table1[[#This Row],[Date]],database!A:B,2,)</f>
        <v/>
      </c>
      <c r="C146" s="66">
        <f>B146/B145-1</f>
        <v/>
      </c>
      <c r="D146" s="66">
        <f>(Table1[[#This Row],[Index]]-B134)/B134</f>
        <v/>
      </c>
    </row>
    <row r="147">
      <c r="A147" s="17" t="n">
        <v>30560</v>
      </c>
      <c r="B147" s="58">
        <f>VLOOKUP(Table1[[#This Row],[Date]],database!A:B,2,)</f>
        <v/>
      </c>
      <c r="C147" s="66">
        <f>B147/B146-1</f>
        <v/>
      </c>
      <c r="D147" s="66">
        <f>(Table1[[#This Row],[Index]]-B135)/B135</f>
        <v/>
      </c>
    </row>
    <row r="148">
      <c r="A148" s="17" t="n">
        <v>30590</v>
      </c>
      <c r="B148" s="58">
        <f>VLOOKUP(Table1[[#This Row],[Date]],database!A:B,2,)</f>
        <v/>
      </c>
      <c r="C148" s="66">
        <f>B148/B147-1</f>
        <v/>
      </c>
      <c r="D148" s="66">
        <f>(Table1[[#This Row],[Index]]-B136)/B136</f>
        <v/>
      </c>
    </row>
    <row r="149">
      <c r="A149" s="17" t="n">
        <v>30621</v>
      </c>
      <c r="B149" s="58">
        <f>VLOOKUP(Table1[[#This Row],[Date]],database!A:B,2,)</f>
        <v/>
      </c>
      <c r="C149" s="66">
        <f>B149/B148-1</f>
        <v/>
      </c>
      <c r="D149" s="66">
        <f>(Table1[[#This Row],[Index]]-B137)/B137</f>
        <v/>
      </c>
    </row>
    <row r="150">
      <c r="A150" s="17" t="n">
        <v>30651</v>
      </c>
      <c r="B150" s="58">
        <f>VLOOKUP(Table1[[#This Row],[Date]],database!A:B,2,)</f>
        <v/>
      </c>
      <c r="C150" s="66">
        <f>B150/B149-1</f>
        <v/>
      </c>
      <c r="D150" s="66">
        <f>(Table1[[#This Row],[Index]]-B138)/B138</f>
        <v/>
      </c>
    </row>
    <row r="151">
      <c r="A151" s="17" t="n">
        <v>30682</v>
      </c>
      <c r="B151" s="58">
        <f>VLOOKUP(Table1[[#This Row],[Date]],database!A:B,2,)</f>
        <v/>
      </c>
      <c r="C151" s="66">
        <f>B151/B150-1</f>
        <v/>
      </c>
      <c r="D151" s="66">
        <f>(Table1[[#This Row],[Index]]-B139)/B139</f>
        <v/>
      </c>
    </row>
    <row r="152">
      <c r="A152" s="17" t="n">
        <v>30713</v>
      </c>
      <c r="B152" s="58">
        <f>VLOOKUP(Table1[[#This Row],[Date]],database!A:B,2,)</f>
        <v/>
      </c>
      <c r="C152" s="66">
        <f>B152/B151-1</f>
        <v/>
      </c>
      <c r="D152" s="66">
        <f>(Table1[[#This Row],[Index]]-B140)/B140</f>
        <v/>
      </c>
    </row>
    <row r="153">
      <c r="A153" s="17" t="n">
        <v>30742</v>
      </c>
      <c r="B153" s="58">
        <f>VLOOKUP(Table1[[#This Row],[Date]],database!A:B,2,)</f>
        <v/>
      </c>
      <c r="C153" s="66">
        <f>B153/B152-1</f>
        <v/>
      </c>
      <c r="D153" s="66">
        <f>(Table1[[#This Row],[Index]]-B141)/B141</f>
        <v/>
      </c>
    </row>
    <row r="154">
      <c r="A154" s="17" t="n">
        <v>30773</v>
      </c>
      <c r="B154" s="58">
        <f>VLOOKUP(Table1[[#This Row],[Date]],database!A:B,2,)</f>
        <v/>
      </c>
      <c r="C154" s="66">
        <f>B154/B153-1</f>
        <v/>
      </c>
      <c r="D154" s="66">
        <f>(Table1[[#This Row],[Index]]-B142)/B142</f>
        <v/>
      </c>
    </row>
    <row r="155">
      <c r="A155" s="17" t="n">
        <v>30803</v>
      </c>
      <c r="B155" s="58">
        <f>VLOOKUP(Table1[[#This Row],[Date]],database!A:B,2,)</f>
        <v/>
      </c>
      <c r="C155" s="66">
        <f>B155/B154-1</f>
        <v/>
      </c>
      <c r="D155" s="66">
        <f>(Table1[[#This Row],[Index]]-B143)/B143</f>
        <v/>
      </c>
    </row>
    <row r="156">
      <c r="A156" s="17" t="n">
        <v>30834</v>
      </c>
      <c r="B156" s="58">
        <f>VLOOKUP(Table1[[#This Row],[Date]],database!A:B,2,)</f>
        <v/>
      </c>
      <c r="C156" s="66">
        <f>B156/B155-1</f>
        <v/>
      </c>
      <c r="D156" s="66">
        <f>(Table1[[#This Row],[Index]]-B144)/B144</f>
        <v/>
      </c>
    </row>
    <row r="157">
      <c r="A157" s="17" t="n">
        <v>30864</v>
      </c>
      <c r="B157" s="58">
        <f>VLOOKUP(Table1[[#This Row],[Date]],database!A:B,2,)</f>
        <v/>
      </c>
      <c r="C157" s="66">
        <f>B157/B156-1</f>
        <v/>
      </c>
      <c r="D157" s="66">
        <f>(Table1[[#This Row],[Index]]-B145)/B145</f>
        <v/>
      </c>
    </row>
    <row r="158">
      <c r="A158" s="17" t="n">
        <v>30895</v>
      </c>
      <c r="B158" s="58">
        <f>VLOOKUP(Table1[[#This Row],[Date]],database!A:B,2,)</f>
        <v/>
      </c>
      <c r="C158" s="66">
        <f>B158/B157-1</f>
        <v/>
      </c>
      <c r="D158" s="66">
        <f>(Table1[[#This Row],[Index]]-B146)/B146</f>
        <v/>
      </c>
    </row>
    <row r="159">
      <c r="A159" s="17" t="n">
        <v>30926</v>
      </c>
      <c r="B159" s="58">
        <f>VLOOKUP(Table1[[#This Row],[Date]],database!A:B,2,)</f>
        <v/>
      </c>
      <c r="C159" s="66">
        <f>B159/B158-1</f>
        <v/>
      </c>
      <c r="D159" s="66">
        <f>(Table1[[#This Row],[Index]]-B147)/B147</f>
        <v/>
      </c>
    </row>
    <row r="160">
      <c r="A160" s="17" t="n">
        <v>30956</v>
      </c>
      <c r="B160" s="58">
        <f>VLOOKUP(Table1[[#This Row],[Date]],database!A:B,2,)</f>
        <v/>
      </c>
      <c r="C160" s="66">
        <f>B160/B159-1</f>
        <v/>
      </c>
      <c r="D160" s="66">
        <f>(Table1[[#This Row],[Index]]-B148)/B148</f>
        <v/>
      </c>
    </row>
    <row r="161">
      <c r="A161" s="17" t="n">
        <v>30987</v>
      </c>
      <c r="B161" s="58">
        <f>VLOOKUP(Table1[[#This Row],[Date]],database!A:B,2,)</f>
        <v/>
      </c>
      <c r="C161" s="66">
        <f>B161/B160-1</f>
        <v/>
      </c>
      <c r="D161" s="66">
        <f>(Table1[[#This Row],[Index]]-B149)/B149</f>
        <v/>
      </c>
    </row>
    <row r="162">
      <c r="A162" s="17" t="n">
        <v>31017</v>
      </c>
      <c r="B162" s="58">
        <f>VLOOKUP(Table1[[#This Row],[Date]],database!A:B,2,)</f>
        <v/>
      </c>
      <c r="C162" s="66">
        <f>B162/B161-1</f>
        <v/>
      </c>
      <c r="D162" s="66">
        <f>(Table1[[#This Row],[Index]]-B150)/B150</f>
        <v/>
      </c>
    </row>
    <row r="163">
      <c r="A163" s="17" t="n">
        <v>31048</v>
      </c>
      <c r="B163" s="58">
        <f>VLOOKUP(Table1[[#This Row],[Date]],database!A:B,2,)</f>
        <v/>
      </c>
      <c r="C163" s="66">
        <f>B163/B162-1</f>
        <v/>
      </c>
      <c r="D163" s="66">
        <f>(Table1[[#This Row],[Index]]-B151)/B151</f>
        <v/>
      </c>
    </row>
    <row r="164">
      <c r="A164" s="17" t="n">
        <v>31079</v>
      </c>
      <c r="B164" s="58">
        <f>VLOOKUP(Table1[[#This Row],[Date]],database!A:B,2,)</f>
        <v/>
      </c>
      <c r="C164" s="66">
        <f>B164/B163-1</f>
        <v/>
      </c>
      <c r="D164" s="66">
        <f>(Table1[[#This Row],[Index]]-B152)/B152</f>
        <v/>
      </c>
    </row>
    <row r="165">
      <c r="A165" s="17" t="n">
        <v>31107</v>
      </c>
      <c r="B165" s="58">
        <f>VLOOKUP(Table1[[#This Row],[Date]],database!A:B,2,)</f>
        <v/>
      </c>
      <c r="C165" s="66">
        <f>B165/B164-1</f>
        <v/>
      </c>
      <c r="D165" s="66">
        <f>(Table1[[#This Row],[Index]]-B153)/B153</f>
        <v/>
      </c>
    </row>
    <row r="166">
      <c r="A166" s="17" t="n">
        <v>31138</v>
      </c>
      <c r="B166" s="58">
        <f>VLOOKUP(Table1[[#This Row],[Date]],database!A:B,2,)</f>
        <v/>
      </c>
      <c r="C166" s="66">
        <f>B166/B165-1</f>
        <v/>
      </c>
      <c r="D166" s="66">
        <f>(Table1[[#This Row],[Index]]-B154)/B154</f>
        <v/>
      </c>
    </row>
    <row r="167">
      <c r="A167" s="17" t="n">
        <v>31168</v>
      </c>
      <c r="B167" s="58">
        <f>VLOOKUP(Table1[[#This Row],[Date]],database!A:B,2,)</f>
        <v/>
      </c>
      <c r="C167" s="66">
        <f>B167/B166-1</f>
        <v/>
      </c>
      <c r="D167" s="66">
        <f>(Table1[[#This Row],[Index]]-B155)/B155</f>
        <v/>
      </c>
    </row>
    <row r="168">
      <c r="A168" s="17" t="n">
        <v>31199</v>
      </c>
      <c r="B168" s="58">
        <f>VLOOKUP(Table1[[#This Row],[Date]],database!A:B,2,)</f>
        <v/>
      </c>
      <c r="C168" s="66">
        <f>B168/B167-1</f>
        <v/>
      </c>
      <c r="D168" s="66">
        <f>(Table1[[#This Row],[Index]]-B156)/B156</f>
        <v/>
      </c>
    </row>
    <row r="169">
      <c r="A169" s="17" t="n">
        <v>31229</v>
      </c>
      <c r="B169" s="58">
        <f>VLOOKUP(Table1[[#This Row],[Date]],database!A:B,2,)</f>
        <v/>
      </c>
      <c r="C169" s="66">
        <f>B169/B168-1</f>
        <v/>
      </c>
      <c r="D169" s="66">
        <f>(Table1[[#This Row],[Index]]-B157)/B157</f>
        <v/>
      </c>
    </row>
    <row r="170">
      <c r="A170" s="17" t="n">
        <v>31260</v>
      </c>
      <c r="B170" s="58">
        <f>VLOOKUP(Table1[[#This Row],[Date]],database!A:B,2,)</f>
        <v/>
      </c>
      <c r="C170" s="66">
        <f>B170/B169-1</f>
        <v/>
      </c>
      <c r="D170" s="66">
        <f>(Table1[[#This Row],[Index]]-B158)/B158</f>
        <v/>
      </c>
    </row>
    <row r="171">
      <c r="A171" s="17" t="n">
        <v>31291</v>
      </c>
      <c r="B171" s="58">
        <f>VLOOKUP(Table1[[#This Row],[Date]],database!A:B,2,)</f>
        <v/>
      </c>
      <c r="C171" s="66">
        <f>B171/B170-1</f>
        <v/>
      </c>
      <c r="D171" s="66">
        <f>(Table1[[#This Row],[Index]]-B159)/B159</f>
        <v/>
      </c>
    </row>
    <row r="172">
      <c r="A172" s="17" t="n">
        <v>31321</v>
      </c>
      <c r="B172" s="58">
        <f>VLOOKUP(Table1[[#This Row],[Date]],database!A:B,2,)</f>
        <v/>
      </c>
      <c r="C172" s="66">
        <f>B172/B171-1</f>
        <v/>
      </c>
      <c r="D172" s="66">
        <f>(Table1[[#This Row],[Index]]-B160)/B160</f>
        <v/>
      </c>
    </row>
    <row r="173">
      <c r="A173" s="17" t="n">
        <v>31352</v>
      </c>
      <c r="B173" s="58">
        <f>VLOOKUP(Table1[[#This Row],[Date]],database!A:B,2,)</f>
        <v/>
      </c>
      <c r="C173" s="66">
        <f>B173/B172-1</f>
        <v/>
      </c>
      <c r="D173" s="66">
        <f>(Table1[[#This Row],[Index]]-B161)/B161</f>
        <v/>
      </c>
    </row>
    <row r="174">
      <c r="A174" s="17" t="n">
        <v>31382</v>
      </c>
      <c r="B174" s="58">
        <f>VLOOKUP(Table1[[#This Row],[Date]],database!A:B,2,)</f>
        <v/>
      </c>
      <c r="C174" s="66">
        <f>B174/B173-1</f>
        <v/>
      </c>
      <c r="D174" s="66">
        <f>(Table1[[#This Row],[Index]]-B162)/B162</f>
        <v/>
      </c>
    </row>
    <row r="175">
      <c r="A175" s="17" t="n">
        <v>31413</v>
      </c>
      <c r="B175" s="58">
        <f>VLOOKUP(Table1[[#This Row],[Date]],database!A:B,2,)</f>
        <v/>
      </c>
      <c r="C175" s="66">
        <f>B175/B174-1</f>
        <v/>
      </c>
      <c r="D175" s="66">
        <f>(Table1[[#This Row],[Index]]-B163)/B163</f>
        <v/>
      </c>
    </row>
    <row r="176">
      <c r="A176" s="17" t="n">
        <v>31444</v>
      </c>
      <c r="B176" s="58">
        <f>VLOOKUP(Table1[[#This Row],[Date]],database!A:B,2,)</f>
        <v/>
      </c>
      <c r="C176" s="66">
        <f>B176/B175-1</f>
        <v/>
      </c>
      <c r="D176" s="66">
        <f>(Table1[[#This Row],[Index]]-B164)/B164</f>
        <v/>
      </c>
    </row>
    <row r="177">
      <c r="A177" s="17" t="n">
        <v>31472</v>
      </c>
      <c r="B177" s="58">
        <f>VLOOKUP(Table1[[#This Row],[Date]],database!A:B,2,)</f>
        <v/>
      </c>
      <c r="C177" s="66">
        <f>B177/B176-1</f>
        <v/>
      </c>
      <c r="D177" s="66">
        <f>(Table1[[#This Row],[Index]]-B165)/B165</f>
        <v/>
      </c>
    </row>
    <row r="178">
      <c r="A178" s="17" t="n">
        <v>31503</v>
      </c>
      <c r="B178" s="58">
        <f>VLOOKUP(Table1[[#This Row],[Date]],database!A:B,2,)</f>
        <v/>
      </c>
      <c r="C178" s="66">
        <f>B178/B177-1</f>
        <v/>
      </c>
      <c r="D178" s="66">
        <f>(Table1[[#This Row],[Index]]-B166)/B166</f>
        <v/>
      </c>
    </row>
    <row r="179">
      <c r="A179" s="17" t="n">
        <v>31533</v>
      </c>
      <c r="B179" s="58">
        <f>VLOOKUP(Table1[[#This Row],[Date]],database!A:B,2,)</f>
        <v/>
      </c>
      <c r="C179" s="66">
        <f>B179/B178-1</f>
        <v/>
      </c>
      <c r="D179" s="66">
        <f>(Table1[[#This Row],[Index]]-B167)/B167</f>
        <v/>
      </c>
    </row>
    <row r="180">
      <c r="A180" s="17" t="n">
        <v>31564</v>
      </c>
      <c r="B180" s="58">
        <f>VLOOKUP(Table1[[#This Row],[Date]],database!A:B,2,)</f>
        <v/>
      </c>
      <c r="C180" s="66">
        <f>B180/B179-1</f>
        <v/>
      </c>
      <c r="D180" s="66">
        <f>(Table1[[#This Row],[Index]]-B168)/B168</f>
        <v/>
      </c>
    </row>
    <row r="181">
      <c r="A181" s="17" t="n">
        <v>31594</v>
      </c>
      <c r="B181" s="58">
        <f>VLOOKUP(Table1[[#This Row],[Date]],database!A:B,2,)</f>
        <v/>
      </c>
      <c r="C181" s="66">
        <f>B181/B180-1</f>
        <v/>
      </c>
      <c r="D181" s="66">
        <f>(Table1[[#This Row],[Index]]-B169)/B169</f>
        <v/>
      </c>
    </row>
    <row r="182">
      <c r="A182" s="17" t="n">
        <v>31625</v>
      </c>
      <c r="B182" s="58">
        <f>VLOOKUP(Table1[[#This Row],[Date]],database!A:B,2,)</f>
        <v/>
      </c>
      <c r="C182" s="66">
        <f>B182/B181-1</f>
        <v/>
      </c>
      <c r="D182" s="66">
        <f>(Table1[[#This Row],[Index]]-B170)/B170</f>
        <v/>
      </c>
    </row>
    <row r="183">
      <c r="A183" s="17" t="n">
        <v>31656</v>
      </c>
      <c r="B183" s="58">
        <f>VLOOKUP(Table1[[#This Row],[Date]],database!A:B,2,)</f>
        <v/>
      </c>
      <c r="C183" s="66">
        <f>B183/B182-1</f>
        <v/>
      </c>
      <c r="D183" s="66">
        <f>(Table1[[#This Row],[Index]]-B171)/B171</f>
        <v/>
      </c>
    </row>
    <row r="184">
      <c r="A184" s="17" t="n">
        <v>31686</v>
      </c>
      <c r="B184" s="58">
        <f>VLOOKUP(Table1[[#This Row],[Date]],database!A:B,2,)</f>
        <v/>
      </c>
      <c r="C184" s="66">
        <f>B184/B183-1</f>
        <v/>
      </c>
      <c r="D184" s="66">
        <f>(Table1[[#This Row],[Index]]-B172)/B172</f>
        <v/>
      </c>
    </row>
    <row r="185">
      <c r="A185" s="17" t="n">
        <v>31717</v>
      </c>
      <c r="B185" s="58">
        <f>VLOOKUP(Table1[[#This Row],[Date]],database!A:B,2,)</f>
        <v/>
      </c>
      <c r="C185" s="66">
        <f>B185/B184-1</f>
        <v/>
      </c>
      <c r="D185" s="66">
        <f>(Table1[[#This Row],[Index]]-B173)/B173</f>
        <v/>
      </c>
    </row>
    <row r="186">
      <c r="A186" s="17" t="n">
        <v>31747</v>
      </c>
      <c r="B186" s="58">
        <f>VLOOKUP(Table1[[#This Row],[Date]],database!A:B,2,)</f>
        <v/>
      </c>
      <c r="C186" s="66">
        <f>B186/B185-1</f>
        <v/>
      </c>
      <c r="D186" s="66">
        <f>(Table1[[#This Row],[Index]]-B174)/B174</f>
        <v/>
      </c>
    </row>
    <row r="187">
      <c r="A187" s="17" t="n">
        <v>31778</v>
      </c>
      <c r="B187" s="58">
        <f>VLOOKUP(Table1[[#This Row],[Date]],database!A:B,2,)</f>
        <v/>
      </c>
      <c r="C187" s="66">
        <f>B187/B186-1</f>
        <v/>
      </c>
      <c r="D187" s="66">
        <f>(Table1[[#This Row],[Index]]-B175)/B175</f>
        <v/>
      </c>
    </row>
    <row r="188">
      <c r="A188" s="17" t="n">
        <v>31809</v>
      </c>
      <c r="B188" s="58">
        <f>VLOOKUP(Table1[[#This Row],[Date]],database!A:B,2,)</f>
        <v/>
      </c>
      <c r="C188" s="66">
        <f>B188/B187-1</f>
        <v/>
      </c>
      <c r="D188" s="66">
        <f>(Table1[[#This Row],[Index]]-B176)/B176</f>
        <v/>
      </c>
    </row>
    <row r="189">
      <c r="A189" s="17" t="n">
        <v>31837</v>
      </c>
      <c r="B189" s="58">
        <f>VLOOKUP(Table1[[#This Row],[Date]],database!A:B,2,)</f>
        <v/>
      </c>
      <c r="C189" s="66">
        <f>B189/B188-1</f>
        <v/>
      </c>
      <c r="D189" s="66">
        <f>(Table1[[#This Row],[Index]]-B177)/B177</f>
        <v/>
      </c>
    </row>
    <row r="190">
      <c r="A190" s="17" t="n">
        <v>31868</v>
      </c>
      <c r="B190" s="58">
        <f>VLOOKUP(Table1[[#This Row],[Date]],database!A:B,2,)</f>
        <v/>
      </c>
      <c r="C190" s="66">
        <f>B190/B189-1</f>
        <v/>
      </c>
      <c r="D190" s="66">
        <f>(Table1[[#This Row],[Index]]-B178)/B178</f>
        <v/>
      </c>
    </row>
    <row r="191">
      <c r="A191" s="17" t="n">
        <v>31898</v>
      </c>
      <c r="B191" s="58">
        <f>VLOOKUP(Table1[[#This Row],[Date]],database!A:B,2,)</f>
        <v/>
      </c>
      <c r="C191" s="66">
        <f>B191/B190-1</f>
        <v/>
      </c>
      <c r="D191" s="66">
        <f>(Table1[[#This Row],[Index]]-B179)/B179</f>
        <v/>
      </c>
    </row>
    <row r="192">
      <c r="A192" s="17" t="n">
        <v>31929</v>
      </c>
      <c r="B192" s="58">
        <f>VLOOKUP(Table1[[#This Row],[Date]],database!A:B,2,)</f>
        <v/>
      </c>
      <c r="C192" s="66">
        <f>B192/B191-1</f>
        <v/>
      </c>
      <c r="D192" s="66">
        <f>(Table1[[#This Row],[Index]]-B180)/B180</f>
        <v/>
      </c>
    </row>
    <row r="193">
      <c r="A193" s="17" t="n">
        <v>31959</v>
      </c>
      <c r="B193" s="58">
        <f>VLOOKUP(Table1[[#This Row],[Date]],database!A:B,2,)</f>
        <v/>
      </c>
      <c r="C193" s="66">
        <f>B193/B192-1</f>
        <v/>
      </c>
      <c r="D193" s="66">
        <f>(Table1[[#This Row],[Index]]-B181)/B181</f>
        <v/>
      </c>
    </row>
    <row r="194">
      <c r="A194" s="17" t="n">
        <v>31990</v>
      </c>
      <c r="B194" s="58">
        <f>VLOOKUP(Table1[[#This Row],[Date]],database!A:B,2,)</f>
        <v/>
      </c>
      <c r="C194" s="66">
        <f>B194/B193-1</f>
        <v/>
      </c>
      <c r="D194" s="66">
        <f>(Table1[[#This Row],[Index]]-B182)/B182</f>
        <v/>
      </c>
    </row>
    <row r="195">
      <c r="A195" s="17" t="n">
        <v>32021</v>
      </c>
      <c r="B195" s="58">
        <f>VLOOKUP(Table1[[#This Row],[Date]],database!A:B,2,)</f>
        <v/>
      </c>
      <c r="C195" s="66">
        <f>B195/B194-1</f>
        <v/>
      </c>
      <c r="D195" s="66">
        <f>(Table1[[#This Row],[Index]]-B183)/B183</f>
        <v/>
      </c>
    </row>
    <row r="196">
      <c r="A196" s="17" t="n">
        <v>32051</v>
      </c>
      <c r="B196" s="58">
        <f>VLOOKUP(Table1[[#This Row],[Date]],database!A:B,2,)</f>
        <v/>
      </c>
      <c r="C196" s="66">
        <f>B196/B195-1</f>
        <v/>
      </c>
      <c r="D196" s="66">
        <f>(Table1[[#This Row],[Index]]-B184)/B184</f>
        <v/>
      </c>
    </row>
    <row r="197">
      <c r="A197" s="17" t="n">
        <v>32082</v>
      </c>
      <c r="B197" s="58">
        <f>VLOOKUP(Table1[[#This Row],[Date]],database!A:B,2,)</f>
        <v/>
      </c>
      <c r="C197" s="66">
        <f>B197/B196-1</f>
        <v/>
      </c>
      <c r="D197" s="66">
        <f>(Table1[[#This Row],[Index]]-B185)/B185</f>
        <v/>
      </c>
    </row>
    <row r="198">
      <c r="A198" s="17" t="n">
        <v>32112</v>
      </c>
      <c r="B198" s="58">
        <f>VLOOKUP(Table1[[#This Row],[Date]],database!A:B,2,)</f>
        <v/>
      </c>
      <c r="C198" s="66">
        <f>B198/B197-1</f>
        <v/>
      </c>
      <c r="D198" s="66">
        <f>(Table1[[#This Row],[Index]]-B186)/B186</f>
        <v/>
      </c>
    </row>
    <row r="199">
      <c r="A199" s="17" t="n">
        <v>32143</v>
      </c>
      <c r="B199" s="58">
        <f>VLOOKUP(Table1[[#This Row],[Date]],database!A:B,2,)</f>
        <v/>
      </c>
      <c r="C199" s="66">
        <f>B199/B198-1</f>
        <v/>
      </c>
      <c r="D199" s="66">
        <f>(Table1[[#This Row],[Index]]-B187)/B187</f>
        <v/>
      </c>
    </row>
    <row r="200">
      <c r="A200" s="17" t="n">
        <v>32174</v>
      </c>
      <c r="B200" s="58">
        <f>VLOOKUP(Table1[[#This Row],[Date]],database!A:B,2,)</f>
        <v/>
      </c>
      <c r="C200" s="66">
        <f>B200/B199-1</f>
        <v/>
      </c>
      <c r="D200" s="66">
        <f>(Table1[[#This Row],[Index]]-B188)/B188</f>
        <v/>
      </c>
    </row>
    <row r="201">
      <c r="A201" s="17" t="n">
        <v>32203</v>
      </c>
      <c r="B201" s="58">
        <f>VLOOKUP(Table1[[#This Row],[Date]],database!A:B,2,)</f>
        <v/>
      </c>
      <c r="C201" s="66">
        <f>B201/B200-1</f>
        <v/>
      </c>
      <c r="D201" s="66">
        <f>(Table1[[#This Row],[Index]]-B189)/B189</f>
        <v/>
      </c>
    </row>
    <row r="202">
      <c r="A202" s="17" t="n">
        <v>32234</v>
      </c>
      <c r="B202" s="58">
        <f>VLOOKUP(Table1[[#This Row],[Date]],database!A:B,2,)</f>
        <v/>
      </c>
      <c r="C202" s="66">
        <f>B202/B201-1</f>
        <v/>
      </c>
      <c r="D202" s="66">
        <f>(Table1[[#This Row],[Index]]-B190)/B190</f>
        <v/>
      </c>
    </row>
    <row r="203">
      <c r="A203" s="17" t="n">
        <v>32264</v>
      </c>
      <c r="B203" s="58">
        <f>VLOOKUP(Table1[[#This Row],[Date]],database!A:B,2,)</f>
        <v/>
      </c>
      <c r="C203" s="66">
        <f>B203/B202-1</f>
        <v/>
      </c>
      <c r="D203" s="66">
        <f>(Table1[[#This Row],[Index]]-B191)/B191</f>
        <v/>
      </c>
    </row>
    <row r="204">
      <c r="A204" s="17" t="n">
        <v>32295</v>
      </c>
      <c r="B204" s="58">
        <f>VLOOKUP(Table1[[#This Row],[Date]],database!A:B,2,)</f>
        <v/>
      </c>
      <c r="C204" s="66">
        <f>B204/B203-1</f>
        <v/>
      </c>
      <c r="D204" s="66">
        <f>(Table1[[#This Row],[Index]]-B192)/B192</f>
        <v/>
      </c>
    </row>
    <row r="205">
      <c r="A205" s="17" t="n">
        <v>32325</v>
      </c>
      <c r="B205" s="58">
        <f>VLOOKUP(Table1[[#This Row],[Date]],database!A:B,2,)</f>
        <v/>
      </c>
      <c r="C205" s="66">
        <f>B205/B204-1</f>
        <v/>
      </c>
      <c r="D205" s="66">
        <f>(Table1[[#This Row],[Index]]-B193)/B193</f>
        <v/>
      </c>
    </row>
    <row r="206">
      <c r="A206" s="17" t="n">
        <v>32356</v>
      </c>
      <c r="B206" s="58">
        <f>VLOOKUP(Table1[[#This Row],[Date]],database!A:B,2,)</f>
        <v/>
      </c>
      <c r="C206" s="66">
        <f>B206/B205-1</f>
        <v/>
      </c>
      <c r="D206" s="66">
        <f>(Table1[[#This Row],[Index]]-B194)/B194</f>
        <v/>
      </c>
    </row>
    <row r="207">
      <c r="A207" s="17" t="n">
        <v>32387</v>
      </c>
      <c r="B207" s="58">
        <f>VLOOKUP(Table1[[#This Row],[Date]],database!A:B,2,)</f>
        <v/>
      </c>
      <c r="C207" s="66">
        <f>B207/B206-1</f>
        <v/>
      </c>
      <c r="D207" s="66">
        <f>(Table1[[#This Row],[Index]]-B195)/B195</f>
        <v/>
      </c>
    </row>
    <row r="208">
      <c r="A208" s="17" t="n">
        <v>32417</v>
      </c>
      <c r="B208" s="58">
        <f>VLOOKUP(Table1[[#This Row],[Date]],database!A:B,2,)</f>
        <v/>
      </c>
      <c r="C208" s="66">
        <f>B208/B207-1</f>
        <v/>
      </c>
      <c r="D208" s="66">
        <f>(Table1[[#This Row],[Index]]-B196)/B196</f>
        <v/>
      </c>
    </row>
    <row r="209">
      <c r="A209" s="17" t="n">
        <v>32448</v>
      </c>
      <c r="B209" s="58">
        <f>VLOOKUP(Table1[[#This Row],[Date]],database!A:B,2,)</f>
        <v/>
      </c>
      <c r="C209" s="66">
        <f>B209/B208-1</f>
        <v/>
      </c>
      <c r="D209" s="66">
        <f>(Table1[[#This Row],[Index]]-B197)/B197</f>
        <v/>
      </c>
    </row>
    <row r="210">
      <c r="A210" s="17" t="n">
        <v>32478</v>
      </c>
      <c r="B210" s="58">
        <f>VLOOKUP(Table1[[#This Row],[Date]],database!A:B,2,)</f>
        <v/>
      </c>
      <c r="C210" s="66">
        <f>B210/B209-1</f>
        <v/>
      </c>
      <c r="D210" s="66">
        <f>(Table1[[#This Row],[Index]]-B198)/B198</f>
        <v/>
      </c>
    </row>
    <row r="211">
      <c r="A211" s="17" t="n">
        <v>32509</v>
      </c>
      <c r="B211" s="58">
        <f>VLOOKUP(Table1[[#This Row],[Date]],database!A:B,2,)</f>
        <v/>
      </c>
      <c r="C211" s="66">
        <f>B211/B210-1</f>
        <v/>
      </c>
      <c r="D211" s="66">
        <f>(Table1[[#This Row],[Index]]-B199)/B199</f>
        <v/>
      </c>
    </row>
    <row r="212">
      <c r="A212" s="17" t="n">
        <v>32540</v>
      </c>
      <c r="B212" s="58">
        <f>VLOOKUP(Table1[[#This Row],[Date]],database!A:B,2,)</f>
        <v/>
      </c>
      <c r="C212" s="66">
        <f>B212/B211-1</f>
        <v/>
      </c>
      <c r="D212" s="66">
        <f>(Table1[[#This Row],[Index]]-B200)/B200</f>
        <v/>
      </c>
    </row>
    <row r="213">
      <c r="A213" s="17" t="n">
        <v>32568</v>
      </c>
      <c r="B213" s="58">
        <f>VLOOKUP(Table1[[#This Row],[Date]],database!A:B,2,)</f>
        <v/>
      </c>
      <c r="C213" s="66">
        <f>B213/B212-1</f>
        <v/>
      </c>
      <c r="D213" s="66">
        <f>(Table1[[#This Row],[Index]]-B201)/B201</f>
        <v/>
      </c>
    </row>
    <row r="214">
      <c r="A214" s="17" t="n">
        <v>32599</v>
      </c>
      <c r="B214" s="58">
        <f>VLOOKUP(Table1[[#This Row],[Date]],database!A:B,2,)</f>
        <v/>
      </c>
      <c r="C214" s="66">
        <f>B214/B213-1</f>
        <v/>
      </c>
      <c r="D214" s="66">
        <f>(Table1[[#This Row],[Index]]-B202)/B202</f>
        <v/>
      </c>
    </row>
    <row r="215">
      <c r="A215" s="17" t="n">
        <v>32629</v>
      </c>
      <c r="B215" s="58">
        <f>VLOOKUP(Table1[[#This Row],[Date]],database!A:B,2,)</f>
        <v/>
      </c>
      <c r="C215" s="66">
        <f>B215/B214-1</f>
        <v/>
      </c>
      <c r="D215" s="66">
        <f>(Table1[[#This Row],[Index]]-B203)/B203</f>
        <v/>
      </c>
    </row>
    <row r="216">
      <c r="A216" s="17" t="n">
        <v>32660</v>
      </c>
      <c r="B216" s="58">
        <f>VLOOKUP(Table1[[#This Row],[Date]],database!A:B,2,)</f>
        <v/>
      </c>
      <c r="C216" s="66">
        <f>B216/B215-1</f>
        <v/>
      </c>
      <c r="D216" s="66">
        <f>(Table1[[#This Row],[Index]]-B204)/B204</f>
        <v/>
      </c>
    </row>
    <row r="217">
      <c r="A217" s="17" t="n">
        <v>32690</v>
      </c>
      <c r="B217" s="58">
        <f>VLOOKUP(Table1[[#This Row],[Date]],database!A:B,2,)</f>
        <v/>
      </c>
      <c r="C217" s="66">
        <f>B217/B216-1</f>
        <v/>
      </c>
      <c r="D217" s="66">
        <f>(Table1[[#This Row],[Index]]-B205)/B205</f>
        <v/>
      </c>
    </row>
    <row r="218">
      <c r="A218" s="17" t="n">
        <v>32721</v>
      </c>
      <c r="B218" s="58">
        <f>VLOOKUP(Table1[[#This Row],[Date]],database!A:B,2,)</f>
        <v/>
      </c>
      <c r="C218" s="66">
        <f>B218/B217-1</f>
        <v/>
      </c>
      <c r="D218" s="66">
        <f>(Table1[[#This Row],[Index]]-B206)/B206</f>
        <v/>
      </c>
    </row>
    <row r="219">
      <c r="A219" s="17" t="n">
        <v>32752</v>
      </c>
      <c r="B219" s="58">
        <f>VLOOKUP(Table1[[#This Row],[Date]],database!A:B,2,)</f>
        <v/>
      </c>
      <c r="C219" s="66">
        <f>B219/B218-1</f>
        <v/>
      </c>
      <c r="D219" s="66">
        <f>(Table1[[#This Row],[Index]]-B207)/B207</f>
        <v/>
      </c>
    </row>
    <row r="220">
      <c r="A220" s="17" t="n">
        <v>32782</v>
      </c>
      <c r="B220" s="58">
        <f>VLOOKUP(Table1[[#This Row],[Date]],database!A:B,2,)</f>
        <v/>
      </c>
      <c r="C220" s="66">
        <f>B220/B219-1</f>
        <v/>
      </c>
      <c r="D220" s="66">
        <f>(Table1[[#This Row],[Index]]-B208)/B208</f>
        <v/>
      </c>
    </row>
    <row r="221">
      <c r="A221" s="17" t="n">
        <v>32813</v>
      </c>
      <c r="B221" s="58">
        <f>VLOOKUP(Table1[[#This Row],[Date]],database!A:B,2,)</f>
        <v/>
      </c>
      <c r="C221" s="66">
        <f>B221/B220-1</f>
        <v/>
      </c>
      <c r="D221" s="66">
        <f>(Table1[[#This Row],[Index]]-B209)/B209</f>
        <v/>
      </c>
    </row>
    <row r="222">
      <c r="A222" s="17" t="n">
        <v>32843</v>
      </c>
      <c r="B222" s="58">
        <f>VLOOKUP(Table1[[#This Row],[Date]],database!A:B,2,)</f>
        <v/>
      </c>
      <c r="C222" s="66">
        <f>B222/B221-1</f>
        <v/>
      </c>
      <c r="D222" s="66">
        <f>(Table1[[#This Row],[Index]]-B210)/B210</f>
        <v/>
      </c>
    </row>
    <row r="223">
      <c r="A223" s="17" t="n">
        <v>32874</v>
      </c>
      <c r="B223" s="58">
        <f>VLOOKUP(Table1[[#This Row],[Date]],database!A:B,2,)</f>
        <v/>
      </c>
      <c r="C223" s="66">
        <f>B223/B222-1</f>
        <v/>
      </c>
      <c r="D223" s="66">
        <f>(Table1[[#This Row],[Index]]-B211)/B211</f>
        <v/>
      </c>
    </row>
    <row r="224">
      <c r="A224" s="17" t="n">
        <v>32905</v>
      </c>
      <c r="B224" s="58">
        <f>VLOOKUP(Table1[[#This Row],[Date]],database!A:B,2,)</f>
        <v/>
      </c>
      <c r="C224" s="66">
        <f>B224/B223-1</f>
        <v/>
      </c>
      <c r="D224" s="66">
        <f>(Table1[[#This Row],[Index]]-B212)/B212</f>
        <v/>
      </c>
    </row>
    <row r="225">
      <c r="A225" s="17" t="n">
        <v>32933</v>
      </c>
      <c r="B225" s="58">
        <f>VLOOKUP(Table1[[#This Row],[Date]],database!A:B,2,)</f>
        <v/>
      </c>
      <c r="C225" s="66">
        <f>B225/B224-1</f>
        <v/>
      </c>
      <c r="D225" s="66">
        <f>(Table1[[#This Row],[Index]]-B213)/B213</f>
        <v/>
      </c>
    </row>
    <row r="226">
      <c r="A226" s="17" t="n">
        <v>32964</v>
      </c>
      <c r="B226" s="58">
        <f>VLOOKUP(Table1[[#This Row],[Date]],database!A:B,2,)</f>
        <v/>
      </c>
      <c r="C226" s="66">
        <f>B226/B225-1</f>
        <v/>
      </c>
      <c r="D226" s="66">
        <f>(Table1[[#This Row],[Index]]-B214)/B214</f>
        <v/>
      </c>
    </row>
    <row r="227">
      <c r="A227" s="17" t="n">
        <v>32994</v>
      </c>
      <c r="B227" s="58">
        <f>VLOOKUP(Table1[[#This Row],[Date]],database!A:B,2,)</f>
        <v/>
      </c>
      <c r="C227" s="66">
        <f>B227/B226-1</f>
        <v/>
      </c>
      <c r="D227" s="66">
        <f>(Table1[[#This Row],[Index]]-B215)/B215</f>
        <v/>
      </c>
    </row>
    <row r="228">
      <c r="A228" s="17" t="n">
        <v>33025</v>
      </c>
      <c r="B228" s="58">
        <f>VLOOKUP(Table1[[#This Row],[Date]],database!A:B,2,)</f>
        <v/>
      </c>
      <c r="C228" s="66">
        <f>B228/B227-1</f>
        <v/>
      </c>
      <c r="D228" s="66">
        <f>(Table1[[#This Row],[Index]]-B216)/B216</f>
        <v/>
      </c>
    </row>
    <row r="229">
      <c r="A229" s="17" t="n">
        <v>33055</v>
      </c>
      <c r="B229" s="58">
        <f>VLOOKUP(Table1[[#This Row],[Date]],database!A:B,2,)</f>
        <v/>
      </c>
      <c r="C229" s="66">
        <f>B229/B228-1</f>
        <v/>
      </c>
      <c r="D229" s="66">
        <f>(Table1[[#This Row],[Index]]-B217)/B217</f>
        <v/>
      </c>
    </row>
    <row r="230">
      <c r="A230" s="17" t="n">
        <v>33086</v>
      </c>
      <c r="B230" s="58">
        <f>VLOOKUP(Table1[[#This Row],[Date]],database!A:B,2,)</f>
        <v/>
      </c>
      <c r="C230" s="66">
        <f>B230/B229-1</f>
        <v/>
      </c>
      <c r="D230" s="66">
        <f>(Table1[[#This Row],[Index]]-B218)/B218</f>
        <v/>
      </c>
    </row>
    <row r="231">
      <c r="A231" s="17" t="n">
        <v>33117</v>
      </c>
      <c r="B231" s="58">
        <f>VLOOKUP(Table1[[#This Row],[Date]],database!A:B,2,)</f>
        <v/>
      </c>
      <c r="C231" s="66">
        <f>B231/B230-1</f>
        <v/>
      </c>
      <c r="D231" s="66">
        <f>(Table1[[#This Row],[Index]]-B219)/B219</f>
        <v/>
      </c>
    </row>
    <row r="232">
      <c r="A232" s="17" t="n">
        <v>33147</v>
      </c>
      <c r="B232" s="58">
        <f>VLOOKUP(Table1[[#This Row],[Date]],database!A:B,2,)</f>
        <v/>
      </c>
      <c r="C232" s="66">
        <f>B232/B231-1</f>
        <v/>
      </c>
      <c r="D232" s="66">
        <f>(Table1[[#This Row],[Index]]-B220)/B220</f>
        <v/>
      </c>
    </row>
    <row r="233">
      <c r="A233" s="17" t="n">
        <v>33178</v>
      </c>
      <c r="B233" s="58">
        <f>VLOOKUP(Table1[[#This Row],[Date]],database!A:B,2,)</f>
        <v/>
      </c>
      <c r="C233" s="66">
        <f>B233/B232-1</f>
        <v/>
      </c>
      <c r="D233" s="66">
        <f>(Table1[[#This Row],[Index]]-B221)/B221</f>
        <v/>
      </c>
    </row>
    <row r="234">
      <c r="A234" s="17" t="n">
        <v>33208</v>
      </c>
      <c r="B234" s="58">
        <f>VLOOKUP(Table1[[#This Row],[Date]],database!A:B,2,)</f>
        <v/>
      </c>
      <c r="C234" s="66">
        <f>B234/B233-1</f>
        <v/>
      </c>
      <c r="D234" s="66">
        <f>(Table1[[#This Row],[Index]]-B222)/B222</f>
        <v/>
      </c>
    </row>
    <row r="235">
      <c r="A235" s="17" t="n">
        <v>33239</v>
      </c>
      <c r="B235" s="58">
        <f>VLOOKUP(Table1[[#This Row],[Date]],database!A:B,2,)</f>
        <v/>
      </c>
      <c r="C235" s="66">
        <f>B235/B234-1</f>
        <v/>
      </c>
      <c r="D235" s="66">
        <f>(Table1[[#This Row],[Index]]-B223)/B223</f>
        <v/>
      </c>
    </row>
    <row r="236">
      <c r="A236" s="17" t="n">
        <v>33270</v>
      </c>
      <c r="B236" s="58">
        <f>VLOOKUP(Table1[[#This Row],[Date]],database!A:B,2,)</f>
        <v/>
      </c>
      <c r="C236" s="66">
        <f>B236/B235-1</f>
        <v/>
      </c>
      <c r="D236" s="66">
        <f>(Table1[[#This Row],[Index]]-B224)/B224</f>
        <v/>
      </c>
    </row>
    <row r="237">
      <c r="A237" s="17" t="n">
        <v>33298</v>
      </c>
      <c r="B237" s="58">
        <f>VLOOKUP(Table1[[#This Row],[Date]],database!A:B,2,)</f>
        <v/>
      </c>
      <c r="C237" s="66">
        <f>B237/B236-1</f>
        <v/>
      </c>
      <c r="D237" s="66">
        <f>(Table1[[#This Row],[Index]]-B225)/B225</f>
        <v/>
      </c>
    </row>
    <row r="238">
      <c r="A238" s="17" t="n">
        <v>33329</v>
      </c>
      <c r="B238" s="58">
        <f>VLOOKUP(Table1[[#This Row],[Date]],database!A:B,2,)</f>
        <v/>
      </c>
      <c r="C238" s="66">
        <f>B238/B237-1</f>
        <v/>
      </c>
      <c r="D238" s="66">
        <f>(Table1[[#This Row],[Index]]-B226)/B226</f>
        <v/>
      </c>
    </row>
    <row r="239">
      <c r="A239" s="17" t="n">
        <v>33359</v>
      </c>
      <c r="B239" s="58">
        <f>VLOOKUP(Table1[[#This Row],[Date]],database!A:B,2,)</f>
        <v/>
      </c>
      <c r="C239" s="66">
        <f>B239/B238-1</f>
        <v/>
      </c>
      <c r="D239" s="66">
        <f>(Table1[[#This Row],[Index]]-B227)/B227</f>
        <v/>
      </c>
    </row>
    <row r="240">
      <c r="A240" s="17" t="n">
        <v>33390</v>
      </c>
      <c r="B240" s="58">
        <f>VLOOKUP(Table1[[#This Row],[Date]],database!A:B,2,)</f>
        <v/>
      </c>
      <c r="C240" s="66">
        <f>B240/B239-1</f>
        <v/>
      </c>
      <c r="D240" s="66">
        <f>(Table1[[#This Row],[Index]]-B228)/B228</f>
        <v/>
      </c>
    </row>
    <row r="241">
      <c r="A241" s="17" t="n">
        <v>33420</v>
      </c>
      <c r="B241" s="58">
        <f>VLOOKUP(Table1[[#This Row],[Date]],database!A:B,2,)</f>
        <v/>
      </c>
      <c r="C241" s="66">
        <f>B241/B240-1</f>
        <v/>
      </c>
      <c r="D241" s="66">
        <f>(Table1[[#This Row],[Index]]-B229)/B229</f>
        <v/>
      </c>
    </row>
    <row r="242">
      <c r="A242" s="17" t="n">
        <v>33451</v>
      </c>
      <c r="B242" s="58">
        <f>VLOOKUP(Table1[[#This Row],[Date]],database!A:B,2,)</f>
        <v/>
      </c>
      <c r="C242" s="66">
        <f>B242/B241-1</f>
        <v/>
      </c>
      <c r="D242" s="66">
        <f>(Table1[[#This Row],[Index]]-B230)/B230</f>
        <v/>
      </c>
    </row>
    <row r="243">
      <c r="A243" s="17" t="n">
        <v>33482</v>
      </c>
      <c r="B243" s="58">
        <f>VLOOKUP(Table1[[#This Row],[Date]],database!A:B,2,)</f>
        <v/>
      </c>
      <c r="C243" s="66">
        <f>B243/B242-1</f>
        <v/>
      </c>
      <c r="D243" s="66">
        <f>(Table1[[#This Row],[Index]]-B231)/B231</f>
        <v/>
      </c>
    </row>
    <row r="244">
      <c r="A244" s="17" t="n">
        <v>33512</v>
      </c>
      <c r="B244" s="58">
        <f>VLOOKUP(Table1[[#This Row],[Date]],database!A:B,2,)</f>
        <v/>
      </c>
      <c r="C244" s="66">
        <f>B244/B243-1</f>
        <v/>
      </c>
      <c r="D244" s="66">
        <f>(Table1[[#This Row],[Index]]-B232)/B232</f>
        <v/>
      </c>
    </row>
    <row r="245">
      <c r="A245" s="17" t="n">
        <v>33543</v>
      </c>
      <c r="B245" s="58">
        <f>VLOOKUP(Table1[[#This Row],[Date]],database!A:B,2,)</f>
        <v/>
      </c>
      <c r="C245" s="66">
        <f>B245/B244-1</f>
        <v/>
      </c>
      <c r="D245" s="66">
        <f>(Table1[[#This Row],[Index]]-B233)/B233</f>
        <v/>
      </c>
    </row>
    <row r="246">
      <c r="A246" s="17" t="n">
        <v>33573</v>
      </c>
      <c r="B246" s="58">
        <f>VLOOKUP(Table1[[#This Row],[Date]],database!A:B,2,)</f>
        <v/>
      </c>
      <c r="C246" s="66">
        <f>B246/B245-1</f>
        <v/>
      </c>
      <c r="D246" s="66">
        <f>(Table1[[#This Row],[Index]]-B234)/B234</f>
        <v/>
      </c>
    </row>
    <row r="247">
      <c r="A247" s="17" t="n">
        <v>33604</v>
      </c>
      <c r="B247" s="58">
        <f>VLOOKUP(Table1[[#This Row],[Date]],database!A:B,2,)</f>
        <v/>
      </c>
      <c r="C247" s="66">
        <f>B247/B246-1</f>
        <v/>
      </c>
      <c r="D247" s="66">
        <f>(Table1[[#This Row],[Index]]-B235)/B235</f>
        <v/>
      </c>
    </row>
    <row r="248">
      <c r="A248" s="17" t="n">
        <v>33635</v>
      </c>
      <c r="B248" s="58">
        <f>VLOOKUP(Table1[[#This Row],[Date]],database!A:B,2,)</f>
        <v/>
      </c>
      <c r="C248" s="66">
        <f>B248/B247-1</f>
        <v/>
      </c>
      <c r="D248" s="66">
        <f>(Table1[[#This Row],[Index]]-B236)/B236</f>
        <v/>
      </c>
    </row>
    <row r="249">
      <c r="A249" s="17" t="n">
        <v>33664</v>
      </c>
      <c r="B249" s="58">
        <f>VLOOKUP(Table1[[#This Row],[Date]],database!A:B,2,)</f>
        <v/>
      </c>
      <c r="C249" s="66">
        <f>B249/B248-1</f>
        <v/>
      </c>
      <c r="D249" s="66">
        <f>(Table1[[#This Row],[Index]]-B237)/B237</f>
        <v/>
      </c>
    </row>
    <row r="250">
      <c r="A250" s="17" t="n">
        <v>33695</v>
      </c>
      <c r="B250" s="58">
        <f>VLOOKUP(Table1[[#This Row],[Date]],database!A:B,2,)</f>
        <v/>
      </c>
      <c r="C250" s="66">
        <f>B250/B249-1</f>
        <v/>
      </c>
      <c r="D250" s="66">
        <f>(Table1[[#This Row],[Index]]-B238)/B238</f>
        <v/>
      </c>
    </row>
    <row r="251">
      <c r="A251" s="17" t="n">
        <v>33725</v>
      </c>
      <c r="B251" s="58">
        <f>VLOOKUP(Table1[[#This Row],[Date]],database!A:B,2,)</f>
        <v/>
      </c>
      <c r="C251" s="66">
        <f>B251/B250-1</f>
        <v/>
      </c>
      <c r="D251" s="66">
        <f>(Table1[[#This Row],[Index]]-B239)/B239</f>
        <v/>
      </c>
    </row>
    <row r="252">
      <c r="A252" s="17" t="n">
        <v>33756</v>
      </c>
      <c r="B252" s="58">
        <f>VLOOKUP(Table1[[#This Row],[Date]],database!A:B,2,)</f>
        <v/>
      </c>
      <c r="C252" s="66">
        <f>B252/B251-1</f>
        <v/>
      </c>
      <c r="D252" s="66">
        <f>(Table1[[#This Row],[Index]]-B240)/B240</f>
        <v/>
      </c>
    </row>
    <row r="253">
      <c r="A253" s="17" t="n">
        <v>33786</v>
      </c>
      <c r="B253" s="58">
        <f>VLOOKUP(Table1[[#This Row],[Date]],database!A:B,2,)</f>
        <v/>
      </c>
      <c r="C253" s="66">
        <f>B253/B252-1</f>
        <v/>
      </c>
      <c r="D253" s="66">
        <f>(Table1[[#This Row],[Index]]-B241)/B241</f>
        <v/>
      </c>
    </row>
    <row r="254">
      <c r="A254" s="17" t="n">
        <v>33817</v>
      </c>
      <c r="B254" s="58">
        <f>VLOOKUP(Table1[[#This Row],[Date]],database!A:B,2,)</f>
        <v/>
      </c>
      <c r="C254" s="66">
        <f>B254/B253-1</f>
        <v/>
      </c>
      <c r="D254" s="66">
        <f>(Table1[[#This Row],[Index]]-B242)/B242</f>
        <v/>
      </c>
    </row>
    <row r="255">
      <c r="A255" s="17" t="n">
        <v>33848</v>
      </c>
      <c r="B255" s="58">
        <f>VLOOKUP(Table1[[#This Row],[Date]],database!A:B,2,)</f>
        <v/>
      </c>
      <c r="C255" s="66">
        <f>B255/B254-1</f>
        <v/>
      </c>
      <c r="D255" s="66">
        <f>(Table1[[#This Row],[Index]]-B243)/B243</f>
        <v/>
      </c>
    </row>
    <row r="256">
      <c r="A256" s="17" t="n">
        <v>33878</v>
      </c>
      <c r="B256" s="58">
        <f>VLOOKUP(Table1[[#This Row],[Date]],database!A:B,2,)</f>
        <v/>
      </c>
      <c r="C256" s="66">
        <f>B256/B255-1</f>
        <v/>
      </c>
      <c r="D256" s="66">
        <f>(Table1[[#This Row],[Index]]-B244)/B244</f>
        <v/>
      </c>
    </row>
    <row r="257">
      <c r="A257" s="17" t="n">
        <v>33909</v>
      </c>
      <c r="B257" s="58">
        <f>VLOOKUP(Table1[[#This Row],[Date]],database!A:B,2,)</f>
        <v/>
      </c>
      <c r="C257" s="66">
        <f>B257/B256-1</f>
        <v/>
      </c>
      <c r="D257" s="66">
        <f>(Table1[[#This Row],[Index]]-B245)/B245</f>
        <v/>
      </c>
    </row>
    <row r="258">
      <c r="A258" s="17" t="n">
        <v>33939</v>
      </c>
      <c r="B258" s="58">
        <f>VLOOKUP(Table1[[#This Row],[Date]],database!A:B,2,)</f>
        <v/>
      </c>
      <c r="C258" s="66">
        <f>B258/B257-1</f>
        <v/>
      </c>
      <c r="D258" s="66">
        <f>(Table1[[#This Row],[Index]]-B246)/B246</f>
        <v/>
      </c>
    </row>
    <row r="259">
      <c r="A259" s="17" t="n">
        <v>33970</v>
      </c>
      <c r="B259" s="58">
        <f>VLOOKUP(Table1[[#This Row],[Date]],database!A:B,2,)</f>
        <v/>
      </c>
      <c r="C259" s="66">
        <f>B259/B258-1</f>
        <v/>
      </c>
      <c r="D259" s="66">
        <f>(Table1[[#This Row],[Index]]-B247)/B247</f>
        <v/>
      </c>
    </row>
    <row r="260">
      <c r="A260" s="17" t="n">
        <v>34001</v>
      </c>
      <c r="B260" s="58">
        <f>VLOOKUP(Table1[[#This Row],[Date]],database!A:B,2,)</f>
        <v/>
      </c>
      <c r="C260" s="66">
        <f>B260/B259-1</f>
        <v/>
      </c>
      <c r="D260" s="66">
        <f>(Table1[[#This Row],[Index]]-B248)/B248</f>
        <v/>
      </c>
    </row>
    <row r="261">
      <c r="A261" s="17" t="n">
        <v>34029</v>
      </c>
      <c r="B261" s="58">
        <f>VLOOKUP(Table1[[#This Row],[Date]],database!A:B,2,)</f>
        <v/>
      </c>
      <c r="C261" s="66">
        <f>B261/B260-1</f>
        <v/>
      </c>
      <c r="D261" s="66">
        <f>(Table1[[#This Row],[Index]]-B249)/B249</f>
        <v/>
      </c>
    </row>
    <row r="262">
      <c r="A262" s="17" t="n">
        <v>34060</v>
      </c>
      <c r="B262" s="58">
        <f>VLOOKUP(Table1[[#This Row],[Date]],database!A:B,2,)</f>
        <v/>
      </c>
      <c r="C262" s="66">
        <f>B262/B261-1</f>
        <v/>
      </c>
      <c r="D262" s="66">
        <f>(Table1[[#This Row],[Index]]-B250)/B250</f>
        <v/>
      </c>
    </row>
    <row r="263">
      <c r="A263" s="17" t="n">
        <v>34090</v>
      </c>
      <c r="B263" s="58">
        <f>VLOOKUP(Table1[[#This Row],[Date]],database!A:B,2,)</f>
        <v/>
      </c>
      <c r="C263" s="66">
        <f>B263/B262-1</f>
        <v/>
      </c>
      <c r="D263" s="66">
        <f>(Table1[[#This Row],[Index]]-B251)/B251</f>
        <v/>
      </c>
    </row>
    <row r="264">
      <c r="A264" s="17" t="n">
        <v>34121</v>
      </c>
      <c r="B264" s="58">
        <f>VLOOKUP(Table1[[#This Row],[Date]],database!A:B,2,)</f>
        <v/>
      </c>
      <c r="C264" s="66">
        <f>B264/B263-1</f>
        <v/>
      </c>
      <c r="D264" s="66">
        <f>(Table1[[#This Row],[Index]]-B252)/B252</f>
        <v/>
      </c>
    </row>
    <row r="265">
      <c r="A265" s="17" t="n">
        <v>34151</v>
      </c>
      <c r="B265" s="58">
        <f>VLOOKUP(Table1[[#This Row],[Date]],database!A:B,2,)</f>
        <v/>
      </c>
      <c r="C265" s="66">
        <f>B265/B264-1</f>
        <v/>
      </c>
      <c r="D265" s="66">
        <f>(Table1[[#This Row],[Index]]-B253)/B253</f>
        <v/>
      </c>
    </row>
    <row r="266">
      <c r="A266" s="17" t="n">
        <v>34182</v>
      </c>
      <c r="B266" s="58">
        <f>VLOOKUP(Table1[[#This Row],[Date]],database!A:B,2,)</f>
        <v/>
      </c>
      <c r="C266" s="66">
        <f>B266/B265-1</f>
        <v/>
      </c>
      <c r="D266" s="66">
        <f>(Table1[[#This Row],[Index]]-B254)/B254</f>
        <v/>
      </c>
    </row>
    <row r="267">
      <c r="A267" s="17" t="n">
        <v>34213</v>
      </c>
      <c r="B267" s="58">
        <f>VLOOKUP(Table1[[#This Row],[Date]],database!A:B,2,)</f>
        <v/>
      </c>
      <c r="C267" s="66">
        <f>B267/B266-1</f>
        <v/>
      </c>
      <c r="D267" s="66">
        <f>(Table1[[#This Row],[Index]]-B255)/B255</f>
        <v/>
      </c>
    </row>
    <row r="268">
      <c r="A268" s="17" t="n">
        <v>34243</v>
      </c>
      <c r="B268" s="58">
        <f>VLOOKUP(Table1[[#This Row],[Date]],database!A:B,2,)</f>
        <v/>
      </c>
      <c r="C268" s="66">
        <f>B268/B267-1</f>
        <v/>
      </c>
      <c r="D268" s="66">
        <f>(Table1[[#This Row],[Index]]-B256)/B256</f>
        <v/>
      </c>
    </row>
    <row r="269">
      <c r="A269" s="17" t="n">
        <v>34274</v>
      </c>
      <c r="B269" s="58">
        <f>VLOOKUP(Table1[[#This Row],[Date]],database!A:B,2,)</f>
        <v/>
      </c>
      <c r="C269" s="66">
        <f>B269/B268-1</f>
        <v/>
      </c>
      <c r="D269" s="66">
        <f>(Table1[[#This Row],[Index]]-B257)/B257</f>
        <v/>
      </c>
    </row>
    <row r="270">
      <c r="A270" s="17" t="n">
        <v>34304</v>
      </c>
      <c r="B270" s="58">
        <f>VLOOKUP(Table1[[#This Row],[Date]],database!A:B,2,)</f>
        <v/>
      </c>
      <c r="C270" s="66">
        <f>B270/B269-1</f>
        <v/>
      </c>
      <c r="D270" s="66">
        <f>(Table1[[#This Row],[Index]]-B258)/B258</f>
        <v/>
      </c>
    </row>
    <row r="271">
      <c r="A271" s="17" t="n">
        <v>34335</v>
      </c>
      <c r="B271" s="58">
        <f>VLOOKUP(Table1[[#This Row],[Date]],database!A:B,2,)</f>
        <v/>
      </c>
      <c r="C271" s="66">
        <f>B271/B270-1</f>
        <v/>
      </c>
      <c r="D271" s="66">
        <f>(Table1[[#This Row],[Index]]-B259)/B259</f>
        <v/>
      </c>
    </row>
    <row r="272">
      <c r="A272" s="17" t="n">
        <v>34366</v>
      </c>
      <c r="B272" s="58">
        <f>VLOOKUP(Table1[[#This Row],[Date]],database!A:B,2,)</f>
        <v/>
      </c>
      <c r="C272" s="66">
        <f>B272/B271-1</f>
        <v/>
      </c>
      <c r="D272" s="66">
        <f>(Table1[[#This Row],[Index]]-B260)/B260</f>
        <v/>
      </c>
    </row>
    <row r="273">
      <c r="A273" s="17" t="n">
        <v>34394</v>
      </c>
      <c r="B273" s="58">
        <f>VLOOKUP(Table1[[#This Row],[Date]],database!A:B,2,)</f>
        <v/>
      </c>
      <c r="C273" s="66">
        <f>B273/B272-1</f>
        <v/>
      </c>
      <c r="D273" s="66">
        <f>(Table1[[#This Row],[Index]]-B261)/B261</f>
        <v/>
      </c>
    </row>
    <row r="274">
      <c r="A274" s="17" t="n">
        <v>34425</v>
      </c>
      <c r="B274" s="58">
        <f>VLOOKUP(Table1[[#This Row],[Date]],database!A:B,2,)</f>
        <v/>
      </c>
      <c r="C274" s="66">
        <f>B274/B273-1</f>
        <v/>
      </c>
      <c r="D274" s="66">
        <f>(Table1[[#This Row],[Index]]-B262)/B262</f>
        <v/>
      </c>
    </row>
    <row r="275">
      <c r="A275" s="17" t="n">
        <v>34455</v>
      </c>
      <c r="B275" s="58">
        <f>VLOOKUP(Table1[[#This Row],[Date]],database!A:B,2,)</f>
        <v/>
      </c>
      <c r="C275" s="66">
        <f>B275/B274-1</f>
        <v/>
      </c>
      <c r="D275" s="66">
        <f>(Table1[[#This Row],[Index]]-B263)/B263</f>
        <v/>
      </c>
    </row>
    <row r="276">
      <c r="A276" s="17" t="n">
        <v>34486</v>
      </c>
      <c r="B276" s="58">
        <f>VLOOKUP(Table1[[#This Row],[Date]],database!A:B,2,)</f>
        <v/>
      </c>
      <c r="C276" s="66">
        <f>B276/B275-1</f>
        <v/>
      </c>
      <c r="D276" s="66">
        <f>(Table1[[#This Row],[Index]]-B264)/B264</f>
        <v/>
      </c>
    </row>
    <row r="277">
      <c r="A277" s="17" t="n">
        <v>34516</v>
      </c>
      <c r="B277" s="58">
        <f>VLOOKUP(Table1[[#This Row],[Date]],database!A:B,2,)</f>
        <v/>
      </c>
      <c r="C277" s="66">
        <f>B277/B276-1</f>
        <v/>
      </c>
      <c r="D277" s="66">
        <f>(Table1[[#This Row],[Index]]-B265)/B265</f>
        <v/>
      </c>
    </row>
    <row r="278">
      <c r="A278" s="17" t="n">
        <v>34547</v>
      </c>
      <c r="B278" s="58">
        <f>VLOOKUP(Table1[[#This Row],[Date]],database!A:B,2,)</f>
        <v/>
      </c>
      <c r="C278" s="66">
        <f>B278/B277-1</f>
        <v/>
      </c>
      <c r="D278" s="66">
        <f>(Table1[[#This Row],[Index]]-B266)/B266</f>
        <v/>
      </c>
    </row>
    <row r="279">
      <c r="A279" s="17" t="n">
        <v>34578</v>
      </c>
      <c r="B279" s="58">
        <f>VLOOKUP(Table1[[#This Row],[Date]],database!A:B,2,)</f>
        <v/>
      </c>
      <c r="C279" s="66">
        <f>B279/B278-1</f>
        <v/>
      </c>
      <c r="D279" s="66">
        <f>(Table1[[#This Row],[Index]]-B267)/B267</f>
        <v/>
      </c>
    </row>
    <row r="280">
      <c r="A280" s="17" t="n">
        <v>34608</v>
      </c>
      <c r="B280" s="58">
        <f>VLOOKUP(Table1[[#This Row],[Date]],database!A:B,2,)</f>
        <v/>
      </c>
      <c r="C280" s="66">
        <f>B280/B279-1</f>
        <v/>
      </c>
      <c r="D280" s="66">
        <f>(Table1[[#This Row],[Index]]-B268)/B268</f>
        <v/>
      </c>
    </row>
    <row r="281">
      <c r="A281" s="17" t="n">
        <v>34639</v>
      </c>
      <c r="B281" s="58">
        <f>VLOOKUP(Table1[[#This Row],[Date]],database!A:B,2,)</f>
        <v/>
      </c>
      <c r="C281" s="66">
        <f>B281/B280-1</f>
        <v/>
      </c>
      <c r="D281" s="66">
        <f>(Table1[[#This Row],[Index]]-B269)/B269</f>
        <v/>
      </c>
    </row>
    <row r="282">
      <c r="A282" s="17" t="n">
        <v>34669</v>
      </c>
      <c r="B282" s="58">
        <f>VLOOKUP(Table1[[#This Row],[Date]],database!A:B,2,)</f>
        <v/>
      </c>
      <c r="C282" s="66">
        <f>B282/B281-1</f>
        <v/>
      </c>
      <c r="D282" s="66">
        <f>(Table1[[#This Row],[Index]]-B270)/B270</f>
        <v/>
      </c>
    </row>
    <row r="283">
      <c r="A283" s="17" t="n">
        <v>34700</v>
      </c>
      <c r="B283" s="58">
        <f>VLOOKUP(Table1[[#This Row],[Date]],database!A:B,2,)</f>
        <v/>
      </c>
      <c r="C283" s="66">
        <f>B283/B282-1</f>
        <v/>
      </c>
      <c r="D283" s="66">
        <f>(Table1[[#This Row],[Index]]-B271)/B271</f>
        <v/>
      </c>
    </row>
    <row r="284">
      <c r="A284" s="17" t="n">
        <v>34731</v>
      </c>
      <c r="B284" s="58">
        <f>VLOOKUP(Table1[[#This Row],[Date]],database!A:B,2,)</f>
        <v/>
      </c>
      <c r="C284" s="66">
        <f>B284/B283-1</f>
        <v/>
      </c>
      <c r="D284" s="66">
        <f>(Table1[[#This Row],[Index]]-B272)/B272</f>
        <v/>
      </c>
    </row>
    <row r="285">
      <c r="A285" s="17" t="n">
        <v>34759</v>
      </c>
      <c r="B285" s="58">
        <f>VLOOKUP(Table1[[#This Row],[Date]],database!A:B,2,)</f>
        <v/>
      </c>
      <c r="C285" s="66">
        <f>B285/B284-1</f>
        <v/>
      </c>
      <c r="D285" s="66">
        <f>(Table1[[#This Row],[Index]]-B273)/B273</f>
        <v/>
      </c>
    </row>
    <row r="286">
      <c r="A286" s="17" t="n">
        <v>34790</v>
      </c>
      <c r="B286" s="58">
        <f>VLOOKUP(Table1[[#This Row],[Date]],database!A:B,2,)</f>
        <v/>
      </c>
      <c r="C286" s="66">
        <f>B286/B285-1</f>
        <v/>
      </c>
      <c r="D286" s="66">
        <f>(Table1[[#This Row],[Index]]-B274)/B274</f>
        <v/>
      </c>
    </row>
    <row r="287">
      <c r="A287" s="17" t="n">
        <v>34820</v>
      </c>
      <c r="B287" s="58">
        <f>VLOOKUP(Table1[[#This Row],[Date]],database!A:B,2,)</f>
        <v/>
      </c>
      <c r="C287" s="66">
        <f>B287/B286-1</f>
        <v/>
      </c>
      <c r="D287" s="66">
        <f>(Table1[[#This Row],[Index]]-B275)/B275</f>
        <v/>
      </c>
    </row>
    <row r="288">
      <c r="A288" s="17" t="n">
        <v>34851</v>
      </c>
      <c r="B288" s="58">
        <f>VLOOKUP(Table1[[#This Row],[Date]],database!A:B,2,)</f>
        <v/>
      </c>
      <c r="C288" s="66">
        <f>B288/B287-1</f>
        <v/>
      </c>
      <c r="D288" s="66">
        <f>(Table1[[#This Row],[Index]]-B276)/B276</f>
        <v/>
      </c>
    </row>
    <row r="289">
      <c r="A289" s="17" t="n">
        <v>34881</v>
      </c>
      <c r="B289" s="58">
        <f>VLOOKUP(Table1[[#This Row],[Date]],database!A:B,2,)</f>
        <v/>
      </c>
      <c r="C289" s="66">
        <f>B289/B288-1</f>
        <v/>
      </c>
      <c r="D289" s="66">
        <f>(Table1[[#This Row],[Index]]-B277)/B277</f>
        <v/>
      </c>
    </row>
    <row r="290">
      <c r="A290" s="17" t="n">
        <v>34912</v>
      </c>
      <c r="B290" s="58">
        <f>VLOOKUP(Table1[[#This Row],[Date]],database!A:B,2,)</f>
        <v/>
      </c>
      <c r="C290" s="66">
        <f>B290/B289-1</f>
        <v/>
      </c>
      <c r="D290" s="66">
        <f>(Table1[[#This Row],[Index]]-B278)/B278</f>
        <v/>
      </c>
    </row>
    <row r="291">
      <c r="A291" s="17" t="n">
        <v>34943</v>
      </c>
      <c r="B291" s="58">
        <f>VLOOKUP(Table1[[#This Row],[Date]],database!A:B,2,)</f>
        <v/>
      </c>
      <c r="C291" s="66">
        <f>B291/B290-1</f>
        <v/>
      </c>
      <c r="D291" s="66">
        <f>(Table1[[#This Row],[Index]]-B279)/B279</f>
        <v/>
      </c>
    </row>
    <row r="292">
      <c r="A292" s="17" t="n">
        <v>34973</v>
      </c>
      <c r="B292" s="58">
        <f>VLOOKUP(Table1[[#This Row],[Date]],database!A:B,2,)</f>
        <v/>
      </c>
      <c r="C292" s="66">
        <f>B292/B291-1</f>
        <v/>
      </c>
      <c r="D292" s="66">
        <f>(Table1[[#This Row],[Index]]-B280)/B280</f>
        <v/>
      </c>
    </row>
    <row r="293">
      <c r="A293" s="17" t="n">
        <v>35004</v>
      </c>
      <c r="B293" s="58">
        <f>VLOOKUP(Table1[[#This Row],[Date]],database!A:B,2,)</f>
        <v/>
      </c>
      <c r="C293" s="66">
        <f>B293/B292-1</f>
        <v/>
      </c>
      <c r="D293" s="66">
        <f>(Table1[[#This Row],[Index]]-B281)/B281</f>
        <v/>
      </c>
    </row>
    <row r="294">
      <c r="A294" s="17" t="n">
        <v>35034</v>
      </c>
      <c r="B294" s="58">
        <f>VLOOKUP(Table1[[#This Row],[Date]],database!A:B,2,)</f>
        <v/>
      </c>
      <c r="C294" s="66">
        <f>B294/B293-1</f>
        <v/>
      </c>
      <c r="D294" s="66">
        <f>(Table1[[#This Row],[Index]]-B282)/B282</f>
        <v/>
      </c>
    </row>
    <row r="295">
      <c r="A295" s="17" t="n">
        <v>35065</v>
      </c>
      <c r="B295" s="58">
        <f>VLOOKUP(Table1[[#This Row],[Date]],database!A:B,2,)</f>
        <v/>
      </c>
      <c r="C295" s="66">
        <f>B295/B294-1</f>
        <v/>
      </c>
      <c r="D295" s="66">
        <f>(Table1[[#This Row],[Index]]-B283)/B283</f>
        <v/>
      </c>
    </row>
    <row r="296">
      <c r="A296" s="17" t="n">
        <v>35096</v>
      </c>
      <c r="B296" s="58">
        <f>VLOOKUP(Table1[[#This Row],[Date]],database!A:B,2,)</f>
        <v/>
      </c>
      <c r="C296" s="66">
        <f>B296/B295-1</f>
        <v/>
      </c>
      <c r="D296" s="66">
        <f>(Table1[[#This Row],[Index]]-B284)/B284</f>
        <v/>
      </c>
    </row>
    <row r="297">
      <c r="A297" s="17" t="n">
        <v>35125</v>
      </c>
      <c r="B297" s="58">
        <f>VLOOKUP(Table1[[#This Row],[Date]],database!A:B,2,)</f>
        <v/>
      </c>
      <c r="C297" s="66">
        <f>B297/B296-1</f>
        <v/>
      </c>
      <c r="D297" s="66">
        <f>(Table1[[#This Row],[Index]]-B285)/B285</f>
        <v/>
      </c>
    </row>
    <row r="298">
      <c r="A298" s="17" t="n">
        <v>35156</v>
      </c>
      <c r="B298" s="58">
        <f>VLOOKUP(Table1[[#This Row],[Date]],database!A:B,2,)</f>
        <v/>
      </c>
      <c r="C298" s="66">
        <f>B298/B297-1</f>
        <v/>
      </c>
      <c r="D298" s="66">
        <f>(Table1[[#This Row],[Index]]-B286)/B286</f>
        <v/>
      </c>
    </row>
    <row r="299">
      <c r="A299" s="17" t="n">
        <v>35186</v>
      </c>
      <c r="B299" s="58">
        <f>VLOOKUP(Table1[[#This Row],[Date]],database!A:B,2,)</f>
        <v/>
      </c>
      <c r="C299" s="66">
        <f>B299/B298-1</f>
        <v/>
      </c>
      <c r="D299" s="66">
        <f>(Table1[[#This Row],[Index]]-B287)/B287</f>
        <v/>
      </c>
    </row>
    <row r="300">
      <c r="A300" s="17" t="n">
        <v>35217</v>
      </c>
      <c r="B300" s="58">
        <f>VLOOKUP(Table1[[#This Row],[Date]],database!A:B,2,)</f>
        <v/>
      </c>
      <c r="C300" s="66">
        <f>B300/B299-1</f>
        <v/>
      </c>
      <c r="D300" s="66">
        <f>(Table1[[#This Row],[Index]]-B288)/B288</f>
        <v/>
      </c>
    </row>
    <row r="301">
      <c r="A301" s="17" t="n">
        <v>35247</v>
      </c>
      <c r="B301" s="58">
        <f>VLOOKUP(Table1[[#This Row],[Date]],database!A:B,2,)</f>
        <v/>
      </c>
      <c r="C301" s="66">
        <f>B301/B300-1</f>
        <v/>
      </c>
      <c r="D301" s="66">
        <f>(Table1[[#This Row],[Index]]-B289)/B289</f>
        <v/>
      </c>
    </row>
    <row r="302">
      <c r="A302" s="17" t="n">
        <v>35278</v>
      </c>
      <c r="B302" s="58">
        <f>VLOOKUP(Table1[[#This Row],[Date]],database!A:B,2,)</f>
        <v/>
      </c>
      <c r="C302" s="66">
        <f>B302/B301-1</f>
        <v/>
      </c>
      <c r="D302" s="66">
        <f>(Table1[[#This Row],[Index]]-B290)/B290</f>
        <v/>
      </c>
    </row>
    <row r="303">
      <c r="A303" s="17" t="n">
        <v>35309</v>
      </c>
      <c r="B303" s="58">
        <f>VLOOKUP(Table1[[#This Row],[Date]],database!A:B,2,)</f>
        <v/>
      </c>
      <c r="C303" s="66">
        <f>B303/B302-1</f>
        <v/>
      </c>
      <c r="D303" s="66">
        <f>(Table1[[#This Row],[Index]]-B291)/B291</f>
        <v/>
      </c>
    </row>
    <row r="304">
      <c r="A304" s="17" t="n">
        <v>35339</v>
      </c>
      <c r="B304" s="58">
        <f>VLOOKUP(Table1[[#This Row],[Date]],database!A:B,2,)</f>
        <v/>
      </c>
      <c r="C304" s="66">
        <f>B304/B303-1</f>
        <v/>
      </c>
      <c r="D304" s="66">
        <f>(Table1[[#This Row],[Index]]-B292)/B292</f>
        <v/>
      </c>
    </row>
    <row r="305">
      <c r="A305" s="17" t="n">
        <v>35370</v>
      </c>
      <c r="B305" s="58">
        <f>VLOOKUP(Table1[[#This Row],[Date]],database!A:B,2,)</f>
        <v/>
      </c>
      <c r="C305" s="66">
        <f>B305/B304-1</f>
        <v/>
      </c>
      <c r="D305" s="66">
        <f>(Table1[[#This Row],[Index]]-B293)/B293</f>
        <v/>
      </c>
    </row>
    <row r="306">
      <c r="A306" s="17" t="n">
        <v>35400</v>
      </c>
      <c r="B306" s="58">
        <f>VLOOKUP(Table1[[#This Row],[Date]],database!A:B,2,)</f>
        <v/>
      </c>
      <c r="C306" s="66">
        <f>B306/B305-1</f>
        <v/>
      </c>
      <c r="D306" s="66">
        <f>(Table1[[#This Row],[Index]]-B294)/B294</f>
        <v/>
      </c>
    </row>
    <row r="307">
      <c r="A307" s="17" t="n">
        <v>35431</v>
      </c>
      <c r="B307" s="58">
        <f>VLOOKUP(Table1[[#This Row],[Date]],database!A:B,2,)</f>
        <v/>
      </c>
      <c r="C307" s="66">
        <f>B307/B306-1</f>
        <v/>
      </c>
      <c r="D307" s="66">
        <f>(Table1[[#This Row],[Index]]-B295)/B295</f>
        <v/>
      </c>
    </row>
    <row r="308">
      <c r="A308" s="17" t="n">
        <v>35462</v>
      </c>
      <c r="B308" s="58">
        <f>VLOOKUP(Table1[[#This Row],[Date]],database!A:B,2,)</f>
        <v/>
      </c>
      <c r="C308" s="66">
        <f>B308/B307-1</f>
        <v/>
      </c>
      <c r="D308" s="66">
        <f>(Table1[[#This Row],[Index]]-B296)/B296</f>
        <v/>
      </c>
    </row>
    <row r="309">
      <c r="A309" s="17" t="n">
        <v>35490</v>
      </c>
      <c r="B309" s="58">
        <f>VLOOKUP(Table1[[#This Row],[Date]],database!A:B,2,)</f>
        <v/>
      </c>
      <c r="C309" s="66">
        <f>B309/B308-1</f>
        <v/>
      </c>
      <c r="D309" s="66">
        <f>(Table1[[#This Row],[Index]]-B297)/B297</f>
        <v/>
      </c>
    </row>
    <row r="310">
      <c r="A310" s="17" t="n">
        <v>35521</v>
      </c>
      <c r="B310" s="58">
        <f>VLOOKUP(Table1[[#This Row],[Date]],database!A:B,2,)</f>
        <v/>
      </c>
      <c r="C310" s="66">
        <f>B310/B309-1</f>
        <v/>
      </c>
      <c r="D310" s="66">
        <f>(Table1[[#This Row],[Index]]-B298)/B298</f>
        <v/>
      </c>
    </row>
    <row r="311">
      <c r="A311" s="17" t="n">
        <v>35551</v>
      </c>
      <c r="B311" s="58">
        <f>VLOOKUP(Table1[[#This Row],[Date]],database!A:B,2,)</f>
        <v/>
      </c>
      <c r="C311" s="66">
        <f>B311/B310-1</f>
        <v/>
      </c>
      <c r="D311" s="66">
        <f>(Table1[[#This Row],[Index]]-B299)/B299</f>
        <v/>
      </c>
    </row>
    <row r="312">
      <c r="A312" s="17" t="n">
        <v>35582</v>
      </c>
      <c r="B312" s="58">
        <f>VLOOKUP(Table1[[#This Row],[Date]],database!A:B,2,)</f>
        <v/>
      </c>
      <c r="C312" s="66">
        <f>B312/B311-1</f>
        <v/>
      </c>
      <c r="D312" s="66">
        <f>(Table1[[#This Row],[Index]]-B300)/B300</f>
        <v/>
      </c>
    </row>
    <row r="313">
      <c r="A313" s="17" t="n">
        <v>35612</v>
      </c>
      <c r="B313" s="58">
        <f>VLOOKUP(Table1[[#This Row],[Date]],database!A:B,2,)</f>
        <v/>
      </c>
      <c r="C313" s="66">
        <f>B313/B312-1</f>
        <v/>
      </c>
      <c r="D313" s="66">
        <f>(Table1[[#This Row],[Index]]-B301)/B301</f>
        <v/>
      </c>
    </row>
    <row r="314">
      <c r="A314" s="17" t="n">
        <v>35643</v>
      </c>
      <c r="B314" s="58">
        <f>VLOOKUP(Table1[[#This Row],[Date]],database!A:B,2,)</f>
        <v/>
      </c>
      <c r="C314" s="66">
        <f>B314/B313-1</f>
        <v/>
      </c>
      <c r="D314" s="66">
        <f>(Table1[[#This Row],[Index]]-B302)/B302</f>
        <v/>
      </c>
    </row>
    <row r="315">
      <c r="A315" s="17" t="n">
        <v>35674</v>
      </c>
      <c r="B315" s="58">
        <f>VLOOKUP(Table1[[#This Row],[Date]],database!A:B,2,)</f>
        <v/>
      </c>
      <c r="C315" s="66">
        <f>B315/B314-1</f>
        <v/>
      </c>
      <c r="D315" s="66">
        <f>(Table1[[#This Row],[Index]]-B303)/B303</f>
        <v/>
      </c>
    </row>
    <row r="316">
      <c r="A316" s="17" t="n">
        <v>35704</v>
      </c>
      <c r="B316" s="58">
        <f>VLOOKUP(Table1[[#This Row],[Date]],database!A:B,2,)</f>
        <v/>
      </c>
      <c r="C316" s="66">
        <f>B316/B315-1</f>
        <v/>
      </c>
      <c r="D316" s="66">
        <f>(Table1[[#This Row],[Index]]-B304)/B304</f>
        <v/>
      </c>
    </row>
    <row r="317">
      <c r="A317" s="17" t="n">
        <v>35735</v>
      </c>
      <c r="B317" s="58">
        <f>VLOOKUP(Table1[[#This Row],[Date]],database!A:B,2,)</f>
        <v/>
      </c>
      <c r="C317" s="66">
        <f>B317/B316-1</f>
        <v/>
      </c>
      <c r="D317" s="66">
        <f>(Table1[[#This Row],[Index]]-B305)/B305</f>
        <v/>
      </c>
    </row>
    <row r="318">
      <c r="A318" s="17" t="n">
        <v>35765</v>
      </c>
      <c r="B318" s="58">
        <f>VLOOKUP(Table1[[#This Row],[Date]],database!A:B,2,)</f>
        <v/>
      </c>
      <c r="C318" s="66">
        <f>B318/B317-1</f>
        <v/>
      </c>
      <c r="D318" s="66">
        <f>(Table1[[#This Row],[Index]]-B306)/B306</f>
        <v/>
      </c>
    </row>
    <row r="319">
      <c r="A319" s="17" t="n">
        <v>35796</v>
      </c>
      <c r="B319" s="58">
        <f>VLOOKUP(Table1[[#This Row],[Date]],database!A:B,2,)</f>
        <v/>
      </c>
      <c r="C319" s="66">
        <f>B319/B318-1</f>
        <v/>
      </c>
      <c r="D319" s="66">
        <f>(Table1[[#This Row],[Index]]-B307)/B307</f>
        <v/>
      </c>
    </row>
    <row r="320">
      <c r="A320" s="17" t="n">
        <v>35827</v>
      </c>
      <c r="B320" s="58">
        <f>VLOOKUP(Table1[[#This Row],[Date]],database!A:B,2,)</f>
        <v/>
      </c>
      <c r="C320" s="66">
        <f>B320/B319-1</f>
        <v/>
      </c>
      <c r="D320" s="66">
        <f>(Table1[[#This Row],[Index]]-B308)/B308</f>
        <v/>
      </c>
    </row>
    <row r="321">
      <c r="A321" s="17" t="n">
        <v>35855</v>
      </c>
      <c r="B321" s="58">
        <f>VLOOKUP(Table1[[#This Row],[Date]],database!A:B,2,)</f>
        <v/>
      </c>
      <c r="C321" s="66">
        <f>B321/B320-1</f>
        <v/>
      </c>
      <c r="D321" s="66">
        <f>(Table1[[#This Row],[Index]]-B309)/B309</f>
        <v/>
      </c>
    </row>
    <row r="322">
      <c r="A322" s="17" t="n">
        <v>35886</v>
      </c>
      <c r="B322" s="58">
        <f>VLOOKUP(Table1[[#This Row],[Date]],database!A:B,2,)</f>
        <v/>
      </c>
      <c r="C322" s="66">
        <f>B322/B321-1</f>
        <v/>
      </c>
      <c r="D322" s="66">
        <f>(Table1[[#This Row],[Index]]-B310)/B310</f>
        <v/>
      </c>
    </row>
    <row r="323">
      <c r="A323" s="17" t="n">
        <v>35916</v>
      </c>
      <c r="B323" s="58">
        <f>VLOOKUP(Table1[[#This Row],[Date]],database!A:B,2,)</f>
        <v/>
      </c>
      <c r="C323" s="66">
        <f>B323/B322-1</f>
        <v/>
      </c>
      <c r="D323" s="66">
        <f>(Table1[[#This Row],[Index]]-B311)/B311</f>
        <v/>
      </c>
    </row>
    <row r="324">
      <c r="A324" s="17" t="n">
        <v>35947</v>
      </c>
      <c r="B324" s="58">
        <f>VLOOKUP(Table1[[#This Row],[Date]],database!A:B,2,)</f>
        <v/>
      </c>
      <c r="C324" s="66">
        <f>B324/B323-1</f>
        <v/>
      </c>
      <c r="D324" s="66">
        <f>(Table1[[#This Row],[Index]]-B312)/B312</f>
        <v/>
      </c>
    </row>
    <row r="325">
      <c r="A325" s="17" t="n">
        <v>35977</v>
      </c>
      <c r="B325" s="58">
        <f>VLOOKUP(Table1[[#This Row],[Date]],database!A:B,2,)</f>
        <v/>
      </c>
      <c r="C325" s="66">
        <f>B325/B324-1</f>
        <v/>
      </c>
      <c r="D325" s="66">
        <f>(Table1[[#This Row],[Index]]-B313)/B313</f>
        <v/>
      </c>
    </row>
    <row r="326">
      <c r="A326" s="17" t="n">
        <v>36008</v>
      </c>
      <c r="B326" s="58">
        <f>VLOOKUP(Table1[[#This Row],[Date]],database!A:B,2,)</f>
        <v/>
      </c>
      <c r="C326" s="66">
        <f>B326/B325-1</f>
        <v/>
      </c>
      <c r="D326" s="66">
        <f>(Table1[[#This Row],[Index]]-B314)/B314</f>
        <v/>
      </c>
    </row>
    <row r="327">
      <c r="A327" s="17" t="n">
        <v>36039</v>
      </c>
      <c r="B327" s="58">
        <f>VLOOKUP(Table1[[#This Row],[Date]],database!A:B,2,)</f>
        <v/>
      </c>
      <c r="C327" s="66">
        <f>B327/B326-1</f>
        <v/>
      </c>
      <c r="D327" s="66">
        <f>(Table1[[#This Row],[Index]]-B315)/B315</f>
        <v/>
      </c>
    </row>
    <row r="328">
      <c r="A328" s="17" t="n">
        <v>36069</v>
      </c>
      <c r="B328" s="58">
        <f>VLOOKUP(Table1[[#This Row],[Date]],database!A:B,2,)</f>
        <v/>
      </c>
      <c r="C328" s="66">
        <f>B328/B327-1</f>
        <v/>
      </c>
      <c r="D328" s="66">
        <f>(Table1[[#This Row],[Index]]-B316)/B316</f>
        <v/>
      </c>
    </row>
    <row r="329">
      <c r="A329" s="17" t="n">
        <v>36100</v>
      </c>
      <c r="B329" s="58">
        <f>VLOOKUP(Table1[[#This Row],[Date]],database!A:B,2,)</f>
        <v/>
      </c>
      <c r="C329" s="66">
        <f>B329/B328-1</f>
        <v/>
      </c>
      <c r="D329" s="66">
        <f>(Table1[[#This Row],[Index]]-B317)/B317</f>
        <v/>
      </c>
    </row>
    <row r="330">
      <c r="A330" s="17" t="n">
        <v>36130</v>
      </c>
      <c r="B330" s="58">
        <f>VLOOKUP(Table1[[#This Row],[Date]],database!A:B,2,)</f>
        <v/>
      </c>
      <c r="C330" s="66">
        <f>B330/B329-1</f>
        <v/>
      </c>
      <c r="D330" s="66">
        <f>(Table1[[#This Row],[Index]]-B318)/B318</f>
        <v/>
      </c>
    </row>
    <row r="331">
      <c r="A331" s="17" t="n">
        <v>36161</v>
      </c>
      <c r="B331" s="58">
        <f>VLOOKUP(Table1[[#This Row],[Date]],database!A:B,2,)</f>
        <v/>
      </c>
      <c r="C331" s="66">
        <f>B331/B330-1</f>
        <v/>
      </c>
      <c r="D331" s="66">
        <f>(Table1[[#This Row],[Index]]-B319)/B319</f>
        <v/>
      </c>
    </row>
    <row r="332">
      <c r="A332" s="17" t="n">
        <v>36192</v>
      </c>
      <c r="B332" s="58">
        <f>VLOOKUP(Table1[[#This Row],[Date]],database!A:B,2,)</f>
        <v/>
      </c>
      <c r="C332" s="66">
        <f>B332/B331-1</f>
        <v/>
      </c>
      <c r="D332" s="66">
        <f>(Table1[[#This Row],[Index]]-B320)/B320</f>
        <v/>
      </c>
    </row>
    <row r="333">
      <c r="A333" s="17" t="n">
        <v>36220</v>
      </c>
      <c r="B333" s="58">
        <f>VLOOKUP(Table1[[#This Row],[Date]],database!A:B,2,)</f>
        <v/>
      </c>
      <c r="C333" s="66">
        <f>B333/B332-1</f>
        <v/>
      </c>
      <c r="D333" s="66">
        <f>(Table1[[#This Row],[Index]]-B321)/B321</f>
        <v/>
      </c>
    </row>
    <row r="334">
      <c r="A334" s="17" t="n">
        <v>36251</v>
      </c>
      <c r="B334" s="58">
        <f>VLOOKUP(Table1[[#This Row],[Date]],database!A:B,2,)</f>
        <v/>
      </c>
      <c r="C334" s="66">
        <f>B334/B333-1</f>
        <v/>
      </c>
      <c r="D334" s="66">
        <f>(Table1[[#This Row],[Index]]-B322)/B322</f>
        <v/>
      </c>
    </row>
    <row r="335">
      <c r="A335" s="17" t="n">
        <v>36281</v>
      </c>
      <c r="B335" s="58">
        <f>VLOOKUP(Table1[[#This Row],[Date]],database!A:B,2,)</f>
        <v/>
      </c>
      <c r="C335" s="66">
        <f>B335/B334-1</f>
        <v/>
      </c>
      <c r="D335" s="66">
        <f>(Table1[[#This Row],[Index]]-B323)/B323</f>
        <v/>
      </c>
    </row>
    <row r="336">
      <c r="A336" s="17" t="n">
        <v>36312</v>
      </c>
      <c r="B336" s="58">
        <f>VLOOKUP(Table1[[#This Row],[Date]],database!A:B,2,)</f>
        <v/>
      </c>
      <c r="C336" s="66">
        <f>B336/B335-1</f>
        <v/>
      </c>
      <c r="D336" s="66">
        <f>(Table1[[#This Row],[Index]]-B324)/B324</f>
        <v/>
      </c>
    </row>
    <row r="337">
      <c r="A337" s="17" t="n">
        <v>36342</v>
      </c>
      <c r="B337" s="58">
        <f>VLOOKUP(Table1[[#This Row],[Date]],database!A:B,2,)</f>
        <v/>
      </c>
      <c r="C337" s="66">
        <f>B337/B336-1</f>
        <v/>
      </c>
      <c r="D337" s="66">
        <f>(Table1[[#This Row],[Index]]-B325)/B325</f>
        <v/>
      </c>
    </row>
    <row r="338">
      <c r="A338" s="17" t="n">
        <v>36373</v>
      </c>
      <c r="B338" s="58">
        <f>VLOOKUP(Table1[[#This Row],[Date]],database!A:B,2,)</f>
        <v/>
      </c>
      <c r="C338" s="66">
        <f>B338/B337-1</f>
        <v/>
      </c>
      <c r="D338" s="66">
        <f>(Table1[[#This Row],[Index]]-B326)/B326</f>
        <v/>
      </c>
    </row>
    <row r="339">
      <c r="A339" s="17" t="n">
        <v>36404</v>
      </c>
      <c r="B339" s="58">
        <f>VLOOKUP(Table1[[#This Row],[Date]],database!A:B,2,)</f>
        <v/>
      </c>
      <c r="C339" s="66">
        <f>B339/B338-1</f>
        <v/>
      </c>
      <c r="D339" s="66">
        <f>(Table1[[#This Row],[Index]]-B327)/B327</f>
        <v/>
      </c>
    </row>
    <row r="340">
      <c r="A340" s="17" t="n">
        <v>36434</v>
      </c>
      <c r="B340" s="58">
        <f>VLOOKUP(Table1[[#This Row],[Date]],database!A:B,2,)</f>
        <v/>
      </c>
      <c r="C340" s="66">
        <f>B340/B339-1</f>
        <v/>
      </c>
      <c r="D340" s="66">
        <f>(Table1[[#This Row],[Index]]-B328)/B328</f>
        <v/>
      </c>
    </row>
    <row r="341">
      <c r="A341" s="17" t="n">
        <v>36465</v>
      </c>
      <c r="B341" s="58">
        <f>VLOOKUP(Table1[[#This Row],[Date]],database!A:B,2,)</f>
        <v/>
      </c>
      <c r="C341" s="66">
        <f>B341/B340-1</f>
        <v/>
      </c>
      <c r="D341" s="66">
        <f>(Table1[[#This Row],[Index]]-B329)/B329</f>
        <v/>
      </c>
    </row>
    <row r="342">
      <c r="A342" s="17" t="n">
        <v>36495</v>
      </c>
      <c r="B342" s="58">
        <f>VLOOKUP(Table1[[#This Row],[Date]],database!A:B,2,)</f>
        <v/>
      </c>
      <c r="C342" s="66">
        <f>B342/B341-1</f>
        <v/>
      </c>
      <c r="D342" s="66">
        <f>(Table1[[#This Row],[Index]]-B330)/B330</f>
        <v/>
      </c>
    </row>
    <row r="343">
      <c r="A343" s="17" t="n">
        <v>36526</v>
      </c>
      <c r="B343" s="58">
        <f>VLOOKUP(Table1[[#This Row],[Date]],database!A:B,2,)</f>
        <v/>
      </c>
      <c r="C343" s="66">
        <f>B343/B342-1</f>
        <v/>
      </c>
      <c r="D343" s="66">
        <f>(Table1[[#This Row],[Index]]-B331)/B331</f>
        <v/>
      </c>
    </row>
    <row r="344">
      <c r="A344" s="17" t="n">
        <v>36557</v>
      </c>
      <c r="B344" s="58">
        <f>VLOOKUP(Table1[[#This Row],[Date]],database!A:B,2,)</f>
        <v/>
      </c>
      <c r="C344" s="66">
        <f>B344/B343-1</f>
        <v/>
      </c>
      <c r="D344" s="66">
        <f>(Table1[[#This Row],[Index]]-B332)/B332</f>
        <v/>
      </c>
    </row>
    <row r="345">
      <c r="A345" s="17" t="n">
        <v>36586</v>
      </c>
      <c r="B345" s="58">
        <f>VLOOKUP(Table1[[#This Row],[Date]],database!A:B,2,)</f>
        <v/>
      </c>
      <c r="C345" s="66">
        <f>B345/B344-1</f>
        <v/>
      </c>
      <c r="D345" s="66">
        <f>(Table1[[#This Row],[Index]]-B333)/B333</f>
        <v/>
      </c>
    </row>
    <row r="346">
      <c r="A346" s="17" t="n">
        <v>36617</v>
      </c>
      <c r="B346" s="58">
        <f>VLOOKUP(Table1[[#This Row],[Date]],database!A:B,2,)</f>
        <v/>
      </c>
      <c r="C346" s="66">
        <f>B346/B345-1</f>
        <v/>
      </c>
      <c r="D346" s="66">
        <f>(Table1[[#This Row],[Index]]-B334)/B334</f>
        <v/>
      </c>
    </row>
    <row r="347">
      <c r="A347" s="17" t="n">
        <v>36647</v>
      </c>
      <c r="B347" s="58">
        <f>VLOOKUP(Table1[[#This Row],[Date]],database!A:B,2,)</f>
        <v/>
      </c>
      <c r="C347" s="66">
        <f>B347/B346-1</f>
        <v/>
      </c>
      <c r="D347" s="66">
        <f>(Table1[[#This Row],[Index]]-B335)/B335</f>
        <v/>
      </c>
    </row>
    <row r="348">
      <c r="A348" s="17" t="n">
        <v>36678</v>
      </c>
      <c r="B348" s="58">
        <f>VLOOKUP(Table1[[#This Row],[Date]],database!A:B,2,)</f>
        <v/>
      </c>
      <c r="C348" s="66">
        <f>B348/B347-1</f>
        <v/>
      </c>
      <c r="D348" s="66">
        <f>(Table1[[#This Row],[Index]]-B336)/B336</f>
        <v/>
      </c>
    </row>
    <row r="349">
      <c r="A349" s="17" t="n">
        <v>36708</v>
      </c>
      <c r="B349" s="58">
        <f>VLOOKUP(Table1[[#This Row],[Date]],database!A:B,2,)</f>
        <v/>
      </c>
      <c r="C349" s="66">
        <f>B349/B348-1</f>
        <v/>
      </c>
      <c r="D349" s="66">
        <f>(Table1[[#This Row],[Index]]-B337)/B337</f>
        <v/>
      </c>
    </row>
    <row r="350">
      <c r="A350" s="17" t="n">
        <v>36739</v>
      </c>
      <c r="B350" s="58">
        <f>VLOOKUP(Table1[[#This Row],[Date]],database!A:B,2,)</f>
        <v/>
      </c>
      <c r="C350" s="66">
        <f>B350/B349-1</f>
        <v/>
      </c>
      <c r="D350" s="66">
        <f>(Table1[[#This Row],[Index]]-B338)/B338</f>
        <v/>
      </c>
    </row>
    <row r="351">
      <c r="A351" s="17" t="n">
        <v>36770</v>
      </c>
      <c r="B351" s="58">
        <f>VLOOKUP(Table1[[#This Row],[Date]],database!A:B,2,)</f>
        <v/>
      </c>
      <c r="C351" s="66">
        <f>B351/B350-1</f>
        <v/>
      </c>
      <c r="D351" s="66">
        <f>(Table1[[#This Row],[Index]]-B339)/B339</f>
        <v/>
      </c>
    </row>
    <row r="352">
      <c r="A352" s="17" t="n">
        <v>36800</v>
      </c>
      <c r="B352" s="58">
        <f>VLOOKUP(Table1[[#This Row],[Date]],database!A:B,2,)</f>
        <v/>
      </c>
      <c r="C352" s="66">
        <f>B352/B351-1</f>
        <v/>
      </c>
      <c r="D352" s="66">
        <f>(Table1[[#This Row],[Index]]-B340)/B340</f>
        <v/>
      </c>
    </row>
    <row r="353">
      <c r="A353" s="17" t="n">
        <v>36831</v>
      </c>
      <c r="B353" s="58">
        <f>VLOOKUP(Table1[[#This Row],[Date]],database!A:B,2,)</f>
        <v/>
      </c>
      <c r="C353" s="66">
        <f>B353/B352-1</f>
        <v/>
      </c>
      <c r="D353" s="66">
        <f>(Table1[[#This Row],[Index]]-B341)/B341</f>
        <v/>
      </c>
    </row>
    <row r="354">
      <c r="A354" s="17" t="n">
        <v>36861</v>
      </c>
      <c r="B354" s="58">
        <f>VLOOKUP(Table1[[#This Row],[Date]],database!A:B,2,)</f>
        <v/>
      </c>
      <c r="C354" s="66">
        <f>B354/B353-1</f>
        <v/>
      </c>
      <c r="D354" s="66">
        <f>(Table1[[#This Row],[Index]]-B342)/B342</f>
        <v/>
      </c>
    </row>
    <row r="355">
      <c r="A355" s="17" t="n">
        <v>36892</v>
      </c>
      <c r="B355" s="58">
        <f>VLOOKUP(Table1[[#This Row],[Date]],database!A:B,2,)</f>
        <v/>
      </c>
      <c r="C355" s="66">
        <f>B355/B354-1</f>
        <v/>
      </c>
      <c r="D355" s="66">
        <f>(Table1[[#This Row],[Index]]-B343)/B343</f>
        <v/>
      </c>
    </row>
    <row r="356">
      <c r="A356" s="17" t="n">
        <v>36923</v>
      </c>
      <c r="B356" s="58">
        <f>VLOOKUP(Table1[[#This Row],[Date]],database!A:B,2,)</f>
        <v/>
      </c>
      <c r="C356" s="66">
        <f>B356/B355-1</f>
        <v/>
      </c>
      <c r="D356" s="66">
        <f>(Table1[[#This Row],[Index]]-B344)/B344</f>
        <v/>
      </c>
    </row>
    <row r="357">
      <c r="A357" s="17" t="n">
        <v>36951</v>
      </c>
      <c r="B357" s="58">
        <f>VLOOKUP(Table1[[#This Row],[Date]],database!A:B,2,)</f>
        <v/>
      </c>
      <c r="C357" s="66">
        <f>B357/B356-1</f>
        <v/>
      </c>
      <c r="D357" s="66">
        <f>(Table1[[#This Row],[Index]]-B345)/B345</f>
        <v/>
      </c>
    </row>
    <row r="358">
      <c r="A358" s="17" t="n">
        <v>36982</v>
      </c>
      <c r="B358" s="58">
        <f>VLOOKUP(Table1[[#This Row],[Date]],database!A:B,2,)</f>
        <v/>
      </c>
      <c r="C358" s="66">
        <f>B358/B357-1</f>
        <v/>
      </c>
      <c r="D358" s="66">
        <f>(Table1[[#This Row],[Index]]-B346)/B346</f>
        <v/>
      </c>
    </row>
    <row r="359">
      <c r="A359" s="17" t="n">
        <v>37012</v>
      </c>
      <c r="B359" s="58">
        <f>VLOOKUP(Table1[[#This Row],[Date]],database!A:B,2,)</f>
        <v/>
      </c>
      <c r="C359" s="66">
        <f>B359/B358-1</f>
        <v/>
      </c>
      <c r="D359" s="66">
        <f>(Table1[[#This Row],[Index]]-B347)/B347</f>
        <v/>
      </c>
    </row>
    <row r="360">
      <c r="A360" s="17" t="n">
        <v>37043</v>
      </c>
      <c r="B360" s="58">
        <f>VLOOKUP(Table1[[#This Row],[Date]],database!A:B,2,)</f>
        <v/>
      </c>
      <c r="C360" s="66">
        <f>B360/B359-1</f>
        <v/>
      </c>
      <c r="D360" s="66">
        <f>(Table1[[#This Row],[Index]]-B348)/B348</f>
        <v/>
      </c>
    </row>
    <row r="361">
      <c r="A361" s="17" t="n">
        <v>37073</v>
      </c>
      <c r="B361" s="58">
        <f>VLOOKUP(Table1[[#This Row],[Date]],database!A:B,2,)</f>
        <v/>
      </c>
      <c r="C361" s="66">
        <f>B361/B360-1</f>
        <v/>
      </c>
      <c r="D361" s="66">
        <f>(Table1[[#This Row],[Index]]-B349)/B349</f>
        <v/>
      </c>
    </row>
    <row r="362">
      <c r="A362" s="17" t="n">
        <v>37104</v>
      </c>
      <c r="B362" s="58">
        <f>VLOOKUP(Table1[[#This Row],[Date]],database!A:B,2,)</f>
        <v/>
      </c>
      <c r="C362" s="66">
        <f>B362/B361-1</f>
        <v/>
      </c>
      <c r="D362" s="66">
        <f>(Table1[[#This Row],[Index]]-B350)/B350</f>
        <v/>
      </c>
    </row>
    <row r="363">
      <c r="A363" s="17" t="n">
        <v>37135</v>
      </c>
      <c r="B363" s="58">
        <f>VLOOKUP(Table1[[#This Row],[Date]],database!A:B,2,)</f>
        <v/>
      </c>
      <c r="C363" s="66">
        <f>B363/B362-1</f>
        <v/>
      </c>
      <c r="D363" s="66">
        <f>(Table1[[#This Row],[Index]]-B351)/B351</f>
        <v/>
      </c>
    </row>
    <row r="364">
      <c r="A364" s="17" t="n">
        <v>37165</v>
      </c>
      <c r="B364" s="58">
        <f>VLOOKUP(Table1[[#This Row],[Date]],database!A:B,2,)</f>
        <v/>
      </c>
      <c r="C364" s="66">
        <f>B364/B363-1</f>
        <v/>
      </c>
      <c r="D364" s="66">
        <f>(Table1[[#This Row],[Index]]-B352)/B352</f>
        <v/>
      </c>
    </row>
    <row r="365">
      <c r="A365" s="17" t="n">
        <v>37196</v>
      </c>
      <c r="B365" s="58">
        <f>VLOOKUP(Table1[[#This Row],[Date]],database!A:B,2,)</f>
        <v/>
      </c>
      <c r="C365" s="66">
        <f>B365/B364-1</f>
        <v/>
      </c>
      <c r="D365" s="66">
        <f>(Table1[[#This Row],[Index]]-B353)/B353</f>
        <v/>
      </c>
    </row>
    <row r="366">
      <c r="A366" s="17" t="n">
        <v>37226</v>
      </c>
      <c r="B366" s="58">
        <f>VLOOKUP(Table1[[#This Row],[Date]],database!A:B,2,)</f>
        <v/>
      </c>
      <c r="C366" s="66">
        <f>B366/B365-1</f>
        <v/>
      </c>
      <c r="D366" s="66">
        <f>(Table1[[#This Row],[Index]]-B354)/B354</f>
        <v/>
      </c>
    </row>
    <row r="367">
      <c r="A367" s="17" t="n">
        <v>37257</v>
      </c>
      <c r="B367" s="58">
        <f>VLOOKUP(Table1[[#This Row],[Date]],database!A:B,2,)</f>
        <v/>
      </c>
      <c r="C367" s="66">
        <f>B367/B366-1</f>
        <v/>
      </c>
      <c r="D367" s="66">
        <f>(Table1[[#This Row],[Index]]-B355)/B355</f>
        <v/>
      </c>
    </row>
    <row r="368">
      <c r="A368" s="17" t="n">
        <v>37288</v>
      </c>
      <c r="B368" s="58">
        <f>VLOOKUP(Table1[[#This Row],[Date]],database!A:B,2,)</f>
        <v/>
      </c>
      <c r="C368" s="66">
        <f>B368/B367-1</f>
        <v/>
      </c>
      <c r="D368" s="66">
        <f>(Table1[[#This Row],[Index]]-B356)/B356</f>
        <v/>
      </c>
    </row>
    <row r="369">
      <c r="A369" s="17" t="n">
        <v>37316</v>
      </c>
      <c r="B369" s="58">
        <f>VLOOKUP(Table1[[#This Row],[Date]],database!A:B,2,)</f>
        <v/>
      </c>
      <c r="C369" s="66">
        <f>B369/B368-1</f>
        <v/>
      </c>
      <c r="D369" s="66">
        <f>(Table1[[#This Row],[Index]]-B357)/B357</f>
        <v/>
      </c>
    </row>
    <row r="370">
      <c r="A370" s="17" t="n">
        <v>37347</v>
      </c>
      <c r="B370" s="58">
        <f>VLOOKUP(Table1[[#This Row],[Date]],database!A:B,2,)</f>
        <v/>
      </c>
      <c r="C370" s="66">
        <f>B370/B369-1</f>
        <v/>
      </c>
      <c r="D370" s="66">
        <f>(Table1[[#This Row],[Index]]-B358)/B358</f>
        <v/>
      </c>
    </row>
    <row r="371">
      <c r="A371" s="17" t="n">
        <v>37377</v>
      </c>
      <c r="B371" s="58">
        <f>VLOOKUP(Table1[[#This Row],[Date]],database!A:B,2,)</f>
        <v/>
      </c>
      <c r="C371" s="66">
        <f>B371/B370-1</f>
        <v/>
      </c>
      <c r="D371" s="66">
        <f>(Table1[[#This Row],[Index]]-B359)/B359</f>
        <v/>
      </c>
    </row>
    <row r="372">
      <c r="A372" s="17" t="n">
        <v>37408</v>
      </c>
      <c r="B372" s="58">
        <f>VLOOKUP(Table1[[#This Row],[Date]],database!A:B,2,)</f>
        <v/>
      </c>
      <c r="C372" s="66">
        <f>B372/B371-1</f>
        <v/>
      </c>
      <c r="D372" s="66">
        <f>(Table1[[#This Row],[Index]]-B360)/B360</f>
        <v/>
      </c>
    </row>
    <row r="373">
      <c r="A373" s="17" t="n">
        <v>37438</v>
      </c>
      <c r="B373" s="58">
        <f>VLOOKUP(Table1[[#This Row],[Date]],database!A:B,2,)</f>
        <v/>
      </c>
      <c r="C373" s="66">
        <f>B373/B372-1</f>
        <v/>
      </c>
      <c r="D373" s="66">
        <f>(Table1[[#This Row],[Index]]-B361)/B361</f>
        <v/>
      </c>
    </row>
    <row r="374">
      <c r="A374" s="17" t="n">
        <v>37469</v>
      </c>
      <c r="B374" s="58">
        <f>VLOOKUP(Table1[[#This Row],[Date]],database!A:B,2,)</f>
        <v/>
      </c>
      <c r="C374" s="66">
        <f>B374/B373-1</f>
        <v/>
      </c>
      <c r="D374" s="66">
        <f>(Table1[[#This Row],[Index]]-B362)/B362</f>
        <v/>
      </c>
    </row>
    <row r="375">
      <c r="A375" s="17" t="n">
        <v>37500</v>
      </c>
      <c r="B375" s="58">
        <f>VLOOKUP(Table1[[#This Row],[Date]],database!A:B,2,)</f>
        <v/>
      </c>
      <c r="C375" s="66">
        <f>B375/B374-1</f>
        <v/>
      </c>
      <c r="D375" s="66">
        <f>(Table1[[#This Row],[Index]]-B363)/B363</f>
        <v/>
      </c>
    </row>
    <row r="376">
      <c r="A376" s="17" t="n">
        <v>37530</v>
      </c>
      <c r="B376" s="58">
        <f>VLOOKUP(Table1[[#This Row],[Date]],database!A:B,2,)</f>
        <v/>
      </c>
      <c r="C376" s="66">
        <f>B376/B375-1</f>
        <v/>
      </c>
      <c r="D376" s="66">
        <f>(Table1[[#This Row],[Index]]-B364)/B364</f>
        <v/>
      </c>
    </row>
    <row r="377">
      <c r="A377" s="17" t="n">
        <v>37561</v>
      </c>
      <c r="B377" s="58">
        <f>VLOOKUP(Table1[[#This Row],[Date]],database!A:B,2,)</f>
        <v/>
      </c>
      <c r="C377" s="66">
        <f>B377/B376-1</f>
        <v/>
      </c>
      <c r="D377" s="66">
        <f>(Table1[[#This Row],[Index]]-B365)/B365</f>
        <v/>
      </c>
    </row>
    <row r="378">
      <c r="A378" s="17" t="n">
        <v>37591</v>
      </c>
      <c r="B378" s="58">
        <f>VLOOKUP(Table1[[#This Row],[Date]],database!A:B,2,)</f>
        <v/>
      </c>
      <c r="C378" s="66">
        <f>B378/B377-1</f>
        <v/>
      </c>
      <c r="D378" s="66">
        <f>(Table1[[#This Row],[Index]]-B366)/B366</f>
        <v/>
      </c>
    </row>
    <row r="379">
      <c r="A379" s="17" t="n">
        <v>37622</v>
      </c>
      <c r="B379" s="58">
        <f>VLOOKUP(Table1[[#This Row],[Date]],database!A:B,2,)</f>
        <v/>
      </c>
      <c r="C379" s="66">
        <f>B379/B378-1</f>
        <v/>
      </c>
      <c r="D379" s="66">
        <f>(Table1[[#This Row],[Index]]-B367)/B367</f>
        <v/>
      </c>
    </row>
    <row r="380">
      <c r="A380" s="17" t="n">
        <v>37653</v>
      </c>
      <c r="B380" s="58">
        <f>VLOOKUP(Table1[[#This Row],[Date]],database!A:B,2,)</f>
        <v/>
      </c>
      <c r="C380" s="66">
        <f>B380/B379-1</f>
        <v/>
      </c>
      <c r="D380" s="66">
        <f>(Table1[[#This Row],[Index]]-B368)/B368</f>
        <v/>
      </c>
    </row>
    <row r="381">
      <c r="A381" s="17" t="n">
        <v>37681</v>
      </c>
      <c r="B381" s="58">
        <f>VLOOKUP(Table1[[#This Row],[Date]],database!A:B,2,)</f>
        <v/>
      </c>
      <c r="C381" s="66">
        <f>B381/B380-1</f>
        <v/>
      </c>
      <c r="D381" s="66">
        <f>(Table1[[#This Row],[Index]]-B369)/B369</f>
        <v/>
      </c>
    </row>
    <row r="382">
      <c r="A382" s="17" t="n">
        <v>37712</v>
      </c>
      <c r="B382" s="58">
        <f>VLOOKUP(Table1[[#This Row],[Date]],database!A:B,2,)</f>
        <v/>
      </c>
      <c r="C382" s="66">
        <f>B382/B381-1</f>
        <v/>
      </c>
      <c r="D382" s="66">
        <f>(Table1[[#This Row],[Index]]-B370)/B370</f>
        <v/>
      </c>
    </row>
    <row r="383">
      <c r="A383" s="17" t="n">
        <v>37742</v>
      </c>
      <c r="B383" s="58">
        <f>VLOOKUP(Table1[[#This Row],[Date]],database!A:B,2,)</f>
        <v/>
      </c>
      <c r="C383" s="66">
        <f>B383/B382-1</f>
        <v/>
      </c>
      <c r="D383" s="66">
        <f>(Table1[[#This Row],[Index]]-B371)/B371</f>
        <v/>
      </c>
    </row>
    <row r="384">
      <c r="A384" s="17" t="n">
        <v>37773</v>
      </c>
      <c r="B384" s="58">
        <f>VLOOKUP(Table1[[#This Row],[Date]],database!A:B,2,)</f>
        <v/>
      </c>
      <c r="C384" s="66">
        <f>B384/B383-1</f>
        <v/>
      </c>
      <c r="D384" s="66">
        <f>(Table1[[#This Row],[Index]]-B372)/B372</f>
        <v/>
      </c>
    </row>
    <row r="385">
      <c r="A385" s="17" t="n">
        <v>37803</v>
      </c>
      <c r="B385" s="58">
        <f>VLOOKUP(Table1[[#This Row],[Date]],database!A:B,2,)</f>
        <v/>
      </c>
      <c r="C385" s="66">
        <f>B385/B384-1</f>
        <v/>
      </c>
      <c r="D385" s="66">
        <f>(Table1[[#This Row],[Index]]-B373)/B373</f>
        <v/>
      </c>
    </row>
    <row r="386">
      <c r="A386" s="17" t="n">
        <v>37834</v>
      </c>
      <c r="B386" s="58">
        <f>VLOOKUP(Table1[[#This Row],[Date]],database!A:B,2,)</f>
        <v/>
      </c>
      <c r="C386" s="66">
        <f>B386/B385-1</f>
        <v/>
      </c>
      <c r="D386" s="66">
        <f>(Table1[[#This Row],[Index]]-B374)/B374</f>
        <v/>
      </c>
    </row>
    <row r="387">
      <c r="A387" s="17" t="n">
        <v>37865</v>
      </c>
      <c r="B387" s="58">
        <f>VLOOKUP(Table1[[#This Row],[Date]],database!A:B,2,)</f>
        <v/>
      </c>
      <c r="C387" s="66">
        <f>B387/B386-1</f>
        <v/>
      </c>
      <c r="D387" s="66">
        <f>(Table1[[#This Row],[Index]]-B375)/B375</f>
        <v/>
      </c>
    </row>
    <row r="388">
      <c r="A388" s="17" t="n">
        <v>37895</v>
      </c>
      <c r="B388" s="58">
        <f>VLOOKUP(Table1[[#This Row],[Date]],database!A:B,2,)</f>
        <v/>
      </c>
      <c r="C388" s="66">
        <f>B388/B387-1</f>
        <v/>
      </c>
      <c r="D388" s="66">
        <f>(Table1[[#This Row],[Index]]-B376)/B376</f>
        <v/>
      </c>
    </row>
    <row r="389">
      <c r="A389" s="17" t="n">
        <v>37926</v>
      </c>
      <c r="B389" s="58">
        <f>VLOOKUP(Table1[[#This Row],[Date]],database!A:B,2,)</f>
        <v/>
      </c>
      <c r="C389" s="66">
        <f>B389/B388-1</f>
        <v/>
      </c>
      <c r="D389" s="66">
        <f>(Table1[[#This Row],[Index]]-B377)/B377</f>
        <v/>
      </c>
    </row>
    <row r="390">
      <c r="A390" s="17" t="n">
        <v>37956</v>
      </c>
      <c r="B390" s="58">
        <f>VLOOKUP(Table1[[#This Row],[Date]],database!A:B,2,)</f>
        <v/>
      </c>
      <c r="C390" s="66">
        <f>B390/B389-1</f>
        <v/>
      </c>
      <c r="D390" s="66">
        <f>(Table1[[#This Row],[Index]]-B378)/B378</f>
        <v/>
      </c>
    </row>
    <row r="391">
      <c r="A391" s="17" t="n">
        <v>37987</v>
      </c>
      <c r="B391" s="58">
        <f>VLOOKUP(Table1[[#This Row],[Date]],database!A:B,2,)</f>
        <v/>
      </c>
      <c r="C391" s="66">
        <f>B391/B390-1</f>
        <v/>
      </c>
      <c r="D391" s="66">
        <f>(Table1[[#This Row],[Index]]-B379)/B379</f>
        <v/>
      </c>
    </row>
    <row r="392">
      <c r="A392" s="17" t="n">
        <v>38018</v>
      </c>
      <c r="B392" s="58">
        <f>VLOOKUP(Table1[[#This Row],[Date]],database!A:B,2,)</f>
        <v/>
      </c>
      <c r="C392" s="66">
        <f>B392/B391-1</f>
        <v/>
      </c>
      <c r="D392" s="66">
        <f>(Table1[[#This Row],[Index]]-B380)/B380</f>
        <v/>
      </c>
    </row>
    <row r="393">
      <c r="A393" s="17" t="n">
        <v>38047</v>
      </c>
      <c r="B393" s="58">
        <f>VLOOKUP(Table1[[#This Row],[Date]],database!A:B,2,)</f>
        <v/>
      </c>
      <c r="C393" s="66">
        <f>B393/B392-1</f>
        <v/>
      </c>
      <c r="D393" s="66">
        <f>(Table1[[#This Row],[Index]]-B381)/B381</f>
        <v/>
      </c>
    </row>
    <row r="394">
      <c r="A394" s="17" t="n">
        <v>38078</v>
      </c>
      <c r="B394" s="58">
        <f>VLOOKUP(Table1[[#This Row],[Date]],database!A:B,2,)</f>
        <v/>
      </c>
      <c r="C394" s="66">
        <f>B394/B393-1</f>
        <v/>
      </c>
      <c r="D394" s="66">
        <f>(Table1[[#This Row],[Index]]-B382)/B382</f>
        <v/>
      </c>
    </row>
    <row r="395">
      <c r="A395" s="17" t="n">
        <v>38108</v>
      </c>
      <c r="B395" s="58">
        <f>VLOOKUP(Table1[[#This Row],[Date]],database!A:B,2,)</f>
        <v/>
      </c>
      <c r="C395" s="66">
        <f>B395/B394-1</f>
        <v/>
      </c>
      <c r="D395" s="66">
        <f>(Table1[[#This Row],[Index]]-B383)/B383</f>
        <v/>
      </c>
    </row>
    <row r="396">
      <c r="A396" s="17" t="n">
        <v>38139</v>
      </c>
      <c r="B396" s="58">
        <f>VLOOKUP(Table1[[#This Row],[Date]],database!A:B,2,)</f>
        <v/>
      </c>
      <c r="C396" s="66">
        <f>B396/B395-1</f>
        <v/>
      </c>
      <c r="D396" s="66">
        <f>(Table1[[#This Row],[Index]]-B384)/B384</f>
        <v/>
      </c>
    </row>
    <row r="397">
      <c r="A397" s="17" t="n">
        <v>38169</v>
      </c>
      <c r="B397" s="58">
        <f>VLOOKUP(Table1[[#This Row],[Date]],database!A:B,2,)</f>
        <v/>
      </c>
      <c r="C397" s="66">
        <f>B397/B396-1</f>
        <v/>
      </c>
      <c r="D397" s="66">
        <f>(Table1[[#This Row],[Index]]-B385)/B385</f>
        <v/>
      </c>
    </row>
    <row r="398">
      <c r="A398" s="17" t="n">
        <v>38200</v>
      </c>
      <c r="B398" s="58">
        <f>VLOOKUP(Table1[[#This Row],[Date]],database!A:B,2,)</f>
        <v/>
      </c>
      <c r="C398" s="66">
        <f>B398/B397-1</f>
        <v/>
      </c>
      <c r="D398" s="66">
        <f>(Table1[[#This Row],[Index]]-B386)/B386</f>
        <v/>
      </c>
    </row>
    <row r="399">
      <c r="A399" s="17" t="n">
        <v>38231</v>
      </c>
      <c r="B399" s="58">
        <f>VLOOKUP(Table1[[#This Row],[Date]],database!A:B,2,)</f>
        <v/>
      </c>
      <c r="C399" s="66">
        <f>B399/B398-1</f>
        <v/>
      </c>
      <c r="D399" s="66">
        <f>(Table1[[#This Row],[Index]]-B387)/B387</f>
        <v/>
      </c>
    </row>
    <row r="400">
      <c r="A400" s="17" t="n">
        <v>38261</v>
      </c>
      <c r="B400" s="58">
        <f>VLOOKUP(Table1[[#This Row],[Date]],database!A:B,2,)</f>
        <v/>
      </c>
      <c r="C400" s="66">
        <f>B400/B399-1</f>
        <v/>
      </c>
      <c r="D400" s="66">
        <f>(Table1[[#This Row],[Index]]-B388)/B388</f>
        <v/>
      </c>
    </row>
    <row r="401">
      <c r="A401" s="17" t="n">
        <v>38292</v>
      </c>
      <c r="B401" s="58">
        <f>VLOOKUP(Table1[[#This Row],[Date]],database!A:B,2,)</f>
        <v/>
      </c>
      <c r="C401" s="66">
        <f>B401/B400-1</f>
        <v/>
      </c>
      <c r="D401" s="66">
        <f>(Table1[[#This Row],[Index]]-B389)/B389</f>
        <v/>
      </c>
    </row>
    <row r="402">
      <c r="A402" s="17" t="n">
        <v>38322</v>
      </c>
      <c r="B402" s="58">
        <f>VLOOKUP(Table1[[#This Row],[Date]],database!A:B,2,)</f>
        <v/>
      </c>
      <c r="C402" s="66">
        <f>B402/B401-1</f>
        <v/>
      </c>
      <c r="D402" s="66">
        <f>(Table1[[#This Row],[Index]]-B390)/B390</f>
        <v/>
      </c>
    </row>
    <row r="403">
      <c r="A403" s="17" t="n">
        <v>38353</v>
      </c>
      <c r="B403" s="58">
        <f>VLOOKUP(Table1[[#This Row],[Date]],database!A:B,2,)</f>
        <v/>
      </c>
      <c r="C403" s="66">
        <f>B403/B402-1</f>
        <v/>
      </c>
      <c r="D403" s="66">
        <f>(Table1[[#This Row],[Index]]-B391)/B391</f>
        <v/>
      </c>
    </row>
    <row r="404">
      <c r="A404" s="17" t="n">
        <v>38384</v>
      </c>
      <c r="B404" s="58">
        <f>VLOOKUP(Table1[[#This Row],[Date]],database!A:B,2,)</f>
        <v/>
      </c>
      <c r="C404" s="66">
        <f>B404/B403-1</f>
        <v/>
      </c>
      <c r="D404" s="66">
        <f>(Table1[[#This Row],[Index]]-B392)/B392</f>
        <v/>
      </c>
    </row>
    <row r="405">
      <c r="A405" s="17" t="n">
        <v>38412</v>
      </c>
      <c r="B405" s="58">
        <f>VLOOKUP(Table1[[#This Row],[Date]],database!A:B,2,)</f>
        <v/>
      </c>
      <c r="C405" s="66">
        <f>B405/B404-1</f>
        <v/>
      </c>
      <c r="D405" s="66">
        <f>(Table1[[#This Row],[Index]]-B393)/B393</f>
        <v/>
      </c>
    </row>
    <row r="406">
      <c r="A406" s="17" t="n">
        <v>38443</v>
      </c>
      <c r="B406" s="58">
        <f>VLOOKUP(Table1[[#This Row],[Date]],database!A:B,2,)</f>
        <v/>
      </c>
      <c r="C406" s="66">
        <f>B406/B405-1</f>
        <v/>
      </c>
      <c r="D406" s="66">
        <f>(Table1[[#This Row],[Index]]-B394)/B394</f>
        <v/>
      </c>
    </row>
    <row r="407">
      <c r="A407" s="17" t="n">
        <v>38473</v>
      </c>
      <c r="B407" s="58">
        <f>VLOOKUP(Table1[[#This Row],[Date]],database!A:B,2,)</f>
        <v/>
      </c>
      <c r="C407" s="66">
        <f>B407/B406-1</f>
        <v/>
      </c>
      <c r="D407" s="66">
        <f>(Table1[[#This Row],[Index]]-B395)/B395</f>
        <v/>
      </c>
    </row>
    <row r="408">
      <c r="A408" s="17" t="n">
        <v>38504</v>
      </c>
      <c r="B408" s="58">
        <f>VLOOKUP(Table1[[#This Row],[Date]],database!A:B,2,)</f>
        <v/>
      </c>
      <c r="C408" s="66">
        <f>B408/B407-1</f>
        <v/>
      </c>
      <c r="D408" s="66">
        <f>(Table1[[#This Row],[Index]]-B396)/B396</f>
        <v/>
      </c>
    </row>
    <row r="409">
      <c r="A409" s="17" t="n">
        <v>38534</v>
      </c>
      <c r="B409" s="58">
        <f>VLOOKUP(Table1[[#This Row],[Date]],database!A:B,2,)</f>
        <v/>
      </c>
      <c r="C409" s="66">
        <f>B409/B408-1</f>
        <v/>
      </c>
      <c r="D409" s="66">
        <f>(Table1[[#This Row],[Index]]-B397)/B397</f>
        <v/>
      </c>
    </row>
    <row r="410">
      <c r="A410" s="17" t="n">
        <v>38565</v>
      </c>
      <c r="B410" s="58">
        <f>VLOOKUP(Table1[[#This Row],[Date]],database!A:B,2,)</f>
        <v/>
      </c>
      <c r="C410" s="66">
        <f>B410/B409-1</f>
        <v/>
      </c>
      <c r="D410" s="66">
        <f>(Table1[[#This Row],[Index]]-B398)/B398</f>
        <v/>
      </c>
    </row>
    <row r="411">
      <c r="A411" s="17" t="n">
        <v>38596</v>
      </c>
      <c r="B411" s="58">
        <f>VLOOKUP(Table1[[#This Row],[Date]],database!A:B,2,)</f>
        <v/>
      </c>
      <c r="C411" s="66">
        <f>B411/B410-1</f>
        <v/>
      </c>
      <c r="D411" s="66">
        <f>(Table1[[#This Row],[Index]]-B399)/B399</f>
        <v/>
      </c>
    </row>
    <row r="412">
      <c r="A412" s="17" t="n">
        <v>38626</v>
      </c>
      <c r="B412" s="58">
        <f>VLOOKUP(Table1[[#This Row],[Date]],database!A:B,2,)</f>
        <v/>
      </c>
      <c r="C412" s="66">
        <f>B412/B411-1</f>
        <v/>
      </c>
      <c r="D412" s="66">
        <f>(Table1[[#This Row],[Index]]-B400)/B400</f>
        <v/>
      </c>
    </row>
    <row r="413">
      <c r="A413" s="17" t="n">
        <v>38657</v>
      </c>
      <c r="B413" s="58">
        <f>VLOOKUP(Table1[[#This Row],[Date]],database!A:B,2,)</f>
        <v/>
      </c>
      <c r="C413" s="66">
        <f>B413/B412-1</f>
        <v/>
      </c>
      <c r="D413" s="66">
        <f>(Table1[[#This Row],[Index]]-B401)/B401</f>
        <v/>
      </c>
    </row>
    <row r="414">
      <c r="A414" s="17" t="n">
        <v>38687</v>
      </c>
      <c r="B414" s="58">
        <f>VLOOKUP(Table1[[#This Row],[Date]],database!A:B,2,)</f>
        <v/>
      </c>
      <c r="C414" s="66">
        <f>B414/B413-1</f>
        <v/>
      </c>
      <c r="D414" s="66">
        <f>(Table1[[#This Row],[Index]]-B402)/B402</f>
        <v/>
      </c>
    </row>
    <row r="415">
      <c r="A415" s="17" t="n">
        <v>38718</v>
      </c>
      <c r="B415" s="58">
        <f>VLOOKUP(Table1[[#This Row],[Date]],database!A:B,2,)</f>
        <v/>
      </c>
      <c r="C415" s="66">
        <f>B415/B414-1</f>
        <v/>
      </c>
      <c r="D415" s="66">
        <f>(Table1[[#This Row],[Index]]-B403)/B403</f>
        <v/>
      </c>
    </row>
    <row r="416">
      <c r="A416" s="17" t="n">
        <v>38749</v>
      </c>
      <c r="B416" s="58">
        <f>VLOOKUP(Table1[[#This Row],[Date]],database!A:B,2,)</f>
        <v/>
      </c>
      <c r="C416" s="66">
        <f>B416/B415-1</f>
        <v/>
      </c>
      <c r="D416" s="66">
        <f>(Table1[[#This Row],[Index]]-B404)/B404</f>
        <v/>
      </c>
    </row>
    <row r="417">
      <c r="A417" s="17" t="n">
        <v>38777</v>
      </c>
      <c r="B417" s="58">
        <f>VLOOKUP(Table1[[#This Row],[Date]],database!A:B,2,)</f>
        <v/>
      </c>
      <c r="C417" s="66">
        <f>B417/B416-1</f>
        <v/>
      </c>
      <c r="D417" s="66">
        <f>(Table1[[#This Row],[Index]]-B405)/B405</f>
        <v/>
      </c>
    </row>
    <row r="418">
      <c r="A418" s="17" t="n">
        <v>38808</v>
      </c>
      <c r="B418" s="58">
        <f>VLOOKUP(Table1[[#This Row],[Date]],database!A:B,2,)</f>
        <v/>
      </c>
      <c r="C418" s="66">
        <f>B418/B417-1</f>
        <v/>
      </c>
      <c r="D418" s="66">
        <f>(Table1[[#This Row],[Index]]-B406)/B406</f>
        <v/>
      </c>
    </row>
    <row r="419">
      <c r="A419" s="17" t="n">
        <v>38838</v>
      </c>
      <c r="B419" s="58">
        <f>VLOOKUP(Table1[[#This Row],[Date]],database!A:B,2,)</f>
        <v/>
      </c>
      <c r="C419" s="66">
        <f>B419/B418-1</f>
        <v/>
      </c>
      <c r="D419" s="66">
        <f>(Table1[[#This Row],[Index]]-B407)/B407</f>
        <v/>
      </c>
    </row>
    <row r="420">
      <c r="A420" s="17" t="n">
        <v>38869</v>
      </c>
      <c r="B420" s="58">
        <f>VLOOKUP(Table1[[#This Row],[Date]],database!A:B,2,)</f>
        <v/>
      </c>
      <c r="C420" s="66">
        <f>B420/B419-1</f>
        <v/>
      </c>
      <c r="D420" s="66">
        <f>(Table1[[#This Row],[Index]]-B408)/B408</f>
        <v/>
      </c>
    </row>
    <row r="421">
      <c r="A421" s="17" t="n">
        <v>38899</v>
      </c>
      <c r="B421" s="58">
        <f>VLOOKUP(Table1[[#This Row],[Date]],database!A:B,2,)</f>
        <v/>
      </c>
      <c r="C421" s="66">
        <f>B421/B420-1</f>
        <v/>
      </c>
      <c r="D421" s="66">
        <f>(Table1[[#This Row],[Index]]-B409)/B409</f>
        <v/>
      </c>
    </row>
    <row r="422">
      <c r="A422" s="17" t="n">
        <v>38930</v>
      </c>
      <c r="B422" s="58">
        <f>VLOOKUP(Table1[[#This Row],[Date]],database!A:B,2,)</f>
        <v/>
      </c>
      <c r="C422" s="66">
        <f>B422/B421-1</f>
        <v/>
      </c>
      <c r="D422" s="66">
        <f>(Table1[[#This Row],[Index]]-B410)/B410</f>
        <v/>
      </c>
    </row>
    <row r="423">
      <c r="A423" s="17" t="n">
        <v>38961</v>
      </c>
      <c r="B423" s="58">
        <f>VLOOKUP(Table1[[#This Row],[Date]],database!A:B,2,)</f>
        <v/>
      </c>
      <c r="C423" s="66">
        <f>B423/B422-1</f>
        <v/>
      </c>
      <c r="D423" s="66">
        <f>(Table1[[#This Row],[Index]]-B411)/B411</f>
        <v/>
      </c>
    </row>
    <row r="424">
      <c r="A424" s="17" t="n">
        <v>38991</v>
      </c>
      <c r="B424" s="58">
        <f>VLOOKUP(Table1[[#This Row],[Date]],database!A:B,2,)</f>
        <v/>
      </c>
      <c r="C424" s="66">
        <f>B424/B423-1</f>
        <v/>
      </c>
      <c r="D424" s="66">
        <f>(Table1[[#This Row],[Index]]-B412)/B412</f>
        <v/>
      </c>
    </row>
    <row r="425">
      <c r="A425" s="17" t="n">
        <v>39022</v>
      </c>
      <c r="B425" s="58">
        <f>VLOOKUP(Table1[[#This Row],[Date]],database!A:B,2,)</f>
        <v/>
      </c>
      <c r="C425" s="66">
        <f>B425/B424-1</f>
        <v/>
      </c>
      <c r="D425" s="66">
        <f>(Table1[[#This Row],[Index]]-B413)/B413</f>
        <v/>
      </c>
    </row>
    <row r="426">
      <c r="A426" s="17" t="n">
        <v>39052</v>
      </c>
      <c r="B426" s="58">
        <f>VLOOKUP(Table1[[#This Row],[Date]],database!A:B,2,)</f>
        <v/>
      </c>
      <c r="C426" s="66">
        <f>B426/B425-1</f>
        <v/>
      </c>
      <c r="D426" s="66">
        <f>(Table1[[#This Row],[Index]]-B414)/B414</f>
        <v/>
      </c>
    </row>
    <row r="427">
      <c r="A427" s="17" t="n">
        <v>39083</v>
      </c>
      <c r="B427" s="58">
        <f>VLOOKUP(Table1[[#This Row],[Date]],database!A:B,2,)</f>
        <v/>
      </c>
      <c r="C427" s="66">
        <f>B427/B426-1</f>
        <v/>
      </c>
      <c r="D427" s="66">
        <f>(Table1[[#This Row],[Index]]-B415)/B415</f>
        <v/>
      </c>
    </row>
    <row r="428">
      <c r="A428" s="17" t="n">
        <v>39114</v>
      </c>
      <c r="B428" s="58">
        <f>VLOOKUP(Table1[[#This Row],[Date]],database!A:B,2,)</f>
        <v/>
      </c>
      <c r="C428" s="66">
        <f>B428/B427-1</f>
        <v/>
      </c>
      <c r="D428" s="66">
        <f>(Table1[[#This Row],[Index]]-B416)/B416</f>
        <v/>
      </c>
    </row>
    <row r="429">
      <c r="A429" s="17" t="n">
        <v>39142</v>
      </c>
      <c r="B429" s="58">
        <f>VLOOKUP(Table1[[#This Row],[Date]],database!A:B,2,)</f>
        <v/>
      </c>
      <c r="C429" s="66">
        <f>B429/B428-1</f>
        <v/>
      </c>
      <c r="D429" s="66">
        <f>(Table1[[#This Row],[Index]]-B417)/B417</f>
        <v/>
      </c>
    </row>
    <row r="430">
      <c r="A430" s="17" t="n">
        <v>39173</v>
      </c>
      <c r="B430" s="58">
        <f>VLOOKUP(Table1[[#This Row],[Date]],database!A:B,2,)</f>
        <v/>
      </c>
      <c r="C430" s="66">
        <f>B430/B429-1</f>
        <v/>
      </c>
      <c r="D430" s="66">
        <f>(Table1[[#This Row],[Index]]-B418)/B418</f>
        <v/>
      </c>
    </row>
    <row r="431">
      <c r="A431" s="17" t="n">
        <v>39203</v>
      </c>
      <c r="B431" s="58">
        <f>VLOOKUP(Table1[[#This Row],[Date]],database!A:B,2,)</f>
        <v/>
      </c>
      <c r="C431" s="66">
        <f>B431/B430-1</f>
        <v/>
      </c>
      <c r="D431" s="66">
        <f>(Table1[[#This Row],[Index]]-B419)/B419</f>
        <v/>
      </c>
    </row>
    <row r="432">
      <c r="A432" s="17" t="n">
        <v>39234</v>
      </c>
      <c r="B432" s="58">
        <f>VLOOKUP(Table1[[#This Row],[Date]],database!A:B,2,)</f>
        <v/>
      </c>
      <c r="C432" s="66">
        <f>B432/B431-1</f>
        <v/>
      </c>
      <c r="D432" s="66">
        <f>(Table1[[#This Row],[Index]]-B420)/B420</f>
        <v/>
      </c>
    </row>
    <row r="433">
      <c r="A433" s="17" t="n">
        <v>39264</v>
      </c>
      <c r="B433" s="58">
        <f>VLOOKUP(Table1[[#This Row],[Date]],database!A:B,2,)</f>
        <v/>
      </c>
      <c r="C433" s="66">
        <f>B433/B432-1</f>
        <v/>
      </c>
      <c r="D433" s="66">
        <f>(Table1[[#This Row],[Index]]-B421)/B421</f>
        <v/>
      </c>
    </row>
    <row r="434">
      <c r="A434" s="17" t="n">
        <v>39295</v>
      </c>
      <c r="B434" s="58">
        <f>VLOOKUP(Table1[[#This Row],[Date]],database!A:B,2,)</f>
        <v/>
      </c>
      <c r="C434" s="66">
        <f>B434/B433-1</f>
        <v/>
      </c>
      <c r="D434" s="66">
        <f>(Table1[[#This Row],[Index]]-B422)/B422</f>
        <v/>
      </c>
    </row>
    <row r="435">
      <c r="A435" s="17" t="n">
        <v>39326</v>
      </c>
      <c r="B435" s="58">
        <f>VLOOKUP(Table1[[#This Row],[Date]],database!A:B,2,)</f>
        <v/>
      </c>
      <c r="C435" s="66">
        <f>B435/B434-1</f>
        <v/>
      </c>
      <c r="D435" s="66">
        <f>(Table1[[#This Row],[Index]]-B423)/B423</f>
        <v/>
      </c>
    </row>
    <row r="436">
      <c r="A436" s="17" t="n">
        <v>39356</v>
      </c>
      <c r="B436" s="58">
        <f>VLOOKUP(Table1[[#This Row],[Date]],database!A:B,2,)</f>
        <v/>
      </c>
      <c r="C436" s="66">
        <f>B436/B435-1</f>
        <v/>
      </c>
      <c r="D436" s="66">
        <f>(Table1[[#This Row],[Index]]-B424)/B424</f>
        <v/>
      </c>
    </row>
    <row r="437">
      <c r="A437" s="17" t="n">
        <v>39387</v>
      </c>
      <c r="B437" s="58">
        <f>VLOOKUP(Table1[[#This Row],[Date]],database!A:B,2,)</f>
        <v/>
      </c>
      <c r="C437" s="66">
        <f>B437/B436-1</f>
        <v/>
      </c>
      <c r="D437" s="66">
        <f>(Table1[[#This Row],[Index]]-B425)/B425</f>
        <v/>
      </c>
    </row>
    <row r="438">
      <c r="A438" s="17" t="n">
        <v>39417</v>
      </c>
      <c r="B438" s="58">
        <f>VLOOKUP(Table1[[#This Row],[Date]],database!A:B,2,)</f>
        <v/>
      </c>
      <c r="C438" s="66">
        <f>B438/B437-1</f>
        <v/>
      </c>
      <c r="D438" s="66">
        <f>(Table1[[#This Row],[Index]]-B426)/B426</f>
        <v/>
      </c>
    </row>
    <row r="439">
      <c r="A439" s="17" t="n">
        <v>39448</v>
      </c>
      <c r="B439" s="58">
        <f>VLOOKUP(Table1[[#This Row],[Date]],database!A:B,2,)</f>
        <v/>
      </c>
      <c r="C439" s="66">
        <f>B439/B438-1</f>
        <v/>
      </c>
      <c r="D439" s="66">
        <f>(Table1[[#This Row],[Index]]-B427)/B427</f>
        <v/>
      </c>
    </row>
    <row r="440">
      <c r="A440" s="17" t="n">
        <v>39479</v>
      </c>
      <c r="B440" s="58">
        <f>VLOOKUP(Table1[[#This Row],[Date]],database!A:B,2,)</f>
        <v/>
      </c>
      <c r="C440" s="66">
        <f>B440/B439-1</f>
        <v/>
      </c>
      <c r="D440" s="66">
        <f>(Table1[[#This Row],[Index]]-B428)/B428</f>
        <v/>
      </c>
    </row>
    <row r="441">
      <c r="A441" s="17" t="n">
        <v>39508</v>
      </c>
      <c r="B441" s="58">
        <f>VLOOKUP(Table1[[#This Row],[Date]],database!A:B,2,)</f>
        <v/>
      </c>
      <c r="C441" s="66">
        <f>B441/B440-1</f>
        <v/>
      </c>
      <c r="D441" s="66">
        <f>(Table1[[#This Row],[Index]]-B429)/B429</f>
        <v/>
      </c>
    </row>
    <row r="442">
      <c r="A442" s="17" t="n">
        <v>39539</v>
      </c>
      <c r="B442" s="58">
        <f>VLOOKUP(Table1[[#This Row],[Date]],database!A:B,2,)</f>
        <v/>
      </c>
      <c r="C442" s="66">
        <f>B442/B441-1</f>
        <v/>
      </c>
      <c r="D442" s="66">
        <f>(Table1[[#This Row],[Index]]-B430)/B430</f>
        <v/>
      </c>
    </row>
    <row r="443">
      <c r="A443" s="17" t="n">
        <v>39569</v>
      </c>
      <c r="B443" s="58">
        <f>VLOOKUP(Table1[[#This Row],[Date]],database!A:B,2,)</f>
        <v/>
      </c>
      <c r="C443" s="66">
        <f>B443/B442-1</f>
        <v/>
      </c>
      <c r="D443" s="66">
        <f>(Table1[[#This Row],[Index]]-B431)/B431</f>
        <v/>
      </c>
    </row>
    <row r="444">
      <c r="A444" s="17" t="n">
        <v>39600</v>
      </c>
      <c r="B444" s="58">
        <f>VLOOKUP(Table1[[#This Row],[Date]],database!A:B,2,)</f>
        <v/>
      </c>
      <c r="C444" s="66">
        <f>B444/B443-1</f>
        <v/>
      </c>
      <c r="D444" s="66">
        <f>(Table1[[#This Row],[Index]]-B432)/B432</f>
        <v/>
      </c>
    </row>
    <row r="445">
      <c r="A445" s="17" t="n">
        <v>39630</v>
      </c>
      <c r="B445" s="58">
        <f>VLOOKUP(Table1[[#This Row],[Date]],database!A:B,2,)</f>
        <v/>
      </c>
      <c r="C445" s="66">
        <f>B445/B444-1</f>
        <v/>
      </c>
      <c r="D445" s="66">
        <f>(Table1[[#This Row],[Index]]-B433)/B433</f>
        <v/>
      </c>
    </row>
    <row r="446">
      <c r="A446" s="17" t="n">
        <v>39661</v>
      </c>
      <c r="B446" s="58">
        <f>VLOOKUP(Table1[[#This Row],[Date]],database!A:B,2,)</f>
        <v/>
      </c>
      <c r="C446" s="66">
        <f>B446/B445-1</f>
        <v/>
      </c>
      <c r="D446" s="66">
        <f>(Table1[[#This Row],[Index]]-B434)/B434</f>
        <v/>
      </c>
    </row>
    <row r="447">
      <c r="A447" s="17" t="n">
        <v>39692</v>
      </c>
      <c r="B447" s="58">
        <f>VLOOKUP(Table1[[#This Row],[Date]],database!A:B,2,)</f>
        <v/>
      </c>
      <c r="C447" s="66">
        <f>B447/B446-1</f>
        <v/>
      </c>
      <c r="D447" s="66">
        <f>(Table1[[#This Row],[Index]]-B435)/B435</f>
        <v/>
      </c>
    </row>
    <row r="448">
      <c r="A448" s="17" t="n">
        <v>39722</v>
      </c>
      <c r="B448" s="58">
        <f>VLOOKUP(Table1[[#This Row],[Date]],database!A:B,2,)</f>
        <v/>
      </c>
      <c r="C448" s="66">
        <f>B448/B447-1</f>
        <v/>
      </c>
      <c r="D448" s="66">
        <f>(Table1[[#This Row],[Index]]-B436)/B436</f>
        <v/>
      </c>
    </row>
    <row r="449">
      <c r="A449" s="17" t="n">
        <v>39753</v>
      </c>
      <c r="B449" s="58">
        <f>VLOOKUP(Table1[[#This Row],[Date]],database!A:B,2,)</f>
        <v/>
      </c>
      <c r="C449" s="66">
        <f>B449/B448-1</f>
        <v/>
      </c>
      <c r="D449" s="66">
        <f>(Table1[[#This Row],[Index]]-B437)/B437</f>
        <v/>
      </c>
    </row>
    <row r="450">
      <c r="A450" s="17" t="n">
        <v>39783</v>
      </c>
      <c r="B450" s="58">
        <f>VLOOKUP(Table1[[#This Row],[Date]],database!A:B,2,)</f>
        <v/>
      </c>
      <c r="C450" s="66">
        <f>B450/B449-1</f>
        <v/>
      </c>
      <c r="D450" s="66">
        <f>(Table1[[#This Row],[Index]]-B438)/B438</f>
        <v/>
      </c>
    </row>
    <row r="451">
      <c r="A451" s="17" t="n">
        <v>39814</v>
      </c>
      <c r="B451" s="58">
        <f>VLOOKUP(Table1[[#This Row],[Date]],database!A:B,2,)</f>
        <v/>
      </c>
      <c r="C451" s="66">
        <f>B451/B450-1</f>
        <v/>
      </c>
      <c r="D451" s="66">
        <f>(Table1[[#This Row],[Index]]-B439)/B439</f>
        <v/>
      </c>
    </row>
    <row r="452">
      <c r="A452" s="17" t="n">
        <v>39845</v>
      </c>
      <c r="B452" s="58">
        <f>VLOOKUP(Table1[[#This Row],[Date]],database!A:B,2,)</f>
        <v/>
      </c>
      <c r="C452" s="66">
        <f>B452/B451-1</f>
        <v/>
      </c>
      <c r="D452" s="66">
        <f>(Table1[[#This Row],[Index]]-B440)/B440</f>
        <v/>
      </c>
    </row>
    <row r="453">
      <c r="A453" s="17" t="n">
        <v>39873</v>
      </c>
      <c r="B453" s="58">
        <f>VLOOKUP(Table1[[#This Row],[Date]],database!A:B,2,)</f>
        <v/>
      </c>
      <c r="C453" s="66">
        <f>B453/B452-1</f>
        <v/>
      </c>
      <c r="D453" s="66">
        <f>(Table1[[#This Row],[Index]]-B441)/B441</f>
        <v/>
      </c>
    </row>
    <row r="454">
      <c r="A454" s="17" t="n">
        <v>39904</v>
      </c>
      <c r="B454" s="58">
        <f>VLOOKUP(Table1[[#This Row],[Date]],database!A:B,2,)</f>
        <v/>
      </c>
      <c r="C454" s="66">
        <f>B454/B453-1</f>
        <v/>
      </c>
      <c r="D454" s="66">
        <f>(Table1[[#This Row],[Index]]-B442)/B442</f>
        <v/>
      </c>
    </row>
    <row r="455">
      <c r="A455" s="17" t="n">
        <v>39934</v>
      </c>
      <c r="B455" s="58">
        <f>VLOOKUP(Table1[[#This Row],[Date]],database!A:B,2,)</f>
        <v/>
      </c>
      <c r="C455" s="66">
        <f>B455/B454-1</f>
        <v/>
      </c>
      <c r="D455" s="66">
        <f>(Table1[[#This Row],[Index]]-B443)/B443</f>
        <v/>
      </c>
    </row>
    <row r="456">
      <c r="A456" s="17" t="n">
        <v>39965</v>
      </c>
      <c r="B456" s="58">
        <f>VLOOKUP(Table1[[#This Row],[Date]],database!A:B,2,)</f>
        <v/>
      </c>
      <c r="C456" s="66">
        <f>B456/B455-1</f>
        <v/>
      </c>
      <c r="D456" s="66">
        <f>(Table1[[#This Row],[Index]]-B444)/B444</f>
        <v/>
      </c>
    </row>
    <row r="457">
      <c r="A457" s="17" t="n">
        <v>39995</v>
      </c>
      <c r="B457" s="58">
        <f>VLOOKUP(Table1[[#This Row],[Date]],database!A:B,2,)</f>
        <v/>
      </c>
      <c r="C457" s="66">
        <f>B457/B456-1</f>
        <v/>
      </c>
      <c r="D457" s="66">
        <f>(Table1[[#This Row],[Index]]-B445)/B445</f>
        <v/>
      </c>
    </row>
    <row r="458">
      <c r="A458" s="17" t="n">
        <v>40026</v>
      </c>
      <c r="B458" s="58">
        <f>VLOOKUP(Table1[[#This Row],[Date]],database!A:B,2,)</f>
        <v/>
      </c>
      <c r="C458" s="66">
        <f>B458/B457-1</f>
        <v/>
      </c>
      <c r="D458" s="66">
        <f>(Table1[[#This Row],[Index]]-B446)/B446</f>
        <v/>
      </c>
    </row>
    <row r="459">
      <c r="A459" s="17" t="n">
        <v>40057</v>
      </c>
      <c r="B459" s="58">
        <f>VLOOKUP(Table1[[#This Row],[Date]],database!A:B,2,)</f>
        <v/>
      </c>
      <c r="C459" s="66">
        <f>B459/B458-1</f>
        <v/>
      </c>
      <c r="D459" s="66">
        <f>(Table1[[#This Row],[Index]]-B447)/B447</f>
        <v/>
      </c>
    </row>
    <row r="460">
      <c r="A460" s="17" t="n">
        <v>40087</v>
      </c>
      <c r="B460" s="58">
        <f>VLOOKUP(Table1[[#This Row],[Date]],database!A:B,2,)</f>
        <v/>
      </c>
      <c r="C460" s="66">
        <f>B460/B459-1</f>
        <v/>
      </c>
      <c r="D460" s="66">
        <f>(Table1[[#This Row],[Index]]-B448)/B448</f>
        <v/>
      </c>
    </row>
    <row r="461">
      <c r="A461" s="17" t="n">
        <v>40118</v>
      </c>
      <c r="B461" s="58">
        <f>VLOOKUP(Table1[[#This Row],[Date]],database!A:B,2,)</f>
        <v/>
      </c>
      <c r="C461" s="66">
        <f>B461/B460-1</f>
        <v/>
      </c>
      <c r="D461" s="66">
        <f>(Table1[[#This Row],[Index]]-B449)/B449</f>
        <v/>
      </c>
    </row>
    <row r="462">
      <c r="A462" s="17" t="n">
        <v>40148</v>
      </c>
      <c r="B462" s="58">
        <f>VLOOKUP(Table1[[#This Row],[Date]],database!A:B,2,)</f>
        <v/>
      </c>
      <c r="C462" s="66">
        <f>B462/B461-1</f>
        <v/>
      </c>
      <c r="D462" s="66">
        <f>(Table1[[#This Row],[Index]]-B450)/B450</f>
        <v/>
      </c>
    </row>
    <row r="463">
      <c r="A463" s="17" t="n">
        <v>40179</v>
      </c>
      <c r="B463" s="58">
        <f>VLOOKUP(Table1[[#This Row],[Date]],database!A:B,2,)</f>
        <v/>
      </c>
      <c r="C463" s="66">
        <f>B463/B462-1</f>
        <v/>
      </c>
      <c r="D463" s="66">
        <f>(Table1[[#This Row],[Index]]-B451)/B451</f>
        <v/>
      </c>
    </row>
    <row r="464">
      <c r="A464" s="17" t="n">
        <v>40210</v>
      </c>
      <c r="B464" s="58">
        <f>VLOOKUP(Table1[[#This Row],[Date]],database!A:B,2,)</f>
        <v/>
      </c>
      <c r="C464" s="66">
        <f>B464/B463-1</f>
        <v/>
      </c>
      <c r="D464" s="66">
        <f>(Table1[[#This Row],[Index]]-B452)/B452</f>
        <v/>
      </c>
    </row>
    <row r="465">
      <c r="A465" s="17" t="n">
        <v>40238</v>
      </c>
      <c r="B465" s="58">
        <f>VLOOKUP(Table1[[#This Row],[Date]],database!A:B,2,)</f>
        <v/>
      </c>
      <c r="C465" s="66">
        <f>B465/B464-1</f>
        <v/>
      </c>
      <c r="D465" s="66">
        <f>(Table1[[#This Row],[Index]]-B453)/B453</f>
        <v/>
      </c>
    </row>
    <row r="466">
      <c r="A466" s="17" t="n">
        <v>40269</v>
      </c>
      <c r="B466" s="58">
        <f>VLOOKUP(Table1[[#This Row],[Date]],database!A:B,2,)</f>
        <v/>
      </c>
      <c r="C466" s="66">
        <f>B466/B465-1</f>
        <v/>
      </c>
      <c r="D466" s="66">
        <f>(Table1[[#This Row],[Index]]-B454)/B454</f>
        <v/>
      </c>
    </row>
    <row r="467">
      <c r="A467" s="17" t="n">
        <v>40299</v>
      </c>
      <c r="B467" s="58">
        <f>VLOOKUP(Table1[[#This Row],[Date]],database!A:B,2,)</f>
        <v/>
      </c>
      <c r="C467" s="66">
        <f>B467/B466-1</f>
        <v/>
      </c>
      <c r="D467" s="66">
        <f>(Table1[[#This Row],[Index]]-B455)/B455</f>
        <v/>
      </c>
    </row>
    <row r="468">
      <c r="A468" s="17" t="n">
        <v>40330</v>
      </c>
      <c r="B468" s="58">
        <f>VLOOKUP(Table1[[#This Row],[Date]],database!A:B,2,)</f>
        <v/>
      </c>
      <c r="C468" s="66">
        <f>B468/B467-1</f>
        <v/>
      </c>
      <c r="D468" s="66">
        <f>(Table1[[#This Row],[Index]]-B456)/B456</f>
        <v/>
      </c>
    </row>
    <row r="469">
      <c r="A469" s="17" t="n">
        <v>40360</v>
      </c>
      <c r="B469" s="58">
        <f>VLOOKUP(Table1[[#This Row],[Date]],database!A:B,2,)</f>
        <v/>
      </c>
      <c r="C469" s="66">
        <f>B469/B468-1</f>
        <v/>
      </c>
      <c r="D469" s="66">
        <f>(Table1[[#This Row],[Index]]-B457)/B457</f>
        <v/>
      </c>
    </row>
    <row r="470">
      <c r="A470" s="17" t="n">
        <v>40391</v>
      </c>
      <c r="B470" s="58">
        <f>VLOOKUP(Table1[[#This Row],[Date]],database!A:B,2,)</f>
        <v/>
      </c>
      <c r="C470" s="66">
        <f>B470/B469-1</f>
        <v/>
      </c>
      <c r="D470" s="66">
        <f>(Table1[[#This Row],[Index]]-B458)/B458</f>
        <v/>
      </c>
    </row>
    <row r="471">
      <c r="A471" s="17" t="n">
        <v>40422</v>
      </c>
      <c r="B471" s="58">
        <f>VLOOKUP(Table1[[#This Row],[Date]],database!A:B,2,)</f>
        <v/>
      </c>
      <c r="C471" s="66">
        <f>B471/B470-1</f>
        <v/>
      </c>
      <c r="D471" s="66">
        <f>(Table1[[#This Row],[Index]]-B459)/B459</f>
        <v/>
      </c>
    </row>
    <row r="472">
      <c r="A472" s="17" t="n">
        <v>40452</v>
      </c>
      <c r="B472" s="58">
        <f>VLOOKUP(Table1[[#This Row],[Date]],database!A:B,2,)</f>
        <v/>
      </c>
      <c r="C472" s="66">
        <f>B472/B471-1</f>
        <v/>
      </c>
      <c r="D472" s="66">
        <f>(Table1[[#This Row],[Index]]-B460)/B460</f>
        <v/>
      </c>
    </row>
    <row r="473">
      <c r="A473" s="17" t="n">
        <v>40483</v>
      </c>
      <c r="B473" s="58">
        <f>VLOOKUP(Table1[[#This Row],[Date]],database!A:B,2,)</f>
        <v/>
      </c>
      <c r="C473" s="66">
        <f>B473/B472-1</f>
        <v/>
      </c>
      <c r="D473" s="66">
        <f>(Table1[[#This Row],[Index]]-B461)/B461</f>
        <v/>
      </c>
    </row>
    <row r="474">
      <c r="A474" s="17" t="n">
        <v>40513</v>
      </c>
      <c r="B474" s="58">
        <f>VLOOKUP(Table1[[#This Row],[Date]],database!A:B,2,)</f>
        <v/>
      </c>
      <c r="C474" s="66">
        <f>B474/B473-1</f>
        <v/>
      </c>
      <c r="D474" s="66">
        <f>(Table1[[#This Row],[Index]]-B462)/B462</f>
        <v/>
      </c>
    </row>
    <row r="475">
      <c r="A475" s="17" t="n">
        <v>40544</v>
      </c>
      <c r="B475" s="58">
        <f>VLOOKUP(Table1[[#This Row],[Date]],database!A:B,2,)</f>
        <v/>
      </c>
      <c r="C475" s="66">
        <f>B475/B474-1</f>
        <v/>
      </c>
      <c r="D475" s="66">
        <f>(Table1[[#This Row],[Index]]-B463)/B463</f>
        <v/>
      </c>
    </row>
    <row r="476">
      <c r="A476" s="17" t="n">
        <v>40575</v>
      </c>
      <c r="B476" s="58">
        <f>VLOOKUP(Table1[[#This Row],[Date]],database!A:B,2,)</f>
        <v/>
      </c>
      <c r="C476" s="66">
        <f>B476/B475-1</f>
        <v/>
      </c>
      <c r="D476" s="66">
        <f>(Table1[[#This Row],[Index]]-B464)/B464</f>
        <v/>
      </c>
    </row>
    <row r="477">
      <c r="A477" s="17" t="n">
        <v>40603</v>
      </c>
      <c r="B477" s="58">
        <f>VLOOKUP(Table1[[#This Row],[Date]],database!A:B,2,)</f>
        <v/>
      </c>
      <c r="C477" s="66">
        <f>B477/B476-1</f>
        <v/>
      </c>
      <c r="D477" s="66">
        <f>(Table1[[#This Row],[Index]]-B465)/B465</f>
        <v/>
      </c>
    </row>
    <row r="478">
      <c r="A478" s="17" t="n">
        <v>40634</v>
      </c>
      <c r="B478" s="58">
        <f>VLOOKUP(Table1[[#This Row],[Date]],database!A:B,2,)</f>
        <v/>
      </c>
      <c r="C478" s="67">
        <f>B478/B477-1</f>
        <v/>
      </c>
      <c r="D478" s="66">
        <f>(Table1[[#This Row],[Index]]-B466)/B466</f>
        <v/>
      </c>
    </row>
    <row r="479">
      <c r="A479" s="17" t="n">
        <v>40664</v>
      </c>
      <c r="B479" s="58">
        <f>VLOOKUP(Table1[[#This Row],[Date]],database!A:B,2,)</f>
        <v/>
      </c>
      <c r="C479" s="66">
        <f>B479/B478-1</f>
        <v/>
      </c>
      <c r="D479" s="66">
        <f>(Table1[[#This Row],[Index]]-B467)/B467</f>
        <v/>
      </c>
    </row>
    <row r="480">
      <c r="A480" s="17" t="n">
        <v>40695</v>
      </c>
      <c r="B480" s="58">
        <f>VLOOKUP(Table1[[#This Row],[Date]],database!A:B,2,)</f>
        <v/>
      </c>
      <c r="C480" s="66">
        <f>B480/B479-1</f>
        <v/>
      </c>
      <c r="D480" s="66">
        <f>(Table1[[#This Row],[Index]]-B468)/B468</f>
        <v/>
      </c>
    </row>
    <row r="481">
      <c r="A481" s="17" t="n">
        <v>40725</v>
      </c>
      <c r="B481" s="58">
        <f>VLOOKUP(Table1[[#This Row],[Date]],database!A:B,2,)</f>
        <v/>
      </c>
      <c r="C481" s="66">
        <f>B481/B480-1</f>
        <v/>
      </c>
      <c r="D481" s="66">
        <f>(Table1[[#This Row],[Index]]-B469)/B469</f>
        <v/>
      </c>
    </row>
    <row r="482">
      <c r="A482" s="17" t="n">
        <v>40756</v>
      </c>
      <c r="B482" s="58">
        <f>VLOOKUP(Table1[[#This Row],[Date]],database!A:B,2,)</f>
        <v/>
      </c>
      <c r="C482" s="66">
        <f>B482/B481-1</f>
        <v/>
      </c>
      <c r="D482" s="66">
        <f>(Table1[[#This Row],[Index]]-B470)/B470</f>
        <v/>
      </c>
    </row>
    <row r="483">
      <c r="A483" s="17" t="n">
        <v>40787</v>
      </c>
      <c r="B483" s="58">
        <f>VLOOKUP(Table1[[#This Row],[Date]],database!A:B,2,)</f>
        <v/>
      </c>
      <c r="C483" s="66">
        <f>B483/B482-1</f>
        <v/>
      </c>
      <c r="D483" s="66">
        <f>(Table1[[#This Row],[Index]]-B471)/B471</f>
        <v/>
      </c>
    </row>
    <row r="484">
      <c r="A484" s="17" t="n">
        <v>40817</v>
      </c>
      <c r="B484" s="58">
        <f>VLOOKUP(Table1[[#This Row],[Date]],database!A:B,2,)</f>
        <v/>
      </c>
      <c r="C484" s="66">
        <f>B484/B483-1</f>
        <v/>
      </c>
      <c r="D484" s="66">
        <f>(Table1[[#This Row],[Index]]-B472)/B472</f>
        <v/>
      </c>
    </row>
    <row r="485">
      <c r="A485" s="17" t="n">
        <v>40848</v>
      </c>
      <c r="B485" s="58">
        <f>VLOOKUP(Table1[[#This Row],[Date]],database!A:B,2,)</f>
        <v/>
      </c>
      <c r="C485" s="66">
        <f>B485/B484-1</f>
        <v/>
      </c>
      <c r="D485" s="66">
        <f>(Table1[[#This Row],[Index]]-B473)/B473</f>
        <v/>
      </c>
    </row>
    <row r="486">
      <c r="A486" s="17" t="n">
        <v>40878</v>
      </c>
      <c r="B486" s="58">
        <f>VLOOKUP(Table1[[#This Row],[Date]],database!A:B,2,)</f>
        <v/>
      </c>
      <c r="C486" s="66">
        <f>B486/B485-1</f>
        <v/>
      </c>
      <c r="D486" s="66">
        <f>(Table1[[#This Row],[Index]]-B474)/B474</f>
        <v/>
      </c>
    </row>
    <row r="487">
      <c r="A487" s="17" t="n">
        <v>40909</v>
      </c>
      <c r="B487" s="58">
        <f>VLOOKUP(Table1[[#This Row],[Date]],database!A:B,2,)</f>
        <v/>
      </c>
      <c r="C487" s="66">
        <f>B487/B486-1</f>
        <v/>
      </c>
      <c r="D487" s="66">
        <f>(Table1[[#This Row],[Index]]-B475)/B475</f>
        <v/>
      </c>
    </row>
    <row r="488">
      <c r="A488" s="17" t="n">
        <v>40940</v>
      </c>
      <c r="B488" s="58">
        <f>VLOOKUP(Table1[[#This Row],[Date]],database!A:B,2,)</f>
        <v/>
      </c>
      <c r="C488" s="66">
        <f>B488/B487-1</f>
        <v/>
      </c>
      <c r="D488" s="66">
        <f>(Table1[[#This Row],[Index]]-B476)/B476</f>
        <v/>
      </c>
    </row>
    <row r="489">
      <c r="A489" s="17" t="n">
        <v>40969</v>
      </c>
      <c r="B489" s="58">
        <f>VLOOKUP(Table1[[#This Row],[Date]],database!A:B,2,)</f>
        <v/>
      </c>
      <c r="C489" s="66">
        <f>B489/B488-1</f>
        <v/>
      </c>
      <c r="D489" s="66">
        <f>(Table1[[#This Row],[Index]]-B477)/B477</f>
        <v/>
      </c>
    </row>
    <row r="490">
      <c r="A490" s="17" t="n">
        <v>41000</v>
      </c>
      <c r="B490" s="58">
        <f>VLOOKUP(Table1[[#This Row],[Date]],database!A:B,2,)</f>
        <v/>
      </c>
      <c r="C490" s="66">
        <f>B490/B489-1</f>
        <v/>
      </c>
      <c r="D490" s="66">
        <f>(Table1[[#This Row],[Index]]-B478)/B478</f>
        <v/>
      </c>
    </row>
    <row r="491">
      <c r="A491" s="17" t="n">
        <v>41030</v>
      </c>
      <c r="B491" s="58">
        <f>VLOOKUP(Table1[[#This Row],[Date]],database!A:B,2,)</f>
        <v/>
      </c>
      <c r="C491" s="66">
        <f>B491/B490-1</f>
        <v/>
      </c>
      <c r="D491" s="66">
        <f>(Table1[[#This Row],[Index]]-B479)/B479</f>
        <v/>
      </c>
    </row>
    <row r="492">
      <c r="A492" s="17" t="n">
        <v>41061</v>
      </c>
      <c r="B492" s="58">
        <f>VLOOKUP(Table1[[#This Row],[Date]],database!A:B,2,)</f>
        <v/>
      </c>
      <c r="C492" s="66">
        <f>B492/B491-1</f>
        <v/>
      </c>
      <c r="D492" s="66">
        <f>(Table1[[#This Row],[Index]]-B480)/B480</f>
        <v/>
      </c>
    </row>
    <row r="493">
      <c r="A493" s="17" t="n">
        <v>41091</v>
      </c>
      <c r="B493" s="58">
        <f>VLOOKUP(Table1[[#This Row],[Date]],database!A:B,2,)</f>
        <v/>
      </c>
      <c r="C493" s="66">
        <f>B493/B492-1</f>
        <v/>
      </c>
      <c r="D493" s="66">
        <f>(Table1[[#This Row],[Index]]-B481)/B481</f>
        <v/>
      </c>
    </row>
    <row r="494">
      <c r="A494" s="17" t="n">
        <v>41122</v>
      </c>
      <c r="B494" s="58">
        <f>VLOOKUP(Table1[[#This Row],[Date]],database!A:B,2,)</f>
        <v/>
      </c>
      <c r="C494" s="66">
        <f>B494/B493-1</f>
        <v/>
      </c>
      <c r="D494" s="66">
        <f>(Table1[[#This Row],[Index]]-B482)/B482</f>
        <v/>
      </c>
    </row>
    <row r="495">
      <c r="A495" s="17" t="n">
        <v>41153</v>
      </c>
      <c r="B495" s="58">
        <f>VLOOKUP(Table1[[#This Row],[Date]],database!A:B,2,)</f>
        <v/>
      </c>
      <c r="C495" s="66">
        <f>B495/B494-1</f>
        <v/>
      </c>
      <c r="D495" s="66">
        <f>(Table1[[#This Row],[Index]]-B483)/B483</f>
        <v/>
      </c>
    </row>
    <row r="496">
      <c r="A496" s="17" t="n">
        <v>41183</v>
      </c>
      <c r="B496" s="58">
        <f>VLOOKUP(Table1[[#This Row],[Date]],database!A:B,2,)</f>
        <v/>
      </c>
      <c r="C496" s="66">
        <f>B496/B495-1</f>
        <v/>
      </c>
      <c r="D496" s="66">
        <f>(Table1[[#This Row],[Index]]-B484)/B484</f>
        <v/>
      </c>
    </row>
    <row r="497">
      <c r="A497" s="17" t="n">
        <v>41214</v>
      </c>
      <c r="B497" s="58">
        <f>VLOOKUP(Table1[[#This Row],[Date]],database!A:B,2,)</f>
        <v/>
      </c>
      <c r="C497" s="66">
        <f>B497/B496-1</f>
        <v/>
      </c>
      <c r="D497" s="66">
        <f>(Table1[[#This Row],[Index]]-B485)/B485</f>
        <v/>
      </c>
    </row>
    <row r="498">
      <c r="A498" s="17" t="n">
        <v>41244</v>
      </c>
      <c r="B498" s="58">
        <f>VLOOKUP(Table1[[#This Row],[Date]],database!A:B,2,)</f>
        <v/>
      </c>
      <c r="C498" s="66">
        <f>B498/B497-1</f>
        <v/>
      </c>
      <c r="D498" s="66">
        <f>(Table1[[#This Row],[Index]]-B486)/B486</f>
        <v/>
      </c>
    </row>
    <row r="499">
      <c r="A499" s="17" t="n">
        <v>41275</v>
      </c>
      <c r="B499" s="58">
        <f>VLOOKUP(Table1[[#This Row],[Date]],database!A:B,2,)</f>
        <v/>
      </c>
      <c r="C499" s="66">
        <f>B499/B498-1</f>
        <v/>
      </c>
      <c r="D499" s="66">
        <f>(Table1[[#This Row],[Index]]-B487)/B487</f>
        <v/>
      </c>
    </row>
    <row r="500">
      <c r="A500" s="17" t="n">
        <v>41306</v>
      </c>
      <c r="B500" s="58">
        <f>VLOOKUP(Table1[[#This Row],[Date]],database!A:B,2,)</f>
        <v/>
      </c>
      <c r="C500" s="66">
        <f>B500/B499-1</f>
        <v/>
      </c>
      <c r="D500" s="66">
        <f>(Table1[[#This Row],[Index]]-B488)/B488</f>
        <v/>
      </c>
    </row>
    <row r="501">
      <c r="A501" s="17" t="n">
        <v>41334</v>
      </c>
      <c r="B501" s="58">
        <f>VLOOKUP(Table1[[#This Row],[Date]],database!A:B,2,)</f>
        <v/>
      </c>
      <c r="C501" s="66">
        <f>B501/B500-1</f>
        <v/>
      </c>
      <c r="D501" s="66">
        <f>(Table1[[#This Row],[Index]]-B489)/B489</f>
        <v/>
      </c>
    </row>
    <row r="502">
      <c r="A502" s="17" t="n">
        <v>41365</v>
      </c>
      <c r="B502" s="58">
        <f>VLOOKUP(Table1[[#This Row],[Date]],database!A:B,2,)</f>
        <v/>
      </c>
      <c r="C502" s="66">
        <f>B502/B501-1</f>
        <v/>
      </c>
      <c r="D502" s="66">
        <f>(Table1[[#This Row],[Index]]-B490)/B490</f>
        <v/>
      </c>
    </row>
    <row r="503">
      <c r="A503" s="17" t="n">
        <v>41395</v>
      </c>
      <c r="B503" s="58">
        <f>VLOOKUP(Table1[[#This Row],[Date]],database!A:B,2,)</f>
        <v/>
      </c>
      <c r="C503" s="66">
        <f>B503/B502-1</f>
        <v/>
      </c>
      <c r="D503" s="66">
        <f>(Table1[[#This Row],[Index]]-B491)/B491</f>
        <v/>
      </c>
    </row>
    <row r="504">
      <c r="A504" s="17" t="n">
        <v>41426</v>
      </c>
      <c r="B504" s="58">
        <f>VLOOKUP(Table1[[#This Row],[Date]],database!A:B,2,)</f>
        <v/>
      </c>
      <c r="C504" s="66">
        <f>B504/B503-1</f>
        <v/>
      </c>
      <c r="D504" s="66">
        <f>(Table1[[#This Row],[Index]]-B492)/B492</f>
        <v/>
      </c>
    </row>
    <row r="505">
      <c r="A505" s="17" t="n">
        <v>41456</v>
      </c>
      <c r="B505" s="58">
        <f>VLOOKUP(Table1[[#This Row],[Date]],database!A:B,2,)</f>
        <v/>
      </c>
      <c r="C505" s="66">
        <f>B505/B504-1</f>
        <v/>
      </c>
      <c r="D505" s="66">
        <f>(Table1[[#This Row],[Index]]-B493)/B493</f>
        <v/>
      </c>
    </row>
    <row r="506">
      <c r="A506" s="17" t="n">
        <v>41487</v>
      </c>
      <c r="B506" s="58">
        <f>VLOOKUP(Table1[[#This Row],[Date]],database!A:B,2,)</f>
        <v/>
      </c>
      <c r="C506" s="66">
        <f>B506/B505-1</f>
        <v/>
      </c>
      <c r="D506" s="66">
        <f>(Table1[[#This Row],[Index]]-B494)/B494</f>
        <v/>
      </c>
    </row>
    <row r="507">
      <c r="A507" s="17" t="n">
        <v>41518</v>
      </c>
      <c r="B507" s="58">
        <f>VLOOKUP(Table1[[#This Row],[Date]],database!A:B,2,)</f>
        <v/>
      </c>
      <c r="C507" s="66">
        <f>B507/B506-1</f>
        <v/>
      </c>
      <c r="D507" s="66">
        <f>(Table1[[#This Row],[Index]]-B495)/B495</f>
        <v/>
      </c>
    </row>
    <row r="508">
      <c r="A508" s="17" t="n">
        <v>41548</v>
      </c>
      <c r="B508" s="58">
        <f>VLOOKUP(Table1[[#This Row],[Date]],database!A:B,2,)</f>
        <v/>
      </c>
      <c r="C508" s="66">
        <f>B508/B507-1</f>
        <v/>
      </c>
      <c r="D508" s="66">
        <f>(Table1[[#This Row],[Index]]-B496)/B496</f>
        <v/>
      </c>
    </row>
    <row r="509">
      <c r="A509" s="17" t="n">
        <v>41579</v>
      </c>
      <c r="B509" s="58">
        <f>VLOOKUP(Table1[[#This Row],[Date]],database!A:B,2,)</f>
        <v/>
      </c>
      <c r="C509" s="66">
        <f>B509/B508-1</f>
        <v/>
      </c>
      <c r="D509" s="66">
        <f>(Table1[[#This Row],[Index]]-B497)/B497</f>
        <v/>
      </c>
    </row>
    <row r="510">
      <c r="A510" s="17" t="n">
        <v>41609</v>
      </c>
      <c r="B510" s="58">
        <f>VLOOKUP(Table1[[#This Row],[Date]],database!A:B,2,)</f>
        <v/>
      </c>
      <c r="C510" s="66">
        <f>B510/B509-1</f>
        <v/>
      </c>
      <c r="D510" s="66">
        <f>(Table1[[#This Row],[Index]]-B498)/B498</f>
        <v/>
      </c>
    </row>
    <row r="511">
      <c r="A511" s="17" t="n">
        <v>41640</v>
      </c>
      <c r="B511" s="58">
        <f>VLOOKUP(Table1[[#This Row],[Date]],database!A:B,2,)</f>
        <v/>
      </c>
      <c r="C511" s="66">
        <f>B511/B510-1</f>
        <v/>
      </c>
      <c r="D511" s="66">
        <f>(Table1[[#This Row],[Index]]-B499)/B499</f>
        <v/>
      </c>
    </row>
    <row r="512">
      <c r="A512" s="17" t="n">
        <v>41671</v>
      </c>
      <c r="B512" s="58">
        <f>VLOOKUP(Table1[[#This Row],[Date]],database!A:B,2,)</f>
        <v/>
      </c>
      <c r="C512" s="66">
        <f>B512/B511-1</f>
        <v/>
      </c>
      <c r="D512" s="66">
        <f>(Table1[[#This Row],[Index]]-B500)/B500</f>
        <v/>
      </c>
    </row>
    <row r="513">
      <c r="A513" s="17" t="n">
        <v>41699</v>
      </c>
      <c r="B513" s="58">
        <f>VLOOKUP(Table1[[#This Row],[Date]],database!A:B,2,)</f>
        <v/>
      </c>
      <c r="C513" s="66">
        <f>B513/B512-1</f>
        <v/>
      </c>
      <c r="D513" s="66">
        <f>(Table1[[#This Row],[Index]]-B501)/B501</f>
        <v/>
      </c>
    </row>
    <row r="514">
      <c r="A514" s="17" t="n">
        <v>41730</v>
      </c>
      <c r="B514" s="58">
        <f>VLOOKUP(Table1[[#This Row],[Date]],database!A:B,2,)</f>
        <v/>
      </c>
      <c r="C514" s="66">
        <f>B514/B513-1</f>
        <v/>
      </c>
      <c r="D514" s="66">
        <f>(Table1[[#This Row],[Index]]-B502)/B502</f>
        <v/>
      </c>
    </row>
    <row r="515">
      <c r="A515" s="17" t="n">
        <v>41760</v>
      </c>
      <c r="B515" s="58">
        <f>VLOOKUP(Table1[[#This Row],[Date]],database!A:B,2,)</f>
        <v/>
      </c>
      <c r="C515" s="66">
        <f>B515/B514-1</f>
        <v/>
      </c>
      <c r="D515" s="66">
        <f>(Table1[[#This Row],[Index]]-B503)/B503</f>
        <v/>
      </c>
    </row>
    <row r="516">
      <c r="A516" s="17" t="n">
        <v>41791</v>
      </c>
      <c r="B516" s="58">
        <f>VLOOKUP(Table1[[#This Row],[Date]],database!A:B,2,)</f>
        <v/>
      </c>
      <c r="C516" s="66">
        <f>B516/B515-1</f>
        <v/>
      </c>
      <c r="D516" s="66">
        <f>(Table1[[#This Row],[Index]]-B504)/B504</f>
        <v/>
      </c>
    </row>
    <row r="517">
      <c r="A517" s="17" t="n">
        <v>41821</v>
      </c>
      <c r="B517" s="58">
        <f>VLOOKUP(Table1[[#This Row],[Date]],database!A:B,2,)</f>
        <v/>
      </c>
      <c r="C517" s="66">
        <f>B517/B516-1</f>
        <v/>
      </c>
      <c r="D517" s="66">
        <f>(Table1[[#This Row],[Index]]-B505)/B505</f>
        <v/>
      </c>
    </row>
    <row r="518">
      <c r="A518" s="17" t="n">
        <v>41852</v>
      </c>
      <c r="B518" s="58">
        <f>VLOOKUP(Table1[[#This Row],[Date]],database!A:B,2,)</f>
        <v/>
      </c>
      <c r="C518" s="66">
        <f>B518/B517-1</f>
        <v/>
      </c>
      <c r="D518" s="66">
        <f>(Table1[[#This Row],[Index]]-B506)/B506</f>
        <v/>
      </c>
    </row>
    <row r="519">
      <c r="A519" s="17" t="n">
        <v>41883</v>
      </c>
      <c r="B519" s="58">
        <f>VLOOKUP(Table1[[#This Row],[Date]],database!A:B,2,)</f>
        <v/>
      </c>
      <c r="C519" s="66">
        <f>B519/B518-1</f>
        <v/>
      </c>
      <c r="D519" s="66">
        <f>(Table1[[#This Row],[Index]]-B507)/B507</f>
        <v/>
      </c>
    </row>
    <row r="520">
      <c r="A520" s="17" t="n">
        <v>41913</v>
      </c>
      <c r="B520" s="58">
        <f>VLOOKUP(Table1[[#This Row],[Date]],database!A:B,2,)</f>
        <v/>
      </c>
      <c r="C520" s="66">
        <f>B520/B519-1</f>
        <v/>
      </c>
      <c r="D520" s="66">
        <f>(Table1[[#This Row],[Index]]-B508)/B508</f>
        <v/>
      </c>
    </row>
    <row r="521">
      <c r="A521" s="17" t="n">
        <v>41944</v>
      </c>
      <c r="B521" s="58">
        <f>VLOOKUP(Table1[[#This Row],[Date]],database!A:B,2,)</f>
        <v/>
      </c>
      <c r="C521" s="67">
        <f>B521/B520-1</f>
        <v/>
      </c>
      <c r="D521" s="66">
        <f>(Table1[[#This Row],[Index]]-B509)/B509</f>
        <v/>
      </c>
    </row>
    <row r="522">
      <c r="A522" s="17" t="n">
        <v>41974</v>
      </c>
      <c r="B522" s="58">
        <f>VLOOKUP(Table1[[#This Row],[Date]],database!A:B,2,)</f>
        <v/>
      </c>
      <c r="C522" s="66">
        <f>B522/B521-1</f>
        <v/>
      </c>
      <c r="D522" s="66">
        <f>(Table1[[#This Row],[Index]]-B510)/B510</f>
        <v/>
      </c>
    </row>
    <row r="523">
      <c r="A523" s="17" t="n">
        <v>42005</v>
      </c>
      <c r="B523" s="58">
        <f>VLOOKUP(Table1[[#This Row],[Date]],database!A:B,2,)</f>
        <v/>
      </c>
      <c r="C523" s="67">
        <f>B523/B522-1</f>
        <v/>
      </c>
      <c r="D523" s="66">
        <f>(Table1[[#This Row],[Index]]-B511)/B511</f>
        <v/>
      </c>
    </row>
    <row r="524">
      <c r="A524" s="17" t="n">
        <v>42036</v>
      </c>
      <c r="B524" s="58">
        <f>VLOOKUP(Table1[[#This Row],[Date]],database!A:B,2,)</f>
        <v/>
      </c>
      <c r="C524" s="66">
        <f>B524/B523-1</f>
        <v/>
      </c>
      <c r="D524" s="66">
        <f>(Table1[[#This Row],[Index]]-B512)/B512</f>
        <v/>
      </c>
    </row>
    <row r="525">
      <c r="A525" s="17" t="n">
        <v>42064</v>
      </c>
      <c r="B525" s="58">
        <f>VLOOKUP(Table1[[#This Row],[Date]],database!A:B,2,)</f>
        <v/>
      </c>
      <c r="C525" s="67">
        <f>B525/B524-1</f>
        <v/>
      </c>
      <c r="D525" s="66">
        <f>(Table1[[#This Row],[Index]]-B513)/B513</f>
        <v/>
      </c>
    </row>
    <row r="526">
      <c r="A526" s="17" t="n">
        <v>42095</v>
      </c>
      <c r="B526" s="58">
        <f>VLOOKUP(Table1[[#This Row],[Date]],database!A:B,2,)</f>
        <v/>
      </c>
      <c r="C526" s="66">
        <f>B526/B525-1</f>
        <v/>
      </c>
      <c r="D526" s="66">
        <f>(Table1[[#This Row],[Index]]-B514)/B514</f>
        <v/>
      </c>
    </row>
    <row r="527">
      <c r="A527" s="17" t="n">
        <v>42125</v>
      </c>
      <c r="B527" s="58">
        <f>VLOOKUP(Table1[[#This Row],[Date]],database!A:B,2,)</f>
        <v/>
      </c>
      <c r="C527" s="66">
        <f>B527/B526-1</f>
        <v/>
      </c>
      <c r="D527" s="66">
        <f>(Table1[[#This Row],[Index]]-B515)/B515</f>
        <v/>
      </c>
    </row>
    <row r="528">
      <c r="A528" s="17" t="n">
        <v>42156</v>
      </c>
      <c r="B528" s="58">
        <f>VLOOKUP(Table1[[#This Row],[Date]],database!A:B,2,)</f>
        <v/>
      </c>
      <c r="C528" s="66">
        <f>B528/B527-1</f>
        <v/>
      </c>
      <c r="D528" s="66">
        <f>(Table1[[#This Row],[Index]]-B516)/B516</f>
        <v/>
      </c>
    </row>
    <row r="529">
      <c r="A529" s="17" t="n">
        <v>42186</v>
      </c>
      <c r="B529" s="58">
        <f>VLOOKUP(Table1[[#This Row],[Date]],database!A:B,2,)</f>
        <v/>
      </c>
      <c r="C529" s="66">
        <f>B529/B528-1</f>
        <v/>
      </c>
      <c r="D529" s="66">
        <f>(Table1[[#This Row],[Index]]-B517)/B517</f>
        <v/>
      </c>
    </row>
    <row r="530">
      <c r="A530" s="17" t="n">
        <v>42217</v>
      </c>
      <c r="B530" s="58">
        <f>VLOOKUP(Table1[[#This Row],[Date]],database!A:B,2,)</f>
        <v/>
      </c>
      <c r="C530" s="66">
        <f>B530/B529-1</f>
        <v/>
      </c>
      <c r="D530" s="66">
        <f>(Table1[[#This Row],[Index]]-B518)/B518</f>
        <v/>
      </c>
    </row>
    <row r="531">
      <c r="A531" s="17" t="n">
        <v>42248</v>
      </c>
      <c r="B531" s="58">
        <f>VLOOKUP(Table1[[#This Row],[Date]],database!A:B,2,)</f>
        <v/>
      </c>
      <c r="C531" s="66">
        <f>B531/B530-1</f>
        <v/>
      </c>
      <c r="D531" s="66">
        <f>(Table1[[#This Row],[Index]]-B519)/B519</f>
        <v/>
      </c>
    </row>
    <row r="532">
      <c r="A532" s="17" t="n">
        <v>42278</v>
      </c>
      <c r="B532" s="58">
        <f>VLOOKUP(Table1[[#This Row],[Date]],database!A:B,2,)</f>
        <v/>
      </c>
      <c r="C532" s="66">
        <f>B532/B531-1</f>
        <v/>
      </c>
      <c r="D532" s="66">
        <f>(Table1[[#This Row],[Index]]-B520)/B520</f>
        <v/>
      </c>
    </row>
    <row r="533">
      <c r="A533" s="17" t="n">
        <v>42309</v>
      </c>
      <c r="B533" s="58">
        <f>VLOOKUP(Table1[[#This Row],[Date]],database!A:B,2,)</f>
        <v/>
      </c>
      <c r="C533" s="66">
        <f>B533/B532-1</f>
        <v/>
      </c>
      <c r="D533" s="66">
        <f>(Table1[[#This Row],[Index]]-B521)/B521</f>
        <v/>
      </c>
    </row>
    <row r="534">
      <c r="A534" s="17" t="n">
        <v>42339</v>
      </c>
      <c r="B534" s="58">
        <f>VLOOKUP(Table1[[#This Row],[Date]],database!A:B,2,)</f>
        <v/>
      </c>
      <c r="C534" s="66">
        <f>B534/B533-1</f>
        <v/>
      </c>
      <c r="D534" s="66">
        <f>(Table1[[#This Row],[Index]]-B522)/B522</f>
        <v/>
      </c>
    </row>
    <row r="535">
      <c r="A535" s="17" t="n">
        <v>42370</v>
      </c>
      <c r="B535" s="58">
        <f>VLOOKUP(Table1[[#This Row],[Date]],database!A:B,2,)</f>
        <v/>
      </c>
      <c r="C535" s="66">
        <f>B535/B534-1</f>
        <v/>
      </c>
      <c r="D535" s="66">
        <f>(Table1[[#This Row],[Index]]-B523)/B523</f>
        <v/>
      </c>
    </row>
    <row r="536">
      <c r="A536" s="17" t="n">
        <v>42401</v>
      </c>
      <c r="B536" s="58">
        <f>VLOOKUP(Table1[[#This Row],[Date]],database!A:B,2,)</f>
        <v/>
      </c>
      <c r="C536" s="66">
        <f>B536/B535-1</f>
        <v/>
      </c>
      <c r="D536" s="66">
        <f>(Table1[[#This Row],[Index]]-B524)/B524</f>
        <v/>
      </c>
    </row>
    <row r="537">
      <c r="A537" s="17" t="n">
        <v>42430</v>
      </c>
      <c r="B537" s="58">
        <f>VLOOKUP(Table1[[#This Row],[Date]],database!A:B,2,)</f>
        <v/>
      </c>
      <c r="C537" s="66">
        <f>B537/B536-1</f>
        <v/>
      </c>
      <c r="D537" s="66">
        <f>(Table1[[#This Row],[Index]]-B525)/B525</f>
        <v/>
      </c>
    </row>
    <row r="538">
      <c r="A538" s="17" t="n">
        <v>42461</v>
      </c>
      <c r="B538" s="58">
        <f>VLOOKUP(Table1[[#This Row],[Date]],database!A:B,2,)</f>
        <v/>
      </c>
      <c r="C538" s="66">
        <f>B538/B537-1</f>
        <v/>
      </c>
      <c r="D538" s="66">
        <f>(Table1[[#This Row],[Index]]-B526)/B526</f>
        <v/>
      </c>
    </row>
    <row r="539">
      <c r="A539" s="17" t="n">
        <v>42491</v>
      </c>
      <c r="B539" s="58">
        <f>VLOOKUP(Table1[[#This Row],[Date]],database!A:B,2,)</f>
        <v/>
      </c>
      <c r="C539" s="66">
        <f>B539/B538-1</f>
        <v/>
      </c>
      <c r="D539" s="66">
        <f>(Table1[[#This Row],[Index]]-B527)/B527</f>
        <v/>
      </c>
    </row>
    <row r="540">
      <c r="A540" s="17" t="n">
        <v>42522</v>
      </c>
      <c r="B540" s="58">
        <f>VLOOKUP(Table1[[#This Row],[Date]],database!A:B,2,)</f>
        <v/>
      </c>
      <c r="C540" s="66">
        <f>B540/B539-1</f>
        <v/>
      </c>
      <c r="D540" s="66">
        <f>(Table1[[#This Row],[Index]]-B528)/B528</f>
        <v/>
      </c>
    </row>
    <row r="541">
      <c r="A541" s="17" t="n">
        <v>42552</v>
      </c>
      <c r="B541" s="58">
        <f>VLOOKUP(Table1[[#This Row],[Date]],database!A:B,2,)</f>
        <v/>
      </c>
      <c r="C541" s="66">
        <f>B541/B540-1</f>
        <v/>
      </c>
      <c r="D541" s="66">
        <f>(Table1[[#This Row],[Index]]-B529)/B529</f>
        <v/>
      </c>
    </row>
    <row r="542">
      <c r="A542" s="17" t="n">
        <v>42583</v>
      </c>
      <c r="B542" s="58">
        <f>VLOOKUP(Table1[[#This Row],[Date]],database!A:B,2,)</f>
        <v/>
      </c>
      <c r="C542" s="66">
        <f>B542/B541-1</f>
        <v/>
      </c>
      <c r="D542" s="66">
        <f>(Table1[[#This Row],[Index]]-B530)/B530</f>
        <v/>
      </c>
    </row>
    <row r="543">
      <c r="A543" s="17" t="n">
        <v>42614</v>
      </c>
      <c r="B543" s="58">
        <f>VLOOKUP(Table1[[#This Row],[Date]],database!A:B,2,)</f>
        <v/>
      </c>
      <c r="C543" s="66">
        <f>B543/B542-1</f>
        <v/>
      </c>
      <c r="D543" s="66">
        <f>(Table1[[#This Row],[Index]]-B531)/B531</f>
        <v/>
      </c>
    </row>
    <row r="544">
      <c r="A544" s="17" t="n">
        <v>42644</v>
      </c>
      <c r="B544" s="58">
        <f>VLOOKUP(Table1[[#This Row],[Date]],database!A:B,2,)</f>
        <v/>
      </c>
      <c r="C544" s="66">
        <f>B544/B543-1</f>
        <v/>
      </c>
      <c r="D544" s="66">
        <f>(Table1[[#This Row],[Index]]-B532)/B532</f>
        <v/>
      </c>
    </row>
    <row r="545">
      <c r="A545" s="17" t="n">
        <v>42675</v>
      </c>
      <c r="B545" s="58">
        <f>VLOOKUP(Table1[[#This Row],[Date]],database!A:B,2,)</f>
        <v/>
      </c>
      <c r="C545" s="66">
        <f>B545/B544-1</f>
        <v/>
      </c>
      <c r="D545" s="66">
        <f>(Table1[[#This Row],[Index]]-B533)/B533</f>
        <v/>
      </c>
    </row>
    <row r="546">
      <c r="A546" s="17" t="n">
        <v>42705</v>
      </c>
      <c r="B546" s="58">
        <f>VLOOKUP(Table1[[#This Row],[Date]],database!A:B,2,)</f>
        <v/>
      </c>
      <c r="C546" s="66">
        <f>B546/B545-1</f>
        <v/>
      </c>
      <c r="D546" s="66">
        <f>(Table1[[#This Row],[Index]]-B534)/B534</f>
        <v/>
      </c>
    </row>
    <row r="547">
      <c r="A547" s="17" t="n">
        <v>42736</v>
      </c>
      <c r="B547" s="58">
        <f>VLOOKUP(Table1[[#This Row],[Date]],database!A:B,2,)</f>
        <v/>
      </c>
      <c r="C547" s="66">
        <f>B547/B546-1</f>
        <v/>
      </c>
      <c r="D547" s="66">
        <f>(Table1[[#This Row],[Index]]-B535)/B535</f>
        <v/>
      </c>
    </row>
    <row r="548">
      <c r="A548" s="17" t="n">
        <v>42767</v>
      </c>
      <c r="B548" s="58">
        <f>VLOOKUP(Table1[[#This Row],[Date]],database!A:B,2,)</f>
        <v/>
      </c>
      <c r="C548" s="66">
        <f>B548/B547-1</f>
        <v/>
      </c>
      <c r="D548" s="66">
        <f>(Table1[[#This Row],[Index]]-B536)/B536</f>
        <v/>
      </c>
    </row>
    <row r="549">
      <c r="A549" s="17" t="n">
        <v>42795</v>
      </c>
      <c r="B549" s="58">
        <f>VLOOKUP(Table1[[#This Row],[Date]],database!A:B,2,)</f>
        <v/>
      </c>
      <c r="C549" s="66">
        <f>B549/B548-1</f>
        <v/>
      </c>
      <c r="D549" s="66">
        <f>(Table1[[#This Row],[Index]]-B537)/B537</f>
        <v/>
      </c>
    </row>
    <row r="550">
      <c r="A550" s="17" t="n">
        <v>42826</v>
      </c>
      <c r="B550" s="58">
        <f>VLOOKUP(Table1[[#This Row],[Date]],database!A:B,2,)</f>
        <v/>
      </c>
      <c r="C550" s="66">
        <f>B550/B549-1</f>
        <v/>
      </c>
      <c r="D550" s="66">
        <f>(Table1[[#This Row],[Index]]-B538)/B538</f>
        <v/>
      </c>
    </row>
    <row r="551">
      <c r="A551" s="17" t="n">
        <v>42856</v>
      </c>
      <c r="B551" s="58">
        <f>VLOOKUP(Table1[[#This Row],[Date]],database!A:B,2,)</f>
        <v/>
      </c>
      <c r="C551" s="66">
        <f>B551/B550-1</f>
        <v/>
      </c>
      <c r="D551" s="66">
        <f>(Table1[[#This Row],[Index]]-B539)/B539</f>
        <v/>
      </c>
    </row>
    <row r="552">
      <c r="A552" s="17" t="n">
        <v>42887</v>
      </c>
      <c r="B552" s="58">
        <f>VLOOKUP(Table1[[#This Row],[Date]],database!A:B,2,)</f>
        <v/>
      </c>
      <c r="C552" s="66">
        <f>B552/B551-1</f>
        <v/>
      </c>
      <c r="D552" s="66">
        <f>(Table1[[#This Row],[Index]]-B540)/B540</f>
        <v/>
      </c>
    </row>
    <row r="553">
      <c r="A553" s="17" t="n">
        <v>42917</v>
      </c>
      <c r="B553" s="58">
        <f>VLOOKUP(Table1[[#This Row],[Date]],database!A:B,2,)</f>
        <v/>
      </c>
      <c r="C553" s="66">
        <f>B553/B552-1</f>
        <v/>
      </c>
      <c r="D553" s="66">
        <f>(Table1[[#This Row],[Index]]-B541)/B541</f>
        <v/>
      </c>
    </row>
    <row r="554">
      <c r="A554" s="17" t="n">
        <v>42948</v>
      </c>
      <c r="B554" s="58">
        <f>VLOOKUP(Table1[[#This Row],[Date]],database!A:B,2,)</f>
        <v/>
      </c>
      <c r="C554" s="66">
        <f>B554/B553-1</f>
        <v/>
      </c>
      <c r="D554" s="66">
        <f>(Table1[[#This Row],[Index]]-B542)/B542</f>
        <v/>
      </c>
    </row>
    <row r="555">
      <c r="A555" s="17" t="n">
        <v>42979</v>
      </c>
      <c r="B555" s="58">
        <f>VLOOKUP(Table1[[#This Row],[Date]],database!A:B,2,)</f>
        <v/>
      </c>
      <c r="C555" s="66">
        <f>B555/B554-1</f>
        <v/>
      </c>
      <c r="D555" s="66">
        <f>(Table1[[#This Row],[Index]]-B543)/B543</f>
        <v/>
      </c>
    </row>
    <row r="556">
      <c r="A556" s="17" t="n">
        <v>43009</v>
      </c>
      <c r="B556" s="58">
        <f>VLOOKUP(Table1[[#This Row],[Date]],database!A:B,2,)</f>
        <v/>
      </c>
      <c r="C556" s="66">
        <f>B556/B555-1</f>
        <v/>
      </c>
      <c r="D556" s="66">
        <f>(Table1[[#This Row],[Index]]-B544)/B544</f>
        <v/>
      </c>
    </row>
    <row r="557">
      <c r="A557" s="17" t="n">
        <v>43040</v>
      </c>
      <c r="B557" s="58">
        <f>VLOOKUP(Table1[[#This Row],[Date]],database!A:B,2,)</f>
        <v/>
      </c>
      <c r="C557" s="66">
        <f>B557/B556-1</f>
        <v/>
      </c>
      <c r="D557" s="66">
        <f>(Table1[[#This Row],[Index]]-B545)/B545</f>
        <v/>
      </c>
    </row>
    <row r="558">
      <c r="A558" s="17" t="n">
        <v>43070</v>
      </c>
      <c r="B558" s="58">
        <f>VLOOKUP(Table1[[#This Row],[Date]],database!A:B,2,)</f>
        <v/>
      </c>
      <c r="C558" s="66">
        <f>B558/B557-1</f>
        <v/>
      </c>
      <c r="D558" s="66">
        <f>(Table1[[#This Row],[Index]]-B546)/B546</f>
        <v/>
      </c>
    </row>
    <row r="559">
      <c r="A559" s="17" t="n">
        <v>43101</v>
      </c>
      <c r="B559" s="58">
        <f>VLOOKUP(Table1[[#This Row],[Date]],database!A:B,2,)</f>
        <v/>
      </c>
      <c r="C559" s="66">
        <f>B559/B558-1</f>
        <v/>
      </c>
      <c r="D559" s="66">
        <f>(Table1[[#This Row],[Index]]-B547)/B547</f>
        <v/>
      </c>
    </row>
    <row r="560">
      <c r="A560" s="17" t="n">
        <v>43132</v>
      </c>
      <c r="B560" s="58">
        <f>VLOOKUP(Table1[[#This Row],[Date]],database!A:B,2,)</f>
        <v/>
      </c>
      <c r="C560" s="66">
        <f>B560/B559-1</f>
        <v/>
      </c>
      <c r="D560" s="66">
        <f>(Table1[[#This Row],[Index]]-B548)/B548</f>
        <v/>
      </c>
    </row>
    <row r="561">
      <c r="A561" s="17" t="n">
        <v>43160</v>
      </c>
      <c r="B561" s="58">
        <f>VLOOKUP(Table1[[#This Row],[Date]],database!A:B,2,)</f>
        <v/>
      </c>
      <c r="C561" s="66">
        <f>B561/B560-1</f>
        <v/>
      </c>
      <c r="D561" s="66">
        <f>(Table1[[#This Row],[Index]]-B549)/B549</f>
        <v/>
      </c>
    </row>
    <row r="562">
      <c r="A562" s="17" t="n">
        <v>43191</v>
      </c>
      <c r="B562" s="58">
        <f>VLOOKUP(Table1[[#This Row],[Date]],database!A:B,2,)</f>
        <v/>
      </c>
      <c r="C562" s="66">
        <f>B562/B561-1</f>
        <v/>
      </c>
      <c r="D562" s="66">
        <f>(Table1[[#This Row],[Index]]-B550)/B550</f>
        <v/>
      </c>
    </row>
    <row r="563">
      <c r="A563" s="17" t="n">
        <v>43221</v>
      </c>
      <c r="B563" s="58">
        <f>VLOOKUP(Table1[[#This Row],[Date]],database!A:B,2,)</f>
        <v/>
      </c>
      <c r="C563" s="66">
        <f>B563/B562-1</f>
        <v/>
      </c>
      <c r="D563" s="66">
        <f>(Table1[[#This Row],[Index]]-B551)/B551</f>
        <v/>
      </c>
    </row>
    <row r="564">
      <c r="A564" s="17" t="n">
        <v>43252</v>
      </c>
      <c r="B564" s="58">
        <f>VLOOKUP(Table1[[#This Row],[Date]],database!A:B,2,)</f>
        <v/>
      </c>
      <c r="C564" s="66">
        <f>B564/B563-1</f>
        <v/>
      </c>
      <c r="D564" s="66">
        <f>(Table1[[#This Row],[Index]]-B552)/B552</f>
        <v/>
      </c>
    </row>
    <row r="565">
      <c r="A565" s="17" t="n">
        <v>43282</v>
      </c>
      <c r="B565" s="58">
        <f>VLOOKUP(Table1[[#This Row],[Date]],database!A:B,2,)</f>
        <v/>
      </c>
      <c r="C565" s="66">
        <f>B565/B564-1</f>
        <v/>
      </c>
      <c r="D565" s="66">
        <f>(Table1[[#This Row],[Index]]-B553)/B553</f>
        <v/>
      </c>
    </row>
    <row r="566">
      <c r="A566" s="17" t="n">
        <v>43313</v>
      </c>
      <c r="B566" s="58">
        <f>VLOOKUP(Table1[[#This Row],[Date]],database!A:B,2,)</f>
        <v/>
      </c>
      <c r="C566" s="66">
        <f>B566/B565-1</f>
        <v/>
      </c>
      <c r="D566" s="66">
        <f>(Table1[[#This Row],[Index]]-B554)/B554</f>
        <v/>
      </c>
    </row>
    <row r="567">
      <c r="A567" s="17" t="n">
        <v>43344</v>
      </c>
      <c r="B567" s="58">
        <f>VLOOKUP(Table1[[#This Row],[Date]],database!A:B,2,)</f>
        <v/>
      </c>
      <c r="C567" s="66">
        <f>B567/B566-1</f>
        <v/>
      </c>
      <c r="D567" s="66">
        <f>(Table1[[#This Row],[Index]]-B555)/B555</f>
        <v/>
      </c>
    </row>
    <row r="568">
      <c r="A568" s="17" t="n">
        <v>43374</v>
      </c>
      <c r="B568" s="58">
        <f>VLOOKUP(Table1[[#This Row],[Date]],database!A:B,2,)</f>
        <v/>
      </c>
      <c r="C568" s="66">
        <f>B568/B567-1</f>
        <v/>
      </c>
      <c r="D568" s="66">
        <f>(Table1[[#This Row],[Index]]-B556)/B556</f>
        <v/>
      </c>
    </row>
    <row r="569">
      <c r="A569" s="17" t="n">
        <v>43405</v>
      </c>
      <c r="B569" s="58">
        <f>VLOOKUP(Table1[[#This Row],[Date]],database!A:B,2,)</f>
        <v/>
      </c>
      <c r="C569" s="66">
        <f>B569/B568-1</f>
        <v/>
      </c>
      <c r="D569" s="66">
        <f>(Table1[[#This Row],[Index]]-B557)/B557</f>
        <v/>
      </c>
    </row>
    <row r="570">
      <c r="A570" s="17" t="n">
        <v>43435</v>
      </c>
      <c r="B570" s="58">
        <f>VLOOKUP(Table1[[#This Row],[Date]],database!A:B,2,)</f>
        <v/>
      </c>
      <c r="C570" s="66">
        <f>B570/B569-1</f>
        <v/>
      </c>
      <c r="D570" s="66">
        <f>(Table1[[#This Row],[Index]]-B558)/B558</f>
        <v/>
      </c>
    </row>
    <row r="571">
      <c r="A571" s="17" t="n">
        <v>43466</v>
      </c>
      <c r="B571" s="58">
        <f>VLOOKUP(Table1[[#This Row],[Date]],database!A:B,2,)</f>
        <v/>
      </c>
      <c r="C571" s="66">
        <f>B571/B570-1</f>
        <v/>
      </c>
      <c r="D571" s="66">
        <f>(Table1[[#This Row],[Index]]-B559)/B559</f>
        <v/>
      </c>
    </row>
    <row r="572">
      <c r="A572" s="17" t="n">
        <v>43497</v>
      </c>
      <c r="B572" s="58">
        <f>VLOOKUP(Table1[[#This Row],[Date]],database!A:B,2,)</f>
        <v/>
      </c>
      <c r="C572" s="66">
        <f>B572/B571-1</f>
        <v/>
      </c>
      <c r="D572" s="66">
        <f>(Table1[[#This Row],[Index]]-B560)/B560</f>
        <v/>
      </c>
    </row>
    <row r="573">
      <c r="A573" s="17" t="n">
        <v>43525</v>
      </c>
      <c r="B573" s="58">
        <f>VLOOKUP(Table1[[#This Row],[Date]],database!A:B,2,)</f>
        <v/>
      </c>
      <c r="C573" s="66">
        <f>B573/B572-1</f>
        <v/>
      </c>
      <c r="D573" s="66">
        <f>(Table1[[#This Row],[Index]]-B561)/B561</f>
        <v/>
      </c>
    </row>
    <row r="574">
      <c r="A574" s="17" t="n">
        <v>43556</v>
      </c>
      <c r="B574" s="58">
        <f>VLOOKUP(Table1[[#This Row],[Date]],database!A:B,2,)</f>
        <v/>
      </c>
      <c r="C574" s="66">
        <f>B574/B573-1</f>
        <v/>
      </c>
      <c r="D574" s="66">
        <f>(Table1[[#This Row],[Index]]-B562)/B562</f>
        <v/>
      </c>
    </row>
    <row r="575">
      <c r="A575" s="17" t="n">
        <v>43586</v>
      </c>
      <c r="B575" s="58">
        <f>VLOOKUP(Table1[[#This Row],[Date]],database!A:B,2,)</f>
        <v/>
      </c>
      <c r="C575" s="66">
        <f>B575/B574-1</f>
        <v/>
      </c>
      <c r="D575" s="66">
        <f>(Table1[[#This Row],[Index]]-B563)/B563</f>
        <v/>
      </c>
    </row>
    <row r="576">
      <c r="A576" s="17" t="n">
        <v>43617</v>
      </c>
      <c r="B576" s="58">
        <f>VLOOKUP(Table1[[#This Row],[Date]],database!A:B,2,)</f>
        <v/>
      </c>
      <c r="C576" s="66">
        <f>B576/B575-1</f>
        <v/>
      </c>
      <c r="D576" s="66">
        <f>(Table1[[#This Row],[Index]]-B564)/B564</f>
        <v/>
      </c>
    </row>
    <row r="577">
      <c r="A577" s="17" t="n">
        <v>43647</v>
      </c>
      <c r="B577" s="58">
        <f>VLOOKUP(Table1[[#This Row],[Date]],database!A:B,2,)</f>
        <v/>
      </c>
      <c r="C577" s="66">
        <f>B577/B576-1</f>
        <v/>
      </c>
      <c r="D577" s="66">
        <f>(Table1[[#This Row],[Index]]-B565)/B565</f>
        <v/>
      </c>
    </row>
    <row r="578">
      <c r="A578" s="17" t="n">
        <v>43678</v>
      </c>
      <c r="B578" s="58">
        <f>VLOOKUP(Table1[[#This Row],[Date]],database!A:B,2,)</f>
        <v/>
      </c>
      <c r="C578" s="66">
        <f>B578/B577-1</f>
        <v/>
      </c>
      <c r="D578" s="66">
        <f>(Table1[[#This Row],[Index]]-B566)/B566</f>
        <v/>
      </c>
    </row>
    <row r="579">
      <c r="A579" s="17" t="n">
        <v>43709</v>
      </c>
      <c r="B579" s="58">
        <f>VLOOKUP(Table1[[#This Row],[Date]],database!A:B,2,)</f>
        <v/>
      </c>
      <c r="C579" s="66">
        <f>B579/B578-1</f>
        <v/>
      </c>
      <c r="D579" s="66">
        <f>(Table1[[#This Row],[Index]]-B567)/B567</f>
        <v/>
      </c>
    </row>
    <row r="580">
      <c r="A580" s="17" t="n">
        <v>43739</v>
      </c>
      <c r="B580" s="58">
        <f>VLOOKUP(Table1[[#This Row],[Date]],database!A:B,2,)</f>
        <v/>
      </c>
      <c r="C580" s="66">
        <f>B580/B579-1</f>
        <v/>
      </c>
      <c r="D580" s="66">
        <f>(Table1[[#This Row],[Index]]-B568)/B568</f>
        <v/>
      </c>
    </row>
    <row r="581">
      <c r="A581" s="17" t="n">
        <v>43770</v>
      </c>
      <c r="B581" s="58">
        <f>VLOOKUP(Table1[[#This Row],[Date]],database!A:B,2,)</f>
        <v/>
      </c>
      <c r="C581" s="66">
        <f>B581/B580-1</f>
        <v/>
      </c>
      <c r="D581" s="66">
        <f>(Table1[[#This Row],[Index]]-B569)/B569</f>
        <v/>
      </c>
    </row>
    <row r="582">
      <c r="A582" s="17" t="n">
        <v>43800</v>
      </c>
      <c r="B582" s="58">
        <f>VLOOKUP(Table1[[#This Row],[Date]],database!A:B,2,)</f>
        <v/>
      </c>
      <c r="C582" s="66">
        <f>B582/B581-1</f>
        <v/>
      </c>
      <c r="D582" s="66">
        <f>(Table1[[#This Row],[Index]]-B570)/B570</f>
        <v/>
      </c>
    </row>
    <row r="583">
      <c r="A583" s="17" t="n">
        <v>43831</v>
      </c>
      <c r="B583" s="58">
        <f>VLOOKUP(Table1[[#This Row],[Date]],database!A:B,2,)</f>
        <v/>
      </c>
      <c r="C583" s="66">
        <f>B583/B582-1</f>
        <v/>
      </c>
      <c r="D583" s="66">
        <f>(Table1[[#This Row],[Index]]-B571)/B571</f>
        <v/>
      </c>
    </row>
    <row r="584">
      <c r="A584" s="17" t="n">
        <v>43862</v>
      </c>
      <c r="B584" s="58">
        <f>VLOOKUP(Table1[[#This Row],[Date]],database!A:B,2,)</f>
        <v/>
      </c>
      <c r="C584" s="66">
        <f>B584/B583-1</f>
        <v/>
      </c>
      <c r="D584" s="66">
        <f>(Table1[[#This Row],[Index]]-B572)/B572</f>
        <v/>
      </c>
    </row>
    <row r="585">
      <c r="A585" s="17" t="n">
        <v>43891</v>
      </c>
      <c r="B585" s="58">
        <f>VLOOKUP(Table1[[#This Row],[Date]],database!A:B,2,)</f>
        <v/>
      </c>
      <c r="C585" s="66">
        <f>B585/B584-1</f>
        <v/>
      </c>
      <c r="D585" s="66">
        <f>(Table1[[#This Row],[Index]]-B573)/B573</f>
        <v/>
      </c>
    </row>
    <row r="586">
      <c r="A586" s="17" t="n">
        <v>43922</v>
      </c>
      <c r="B586" s="58">
        <f>VLOOKUP(Table1[[#This Row],[Date]],database!A:B,2,)</f>
        <v/>
      </c>
      <c r="C586" s="66">
        <f>B586/B585-1</f>
        <v/>
      </c>
      <c r="D586" s="66">
        <f>(Table1[[#This Row],[Index]]-B574)/B574</f>
        <v/>
      </c>
    </row>
    <row r="587">
      <c r="A587" s="17" t="n">
        <v>43952</v>
      </c>
      <c r="B587" s="58">
        <f>VLOOKUP(Table1[[#This Row],[Date]],database!A:B,2,)</f>
        <v/>
      </c>
      <c r="C587" s="66">
        <f>B587/B586-1</f>
        <v/>
      </c>
      <c r="D587" s="66">
        <f>(Table1[[#This Row],[Index]]-B575)/B575</f>
        <v/>
      </c>
    </row>
    <row r="588">
      <c r="A588" s="17" t="n">
        <v>43983</v>
      </c>
      <c r="B588" s="58">
        <f>VLOOKUP(Table1[[#This Row],[Date]],database!A:B,2,)</f>
        <v/>
      </c>
      <c r="C588" s="66">
        <f>B588/B587-1</f>
        <v/>
      </c>
      <c r="D588" s="66">
        <f>(Table1[[#This Row],[Index]]-B576)/B576</f>
        <v/>
      </c>
    </row>
    <row r="589">
      <c r="A589" s="17" t="n">
        <v>44013</v>
      </c>
      <c r="B589" s="58">
        <f>VLOOKUP(Table1[[#This Row],[Date]],database!A:B,2,)</f>
        <v/>
      </c>
      <c r="C589" s="66">
        <f>B589/B588-1</f>
        <v/>
      </c>
      <c r="D589" s="66">
        <f>(Table1[[#This Row],[Index]]-B577)/B577</f>
        <v/>
      </c>
    </row>
    <row r="590">
      <c r="A590" s="17" t="n">
        <v>44044</v>
      </c>
      <c r="B590" s="58">
        <f>VLOOKUP(Table1[[#This Row],[Date]],database!A:B,2,)</f>
        <v/>
      </c>
      <c r="C590" s="66">
        <f>B590/B589-1</f>
        <v/>
      </c>
      <c r="D590" s="66">
        <f>(Table1[[#This Row],[Index]]-B578)/B578</f>
        <v/>
      </c>
    </row>
    <row r="591">
      <c r="A591" s="17" t="n">
        <v>44075</v>
      </c>
      <c r="B591" s="58">
        <f>VLOOKUP(Table1[[#This Row],[Date]],database!A:B,2,)</f>
        <v/>
      </c>
      <c r="C591" s="66">
        <f>B591/B590-1</f>
        <v/>
      </c>
      <c r="D591" s="66">
        <f>(Table1[[#This Row],[Index]]-B579)/B579</f>
        <v/>
      </c>
    </row>
    <row r="592">
      <c r="A592" s="17" t="n">
        <v>44105</v>
      </c>
      <c r="B592" s="58">
        <f>VLOOKUP(Table1[[#This Row],[Date]],database!A:B,2,)</f>
        <v/>
      </c>
      <c r="C592" s="66">
        <f>B592/B591-1</f>
        <v/>
      </c>
      <c r="D592" s="66">
        <f>(Table1[[#This Row],[Index]]-B580)/B580</f>
        <v/>
      </c>
    </row>
    <row r="593">
      <c r="A593" s="17" t="n">
        <v>44136</v>
      </c>
      <c r="B593" s="58">
        <f>VLOOKUP(Table1[[#This Row],[Date]],database!A:B,2,)</f>
        <v/>
      </c>
      <c r="C593" s="66">
        <f>B593/B592-1</f>
        <v/>
      </c>
      <c r="D593" s="66">
        <f>(Table1[[#This Row],[Index]]-B581)/B581</f>
        <v/>
      </c>
    </row>
    <row r="594">
      <c r="A594" s="17" t="n">
        <v>44166</v>
      </c>
      <c r="B594" s="58">
        <f>VLOOKUP(Table1[[#This Row],[Date]],database!A:B,2,)</f>
        <v/>
      </c>
      <c r="C594" s="66">
        <f>B594/B593-1</f>
        <v/>
      </c>
      <c r="D594" s="66">
        <f>(Table1[[#This Row],[Index]]-B582)/B582</f>
        <v/>
      </c>
    </row>
    <row r="595">
      <c r="A595" s="17" t="n">
        <v>44197</v>
      </c>
      <c r="B595" s="58">
        <f>VLOOKUP(Table1[[#This Row],[Date]],database!A:B,2,)</f>
        <v/>
      </c>
      <c r="C595" s="66">
        <f>B595/B594-1</f>
        <v/>
      </c>
      <c r="D595" s="66">
        <f>(Table1[[#This Row],[Index]]-B583)/B583</f>
        <v/>
      </c>
    </row>
    <row r="596">
      <c r="A596" s="17" t="n">
        <v>44228</v>
      </c>
      <c r="B596" s="58">
        <f>VLOOKUP(Table1[[#This Row],[Date]],database!A:B,2,)</f>
        <v/>
      </c>
      <c r="C596" s="66">
        <f>B596/B595-1</f>
        <v/>
      </c>
      <c r="D596" s="66">
        <f>(Table1[[#This Row],[Index]]-B584)/B584</f>
        <v/>
      </c>
    </row>
    <row r="597">
      <c r="A597" s="17" t="n">
        <v>44256</v>
      </c>
      <c r="B597" s="58">
        <f>VLOOKUP(Table1[[#This Row],[Date]],database!A:B,2,)</f>
        <v/>
      </c>
      <c r="C597" s="66">
        <f>B597/B596-1</f>
        <v/>
      </c>
      <c r="D597" s="66">
        <f>(Table1[[#This Row],[Index]]-B585)/B585</f>
        <v/>
      </c>
    </row>
    <row r="598">
      <c r="A598" s="17" t="n">
        <v>44287</v>
      </c>
      <c r="B598" s="58">
        <f>VLOOKUP(Table1[[#This Row],[Date]],database!A:B,2,)</f>
        <v/>
      </c>
      <c r="C598" s="66">
        <f>B598/B597-1</f>
        <v/>
      </c>
      <c r="D598" s="66">
        <f>(Table1[[#This Row],[Index]]-B586)/B586</f>
        <v/>
      </c>
    </row>
    <row r="599">
      <c r="A599" s="17" t="n">
        <v>44317</v>
      </c>
      <c r="B599" s="58">
        <f>VLOOKUP(Table1[[#This Row],[Date]],database!A:B,2,)</f>
        <v/>
      </c>
      <c r="C599" s="66">
        <f>B599/B598-1</f>
        <v/>
      </c>
      <c r="D599" s="66">
        <f>(Table1[[#This Row],[Index]]-B587)/B587</f>
        <v/>
      </c>
    </row>
    <row r="600">
      <c r="A600" s="17" t="n">
        <v>44348</v>
      </c>
      <c r="B600" s="58">
        <f>VLOOKUP(Table1[[#This Row],[Date]],database!A:B,2,)</f>
        <v/>
      </c>
      <c r="C600" s="66">
        <f>B600/B599-1</f>
        <v/>
      </c>
      <c r="D600" s="66">
        <f>(Table1[[#This Row],[Index]]-B588)/B588</f>
        <v/>
      </c>
    </row>
    <row r="601">
      <c r="A601" s="17" t="n">
        <v>44378</v>
      </c>
      <c r="B601" s="58">
        <f>VLOOKUP(Table1[[#This Row],[Date]],database!A:B,2,)</f>
        <v/>
      </c>
      <c r="C601" s="66">
        <f>B601/B600-1</f>
        <v/>
      </c>
      <c r="D601" s="66">
        <f>(Table1[[#This Row],[Index]]-B589)/B589</f>
        <v/>
      </c>
    </row>
    <row r="602">
      <c r="A602" s="17" t="n">
        <v>44409</v>
      </c>
      <c r="B602" s="58">
        <f>VLOOKUP(Table1[[#This Row],[Date]],database!A:B,2,)</f>
        <v/>
      </c>
      <c r="C602" s="66">
        <f>B602/B601-1</f>
        <v/>
      </c>
      <c r="D602" s="66">
        <f>(Table1[[#This Row],[Index]]-B590)/B590</f>
        <v/>
      </c>
    </row>
    <row r="603">
      <c r="A603" s="17" t="n">
        <v>44440</v>
      </c>
      <c r="B603" s="58">
        <f>VLOOKUP(Table1[[#This Row],[Date]],database!A:B,2,)</f>
        <v/>
      </c>
      <c r="C603" s="66">
        <f>B603/B602-1</f>
        <v/>
      </c>
      <c r="D603" s="66">
        <f>(Table1[[#This Row],[Index]]-B591)/B591</f>
        <v/>
      </c>
    </row>
    <row r="604">
      <c r="A604" s="17" t="n">
        <v>44470</v>
      </c>
      <c r="B604" s="58">
        <f>VLOOKUP(Table1[[#This Row],[Date]],database!A:B,2,)</f>
        <v/>
      </c>
      <c r="C604" s="66">
        <f>B604/B603-1</f>
        <v/>
      </c>
      <c r="D604" s="66">
        <f>(Table1[[#This Row],[Index]]-B592)/B592</f>
        <v/>
      </c>
    </row>
    <row r="605">
      <c r="A605" s="17" t="n">
        <v>44501</v>
      </c>
      <c r="B605" s="58">
        <f>VLOOKUP(Table1[[#This Row],[Date]],database!A:B,2,)</f>
        <v/>
      </c>
      <c r="C605" s="66">
        <f>B605/B604-1</f>
        <v/>
      </c>
      <c r="D605" s="66">
        <f>(Table1[[#This Row],[Index]]-B593)/B593</f>
        <v/>
      </c>
    </row>
    <row r="606">
      <c r="A606" s="17" t="n">
        <v>44531</v>
      </c>
      <c r="B606" s="58">
        <f>VLOOKUP(Table1[[#This Row],[Date]],database!A:B,2,)</f>
        <v/>
      </c>
      <c r="C606" s="66">
        <f>B606/B605-1</f>
        <v/>
      </c>
      <c r="D606" s="66">
        <f>(Table1[[#This Row],[Index]]-B594)/B594</f>
        <v/>
      </c>
    </row>
    <row r="607">
      <c r="A607" s="17" t="n">
        <v>44562</v>
      </c>
      <c r="B607" s="58">
        <f>VLOOKUP(Table1[[#This Row],[Date]],database!A:B,2,)</f>
        <v/>
      </c>
      <c r="C607" s="66">
        <f>B607/B606-1</f>
        <v/>
      </c>
      <c r="D607" s="66">
        <f>(Table1[[#This Row],[Index]]-B595)/B595</f>
        <v/>
      </c>
    </row>
    <row r="608">
      <c r="A608" s="17" t="n">
        <v>44593</v>
      </c>
      <c r="B608" s="58">
        <f>VLOOKUP(Table1[[#This Row],[Date]],database!A:B,2,)</f>
        <v/>
      </c>
      <c r="C608" s="66">
        <f>B608/B607-1</f>
        <v/>
      </c>
      <c r="D608" s="66">
        <f>(Table1[[#This Row],[Index]]-B596)/B596</f>
        <v/>
      </c>
    </row>
    <row r="609">
      <c r="A609" s="17" t="n">
        <v>44621</v>
      </c>
      <c r="B609" s="58">
        <f>VLOOKUP(Table1[[#This Row],[Date]],database!A:B,2,)</f>
        <v/>
      </c>
      <c r="C609" s="66">
        <f>B609/B608-1</f>
        <v/>
      </c>
      <c r="D609" s="66">
        <f>(Table1[[#This Row],[Index]]-B597)/B597</f>
        <v/>
      </c>
    </row>
    <row r="610">
      <c r="A610" s="17" t="n">
        <v>44652</v>
      </c>
      <c r="B610" s="58">
        <f>VLOOKUP(Table1[[#This Row],[Date]],database!A:B,2,)</f>
        <v/>
      </c>
      <c r="C610" s="66">
        <f>B610/B609-1</f>
        <v/>
      </c>
      <c r="D610" s="66">
        <f>(Table1[[#This Row],[Index]]-B598)/B598</f>
        <v/>
      </c>
    </row>
    <row r="611">
      <c r="A611" s="17" t="n">
        <v>44682</v>
      </c>
      <c r="B611" s="58">
        <f>VLOOKUP(Table1[[#This Row],[Date]],database!A:B,2,)</f>
        <v/>
      </c>
      <c r="C611" s="66">
        <f>B611/B610-1</f>
        <v/>
      </c>
      <c r="D611" s="66">
        <f>(Table1[[#This Row],[Index]]-B599)/B599</f>
        <v/>
      </c>
    </row>
    <row r="612">
      <c r="A612" s="17" t="n">
        <v>44713</v>
      </c>
      <c r="B612" s="58">
        <f>VLOOKUP(Table1[[#This Row],[Date]],database!A:B,2,)</f>
        <v/>
      </c>
      <c r="C612" s="66">
        <f>B612/B611-1</f>
        <v/>
      </c>
      <c r="D612" s="66">
        <f>(Table1[[#This Row],[Index]]-B600)/B600</f>
        <v/>
      </c>
    </row>
    <row r="613">
      <c r="A613" s="17" t="n">
        <v>44743</v>
      </c>
      <c r="B613" s="58">
        <f>VLOOKUP(Table1[[#This Row],[Date]],database!A:B,2,)</f>
        <v/>
      </c>
      <c r="C613" s="66">
        <f>B613/B612-1</f>
        <v/>
      </c>
      <c r="D613" s="66">
        <f>(Table1[[#This Row],[Index]]-B601)/B601</f>
        <v/>
      </c>
    </row>
    <row r="614">
      <c r="A614" s="17" t="n">
        <v>44774</v>
      </c>
      <c r="B614" s="58">
        <f>VLOOKUP(Table1[[#This Row],[Date]],database!A:B,2,)</f>
        <v/>
      </c>
      <c r="C614" s="66">
        <f>B614/B613-1</f>
        <v/>
      </c>
      <c r="D614" s="66">
        <f>(Table1[[#This Row],[Index]]-B602)/B602</f>
        <v/>
      </c>
    </row>
    <row r="615">
      <c r="A615" s="17" t="n">
        <v>44805</v>
      </c>
      <c r="B615" s="58">
        <f>VLOOKUP(Table1[[#This Row],[Date]],database!A:B,2,)</f>
        <v/>
      </c>
      <c r="C615" s="66">
        <f>B615/B614-1</f>
        <v/>
      </c>
      <c r="D615" s="66">
        <f>(Table1[[#This Row],[Index]]-B603)/B603</f>
        <v/>
      </c>
    </row>
    <row r="616">
      <c r="A616" s="17" t="n">
        <v>44835</v>
      </c>
      <c r="B616" s="58">
        <f>VLOOKUP(Table1[[#This Row],[Date]],database!A:B,2,)</f>
        <v/>
      </c>
      <c r="C616" s="66">
        <f>B616/B615-1</f>
        <v/>
      </c>
      <c r="D616" s="66">
        <f>(Table1[[#This Row],[Index]]-B604)/B604</f>
        <v/>
      </c>
    </row>
    <row r="617">
      <c r="A617" s="17" t="n">
        <v>44866</v>
      </c>
      <c r="B617" s="58">
        <f>VLOOKUP(Table1[[#This Row],[Date]],database!A:B,2,)</f>
        <v/>
      </c>
      <c r="C617" s="66">
        <f>B617/B616-1</f>
        <v/>
      </c>
      <c r="D617" s="66">
        <f>(Table1[[#This Row],[Index]]-B605)/B605</f>
        <v/>
      </c>
    </row>
    <row r="618">
      <c r="A618" s="17" t="n">
        <v>44896</v>
      </c>
      <c r="B618" s="58">
        <f>VLOOKUP(Table1[[#This Row],[Date]],database!A:B,2,)</f>
        <v/>
      </c>
      <c r="C618" s="66">
        <f>B618/B617-1</f>
        <v/>
      </c>
      <c r="D618" s="66">
        <f>(Table1[[#This Row],[Index]]-B606)/B606</f>
        <v/>
      </c>
    </row>
  </sheetData>
  <conditionalFormatting sqref="D463:D61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7"/>
  <sheetViews>
    <sheetView zoomScaleNormal="100" workbookViewId="0">
      <pane ySplit="5" topLeftCell="A646" activePane="bottomLeft" state="frozen"/>
      <selection activeCell="N1259" sqref="N1259"/>
      <selection pane="bottomLeft" activeCell="M682" sqref="M682"/>
    </sheetView>
  </sheetViews>
  <sheetFormatPr baseColWidth="8" defaultColWidth="9.1796875" defaultRowHeight="14.5"/>
  <cols>
    <col width="9.1796875" customWidth="1" style="79" min="1" max="1"/>
    <col width="18.36328125" customWidth="1" style="12" min="2" max="2"/>
    <col width="13.6328125" customWidth="1" style="12" min="3" max="3"/>
    <col width="9.1796875" customWidth="1" style="79" min="4" max="25"/>
    <col width="9.1796875" customWidth="1" style="79" min="26" max="16384"/>
  </cols>
  <sheetData>
    <row r="1">
      <c r="A1" s="79" t="inlineStr">
        <is>
          <t>TCU</t>
        </is>
      </c>
      <c r="C1" t="inlineStr">
        <is>
          <t>https://fred.stlouisfed.org/series/WPSFD4131</t>
        </is>
      </c>
    </row>
    <row r="2">
      <c r="C2" t="inlineStr">
        <is>
          <t>Percentage Change from a Year Ago</t>
        </is>
      </c>
    </row>
    <row r="3">
      <c r="C3" t="inlineStr">
        <is>
          <t>Monthly</t>
        </is>
      </c>
    </row>
    <row r="4" ht="16" customHeight="1"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8">
        <f>(VLOOKUP(A102,database!A:K,11,) - VLOOKUP(A90,database!A:K,11,))/VLOOKUP(A90,database!A:K,11,)</f>
        <v/>
      </c>
    </row>
    <row r="103">
      <c r="A103" s="38" t="n">
        <v>27426</v>
      </c>
      <c r="B103" s="39">
        <f>VLOOKUP(Table8[[#This Row],[Month]],database!A:J,MATCH('Capacity Utilization'!$A$1,database!$A$1:$J$1,),)</f>
        <v/>
      </c>
      <c r="C103" s="68">
        <f>(VLOOKUP(A103,database!A:K,11,) - VLOOKUP(A91,database!A:K,11,))/VLOOKUP(A91,database!A:K,11,)</f>
        <v/>
      </c>
    </row>
    <row r="104">
      <c r="A104" s="38" t="n">
        <v>27454</v>
      </c>
      <c r="B104" s="39">
        <f>VLOOKUP(Table8[[#This Row],[Month]],database!A:J,MATCH('Capacity Utilization'!$A$1,database!$A$1:$J$1,),)</f>
        <v/>
      </c>
      <c r="C104" s="68">
        <f>(VLOOKUP(A104,database!A:K,11,) - VLOOKUP(A92,database!A:K,11,))/VLOOKUP(A92,database!A:K,11,)</f>
        <v/>
      </c>
    </row>
    <row r="105">
      <c r="A105" s="38" t="n">
        <v>27485</v>
      </c>
      <c r="B105" s="39">
        <f>VLOOKUP(Table8[[#This Row],[Month]],database!A:J,MATCH('Capacity Utilization'!$A$1,database!$A$1:$J$1,),)</f>
        <v/>
      </c>
      <c r="C105" s="68">
        <f>(VLOOKUP(A105,database!A:K,11,) - VLOOKUP(A93,database!A:K,11,))/VLOOKUP(A93,database!A:K,11,)</f>
        <v/>
      </c>
    </row>
    <row r="106">
      <c r="A106" s="38" t="n">
        <v>27515</v>
      </c>
      <c r="B106" s="39">
        <f>VLOOKUP(Table8[[#This Row],[Month]],database!A:J,MATCH('Capacity Utilization'!$A$1,database!$A$1:$J$1,),)</f>
        <v/>
      </c>
      <c r="C106" s="68">
        <f>(VLOOKUP(A106,database!A:K,11,) - VLOOKUP(A94,database!A:K,11,))/VLOOKUP(A94,database!A:K,11,)</f>
        <v/>
      </c>
    </row>
    <row r="107">
      <c r="A107" s="38" t="n">
        <v>27546</v>
      </c>
      <c r="B107" s="39">
        <f>VLOOKUP(Table8[[#This Row],[Month]],database!A:J,MATCH('Capacity Utilization'!$A$1,database!$A$1:$J$1,),)</f>
        <v/>
      </c>
      <c r="C107" s="68">
        <f>(VLOOKUP(A107,database!A:K,11,) - VLOOKUP(A95,database!A:K,11,))/VLOOKUP(A95,database!A:K,11,)</f>
        <v/>
      </c>
    </row>
    <row r="108">
      <c r="A108" s="38" t="n">
        <v>27576</v>
      </c>
      <c r="B108" s="39">
        <f>VLOOKUP(Table8[[#This Row],[Month]],database!A:J,MATCH('Capacity Utilization'!$A$1,database!$A$1:$J$1,),)</f>
        <v/>
      </c>
      <c r="C108" s="68">
        <f>(VLOOKUP(A108,database!A:K,11,) - VLOOKUP(A96,database!A:K,11,))/VLOOKUP(A96,database!A:K,11,)</f>
        <v/>
      </c>
    </row>
    <row r="109">
      <c r="A109" s="38" t="n">
        <v>27607</v>
      </c>
      <c r="B109" s="39">
        <f>VLOOKUP(Table8[[#This Row],[Month]],database!A:J,MATCH('Capacity Utilization'!$A$1,database!$A$1:$J$1,),)</f>
        <v/>
      </c>
      <c r="C109" s="68">
        <f>(VLOOKUP(A109,database!A:K,11,) - VLOOKUP(A97,database!A:K,11,))/VLOOKUP(A97,database!A:K,11,)</f>
        <v/>
      </c>
    </row>
    <row r="110">
      <c r="A110" s="38" t="n">
        <v>27638</v>
      </c>
      <c r="B110" s="39">
        <f>VLOOKUP(Table8[[#This Row],[Month]],database!A:J,MATCH('Capacity Utilization'!$A$1,database!$A$1:$J$1,),)</f>
        <v/>
      </c>
      <c r="C110" s="68">
        <f>(VLOOKUP(A110,database!A:K,11,) - VLOOKUP(A98,database!A:K,11,))/VLOOKUP(A98,database!A:K,11,)</f>
        <v/>
      </c>
    </row>
    <row r="111">
      <c r="A111" s="38" t="n">
        <v>27668</v>
      </c>
      <c r="B111" s="39">
        <f>VLOOKUP(Table8[[#This Row],[Month]],database!A:J,MATCH('Capacity Utilization'!$A$1,database!$A$1:$J$1,),)</f>
        <v/>
      </c>
      <c r="C111" s="68">
        <f>(VLOOKUP(A111,database!A:K,11,) - VLOOKUP(A99,database!A:K,11,))/VLOOKUP(A99,database!A:K,11,)</f>
        <v/>
      </c>
    </row>
    <row r="112">
      <c r="A112" s="38" t="n">
        <v>27699</v>
      </c>
      <c r="B112" s="39">
        <f>VLOOKUP(Table8[[#This Row],[Month]],database!A:J,MATCH('Capacity Utilization'!$A$1,database!$A$1:$J$1,),)</f>
        <v/>
      </c>
      <c r="C112" s="68">
        <f>(VLOOKUP(A112,database!A:K,11,) - VLOOKUP(A100,database!A:K,11,))/VLOOKUP(A100,database!A:K,11,)</f>
        <v/>
      </c>
    </row>
    <row r="113">
      <c r="A113" s="38" t="n">
        <v>27729</v>
      </c>
      <c r="B113" s="39">
        <f>VLOOKUP(Table8[[#This Row],[Month]],database!A:J,MATCH('Capacity Utilization'!$A$1,database!$A$1:$J$1,),)</f>
        <v/>
      </c>
      <c r="C113" s="68">
        <f>(VLOOKUP(A113,database!A:K,11,) - VLOOKUP(A101,database!A:K,11,))/VLOOKUP(A101,database!A:K,11,)</f>
        <v/>
      </c>
    </row>
    <row r="114">
      <c r="A114" s="38" t="n">
        <v>27760</v>
      </c>
      <c r="B114" s="39">
        <f>VLOOKUP(Table8[[#This Row],[Month]],database!A:J,MATCH('Capacity Utilization'!$A$1,database!$A$1:$J$1,),)</f>
        <v/>
      </c>
      <c r="C114" s="68">
        <f>(VLOOKUP(A114,database!A:K,11,) - VLOOKUP(A102,database!A:K,11,))/VLOOKUP(A102,database!A:K,11,)</f>
        <v/>
      </c>
    </row>
    <row r="115">
      <c r="A115" s="38" t="n">
        <v>27791</v>
      </c>
      <c r="B115" s="39">
        <f>VLOOKUP(Table8[[#This Row],[Month]],database!A:J,MATCH('Capacity Utilization'!$A$1,database!$A$1:$J$1,),)</f>
        <v/>
      </c>
      <c r="C115" s="68">
        <f>(VLOOKUP(A115,database!A:K,11,) - VLOOKUP(A103,database!A:K,11,))/VLOOKUP(A103,database!A:K,11,)</f>
        <v/>
      </c>
    </row>
    <row r="116">
      <c r="A116" s="38" t="n">
        <v>27820</v>
      </c>
      <c r="B116" s="39">
        <f>VLOOKUP(Table8[[#This Row],[Month]],database!A:J,MATCH('Capacity Utilization'!$A$1,database!$A$1:$J$1,),)</f>
        <v/>
      </c>
      <c r="C116" s="68">
        <f>(VLOOKUP(A116,database!A:K,11,) - VLOOKUP(A104,database!A:K,11,))/VLOOKUP(A104,database!A:K,11,)</f>
        <v/>
      </c>
    </row>
    <row r="117">
      <c r="A117" s="38" t="n">
        <v>27851</v>
      </c>
      <c r="B117" s="39">
        <f>VLOOKUP(Table8[[#This Row],[Month]],database!A:J,MATCH('Capacity Utilization'!$A$1,database!$A$1:$J$1,),)</f>
        <v/>
      </c>
      <c r="C117" s="68">
        <f>(VLOOKUP(A117,database!A:K,11,) - VLOOKUP(A105,database!A:K,11,))/VLOOKUP(A105,database!A:K,11,)</f>
        <v/>
      </c>
    </row>
    <row r="118">
      <c r="A118" s="38" t="n">
        <v>27881</v>
      </c>
      <c r="B118" s="39">
        <f>VLOOKUP(Table8[[#This Row],[Month]],database!A:J,MATCH('Capacity Utilization'!$A$1,database!$A$1:$J$1,),)</f>
        <v/>
      </c>
      <c r="C118" s="68">
        <f>(VLOOKUP(A118,database!A:K,11,) - VLOOKUP(A106,database!A:K,11,))/VLOOKUP(A106,database!A:K,11,)</f>
        <v/>
      </c>
    </row>
    <row r="119">
      <c r="A119" s="38" t="n">
        <v>27912</v>
      </c>
      <c r="B119" s="39">
        <f>VLOOKUP(Table8[[#This Row],[Month]],database!A:J,MATCH('Capacity Utilization'!$A$1,database!$A$1:$J$1,),)</f>
        <v/>
      </c>
      <c r="C119" s="68">
        <f>(VLOOKUP(A119,database!A:K,11,) - VLOOKUP(A107,database!A:K,11,))/VLOOKUP(A107,database!A:K,11,)</f>
        <v/>
      </c>
    </row>
    <row r="120">
      <c r="A120" s="38" t="n">
        <v>27942</v>
      </c>
      <c r="B120" s="39">
        <f>VLOOKUP(Table8[[#This Row],[Month]],database!A:J,MATCH('Capacity Utilization'!$A$1,database!$A$1:$J$1,),)</f>
        <v/>
      </c>
      <c r="C120" s="68">
        <f>(VLOOKUP(A120,database!A:K,11,) - VLOOKUP(A108,database!A:K,11,))/VLOOKUP(A108,database!A:K,11,)</f>
        <v/>
      </c>
    </row>
    <row r="121">
      <c r="A121" s="38" t="n">
        <v>27973</v>
      </c>
      <c r="B121" s="39">
        <f>VLOOKUP(Table8[[#This Row],[Month]],database!A:J,MATCH('Capacity Utilization'!$A$1,database!$A$1:$J$1,),)</f>
        <v/>
      </c>
      <c r="C121" s="68">
        <f>(VLOOKUP(A121,database!A:K,11,) - VLOOKUP(A109,database!A:K,11,))/VLOOKUP(A109,database!A:K,11,)</f>
        <v/>
      </c>
    </row>
    <row r="122">
      <c r="A122" s="38" t="n">
        <v>28004</v>
      </c>
      <c r="B122" s="39">
        <f>VLOOKUP(Table8[[#This Row],[Month]],database!A:J,MATCH('Capacity Utilization'!$A$1,database!$A$1:$J$1,),)</f>
        <v/>
      </c>
      <c r="C122" s="68">
        <f>(VLOOKUP(A122,database!A:K,11,) - VLOOKUP(A110,database!A:K,11,))/VLOOKUP(A110,database!A:K,11,)</f>
        <v/>
      </c>
    </row>
    <row r="123">
      <c r="A123" s="38" t="n">
        <v>28034</v>
      </c>
      <c r="B123" s="39">
        <f>VLOOKUP(Table8[[#This Row],[Month]],database!A:J,MATCH('Capacity Utilization'!$A$1,database!$A$1:$J$1,),)</f>
        <v/>
      </c>
      <c r="C123" s="68">
        <f>(VLOOKUP(A123,database!A:K,11,) - VLOOKUP(A111,database!A:K,11,))/VLOOKUP(A111,database!A:K,11,)</f>
        <v/>
      </c>
    </row>
    <row r="124">
      <c r="A124" s="38" t="n">
        <v>28065</v>
      </c>
      <c r="B124" s="39">
        <f>VLOOKUP(Table8[[#This Row],[Month]],database!A:J,MATCH('Capacity Utilization'!$A$1,database!$A$1:$J$1,),)</f>
        <v/>
      </c>
      <c r="C124" s="68">
        <f>(VLOOKUP(A124,database!A:K,11,) - VLOOKUP(A112,database!A:K,11,))/VLOOKUP(A112,database!A:K,11,)</f>
        <v/>
      </c>
    </row>
    <row r="125">
      <c r="A125" s="38" t="n">
        <v>28095</v>
      </c>
      <c r="B125" s="39">
        <f>VLOOKUP(Table8[[#This Row],[Month]],database!A:J,MATCH('Capacity Utilization'!$A$1,database!$A$1:$J$1,),)</f>
        <v/>
      </c>
      <c r="C125" s="68">
        <f>(VLOOKUP(A125,database!A:K,11,) - VLOOKUP(A113,database!A:K,11,))/VLOOKUP(A113,database!A:K,11,)</f>
        <v/>
      </c>
    </row>
    <row r="126">
      <c r="A126" s="38" t="n">
        <v>28126</v>
      </c>
      <c r="B126" s="39">
        <f>VLOOKUP(Table8[[#This Row],[Month]],database!A:J,MATCH('Capacity Utilization'!$A$1,database!$A$1:$J$1,),)</f>
        <v/>
      </c>
      <c r="C126" s="68">
        <f>(VLOOKUP(A126,database!A:K,11,) - VLOOKUP(A114,database!A:K,11,))/VLOOKUP(A114,database!A:K,11,)</f>
        <v/>
      </c>
    </row>
    <row r="127">
      <c r="A127" s="38" t="n">
        <v>28157</v>
      </c>
      <c r="B127" s="39">
        <f>VLOOKUP(Table8[[#This Row],[Month]],database!A:J,MATCH('Capacity Utilization'!$A$1,database!$A$1:$J$1,),)</f>
        <v/>
      </c>
      <c r="C127" s="68">
        <f>(VLOOKUP(A127,database!A:K,11,) - VLOOKUP(A115,database!A:K,11,))/VLOOKUP(A115,database!A:K,11,)</f>
        <v/>
      </c>
    </row>
    <row r="128">
      <c r="A128" s="38" t="n">
        <v>28185</v>
      </c>
      <c r="B128" s="39">
        <f>VLOOKUP(Table8[[#This Row],[Month]],database!A:J,MATCH('Capacity Utilization'!$A$1,database!$A$1:$J$1,),)</f>
        <v/>
      </c>
      <c r="C128" s="68">
        <f>(VLOOKUP(A128,database!A:K,11,) - VLOOKUP(A116,database!A:K,11,))/VLOOKUP(A116,database!A:K,11,)</f>
        <v/>
      </c>
    </row>
    <row r="129">
      <c r="A129" s="38" t="n">
        <v>28216</v>
      </c>
      <c r="B129" s="39">
        <f>VLOOKUP(Table8[[#This Row],[Month]],database!A:J,MATCH('Capacity Utilization'!$A$1,database!$A$1:$J$1,),)</f>
        <v/>
      </c>
      <c r="C129" s="68">
        <f>(VLOOKUP(A129,database!A:K,11,) - VLOOKUP(A117,database!A:K,11,))/VLOOKUP(A117,database!A:K,11,)</f>
        <v/>
      </c>
    </row>
    <row r="130">
      <c r="A130" s="38" t="n">
        <v>28246</v>
      </c>
      <c r="B130" s="39">
        <f>VLOOKUP(Table8[[#This Row],[Month]],database!A:J,MATCH('Capacity Utilization'!$A$1,database!$A$1:$J$1,),)</f>
        <v/>
      </c>
      <c r="C130" s="68">
        <f>(VLOOKUP(A130,database!A:K,11,) - VLOOKUP(A118,database!A:K,11,))/VLOOKUP(A118,database!A:K,11,)</f>
        <v/>
      </c>
    </row>
    <row r="131">
      <c r="A131" s="38" t="n">
        <v>28277</v>
      </c>
      <c r="B131" s="39">
        <f>VLOOKUP(Table8[[#This Row],[Month]],database!A:J,MATCH('Capacity Utilization'!$A$1,database!$A$1:$J$1,),)</f>
        <v/>
      </c>
      <c r="C131" s="68">
        <f>(VLOOKUP(A131,database!A:K,11,) - VLOOKUP(A119,database!A:K,11,))/VLOOKUP(A119,database!A:K,11,)</f>
        <v/>
      </c>
    </row>
    <row r="132">
      <c r="A132" s="38" t="n">
        <v>28307</v>
      </c>
      <c r="B132" s="39">
        <f>VLOOKUP(Table8[[#This Row],[Month]],database!A:J,MATCH('Capacity Utilization'!$A$1,database!$A$1:$J$1,),)</f>
        <v/>
      </c>
      <c r="C132" s="68">
        <f>(VLOOKUP(A132,database!A:K,11,) - VLOOKUP(A120,database!A:K,11,))/VLOOKUP(A120,database!A:K,11,)</f>
        <v/>
      </c>
    </row>
    <row r="133">
      <c r="A133" s="38" t="n">
        <v>28338</v>
      </c>
      <c r="B133" s="39">
        <f>VLOOKUP(Table8[[#This Row],[Month]],database!A:J,MATCH('Capacity Utilization'!$A$1,database!$A$1:$J$1,),)</f>
        <v/>
      </c>
      <c r="C133" s="68">
        <f>(VLOOKUP(A133,database!A:K,11,) - VLOOKUP(A121,database!A:K,11,))/VLOOKUP(A121,database!A:K,11,)</f>
        <v/>
      </c>
    </row>
    <row r="134">
      <c r="A134" s="38" t="n">
        <v>28369</v>
      </c>
      <c r="B134" s="39">
        <f>VLOOKUP(Table8[[#This Row],[Month]],database!A:J,MATCH('Capacity Utilization'!$A$1,database!$A$1:$J$1,),)</f>
        <v/>
      </c>
      <c r="C134" s="68">
        <f>(VLOOKUP(A134,database!A:K,11,) - VLOOKUP(A122,database!A:K,11,))/VLOOKUP(A122,database!A:K,11,)</f>
        <v/>
      </c>
    </row>
    <row r="135">
      <c r="A135" s="38" t="n">
        <v>28399</v>
      </c>
      <c r="B135" s="39">
        <f>VLOOKUP(Table8[[#This Row],[Month]],database!A:J,MATCH('Capacity Utilization'!$A$1,database!$A$1:$J$1,),)</f>
        <v/>
      </c>
      <c r="C135" s="68">
        <f>(VLOOKUP(A135,database!A:K,11,) - VLOOKUP(A123,database!A:K,11,))/VLOOKUP(A123,database!A:K,11,)</f>
        <v/>
      </c>
    </row>
    <row r="136">
      <c r="A136" s="38" t="n">
        <v>28430</v>
      </c>
      <c r="B136" s="39">
        <f>VLOOKUP(Table8[[#This Row],[Month]],database!A:J,MATCH('Capacity Utilization'!$A$1,database!$A$1:$J$1,),)</f>
        <v/>
      </c>
      <c r="C136" s="68">
        <f>(VLOOKUP(A136,database!A:K,11,) - VLOOKUP(A124,database!A:K,11,))/VLOOKUP(A124,database!A:K,11,)</f>
        <v/>
      </c>
    </row>
    <row r="137">
      <c r="A137" s="38" t="n">
        <v>28460</v>
      </c>
      <c r="B137" s="39">
        <f>VLOOKUP(Table8[[#This Row],[Month]],database!A:J,MATCH('Capacity Utilization'!$A$1,database!$A$1:$J$1,),)</f>
        <v/>
      </c>
      <c r="C137" s="68">
        <f>(VLOOKUP(A137,database!A:K,11,) - VLOOKUP(A125,database!A:K,11,))/VLOOKUP(A125,database!A:K,11,)</f>
        <v/>
      </c>
    </row>
    <row r="138">
      <c r="A138" s="38" t="n">
        <v>28491</v>
      </c>
      <c r="B138" s="39">
        <f>VLOOKUP(Table8[[#This Row],[Month]],database!A:J,MATCH('Capacity Utilization'!$A$1,database!$A$1:$J$1,),)</f>
        <v/>
      </c>
      <c r="C138" s="68">
        <f>(VLOOKUP(A138,database!A:K,11,) - VLOOKUP(A126,database!A:K,11,))/VLOOKUP(A126,database!A:K,11,)</f>
        <v/>
      </c>
    </row>
    <row r="139">
      <c r="A139" s="38" t="n">
        <v>28522</v>
      </c>
      <c r="B139" s="39">
        <f>VLOOKUP(Table8[[#This Row],[Month]],database!A:J,MATCH('Capacity Utilization'!$A$1,database!$A$1:$J$1,),)</f>
        <v/>
      </c>
      <c r="C139" s="68">
        <f>(VLOOKUP(A139,database!A:K,11,) - VLOOKUP(A127,database!A:K,11,))/VLOOKUP(A127,database!A:K,11,)</f>
        <v/>
      </c>
    </row>
    <row r="140">
      <c r="A140" s="38" t="n">
        <v>28550</v>
      </c>
      <c r="B140" s="39">
        <f>VLOOKUP(Table8[[#This Row],[Month]],database!A:J,MATCH('Capacity Utilization'!$A$1,database!$A$1:$J$1,),)</f>
        <v/>
      </c>
      <c r="C140" s="68">
        <f>(VLOOKUP(A140,database!A:K,11,) - VLOOKUP(A128,database!A:K,11,))/VLOOKUP(A128,database!A:K,11,)</f>
        <v/>
      </c>
    </row>
    <row r="141">
      <c r="A141" s="38" t="n">
        <v>28581</v>
      </c>
      <c r="B141" s="39">
        <f>VLOOKUP(Table8[[#This Row],[Month]],database!A:J,MATCH('Capacity Utilization'!$A$1,database!$A$1:$J$1,),)</f>
        <v/>
      </c>
      <c r="C141" s="68">
        <f>(VLOOKUP(A141,database!A:K,11,) - VLOOKUP(A129,database!A:K,11,))/VLOOKUP(A129,database!A:K,11,)</f>
        <v/>
      </c>
    </row>
    <row r="142">
      <c r="A142" s="38" t="n">
        <v>28611</v>
      </c>
      <c r="B142" s="39">
        <f>VLOOKUP(Table8[[#This Row],[Month]],database!A:J,MATCH('Capacity Utilization'!$A$1,database!$A$1:$J$1,),)</f>
        <v/>
      </c>
      <c r="C142" s="68">
        <f>(VLOOKUP(A142,database!A:K,11,) - VLOOKUP(A130,database!A:K,11,))/VLOOKUP(A130,database!A:K,11,)</f>
        <v/>
      </c>
    </row>
    <row r="143">
      <c r="A143" s="38" t="n">
        <v>28642</v>
      </c>
      <c r="B143" s="39">
        <f>VLOOKUP(Table8[[#This Row],[Month]],database!A:J,MATCH('Capacity Utilization'!$A$1,database!$A$1:$J$1,),)</f>
        <v/>
      </c>
      <c r="C143" s="68">
        <f>(VLOOKUP(A143,database!A:K,11,) - VLOOKUP(A131,database!A:K,11,))/VLOOKUP(A131,database!A:K,11,)</f>
        <v/>
      </c>
    </row>
    <row r="144">
      <c r="A144" s="38" t="n">
        <v>28672</v>
      </c>
      <c r="B144" s="39">
        <f>VLOOKUP(Table8[[#This Row],[Month]],database!A:J,MATCH('Capacity Utilization'!$A$1,database!$A$1:$J$1,),)</f>
        <v/>
      </c>
      <c r="C144" s="68">
        <f>(VLOOKUP(A144,database!A:K,11,) - VLOOKUP(A132,database!A:K,11,))/VLOOKUP(A132,database!A:K,11,)</f>
        <v/>
      </c>
    </row>
    <row r="145">
      <c r="A145" s="38" t="n">
        <v>28703</v>
      </c>
      <c r="B145" s="39">
        <f>VLOOKUP(Table8[[#This Row],[Month]],database!A:J,MATCH('Capacity Utilization'!$A$1,database!$A$1:$J$1,),)</f>
        <v/>
      </c>
      <c r="C145" s="68">
        <f>(VLOOKUP(A145,database!A:K,11,) - VLOOKUP(A133,database!A:K,11,))/VLOOKUP(A133,database!A:K,11,)</f>
        <v/>
      </c>
    </row>
    <row r="146">
      <c r="A146" s="38" t="n">
        <v>28734</v>
      </c>
      <c r="B146" s="39">
        <f>VLOOKUP(Table8[[#This Row],[Month]],database!A:J,MATCH('Capacity Utilization'!$A$1,database!$A$1:$J$1,),)</f>
        <v/>
      </c>
      <c r="C146" s="68">
        <f>(VLOOKUP(A146,database!A:K,11,) - VLOOKUP(A134,database!A:K,11,))/VLOOKUP(A134,database!A:K,11,)</f>
        <v/>
      </c>
    </row>
    <row r="147">
      <c r="A147" s="38" t="n">
        <v>28764</v>
      </c>
      <c r="B147" s="39">
        <f>VLOOKUP(Table8[[#This Row],[Month]],database!A:J,MATCH('Capacity Utilization'!$A$1,database!$A$1:$J$1,),)</f>
        <v/>
      </c>
      <c r="C147" s="68">
        <f>(VLOOKUP(A147,database!A:K,11,) - VLOOKUP(A135,database!A:K,11,))/VLOOKUP(A135,database!A:K,11,)</f>
        <v/>
      </c>
    </row>
    <row r="148">
      <c r="A148" s="38" t="n">
        <v>28795</v>
      </c>
      <c r="B148" s="39">
        <f>VLOOKUP(Table8[[#This Row],[Month]],database!A:J,MATCH('Capacity Utilization'!$A$1,database!$A$1:$J$1,),)</f>
        <v/>
      </c>
      <c r="C148" s="68">
        <f>(VLOOKUP(A148,database!A:K,11,) - VLOOKUP(A136,database!A:K,11,))/VLOOKUP(A136,database!A:K,11,)</f>
        <v/>
      </c>
    </row>
    <row r="149">
      <c r="A149" s="38" t="n">
        <v>28825</v>
      </c>
      <c r="B149" s="39">
        <f>VLOOKUP(Table8[[#This Row],[Month]],database!A:J,MATCH('Capacity Utilization'!$A$1,database!$A$1:$J$1,),)</f>
        <v/>
      </c>
      <c r="C149" s="68">
        <f>(VLOOKUP(A149,database!A:K,11,) - VLOOKUP(A137,database!A:K,11,))/VLOOKUP(A137,database!A:K,11,)</f>
        <v/>
      </c>
    </row>
    <row r="150">
      <c r="A150" s="38" t="n">
        <v>28856</v>
      </c>
      <c r="B150" s="39">
        <f>VLOOKUP(Table8[[#This Row],[Month]],database!A:J,MATCH('Capacity Utilization'!$A$1,database!$A$1:$J$1,),)</f>
        <v/>
      </c>
      <c r="C150" s="68">
        <f>(VLOOKUP(A150,database!A:K,11,) - VLOOKUP(A138,database!A:K,11,))/VLOOKUP(A138,database!A:K,11,)</f>
        <v/>
      </c>
    </row>
    <row r="151">
      <c r="A151" s="38" t="n">
        <v>28887</v>
      </c>
      <c r="B151" s="39">
        <f>VLOOKUP(Table8[[#This Row],[Month]],database!A:J,MATCH('Capacity Utilization'!$A$1,database!$A$1:$J$1,),)</f>
        <v/>
      </c>
      <c r="C151" s="68">
        <f>(VLOOKUP(A151,database!A:K,11,) - VLOOKUP(A139,database!A:K,11,))/VLOOKUP(A139,database!A:K,11,)</f>
        <v/>
      </c>
    </row>
    <row r="152">
      <c r="A152" s="38" t="n">
        <v>28915</v>
      </c>
      <c r="B152" s="39">
        <f>VLOOKUP(Table8[[#This Row],[Month]],database!A:J,MATCH('Capacity Utilization'!$A$1,database!$A$1:$J$1,),)</f>
        <v/>
      </c>
      <c r="C152" s="68">
        <f>(VLOOKUP(A152,database!A:K,11,) - VLOOKUP(A140,database!A:K,11,))/VLOOKUP(A140,database!A:K,11,)</f>
        <v/>
      </c>
    </row>
    <row r="153">
      <c r="A153" s="38" t="n">
        <v>28946</v>
      </c>
      <c r="B153" s="39">
        <f>VLOOKUP(Table8[[#This Row],[Month]],database!A:J,MATCH('Capacity Utilization'!$A$1,database!$A$1:$J$1,),)</f>
        <v/>
      </c>
      <c r="C153" s="68">
        <f>(VLOOKUP(A153,database!A:K,11,) - VLOOKUP(A141,database!A:K,11,))/VLOOKUP(A141,database!A:K,11,)</f>
        <v/>
      </c>
    </row>
    <row r="154">
      <c r="A154" s="38" t="n">
        <v>28976</v>
      </c>
      <c r="B154" s="39">
        <f>VLOOKUP(Table8[[#This Row],[Month]],database!A:J,MATCH('Capacity Utilization'!$A$1,database!$A$1:$J$1,),)</f>
        <v/>
      </c>
      <c r="C154" s="68">
        <f>(VLOOKUP(A154,database!A:K,11,) - VLOOKUP(A142,database!A:K,11,))/VLOOKUP(A142,database!A:K,11,)</f>
        <v/>
      </c>
    </row>
    <row r="155">
      <c r="A155" s="38" t="n">
        <v>29007</v>
      </c>
      <c r="B155" s="39">
        <f>VLOOKUP(Table8[[#This Row],[Month]],database!A:J,MATCH('Capacity Utilization'!$A$1,database!$A$1:$J$1,),)</f>
        <v/>
      </c>
      <c r="C155" s="68">
        <f>(VLOOKUP(A155,database!A:K,11,) - VLOOKUP(A143,database!A:K,11,))/VLOOKUP(A143,database!A:K,11,)</f>
        <v/>
      </c>
    </row>
    <row r="156">
      <c r="A156" s="38" t="n">
        <v>29037</v>
      </c>
      <c r="B156" s="39">
        <f>VLOOKUP(Table8[[#This Row],[Month]],database!A:J,MATCH('Capacity Utilization'!$A$1,database!$A$1:$J$1,),)</f>
        <v/>
      </c>
      <c r="C156" s="68">
        <f>(VLOOKUP(A156,database!A:K,11,) - VLOOKUP(A144,database!A:K,11,))/VLOOKUP(A144,database!A:K,11,)</f>
        <v/>
      </c>
    </row>
    <row r="157">
      <c r="A157" s="38" t="n">
        <v>29068</v>
      </c>
      <c r="B157" s="39">
        <f>VLOOKUP(Table8[[#This Row],[Month]],database!A:J,MATCH('Capacity Utilization'!$A$1,database!$A$1:$J$1,),)</f>
        <v/>
      </c>
      <c r="C157" s="68">
        <f>(VLOOKUP(A157,database!A:K,11,) - VLOOKUP(A145,database!A:K,11,))/VLOOKUP(A145,database!A:K,11,)</f>
        <v/>
      </c>
    </row>
    <row r="158">
      <c r="A158" s="38" t="n">
        <v>29099</v>
      </c>
      <c r="B158" s="39">
        <f>VLOOKUP(Table8[[#This Row],[Month]],database!A:J,MATCH('Capacity Utilization'!$A$1,database!$A$1:$J$1,),)</f>
        <v/>
      </c>
      <c r="C158" s="68">
        <f>(VLOOKUP(A158,database!A:K,11,) - VLOOKUP(A146,database!A:K,11,))/VLOOKUP(A146,database!A:K,11,)</f>
        <v/>
      </c>
    </row>
    <row r="159">
      <c r="A159" s="38" t="n">
        <v>29129</v>
      </c>
      <c r="B159" s="39">
        <f>VLOOKUP(Table8[[#This Row],[Month]],database!A:J,MATCH('Capacity Utilization'!$A$1,database!$A$1:$J$1,),)</f>
        <v/>
      </c>
      <c r="C159" s="68">
        <f>(VLOOKUP(A159,database!A:K,11,) - VLOOKUP(A147,database!A:K,11,))/VLOOKUP(A147,database!A:K,11,)</f>
        <v/>
      </c>
    </row>
    <row r="160">
      <c r="A160" s="38" t="n">
        <v>29160</v>
      </c>
      <c r="B160" s="39">
        <f>VLOOKUP(Table8[[#This Row],[Month]],database!A:J,MATCH('Capacity Utilization'!$A$1,database!$A$1:$J$1,),)</f>
        <v/>
      </c>
      <c r="C160" s="68">
        <f>(VLOOKUP(A160,database!A:K,11,) - VLOOKUP(A148,database!A:K,11,))/VLOOKUP(A148,database!A:K,11,)</f>
        <v/>
      </c>
    </row>
    <row r="161">
      <c r="A161" s="38" t="n">
        <v>29190</v>
      </c>
      <c r="B161" s="39">
        <f>VLOOKUP(Table8[[#This Row],[Month]],database!A:J,MATCH('Capacity Utilization'!$A$1,database!$A$1:$J$1,),)</f>
        <v/>
      </c>
      <c r="C161" s="68">
        <f>(VLOOKUP(A161,database!A:K,11,) - VLOOKUP(A149,database!A:K,11,))/VLOOKUP(A149,database!A:K,11,)</f>
        <v/>
      </c>
    </row>
    <row r="162">
      <c r="A162" s="38" t="n">
        <v>29221</v>
      </c>
      <c r="B162" s="39">
        <f>VLOOKUP(Table8[[#This Row],[Month]],database!A:J,MATCH('Capacity Utilization'!$A$1,database!$A$1:$J$1,),)</f>
        <v/>
      </c>
      <c r="C162" s="68">
        <f>(VLOOKUP(A162,database!A:K,11,) - VLOOKUP(A150,database!A:K,11,))/VLOOKUP(A150,database!A:K,11,)</f>
        <v/>
      </c>
    </row>
    <row r="163">
      <c r="A163" s="38" t="n">
        <v>29252</v>
      </c>
      <c r="B163" s="39">
        <f>VLOOKUP(Table8[[#This Row],[Month]],database!A:J,MATCH('Capacity Utilization'!$A$1,database!$A$1:$J$1,),)</f>
        <v/>
      </c>
      <c r="C163" s="68">
        <f>(VLOOKUP(A163,database!A:K,11,) - VLOOKUP(A151,database!A:K,11,))/VLOOKUP(A151,database!A:K,11,)</f>
        <v/>
      </c>
    </row>
    <row r="164">
      <c r="A164" s="38" t="n">
        <v>29281</v>
      </c>
      <c r="B164" s="39">
        <f>VLOOKUP(Table8[[#This Row],[Month]],database!A:J,MATCH('Capacity Utilization'!$A$1,database!$A$1:$J$1,),)</f>
        <v/>
      </c>
      <c r="C164" s="68">
        <f>(VLOOKUP(A164,database!A:K,11,) - VLOOKUP(A152,database!A:K,11,))/VLOOKUP(A152,database!A:K,11,)</f>
        <v/>
      </c>
    </row>
    <row r="165">
      <c r="A165" s="38" t="n">
        <v>29312</v>
      </c>
      <c r="B165" s="39">
        <f>VLOOKUP(Table8[[#This Row],[Month]],database!A:J,MATCH('Capacity Utilization'!$A$1,database!$A$1:$J$1,),)</f>
        <v/>
      </c>
      <c r="C165" s="68">
        <f>(VLOOKUP(A165,database!A:K,11,) - VLOOKUP(A153,database!A:K,11,))/VLOOKUP(A153,database!A:K,11,)</f>
        <v/>
      </c>
    </row>
    <row r="166">
      <c r="A166" s="38" t="n">
        <v>29342</v>
      </c>
      <c r="B166" s="39">
        <f>VLOOKUP(Table8[[#This Row],[Month]],database!A:J,MATCH('Capacity Utilization'!$A$1,database!$A$1:$J$1,),)</f>
        <v/>
      </c>
      <c r="C166" s="68">
        <f>(VLOOKUP(A166,database!A:K,11,) - VLOOKUP(A154,database!A:K,11,))/VLOOKUP(A154,database!A:K,11,)</f>
        <v/>
      </c>
    </row>
    <row r="167">
      <c r="A167" s="38" t="n">
        <v>29373</v>
      </c>
      <c r="B167" s="39">
        <f>VLOOKUP(Table8[[#This Row],[Month]],database!A:J,MATCH('Capacity Utilization'!$A$1,database!$A$1:$J$1,),)</f>
        <v/>
      </c>
      <c r="C167" s="68">
        <f>(VLOOKUP(A167,database!A:K,11,) - VLOOKUP(A155,database!A:K,11,))/VLOOKUP(A155,database!A:K,11,)</f>
        <v/>
      </c>
    </row>
    <row r="168">
      <c r="A168" s="38" t="n">
        <v>29403</v>
      </c>
      <c r="B168" s="39">
        <f>VLOOKUP(Table8[[#This Row],[Month]],database!A:J,MATCH('Capacity Utilization'!$A$1,database!$A$1:$J$1,),)</f>
        <v/>
      </c>
      <c r="C168" s="68">
        <f>(VLOOKUP(A168,database!A:K,11,) - VLOOKUP(A156,database!A:K,11,))/VLOOKUP(A156,database!A:K,11,)</f>
        <v/>
      </c>
    </row>
    <row r="169">
      <c r="A169" s="38" t="n">
        <v>29434</v>
      </c>
      <c r="B169" s="39">
        <f>VLOOKUP(Table8[[#This Row],[Month]],database!A:J,MATCH('Capacity Utilization'!$A$1,database!$A$1:$J$1,),)</f>
        <v/>
      </c>
      <c r="C169" s="68">
        <f>(VLOOKUP(A169,database!A:K,11,) - VLOOKUP(A157,database!A:K,11,))/VLOOKUP(A157,database!A:K,11,)</f>
        <v/>
      </c>
    </row>
    <row r="170">
      <c r="A170" s="38" t="n">
        <v>29465</v>
      </c>
      <c r="B170" s="39">
        <f>VLOOKUP(Table8[[#This Row],[Month]],database!A:J,MATCH('Capacity Utilization'!$A$1,database!$A$1:$J$1,),)</f>
        <v/>
      </c>
      <c r="C170" s="68">
        <f>(VLOOKUP(A170,database!A:K,11,) - VLOOKUP(A158,database!A:K,11,))/VLOOKUP(A158,database!A:K,11,)</f>
        <v/>
      </c>
    </row>
    <row r="171">
      <c r="A171" s="38" t="n">
        <v>29495</v>
      </c>
      <c r="B171" s="39">
        <f>VLOOKUP(Table8[[#This Row],[Month]],database!A:J,MATCH('Capacity Utilization'!$A$1,database!$A$1:$J$1,),)</f>
        <v/>
      </c>
      <c r="C171" s="68">
        <f>(VLOOKUP(A171,database!A:K,11,) - VLOOKUP(A159,database!A:K,11,))/VLOOKUP(A159,database!A:K,11,)</f>
        <v/>
      </c>
    </row>
    <row r="172">
      <c r="A172" s="38" t="n">
        <v>29526</v>
      </c>
      <c r="B172" s="39">
        <f>VLOOKUP(Table8[[#This Row],[Month]],database!A:J,MATCH('Capacity Utilization'!$A$1,database!$A$1:$J$1,),)</f>
        <v/>
      </c>
      <c r="C172" s="68">
        <f>(VLOOKUP(A172,database!A:K,11,) - VLOOKUP(A160,database!A:K,11,))/VLOOKUP(A160,database!A:K,11,)</f>
        <v/>
      </c>
    </row>
    <row r="173">
      <c r="A173" s="38" t="n">
        <v>29556</v>
      </c>
      <c r="B173" s="39">
        <f>VLOOKUP(Table8[[#This Row],[Month]],database!A:J,MATCH('Capacity Utilization'!$A$1,database!$A$1:$J$1,),)</f>
        <v/>
      </c>
      <c r="C173" s="68">
        <f>(VLOOKUP(A173,database!A:K,11,) - VLOOKUP(A161,database!A:K,11,))/VLOOKUP(A161,database!A:K,11,)</f>
        <v/>
      </c>
    </row>
    <row r="174">
      <c r="A174" s="38" t="n">
        <v>29587</v>
      </c>
      <c r="B174" s="39">
        <f>VLOOKUP(Table8[[#This Row],[Month]],database!A:J,MATCH('Capacity Utilization'!$A$1,database!$A$1:$J$1,),)</f>
        <v/>
      </c>
      <c r="C174" s="68">
        <f>(VLOOKUP(A174,database!A:K,11,) - VLOOKUP(A162,database!A:K,11,))/VLOOKUP(A162,database!A:K,11,)</f>
        <v/>
      </c>
    </row>
    <row r="175">
      <c r="A175" s="38" t="n">
        <v>29618</v>
      </c>
      <c r="B175" s="39">
        <f>VLOOKUP(Table8[[#This Row],[Month]],database!A:J,MATCH('Capacity Utilization'!$A$1,database!$A$1:$J$1,),)</f>
        <v/>
      </c>
      <c r="C175" s="68">
        <f>(VLOOKUP(A175,database!A:K,11,) - VLOOKUP(A163,database!A:K,11,))/VLOOKUP(A163,database!A:K,11,)</f>
        <v/>
      </c>
    </row>
    <row r="176">
      <c r="A176" s="38" t="n">
        <v>29646</v>
      </c>
      <c r="B176" s="39">
        <f>VLOOKUP(Table8[[#This Row],[Month]],database!A:J,MATCH('Capacity Utilization'!$A$1,database!$A$1:$J$1,),)</f>
        <v/>
      </c>
      <c r="C176" s="68">
        <f>(VLOOKUP(A176,database!A:K,11,) - VLOOKUP(A164,database!A:K,11,))/VLOOKUP(A164,database!A:K,11,)</f>
        <v/>
      </c>
    </row>
    <row r="177">
      <c r="A177" s="38" t="n">
        <v>29677</v>
      </c>
      <c r="B177" s="39">
        <f>VLOOKUP(Table8[[#This Row],[Month]],database!A:J,MATCH('Capacity Utilization'!$A$1,database!$A$1:$J$1,),)</f>
        <v/>
      </c>
      <c r="C177" s="68">
        <f>(VLOOKUP(A177,database!A:K,11,) - VLOOKUP(A165,database!A:K,11,))/VLOOKUP(A165,database!A:K,11,)</f>
        <v/>
      </c>
    </row>
    <row r="178">
      <c r="A178" s="38" t="n">
        <v>29707</v>
      </c>
      <c r="B178" s="39">
        <f>VLOOKUP(Table8[[#This Row],[Month]],database!A:J,MATCH('Capacity Utilization'!$A$1,database!$A$1:$J$1,),)</f>
        <v/>
      </c>
      <c r="C178" s="68">
        <f>(VLOOKUP(A178,database!A:K,11,) - VLOOKUP(A166,database!A:K,11,))/VLOOKUP(A166,database!A:K,11,)</f>
        <v/>
      </c>
    </row>
    <row r="179">
      <c r="A179" s="38" t="n">
        <v>29738</v>
      </c>
      <c r="B179" s="39">
        <f>VLOOKUP(Table8[[#This Row],[Month]],database!A:J,MATCH('Capacity Utilization'!$A$1,database!$A$1:$J$1,),)</f>
        <v/>
      </c>
      <c r="C179" s="68">
        <f>(VLOOKUP(A179,database!A:K,11,) - VLOOKUP(A167,database!A:K,11,))/VLOOKUP(A167,database!A:K,11,)</f>
        <v/>
      </c>
    </row>
    <row r="180">
      <c r="A180" s="38" t="n">
        <v>29768</v>
      </c>
      <c r="B180" s="39">
        <f>VLOOKUP(Table8[[#This Row],[Month]],database!A:J,MATCH('Capacity Utilization'!$A$1,database!$A$1:$J$1,),)</f>
        <v/>
      </c>
      <c r="C180" s="68">
        <f>(VLOOKUP(A180,database!A:K,11,) - VLOOKUP(A168,database!A:K,11,))/VLOOKUP(A168,database!A:K,11,)</f>
        <v/>
      </c>
    </row>
    <row r="181">
      <c r="A181" s="38" t="n">
        <v>29799</v>
      </c>
      <c r="B181" s="39">
        <f>VLOOKUP(Table8[[#This Row],[Month]],database!A:J,MATCH('Capacity Utilization'!$A$1,database!$A$1:$J$1,),)</f>
        <v/>
      </c>
      <c r="C181" s="68">
        <f>(VLOOKUP(A181,database!A:K,11,) - VLOOKUP(A169,database!A:K,11,))/VLOOKUP(A169,database!A:K,11,)</f>
        <v/>
      </c>
    </row>
    <row r="182">
      <c r="A182" s="38" t="n">
        <v>29830</v>
      </c>
      <c r="B182" s="39">
        <f>VLOOKUP(Table8[[#This Row],[Month]],database!A:J,MATCH('Capacity Utilization'!$A$1,database!$A$1:$J$1,),)</f>
        <v/>
      </c>
      <c r="C182" s="68">
        <f>(VLOOKUP(A182,database!A:K,11,) - VLOOKUP(A170,database!A:K,11,))/VLOOKUP(A170,database!A:K,11,)</f>
        <v/>
      </c>
    </row>
    <row r="183">
      <c r="A183" s="38" t="n">
        <v>29860</v>
      </c>
      <c r="B183" s="39">
        <f>VLOOKUP(Table8[[#This Row],[Month]],database!A:J,MATCH('Capacity Utilization'!$A$1,database!$A$1:$J$1,),)</f>
        <v/>
      </c>
      <c r="C183" s="68">
        <f>(VLOOKUP(A183,database!A:K,11,) - VLOOKUP(A171,database!A:K,11,))/VLOOKUP(A171,database!A:K,11,)</f>
        <v/>
      </c>
    </row>
    <row r="184">
      <c r="A184" s="38" t="n">
        <v>29891</v>
      </c>
      <c r="B184" s="39">
        <f>VLOOKUP(Table8[[#This Row],[Month]],database!A:J,MATCH('Capacity Utilization'!$A$1,database!$A$1:$J$1,),)</f>
        <v/>
      </c>
      <c r="C184" s="68">
        <f>(VLOOKUP(A184,database!A:K,11,) - VLOOKUP(A172,database!A:K,11,))/VLOOKUP(A172,database!A:K,11,)</f>
        <v/>
      </c>
    </row>
    <row r="185">
      <c r="A185" s="38" t="n">
        <v>29921</v>
      </c>
      <c r="B185" s="39">
        <f>VLOOKUP(Table8[[#This Row],[Month]],database!A:J,MATCH('Capacity Utilization'!$A$1,database!$A$1:$J$1,),)</f>
        <v/>
      </c>
      <c r="C185" s="68">
        <f>(VLOOKUP(A185,database!A:K,11,) - VLOOKUP(A173,database!A:K,11,))/VLOOKUP(A173,database!A:K,11,)</f>
        <v/>
      </c>
    </row>
    <row r="186">
      <c r="A186" s="38" t="n">
        <v>29952</v>
      </c>
      <c r="B186" s="39">
        <f>VLOOKUP(Table8[[#This Row],[Month]],database!A:J,MATCH('Capacity Utilization'!$A$1,database!$A$1:$J$1,),)</f>
        <v/>
      </c>
      <c r="C186" s="68">
        <f>(VLOOKUP(A186,database!A:K,11,) - VLOOKUP(A174,database!A:K,11,))/VLOOKUP(A174,database!A:K,11,)</f>
        <v/>
      </c>
    </row>
    <row r="187">
      <c r="A187" s="38" t="n">
        <v>29983</v>
      </c>
      <c r="B187" s="39">
        <f>VLOOKUP(Table8[[#This Row],[Month]],database!A:J,MATCH('Capacity Utilization'!$A$1,database!$A$1:$J$1,),)</f>
        <v/>
      </c>
      <c r="C187" s="68">
        <f>(VLOOKUP(A187,database!A:K,11,) - VLOOKUP(A175,database!A:K,11,))/VLOOKUP(A175,database!A:K,11,)</f>
        <v/>
      </c>
    </row>
    <row r="188">
      <c r="A188" s="38" t="n">
        <v>30011</v>
      </c>
      <c r="B188" s="39">
        <f>VLOOKUP(Table8[[#This Row],[Month]],database!A:J,MATCH('Capacity Utilization'!$A$1,database!$A$1:$J$1,),)</f>
        <v/>
      </c>
      <c r="C188" s="68">
        <f>(VLOOKUP(A188,database!A:K,11,) - VLOOKUP(A176,database!A:K,11,))/VLOOKUP(A176,database!A:K,11,)</f>
        <v/>
      </c>
    </row>
    <row r="189">
      <c r="A189" s="38" t="n">
        <v>30042</v>
      </c>
      <c r="B189" s="39">
        <f>VLOOKUP(Table8[[#This Row],[Month]],database!A:J,MATCH('Capacity Utilization'!$A$1,database!$A$1:$J$1,),)</f>
        <v/>
      </c>
      <c r="C189" s="68">
        <f>(VLOOKUP(A189,database!A:K,11,) - VLOOKUP(A177,database!A:K,11,))/VLOOKUP(A177,database!A:K,11,)</f>
        <v/>
      </c>
    </row>
    <row r="190">
      <c r="A190" s="38" t="n">
        <v>30072</v>
      </c>
      <c r="B190" s="39">
        <f>VLOOKUP(Table8[[#This Row],[Month]],database!A:J,MATCH('Capacity Utilization'!$A$1,database!$A$1:$J$1,),)</f>
        <v/>
      </c>
      <c r="C190" s="68">
        <f>(VLOOKUP(A190,database!A:K,11,) - VLOOKUP(A178,database!A:K,11,))/VLOOKUP(A178,database!A:K,11,)</f>
        <v/>
      </c>
    </row>
    <row r="191">
      <c r="A191" s="38" t="n">
        <v>30103</v>
      </c>
      <c r="B191" s="39">
        <f>VLOOKUP(Table8[[#This Row],[Month]],database!A:J,MATCH('Capacity Utilization'!$A$1,database!$A$1:$J$1,),)</f>
        <v/>
      </c>
      <c r="C191" s="68">
        <f>(VLOOKUP(A191,database!A:K,11,) - VLOOKUP(A179,database!A:K,11,))/VLOOKUP(A179,database!A:K,11,)</f>
        <v/>
      </c>
    </row>
    <row r="192">
      <c r="A192" s="38" t="n">
        <v>30133</v>
      </c>
      <c r="B192" s="39">
        <f>VLOOKUP(Table8[[#This Row],[Month]],database!A:J,MATCH('Capacity Utilization'!$A$1,database!$A$1:$J$1,),)</f>
        <v/>
      </c>
      <c r="C192" s="68">
        <f>(VLOOKUP(A192,database!A:K,11,) - VLOOKUP(A180,database!A:K,11,))/VLOOKUP(A180,database!A:K,11,)</f>
        <v/>
      </c>
    </row>
    <row r="193">
      <c r="A193" s="38" t="n">
        <v>30164</v>
      </c>
      <c r="B193" s="39">
        <f>VLOOKUP(Table8[[#This Row],[Month]],database!A:J,MATCH('Capacity Utilization'!$A$1,database!$A$1:$J$1,),)</f>
        <v/>
      </c>
      <c r="C193" s="68">
        <f>(VLOOKUP(A193,database!A:K,11,) - VLOOKUP(A181,database!A:K,11,))/VLOOKUP(A181,database!A:K,11,)</f>
        <v/>
      </c>
    </row>
    <row r="194">
      <c r="A194" s="38" t="n">
        <v>30195</v>
      </c>
      <c r="B194" s="39">
        <f>VLOOKUP(Table8[[#This Row],[Month]],database!A:J,MATCH('Capacity Utilization'!$A$1,database!$A$1:$J$1,),)</f>
        <v/>
      </c>
      <c r="C194" s="68">
        <f>(VLOOKUP(A194,database!A:K,11,) - VLOOKUP(A182,database!A:K,11,))/VLOOKUP(A182,database!A:K,11,)</f>
        <v/>
      </c>
    </row>
    <row r="195">
      <c r="A195" s="38" t="n">
        <v>30225</v>
      </c>
      <c r="B195" s="39">
        <f>VLOOKUP(Table8[[#This Row],[Month]],database!A:J,MATCH('Capacity Utilization'!$A$1,database!$A$1:$J$1,),)</f>
        <v/>
      </c>
      <c r="C195" s="68">
        <f>(VLOOKUP(A195,database!A:K,11,) - VLOOKUP(A183,database!A:K,11,))/VLOOKUP(A183,database!A:K,11,)</f>
        <v/>
      </c>
    </row>
    <row r="196">
      <c r="A196" s="38" t="n">
        <v>30256</v>
      </c>
      <c r="B196" s="39">
        <f>VLOOKUP(Table8[[#This Row],[Month]],database!A:J,MATCH('Capacity Utilization'!$A$1,database!$A$1:$J$1,),)</f>
        <v/>
      </c>
      <c r="C196" s="68">
        <f>(VLOOKUP(A196,database!A:K,11,) - VLOOKUP(A184,database!A:K,11,))/VLOOKUP(A184,database!A:K,11,)</f>
        <v/>
      </c>
    </row>
    <row r="197">
      <c r="A197" s="38" t="n">
        <v>30286</v>
      </c>
      <c r="B197" s="39">
        <f>VLOOKUP(Table8[[#This Row],[Month]],database!A:J,MATCH('Capacity Utilization'!$A$1,database!$A$1:$J$1,),)</f>
        <v/>
      </c>
      <c r="C197" s="68">
        <f>(VLOOKUP(A197,database!A:K,11,) - VLOOKUP(A185,database!A:K,11,))/VLOOKUP(A185,database!A:K,11,)</f>
        <v/>
      </c>
    </row>
    <row r="198">
      <c r="A198" s="38" t="n">
        <v>30317</v>
      </c>
      <c r="B198" s="39">
        <f>VLOOKUP(Table8[[#This Row],[Month]],database!A:J,MATCH('Capacity Utilization'!$A$1,database!$A$1:$J$1,),)</f>
        <v/>
      </c>
      <c r="C198" s="68">
        <f>(VLOOKUP(A198,database!A:K,11,) - VLOOKUP(A186,database!A:K,11,))/VLOOKUP(A186,database!A:K,11,)</f>
        <v/>
      </c>
    </row>
    <row r="199">
      <c r="A199" s="38" t="n">
        <v>30348</v>
      </c>
      <c r="B199" s="39">
        <f>VLOOKUP(Table8[[#This Row],[Month]],database!A:J,MATCH('Capacity Utilization'!$A$1,database!$A$1:$J$1,),)</f>
        <v/>
      </c>
      <c r="C199" s="68">
        <f>(VLOOKUP(A199,database!A:K,11,) - VLOOKUP(A187,database!A:K,11,))/VLOOKUP(A187,database!A:K,11,)</f>
        <v/>
      </c>
    </row>
    <row r="200">
      <c r="A200" s="38" t="n">
        <v>30376</v>
      </c>
      <c r="B200" s="39">
        <f>VLOOKUP(Table8[[#This Row],[Month]],database!A:J,MATCH('Capacity Utilization'!$A$1,database!$A$1:$J$1,),)</f>
        <v/>
      </c>
      <c r="C200" s="68">
        <f>(VLOOKUP(A200,database!A:K,11,) - VLOOKUP(A188,database!A:K,11,))/VLOOKUP(A188,database!A:K,11,)</f>
        <v/>
      </c>
    </row>
    <row r="201">
      <c r="A201" s="38" t="n">
        <v>30407</v>
      </c>
      <c r="B201" s="39">
        <f>VLOOKUP(Table8[[#This Row],[Month]],database!A:J,MATCH('Capacity Utilization'!$A$1,database!$A$1:$J$1,),)</f>
        <v/>
      </c>
      <c r="C201" s="68">
        <f>(VLOOKUP(A201,database!A:K,11,) - VLOOKUP(A189,database!A:K,11,))/VLOOKUP(A189,database!A:K,11,)</f>
        <v/>
      </c>
    </row>
    <row r="202">
      <c r="A202" s="38" t="n">
        <v>30437</v>
      </c>
      <c r="B202" s="39">
        <f>VLOOKUP(Table8[[#This Row],[Month]],database!A:J,MATCH('Capacity Utilization'!$A$1,database!$A$1:$J$1,),)</f>
        <v/>
      </c>
      <c r="C202" s="68">
        <f>(VLOOKUP(A202,database!A:K,11,) - VLOOKUP(A190,database!A:K,11,))/VLOOKUP(A190,database!A:K,11,)</f>
        <v/>
      </c>
    </row>
    <row r="203">
      <c r="A203" s="38" t="n">
        <v>30468</v>
      </c>
      <c r="B203" s="39">
        <f>VLOOKUP(Table8[[#This Row],[Month]],database!A:J,MATCH('Capacity Utilization'!$A$1,database!$A$1:$J$1,),)</f>
        <v/>
      </c>
      <c r="C203" s="68">
        <f>(VLOOKUP(A203,database!A:K,11,) - VLOOKUP(A191,database!A:K,11,))/VLOOKUP(A191,database!A:K,11,)</f>
        <v/>
      </c>
    </row>
    <row r="204">
      <c r="A204" s="38" t="n">
        <v>30498</v>
      </c>
      <c r="B204" s="39">
        <f>VLOOKUP(Table8[[#This Row],[Month]],database!A:J,MATCH('Capacity Utilization'!$A$1,database!$A$1:$J$1,),)</f>
        <v/>
      </c>
      <c r="C204" s="68">
        <f>(VLOOKUP(A204,database!A:K,11,) - VLOOKUP(A192,database!A:K,11,))/VLOOKUP(A192,database!A:K,11,)</f>
        <v/>
      </c>
    </row>
    <row r="205">
      <c r="A205" s="38" t="n">
        <v>30529</v>
      </c>
      <c r="B205" s="39">
        <f>VLOOKUP(Table8[[#This Row],[Month]],database!A:J,MATCH('Capacity Utilization'!$A$1,database!$A$1:$J$1,),)</f>
        <v/>
      </c>
      <c r="C205" s="68">
        <f>(VLOOKUP(A205,database!A:K,11,) - VLOOKUP(A193,database!A:K,11,))/VLOOKUP(A193,database!A:K,11,)</f>
        <v/>
      </c>
    </row>
    <row r="206">
      <c r="A206" s="38" t="n">
        <v>30560</v>
      </c>
      <c r="B206" s="39">
        <f>VLOOKUP(Table8[[#This Row],[Month]],database!A:J,MATCH('Capacity Utilization'!$A$1,database!$A$1:$J$1,),)</f>
        <v/>
      </c>
      <c r="C206" s="68">
        <f>(VLOOKUP(A206,database!A:K,11,) - VLOOKUP(A194,database!A:K,11,))/VLOOKUP(A194,database!A:K,11,)</f>
        <v/>
      </c>
    </row>
    <row r="207">
      <c r="A207" s="38" t="n">
        <v>30590</v>
      </c>
      <c r="B207" s="39">
        <f>VLOOKUP(Table8[[#This Row],[Month]],database!A:J,MATCH('Capacity Utilization'!$A$1,database!$A$1:$J$1,),)</f>
        <v/>
      </c>
      <c r="C207" s="68">
        <f>(VLOOKUP(A207,database!A:K,11,) - VLOOKUP(A195,database!A:K,11,))/VLOOKUP(A195,database!A:K,11,)</f>
        <v/>
      </c>
    </row>
    <row r="208">
      <c r="A208" s="38" t="n">
        <v>30621</v>
      </c>
      <c r="B208" s="39">
        <f>VLOOKUP(Table8[[#This Row],[Month]],database!A:J,MATCH('Capacity Utilization'!$A$1,database!$A$1:$J$1,),)</f>
        <v/>
      </c>
      <c r="C208" s="68">
        <f>(VLOOKUP(A208,database!A:K,11,) - VLOOKUP(A196,database!A:K,11,))/VLOOKUP(A196,database!A:K,11,)</f>
        <v/>
      </c>
    </row>
    <row r="209">
      <c r="A209" s="38" t="n">
        <v>30651</v>
      </c>
      <c r="B209" s="39">
        <f>VLOOKUP(Table8[[#This Row],[Month]],database!A:J,MATCH('Capacity Utilization'!$A$1,database!$A$1:$J$1,),)</f>
        <v/>
      </c>
      <c r="C209" s="68">
        <f>(VLOOKUP(A209,database!A:K,11,) - VLOOKUP(A197,database!A:K,11,))/VLOOKUP(A197,database!A:K,11,)</f>
        <v/>
      </c>
    </row>
    <row r="210">
      <c r="A210" s="38" t="n">
        <v>30682</v>
      </c>
      <c r="B210" s="39">
        <f>VLOOKUP(Table8[[#This Row],[Month]],database!A:J,MATCH('Capacity Utilization'!$A$1,database!$A$1:$J$1,),)</f>
        <v/>
      </c>
      <c r="C210" s="68">
        <f>(VLOOKUP(A210,database!A:K,11,) - VLOOKUP(A198,database!A:K,11,))/VLOOKUP(A198,database!A:K,11,)</f>
        <v/>
      </c>
    </row>
    <row r="211">
      <c r="A211" s="38" t="n">
        <v>30713</v>
      </c>
      <c r="B211" s="39">
        <f>VLOOKUP(Table8[[#This Row],[Month]],database!A:J,MATCH('Capacity Utilization'!$A$1,database!$A$1:$J$1,),)</f>
        <v/>
      </c>
      <c r="C211" s="68">
        <f>(VLOOKUP(A211,database!A:K,11,) - VLOOKUP(A199,database!A:K,11,))/VLOOKUP(A199,database!A:K,11,)</f>
        <v/>
      </c>
    </row>
    <row r="212">
      <c r="A212" s="38" t="n">
        <v>30742</v>
      </c>
      <c r="B212" s="39">
        <f>VLOOKUP(Table8[[#This Row],[Month]],database!A:J,MATCH('Capacity Utilization'!$A$1,database!$A$1:$J$1,),)</f>
        <v/>
      </c>
      <c r="C212" s="68">
        <f>(VLOOKUP(A212,database!A:K,11,) - VLOOKUP(A200,database!A:K,11,))/VLOOKUP(A200,database!A:K,11,)</f>
        <v/>
      </c>
    </row>
    <row r="213">
      <c r="A213" s="38" t="n">
        <v>30773</v>
      </c>
      <c r="B213" s="39">
        <f>VLOOKUP(Table8[[#This Row],[Month]],database!A:J,MATCH('Capacity Utilization'!$A$1,database!$A$1:$J$1,),)</f>
        <v/>
      </c>
      <c r="C213" s="68">
        <f>(VLOOKUP(A213,database!A:K,11,) - VLOOKUP(A201,database!A:K,11,))/VLOOKUP(A201,database!A:K,11,)</f>
        <v/>
      </c>
    </row>
    <row r="214">
      <c r="A214" s="38" t="n">
        <v>30803</v>
      </c>
      <c r="B214" s="39">
        <f>VLOOKUP(Table8[[#This Row],[Month]],database!A:J,MATCH('Capacity Utilization'!$A$1,database!$A$1:$J$1,),)</f>
        <v/>
      </c>
      <c r="C214" s="68">
        <f>(VLOOKUP(A214,database!A:K,11,) - VLOOKUP(A202,database!A:K,11,))/VLOOKUP(A202,database!A:K,11,)</f>
        <v/>
      </c>
    </row>
    <row r="215">
      <c r="A215" s="38" t="n">
        <v>30834</v>
      </c>
      <c r="B215" s="39">
        <f>VLOOKUP(Table8[[#This Row],[Month]],database!A:J,MATCH('Capacity Utilization'!$A$1,database!$A$1:$J$1,),)</f>
        <v/>
      </c>
      <c r="C215" s="68">
        <f>(VLOOKUP(A215,database!A:K,11,) - VLOOKUP(A203,database!A:K,11,))/VLOOKUP(A203,database!A:K,11,)</f>
        <v/>
      </c>
    </row>
    <row r="216">
      <c r="A216" s="38" t="n">
        <v>30864</v>
      </c>
      <c r="B216" s="39">
        <f>VLOOKUP(Table8[[#This Row],[Month]],database!A:J,MATCH('Capacity Utilization'!$A$1,database!$A$1:$J$1,),)</f>
        <v/>
      </c>
      <c r="C216" s="68">
        <f>(VLOOKUP(A216,database!A:K,11,) - VLOOKUP(A204,database!A:K,11,))/VLOOKUP(A204,database!A:K,11,)</f>
        <v/>
      </c>
    </row>
    <row r="217">
      <c r="A217" s="38" t="n">
        <v>30895</v>
      </c>
      <c r="B217" s="39">
        <f>VLOOKUP(Table8[[#This Row],[Month]],database!A:J,MATCH('Capacity Utilization'!$A$1,database!$A$1:$J$1,),)</f>
        <v/>
      </c>
      <c r="C217" s="68">
        <f>(VLOOKUP(A217,database!A:K,11,) - VLOOKUP(A205,database!A:K,11,))/VLOOKUP(A205,database!A:K,11,)</f>
        <v/>
      </c>
    </row>
    <row r="218">
      <c r="A218" s="38" t="n">
        <v>30926</v>
      </c>
      <c r="B218" s="39">
        <f>VLOOKUP(Table8[[#This Row],[Month]],database!A:J,MATCH('Capacity Utilization'!$A$1,database!$A$1:$J$1,),)</f>
        <v/>
      </c>
      <c r="C218" s="68">
        <f>(VLOOKUP(A218,database!A:K,11,) - VLOOKUP(A206,database!A:K,11,))/VLOOKUP(A206,database!A:K,11,)</f>
        <v/>
      </c>
    </row>
    <row r="219">
      <c r="A219" s="38" t="n">
        <v>30956</v>
      </c>
      <c r="B219" s="39">
        <f>VLOOKUP(Table8[[#This Row],[Month]],database!A:J,MATCH('Capacity Utilization'!$A$1,database!$A$1:$J$1,),)</f>
        <v/>
      </c>
      <c r="C219" s="68">
        <f>(VLOOKUP(A219,database!A:K,11,) - VLOOKUP(A207,database!A:K,11,))/VLOOKUP(A207,database!A:K,11,)</f>
        <v/>
      </c>
    </row>
    <row r="220">
      <c r="A220" s="38" t="n">
        <v>30987</v>
      </c>
      <c r="B220" s="39">
        <f>VLOOKUP(Table8[[#This Row],[Month]],database!A:J,MATCH('Capacity Utilization'!$A$1,database!$A$1:$J$1,),)</f>
        <v/>
      </c>
      <c r="C220" s="68">
        <f>(VLOOKUP(A220,database!A:K,11,) - VLOOKUP(A208,database!A:K,11,))/VLOOKUP(A208,database!A:K,11,)</f>
        <v/>
      </c>
    </row>
    <row r="221">
      <c r="A221" s="38" t="n">
        <v>31017</v>
      </c>
      <c r="B221" s="39">
        <f>VLOOKUP(Table8[[#This Row],[Month]],database!A:J,MATCH('Capacity Utilization'!$A$1,database!$A$1:$J$1,),)</f>
        <v/>
      </c>
      <c r="C221" s="68">
        <f>(VLOOKUP(A221,database!A:K,11,) - VLOOKUP(A209,database!A:K,11,))/VLOOKUP(A209,database!A:K,11,)</f>
        <v/>
      </c>
    </row>
    <row r="222">
      <c r="A222" s="38" t="n">
        <v>31048</v>
      </c>
      <c r="B222" s="39">
        <f>VLOOKUP(Table8[[#This Row],[Month]],database!A:J,MATCH('Capacity Utilization'!$A$1,database!$A$1:$J$1,),)</f>
        <v/>
      </c>
      <c r="C222" s="68">
        <f>(VLOOKUP(A222,database!A:K,11,) - VLOOKUP(A210,database!A:K,11,))/VLOOKUP(A210,database!A:K,11,)</f>
        <v/>
      </c>
    </row>
    <row r="223">
      <c r="A223" s="38" t="n">
        <v>31079</v>
      </c>
      <c r="B223" s="39">
        <f>VLOOKUP(Table8[[#This Row],[Month]],database!A:J,MATCH('Capacity Utilization'!$A$1,database!$A$1:$J$1,),)</f>
        <v/>
      </c>
      <c r="C223" s="68">
        <f>(VLOOKUP(A223,database!A:K,11,) - VLOOKUP(A211,database!A:K,11,))/VLOOKUP(A211,database!A:K,11,)</f>
        <v/>
      </c>
    </row>
    <row r="224">
      <c r="A224" s="38" t="n">
        <v>31107</v>
      </c>
      <c r="B224" s="39">
        <f>VLOOKUP(Table8[[#This Row],[Month]],database!A:J,MATCH('Capacity Utilization'!$A$1,database!$A$1:$J$1,),)</f>
        <v/>
      </c>
      <c r="C224" s="68">
        <f>(VLOOKUP(A224,database!A:K,11,) - VLOOKUP(A212,database!A:K,11,))/VLOOKUP(A212,database!A:K,11,)</f>
        <v/>
      </c>
    </row>
    <row r="225">
      <c r="A225" s="38" t="n">
        <v>31138</v>
      </c>
      <c r="B225" s="39">
        <f>VLOOKUP(Table8[[#This Row],[Month]],database!A:J,MATCH('Capacity Utilization'!$A$1,database!$A$1:$J$1,),)</f>
        <v/>
      </c>
      <c r="C225" s="68">
        <f>(VLOOKUP(A225,database!A:K,11,) - VLOOKUP(A213,database!A:K,11,))/VLOOKUP(A213,database!A:K,11,)</f>
        <v/>
      </c>
    </row>
    <row r="226">
      <c r="A226" s="38" t="n">
        <v>31168</v>
      </c>
      <c r="B226" s="39">
        <f>VLOOKUP(Table8[[#This Row],[Month]],database!A:J,MATCH('Capacity Utilization'!$A$1,database!$A$1:$J$1,),)</f>
        <v/>
      </c>
      <c r="C226" s="68">
        <f>(VLOOKUP(A226,database!A:K,11,) - VLOOKUP(A214,database!A:K,11,))/VLOOKUP(A214,database!A:K,11,)</f>
        <v/>
      </c>
    </row>
    <row r="227">
      <c r="A227" s="38" t="n">
        <v>31199</v>
      </c>
      <c r="B227" s="39">
        <f>VLOOKUP(Table8[[#This Row],[Month]],database!A:J,MATCH('Capacity Utilization'!$A$1,database!$A$1:$J$1,),)</f>
        <v/>
      </c>
      <c r="C227" s="68">
        <f>(VLOOKUP(A227,database!A:K,11,) - VLOOKUP(A215,database!A:K,11,))/VLOOKUP(A215,database!A:K,11,)</f>
        <v/>
      </c>
    </row>
    <row r="228">
      <c r="A228" s="38" t="n">
        <v>31229</v>
      </c>
      <c r="B228" s="39">
        <f>VLOOKUP(Table8[[#This Row],[Month]],database!A:J,MATCH('Capacity Utilization'!$A$1,database!$A$1:$J$1,),)</f>
        <v/>
      </c>
      <c r="C228" s="68">
        <f>(VLOOKUP(A228,database!A:K,11,) - VLOOKUP(A216,database!A:K,11,))/VLOOKUP(A216,database!A:K,11,)</f>
        <v/>
      </c>
    </row>
    <row r="229">
      <c r="A229" s="38" t="n">
        <v>31260</v>
      </c>
      <c r="B229" s="39">
        <f>VLOOKUP(Table8[[#This Row],[Month]],database!A:J,MATCH('Capacity Utilization'!$A$1,database!$A$1:$J$1,),)</f>
        <v/>
      </c>
      <c r="C229" s="68">
        <f>(VLOOKUP(A229,database!A:K,11,) - VLOOKUP(A217,database!A:K,11,))/VLOOKUP(A217,database!A:K,11,)</f>
        <v/>
      </c>
    </row>
    <row r="230">
      <c r="A230" s="38" t="n">
        <v>31291</v>
      </c>
      <c r="B230" s="39">
        <f>VLOOKUP(Table8[[#This Row],[Month]],database!A:J,MATCH('Capacity Utilization'!$A$1,database!$A$1:$J$1,),)</f>
        <v/>
      </c>
      <c r="C230" s="68">
        <f>(VLOOKUP(A230,database!A:K,11,) - VLOOKUP(A218,database!A:K,11,))/VLOOKUP(A218,database!A:K,11,)</f>
        <v/>
      </c>
    </row>
    <row r="231">
      <c r="A231" s="38" t="n">
        <v>31321</v>
      </c>
      <c r="B231" s="39">
        <f>VLOOKUP(Table8[[#This Row],[Month]],database!A:J,MATCH('Capacity Utilization'!$A$1,database!$A$1:$J$1,),)</f>
        <v/>
      </c>
      <c r="C231" s="68">
        <f>(VLOOKUP(A231,database!A:K,11,) - VLOOKUP(A219,database!A:K,11,))/VLOOKUP(A219,database!A:K,11,)</f>
        <v/>
      </c>
    </row>
    <row r="232">
      <c r="A232" s="38" t="n">
        <v>31352</v>
      </c>
      <c r="B232" s="39">
        <f>VLOOKUP(Table8[[#This Row],[Month]],database!A:J,MATCH('Capacity Utilization'!$A$1,database!$A$1:$J$1,),)</f>
        <v/>
      </c>
      <c r="C232" s="68">
        <f>(VLOOKUP(A232,database!A:K,11,) - VLOOKUP(A220,database!A:K,11,))/VLOOKUP(A220,database!A:K,11,)</f>
        <v/>
      </c>
    </row>
    <row r="233">
      <c r="A233" s="38" t="n">
        <v>31382</v>
      </c>
      <c r="B233" s="39">
        <f>VLOOKUP(Table8[[#This Row],[Month]],database!A:J,MATCH('Capacity Utilization'!$A$1,database!$A$1:$J$1,),)</f>
        <v/>
      </c>
      <c r="C233" s="68">
        <f>(VLOOKUP(A233,database!A:K,11,) - VLOOKUP(A221,database!A:K,11,))/VLOOKUP(A221,database!A:K,11,)</f>
        <v/>
      </c>
    </row>
    <row r="234">
      <c r="A234" s="38" t="n">
        <v>31413</v>
      </c>
      <c r="B234" s="39">
        <f>VLOOKUP(Table8[[#This Row],[Month]],database!A:J,MATCH('Capacity Utilization'!$A$1,database!$A$1:$J$1,),)</f>
        <v/>
      </c>
      <c r="C234" s="68">
        <f>(VLOOKUP(A234,database!A:K,11,) - VLOOKUP(A222,database!A:K,11,))/VLOOKUP(A222,database!A:K,11,)</f>
        <v/>
      </c>
    </row>
    <row r="235">
      <c r="A235" s="38" t="n">
        <v>31444</v>
      </c>
      <c r="B235" s="39">
        <f>VLOOKUP(Table8[[#This Row],[Month]],database!A:J,MATCH('Capacity Utilization'!$A$1,database!$A$1:$J$1,),)</f>
        <v/>
      </c>
      <c r="C235" s="68">
        <f>(VLOOKUP(A235,database!A:K,11,) - VLOOKUP(A223,database!A:K,11,))/VLOOKUP(A223,database!A:K,11,)</f>
        <v/>
      </c>
    </row>
    <row r="236">
      <c r="A236" s="38" t="n">
        <v>31472</v>
      </c>
      <c r="B236" s="39">
        <f>VLOOKUP(Table8[[#This Row],[Month]],database!A:J,MATCH('Capacity Utilization'!$A$1,database!$A$1:$J$1,),)</f>
        <v/>
      </c>
      <c r="C236" s="68">
        <f>(VLOOKUP(A236,database!A:K,11,) - VLOOKUP(A224,database!A:K,11,))/VLOOKUP(A224,database!A:K,11,)</f>
        <v/>
      </c>
    </row>
    <row r="237">
      <c r="A237" s="38" t="n">
        <v>31503</v>
      </c>
      <c r="B237" s="39">
        <f>VLOOKUP(Table8[[#This Row],[Month]],database!A:J,MATCH('Capacity Utilization'!$A$1,database!$A$1:$J$1,),)</f>
        <v/>
      </c>
      <c r="C237" s="68">
        <f>(VLOOKUP(A237,database!A:K,11,) - VLOOKUP(A225,database!A:K,11,))/VLOOKUP(A225,database!A:K,11,)</f>
        <v/>
      </c>
    </row>
    <row r="238">
      <c r="A238" s="38" t="n">
        <v>31533</v>
      </c>
      <c r="B238" s="39">
        <f>VLOOKUP(Table8[[#This Row],[Month]],database!A:J,MATCH('Capacity Utilization'!$A$1,database!$A$1:$J$1,),)</f>
        <v/>
      </c>
      <c r="C238" s="68">
        <f>(VLOOKUP(A238,database!A:K,11,) - VLOOKUP(A226,database!A:K,11,))/VLOOKUP(A226,database!A:K,11,)</f>
        <v/>
      </c>
    </row>
    <row r="239">
      <c r="A239" s="38" t="n">
        <v>31564</v>
      </c>
      <c r="B239" s="39">
        <f>VLOOKUP(Table8[[#This Row],[Month]],database!A:J,MATCH('Capacity Utilization'!$A$1,database!$A$1:$J$1,),)</f>
        <v/>
      </c>
      <c r="C239" s="68">
        <f>(VLOOKUP(A239,database!A:K,11,) - VLOOKUP(A227,database!A:K,11,))/VLOOKUP(A227,database!A:K,11,)</f>
        <v/>
      </c>
    </row>
    <row r="240">
      <c r="A240" s="38" t="n">
        <v>31594</v>
      </c>
      <c r="B240" s="39">
        <f>VLOOKUP(Table8[[#This Row],[Month]],database!A:J,MATCH('Capacity Utilization'!$A$1,database!$A$1:$J$1,),)</f>
        <v/>
      </c>
      <c r="C240" s="68">
        <f>(VLOOKUP(A240,database!A:K,11,) - VLOOKUP(A228,database!A:K,11,))/VLOOKUP(A228,database!A:K,11,)</f>
        <v/>
      </c>
    </row>
    <row r="241">
      <c r="A241" s="38" t="n">
        <v>31625</v>
      </c>
      <c r="B241" s="39">
        <f>VLOOKUP(Table8[[#This Row],[Month]],database!A:J,MATCH('Capacity Utilization'!$A$1,database!$A$1:$J$1,),)</f>
        <v/>
      </c>
      <c r="C241" s="68">
        <f>(VLOOKUP(A241,database!A:K,11,) - VLOOKUP(A229,database!A:K,11,))/VLOOKUP(A229,database!A:K,11,)</f>
        <v/>
      </c>
    </row>
    <row r="242">
      <c r="A242" s="38" t="n">
        <v>31656</v>
      </c>
      <c r="B242" s="39">
        <f>VLOOKUP(Table8[[#This Row],[Month]],database!A:J,MATCH('Capacity Utilization'!$A$1,database!$A$1:$J$1,),)</f>
        <v/>
      </c>
      <c r="C242" s="68">
        <f>(VLOOKUP(A242,database!A:K,11,) - VLOOKUP(A230,database!A:K,11,))/VLOOKUP(A230,database!A:K,11,)</f>
        <v/>
      </c>
    </row>
    <row r="243">
      <c r="A243" s="38" t="n">
        <v>31686</v>
      </c>
      <c r="B243" s="39">
        <f>VLOOKUP(Table8[[#This Row],[Month]],database!A:J,MATCH('Capacity Utilization'!$A$1,database!$A$1:$J$1,),)</f>
        <v/>
      </c>
      <c r="C243" s="68">
        <f>(VLOOKUP(A243,database!A:K,11,) - VLOOKUP(A231,database!A:K,11,))/VLOOKUP(A231,database!A:K,11,)</f>
        <v/>
      </c>
    </row>
    <row r="244">
      <c r="A244" s="38" t="n">
        <v>31717</v>
      </c>
      <c r="B244" s="39">
        <f>VLOOKUP(Table8[[#This Row],[Month]],database!A:J,MATCH('Capacity Utilization'!$A$1,database!$A$1:$J$1,),)</f>
        <v/>
      </c>
      <c r="C244" s="68">
        <f>(VLOOKUP(A244,database!A:K,11,) - VLOOKUP(A232,database!A:K,11,))/VLOOKUP(A232,database!A:K,11,)</f>
        <v/>
      </c>
    </row>
    <row r="245">
      <c r="A245" s="38" t="n">
        <v>31747</v>
      </c>
      <c r="B245" s="39">
        <f>VLOOKUP(Table8[[#This Row],[Month]],database!A:J,MATCH('Capacity Utilization'!$A$1,database!$A$1:$J$1,),)</f>
        <v/>
      </c>
      <c r="C245" s="68">
        <f>(VLOOKUP(A245,database!A:K,11,) - VLOOKUP(A233,database!A:K,11,))/VLOOKUP(A233,database!A:K,11,)</f>
        <v/>
      </c>
    </row>
    <row r="246">
      <c r="A246" s="38" t="n">
        <v>31778</v>
      </c>
      <c r="B246" s="39">
        <f>VLOOKUP(Table8[[#This Row],[Month]],database!A:J,MATCH('Capacity Utilization'!$A$1,database!$A$1:$J$1,),)</f>
        <v/>
      </c>
      <c r="C246" s="68">
        <f>(VLOOKUP(A246,database!A:K,11,) - VLOOKUP(A234,database!A:K,11,))/VLOOKUP(A234,database!A:K,11,)</f>
        <v/>
      </c>
    </row>
    <row r="247">
      <c r="A247" s="38" t="n">
        <v>31809</v>
      </c>
      <c r="B247" s="39">
        <f>VLOOKUP(Table8[[#This Row],[Month]],database!A:J,MATCH('Capacity Utilization'!$A$1,database!$A$1:$J$1,),)</f>
        <v/>
      </c>
      <c r="C247" s="68">
        <f>(VLOOKUP(A247,database!A:K,11,) - VLOOKUP(A235,database!A:K,11,))/VLOOKUP(A235,database!A:K,11,)</f>
        <v/>
      </c>
    </row>
    <row r="248">
      <c r="A248" s="38" t="n">
        <v>31837</v>
      </c>
      <c r="B248" s="39">
        <f>VLOOKUP(Table8[[#This Row],[Month]],database!A:J,MATCH('Capacity Utilization'!$A$1,database!$A$1:$J$1,),)</f>
        <v/>
      </c>
      <c r="C248" s="68">
        <f>(VLOOKUP(A248,database!A:K,11,) - VLOOKUP(A236,database!A:K,11,))/VLOOKUP(A236,database!A:K,11,)</f>
        <v/>
      </c>
    </row>
    <row r="249">
      <c r="A249" s="38" t="n">
        <v>31868</v>
      </c>
      <c r="B249" s="39">
        <f>VLOOKUP(Table8[[#This Row],[Month]],database!A:J,MATCH('Capacity Utilization'!$A$1,database!$A$1:$J$1,),)</f>
        <v/>
      </c>
      <c r="C249" s="68">
        <f>(VLOOKUP(A249,database!A:K,11,) - VLOOKUP(A237,database!A:K,11,))/VLOOKUP(A237,database!A:K,11,)</f>
        <v/>
      </c>
    </row>
    <row r="250">
      <c r="A250" s="38" t="n">
        <v>31898</v>
      </c>
      <c r="B250" s="39">
        <f>VLOOKUP(Table8[[#This Row],[Month]],database!A:J,MATCH('Capacity Utilization'!$A$1,database!$A$1:$J$1,),)</f>
        <v/>
      </c>
      <c r="C250" s="68">
        <f>(VLOOKUP(A250,database!A:K,11,) - VLOOKUP(A238,database!A:K,11,))/VLOOKUP(A238,database!A:K,11,)</f>
        <v/>
      </c>
    </row>
    <row r="251">
      <c r="A251" s="38" t="n">
        <v>31929</v>
      </c>
      <c r="B251" s="39">
        <f>VLOOKUP(Table8[[#This Row],[Month]],database!A:J,MATCH('Capacity Utilization'!$A$1,database!$A$1:$J$1,),)</f>
        <v/>
      </c>
      <c r="C251" s="68">
        <f>(VLOOKUP(A251,database!A:K,11,) - VLOOKUP(A239,database!A:K,11,))/VLOOKUP(A239,database!A:K,11,)</f>
        <v/>
      </c>
    </row>
    <row r="252">
      <c r="A252" s="38" t="n">
        <v>31959</v>
      </c>
      <c r="B252" s="39">
        <f>VLOOKUP(Table8[[#This Row],[Month]],database!A:J,MATCH('Capacity Utilization'!$A$1,database!$A$1:$J$1,),)</f>
        <v/>
      </c>
      <c r="C252" s="68">
        <f>(VLOOKUP(A252,database!A:K,11,) - VLOOKUP(A240,database!A:K,11,))/VLOOKUP(A240,database!A:K,11,)</f>
        <v/>
      </c>
    </row>
    <row r="253">
      <c r="A253" s="38" t="n">
        <v>31990</v>
      </c>
      <c r="B253" s="39">
        <f>VLOOKUP(Table8[[#This Row],[Month]],database!A:J,MATCH('Capacity Utilization'!$A$1,database!$A$1:$J$1,),)</f>
        <v/>
      </c>
      <c r="C253" s="68">
        <f>(VLOOKUP(A253,database!A:K,11,) - VLOOKUP(A241,database!A:K,11,))/VLOOKUP(A241,database!A:K,11,)</f>
        <v/>
      </c>
    </row>
    <row r="254">
      <c r="A254" s="38" t="n">
        <v>32021</v>
      </c>
      <c r="B254" s="39">
        <f>VLOOKUP(Table8[[#This Row],[Month]],database!A:J,MATCH('Capacity Utilization'!$A$1,database!$A$1:$J$1,),)</f>
        <v/>
      </c>
      <c r="C254" s="68">
        <f>(VLOOKUP(A254,database!A:K,11,) - VLOOKUP(A242,database!A:K,11,))/VLOOKUP(A242,database!A:K,11,)</f>
        <v/>
      </c>
    </row>
    <row r="255">
      <c r="A255" s="38" t="n">
        <v>32051</v>
      </c>
      <c r="B255" s="39">
        <f>VLOOKUP(Table8[[#This Row],[Month]],database!A:J,MATCH('Capacity Utilization'!$A$1,database!$A$1:$J$1,),)</f>
        <v/>
      </c>
      <c r="C255" s="68">
        <f>(VLOOKUP(A255,database!A:K,11,) - VLOOKUP(A243,database!A:K,11,))/VLOOKUP(A243,database!A:K,11,)</f>
        <v/>
      </c>
    </row>
    <row r="256">
      <c r="A256" s="38" t="n">
        <v>32082</v>
      </c>
      <c r="B256" s="39">
        <f>VLOOKUP(Table8[[#This Row],[Month]],database!A:J,MATCH('Capacity Utilization'!$A$1,database!$A$1:$J$1,),)</f>
        <v/>
      </c>
      <c r="C256" s="68">
        <f>(VLOOKUP(A256,database!A:K,11,) - VLOOKUP(A244,database!A:K,11,))/VLOOKUP(A244,database!A:K,11,)</f>
        <v/>
      </c>
    </row>
    <row r="257">
      <c r="A257" s="38" t="n">
        <v>32112</v>
      </c>
      <c r="B257" s="39">
        <f>VLOOKUP(Table8[[#This Row],[Month]],database!A:J,MATCH('Capacity Utilization'!$A$1,database!$A$1:$J$1,),)</f>
        <v/>
      </c>
      <c r="C257" s="68">
        <f>(VLOOKUP(A257,database!A:K,11,) - VLOOKUP(A245,database!A:K,11,))/VLOOKUP(A245,database!A:K,11,)</f>
        <v/>
      </c>
    </row>
    <row r="258">
      <c r="A258" s="38" t="n">
        <v>32143</v>
      </c>
      <c r="B258" s="39">
        <f>VLOOKUP(Table8[[#This Row],[Month]],database!A:J,MATCH('Capacity Utilization'!$A$1,database!$A$1:$J$1,),)</f>
        <v/>
      </c>
      <c r="C258" s="68">
        <f>(VLOOKUP(A258,database!A:K,11,) - VLOOKUP(A246,database!A:K,11,))/VLOOKUP(A246,database!A:K,11,)</f>
        <v/>
      </c>
    </row>
    <row r="259">
      <c r="A259" s="38" t="n">
        <v>32174</v>
      </c>
      <c r="B259" s="39">
        <f>VLOOKUP(Table8[[#This Row],[Month]],database!A:J,MATCH('Capacity Utilization'!$A$1,database!$A$1:$J$1,),)</f>
        <v/>
      </c>
      <c r="C259" s="68">
        <f>(VLOOKUP(A259,database!A:K,11,) - VLOOKUP(A247,database!A:K,11,))/VLOOKUP(A247,database!A:K,11,)</f>
        <v/>
      </c>
    </row>
    <row r="260">
      <c r="A260" s="38" t="n">
        <v>32203</v>
      </c>
      <c r="B260" s="39">
        <f>VLOOKUP(Table8[[#This Row],[Month]],database!A:J,MATCH('Capacity Utilization'!$A$1,database!$A$1:$J$1,),)</f>
        <v/>
      </c>
      <c r="C260" s="68">
        <f>(VLOOKUP(A260,database!A:K,11,) - VLOOKUP(A248,database!A:K,11,))/VLOOKUP(A248,database!A:K,11,)</f>
        <v/>
      </c>
    </row>
    <row r="261">
      <c r="A261" s="38" t="n">
        <v>32234</v>
      </c>
      <c r="B261" s="39">
        <f>VLOOKUP(Table8[[#This Row],[Month]],database!A:J,MATCH('Capacity Utilization'!$A$1,database!$A$1:$J$1,),)</f>
        <v/>
      </c>
      <c r="C261" s="68">
        <f>(VLOOKUP(A261,database!A:K,11,) - VLOOKUP(A249,database!A:K,11,))/VLOOKUP(A249,database!A:K,11,)</f>
        <v/>
      </c>
    </row>
    <row r="262">
      <c r="A262" s="38" t="n">
        <v>32264</v>
      </c>
      <c r="B262" s="39">
        <f>VLOOKUP(Table8[[#This Row],[Month]],database!A:J,MATCH('Capacity Utilization'!$A$1,database!$A$1:$J$1,),)</f>
        <v/>
      </c>
      <c r="C262" s="68">
        <f>(VLOOKUP(A262,database!A:K,11,) - VLOOKUP(A250,database!A:K,11,))/VLOOKUP(A250,database!A:K,11,)</f>
        <v/>
      </c>
    </row>
    <row r="263">
      <c r="A263" s="38" t="n">
        <v>32295</v>
      </c>
      <c r="B263" s="39">
        <f>VLOOKUP(Table8[[#This Row],[Month]],database!A:J,MATCH('Capacity Utilization'!$A$1,database!$A$1:$J$1,),)</f>
        <v/>
      </c>
      <c r="C263" s="68">
        <f>(VLOOKUP(A263,database!A:K,11,) - VLOOKUP(A251,database!A:K,11,))/VLOOKUP(A251,database!A:K,11,)</f>
        <v/>
      </c>
    </row>
    <row r="264">
      <c r="A264" s="38" t="n">
        <v>32325</v>
      </c>
      <c r="B264" s="39">
        <f>VLOOKUP(Table8[[#This Row],[Month]],database!A:J,MATCH('Capacity Utilization'!$A$1,database!$A$1:$J$1,),)</f>
        <v/>
      </c>
      <c r="C264" s="68">
        <f>(VLOOKUP(A264,database!A:K,11,) - VLOOKUP(A252,database!A:K,11,))/VLOOKUP(A252,database!A:K,11,)</f>
        <v/>
      </c>
    </row>
    <row r="265">
      <c r="A265" s="38" t="n">
        <v>32356</v>
      </c>
      <c r="B265" s="39">
        <f>VLOOKUP(Table8[[#This Row],[Month]],database!A:J,MATCH('Capacity Utilization'!$A$1,database!$A$1:$J$1,),)</f>
        <v/>
      </c>
      <c r="C265" s="68">
        <f>(VLOOKUP(A265,database!A:K,11,) - VLOOKUP(A253,database!A:K,11,))/VLOOKUP(A253,database!A:K,11,)</f>
        <v/>
      </c>
    </row>
    <row r="266">
      <c r="A266" s="38" t="n">
        <v>32387</v>
      </c>
      <c r="B266" s="39">
        <f>VLOOKUP(Table8[[#This Row],[Month]],database!A:J,MATCH('Capacity Utilization'!$A$1,database!$A$1:$J$1,),)</f>
        <v/>
      </c>
      <c r="C266" s="68">
        <f>(VLOOKUP(A266,database!A:K,11,) - VLOOKUP(A254,database!A:K,11,))/VLOOKUP(A254,database!A:K,11,)</f>
        <v/>
      </c>
    </row>
    <row r="267">
      <c r="A267" s="38" t="n">
        <v>32417</v>
      </c>
      <c r="B267" s="39">
        <f>VLOOKUP(Table8[[#This Row],[Month]],database!A:J,MATCH('Capacity Utilization'!$A$1,database!$A$1:$J$1,),)</f>
        <v/>
      </c>
      <c r="C267" s="68">
        <f>(VLOOKUP(A267,database!A:K,11,) - VLOOKUP(A255,database!A:K,11,))/VLOOKUP(A255,database!A:K,11,)</f>
        <v/>
      </c>
    </row>
    <row r="268">
      <c r="A268" s="38" t="n">
        <v>32448</v>
      </c>
      <c r="B268" s="39">
        <f>VLOOKUP(Table8[[#This Row],[Month]],database!A:J,MATCH('Capacity Utilization'!$A$1,database!$A$1:$J$1,),)</f>
        <v/>
      </c>
      <c r="C268" s="68">
        <f>(VLOOKUP(A268,database!A:K,11,) - VLOOKUP(A256,database!A:K,11,))/VLOOKUP(A256,database!A:K,11,)</f>
        <v/>
      </c>
    </row>
    <row r="269">
      <c r="A269" s="38" t="n">
        <v>32478</v>
      </c>
      <c r="B269" s="39">
        <f>VLOOKUP(Table8[[#This Row],[Month]],database!A:J,MATCH('Capacity Utilization'!$A$1,database!$A$1:$J$1,),)</f>
        <v/>
      </c>
      <c r="C269" s="68">
        <f>(VLOOKUP(A269,database!A:K,11,) - VLOOKUP(A257,database!A:K,11,))/VLOOKUP(A257,database!A:K,11,)</f>
        <v/>
      </c>
    </row>
    <row r="270">
      <c r="A270" s="38" t="n">
        <v>32509</v>
      </c>
      <c r="B270" s="39">
        <f>VLOOKUP(Table8[[#This Row],[Month]],database!A:J,MATCH('Capacity Utilization'!$A$1,database!$A$1:$J$1,),)</f>
        <v/>
      </c>
      <c r="C270" s="68">
        <f>(VLOOKUP(A270,database!A:K,11,) - VLOOKUP(A258,database!A:K,11,))/VLOOKUP(A258,database!A:K,11,)</f>
        <v/>
      </c>
    </row>
    <row r="271">
      <c r="A271" s="38" t="n">
        <v>32540</v>
      </c>
      <c r="B271" s="39">
        <f>VLOOKUP(Table8[[#This Row],[Month]],database!A:J,MATCH('Capacity Utilization'!$A$1,database!$A$1:$J$1,),)</f>
        <v/>
      </c>
      <c r="C271" s="68">
        <f>(VLOOKUP(A271,database!A:K,11,) - VLOOKUP(A259,database!A:K,11,))/VLOOKUP(A259,database!A:K,11,)</f>
        <v/>
      </c>
    </row>
    <row r="272">
      <c r="A272" s="38" t="n">
        <v>32568</v>
      </c>
      <c r="B272" s="39">
        <f>VLOOKUP(Table8[[#This Row],[Month]],database!A:J,MATCH('Capacity Utilization'!$A$1,database!$A$1:$J$1,),)</f>
        <v/>
      </c>
      <c r="C272" s="68">
        <f>(VLOOKUP(A272,database!A:K,11,) - VLOOKUP(A260,database!A:K,11,))/VLOOKUP(A260,database!A:K,11,)</f>
        <v/>
      </c>
    </row>
    <row r="273">
      <c r="A273" s="38" t="n">
        <v>32599</v>
      </c>
      <c r="B273" s="39">
        <f>VLOOKUP(Table8[[#This Row],[Month]],database!A:J,MATCH('Capacity Utilization'!$A$1,database!$A$1:$J$1,),)</f>
        <v/>
      </c>
      <c r="C273" s="68">
        <f>(VLOOKUP(A273,database!A:K,11,) - VLOOKUP(A261,database!A:K,11,))/VLOOKUP(A261,database!A:K,11,)</f>
        <v/>
      </c>
    </row>
    <row r="274">
      <c r="A274" s="38" t="n">
        <v>32629</v>
      </c>
      <c r="B274" s="39">
        <f>VLOOKUP(Table8[[#This Row],[Month]],database!A:J,MATCH('Capacity Utilization'!$A$1,database!$A$1:$J$1,),)</f>
        <v/>
      </c>
      <c r="C274" s="68">
        <f>(VLOOKUP(A274,database!A:K,11,) - VLOOKUP(A262,database!A:K,11,))/VLOOKUP(A262,database!A:K,11,)</f>
        <v/>
      </c>
    </row>
    <row r="275">
      <c r="A275" s="38" t="n">
        <v>32660</v>
      </c>
      <c r="B275" s="39">
        <f>VLOOKUP(Table8[[#This Row],[Month]],database!A:J,MATCH('Capacity Utilization'!$A$1,database!$A$1:$J$1,),)</f>
        <v/>
      </c>
      <c r="C275" s="68">
        <f>(VLOOKUP(A275,database!A:K,11,) - VLOOKUP(A263,database!A:K,11,))/VLOOKUP(A263,database!A:K,11,)</f>
        <v/>
      </c>
    </row>
    <row r="276">
      <c r="A276" s="38" t="n">
        <v>32690</v>
      </c>
      <c r="B276" s="39">
        <f>VLOOKUP(Table8[[#This Row],[Month]],database!A:J,MATCH('Capacity Utilization'!$A$1,database!$A$1:$J$1,),)</f>
        <v/>
      </c>
      <c r="C276" s="68">
        <f>(VLOOKUP(A276,database!A:K,11,) - VLOOKUP(A264,database!A:K,11,))/VLOOKUP(A264,database!A:K,11,)</f>
        <v/>
      </c>
    </row>
    <row r="277">
      <c r="A277" s="38" t="n">
        <v>32721</v>
      </c>
      <c r="B277" s="39">
        <f>VLOOKUP(Table8[[#This Row],[Month]],database!A:J,MATCH('Capacity Utilization'!$A$1,database!$A$1:$J$1,),)</f>
        <v/>
      </c>
      <c r="C277" s="68">
        <f>(VLOOKUP(A277,database!A:K,11,) - VLOOKUP(A265,database!A:K,11,))/VLOOKUP(A265,database!A:K,11,)</f>
        <v/>
      </c>
    </row>
    <row r="278">
      <c r="A278" s="38" t="n">
        <v>32752</v>
      </c>
      <c r="B278" s="39">
        <f>VLOOKUP(Table8[[#This Row],[Month]],database!A:J,MATCH('Capacity Utilization'!$A$1,database!$A$1:$J$1,),)</f>
        <v/>
      </c>
      <c r="C278" s="68">
        <f>(VLOOKUP(A278,database!A:K,11,) - VLOOKUP(A266,database!A:K,11,))/VLOOKUP(A266,database!A:K,11,)</f>
        <v/>
      </c>
    </row>
    <row r="279">
      <c r="A279" s="38" t="n">
        <v>32782</v>
      </c>
      <c r="B279" s="39">
        <f>VLOOKUP(Table8[[#This Row],[Month]],database!A:J,MATCH('Capacity Utilization'!$A$1,database!$A$1:$J$1,),)</f>
        <v/>
      </c>
      <c r="C279" s="68">
        <f>(VLOOKUP(A279,database!A:K,11,) - VLOOKUP(A267,database!A:K,11,))/VLOOKUP(A267,database!A:K,11,)</f>
        <v/>
      </c>
    </row>
    <row r="280">
      <c r="A280" s="38" t="n">
        <v>32813</v>
      </c>
      <c r="B280" s="39">
        <f>VLOOKUP(Table8[[#This Row],[Month]],database!A:J,MATCH('Capacity Utilization'!$A$1,database!$A$1:$J$1,),)</f>
        <v/>
      </c>
      <c r="C280" s="68">
        <f>(VLOOKUP(A280,database!A:K,11,) - VLOOKUP(A268,database!A:K,11,))/VLOOKUP(A268,database!A:K,11,)</f>
        <v/>
      </c>
    </row>
    <row r="281">
      <c r="A281" s="38" t="n">
        <v>32843</v>
      </c>
      <c r="B281" s="39">
        <f>VLOOKUP(Table8[[#This Row],[Month]],database!A:J,MATCH('Capacity Utilization'!$A$1,database!$A$1:$J$1,),)</f>
        <v/>
      </c>
      <c r="C281" s="68">
        <f>(VLOOKUP(A281,database!A:K,11,) - VLOOKUP(A269,database!A:K,11,))/VLOOKUP(A269,database!A:K,11,)</f>
        <v/>
      </c>
    </row>
    <row r="282">
      <c r="A282" s="38" t="n">
        <v>32874</v>
      </c>
      <c r="B282" s="39">
        <f>VLOOKUP(Table8[[#This Row],[Month]],database!A:J,MATCH('Capacity Utilization'!$A$1,database!$A$1:$J$1,),)</f>
        <v/>
      </c>
      <c r="C282" s="68">
        <f>(VLOOKUP(A282,database!A:K,11,) - VLOOKUP(A270,database!A:K,11,))/VLOOKUP(A270,database!A:K,11,)</f>
        <v/>
      </c>
    </row>
    <row r="283">
      <c r="A283" s="38" t="n">
        <v>32905</v>
      </c>
      <c r="B283" s="39">
        <f>VLOOKUP(Table8[[#This Row],[Month]],database!A:J,MATCH('Capacity Utilization'!$A$1,database!$A$1:$J$1,),)</f>
        <v/>
      </c>
      <c r="C283" s="68">
        <f>(VLOOKUP(A283,database!A:K,11,) - VLOOKUP(A271,database!A:K,11,))/VLOOKUP(A271,database!A:K,11,)</f>
        <v/>
      </c>
    </row>
    <row r="284">
      <c r="A284" s="38" t="n">
        <v>32933</v>
      </c>
      <c r="B284" s="39">
        <f>VLOOKUP(Table8[[#This Row],[Month]],database!A:J,MATCH('Capacity Utilization'!$A$1,database!$A$1:$J$1,),)</f>
        <v/>
      </c>
      <c r="C284" s="68">
        <f>(VLOOKUP(A284,database!A:K,11,) - VLOOKUP(A272,database!A:K,11,))/VLOOKUP(A272,database!A:K,11,)</f>
        <v/>
      </c>
    </row>
    <row r="285">
      <c r="A285" s="38" t="n">
        <v>32964</v>
      </c>
      <c r="B285" s="39">
        <f>VLOOKUP(Table8[[#This Row],[Month]],database!A:J,MATCH('Capacity Utilization'!$A$1,database!$A$1:$J$1,),)</f>
        <v/>
      </c>
      <c r="C285" s="68">
        <f>(VLOOKUP(A285,database!A:K,11,) - VLOOKUP(A273,database!A:K,11,))/VLOOKUP(A273,database!A:K,11,)</f>
        <v/>
      </c>
    </row>
    <row r="286">
      <c r="A286" s="38" t="n">
        <v>32994</v>
      </c>
      <c r="B286" s="39">
        <f>VLOOKUP(Table8[[#This Row],[Month]],database!A:J,MATCH('Capacity Utilization'!$A$1,database!$A$1:$J$1,),)</f>
        <v/>
      </c>
      <c r="C286" s="68">
        <f>(VLOOKUP(A286,database!A:K,11,) - VLOOKUP(A274,database!A:K,11,))/VLOOKUP(A274,database!A:K,11,)</f>
        <v/>
      </c>
    </row>
    <row r="287">
      <c r="A287" s="38" t="n">
        <v>33025</v>
      </c>
      <c r="B287" s="39">
        <f>VLOOKUP(Table8[[#This Row],[Month]],database!A:J,MATCH('Capacity Utilization'!$A$1,database!$A$1:$J$1,),)</f>
        <v/>
      </c>
      <c r="C287" s="68">
        <f>(VLOOKUP(A287,database!A:K,11,) - VLOOKUP(A275,database!A:K,11,))/VLOOKUP(A275,database!A:K,11,)</f>
        <v/>
      </c>
    </row>
    <row r="288">
      <c r="A288" s="38" t="n">
        <v>33055</v>
      </c>
      <c r="B288" s="39">
        <f>VLOOKUP(Table8[[#This Row],[Month]],database!A:J,MATCH('Capacity Utilization'!$A$1,database!$A$1:$J$1,),)</f>
        <v/>
      </c>
      <c r="C288" s="68">
        <f>(VLOOKUP(A288,database!A:K,11,) - VLOOKUP(A276,database!A:K,11,))/VLOOKUP(A276,database!A:K,11,)</f>
        <v/>
      </c>
    </row>
    <row r="289">
      <c r="A289" s="38" t="n">
        <v>33086</v>
      </c>
      <c r="B289" s="39">
        <f>VLOOKUP(Table8[[#This Row],[Month]],database!A:J,MATCH('Capacity Utilization'!$A$1,database!$A$1:$J$1,),)</f>
        <v/>
      </c>
      <c r="C289" s="68">
        <f>(VLOOKUP(A289,database!A:K,11,) - VLOOKUP(A277,database!A:K,11,))/VLOOKUP(A277,database!A:K,11,)</f>
        <v/>
      </c>
    </row>
    <row r="290">
      <c r="A290" s="38" t="n">
        <v>33117</v>
      </c>
      <c r="B290" s="39">
        <f>VLOOKUP(Table8[[#This Row],[Month]],database!A:J,MATCH('Capacity Utilization'!$A$1,database!$A$1:$J$1,),)</f>
        <v/>
      </c>
      <c r="C290" s="68">
        <f>(VLOOKUP(A290,database!A:K,11,) - VLOOKUP(A278,database!A:K,11,))/VLOOKUP(A278,database!A:K,11,)</f>
        <v/>
      </c>
    </row>
    <row r="291">
      <c r="A291" s="38" t="n">
        <v>33147</v>
      </c>
      <c r="B291" s="39">
        <f>VLOOKUP(Table8[[#This Row],[Month]],database!A:J,MATCH('Capacity Utilization'!$A$1,database!$A$1:$J$1,),)</f>
        <v/>
      </c>
      <c r="C291" s="68">
        <f>(VLOOKUP(A291,database!A:K,11,) - VLOOKUP(A279,database!A:K,11,))/VLOOKUP(A279,database!A:K,11,)</f>
        <v/>
      </c>
    </row>
    <row r="292">
      <c r="A292" s="38" t="n">
        <v>33178</v>
      </c>
      <c r="B292" s="39">
        <f>VLOOKUP(Table8[[#This Row],[Month]],database!A:J,MATCH('Capacity Utilization'!$A$1,database!$A$1:$J$1,),)</f>
        <v/>
      </c>
      <c r="C292" s="68">
        <f>(VLOOKUP(A292,database!A:K,11,) - VLOOKUP(A280,database!A:K,11,))/VLOOKUP(A280,database!A:K,11,)</f>
        <v/>
      </c>
    </row>
    <row r="293">
      <c r="A293" s="38" t="n">
        <v>33208</v>
      </c>
      <c r="B293" s="39">
        <f>VLOOKUP(Table8[[#This Row],[Month]],database!A:J,MATCH('Capacity Utilization'!$A$1,database!$A$1:$J$1,),)</f>
        <v/>
      </c>
      <c r="C293" s="68">
        <f>(VLOOKUP(A293,database!A:K,11,) - VLOOKUP(A281,database!A:K,11,))/VLOOKUP(A281,database!A:K,11,)</f>
        <v/>
      </c>
    </row>
    <row r="294">
      <c r="A294" s="38" t="n">
        <v>33239</v>
      </c>
      <c r="B294" s="39">
        <f>VLOOKUP(Table8[[#This Row],[Month]],database!A:J,MATCH('Capacity Utilization'!$A$1,database!$A$1:$J$1,),)</f>
        <v/>
      </c>
      <c r="C294" s="68">
        <f>(VLOOKUP(A294,database!A:K,11,) - VLOOKUP(A282,database!A:K,11,))/VLOOKUP(A282,database!A:K,11,)</f>
        <v/>
      </c>
    </row>
    <row r="295">
      <c r="A295" s="38" t="n">
        <v>33270</v>
      </c>
      <c r="B295" s="39">
        <f>VLOOKUP(Table8[[#This Row],[Month]],database!A:J,MATCH('Capacity Utilization'!$A$1,database!$A$1:$J$1,),)</f>
        <v/>
      </c>
      <c r="C295" s="68">
        <f>(VLOOKUP(A295,database!A:K,11,) - VLOOKUP(A283,database!A:K,11,))/VLOOKUP(A283,database!A:K,11,)</f>
        <v/>
      </c>
    </row>
    <row r="296">
      <c r="A296" s="38" t="n">
        <v>33298</v>
      </c>
      <c r="B296" s="39">
        <f>VLOOKUP(Table8[[#This Row],[Month]],database!A:J,MATCH('Capacity Utilization'!$A$1,database!$A$1:$J$1,),)</f>
        <v/>
      </c>
      <c r="C296" s="68">
        <f>(VLOOKUP(A296,database!A:K,11,) - VLOOKUP(A284,database!A:K,11,))/VLOOKUP(A284,database!A:K,11,)</f>
        <v/>
      </c>
    </row>
    <row r="297">
      <c r="A297" s="38" t="n">
        <v>33329</v>
      </c>
      <c r="B297" s="39">
        <f>VLOOKUP(Table8[[#This Row],[Month]],database!A:J,MATCH('Capacity Utilization'!$A$1,database!$A$1:$J$1,),)</f>
        <v/>
      </c>
      <c r="C297" s="68">
        <f>(VLOOKUP(A297,database!A:K,11,) - VLOOKUP(A285,database!A:K,11,))/VLOOKUP(A285,database!A:K,11,)</f>
        <v/>
      </c>
    </row>
    <row r="298">
      <c r="A298" s="38" t="n">
        <v>33359</v>
      </c>
      <c r="B298" s="39">
        <f>VLOOKUP(Table8[[#This Row],[Month]],database!A:J,MATCH('Capacity Utilization'!$A$1,database!$A$1:$J$1,),)</f>
        <v/>
      </c>
      <c r="C298" s="68">
        <f>(VLOOKUP(A298,database!A:K,11,) - VLOOKUP(A286,database!A:K,11,))/VLOOKUP(A286,database!A:K,11,)</f>
        <v/>
      </c>
    </row>
    <row r="299">
      <c r="A299" s="38" t="n">
        <v>33390</v>
      </c>
      <c r="B299" s="39">
        <f>VLOOKUP(Table8[[#This Row],[Month]],database!A:J,MATCH('Capacity Utilization'!$A$1,database!$A$1:$J$1,),)</f>
        <v/>
      </c>
      <c r="C299" s="68">
        <f>(VLOOKUP(A299,database!A:K,11,) - VLOOKUP(A287,database!A:K,11,))/VLOOKUP(A287,database!A:K,11,)</f>
        <v/>
      </c>
    </row>
    <row r="300">
      <c r="A300" s="38" t="n">
        <v>33420</v>
      </c>
      <c r="B300" s="39">
        <f>VLOOKUP(Table8[[#This Row],[Month]],database!A:J,MATCH('Capacity Utilization'!$A$1,database!$A$1:$J$1,),)</f>
        <v/>
      </c>
      <c r="C300" s="68">
        <f>(VLOOKUP(A300,database!A:K,11,) - VLOOKUP(A288,database!A:K,11,))/VLOOKUP(A288,database!A:K,11,)</f>
        <v/>
      </c>
    </row>
    <row r="301">
      <c r="A301" s="38" t="n">
        <v>33451</v>
      </c>
      <c r="B301" s="39">
        <f>VLOOKUP(Table8[[#This Row],[Month]],database!A:J,MATCH('Capacity Utilization'!$A$1,database!$A$1:$J$1,),)</f>
        <v/>
      </c>
      <c r="C301" s="68">
        <f>(VLOOKUP(A301,database!A:K,11,) - VLOOKUP(A289,database!A:K,11,))/VLOOKUP(A289,database!A:K,11,)</f>
        <v/>
      </c>
    </row>
    <row r="302">
      <c r="A302" s="38" t="n">
        <v>33482</v>
      </c>
      <c r="B302" s="39">
        <f>VLOOKUP(Table8[[#This Row],[Month]],database!A:J,MATCH('Capacity Utilization'!$A$1,database!$A$1:$J$1,),)</f>
        <v/>
      </c>
      <c r="C302" s="68">
        <f>(VLOOKUP(A302,database!A:K,11,) - VLOOKUP(A290,database!A:K,11,))/VLOOKUP(A290,database!A:K,11,)</f>
        <v/>
      </c>
    </row>
    <row r="303">
      <c r="A303" s="38" t="n">
        <v>33512</v>
      </c>
      <c r="B303" s="39">
        <f>VLOOKUP(Table8[[#This Row],[Month]],database!A:J,MATCH('Capacity Utilization'!$A$1,database!$A$1:$J$1,),)</f>
        <v/>
      </c>
      <c r="C303" s="68">
        <f>(VLOOKUP(A303,database!A:K,11,) - VLOOKUP(A291,database!A:K,11,))/VLOOKUP(A291,database!A:K,11,)</f>
        <v/>
      </c>
    </row>
    <row r="304">
      <c r="A304" s="38" t="n">
        <v>33543</v>
      </c>
      <c r="B304" s="39">
        <f>VLOOKUP(Table8[[#This Row],[Month]],database!A:J,MATCH('Capacity Utilization'!$A$1,database!$A$1:$J$1,),)</f>
        <v/>
      </c>
      <c r="C304" s="68">
        <f>(VLOOKUP(A304,database!A:K,11,) - VLOOKUP(A292,database!A:K,11,))/VLOOKUP(A292,database!A:K,11,)</f>
        <v/>
      </c>
    </row>
    <row r="305">
      <c r="A305" s="38" t="n">
        <v>33573</v>
      </c>
      <c r="B305" s="39">
        <f>VLOOKUP(Table8[[#This Row],[Month]],database!A:J,MATCH('Capacity Utilization'!$A$1,database!$A$1:$J$1,),)</f>
        <v/>
      </c>
      <c r="C305" s="68">
        <f>(VLOOKUP(A305,database!A:K,11,) - VLOOKUP(A293,database!A:K,11,))/VLOOKUP(A293,database!A:K,11,)</f>
        <v/>
      </c>
    </row>
    <row r="306">
      <c r="A306" s="38" t="n">
        <v>33604</v>
      </c>
      <c r="B306" s="39">
        <f>VLOOKUP(Table8[[#This Row],[Month]],database!A:J,MATCH('Capacity Utilization'!$A$1,database!$A$1:$J$1,),)</f>
        <v/>
      </c>
      <c r="C306" s="68">
        <f>(VLOOKUP(A306,database!A:K,11,) - VLOOKUP(A294,database!A:K,11,))/VLOOKUP(A294,database!A:K,11,)</f>
        <v/>
      </c>
    </row>
    <row r="307">
      <c r="A307" s="38" t="n">
        <v>33635</v>
      </c>
      <c r="B307" s="39">
        <f>VLOOKUP(Table8[[#This Row],[Month]],database!A:J,MATCH('Capacity Utilization'!$A$1,database!$A$1:$J$1,),)</f>
        <v/>
      </c>
      <c r="C307" s="68">
        <f>(VLOOKUP(A307,database!A:K,11,) - VLOOKUP(A295,database!A:K,11,))/VLOOKUP(A295,database!A:K,11,)</f>
        <v/>
      </c>
    </row>
    <row r="308">
      <c r="A308" s="38" t="n">
        <v>33664</v>
      </c>
      <c r="B308" s="39">
        <f>VLOOKUP(Table8[[#This Row],[Month]],database!A:J,MATCH('Capacity Utilization'!$A$1,database!$A$1:$J$1,),)</f>
        <v/>
      </c>
      <c r="C308" s="68">
        <f>(VLOOKUP(A308,database!A:K,11,) - VLOOKUP(A296,database!A:K,11,))/VLOOKUP(A296,database!A:K,11,)</f>
        <v/>
      </c>
    </row>
    <row r="309">
      <c r="A309" s="38" t="n">
        <v>33695</v>
      </c>
      <c r="B309" s="39">
        <f>VLOOKUP(Table8[[#This Row],[Month]],database!A:J,MATCH('Capacity Utilization'!$A$1,database!$A$1:$J$1,),)</f>
        <v/>
      </c>
      <c r="C309" s="68">
        <f>(VLOOKUP(A309,database!A:K,11,) - VLOOKUP(A297,database!A:K,11,))/VLOOKUP(A297,database!A:K,11,)</f>
        <v/>
      </c>
    </row>
    <row r="310">
      <c r="A310" s="38" t="n">
        <v>33725</v>
      </c>
      <c r="B310" s="39">
        <f>VLOOKUP(Table8[[#This Row],[Month]],database!A:J,MATCH('Capacity Utilization'!$A$1,database!$A$1:$J$1,),)</f>
        <v/>
      </c>
      <c r="C310" s="68">
        <f>(VLOOKUP(A310,database!A:K,11,) - VLOOKUP(A298,database!A:K,11,))/VLOOKUP(A298,database!A:K,11,)</f>
        <v/>
      </c>
    </row>
    <row r="311">
      <c r="A311" s="38" t="n">
        <v>33756</v>
      </c>
      <c r="B311" s="39">
        <f>VLOOKUP(Table8[[#This Row],[Month]],database!A:J,MATCH('Capacity Utilization'!$A$1,database!$A$1:$J$1,),)</f>
        <v/>
      </c>
      <c r="C311" s="68">
        <f>(VLOOKUP(A311,database!A:K,11,) - VLOOKUP(A299,database!A:K,11,))/VLOOKUP(A299,database!A:K,11,)</f>
        <v/>
      </c>
    </row>
    <row r="312">
      <c r="A312" s="38" t="n">
        <v>33786</v>
      </c>
      <c r="B312" s="39">
        <f>VLOOKUP(Table8[[#This Row],[Month]],database!A:J,MATCH('Capacity Utilization'!$A$1,database!$A$1:$J$1,),)</f>
        <v/>
      </c>
      <c r="C312" s="68">
        <f>(VLOOKUP(A312,database!A:K,11,) - VLOOKUP(A300,database!A:K,11,))/VLOOKUP(A300,database!A:K,11,)</f>
        <v/>
      </c>
    </row>
    <row r="313">
      <c r="A313" s="38" t="n">
        <v>33817</v>
      </c>
      <c r="B313" s="39">
        <f>VLOOKUP(Table8[[#This Row],[Month]],database!A:J,MATCH('Capacity Utilization'!$A$1,database!$A$1:$J$1,),)</f>
        <v/>
      </c>
      <c r="C313" s="68">
        <f>(VLOOKUP(A313,database!A:K,11,) - VLOOKUP(A301,database!A:K,11,))/VLOOKUP(A301,database!A:K,11,)</f>
        <v/>
      </c>
    </row>
    <row r="314">
      <c r="A314" s="38" t="n">
        <v>33848</v>
      </c>
      <c r="B314" s="39">
        <f>VLOOKUP(Table8[[#This Row],[Month]],database!A:J,MATCH('Capacity Utilization'!$A$1,database!$A$1:$J$1,),)</f>
        <v/>
      </c>
      <c r="C314" s="68">
        <f>(VLOOKUP(A314,database!A:K,11,) - VLOOKUP(A302,database!A:K,11,))/VLOOKUP(A302,database!A:K,11,)</f>
        <v/>
      </c>
    </row>
    <row r="315">
      <c r="A315" s="38" t="n">
        <v>33878</v>
      </c>
      <c r="B315" s="39">
        <f>VLOOKUP(Table8[[#This Row],[Month]],database!A:J,MATCH('Capacity Utilization'!$A$1,database!$A$1:$J$1,),)</f>
        <v/>
      </c>
      <c r="C315" s="68">
        <f>(VLOOKUP(A315,database!A:K,11,) - VLOOKUP(A303,database!A:K,11,))/VLOOKUP(A303,database!A:K,11,)</f>
        <v/>
      </c>
    </row>
    <row r="316">
      <c r="A316" s="38" t="n">
        <v>33909</v>
      </c>
      <c r="B316" s="39">
        <f>VLOOKUP(Table8[[#This Row],[Month]],database!A:J,MATCH('Capacity Utilization'!$A$1,database!$A$1:$J$1,),)</f>
        <v/>
      </c>
      <c r="C316" s="68">
        <f>(VLOOKUP(A316,database!A:K,11,) - VLOOKUP(A304,database!A:K,11,))/VLOOKUP(A304,database!A:K,11,)</f>
        <v/>
      </c>
    </row>
    <row r="317">
      <c r="A317" s="38" t="n">
        <v>33939</v>
      </c>
      <c r="B317" s="39">
        <f>VLOOKUP(Table8[[#This Row],[Month]],database!A:J,MATCH('Capacity Utilization'!$A$1,database!$A$1:$J$1,),)</f>
        <v/>
      </c>
      <c r="C317" s="68">
        <f>(VLOOKUP(A317,database!A:K,11,) - VLOOKUP(A305,database!A:K,11,))/VLOOKUP(A305,database!A:K,11,)</f>
        <v/>
      </c>
    </row>
    <row r="318">
      <c r="A318" s="38" t="n">
        <v>33970</v>
      </c>
      <c r="B318" s="39">
        <f>VLOOKUP(Table8[[#This Row],[Month]],database!A:J,MATCH('Capacity Utilization'!$A$1,database!$A$1:$J$1,),)</f>
        <v/>
      </c>
      <c r="C318" s="68">
        <f>(VLOOKUP(A318,database!A:K,11,) - VLOOKUP(A306,database!A:K,11,))/VLOOKUP(A306,database!A:K,11,)</f>
        <v/>
      </c>
    </row>
    <row r="319">
      <c r="A319" s="38" t="n">
        <v>34001</v>
      </c>
      <c r="B319" s="39">
        <f>VLOOKUP(Table8[[#This Row],[Month]],database!A:J,MATCH('Capacity Utilization'!$A$1,database!$A$1:$J$1,),)</f>
        <v/>
      </c>
      <c r="C319" s="68">
        <f>(VLOOKUP(A319,database!A:K,11,) - VLOOKUP(A307,database!A:K,11,))/VLOOKUP(A307,database!A:K,11,)</f>
        <v/>
      </c>
    </row>
    <row r="320">
      <c r="A320" s="38" t="n">
        <v>34029</v>
      </c>
      <c r="B320" s="39">
        <f>VLOOKUP(Table8[[#This Row],[Month]],database!A:J,MATCH('Capacity Utilization'!$A$1,database!$A$1:$J$1,),)</f>
        <v/>
      </c>
      <c r="C320" s="68">
        <f>(VLOOKUP(A320,database!A:K,11,) - VLOOKUP(A308,database!A:K,11,))/VLOOKUP(A308,database!A:K,11,)</f>
        <v/>
      </c>
    </row>
    <row r="321">
      <c r="A321" s="38" t="n">
        <v>34060</v>
      </c>
      <c r="B321" s="39">
        <f>VLOOKUP(Table8[[#This Row],[Month]],database!A:J,MATCH('Capacity Utilization'!$A$1,database!$A$1:$J$1,),)</f>
        <v/>
      </c>
      <c r="C321" s="68">
        <f>(VLOOKUP(A321,database!A:K,11,) - VLOOKUP(A309,database!A:K,11,))/VLOOKUP(A309,database!A:K,11,)</f>
        <v/>
      </c>
    </row>
    <row r="322">
      <c r="A322" s="38" t="n">
        <v>34090</v>
      </c>
      <c r="B322" s="39">
        <f>VLOOKUP(Table8[[#This Row],[Month]],database!A:J,MATCH('Capacity Utilization'!$A$1,database!$A$1:$J$1,),)</f>
        <v/>
      </c>
      <c r="C322" s="68">
        <f>(VLOOKUP(A322,database!A:K,11,) - VLOOKUP(A310,database!A:K,11,))/VLOOKUP(A310,database!A:K,11,)</f>
        <v/>
      </c>
    </row>
    <row r="323">
      <c r="A323" s="38" t="n">
        <v>34121</v>
      </c>
      <c r="B323" s="39">
        <f>VLOOKUP(Table8[[#This Row],[Month]],database!A:J,MATCH('Capacity Utilization'!$A$1,database!$A$1:$J$1,),)</f>
        <v/>
      </c>
      <c r="C323" s="68">
        <f>(VLOOKUP(A323,database!A:K,11,) - VLOOKUP(A311,database!A:K,11,))/VLOOKUP(A311,database!A:K,11,)</f>
        <v/>
      </c>
    </row>
    <row r="324">
      <c r="A324" s="38" t="n">
        <v>34151</v>
      </c>
      <c r="B324" s="39">
        <f>VLOOKUP(Table8[[#This Row],[Month]],database!A:J,MATCH('Capacity Utilization'!$A$1,database!$A$1:$J$1,),)</f>
        <v/>
      </c>
      <c r="C324" s="68">
        <f>(VLOOKUP(A324,database!A:K,11,) - VLOOKUP(A312,database!A:K,11,))/VLOOKUP(A312,database!A:K,11,)</f>
        <v/>
      </c>
    </row>
    <row r="325">
      <c r="A325" s="38" t="n">
        <v>34182</v>
      </c>
      <c r="B325" s="39">
        <f>VLOOKUP(Table8[[#This Row],[Month]],database!A:J,MATCH('Capacity Utilization'!$A$1,database!$A$1:$J$1,),)</f>
        <v/>
      </c>
      <c r="C325" s="68">
        <f>(VLOOKUP(A325,database!A:K,11,) - VLOOKUP(A313,database!A:K,11,))/VLOOKUP(A313,database!A:K,11,)</f>
        <v/>
      </c>
    </row>
    <row r="326">
      <c r="A326" s="38" t="n">
        <v>34213</v>
      </c>
      <c r="B326" s="39">
        <f>VLOOKUP(Table8[[#This Row],[Month]],database!A:J,MATCH('Capacity Utilization'!$A$1,database!$A$1:$J$1,),)</f>
        <v/>
      </c>
      <c r="C326" s="68">
        <f>(VLOOKUP(A326,database!A:K,11,) - VLOOKUP(A314,database!A:K,11,))/VLOOKUP(A314,database!A:K,11,)</f>
        <v/>
      </c>
    </row>
    <row r="327">
      <c r="A327" s="38" t="n">
        <v>34243</v>
      </c>
      <c r="B327" s="39">
        <f>VLOOKUP(Table8[[#This Row],[Month]],database!A:J,MATCH('Capacity Utilization'!$A$1,database!$A$1:$J$1,),)</f>
        <v/>
      </c>
      <c r="C327" s="68">
        <f>(VLOOKUP(A327,database!A:K,11,) - VLOOKUP(A315,database!A:K,11,))/VLOOKUP(A315,database!A:K,11,)</f>
        <v/>
      </c>
    </row>
    <row r="328">
      <c r="A328" s="38" t="n">
        <v>34274</v>
      </c>
      <c r="B328" s="39">
        <f>VLOOKUP(Table8[[#This Row],[Month]],database!A:J,MATCH('Capacity Utilization'!$A$1,database!$A$1:$J$1,),)</f>
        <v/>
      </c>
      <c r="C328" s="68">
        <f>(VLOOKUP(A328,database!A:K,11,) - VLOOKUP(A316,database!A:K,11,))/VLOOKUP(A316,database!A:K,11,)</f>
        <v/>
      </c>
    </row>
    <row r="329">
      <c r="A329" s="38" t="n">
        <v>34304</v>
      </c>
      <c r="B329" s="39">
        <f>VLOOKUP(Table8[[#This Row],[Month]],database!A:J,MATCH('Capacity Utilization'!$A$1,database!$A$1:$J$1,),)</f>
        <v/>
      </c>
      <c r="C329" s="68">
        <f>(VLOOKUP(A329,database!A:K,11,) - VLOOKUP(A317,database!A:K,11,))/VLOOKUP(A317,database!A:K,11,)</f>
        <v/>
      </c>
    </row>
    <row r="330">
      <c r="A330" s="38" t="n">
        <v>34335</v>
      </c>
      <c r="B330" s="39">
        <f>VLOOKUP(Table8[[#This Row],[Month]],database!A:J,MATCH('Capacity Utilization'!$A$1,database!$A$1:$J$1,),)</f>
        <v/>
      </c>
      <c r="C330" s="68">
        <f>(VLOOKUP(A330,database!A:K,11,) - VLOOKUP(A318,database!A:K,11,))/VLOOKUP(A318,database!A:K,11,)</f>
        <v/>
      </c>
    </row>
    <row r="331">
      <c r="A331" s="38" t="n">
        <v>34366</v>
      </c>
      <c r="B331" s="39">
        <f>VLOOKUP(Table8[[#This Row],[Month]],database!A:J,MATCH('Capacity Utilization'!$A$1,database!$A$1:$J$1,),)</f>
        <v/>
      </c>
      <c r="C331" s="68">
        <f>(VLOOKUP(A331,database!A:K,11,) - VLOOKUP(A319,database!A:K,11,))/VLOOKUP(A319,database!A:K,11,)</f>
        <v/>
      </c>
    </row>
    <row r="332">
      <c r="A332" s="38" t="n">
        <v>34394</v>
      </c>
      <c r="B332" s="39">
        <f>VLOOKUP(Table8[[#This Row],[Month]],database!A:J,MATCH('Capacity Utilization'!$A$1,database!$A$1:$J$1,),)</f>
        <v/>
      </c>
      <c r="C332" s="68">
        <f>(VLOOKUP(A332,database!A:K,11,) - VLOOKUP(A320,database!A:K,11,))/VLOOKUP(A320,database!A:K,11,)</f>
        <v/>
      </c>
    </row>
    <row r="333">
      <c r="A333" s="38" t="n">
        <v>34425</v>
      </c>
      <c r="B333" s="39">
        <f>VLOOKUP(Table8[[#This Row],[Month]],database!A:J,MATCH('Capacity Utilization'!$A$1,database!$A$1:$J$1,),)</f>
        <v/>
      </c>
      <c r="C333" s="68">
        <f>(VLOOKUP(A333,database!A:K,11,) - VLOOKUP(A321,database!A:K,11,))/VLOOKUP(A321,database!A:K,11,)</f>
        <v/>
      </c>
    </row>
    <row r="334">
      <c r="A334" s="38" t="n">
        <v>34455</v>
      </c>
      <c r="B334" s="39">
        <f>VLOOKUP(Table8[[#This Row],[Month]],database!A:J,MATCH('Capacity Utilization'!$A$1,database!$A$1:$J$1,),)</f>
        <v/>
      </c>
      <c r="C334" s="68">
        <f>(VLOOKUP(A334,database!A:K,11,) - VLOOKUP(A322,database!A:K,11,))/VLOOKUP(A322,database!A:K,11,)</f>
        <v/>
      </c>
    </row>
    <row r="335">
      <c r="A335" s="38" t="n">
        <v>34486</v>
      </c>
      <c r="B335" s="39">
        <f>VLOOKUP(Table8[[#This Row],[Month]],database!A:J,MATCH('Capacity Utilization'!$A$1,database!$A$1:$J$1,),)</f>
        <v/>
      </c>
      <c r="C335" s="68">
        <f>(VLOOKUP(A335,database!A:K,11,) - VLOOKUP(A323,database!A:K,11,))/VLOOKUP(A323,database!A:K,11,)</f>
        <v/>
      </c>
    </row>
    <row r="336">
      <c r="A336" s="38" t="n">
        <v>34516</v>
      </c>
      <c r="B336" s="39">
        <f>VLOOKUP(Table8[[#This Row],[Month]],database!A:J,MATCH('Capacity Utilization'!$A$1,database!$A$1:$J$1,),)</f>
        <v/>
      </c>
      <c r="C336" s="68">
        <f>(VLOOKUP(A336,database!A:K,11,) - VLOOKUP(A324,database!A:K,11,))/VLOOKUP(A324,database!A:K,11,)</f>
        <v/>
      </c>
    </row>
    <row r="337">
      <c r="A337" s="38" t="n">
        <v>34547</v>
      </c>
      <c r="B337" s="39">
        <f>VLOOKUP(Table8[[#This Row],[Month]],database!A:J,MATCH('Capacity Utilization'!$A$1,database!$A$1:$J$1,),)</f>
        <v/>
      </c>
      <c r="C337" s="68">
        <f>(VLOOKUP(A337,database!A:K,11,) - VLOOKUP(A325,database!A:K,11,))/VLOOKUP(A325,database!A:K,11,)</f>
        <v/>
      </c>
    </row>
    <row r="338">
      <c r="A338" s="38" t="n">
        <v>34578</v>
      </c>
      <c r="B338" s="39">
        <f>VLOOKUP(Table8[[#This Row],[Month]],database!A:J,MATCH('Capacity Utilization'!$A$1,database!$A$1:$J$1,),)</f>
        <v/>
      </c>
      <c r="C338" s="68">
        <f>(VLOOKUP(A338,database!A:K,11,) - VLOOKUP(A326,database!A:K,11,))/VLOOKUP(A326,database!A:K,11,)</f>
        <v/>
      </c>
    </row>
    <row r="339">
      <c r="A339" s="38" t="n">
        <v>34608</v>
      </c>
      <c r="B339" s="39">
        <f>VLOOKUP(Table8[[#This Row],[Month]],database!A:J,MATCH('Capacity Utilization'!$A$1,database!$A$1:$J$1,),)</f>
        <v/>
      </c>
      <c r="C339" s="68">
        <f>(VLOOKUP(A339,database!A:K,11,) - VLOOKUP(A327,database!A:K,11,))/VLOOKUP(A327,database!A:K,11,)</f>
        <v/>
      </c>
    </row>
    <row r="340">
      <c r="A340" s="38" t="n">
        <v>34639</v>
      </c>
      <c r="B340" s="39">
        <f>VLOOKUP(Table8[[#This Row],[Month]],database!A:J,MATCH('Capacity Utilization'!$A$1,database!$A$1:$J$1,),)</f>
        <v/>
      </c>
      <c r="C340" s="68">
        <f>(VLOOKUP(A340,database!A:K,11,) - VLOOKUP(A328,database!A:K,11,))/VLOOKUP(A328,database!A:K,11,)</f>
        <v/>
      </c>
    </row>
    <row r="341">
      <c r="A341" s="38" t="n">
        <v>34669</v>
      </c>
      <c r="B341" s="39">
        <f>VLOOKUP(Table8[[#This Row],[Month]],database!A:J,MATCH('Capacity Utilization'!$A$1,database!$A$1:$J$1,),)</f>
        <v/>
      </c>
      <c r="C341" s="68">
        <f>(VLOOKUP(A341,database!A:K,11,) - VLOOKUP(A329,database!A:K,11,))/VLOOKUP(A329,database!A:K,11,)</f>
        <v/>
      </c>
    </row>
    <row r="342">
      <c r="A342" s="38" t="n">
        <v>34700</v>
      </c>
      <c r="B342" s="39">
        <f>VLOOKUP(Table8[[#This Row],[Month]],database!A:J,MATCH('Capacity Utilization'!$A$1,database!$A$1:$J$1,),)</f>
        <v/>
      </c>
      <c r="C342" s="68">
        <f>(VLOOKUP(A342,database!A:K,11,) - VLOOKUP(A330,database!A:K,11,))/VLOOKUP(A330,database!A:K,11,)</f>
        <v/>
      </c>
    </row>
    <row r="343">
      <c r="A343" s="38" t="n">
        <v>34731</v>
      </c>
      <c r="B343" s="39">
        <f>VLOOKUP(Table8[[#This Row],[Month]],database!A:J,MATCH('Capacity Utilization'!$A$1,database!$A$1:$J$1,),)</f>
        <v/>
      </c>
      <c r="C343" s="68">
        <f>(VLOOKUP(A343,database!A:K,11,) - VLOOKUP(A331,database!A:K,11,))/VLOOKUP(A331,database!A:K,11,)</f>
        <v/>
      </c>
    </row>
    <row r="344">
      <c r="A344" s="38" t="n">
        <v>34759</v>
      </c>
      <c r="B344" s="39">
        <f>VLOOKUP(Table8[[#This Row],[Month]],database!A:J,MATCH('Capacity Utilization'!$A$1,database!$A$1:$J$1,),)</f>
        <v/>
      </c>
      <c r="C344" s="68">
        <f>(VLOOKUP(A344,database!A:K,11,) - VLOOKUP(A332,database!A:K,11,))/VLOOKUP(A332,database!A:K,11,)</f>
        <v/>
      </c>
    </row>
    <row r="345">
      <c r="A345" s="38" t="n">
        <v>34790</v>
      </c>
      <c r="B345" s="39">
        <f>VLOOKUP(Table8[[#This Row],[Month]],database!A:J,MATCH('Capacity Utilization'!$A$1,database!$A$1:$J$1,),)</f>
        <v/>
      </c>
      <c r="C345" s="68">
        <f>(VLOOKUP(A345,database!A:K,11,) - VLOOKUP(A333,database!A:K,11,))/VLOOKUP(A333,database!A:K,11,)</f>
        <v/>
      </c>
    </row>
    <row r="346">
      <c r="A346" s="38" t="n">
        <v>34820</v>
      </c>
      <c r="B346" s="39">
        <f>VLOOKUP(Table8[[#This Row],[Month]],database!A:J,MATCH('Capacity Utilization'!$A$1,database!$A$1:$J$1,),)</f>
        <v/>
      </c>
      <c r="C346" s="68">
        <f>(VLOOKUP(A346,database!A:K,11,) - VLOOKUP(A334,database!A:K,11,))/VLOOKUP(A334,database!A:K,11,)</f>
        <v/>
      </c>
    </row>
    <row r="347">
      <c r="A347" s="38" t="n">
        <v>34851</v>
      </c>
      <c r="B347" s="39">
        <f>VLOOKUP(Table8[[#This Row],[Month]],database!A:J,MATCH('Capacity Utilization'!$A$1,database!$A$1:$J$1,),)</f>
        <v/>
      </c>
      <c r="C347" s="68">
        <f>(VLOOKUP(A347,database!A:K,11,) - VLOOKUP(A335,database!A:K,11,))/VLOOKUP(A335,database!A:K,11,)</f>
        <v/>
      </c>
    </row>
    <row r="348">
      <c r="A348" s="38" t="n">
        <v>34881</v>
      </c>
      <c r="B348" s="39">
        <f>VLOOKUP(Table8[[#This Row],[Month]],database!A:J,MATCH('Capacity Utilization'!$A$1,database!$A$1:$J$1,),)</f>
        <v/>
      </c>
      <c r="C348" s="68">
        <f>(VLOOKUP(A348,database!A:K,11,) - VLOOKUP(A336,database!A:K,11,))/VLOOKUP(A336,database!A:K,11,)</f>
        <v/>
      </c>
    </row>
    <row r="349">
      <c r="A349" s="38" t="n">
        <v>34912</v>
      </c>
      <c r="B349" s="39">
        <f>VLOOKUP(Table8[[#This Row],[Month]],database!A:J,MATCH('Capacity Utilization'!$A$1,database!$A$1:$J$1,),)</f>
        <v/>
      </c>
      <c r="C349" s="68">
        <f>(VLOOKUP(A349,database!A:K,11,) - VLOOKUP(A337,database!A:K,11,))/VLOOKUP(A337,database!A:K,11,)</f>
        <v/>
      </c>
    </row>
    <row r="350">
      <c r="A350" s="38" t="n">
        <v>34943</v>
      </c>
      <c r="B350" s="39">
        <f>VLOOKUP(Table8[[#This Row],[Month]],database!A:J,MATCH('Capacity Utilization'!$A$1,database!$A$1:$J$1,),)</f>
        <v/>
      </c>
      <c r="C350" s="68">
        <f>(VLOOKUP(A350,database!A:K,11,) - VLOOKUP(A338,database!A:K,11,))/VLOOKUP(A338,database!A:K,11,)</f>
        <v/>
      </c>
    </row>
    <row r="351">
      <c r="A351" s="38" t="n">
        <v>34973</v>
      </c>
      <c r="B351" s="39">
        <f>VLOOKUP(Table8[[#This Row],[Month]],database!A:J,MATCH('Capacity Utilization'!$A$1,database!$A$1:$J$1,),)</f>
        <v/>
      </c>
      <c r="C351" s="68">
        <f>(VLOOKUP(A351,database!A:K,11,) - VLOOKUP(A339,database!A:K,11,))/VLOOKUP(A339,database!A:K,11,)</f>
        <v/>
      </c>
    </row>
    <row r="352">
      <c r="A352" s="38" t="n">
        <v>35004</v>
      </c>
      <c r="B352" s="39">
        <f>VLOOKUP(Table8[[#This Row],[Month]],database!A:J,MATCH('Capacity Utilization'!$A$1,database!$A$1:$J$1,),)</f>
        <v/>
      </c>
      <c r="C352" s="68">
        <f>(VLOOKUP(A352,database!A:K,11,) - VLOOKUP(A340,database!A:K,11,))/VLOOKUP(A340,database!A:K,11,)</f>
        <v/>
      </c>
    </row>
    <row r="353">
      <c r="A353" s="38" t="n">
        <v>35034</v>
      </c>
      <c r="B353" s="39">
        <f>VLOOKUP(Table8[[#This Row],[Month]],database!A:J,MATCH('Capacity Utilization'!$A$1,database!$A$1:$J$1,),)</f>
        <v/>
      </c>
      <c r="C353" s="68">
        <f>(VLOOKUP(A353,database!A:K,11,) - VLOOKUP(A341,database!A:K,11,))/VLOOKUP(A341,database!A:K,11,)</f>
        <v/>
      </c>
    </row>
    <row r="354">
      <c r="A354" s="38" t="n">
        <v>35065</v>
      </c>
      <c r="B354" s="39">
        <f>VLOOKUP(Table8[[#This Row],[Month]],database!A:J,MATCH('Capacity Utilization'!$A$1,database!$A$1:$J$1,),)</f>
        <v/>
      </c>
      <c r="C354" s="68">
        <f>(VLOOKUP(A354,database!A:K,11,) - VLOOKUP(A342,database!A:K,11,))/VLOOKUP(A342,database!A:K,11,)</f>
        <v/>
      </c>
    </row>
    <row r="355">
      <c r="A355" s="38" t="n">
        <v>35096</v>
      </c>
      <c r="B355" s="39">
        <f>VLOOKUP(Table8[[#This Row],[Month]],database!A:J,MATCH('Capacity Utilization'!$A$1,database!$A$1:$J$1,),)</f>
        <v/>
      </c>
      <c r="C355" s="68">
        <f>(VLOOKUP(A355,database!A:K,11,) - VLOOKUP(A343,database!A:K,11,))/VLOOKUP(A343,database!A:K,11,)</f>
        <v/>
      </c>
    </row>
    <row r="356">
      <c r="A356" s="38" t="n">
        <v>35125</v>
      </c>
      <c r="B356" s="39">
        <f>VLOOKUP(Table8[[#This Row],[Month]],database!A:J,MATCH('Capacity Utilization'!$A$1,database!$A$1:$J$1,),)</f>
        <v/>
      </c>
      <c r="C356" s="68">
        <f>(VLOOKUP(A356,database!A:K,11,) - VLOOKUP(A344,database!A:K,11,))/VLOOKUP(A344,database!A:K,11,)</f>
        <v/>
      </c>
    </row>
    <row r="357">
      <c r="A357" s="38" t="n">
        <v>35156</v>
      </c>
      <c r="B357" s="39">
        <f>VLOOKUP(Table8[[#This Row],[Month]],database!A:J,MATCH('Capacity Utilization'!$A$1,database!$A$1:$J$1,),)</f>
        <v/>
      </c>
      <c r="C357" s="68">
        <f>(VLOOKUP(A357,database!A:K,11,) - VLOOKUP(A345,database!A:K,11,))/VLOOKUP(A345,database!A:K,11,)</f>
        <v/>
      </c>
    </row>
    <row r="358">
      <c r="A358" s="38" t="n">
        <v>35186</v>
      </c>
      <c r="B358" s="39">
        <f>VLOOKUP(Table8[[#This Row],[Month]],database!A:J,MATCH('Capacity Utilization'!$A$1,database!$A$1:$J$1,),)</f>
        <v/>
      </c>
      <c r="C358" s="68">
        <f>(VLOOKUP(A358,database!A:K,11,) - VLOOKUP(A346,database!A:K,11,))/VLOOKUP(A346,database!A:K,11,)</f>
        <v/>
      </c>
    </row>
    <row r="359">
      <c r="A359" s="38" t="n">
        <v>35217</v>
      </c>
      <c r="B359" s="39">
        <f>VLOOKUP(Table8[[#This Row],[Month]],database!A:J,MATCH('Capacity Utilization'!$A$1,database!$A$1:$J$1,),)</f>
        <v/>
      </c>
      <c r="C359" s="68">
        <f>(VLOOKUP(A359,database!A:K,11,) - VLOOKUP(A347,database!A:K,11,))/VLOOKUP(A347,database!A:K,11,)</f>
        <v/>
      </c>
    </row>
    <row r="360">
      <c r="A360" s="38" t="n">
        <v>35247</v>
      </c>
      <c r="B360" s="39">
        <f>VLOOKUP(Table8[[#This Row],[Month]],database!A:J,MATCH('Capacity Utilization'!$A$1,database!$A$1:$J$1,),)</f>
        <v/>
      </c>
      <c r="C360" s="68">
        <f>(VLOOKUP(A360,database!A:K,11,) - VLOOKUP(A348,database!A:K,11,))/VLOOKUP(A348,database!A:K,11,)</f>
        <v/>
      </c>
    </row>
    <row r="361">
      <c r="A361" s="38" t="n">
        <v>35278</v>
      </c>
      <c r="B361" s="39">
        <f>VLOOKUP(Table8[[#This Row],[Month]],database!A:J,MATCH('Capacity Utilization'!$A$1,database!$A$1:$J$1,),)</f>
        <v/>
      </c>
      <c r="C361" s="68">
        <f>(VLOOKUP(A361,database!A:K,11,) - VLOOKUP(A349,database!A:K,11,))/VLOOKUP(A349,database!A:K,11,)</f>
        <v/>
      </c>
    </row>
    <row r="362">
      <c r="A362" s="38" t="n">
        <v>35309</v>
      </c>
      <c r="B362" s="39">
        <f>VLOOKUP(Table8[[#This Row],[Month]],database!A:J,MATCH('Capacity Utilization'!$A$1,database!$A$1:$J$1,),)</f>
        <v/>
      </c>
      <c r="C362" s="68">
        <f>(VLOOKUP(A362,database!A:K,11,) - VLOOKUP(A350,database!A:K,11,))/VLOOKUP(A350,database!A:K,11,)</f>
        <v/>
      </c>
    </row>
    <row r="363">
      <c r="A363" s="38" t="n">
        <v>35339</v>
      </c>
      <c r="B363" s="39">
        <f>VLOOKUP(Table8[[#This Row],[Month]],database!A:J,MATCH('Capacity Utilization'!$A$1,database!$A$1:$J$1,),)</f>
        <v/>
      </c>
      <c r="C363" s="68">
        <f>(VLOOKUP(A363,database!A:K,11,) - VLOOKUP(A351,database!A:K,11,))/VLOOKUP(A351,database!A:K,11,)</f>
        <v/>
      </c>
    </row>
    <row r="364">
      <c r="A364" s="38" t="n">
        <v>35370</v>
      </c>
      <c r="B364" s="39">
        <f>VLOOKUP(Table8[[#This Row],[Month]],database!A:J,MATCH('Capacity Utilization'!$A$1,database!$A$1:$J$1,),)</f>
        <v/>
      </c>
      <c r="C364" s="68">
        <f>(VLOOKUP(A364,database!A:K,11,) - VLOOKUP(A352,database!A:K,11,))/VLOOKUP(A352,database!A:K,11,)</f>
        <v/>
      </c>
    </row>
    <row r="365">
      <c r="A365" s="38" t="n">
        <v>35400</v>
      </c>
      <c r="B365" s="39">
        <f>VLOOKUP(Table8[[#This Row],[Month]],database!A:J,MATCH('Capacity Utilization'!$A$1,database!$A$1:$J$1,),)</f>
        <v/>
      </c>
      <c r="C365" s="68">
        <f>(VLOOKUP(A365,database!A:K,11,) - VLOOKUP(A353,database!A:K,11,))/VLOOKUP(A353,database!A:K,11,)</f>
        <v/>
      </c>
    </row>
    <row r="366">
      <c r="A366" s="38" t="n">
        <v>35431</v>
      </c>
      <c r="B366" s="39">
        <f>VLOOKUP(Table8[[#This Row],[Month]],database!A:J,MATCH('Capacity Utilization'!$A$1,database!$A$1:$J$1,),)</f>
        <v/>
      </c>
      <c r="C366" s="68">
        <f>(VLOOKUP(A366,database!A:K,11,) - VLOOKUP(A354,database!A:K,11,))/VLOOKUP(A354,database!A:K,11,)</f>
        <v/>
      </c>
    </row>
    <row r="367">
      <c r="A367" s="38" t="n">
        <v>35462</v>
      </c>
      <c r="B367" s="39">
        <f>VLOOKUP(Table8[[#This Row],[Month]],database!A:J,MATCH('Capacity Utilization'!$A$1,database!$A$1:$J$1,),)</f>
        <v/>
      </c>
      <c r="C367" s="68">
        <f>(VLOOKUP(A367,database!A:K,11,) - VLOOKUP(A355,database!A:K,11,))/VLOOKUP(A355,database!A:K,11,)</f>
        <v/>
      </c>
    </row>
    <row r="368">
      <c r="A368" s="38" t="n">
        <v>35490</v>
      </c>
      <c r="B368" s="39">
        <f>VLOOKUP(Table8[[#This Row],[Month]],database!A:J,MATCH('Capacity Utilization'!$A$1,database!$A$1:$J$1,),)</f>
        <v/>
      </c>
      <c r="C368" s="68">
        <f>(VLOOKUP(A368,database!A:K,11,) - VLOOKUP(A356,database!A:K,11,))/VLOOKUP(A356,database!A:K,11,)</f>
        <v/>
      </c>
    </row>
    <row r="369">
      <c r="A369" s="38" t="n">
        <v>35521</v>
      </c>
      <c r="B369" s="39">
        <f>VLOOKUP(Table8[[#This Row],[Month]],database!A:J,MATCH('Capacity Utilization'!$A$1,database!$A$1:$J$1,),)</f>
        <v/>
      </c>
      <c r="C369" s="68">
        <f>(VLOOKUP(A369,database!A:K,11,) - VLOOKUP(A357,database!A:K,11,))/VLOOKUP(A357,database!A:K,11,)</f>
        <v/>
      </c>
    </row>
    <row r="370">
      <c r="A370" s="38" t="n">
        <v>35551</v>
      </c>
      <c r="B370" s="39">
        <f>VLOOKUP(Table8[[#This Row],[Month]],database!A:J,MATCH('Capacity Utilization'!$A$1,database!$A$1:$J$1,),)</f>
        <v/>
      </c>
      <c r="C370" s="68">
        <f>(VLOOKUP(A370,database!A:K,11,) - VLOOKUP(A358,database!A:K,11,))/VLOOKUP(A358,database!A:K,11,)</f>
        <v/>
      </c>
    </row>
    <row r="371">
      <c r="A371" s="38" t="n">
        <v>35582</v>
      </c>
      <c r="B371" s="39">
        <f>VLOOKUP(Table8[[#This Row],[Month]],database!A:J,MATCH('Capacity Utilization'!$A$1,database!$A$1:$J$1,),)</f>
        <v/>
      </c>
      <c r="C371" s="68">
        <f>(VLOOKUP(A371,database!A:K,11,) - VLOOKUP(A359,database!A:K,11,))/VLOOKUP(A359,database!A:K,11,)</f>
        <v/>
      </c>
    </row>
    <row r="372">
      <c r="A372" s="38" t="n">
        <v>35612</v>
      </c>
      <c r="B372" s="39">
        <f>VLOOKUP(Table8[[#This Row],[Month]],database!A:J,MATCH('Capacity Utilization'!$A$1,database!$A$1:$J$1,),)</f>
        <v/>
      </c>
      <c r="C372" s="68">
        <f>(VLOOKUP(A372,database!A:K,11,) - VLOOKUP(A360,database!A:K,11,))/VLOOKUP(A360,database!A:K,11,)</f>
        <v/>
      </c>
    </row>
    <row r="373">
      <c r="A373" s="38" t="n">
        <v>35643</v>
      </c>
      <c r="B373" s="39">
        <f>VLOOKUP(Table8[[#This Row],[Month]],database!A:J,MATCH('Capacity Utilization'!$A$1,database!$A$1:$J$1,),)</f>
        <v/>
      </c>
      <c r="C373" s="68">
        <f>(VLOOKUP(A373,database!A:K,11,) - VLOOKUP(A361,database!A:K,11,))/VLOOKUP(A361,database!A:K,11,)</f>
        <v/>
      </c>
    </row>
    <row r="374">
      <c r="A374" s="38" t="n">
        <v>35674</v>
      </c>
      <c r="B374" s="39">
        <f>VLOOKUP(Table8[[#This Row],[Month]],database!A:J,MATCH('Capacity Utilization'!$A$1,database!$A$1:$J$1,),)</f>
        <v/>
      </c>
      <c r="C374" s="68">
        <f>(VLOOKUP(A374,database!A:K,11,) - VLOOKUP(A362,database!A:K,11,))/VLOOKUP(A362,database!A:K,11,)</f>
        <v/>
      </c>
    </row>
    <row r="375">
      <c r="A375" s="38" t="n">
        <v>35704</v>
      </c>
      <c r="B375" s="39">
        <f>VLOOKUP(Table8[[#This Row],[Month]],database!A:J,MATCH('Capacity Utilization'!$A$1,database!$A$1:$J$1,),)</f>
        <v/>
      </c>
      <c r="C375" s="68">
        <f>(VLOOKUP(A375,database!A:K,11,) - VLOOKUP(A363,database!A:K,11,))/VLOOKUP(A363,database!A:K,11,)</f>
        <v/>
      </c>
    </row>
    <row r="376">
      <c r="A376" s="38" t="n">
        <v>35735</v>
      </c>
      <c r="B376" s="39">
        <f>VLOOKUP(Table8[[#This Row],[Month]],database!A:J,MATCH('Capacity Utilization'!$A$1,database!$A$1:$J$1,),)</f>
        <v/>
      </c>
      <c r="C376" s="68">
        <f>(VLOOKUP(A376,database!A:K,11,) - VLOOKUP(A364,database!A:K,11,))/VLOOKUP(A364,database!A:K,11,)</f>
        <v/>
      </c>
    </row>
    <row r="377">
      <c r="A377" s="38" t="n">
        <v>35765</v>
      </c>
      <c r="B377" s="39">
        <f>VLOOKUP(Table8[[#This Row],[Month]],database!A:J,MATCH('Capacity Utilization'!$A$1,database!$A$1:$J$1,),)</f>
        <v/>
      </c>
      <c r="C377" s="68">
        <f>(VLOOKUP(A377,database!A:K,11,) - VLOOKUP(A365,database!A:K,11,))/VLOOKUP(A365,database!A:K,11,)</f>
        <v/>
      </c>
    </row>
    <row r="378">
      <c r="A378" s="38" t="n">
        <v>35796</v>
      </c>
      <c r="B378" s="39">
        <f>VLOOKUP(Table8[[#This Row],[Month]],database!A:J,MATCH('Capacity Utilization'!$A$1,database!$A$1:$J$1,),)</f>
        <v/>
      </c>
      <c r="C378" s="68">
        <f>(VLOOKUP(A378,database!A:K,11,) - VLOOKUP(A366,database!A:K,11,))/VLOOKUP(A366,database!A:K,11,)</f>
        <v/>
      </c>
    </row>
    <row r="379">
      <c r="A379" s="38" t="n">
        <v>35827</v>
      </c>
      <c r="B379" s="39">
        <f>VLOOKUP(Table8[[#This Row],[Month]],database!A:J,MATCH('Capacity Utilization'!$A$1,database!$A$1:$J$1,),)</f>
        <v/>
      </c>
      <c r="C379" s="68">
        <f>(VLOOKUP(A379,database!A:K,11,) - VLOOKUP(A367,database!A:K,11,))/VLOOKUP(A367,database!A:K,11,)</f>
        <v/>
      </c>
    </row>
    <row r="380">
      <c r="A380" s="38" t="n">
        <v>35855</v>
      </c>
      <c r="B380" s="39">
        <f>VLOOKUP(Table8[[#This Row],[Month]],database!A:J,MATCH('Capacity Utilization'!$A$1,database!$A$1:$J$1,),)</f>
        <v/>
      </c>
      <c r="C380" s="68">
        <f>(VLOOKUP(A380,database!A:K,11,) - VLOOKUP(A368,database!A:K,11,))/VLOOKUP(A368,database!A:K,11,)</f>
        <v/>
      </c>
    </row>
    <row r="381">
      <c r="A381" s="38" t="n">
        <v>35886</v>
      </c>
      <c r="B381" s="39">
        <f>VLOOKUP(Table8[[#This Row],[Month]],database!A:J,MATCH('Capacity Utilization'!$A$1,database!$A$1:$J$1,),)</f>
        <v/>
      </c>
      <c r="C381" s="68">
        <f>(VLOOKUP(A381,database!A:K,11,) - VLOOKUP(A369,database!A:K,11,))/VLOOKUP(A369,database!A:K,11,)</f>
        <v/>
      </c>
    </row>
    <row r="382">
      <c r="A382" s="38" t="n">
        <v>35916</v>
      </c>
      <c r="B382" s="39">
        <f>VLOOKUP(Table8[[#This Row],[Month]],database!A:J,MATCH('Capacity Utilization'!$A$1,database!$A$1:$J$1,),)</f>
        <v/>
      </c>
      <c r="C382" s="68">
        <f>(VLOOKUP(A382,database!A:K,11,) - VLOOKUP(A370,database!A:K,11,))/VLOOKUP(A370,database!A:K,11,)</f>
        <v/>
      </c>
    </row>
    <row r="383">
      <c r="A383" s="38" t="n">
        <v>35947</v>
      </c>
      <c r="B383" s="39">
        <f>VLOOKUP(Table8[[#This Row],[Month]],database!A:J,MATCH('Capacity Utilization'!$A$1,database!$A$1:$J$1,),)</f>
        <v/>
      </c>
      <c r="C383" s="68">
        <f>(VLOOKUP(A383,database!A:K,11,) - VLOOKUP(A371,database!A:K,11,))/VLOOKUP(A371,database!A:K,11,)</f>
        <v/>
      </c>
    </row>
    <row r="384">
      <c r="A384" s="38" t="n">
        <v>35977</v>
      </c>
      <c r="B384" s="39">
        <f>VLOOKUP(Table8[[#This Row],[Month]],database!A:J,MATCH('Capacity Utilization'!$A$1,database!$A$1:$J$1,),)</f>
        <v/>
      </c>
      <c r="C384" s="68">
        <f>(VLOOKUP(A384,database!A:K,11,) - VLOOKUP(A372,database!A:K,11,))/VLOOKUP(A372,database!A:K,11,)</f>
        <v/>
      </c>
    </row>
    <row r="385">
      <c r="A385" s="38" t="n">
        <v>36008</v>
      </c>
      <c r="B385" s="39">
        <f>VLOOKUP(Table8[[#This Row],[Month]],database!A:J,MATCH('Capacity Utilization'!$A$1,database!$A$1:$J$1,),)</f>
        <v/>
      </c>
      <c r="C385" s="68">
        <f>(VLOOKUP(A385,database!A:K,11,) - VLOOKUP(A373,database!A:K,11,))/VLOOKUP(A373,database!A:K,11,)</f>
        <v/>
      </c>
    </row>
    <row r="386">
      <c r="A386" s="38" t="n">
        <v>36039</v>
      </c>
      <c r="B386" s="39">
        <f>VLOOKUP(Table8[[#This Row],[Month]],database!A:J,MATCH('Capacity Utilization'!$A$1,database!$A$1:$J$1,),)</f>
        <v/>
      </c>
      <c r="C386" s="68">
        <f>(VLOOKUP(A386,database!A:K,11,) - VLOOKUP(A374,database!A:K,11,))/VLOOKUP(A374,database!A:K,11,)</f>
        <v/>
      </c>
    </row>
    <row r="387">
      <c r="A387" s="38" t="n">
        <v>36069</v>
      </c>
      <c r="B387" s="39">
        <f>VLOOKUP(Table8[[#This Row],[Month]],database!A:J,MATCH('Capacity Utilization'!$A$1,database!$A$1:$J$1,),)</f>
        <v/>
      </c>
      <c r="C387" s="68">
        <f>(VLOOKUP(A387,database!A:K,11,) - VLOOKUP(A375,database!A:K,11,))/VLOOKUP(A375,database!A:K,11,)</f>
        <v/>
      </c>
    </row>
    <row r="388">
      <c r="A388" s="38" t="n">
        <v>36100</v>
      </c>
      <c r="B388" s="39">
        <f>VLOOKUP(Table8[[#This Row],[Month]],database!A:J,MATCH('Capacity Utilization'!$A$1,database!$A$1:$J$1,),)</f>
        <v/>
      </c>
      <c r="C388" s="68">
        <f>(VLOOKUP(A388,database!A:K,11,) - VLOOKUP(A376,database!A:K,11,))/VLOOKUP(A376,database!A:K,11,)</f>
        <v/>
      </c>
    </row>
    <row r="389">
      <c r="A389" s="38" t="n">
        <v>36130</v>
      </c>
      <c r="B389" s="39">
        <f>VLOOKUP(Table8[[#This Row],[Month]],database!A:J,MATCH('Capacity Utilization'!$A$1,database!$A$1:$J$1,),)</f>
        <v/>
      </c>
      <c r="C389" s="68">
        <f>(VLOOKUP(A389,database!A:K,11,) - VLOOKUP(A377,database!A:K,11,))/VLOOKUP(A377,database!A:K,11,)</f>
        <v/>
      </c>
    </row>
    <row r="390">
      <c r="A390" s="38" t="n">
        <v>36161</v>
      </c>
      <c r="B390" s="39">
        <f>VLOOKUP(Table8[[#This Row],[Month]],database!A:J,MATCH('Capacity Utilization'!$A$1,database!$A$1:$J$1,),)</f>
        <v/>
      </c>
      <c r="C390" s="68">
        <f>(VLOOKUP(A390,database!A:K,11,) - VLOOKUP(A378,database!A:K,11,))/VLOOKUP(A378,database!A:K,11,)</f>
        <v/>
      </c>
    </row>
    <row r="391">
      <c r="A391" s="38" t="n">
        <v>36192</v>
      </c>
      <c r="B391" s="39">
        <f>VLOOKUP(Table8[[#This Row],[Month]],database!A:J,MATCH('Capacity Utilization'!$A$1,database!$A$1:$J$1,),)</f>
        <v/>
      </c>
      <c r="C391" s="68">
        <f>(VLOOKUP(A391,database!A:K,11,) - VLOOKUP(A379,database!A:K,11,))/VLOOKUP(A379,database!A:K,11,)</f>
        <v/>
      </c>
    </row>
    <row r="392">
      <c r="A392" s="38" t="n">
        <v>36220</v>
      </c>
      <c r="B392" s="39">
        <f>VLOOKUP(Table8[[#This Row],[Month]],database!A:J,MATCH('Capacity Utilization'!$A$1,database!$A$1:$J$1,),)</f>
        <v/>
      </c>
      <c r="C392" s="68">
        <f>(VLOOKUP(A392,database!A:K,11,) - VLOOKUP(A380,database!A:K,11,))/VLOOKUP(A380,database!A:K,11,)</f>
        <v/>
      </c>
    </row>
    <row r="393">
      <c r="A393" s="38" t="n">
        <v>36251</v>
      </c>
      <c r="B393" s="39">
        <f>VLOOKUP(Table8[[#This Row],[Month]],database!A:J,MATCH('Capacity Utilization'!$A$1,database!$A$1:$J$1,),)</f>
        <v/>
      </c>
      <c r="C393" s="68">
        <f>(VLOOKUP(A393,database!A:K,11,) - VLOOKUP(A381,database!A:K,11,))/VLOOKUP(A381,database!A:K,11,)</f>
        <v/>
      </c>
    </row>
    <row r="394">
      <c r="A394" s="38" t="n">
        <v>36281</v>
      </c>
      <c r="B394" s="39">
        <f>VLOOKUP(Table8[[#This Row],[Month]],database!A:J,MATCH('Capacity Utilization'!$A$1,database!$A$1:$J$1,),)</f>
        <v/>
      </c>
      <c r="C394" s="68">
        <f>(VLOOKUP(A394,database!A:K,11,) - VLOOKUP(A382,database!A:K,11,))/VLOOKUP(A382,database!A:K,11,)</f>
        <v/>
      </c>
    </row>
    <row r="395">
      <c r="A395" s="38" t="n">
        <v>36312</v>
      </c>
      <c r="B395" s="39">
        <f>VLOOKUP(Table8[[#This Row],[Month]],database!A:J,MATCH('Capacity Utilization'!$A$1,database!$A$1:$J$1,),)</f>
        <v/>
      </c>
      <c r="C395" s="68">
        <f>(VLOOKUP(A395,database!A:K,11,) - VLOOKUP(A383,database!A:K,11,))/VLOOKUP(A383,database!A:K,11,)</f>
        <v/>
      </c>
    </row>
    <row r="396">
      <c r="A396" s="38" t="n">
        <v>36342</v>
      </c>
      <c r="B396" s="39">
        <f>VLOOKUP(Table8[[#This Row],[Month]],database!A:J,MATCH('Capacity Utilization'!$A$1,database!$A$1:$J$1,),)</f>
        <v/>
      </c>
      <c r="C396" s="68">
        <f>(VLOOKUP(A396,database!A:K,11,) - VLOOKUP(A384,database!A:K,11,))/VLOOKUP(A384,database!A:K,11,)</f>
        <v/>
      </c>
    </row>
    <row r="397">
      <c r="A397" s="38" t="n">
        <v>36373</v>
      </c>
      <c r="B397" s="39">
        <f>VLOOKUP(Table8[[#This Row],[Month]],database!A:J,MATCH('Capacity Utilization'!$A$1,database!$A$1:$J$1,),)</f>
        <v/>
      </c>
      <c r="C397" s="68">
        <f>(VLOOKUP(A397,database!A:K,11,) - VLOOKUP(A385,database!A:K,11,))/VLOOKUP(A385,database!A:K,11,)</f>
        <v/>
      </c>
    </row>
    <row r="398">
      <c r="A398" s="38" t="n">
        <v>36404</v>
      </c>
      <c r="B398" s="39">
        <f>VLOOKUP(Table8[[#This Row],[Month]],database!A:J,MATCH('Capacity Utilization'!$A$1,database!$A$1:$J$1,),)</f>
        <v/>
      </c>
      <c r="C398" s="68">
        <f>(VLOOKUP(A398,database!A:K,11,) - VLOOKUP(A386,database!A:K,11,))/VLOOKUP(A386,database!A:K,11,)</f>
        <v/>
      </c>
    </row>
    <row r="399">
      <c r="A399" s="38" t="n">
        <v>36434</v>
      </c>
      <c r="B399" s="39">
        <f>VLOOKUP(Table8[[#This Row],[Month]],database!A:J,MATCH('Capacity Utilization'!$A$1,database!$A$1:$J$1,),)</f>
        <v/>
      </c>
      <c r="C399" s="68">
        <f>(VLOOKUP(A399,database!A:K,11,) - VLOOKUP(A387,database!A:K,11,))/VLOOKUP(A387,database!A:K,11,)</f>
        <v/>
      </c>
    </row>
    <row r="400">
      <c r="A400" s="38" t="n">
        <v>36465</v>
      </c>
      <c r="B400" s="39">
        <f>VLOOKUP(Table8[[#This Row],[Month]],database!A:J,MATCH('Capacity Utilization'!$A$1,database!$A$1:$J$1,),)</f>
        <v/>
      </c>
      <c r="C400" s="68">
        <f>(VLOOKUP(A400,database!A:K,11,) - VLOOKUP(A388,database!A:K,11,))/VLOOKUP(A388,database!A:K,11,)</f>
        <v/>
      </c>
    </row>
    <row r="401">
      <c r="A401" s="38" t="n">
        <v>36495</v>
      </c>
      <c r="B401" s="39">
        <f>VLOOKUP(Table8[[#This Row],[Month]],database!A:J,MATCH('Capacity Utilization'!$A$1,database!$A$1:$J$1,),)</f>
        <v/>
      </c>
      <c r="C401" s="68">
        <f>(VLOOKUP(A401,database!A:K,11,) - VLOOKUP(A389,database!A:K,11,))/VLOOKUP(A389,database!A:K,11,)</f>
        <v/>
      </c>
    </row>
    <row r="402">
      <c r="A402" s="38" t="n">
        <v>36526</v>
      </c>
      <c r="B402" s="39">
        <f>VLOOKUP(Table8[[#This Row],[Month]],database!A:J,MATCH('Capacity Utilization'!$A$1,database!$A$1:$J$1,),)</f>
        <v/>
      </c>
      <c r="C402" s="68">
        <f>(VLOOKUP(A402,database!A:K,11,) - VLOOKUP(A390,database!A:K,11,))/VLOOKUP(A390,database!A:K,11,)</f>
        <v/>
      </c>
    </row>
    <row r="403">
      <c r="A403" s="38" t="n">
        <v>36557</v>
      </c>
      <c r="B403" s="39">
        <f>VLOOKUP(Table8[[#This Row],[Month]],database!A:J,MATCH('Capacity Utilization'!$A$1,database!$A$1:$J$1,),)</f>
        <v/>
      </c>
      <c r="C403" s="68">
        <f>(VLOOKUP(A403,database!A:K,11,) - VLOOKUP(A391,database!A:K,11,))/VLOOKUP(A391,database!A:K,11,)</f>
        <v/>
      </c>
    </row>
    <row r="404">
      <c r="A404" s="38" t="n">
        <v>36586</v>
      </c>
      <c r="B404" s="39">
        <f>VLOOKUP(Table8[[#This Row],[Month]],database!A:J,MATCH('Capacity Utilization'!$A$1,database!$A$1:$J$1,),)</f>
        <v/>
      </c>
      <c r="C404" s="68">
        <f>(VLOOKUP(A404,database!A:K,11,) - VLOOKUP(A392,database!A:K,11,))/VLOOKUP(A392,database!A:K,11,)</f>
        <v/>
      </c>
    </row>
    <row r="405">
      <c r="A405" s="38" t="n">
        <v>36617</v>
      </c>
      <c r="B405" s="39">
        <f>VLOOKUP(Table8[[#This Row],[Month]],database!A:J,MATCH('Capacity Utilization'!$A$1,database!$A$1:$J$1,),)</f>
        <v/>
      </c>
      <c r="C405" s="68">
        <f>(VLOOKUP(A405,database!A:K,11,) - VLOOKUP(A393,database!A:K,11,))/VLOOKUP(A393,database!A:K,11,)</f>
        <v/>
      </c>
    </row>
    <row r="406">
      <c r="A406" s="38" t="n">
        <v>36647</v>
      </c>
      <c r="B406" s="39">
        <f>VLOOKUP(Table8[[#This Row],[Month]],database!A:J,MATCH('Capacity Utilization'!$A$1,database!$A$1:$J$1,),)</f>
        <v/>
      </c>
      <c r="C406" s="68">
        <f>(VLOOKUP(A406,database!A:K,11,) - VLOOKUP(A394,database!A:K,11,))/VLOOKUP(A394,database!A:K,11,)</f>
        <v/>
      </c>
    </row>
    <row r="407">
      <c r="A407" s="38" t="n">
        <v>36678</v>
      </c>
      <c r="B407" s="39">
        <f>VLOOKUP(Table8[[#This Row],[Month]],database!A:J,MATCH('Capacity Utilization'!$A$1,database!$A$1:$J$1,),)</f>
        <v/>
      </c>
      <c r="C407" s="68">
        <f>(VLOOKUP(A407,database!A:K,11,) - VLOOKUP(A395,database!A:K,11,))/VLOOKUP(A395,database!A:K,11,)</f>
        <v/>
      </c>
    </row>
    <row r="408">
      <c r="A408" s="38" t="n">
        <v>36708</v>
      </c>
      <c r="B408" s="39">
        <f>VLOOKUP(Table8[[#This Row],[Month]],database!A:J,MATCH('Capacity Utilization'!$A$1,database!$A$1:$J$1,),)</f>
        <v/>
      </c>
      <c r="C408" s="68">
        <f>(VLOOKUP(A408,database!A:K,11,) - VLOOKUP(A396,database!A:K,11,))/VLOOKUP(A396,database!A:K,11,)</f>
        <v/>
      </c>
    </row>
    <row r="409">
      <c r="A409" s="38" t="n">
        <v>36739</v>
      </c>
      <c r="B409" s="39">
        <f>VLOOKUP(Table8[[#This Row],[Month]],database!A:J,MATCH('Capacity Utilization'!$A$1,database!$A$1:$J$1,),)</f>
        <v/>
      </c>
      <c r="C409" s="68">
        <f>(VLOOKUP(A409,database!A:K,11,) - VLOOKUP(A397,database!A:K,11,))/VLOOKUP(A397,database!A:K,11,)</f>
        <v/>
      </c>
    </row>
    <row r="410">
      <c r="A410" s="38" t="n">
        <v>36770</v>
      </c>
      <c r="B410" s="39">
        <f>VLOOKUP(Table8[[#This Row],[Month]],database!A:J,MATCH('Capacity Utilization'!$A$1,database!$A$1:$J$1,),)</f>
        <v/>
      </c>
      <c r="C410" s="68">
        <f>(VLOOKUP(A410,database!A:K,11,) - VLOOKUP(A398,database!A:K,11,))/VLOOKUP(A398,database!A:K,11,)</f>
        <v/>
      </c>
    </row>
    <row r="411">
      <c r="A411" s="38" t="n">
        <v>36800</v>
      </c>
      <c r="B411" s="39">
        <f>VLOOKUP(Table8[[#This Row],[Month]],database!A:J,MATCH('Capacity Utilization'!$A$1,database!$A$1:$J$1,),)</f>
        <v/>
      </c>
      <c r="C411" s="68">
        <f>(VLOOKUP(A411,database!A:K,11,) - VLOOKUP(A399,database!A:K,11,))/VLOOKUP(A399,database!A:K,11,)</f>
        <v/>
      </c>
    </row>
    <row r="412">
      <c r="A412" s="38" t="n">
        <v>36831</v>
      </c>
      <c r="B412" s="39">
        <f>VLOOKUP(Table8[[#This Row],[Month]],database!A:J,MATCH('Capacity Utilization'!$A$1,database!$A$1:$J$1,),)</f>
        <v/>
      </c>
      <c r="C412" s="68">
        <f>(VLOOKUP(A412,database!A:K,11,) - VLOOKUP(A400,database!A:K,11,))/VLOOKUP(A400,database!A:K,11,)</f>
        <v/>
      </c>
    </row>
    <row r="413">
      <c r="A413" s="38" t="n">
        <v>36861</v>
      </c>
      <c r="B413" s="39">
        <f>VLOOKUP(Table8[[#This Row],[Month]],database!A:J,MATCH('Capacity Utilization'!$A$1,database!$A$1:$J$1,),)</f>
        <v/>
      </c>
      <c r="C413" s="68">
        <f>(VLOOKUP(A413,database!A:K,11,) - VLOOKUP(A401,database!A:K,11,))/VLOOKUP(A401,database!A:K,11,)</f>
        <v/>
      </c>
    </row>
    <row r="414">
      <c r="A414" s="38" t="n">
        <v>36892</v>
      </c>
      <c r="B414" s="39">
        <f>VLOOKUP(Table8[[#This Row],[Month]],database!A:J,MATCH('Capacity Utilization'!$A$1,database!$A$1:$J$1,),)</f>
        <v/>
      </c>
      <c r="C414" s="68">
        <f>(VLOOKUP(A414,database!A:K,11,) - VLOOKUP(A402,database!A:K,11,))/VLOOKUP(A402,database!A:K,11,)</f>
        <v/>
      </c>
    </row>
    <row r="415">
      <c r="A415" s="38" t="n">
        <v>36923</v>
      </c>
      <c r="B415" s="39">
        <f>VLOOKUP(Table8[[#This Row],[Month]],database!A:J,MATCH('Capacity Utilization'!$A$1,database!$A$1:$J$1,),)</f>
        <v/>
      </c>
      <c r="C415" s="68">
        <f>(VLOOKUP(A415,database!A:K,11,) - VLOOKUP(A403,database!A:K,11,))/VLOOKUP(A403,database!A:K,11,)</f>
        <v/>
      </c>
    </row>
    <row r="416">
      <c r="A416" s="38" t="n">
        <v>36951</v>
      </c>
      <c r="B416" s="39">
        <f>VLOOKUP(Table8[[#This Row],[Month]],database!A:J,MATCH('Capacity Utilization'!$A$1,database!$A$1:$J$1,),)</f>
        <v/>
      </c>
      <c r="C416" s="68">
        <f>(VLOOKUP(A416,database!A:K,11,) - VLOOKUP(A404,database!A:K,11,))/VLOOKUP(A404,database!A:K,11,)</f>
        <v/>
      </c>
    </row>
    <row r="417">
      <c r="A417" s="38" t="n">
        <v>36982</v>
      </c>
      <c r="B417" s="39">
        <f>VLOOKUP(Table8[[#This Row],[Month]],database!A:J,MATCH('Capacity Utilization'!$A$1,database!$A$1:$J$1,),)</f>
        <v/>
      </c>
      <c r="C417" s="68">
        <f>(VLOOKUP(A417,database!A:K,11,) - VLOOKUP(A405,database!A:K,11,))/VLOOKUP(A405,database!A:K,11,)</f>
        <v/>
      </c>
    </row>
    <row r="418">
      <c r="A418" s="38" t="n">
        <v>37012</v>
      </c>
      <c r="B418" s="39">
        <f>VLOOKUP(Table8[[#This Row],[Month]],database!A:J,MATCH('Capacity Utilization'!$A$1,database!$A$1:$J$1,),)</f>
        <v/>
      </c>
      <c r="C418" s="68">
        <f>(VLOOKUP(A418,database!A:K,11,) - VLOOKUP(A406,database!A:K,11,))/VLOOKUP(A406,database!A:K,11,)</f>
        <v/>
      </c>
    </row>
    <row r="419">
      <c r="A419" s="38" t="n">
        <v>37043</v>
      </c>
      <c r="B419" s="39">
        <f>VLOOKUP(Table8[[#This Row],[Month]],database!A:J,MATCH('Capacity Utilization'!$A$1,database!$A$1:$J$1,),)</f>
        <v/>
      </c>
      <c r="C419" s="68">
        <f>(VLOOKUP(A419,database!A:K,11,) - VLOOKUP(A407,database!A:K,11,))/VLOOKUP(A407,database!A:K,11,)</f>
        <v/>
      </c>
    </row>
    <row r="420">
      <c r="A420" s="38" t="n">
        <v>37073</v>
      </c>
      <c r="B420" s="39">
        <f>VLOOKUP(Table8[[#This Row],[Month]],database!A:J,MATCH('Capacity Utilization'!$A$1,database!$A$1:$J$1,),)</f>
        <v/>
      </c>
      <c r="C420" s="68">
        <f>(VLOOKUP(A420,database!A:K,11,) - VLOOKUP(A408,database!A:K,11,))/VLOOKUP(A408,database!A:K,11,)</f>
        <v/>
      </c>
    </row>
    <row r="421">
      <c r="A421" s="38" t="n">
        <v>37104</v>
      </c>
      <c r="B421" s="39">
        <f>VLOOKUP(Table8[[#This Row],[Month]],database!A:J,MATCH('Capacity Utilization'!$A$1,database!$A$1:$J$1,),)</f>
        <v/>
      </c>
      <c r="C421" s="68">
        <f>(VLOOKUP(A421,database!A:K,11,) - VLOOKUP(A409,database!A:K,11,))/VLOOKUP(A409,database!A:K,11,)</f>
        <v/>
      </c>
    </row>
    <row r="422">
      <c r="A422" s="38" t="n">
        <v>37135</v>
      </c>
      <c r="B422" s="39">
        <f>VLOOKUP(Table8[[#This Row],[Month]],database!A:J,MATCH('Capacity Utilization'!$A$1,database!$A$1:$J$1,),)</f>
        <v/>
      </c>
      <c r="C422" s="68">
        <f>(VLOOKUP(A422,database!A:K,11,) - VLOOKUP(A410,database!A:K,11,))/VLOOKUP(A410,database!A:K,11,)</f>
        <v/>
      </c>
    </row>
    <row r="423">
      <c r="A423" s="38" t="n">
        <v>37165</v>
      </c>
      <c r="B423" s="39">
        <f>VLOOKUP(Table8[[#This Row],[Month]],database!A:J,MATCH('Capacity Utilization'!$A$1,database!$A$1:$J$1,),)</f>
        <v/>
      </c>
      <c r="C423" s="68">
        <f>(VLOOKUP(A423,database!A:K,11,) - VLOOKUP(A411,database!A:K,11,))/VLOOKUP(A411,database!A:K,11,)</f>
        <v/>
      </c>
    </row>
    <row r="424">
      <c r="A424" s="38" t="n">
        <v>37196</v>
      </c>
      <c r="B424" s="39">
        <f>VLOOKUP(Table8[[#This Row],[Month]],database!A:J,MATCH('Capacity Utilization'!$A$1,database!$A$1:$J$1,),)</f>
        <v/>
      </c>
      <c r="C424" s="68">
        <f>(VLOOKUP(A424,database!A:K,11,) - VLOOKUP(A412,database!A:K,11,))/VLOOKUP(A412,database!A:K,11,)</f>
        <v/>
      </c>
    </row>
    <row r="425">
      <c r="A425" s="38" t="n">
        <v>37226</v>
      </c>
      <c r="B425" s="39">
        <f>VLOOKUP(Table8[[#This Row],[Month]],database!A:J,MATCH('Capacity Utilization'!$A$1,database!$A$1:$J$1,),)</f>
        <v/>
      </c>
      <c r="C425" s="68">
        <f>(VLOOKUP(A425,database!A:K,11,) - VLOOKUP(A413,database!A:K,11,))/VLOOKUP(A413,database!A:K,11,)</f>
        <v/>
      </c>
    </row>
    <row r="426">
      <c r="A426" s="38" t="n">
        <v>37257</v>
      </c>
      <c r="B426" s="39">
        <f>VLOOKUP(Table8[[#This Row],[Month]],database!A:J,MATCH('Capacity Utilization'!$A$1,database!$A$1:$J$1,),)</f>
        <v/>
      </c>
      <c r="C426" s="68">
        <f>(VLOOKUP(A426,database!A:K,11,) - VLOOKUP(A414,database!A:K,11,))/VLOOKUP(A414,database!A:K,11,)</f>
        <v/>
      </c>
    </row>
    <row r="427">
      <c r="A427" s="38" t="n">
        <v>37288</v>
      </c>
      <c r="B427" s="39">
        <f>VLOOKUP(Table8[[#This Row],[Month]],database!A:J,MATCH('Capacity Utilization'!$A$1,database!$A$1:$J$1,),)</f>
        <v/>
      </c>
      <c r="C427" s="68">
        <f>(VLOOKUP(A427,database!A:K,11,) - VLOOKUP(A415,database!A:K,11,))/VLOOKUP(A415,database!A:K,11,)</f>
        <v/>
      </c>
    </row>
    <row r="428">
      <c r="A428" s="38" t="n">
        <v>37316</v>
      </c>
      <c r="B428" s="39">
        <f>VLOOKUP(Table8[[#This Row],[Month]],database!A:J,MATCH('Capacity Utilization'!$A$1,database!$A$1:$J$1,),)</f>
        <v/>
      </c>
      <c r="C428" s="68">
        <f>(VLOOKUP(A428,database!A:K,11,) - VLOOKUP(A416,database!A:K,11,))/VLOOKUP(A416,database!A:K,11,)</f>
        <v/>
      </c>
    </row>
    <row r="429">
      <c r="A429" s="38" t="n">
        <v>37347</v>
      </c>
      <c r="B429" s="39">
        <f>VLOOKUP(Table8[[#This Row],[Month]],database!A:J,MATCH('Capacity Utilization'!$A$1,database!$A$1:$J$1,),)</f>
        <v/>
      </c>
      <c r="C429" s="68">
        <f>(VLOOKUP(A429,database!A:K,11,) - VLOOKUP(A417,database!A:K,11,))/VLOOKUP(A417,database!A:K,11,)</f>
        <v/>
      </c>
    </row>
    <row r="430">
      <c r="A430" s="38" t="n">
        <v>37377</v>
      </c>
      <c r="B430" s="39">
        <f>VLOOKUP(Table8[[#This Row],[Month]],database!A:J,MATCH('Capacity Utilization'!$A$1,database!$A$1:$J$1,),)</f>
        <v/>
      </c>
      <c r="C430" s="68">
        <f>(VLOOKUP(A430,database!A:K,11,) - VLOOKUP(A418,database!A:K,11,))/VLOOKUP(A418,database!A:K,11,)</f>
        <v/>
      </c>
    </row>
    <row r="431">
      <c r="A431" s="38" t="n">
        <v>37408</v>
      </c>
      <c r="B431" s="39">
        <f>VLOOKUP(Table8[[#This Row],[Month]],database!A:J,MATCH('Capacity Utilization'!$A$1,database!$A$1:$J$1,),)</f>
        <v/>
      </c>
      <c r="C431" s="68">
        <f>(VLOOKUP(A431,database!A:K,11,) - VLOOKUP(A419,database!A:K,11,))/VLOOKUP(A419,database!A:K,11,)</f>
        <v/>
      </c>
    </row>
    <row r="432">
      <c r="A432" s="38" t="n">
        <v>37438</v>
      </c>
      <c r="B432" s="39">
        <f>VLOOKUP(Table8[[#This Row],[Month]],database!A:J,MATCH('Capacity Utilization'!$A$1,database!$A$1:$J$1,),)</f>
        <v/>
      </c>
      <c r="C432" s="68">
        <f>(VLOOKUP(A432,database!A:K,11,) - VLOOKUP(A420,database!A:K,11,))/VLOOKUP(A420,database!A:K,11,)</f>
        <v/>
      </c>
    </row>
    <row r="433">
      <c r="A433" s="38" t="n">
        <v>37469</v>
      </c>
      <c r="B433" s="39">
        <f>VLOOKUP(Table8[[#This Row],[Month]],database!A:J,MATCH('Capacity Utilization'!$A$1,database!$A$1:$J$1,),)</f>
        <v/>
      </c>
      <c r="C433" s="68">
        <f>(VLOOKUP(A433,database!A:K,11,) - VLOOKUP(A421,database!A:K,11,))/VLOOKUP(A421,database!A:K,11,)</f>
        <v/>
      </c>
    </row>
    <row r="434">
      <c r="A434" s="38" t="n">
        <v>37500</v>
      </c>
      <c r="B434" s="39">
        <f>VLOOKUP(Table8[[#This Row],[Month]],database!A:J,MATCH('Capacity Utilization'!$A$1,database!$A$1:$J$1,),)</f>
        <v/>
      </c>
      <c r="C434" s="68">
        <f>(VLOOKUP(A434,database!A:K,11,) - VLOOKUP(A422,database!A:K,11,))/VLOOKUP(A422,database!A:K,11,)</f>
        <v/>
      </c>
    </row>
    <row r="435">
      <c r="A435" s="38" t="n">
        <v>37530</v>
      </c>
      <c r="B435" s="39">
        <f>VLOOKUP(Table8[[#This Row],[Month]],database!A:J,MATCH('Capacity Utilization'!$A$1,database!$A$1:$J$1,),)</f>
        <v/>
      </c>
      <c r="C435" s="68">
        <f>(VLOOKUP(A435,database!A:K,11,) - VLOOKUP(A423,database!A:K,11,))/VLOOKUP(A423,database!A:K,11,)</f>
        <v/>
      </c>
    </row>
    <row r="436">
      <c r="A436" s="38" t="n">
        <v>37561</v>
      </c>
      <c r="B436" s="39">
        <f>VLOOKUP(Table8[[#This Row],[Month]],database!A:J,MATCH('Capacity Utilization'!$A$1,database!$A$1:$J$1,),)</f>
        <v/>
      </c>
      <c r="C436" s="68">
        <f>(VLOOKUP(A436,database!A:K,11,) - VLOOKUP(A424,database!A:K,11,))/VLOOKUP(A424,database!A:K,11,)</f>
        <v/>
      </c>
    </row>
    <row r="437">
      <c r="A437" s="38" t="n">
        <v>37591</v>
      </c>
      <c r="B437" s="39">
        <f>VLOOKUP(Table8[[#This Row],[Month]],database!A:J,MATCH('Capacity Utilization'!$A$1,database!$A$1:$J$1,),)</f>
        <v/>
      </c>
      <c r="C437" s="68">
        <f>(VLOOKUP(A437,database!A:K,11,) - VLOOKUP(A425,database!A:K,11,))/VLOOKUP(A425,database!A:K,11,)</f>
        <v/>
      </c>
    </row>
    <row r="438">
      <c r="A438" s="38" t="n">
        <v>37622</v>
      </c>
      <c r="B438" s="39">
        <f>VLOOKUP(Table8[[#This Row],[Month]],database!A:J,MATCH('Capacity Utilization'!$A$1,database!$A$1:$J$1,),)</f>
        <v/>
      </c>
      <c r="C438" s="68">
        <f>(VLOOKUP(A438,database!A:K,11,) - VLOOKUP(A426,database!A:K,11,))/VLOOKUP(A426,database!A:K,11,)</f>
        <v/>
      </c>
    </row>
    <row r="439">
      <c r="A439" s="38" t="n">
        <v>37653</v>
      </c>
      <c r="B439" s="39">
        <f>VLOOKUP(Table8[[#This Row],[Month]],database!A:J,MATCH('Capacity Utilization'!$A$1,database!$A$1:$J$1,),)</f>
        <v/>
      </c>
      <c r="C439" s="68">
        <f>(VLOOKUP(A439,database!A:K,11,) - VLOOKUP(A427,database!A:K,11,))/VLOOKUP(A427,database!A:K,11,)</f>
        <v/>
      </c>
    </row>
    <row r="440">
      <c r="A440" s="38" t="n">
        <v>37681</v>
      </c>
      <c r="B440" s="39">
        <f>VLOOKUP(Table8[[#This Row],[Month]],database!A:J,MATCH('Capacity Utilization'!$A$1,database!$A$1:$J$1,),)</f>
        <v/>
      </c>
      <c r="C440" s="68">
        <f>(VLOOKUP(A440,database!A:K,11,) - VLOOKUP(A428,database!A:K,11,))/VLOOKUP(A428,database!A:K,11,)</f>
        <v/>
      </c>
    </row>
    <row r="441">
      <c r="A441" s="38" t="n">
        <v>37712</v>
      </c>
      <c r="B441" s="39">
        <f>VLOOKUP(Table8[[#This Row],[Month]],database!A:J,MATCH('Capacity Utilization'!$A$1,database!$A$1:$J$1,),)</f>
        <v/>
      </c>
      <c r="C441" s="68">
        <f>(VLOOKUP(A441,database!A:K,11,) - VLOOKUP(A429,database!A:K,11,))/VLOOKUP(A429,database!A:K,11,)</f>
        <v/>
      </c>
    </row>
    <row r="442">
      <c r="A442" s="38" t="n">
        <v>37742</v>
      </c>
      <c r="B442" s="39">
        <f>VLOOKUP(Table8[[#This Row],[Month]],database!A:J,MATCH('Capacity Utilization'!$A$1,database!$A$1:$J$1,),)</f>
        <v/>
      </c>
      <c r="C442" s="68">
        <f>(VLOOKUP(A442,database!A:K,11,) - VLOOKUP(A430,database!A:K,11,))/VLOOKUP(A430,database!A:K,11,)</f>
        <v/>
      </c>
    </row>
    <row r="443">
      <c r="A443" s="38" t="n">
        <v>37773</v>
      </c>
      <c r="B443" s="39">
        <f>VLOOKUP(Table8[[#This Row],[Month]],database!A:J,MATCH('Capacity Utilization'!$A$1,database!$A$1:$J$1,),)</f>
        <v/>
      </c>
      <c r="C443" s="68">
        <f>(VLOOKUP(A443,database!A:K,11,) - VLOOKUP(A431,database!A:K,11,))/VLOOKUP(A431,database!A:K,11,)</f>
        <v/>
      </c>
    </row>
    <row r="444">
      <c r="A444" s="38" t="n">
        <v>37803</v>
      </c>
      <c r="B444" s="39">
        <f>VLOOKUP(Table8[[#This Row],[Month]],database!A:J,MATCH('Capacity Utilization'!$A$1,database!$A$1:$J$1,),)</f>
        <v/>
      </c>
      <c r="C444" s="68">
        <f>(VLOOKUP(A444,database!A:K,11,) - VLOOKUP(A432,database!A:K,11,))/VLOOKUP(A432,database!A:K,11,)</f>
        <v/>
      </c>
    </row>
    <row r="445">
      <c r="A445" s="38" t="n">
        <v>37834</v>
      </c>
      <c r="B445" s="39">
        <f>VLOOKUP(Table8[[#This Row],[Month]],database!A:J,MATCH('Capacity Utilization'!$A$1,database!$A$1:$J$1,),)</f>
        <v/>
      </c>
      <c r="C445" s="68">
        <f>(VLOOKUP(A445,database!A:K,11,) - VLOOKUP(A433,database!A:K,11,))/VLOOKUP(A433,database!A:K,11,)</f>
        <v/>
      </c>
    </row>
    <row r="446">
      <c r="A446" s="38" t="n">
        <v>37865</v>
      </c>
      <c r="B446" s="39">
        <f>VLOOKUP(Table8[[#This Row],[Month]],database!A:J,MATCH('Capacity Utilization'!$A$1,database!$A$1:$J$1,),)</f>
        <v/>
      </c>
      <c r="C446" s="68">
        <f>(VLOOKUP(A446,database!A:K,11,) - VLOOKUP(A434,database!A:K,11,))/VLOOKUP(A434,database!A:K,11,)</f>
        <v/>
      </c>
    </row>
    <row r="447">
      <c r="A447" s="38" t="n">
        <v>37895</v>
      </c>
      <c r="B447" s="39">
        <f>VLOOKUP(Table8[[#This Row],[Month]],database!A:J,MATCH('Capacity Utilization'!$A$1,database!$A$1:$J$1,),)</f>
        <v/>
      </c>
      <c r="C447" s="68">
        <f>(VLOOKUP(A447,database!A:K,11,) - VLOOKUP(A435,database!A:K,11,))/VLOOKUP(A435,database!A:K,11,)</f>
        <v/>
      </c>
    </row>
    <row r="448">
      <c r="A448" s="38" t="n">
        <v>37926</v>
      </c>
      <c r="B448" s="39">
        <f>VLOOKUP(Table8[[#This Row],[Month]],database!A:J,MATCH('Capacity Utilization'!$A$1,database!$A$1:$J$1,),)</f>
        <v/>
      </c>
      <c r="C448" s="68">
        <f>(VLOOKUP(A448,database!A:K,11,) - VLOOKUP(A436,database!A:K,11,))/VLOOKUP(A436,database!A:K,11,)</f>
        <v/>
      </c>
    </row>
    <row r="449">
      <c r="A449" s="38" t="n">
        <v>37956</v>
      </c>
      <c r="B449" s="39">
        <f>VLOOKUP(Table8[[#This Row],[Month]],database!A:J,MATCH('Capacity Utilization'!$A$1,database!$A$1:$J$1,),)</f>
        <v/>
      </c>
      <c r="C449" s="68">
        <f>(VLOOKUP(A449,database!A:K,11,) - VLOOKUP(A437,database!A:K,11,))/VLOOKUP(A437,database!A:K,11,)</f>
        <v/>
      </c>
    </row>
    <row r="450">
      <c r="A450" s="38" t="n">
        <v>37987</v>
      </c>
      <c r="B450" s="39">
        <f>VLOOKUP(Table8[[#This Row],[Month]],database!A:J,MATCH('Capacity Utilization'!$A$1,database!$A$1:$J$1,),)</f>
        <v/>
      </c>
      <c r="C450" s="68">
        <f>(VLOOKUP(A450,database!A:K,11,) - VLOOKUP(A438,database!A:K,11,))/VLOOKUP(A438,database!A:K,11,)</f>
        <v/>
      </c>
    </row>
    <row r="451">
      <c r="A451" s="38" t="n">
        <v>38018</v>
      </c>
      <c r="B451" s="39">
        <f>VLOOKUP(Table8[[#This Row],[Month]],database!A:J,MATCH('Capacity Utilization'!$A$1,database!$A$1:$J$1,),)</f>
        <v/>
      </c>
      <c r="C451" s="68">
        <f>(VLOOKUP(A451,database!A:K,11,) - VLOOKUP(A439,database!A:K,11,))/VLOOKUP(A439,database!A:K,11,)</f>
        <v/>
      </c>
    </row>
    <row r="452">
      <c r="A452" s="38" t="n">
        <v>38047</v>
      </c>
      <c r="B452" s="39">
        <f>VLOOKUP(Table8[[#This Row],[Month]],database!A:J,MATCH('Capacity Utilization'!$A$1,database!$A$1:$J$1,),)</f>
        <v/>
      </c>
      <c r="C452" s="68">
        <f>(VLOOKUP(A452,database!A:K,11,) - VLOOKUP(A440,database!A:K,11,))/VLOOKUP(A440,database!A:K,11,)</f>
        <v/>
      </c>
    </row>
    <row r="453">
      <c r="A453" s="38" t="n">
        <v>38078</v>
      </c>
      <c r="B453" s="39">
        <f>VLOOKUP(Table8[[#This Row],[Month]],database!A:J,MATCH('Capacity Utilization'!$A$1,database!$A$1:$J$1,),)</f>
        <v/>
      </c>
      <c r="C453" s="68">
        <f>(VLOOKUP(A453,database!A:K,11,) - VLOOKUP(A441,database!A:K,11,))/VLOOKUP(A441,database!A:K,11,)</f>
        <v/>
      </c>
    </row>
    <row r="454">
      <c r="A454" s="38" t="n">
        <v>38108</v>
      </c>
      <c r="B454" s="39">
        <f>VLOOKUP(Table8[[#This Row],[Month]],database!A:J,MATCH('Capacity Utilization'!$A$1,database!$A$1:$J$1,),)</f>
        <v/>
      </c>
      <c r="C454" s="68">
        <f>(VLOOKUP(A454,database!A:K,11,) - VLOOKUP(A442,database!A:K,11,))/VLOOKUP(A442,database!A:K,11,)</f>
        <v/>
      </c>
    </row>
    <row r="455">
      <c r="A455" s="38" t="n">
        <v>38139</v>
      </c>
      <c r="B455" s="39">
        <f>VLOOKUP(Table8[[#This Row],[Month]],database!A:J,MATCH('Capacity Utilization'!$A$1,database!$A$1:$J$1,),)</f>
        <v/>
      </c>
      <c r="C455" s="68">
        <f>(VLOOKUP(A455,database!A:K,11,) - VLOOKUP(A443,database!A:K,11,))/VLOOKUP(A443,database!A:K,11,)</f>
        <v/>
      </c>
    </row>
    <row r="456">
      <c r="A456" s="38" t="n">
        <v>38169</v>
      </c>
      <c r="B456" s="39">
        <f>VLOOKUP(Table8[[#This Row],[Month]],database!A:J,MATCH('Capacity Utilization'!$A$1,database!$A$1:$J$1,),)</f>
        <v/>
      </c>
      <c r="C456" s="68">
        <f>(VLOOKUP(A456,database!A:K,11,) - VLOOKUP(A444,database!A:K,11,))/VLOOKUP(A444,database!A:K,11,)</f>
        <v/>
      </c>
    </row>
    <row r="457">
      <c r="A457" s="38" t="n">
        <v>38200</v>
      </c>
      <c r="B457" s="39">
        <f>VLOOKUP(Table8[[#This Row],[Month]],database!A:J,MATCH('Capacity Utilization'!$A$1,database!$A$1:$J$1,),)</f>
        <v/>
      </c>
      <c r="C457" s="68">
        <f>(VLOOKUP(A457,database!A:K,11,) - VLOOKUP(A445,database!A:K,11,))/VLOOKUP(A445,database!A:K,11,)</f>
        <v/>
      </c>
    </row>
    <row r="458">
      <c r="A458" s="38" t="n">
        <v>38231</v>
      </c>
      <c r="B458" s="39">
        <f>VLOOKUP(Table8[[#This Row],[Month]],database!A:J,MATCH('Capacity Utilization'!$A$1,database!$A$1:$J$1,),)</f>
        <v/>
      </c>
      <c r="C458" s="68">
        <f>(VLOOKUP(A458,database!A:K,11,) - VLOOKUP(A446,database!A:K,11,))/VLOOKUP(A446,database!A:K,11,)</f>
        <v/>
      </c>
    </row>
    <row r="459">
      <c r="A459" s="38" t="n">
        <v>38261</v>
      </c>
      <c r="B459" s="39">
        <f>VLOOKUP(Table8[[#This Row],[Month]],database!A:J,MATCH('Capacity Utilization'!$A$1,database!$A$1:$J$1,),)</f>
        <v/>
      </c>
      <c r="C459" s="68">
        <f>(VLOOKUP(A459,database!A:K,11,) - VLOOKUP(A447,database!A:K,11,))/VLOOKUP(A447,database!A:K,11,)</f>
        <v/>
      </c>
    </row>
    <row r="460">
      <c r="A460" s="38" t="n">
        <v>38292</v>
      </c>
      <c r="B460" s="39">
        <f>VLOOKUP(Table8[[#This Row],[Month]],database!A:J,MATCH('Capacity Utilization'!$A$1,database!$A$1:$J$1,),)</f>
        <v/>
      </c>
      <c r="C460" s="68">
        <f>(VLOOKUP(A460,database!A:K,11,) - VLOOKUP(A448,database!A:K,11,))/VLOOKUP(A448,database!A:K,11,)</f>
        <v/>
      </c>
    </row>
    <row r="461">
      <c r="A461" s="38" t="n">
        <v>38322</v>
      </c>
      <c r="B461" s="39">
        <f>VLOOKUP(Table8[[#This Row],[Month]],database!A:J,MATCH('Capacity Utilization'!$A$1,database!$A$1:$J$1,),)</f>
        <v/>
      </c>
      <c r="C461" s="68">
        <f>(VLOOKUP(A461,database!A:K,11,) - VLOOKUP(A449,database!A:K,11,))/VLOOKUP(A449,database!A:K,11,)</f>
        <v/>
      </c>
    </row>
    <row r="462">
      <c r="A462" s="38" t="n">
        <v>38353</v>
      </c>
      <c r="B462" s="39">
        <f>VLOOKUP(Table8[[#This Row],[Month]],database!A:J,MATCH('Capacity Utilization'!$A$1,database!$A$1:$J$1,),)</f>
        <v/>
      </c>
      <c r="C462" s="68">
        <f>(VLOOKUP(A462,database!A:K,11,) - VLOOKUP(A450,database!A:K,11,))/VLOOKUP(A450,database!A:K,11,)</f>
        <v/>
      </c>
    </row>
    <row r="463">
      <c r="A463" s="38" t="n">
        <v>38384</v>
      </c>
      <c r="B463" s="39">
        <f>VLOOKUP(Table8[[#This Row],[Month]],database!A:J,MATCH('Capacity Utilization'!$A$1,database!$A$1:$J$1,),)</f>
        <v/>
      </c>
      <c r="C463" s="68">
        <f>(VLOOKUP(A463,database!A:K,11,) - VLOOKUP(A451,database!A:K,11,))/VLOOKUP(A451,database!A:K,11,)</f>
        <v/>
      </c>
    </row>
    <row r="464">
      <c r="A464" s="38" t="n">
        <v>38412</v>
      </c>
      <c r="B464" s="39">
        <f>VLOOKUP(Table8[[#This Row],[Month]],database!A:J,MATCH('Capacity Utilization'!$A$1,database!$A$1:$J$1,),)</f>
        <v/>
      </c>
      <c r="C464" s="68">
        <f>(VLOOKUP(A464,database!A:K,11,) - VLOOKUP(A452,database!A:K,11,))/VLOOKUP(A452,database!A:K,11,)</f>
        <v/>
      </c>
    </row>
    <row r="465">
      <c r="A465" s="38" t="n">
        <v>38443</v>
      </c>
      <c r="B465" s="39">
        <f>VLOOKUP(Table8[[#This Row],[Month]],database!A:J,MATCH('Capacity Utilization'!$A$1,database!$A$1:$J$1,),)</f>
        <v/>
      </c>
      <c r="C465" s="68">
        <f>(VLOOKUP(A465,database!A:K,11,) - VLOOKUP(A453,database!A:K,11,))/VLOOKUP(A453,database!A:K,11,)</f>
        <v/>
      </c>
    </row>
    <row r="466">
      <c r="A466" s="38" t="n">
        <v>38473</v>
      </c>
      <c r="B466" s="39">
        <f>VLOOKUP(Table8[[#This Row],[Month]],database!A:J,MATCH('Capacity Utilization'!$A$1,database!$A$1:$J$1,),)</f>
        <v/>
      </c>
      <c r="C466" s="68">
        <f>(VLOOKUP(A466,database!A:K,11,) - VLOOKUP(A454,database!A:K,11,))/VLOOKUP(A454,database!A:K,11,)</f>
        <v/>
      </c>
    </row>
    <row r="467">
      <c r="A467" s="38" t="n">
        <v>38504</v>
      </c>
      <c r="B467" s="39">
        <f>VLOOKUP(Table8[[#This Row],[Month]],database!A:J,MATCH('Capacity Utilization'!$A$1,database!$A$1:$J$1,),)</f>
        <v/>
      </c>
      <c r="C467" s="68">
        <f>(VLOOKUP(A467,database!A:K,11,) - VLOOKUP(A455,database!A:K,11,))/VLOOKUP(A455,database!A:K,11,)</f>
        <v/>
      </c>
    </row>
    <row r="468">
      <c r="A468" s="38" t="n">
        <v>38534</v>
      </c>
      <c r="B468" s="39">
        <f>VLOOKUP(Table8[[#This Row],[Month]],database!A:J,MATCH('Capacity Utilization'!$A$1,database!$A$1:$J$1,),)</f>
        <v/>
      </c>
      <c r="C468" s="68">
        <f>(VLOOKUP(A468,database!A:K,11,) - VLOOKUP(A456,database!A:K,11,))/VLOOKUP(A456,database!A:K,11,)</f>
        <v/>
      </c>
    </row>
    <row r="469">
      <c r="A469" s="38" t="n">
        <v>38565</v>
      </c>
      <c r="B469" s="39">
        <f>VLOOKUP(Table8[[#This Row],[Month]],database!A:J,MATCH('Capacity Utilization'!$A$1,database!$A$1:$J$1,),)</f>
        <v/>
      </c>
      <c r="C469" s="68">
        <f>(VLOOKUP(A469,database!A:K,11,) - VLOOKUP(A457,database!A:K,11,))/VLOOKUP(A457,database!A:K,11,)</f>
        <v/>
      </c>
    </row>
    <row r="470">
      <c r="A470" s="38" t="n">
        <v>38596</v>
      </c>
      <c r="B470" s="39">
        <f>VLOOKUP(Table8[[#This Row],[Month]],database!A:J,MATCH('Capacity Utilization'!$A$1,database!$A$1:$J$1,),)</f>
        <v/>
      </c>
      <c r="C470" s="68">
        <f>(VLOOKUP(A470,database!A:K,11,) - VLOOKUP(A458,database!A:K,11,))/VLOOKUP(A458,database!A:K,11,)</f>
        <v/>
      </c>
    </row>
    <row r="471">
      <c r="A471" s="38" t="n">
        <v>38626</v>
      </c>
      <c r="B471" s="39">
        <f>VLOOKUP(Table8[[#This Row],[Month]],database!A:J,MATCH('Capacity Utilization'!$A$1,database!$A$1:$J$1,),)</f>
        <v/>
      </c>
      <c r="C471" s="68">
        <f>(VLOOKUP(A471,database!A:K,11,) - VLOOKUP(A459,database!A:K,11,))/VLOOKUP(A459,database!A:K,11,)</f>
        <v/>
      </c>
    </row>
    <row r="472">
      <c r="A472" s="38" t="n">
        <v>38657</v>
      </c>
      <c r="B472" s="39">
        <f>VLOOKUP(Table8[[#This Row],[Month]],database!A:J,MATCH('Capacity Utilization'!$A$1,database!$A$1:$J$1,),)</f>
        <v/>
      </c>
      <c r="C472" s="68">
        <f>(VLOOKUP(A472,database!A:K,11,) - VLOOKUP(A460,database!A:K,11,))/VLOOKUP(A460,database!A:K,11,)</f>
        <v/>
      </c>
    </row>
    <row r="473">
      <c r="A473" s="38" t="n">
        <v>38687</v>
      </c>
      <c r="B473" s="39">
        <f>VLOOKUP(Table8[[#This Row],[Month]],database!A:J,MATCH('Capacity Utilization'!$A$1,database!$A$1:$J$1,),)</f>
        <v/>
      </c>
      <c r="C473" s="68">
        <f>(VLOOKUP(A473,database!A:K,11,) - VLOOKUP(A461,database!A:K,11,))/VLOOKUP(A461,database!A:K,11,)</f>
        <v/>
      </c>
    </row>
    <row r="474">
      <c r="A474" s="38" t="n">
        <v>38718</v>
      </c>
      <c r="B474" s="39">
        <f>VLOOKUP(Table8[[#This Row],[Month]],database!A:J,MATCH('Capacity Utilization'!$A$1,database!$A$1:$J$1,),)</f>
        <v/>
      </c>
      <c r="C474" s="68">
        <f>(VLOOKUP(A474,database!A:K,11,) - VLOOKUP(A462,database!A:K,11,))/VLOOKUP(A462,database!A:K,11,)</f>
        <v/>
      </c>
    </row>
    <row r="475">
      <c r="A475" s="38" t="n">
        <v>38749</v>
      </c>
      <c r="B475" s="39">
        <f>VLOOKUP(Table8[[#This Row],[Month]],database!A:J,MATCH('Capacity Utilization'!$A$1,database!$A$1:$J$1,),)</f>
        <v/>
      </c>
      <c r="C475" s="68">
        <f>(VLOOKUP(A475,database!A:K,11,) - VLOOKUP(A463,database!A:K,11,))/VLOOKUP(A463,database!A:K,11,)</f>
        <v/>
      </c>
    </row>
    <row r="476">
      <c r="A476" s="38" t="n">
        <v>38777</v>
      </c>
      <c r="B476" s="39">
        <f>VLOOKUP(Table8[[#This Row],[Month]],database!A:J,MATCH('Capacity Utilization'!$A$1,database!$A$1:$J$1,),)</f>
        <v/>
      </c>
      <c r="C476" s="68">
        <f>(VLOOKUP(A476,database!A:K,11,) - VLOOKUP(A464,database!A:K,11,))/VLOOKUP(A464,database!A:K,11,)</f>
        <v/>
      </c>
    </row>
    <row r="477">
      <c r="A477" s="38" t="n">
        <v>38808</v>
      </c>
      <c r="B477" s="39">
        <f>VLOOKUP(Table8[[#This Row],[Month]],database!A:J,MATCH('Capacity Utilization'!$A$1,database!$A$1:$J$1,),)</f>
        <v/>
      </c>
      <c r="C477" s="68">
        <f>(VLOOKUP(A477,database!A:K,11,) - VLOOKUP(A465,database!A:K,11,))/VLOOKUP(A465,database!A:K,11,)</f>
        <v/>
      </c>
    </row>
    <row r="478">
      <c r="A478" s="38" t="n">
        <v>38838</v>
      </c>
      <c r="B478" s="39">
        <f>VLOOKUP(Table8[[#This Row],[Month]],database!A:J,MATCH('Capacity Utilization'!$A$1,database!$A$1:$J$1,),)</f>
        <v/>
      </c>
      <c r="C478" s="68">
        <f>(VLOOKUP(A478,database!A:K,11,) - VLOOKUP(A466,database!A:K,11,))/VLOOKUP(A466,database!A:K,11,)</f>
        <v/>
      </c>
    </row>
    <row r="479">
      <c r="A479" s="38" t="n">
        <v>38869</v>
      </c>
      <c r="B479" s="39">
        <f>VLOOKUP(Table8[[#This Row],[Month]],database!A:J,MATCH('Capacity Utilization'!$A$1,database!$A$1:$J$1,),)</f>
        <v/>
      </c>
      <c r="C479" s="68">
        <f>(VLOOKUP(A479,database!A:K,11,) - VLOOKUP(A467,database!A:K,11,))/VLOOKUP(A467,database!A:K,11,)</f>
        <v/>
      </c>
    </row>
    <row r="480">
      <c r="A480" s="38" t="n">
        <v>38899</v>
      </c>
      <c r="B480" s="39">
        <f>VLOOKUP(Table8[[#This Row],[Month]],database!A:J,MATCH('Capacity Utilization'!$A$1,database!$A$1:$J$1,),)</f>
        <v/>
      </c>
      <c r="C480" s="68">
        <f>(VLOOKUP(A480,database!A:K,11,) - VLOOKUP(A468,database!A:K,11,))/VLOOKUP(A468,database!A:K,11,)</f>
        <v/>
      </c>
    </row>
    <row r="481">
      <c r="A481" s="38" t="n">
        <v>38930</v>
      </c>
      <c r="B481" s="39">
        <f>VLOOKUP(Table8[[#This Row],[Month]],database!A:J,MATCH('Capacity Utilization'!$A$1,database!$A$1:$J$1,),)</f>
        <v/>
      </c>
      <c r="C481" s="68">
        <f>(VLOOKUP(A481,database!A:K,11,) - VLOOKUP(A469,database!A:K,11,))/VLOOKUP(A469,database!A:K,11,)</f>
        <v/>
      </c>
    </row>
    <row r="482">
      <c r="A482" s="38" t="n">
        <v>38961</v>
      </c>
      <c r="B482" s="39">
        <f>VLOOKUP(Table8[[#This Row],[Month]],database!A:J,MATCH('Capacity Utilization'!$A$1,database!$A$1:$J$1,),)</f>
        <v/>
      </c>
      <c r="C482" s="68">
        <f>(VLOOKUP(A482,database!A:K,11,) - VLOOKUP(A470,database!A:K,11,))/VLOOKUP(A470,database!A:K,11,)</f>
        <v/>
      </c>
    </row>
    <row r="483">
      <c r="A483" s="38" t="n">
        <v>38991</v>
      </c>
      <c r="B483" s="39">
        <f>VLOOKUP(Table8[[#This Row],[Month]],database!A:J,MATCH('Capacity Utilization'!$A$1,database!$A$1:$J$1,),)</f>
        <v/>
      </c>
      <c r="C483" s="68">
        <f>(VLOOKUP(A483,database!A:K,11,) - VLOOKUP(A471,database!A:K,11,))/VLOOKUP(A471,database!A:K,11,)</f>
        <v/>
      </c>
    </row>
    <row r="484">
      <c r="A484" s="38" t="n">
        <v>39022</v>
      </c>
      <c r="B484" s="39">
        <f>VLOOKUP(Table8[[#This Row],[Month]],database!A:J,MATCH('Capacity Utilization'!$A$1,database!$A$1:$J$1,),)</f>
        <v/>
      </c>
      <c r="C484" s="68">
        <f>(VLOOKUP(A484,database!A:K,11,) - VLOOKUP(A472,database!A:K,11,))/VLOOKUP(A472,database!A:K,11,)</f>
        <v/>
      </c>
    </row>
    <row r="485">
      <c r="A485" s="38" t="n">
        <v>39052</v>
      </c>
      <c r="B485" s="39">
        <f>VLOOKUP(Table8[[#This Row],[Month]],database!A:J,MATCH('Capacity Utilization'!$A$1,database!$A$1:$J$1,),)</f>
        <v/>
      </c>
      <c r="C485" s="68">
        <f>(VLOOKUP(A485,database!A:K,11,) - VLOOKUP(A473,database!A:K,11,))/VLOOKUP(A473,database!A:K,11,)</f>
        <v/>
      </c>
    </row>
    <row r="486">
      <c r="A486" s="38" t="n">
        <v>39083</v>
      </c>
      <c r="B486" s="39">
        <f>VLOOKUP(Table8[[#This Row],[Month]],database!A:J,MATCH('Capacity Utilization'!$A$1,database!$A$1:$J$1,),)</f>
        <v/>
      </c>
      <c r="C486" s="68">
        <f>(VLOOKUP(A486,database!A:K,11,) - VLOOKUP(A474,database!A:K,11,))/VLOOKUP(A474,database!A:K,11,)</f>
        <v/>
      </c>
    </row>
    <row r="487">
      <c r="A487" s="38" t="n">
        <v>39114</v>
      </c>
      <c r="B487" s="39">
        <f>VLOOKUP(Table8[[#This Row],[Month]],database!A:J,MATCH('Capacity Utilization'!$A$1,database!$A$1:$J$1,),)</f>
        <v/>
      </c>
      <c r="C487" s="68">
        <f>(VLOOKUP(A487,database!A:K,11,) - VLOOKUP(A475,database!A:K,11,))/VLOOKUP(A475,database!A:K,11,)</f>
        <v/>
      </c>
    </row>
    <row r="488">
      <c r="A488" s="38" t="n">
        <v>39142</v>
      </c>
      <c r="B488" s="39">
        <f>VLOOKUP(Table8[[#This Row],[Month]],database!A:J,MATCH('Capacity Utilization'!$A$1,database!$A$1:$J$1,),)</f>
        <v/>
      </c>
      <c r="C488" s="68">
        <f>(VLOOKUP(A488,database!A:K,11,) - VLOOKUP(A476,database!A:K,11,))/VLOOKUP(A476,database!A:K,11,)</f>
        <v/>
      </c>
    </row>
    <row r="489">
      <c r="A489" s="38" t="n">
        <v>39173</v>
      </c>
      <c r="B489" s="39">
        <f>VLOOKUP(Table8[[#This Row],[Month]],database!A:J,MATCH('Capacity Utilization'!$A$1,database!$A$1:$J$1,),)</f>
        <v/>
      </c>
      <c r="C489" s="68">
        <f>(VLOOKUP(A489,database!A:K,11,) - VLOOKUP(A477,database!A:K,11,))/VLOOKUP(A477,database!A:K,11,)</f>
        <v/>
      </c>
    </row>
    <row r="490">
      <c r="A490" s="38" t="n">
        <v>39203</v>
      </c>
      <c r="B490" s="39">
        <f>VLOOKUP(Table8[[#This Row],[Month]],database!A:J,MATCH('Capacity Utilization'!$A$1,database!$A$1:$J$1,),)</f>
        <v/>
      </c>
      <c r="C490" s="68">
        <f>(VLOOKUP(A490,database!A:K,11,) - VLOOKUP(A478,database!A:K,11,))/VLOOKUP(A478,database!A:K,11,)</f>
        <v/>
      </c>
    </row>
    <row r="491">
      <c r="A491" s="38" t="n">
        <v>39234</v>
      </c>
      <c r="B491" s="39">
        <f>VLOOKUP(Table8[[#This Row],[Month]],database!A:J,MATCH('Capacity Utilization'!$A$1,database!$A$1:$J$1,),)</f>
        <v/>
      </c>
      <c r="C491" s="68">
        <f>(VLOOKUP(A491,database!A:K,11,) - VLOOKUP(A479,database!A:K,11,))/VLOOKUP(A479,database!A:K,11,)</f>
        <v/>
      </c>
    </row>
    <row r="492">
      <c r="A492" s="38" t="n">
        <v>39264</v>
      </c>
      <c r="B492" s="39">
        <f>VLOOKUP(Table8[[#This Row],[Month]],database!A:J,MATCH('Capacity Utilization'!$A$1,database!$A$1:$J$1,),)</f>
        <v/>
      </c>
      <c r="C492" s="68">
        <f>(VLOOKUP(A492,database!A:K,11,) - VLOOKUP(A480,database!A:K,11,))/VLOOKUP(A480,database!A:K,11,)</f>
        <v/>
      </c>
    </row>
    <row r="493">
      <c r="A493" s="38" t="n">
        <v>39295</v>
      </c>
      <c r="B493" s="39">
        <f>VLOOKUP(Table8[[#This Row],[Month]],database!A:J,MATCH('Capacity Utilization'!$A$1,database!$A$1:$J$1,),)</f>
        <v/>
      </c>
      <c r="C493" s="68">
        <f>(VLOOKUP(A493,database!A:K,11,) - VLOOKUP(A481,database!A:K,11,))/VLOOKUP(A481,database!A:K,11,)</f>
        <v/>
      </c>
    </row>
    <row r="494">
      <c r="A494" s="38" t="n">
        <v>39326</v>
      </c>
      <c r="B494" s="39">
        <f>VLOOKUP(Table8[[#This Row],[Month]],database!A:J,MATCH('Capacity Utilization'!$A$1,database!$A$1:$J$1,),)</f>
        <v/>
      </c>
      <c r="C494" s="68">
        <f>(VLOOKUP(A494,database!A:K,11,) - VLOOKUP(A482,database!A:K,11,))/VLOOKUP(A482,database!A:K,11,)</f>
        <v/>
      </c>
    </row>
    <row r="495">
      <c r="A495" s="38" t="n">
        <v>39356</v>
      </c>
      <c r="B495" s="39">
        <f>VLOOKUP(Table8[[#This Row],[Month]],database!A:J,MATCH('Capacity Utilization'!$A$1,database!$A$1:$J$1,),)</f>
        <v/>
      </c>
      <c r="C495" s="68">
        <f>(VLOOKUP(A495,database!A:K,11,) - VLOOKUP(A483,database!A:K,11,))/VLOOKUP(A483,database!A:K,11,)</f>
        <v/>
      </c>
    </row>
    <row r="496">
      <c r="A496" s="38" t="n">
        <v>39387</v>
      </c>
      <c r="B496" s="39">
        <f>VLOOKUP(Table8[[#This Row],[Month]],database!A:J,MATCH('Capacity Utilization'!$A$1,database!$A$1:$J$1,),)</f>
        <v/>
      </c>
      <c r="C496" s="68">
        <f>(VLOOKUP(A496,database!A:K,11,) - VLOOKUP(A484,database!A:K,11,))/VLOOKUP(A484,database!A:K,11,)</f>
        <v/>
      </c>
    </row>
    <row r="497">
      <c r="A497" s="38" t="n">
        <v>39417</v>
      </c>
      <c r="B497" s="39">
        <f>VLOOKUP(Table8[[#This Row],[Month]],database!A:J,MATCH('Capacity Utilization'!$A$1,database!$A$1:$J$1,),)</f>
        <v/>
      </c>
      <c r="C497" s="68">
        <f>(VLOOKUP(A497,database!A:K,11,) - VLOOKUP(A485,database!A:K,11,))/VLOOKUP(A485,database!A:K,11,)</f>
        <v/>
      </c>
    </row>
    <row r="498">
      <c r="A498" s="38" t="n">
        <v>39448</v>
      </c>
      <c r="B498" s="39">
        <f>VLOOKUP(Table8[[#This Row],[Month]],database!A:J,MATCH('Capacity Utilization'!$A$1,database!$A$1:$J$1,),)</f>
        <v/>
      </c>
      <c r="C498" s="68">
        <f>(VLOOKUP(A498,database!A:K,11,) - VLOOKUP(A486,database!A:K,11,))/VLOOKUP(A486,database!A:K,11,)</f>
        <v/>
      </c>
    </row>
    <row r="499">
      <c r="A499" s="38" t="n">
        <v>39479</v>
      </c>
      <c r="B499" s="39">
        <f>VLOOKUP(Table8[[#This Row],[Month]],database!A:J,MATCH('Capacity Utilization'!$A$1,database!$A$1:$J$1,),)</f>
        <v/>
      </c>
      <c r="C499" s="68">
        <f>(VLOOKUP(A499,database!A:K,11,) - VLOOKUP(A487,database!A:K,11,))/VLOOKUP(A487,database!A:K,11,)</f>
        <v/>
      </c>
    </row>
    <row r="500">
      <c r="A500" s="38" t="n">
        <v>39508</v>
      </c>
      <c r="B500" s="39">
        <f>VLOOKUP(Table8[[#This Row],[Month]],database!A:J,MATCH('Capacity Utilization'!$A$1,database!$A$1:$J$1,),)</f>
        <v/>
      </c>
      <c r="C500" s="68">
        <f>(VLOOKUP(A500,database!A:K,11,) - VLOOKUP(A488,database!A:K,11,))/VLOOKUP(A488,database!A:K,11,)</f>
        <v/>
      </c>
    </row>
    <row r="501">
      <c r="A501" s="38" t="n">
        <v>39539</v>
      </c>
      <c r="B501" s="39">
        <f>VLOOKUP(Table8[[#This Row],[Month]],database!A:J,MATCH('Capacity Utilization'!$A$1,database!$A$1:$J$1,),)</f>
        <v/>
      </c>
      <c r="C501" s="68">
        <f>(VLOOKUP(A501,database!A:K,11,) - VLOOKUP(A489,database!A:K,11,))/VLOOKUP(A489,database!A:K,11,)</f>
        <v/>
      </c>
    </row>
    <row r="502">
      <c r="A502" s="38" t="n">
        <v>39569</v>
      </c>
      <c r="B502" s="39">
        <f>VLOOKUP(Table8[[#This Row],[Month]],database!A:J,MATCH('Capacity Utilization'!$A$1,database!$A$1:$J$1,),)</f>
        <v/>
      </c>
      <c r="C502" s="68">
        <f>(VLOOKUP(A502,database!A:K,11,) - VLOOKUP(A490,database!A:K,11,))/VLOOKUP(A490,database!A:K,11,)</f>
        <v/>
      </c>
    </row>
    <row r="503">
      <c r="A503" s="38" t="n">
        <v>39600</v>
      </c>
      <c r="B503" s="39">
        <f>VLOOKUP(Table8[[#This Row],[Month]],database!A:J,MATCH('Capacity Utilization'!$A$1,database!$A$1:$J$1,),)</f>
        <v/>
      </c>
      <c r="C503" s="68">
        <f>(VLOOKUP(A503,database!A:K,11,) - VLOOKUP(A491,database!A:K,11,))/VLOOKUP(A491,database!A:K,11,)</f>
        <v/>
      </c>
    </row>
    <row r="504">
      <c r="A504" s="38" t="n">
        <v>39630</v>
      </c>
      <c r="B504" s="39">
        <f>VLOOKUP(Table8[[#This Row],[Month]],database!A:J,MATCH('Capacity Utilization'!$A$1,database!$A$1:$J$1,),)</f>
        <v/>
      </c>
      <c r="C504" s="68">
        <f>(VLOOKUP(A504,database!A:K,11,) - VLOOKUP(A492,database!A:K,11,))/VLOOKUP(A492,database!A:K,11,)</f>
        <v/>
      </c>
    </row>
    <row r="505">
      <c r="A505" s="38" t="n">
        <v>39661</v>
      </c>
      <c r="B505" s="39">
        <f>VLOOKUP(Table8[[#This Row],[Month]],database!A:J,MATCH('Capacity Utilization'!$A$1,database!$A$1:$J$1,),)</f>
        <v/>
      </c>
      <c r="C505" s="68">
        <f>(VLOOKUP(A505,database!A:K,11,) - VLOOKUP(A493,database!A:K,11,))/VLOOKUP(A493,database!A:K,11,)</f>
        <v/>
      </c>
    </row>
    <row r="506">
      <c r="A506" s="38" t="n">
        <v>39692</v>
      </c>
      <c r="B506" s="39">
        <f>VLOOKUP(Table8[[#This Row],[Month]],database!A:J,MATCH('Capacity Utilization'!$A$1,database!$A$1:$J$1,),)</f>
        <v/>
      </c>
      <c r="C506" s="68">
        <f>(VLOOKUP(A506,database!A:K,11,) - VLOOKUP(A494,database!A:K,11,))/VLOOKUP(A494,database!A:K,11,)</f>
        <v/>
      </c>
    </row>
    <row r="507">
      <c r="A507" s="38" t="n">
        <v>39722</v>
      </c>
      <c r="B507" s="39">
        <f>VLOOKUP(Table8[[#This Row],[Month]],database!A:J,MATCH('Capacity Utilization'!$A$1,database!$A$1:$J$1,),)</f>
        <v/>
      </c>
      <c r="C507" s="68">
        <f>(VLOOKUP(A507,database!A:K,11,) - VLOOKUP(A495,database!A:K,11,))/VLOOKUP(A495,database!A:K,11,)</f>
        <v/>
      </c>
    </row>
    <row r="508">
      <c r="A508" s="38" t="n">
        <v>39753</v>
      </c>
      <c r="B508" s="39">
        <f>VLOOKUP(Table8[[#This Row],[Month]],database!A:J,MATCH('Capacity Utilization'!$A$1,database!$A$1:$J$1,),)</f>
        <v/>
      </c>
      <c r="C508" s="68">
        <f>(VLOOKUP(A508,database!A:K,11,) - VLOOKUP(A496,database!A:K,11,))/VLOOKUP(A496,database!A:K,11,)</f>
        <v/>
      </c>
    </row>
    <row r="509">
      <c r="A509" s="38" t="n">
        <v>39783</v>
      </c>
      <c r="B509" s="39">
        <f>VLOOKUP(Table8[[#This Row],[Month]],database!A:J,MATCH('Capacity Utilization'!$A$1,database!$A$1:$J$1,),)</f>
        <v/>
      </c>
      <c r="C509" s="68">
        <f>(VLOOKUP(A509,database!A:K,11,) - VLOOKUP(A497,database!A:K,11,))/VLOOKUP(A497,database!A:K,11,)</f>
        <v/>
      </c>
    </row>
    <row r="510">
      <c r="A510" s="38" t="n">
        <v>39814</v>
      </c>
      <c r="B510" s="39">
        <f>VLOOKUP(Table8[[#This Row],[Month]],database!A:J,MATCH('Capacity Utilization'!$A$1,database!$A$1:$J$1,),)</f>
        <v/>
      </c>
      <c r="C510" s="68">
        <f>(VLOOKUP(A510,database!A:K,11,) - VLOOKUP(A498,database!A:K,11,))/VLOOKUP(A498,database!A:K,11,)</f>
        <v/>
      </c>
    </row>
    <row r="511">
      <c r="A511" s="38" t="n">
        <v>39845</v>
      </c>
      <c r="B511" s="39">
        <f>VLOOKUP(Table8[[#This Row],[Month]],database!A:J,MATCH('Capacity Utilization'!$A$1,database!$A$1:$J$1,),)</f>
        <v/>
      </c>
      <c r="C511" s="68">
        <f>(VLOOKUP(A511,database!A:K,11,) - VLOOKUP(A499,database!A:K,11,))/VLOOKUP(A499,database!A:K,11,)</f>
        <v/>
      </c>
    </row>
    <row r="512">
      <c r="A512" s="38" t="n">
        <v>39873</v>
      </c>
      <c r="B512" s="39">
        <f>VLOOKUP(Table8[[#This Row],[Month]],database!A:J,MATCH('Capacity Utilization'!$A$1,database!$A$1:$J$1,),)</f>
        <v/>
      </c>
      <c r="C512" s="68">
        <f>(VLOOKUP(A512,database!A:K,11,) - VLOOKUP(A500,database!A:K,11,))/VLOOKUP(A500,database!A:K,11,)</f>
        <v/>
      </c>
    </row>
    <row r="513">
      <c r="A513" s="38" t="n">
        <v>39904</v>
      </c>
      <c r="B513" s="39">
        <f>VLOOKUP(Table8[[#This Row],[Month]],database!A:J,MATCH('Capacity Utilization'!$A$1,database!$A$1:$J$1,),)</f>
        <v/>
      </c>
      <c r="C513" s="68">
        <f>(VLOOKUP(A513,database!A:K,11,) - VLOOKUP(A501,database!A:K,11,))/VLOOKUP(A501,database!A:K,11,)</f>
        <v/>
      </c>
    </row>
    <row r="514">
      <c r="A514" s="38" t="n">
        <v>39934</v>
      </c>
      <c r="B514" s="39">
        <f>VLOOKUP(Table8[[#This Row],[Month]],database!A:J,MATCH('Capacity Utilization'!$A$1,database!$A$1:$J$1,),)</f>
        <v/>
      </c>
      <c r="C514" s="68">
        <f>(VLOOKUP(A514,database!A:K,11,) - VLOOKUP(A502,database!A:K,11,))/VLOOKUP(A502,database!A:K,11,)</f>
        <v/>
      </c>
    </row>
    <row r="515">
      <c r="A515" s="38" t="n">
        <v>39965</v>
      </c>
      <c r="B515" s="39">
        <f>VLOOKUP(Table8[[#This Row],[Month]],database!A:J,MATCH('Capacity Utilization'!$A$1,database!$A$1:$J$1,),)</f>
        <v/>
      </c>
      <c r="C515" s="68">
        <f>(VLOOKUP(A515,database!A:K,11,) - VLOOKUP(A503,database!A:K,11,))/VLOOKUP(A503,database!A:K,11,)</f>
        <v/>
      </c>
    </row>
    <row r="516">
      <c r="A516" s="38" t="n">
        <v>39995</v>
      </c>
      <c r="B516" s="39">
        <f>VLOOKUP(Table8[[#This Row],[Month]],database!A:J,MATCH('Capacity Utilization'!$A$1,database!$A$1:$J$1,),)</f>
        <v/>
      </c>
      <c r="C516" s="68">
        <f>(VLOOKUP(A516,database!A:K,11,) - VLOOKUP(A504,database!A:K,11,))/VLOOKUP(A504,database!A:K,11,)</f>
        <v/>
      </c>
    </row>
    <row r="517">
      <c r="A517" s="38" t="n">
        <v>40026</v>
      </c>
      <c r="B517" s="39">
        <f>VLOOKUP(Table8[[#This Row],[Month]],database!A:J,MATCH('Capacity Utilization'!$A$1,database!$A$1:$J$1,),)</f>
        <v/>
      </c>
      <c r="C517" s="68">
        <f>(VLOOKUP(A517,database!A:K,11,) - VLOOKUP(A505,database!A:K,11,))/VLOOKUP(A505,database!A:K,11,)</f>
        <v/>
      </c>
    </row>
    <row r="518">
      <c r="A518" s="38" t="n">
        <v>40057</v>
      </c>
      <c r="B518" s="39">
        <f>VLOOKUP(Table8[[#This Row],[Month]],database!A:J,MATCH('Capacity Utilization'!$A$1,database!$A$1:$J$1,),)</f>
        <v/>
      </c>
      <c r="C518" s="68">
        <f>(VLOOKUP(A518,database!A:K,11,) - VLOOKUP(A506,database!A:K,11,))/VLOOKUP(A506,database!A:K,11,)</f>
        <v/>
      </c>
    </row>
    <row r="519">
      <c r="A519" s="38" t="n">
        <v>40087</v>
      </c>
      <c r="B519" s="39">
        <f>VLOOKUP(Table8[[#This Row],[Month]],database!A:J,MATCH('Capacity Utilization'!$A$1,database!$A$1:$J$1,),)</f>
        <v/>
      </c>
      <c r="C519" s="68">
        <f>(VLOOKUP(A519,database!A:K,11,) - VLOOKUP(A507,database!A:K,11,))/VLOOKUP(A507,database!A:K,11,)</f>
        <v/>
      </c>
    </row>
    <row r="520">
      <c r="A520" s="38" t="n">
        <v>40118</v>
      </c>
      <c r="B520" s="39">
        <f>VLOOKUP(Table8[[#This Row],[Month]],database!A:J,MATCH('Capacity Utilization'!$A$1,database!$A$1:$J$1,),)</f>
        <v/>
      </c>
      <c r="C520" s="68">
        <f>(VLOOKUP(A520,database!A:K,11,) - VLOOKUP(A508,database!A:K,11,))/VLOOKUP(A508,database!A:K,11,)</f>
        <v/>
      </c>
    </row>
    <row r="521">
      <c r="A521" s="38" t="n">
        <v>40148</v>
      </c>
      <c r="B521" s="39">
        <f>VLOOKUP(Table8[[#This Row],[Month]],database!A:J,MATCH('Capacity Utilization'!$A$1,database!$A$1:$J$1,),)</f>
        <v/>
      </c>
      <c r="C521" s="68">
        <f>(VLOOKUP(A521,database!A:K,11,) - VLOOKUP(A509,database!A:K,11,))/VLOOKUP(A509,database!A:K,11,)</f>
        <v/>
      </c>
    </row>
    <row r="522">
      <c r="A522" s="38" t="n">
        <v>40179</v>
      </c>
      <c r="B522" s="39">
        <f>VLOOKUP(Table8[[#This Row],[Month]],database!A:J,MATCH('Capacity Utilization'!$A$1,database!$A$1:$J$1,),)</f>
        <v/>
      </c>
      <c r="C522" s="68">
        <f>(VLOOKUP(A522,database!A:K,11,) - VLOOKUP(A510,database!A:K,11,))/VLOOKUP(A510,database!A:K,11,)</f>
        <v/>
      </c>
    </row>
    <row r="523">
      <c r="A523" s="38" t="n">
        <v>40210</v>
      </c>
      <c r="B523" s="39">
        <f>VLOOKUP(Table8[[#This Row],[Month]],database!A:J,MATCH('Capacity Utilization'!$A$1,database!$A$1:$J$1,),)</f>
        <v/>
      </c>
      <c r="C523" s="68">
        <f>(VLOOKUP(A523,database!A:K,11,) - VLOOKUP(A511,database!A:K,11,))/VLOOKUP(A511,database!A:K,11,)</f>
        <v/>
      </c>
    </row>
    <row r="524">
      <c r="A524" s="38" t="n">
        <v>40238</v>
      </c>
      <c r="B524" s="39">
        <f>VLOOKUP(Table8[[#This Row],[Month]],database!A:J,MATCH('Capacity Utilization'!$A$1,database!$A$1:$J$1,),)</f>
        <v/>
      </c>
      <c r="C524" s="68">
        <f>(VLOOKUP(A524,database!A:K,11,) - VLOOKUP(A512,database!A:K,11,))/VLOOKUP(A512,database!A:K,11,)</f>
        <v/>
      </c>
    </row>
    <row r="525">
      <c r="A525" s="38" t="n">
        <v>40269</v>
      </c>
      <c r="B525" s="39">
        <f>VLOOKUP(Table8[[#This Row],[Month]],database!A:J,MATCH('Capacity Utilization'!$A$1,database!$A$1:$J$1,),)</f>
        <v/>
      </c>
      <c r="C525" s="68">
        <f>(VLOOKUP(A525,database!A:K,11,) - VLOOKUP(A513,database!A:K,11,))/VLOOKUP(A513,database!A:K,11,)</f>
        <v/>
      </c>
    </row>
    <row r="526">
      <c r="A526" s="38" t="n">
        <v>40299</v>
      </c>
      <c r="B526" s="39">
        <f>VLOOKUP(Table8[[#This Row],[Month]],database!A:J,MATCH('Capacity Utilization'!$A$1,database!$A$1:$J$1,),)</f>
        <v/>
      </c>
      <c r="C526" s="68">
        <f>(VLOOKUP(A526,database!A:K,11,) - VLOOKUP(A514,database!A:K,11,))/VLOOKUP(A514,database!A:K,11,)</f>
        <v/>
      </c>
    </row>
    <row r="527">
      <c r="A527" s="38" t="n">
        <v>40330</v>
      </c>
      <c r="B527" s="39">
        <f>VLOOKUP(Table8[[#This Row],[Month]],database!A:J,MATCH('Capacity Utilization'!$A$1,database!$A$1:$J$1,),)</f>
        <v/>
      </c>
      <c r="C527" s="68">
        <f>(VLOOKUP(A527,database!A:K,11,) - VLOOKUP(A515,database!A:K,11,))/VLOOKUP(A515,database!A:K,11,)</f>
        <v/>
      </c>
    </row>
    <row r="528">
      <c r="A528" s="38" t="n">
        <v>40360</v>
      </c>
      <c r="B528" s="39">
        <f>VLOOKUP(Table8[[#This Row],[Month]],database!A:J,MATCH('Capacity Utilization'!$A$1,database!$A$1:$J$1,),)</f>
        <v/>
      </c>
      <c r="C528" s="68">
        <f>(VLOOKUP(A528,database!A:K,11,) - VLOOKUP(A516,database!A:K,11,))/VLOOKUP(A516,database!A:K,11,)</f>
        <v/>
      </c>
    </row>
    <row r="529">
      <c r="A529" s="38" t="n">
        <v>40391</v>
      </c>
      <c r="B529" s="39">
        <f>VLOOKUP(Table8[[#This Row],[Month]],database!A:J,MATCH('Capacity Utilization'!$A$1,database!$A$1:$J$1,),)</f>
        <v/>
      </c>
      <c r="C529" s="68">
        <f>(VLOOKUP(A529,database!A:K,11,) - VLOOKUP(A517,database!A:K,11,))/VLOOKUP(A517,database!A:K,11,)</f>
        <v/>
      </c>
    </row>
    <row r="530">
      <c r="A530" s="38" t="n">
        <v>40422</v>
      </c>
      <c r="B530" s="39">
        <f>VLOOKUP(Table8[[#This Row],[Month]],database!A:J,MATCH('Capacity Utilization'!$A$1,database!$A$1:$J$1,),)</f>
        <v/>
      </c>
      <c r="C530" s="68">
        <f>(VLOOKUP(A530,database!A:K,11,) - VLOOKUP(A518,database!A:K,11,))/VLOOKUP(A518,database!A:K,11,)</f>
        <v/>
      </c>
    </row>
    <row r="531">
      <c r="A531" s="38" t="n">
        <v>40452</v>
      </c>
      <c r="B531" s="39">
        <f>VLOOKUP(Table8[[#This Row],[Month]],database!A:J,MATCH('Capacity Utilization'!$A$1,database!$A$1:$J$1,),)</f>
        <v/>
      </c>
      <c r="C531" s="68">
        <f>(VLOOKUP(A531,database!A:K,11,) - VLOOKUP(A519,database!A:K,11,))/VLOOKUP(A519,database!A:K,11,)</f>
        <v/>
      </c>
    </row>
    <row r="532">
      <c r="A532" s="38" t="n">
        <v>40483</v>
      </c>
      <c r="B532" s="39">
        <f>VLOOKUP(Table8[[#This Row],[Month]],database!A:J,MATCH('Capacity Utilization'!$A$1,database!$A$1:$J$1,),)</f>
        <v/>
      </c>
      <c r="C532" s="68">
        <f>(VLOOKUP(A532,database!A:K,11,) - VLOOKUP(A520,database!A:K,11,))/VLOOKUP(A520,database!A:K,11,)</f>
        <v/>
      </c>
    </row>
    <row r="533">
      <c r="A533" s="38" t="n">
        <v>40513</v>
      </c>
      <c r="B533" s="39">
        <f>VLOOKUP(Table8[[#This Row],[Month]],database!A:J,MATCH('Capacity Utilization'!$A$1,database!$A$1:$J$1,),)</f>
        <v/>
      </c>
      <c r="C533" s="68">
        <f>(VLOOKUP(A533,database!A:K,11,) - VLOOKUP(A521,database!A:K,11,))/VLOOKUP(A521,database!A:K,11,)</f>
        <v/>
      </c>
    </row>
    <row r="534">
      <c r="A534" s="38" t="n">
        <v>40544</v>
      </c>
      <c r="B534" s="39">
        <f>VLOOKUP(Table8[[#This Row],[Month]],database!A:J,MATCH('Capacity Utilization'!$A$1,database!$A$1:$J$1,),)</f>
        <v/>
      </c>
      <c r="C534" s="68">
        <f>(VLOOKUP(A534,database!A:K,11,) - VLOOKUP(A522,database!A:K,11,))/VLOOKUP(A522,database!A:K,11,)</f>
        <v/>
      </c>
    </row>
    <row r="535">
      <c r="A535" s="38" t="n">
        <v>40575</v>
      </c>
      <c r="B535" s="39">
        <f>VLOOKUP(Table8[[#This Row],[Month]],database!A:J,MATCH('Capacity Utilization'!$A$1,database!$A$1:$J$1,),)</f>
        <v/>
      </c>
      <c r="C535" s="68">
        <f>(VLOOKUP(A535,database!A:K,11,) - VLOOKUP(A523,database!A:K,11,))/VLOOKUP(A523,database!A:K,11,)</f>
        <v/>
      </c>
    </row>
    <row r="536">
      <c r="A536" s="38" t="n">
        <v>40603</v>
      </c>
      <c r="B536" s="39">
        <f>VLOOKUP(Table8[[#This Row],[Month]],database!A:J,MATCH('Capacity Utilization'!$A$1,database!$A$1:$J$1,),)</f>
        <v/>
      </c>
      <c r="C536" s="68">
        <f>(VLOOKUP(A536,database!A:K,11,) - VLOOKUP(A524,database!A:K,11,))/VLOOKUP(A524,database!A:K,11,)</f>
        <v/>
      </c>
    </row>
    <row r="537">
      <c r="A537" s="38" t="n">
        <v>40634</v>
      </c>
      <c r="B537" s="39">
        <f>VLOOKUP(Table8[[#This Row],[Month]],database!A:J,MATCH('Capacity Utilization'!$A$1,database!$A$1:$J$1,),)</f>
        <v/>
      </c>
      <c r="C537" s="68">
        <f>(VLOOKUP(A537,database!A:K,11,) - VLOOKUP(A525,database!A:K,11,))/VLOOKUP(A525,database!A:K,11,)</f>
        <v/>
      </c>
    </row>
    <row r="538">
      <c r="A538" s="38" t="n">
        <v>40664</v>
      </c>
      <c r="B538" s="39">
        <f>VLOOKUP(Table8[[#This Row],[Month]],database!A:J,MATCH('Capacity Utilization'!$A$1,database!$A$1:$J$1,),)</f>
        <v/>
      </c>
      <c r="C538" s="68">
        <f>(VLOOKUP(A538,database!A:K,11,) - VLOOKUP(A526,database!A:K,11,))/VLOOKUP(A526,database!A:K,11,)</f>
        <v/>
      </c>
    </row>
    <row r="539">
      <c r="A539" s="38" t="n">
        <v>40695</v>
      </c>
      <c r="B539" s="39">
        <f>VLOOKUP(Table8[[#This Row],[Month]],database!A:J,MATCH('Capacity Utilization'!$A$1,database!$A$1:$J$1,),)</f>
        <v/>
      </c>
      <c r="C539" s="68">
        <f>(VLOOKUP(A539,database!A:K,11,) - VLOOKUP(A527,database!A:K,11,))/VLOOKUP(A527,database!A:K,11,)</f>
        <v/>
      </c>
    </row>
    <row r="540">
      <c r="A540" s="38" t="n">
        <v>40725</v>
      </c>
      <c r="B540" s="39">
        <f>VLOOKUP(Table8[[#This Row],[Month]],database!A:J,MATCH('Capacity Utilization'!$A$1,database!$A$1:$J$1,),)</f>
        <v/>
      </c>
      <c r="C540" s="68">
        <f>(VLOOKUP(A540,database!A:K,11,) - VLOOKUP(A528,database!A:K,11,))/VLOOKUP(A528,database!A:K,11,)</f>
        <v/>
      </c>
    </row>
    <row r="541">
      <c r="A541" s="38" t="n">
        <v>40756</v>
      </c>
      <c r="B541" s="39">
        <f>VLOOKUP(Table8[[#This Row],[Month]],database!A:J,MATCH('Capacity Utilization'!$A$1,database!$A$1:$J$1,),)</f>
        <v/>
      </c>
      <c r="C541" s="68">
        <f>(VLOOKUP(A541,database!A:K,11,) - VLOOKUP(A529,database!A:K,11,))/VLOOKUP(A529,database!A:K,11,)</f>
        <v/>
      </c>
    </row>
    <row r="542">
      <c r="A542" s="38" t="n">
        <v>40787</v>
      </c>
      <c r="B542" s="39">
        <f>VLOOKUP(Table8[[#This Row],[Month]],database!A:J,MATCH('Capacity Utilization'!$A$1,database!$A$1:$J$1,),)</f>
        <v/>
      </c>
      <c r="C542" s="68">
        <f>(VLOOKUP(A542,database!A:K,11,) - VLOOKUP(A530,database!A:K,11,))/VLOOKUP(A530,database!A:K,11,)</f>
        <v/>
      </c>
    </row>
    <row r="543">
      <c r="A543" s="38" t="n">
        <v>40817</v>
      </c>
      <c r="B543" s="39">
        <f>VLOOKUP(Table8[[#This Row],[Month]],database!A:J,MATCH('Capacity Utilization'!$A$1,database!$A$1:$J$1,),)</f>
        <v/>
      </c>
      <c r="C543" s="68">
        <f>(VLOOKUP(A543,database!A:K,11,) - VLOOKUP(A531,database!A:K,11,))/VLOOKUP(A531,database!A:K,11,)</f>
        <v/>
      </c>
    </row>
    <row r="544">
      <c r="A544" s="38" t="n">
        <v>40848</v>
      </c>
      <c r="B544" s="39">
        <f>VLOOKUP(Table8[[#This Row],[Month]],database!A:J,MATCH('Capacity Utilization'!$A$1,database!$A$1:$J$1,),)</f>
        <v/>
      </c>
      <c r="C544" s="68">
        <f>(VLOOKUP(A544,database!A:K,11,) - VLOOKUP(A532,database!A:K,11,))/VLOOKUP(A532,database!A:K,11,)</f>
        <v/>
      </c>
    </row>
    <row r="545">
      <c r="A545" s="38" t="n">
        <v>40878</v>
      </c>
      <c r="B545" s="39">
        <f>VLOOKUP(Table8[[#This Row],[Month]],database!A:J,MATCH('Capacity Utilization'!$A$1,database!$A$1:$J$1,),)</f>
        <v/>
      </c>
      <c r="C545" s="68">
        <f>(VLOOKUP(A545,database!A:K,11,) - VLOOKUP(A533,database!A:K,11,))/VLOOKUP(A533,database!A:K,11,)</f>
        <v/>
      </c>
    </row>
    <row r="546">
      <c r="A546" s="38" t="n">
        <v>40909</v>
      </c>
      <c r="B546" s="39">
        <f>VLOOKUP(Table8[[#This Row],[Month]],database!A:J,MATCH('Capacity Utilization'!$A$1,database!$A$1:$J$1,),)</f>
        <v/>
      </c>
      <c r="C546" s="68">
        <f>(VLOOKUP(A546,database!A:K,11,) - VLOOKUP(A534,database!A:K,11,))/VLOOKUP(A534,database!A:K,11,)</f>
        <v/>
      </c>
    </row>
    <row r="547">
      <c r="A547" s="38" t="n">
        <v>40940</v>
      </c>
      <c r="B547" s="39">
        <f>VLOOKUP(Table8[[#This Row],[Month]],database!A:J,MATCH('Capacity Utilization'!$A$1,database!$A$1:$J$1,),)</f>
        <v/>
      </c>
      <c r="C547" s="68">
        <f>(VLOOKUP(A547,database!A:K,11,) - VLOOKUP(A535,database!A:K,11,))/VLOOKUP(A535,database!A:K,11,)</f>
        <v/>
      </c>
    </row>
    <row r="548">
      <c r="A548" s="38" t="n">
        <v>40969</v>
      </c>
      <c r="B548" s="39">
        <f>VLOOKUP(Table8[[#This Row],[Month]],database!A:J,MATCH('Capacity Utilization'!$A$1,database!$A$1:$J$1,),)</f>
        <v/>
      </c>
      <c r="C548" s="68">
        <f>(VLOOKUP(A548,database!A:K,11,) - VLOOKUP(A536,database!A:K,11,))/VLOOKUP(A536,database!A:K,11,)</f>
        <v/>
      </c>
    </row>
    <row r="549">
      <c r="A549" s="38" t="n">
        <v>41000</v>
      </c>
      <c r="B549" s="39">
        <f>VLOOKUP(Table8[[#This Row],[Month]],database!A:J,MATCH('Capacity Utilization'!$A$1,database!$A$1:$J$1,),)</f>
        <v/>
      </c>
      <c r="C549" s="68">
        <f>(VLOOKUP(A549,database!A:K,11,) - VLOOKUP(A537,database!A:K,11,))/VLOOKUP(A537,database!A:K,11,)</f>
        <v/>
      </c>
    </row>
    <row r="550">
      <c r="A550" s="38" t="n">
        <v>41030</v>
      </c>
      <c r="B550" s="39">
        <f>VLOOKUP(Table8[[#This Row],[Month]],database!A:J,MATCH('Capacity Utilization'!$A$1,database!$A$1:$J$1,),)</f>
        <v/>
      </c>
      <c r="C550" s="68">
        <f>(VLOOKUP(A550,database!A:K,11,) - VLOOKUP(A538,database!A:K,11,))/VLOOKUP(A538,database!A:K,11,)</f>
        <v/>
      </c>
    </row>
    <row r="551">
      <c r="A551" s="38" t="n">
        <v>41061</v>
      </c>
      <c r="B551" s="39">
        <f>VLOOKUP(Table8[[#This Row],[Month]],database!A:J,MATCH('Capacity Utilization'!$A$1,database!$A$1:$J$1,),)</f>
        <v/>
      </c>
      <c r="C551" s="68">
        <f>(VLOOKUP(A551,database!A:K,11,) - VLOOKUP(A539,database!A:K,11,))/VLOOKUP(A539,database!A:K,11,)</f>
        <v/>
      </c>
    </row>
    <row r="552">
      <c r="A552" s="38" t="n">
        <v>41091</v>
      </c>
      <c r="B552" s="39">
        <f>VLOOKUP(Table8[[#This Row],[Month]],database!A:J,MATCH('Capacity Utilization'!$A$1,database!$A$1:$J$1,),)</f>
        <v/>
      </c>
      <c r="C552" s="68">
        <f>(VLOOKUP(A552,database!A:K,11,) - VLOOKUP(A540,database!A:K,11,))/VLOOKUP(A540,database!A:K,11,)</f>
        <v/>
      </c>
    </row>
    <row r="553">
      <c r="A553" s="38" t="n">
        <v>41122</v>
      </c>
      <c r="B553" s="39">
        <f>VLOOKUP(Table8[[#This Row],[Month]],database!A:J,MATCH('Capacity Utilization'!$A$1,database!$A$1:$J$1,),)</f>
        <v/>
      </c>
      <c r="C553" s="68">
        <f>(VLOOKUP(A553,database!A:K,11,) - VLOOKUP(A541,database!A:K,11,))/VLOOKUP(A541,database!A:K,11,)</f>
        <v/>
      </c>
    </row>
    <row r="554">
      <c r="A554" s="38" t="n">
        <v>41153</v>
      </c>
      <c r="B554" s="39">
        <f>VLOOKUP(Table8[[#This Row],[Month]],database!A:J,MATCH('Capacity Utilization'!$A$1,database!$A$1:$J$1,),)</f>
        <v/>
      </c>
      <c r="C554" s="68">
        <f>(VLOOKUP(A554,database!A:K,11,) - VLOOKUP(A542,database!A:K,11,))/VLOOKUP(A542,database!A:K,11,)</f>
        <v/>
      </c>
    </row>
    <row r="555">
      <c r="A555" s="38" t="n">
        <v>41183</v>
      </c>
      <c r="B555" s="39">
        <f>VLOOKUP(Table8[[#This Row],[Month]],database!A:J,MATCH('Capacity Utilization'!$A$1,database!$A$1:$J$1,),)</f>
        <v/>
      </c>
      <c r="C555" s="68">
        <f>(VLOOKUP(A555,database!A:K,11,) - VLOOKUP(A543,database!A:K,11,))/VLOOKUP(A543,database!A:K,11,)</f>
        <v/>
      </c>
    </row>
    <row r="556">
      <c r="A556" s="38" t="n">
        <v>41214</v>
      </c>
      <c r="B556" s="39">
        <f>VLOOKUP(Table8[[#This Row],[Month]],database!A:J,MATCH('Capacity Utilization'!$A$1,database!$A$1:$J$1,),)</f>
        <v/>
      </c>
      <c r="C556" s="68">
        <f>(VLOOKUP(A556,database!A:K,11,) - VLOOKUP(A544,database!A:K,11,))/VLOOKUP(A544,database!A:K,11,)</f>
        <v/>
      </c>
    </row>
    <row r="557">
      <c r="A557" s="38" t="n">
        <v>41244</v>
      </c>
      <c r="B557" s="39">
        <f>VLOOKUP(Table8[[#This Row],[Month]],database!A:J,MATCH('Capacity Utilization'!$A$1,database!$A$1:$J$1,),)</f>
        <v/>
      </c>
      <c r="C557" s="68">
        <f>(VLOOKUP(A557,database!A:K,11,) - VLOOKUP(A545,database!A:K,11,))/VLOOKUP(A545,database!A:K,11,)</f>
        <v/>
      </c>
    </row>
    <row r="558">
      <c r="A558" s="38" t="n">
        <v>41275</v>
      </c>
      <c r="B558" s="39">
        <f>VLOOKUP(Table8[[#This Row],[Month]],database!A:J,MATCH('Capacity Utilization'!$A$1,database!$A$1:$J$1,),)</f>
        <v/>
      </c>
      <c r="C558" s="68">
        <f>(VLOOKUP(A558,database!A:K,11,) - VLOOKUP(A546,database!A:K,11,))/VLOOKUP(A546,database!A:K,11,)</f>
        <v/>
      </c>
    </row>
    <row r="559">
      <c r="A559" s="38" t="n">
        <v>41306</v>
      </c>
      <c r="B559" s="39">
        <f>VLOOKUP(Table8[[#This Row],[Month]],database!A:J,MATCH('Capacity Utilization'!$A$1,database!$A$1:$J$1,),)</f>
        <v/>
      </c>
      <c r="C559" s="68">
        <f>(VLOOKUP(A559,database!A:K,11,) - VLOOKUP(A547,database!A:K,11,))/VLOOKUP(A547,database!A:K,11,)</f>
        <v/>
      </c>
    </row>
    <row r="560">
      <c r="A560" s="38" t="n">
        <v>41334</v>
      </c>
      <c r="B560" s="39">
        <f>VLOOKUP(Table8[[#This Row],[Month]],database!A:J,MATCH('Capacity Utilization'!$A$1,database!$A$1:$J$1,),)</f>
        <v/>
      </c>
      <c r="C560" s="68">
        <f>(VLOOKUP(A560,database!A:K,11,) - VLOOKUP(A548,database!A:K,11,))/VLOOKUP(A548,database!A:K,11,)</f>
        <v/>
      </c>
    </row>
    <row r="561">
      <c r="A561" s="38" t="n">
        <v>41365</v>
      </c>
      <c r="B561" s="39">
        <f>VLOOKUP(Table8[[#This Row],[Month]],database!A:J,MATCH('Capacity Utilization'!$A$1,database!$A$1:$J$1,),)</f>
        <v/>
      </c>
      <c r="C561" s="68">
        <f>(VLOOKUP(A561,database!A:K,11,) - VLOOKUP(A549,database!A:K,11,))/VLOOKUP(A549,database!A:K,11,)</f>
        <v/>
      </c>
    </row>
    <row r="562">
      <c r="A562" s="38" t="n">
        <v>41395</v>
      </c>
      <c r="B562" s="39">
        <f>VLOOKUP(Table8[[#This Row],[Month]],database!A:J,MATCH('Capacity Utilization'!$A$1,database!$A$1:$J$1,),)</f>
        <v/>
      </c>
      <c r="C562" s="68">
        <f>(VLOOKUP(A562,database!A:K,11,) - VLOOKUP(A550,database!A:K,11,))/VLOOKUP(A550,database!A:K,11,)</f>
        <v/>
      </c>
    </row>
    <row r="563">
      <c r="A563" s="38" t="n">
        <v>41426</v>
      </c>
      <c r="B563" s="39">
        <f>VLOOKUP(Table8[[#This Row],[Month]],database!A:J,MATCH('Capacity Utilization'!$A$1,database!$A$1:$J$1,),)</f>
        <v/>
      </c>
      <c r="C563" s="68">
        <f>(VLOOKUP(A563,database!A:K,11,) - VLOOKUP(A551,database!A:K,11,))/VLOOKUP(A551,database!A:K,11,)</f>
        <v/>
      </c>
    </row>
    <row r="564">
      <c r="A564" s="38" t="n">
        <v>41456</v>
      </c>
      <c r="B564" s="39">
        <f>VLOOKUP(Table8[[#This Row],[Month]],database!A:J,MATCH('Capacity Utilization'!$A$1,database!$A$1:$J$1,),)</f>
        <v/>
      </c>
      <c r="C564" s="68">
        <f>(VLOOKUP(A564,database!A:K,11,) - VLOOKUP(A552,database!A:K,11,))/VLOOKUP(A552,database!A:K,11,)</f>
        <v/>
      </c>
    </row>
    <row r="565">
      <c r="A565" s="38" t="n">
        <v>41487</v>
      </c>
      <c r="B565" s="39">
        <f>VLOOKUP(Table8[[#This Row],[Month]],database!A:J,MATCH('Capacity Utilization'!$A$1,database!$A$1:$J$1,),)</f>
        <v/>
      </c>
      <c r="C565" s="68">
        <f>(VLOOKUP(A565,database!A:K,11,) - VLOOKUP(A553,database!A:K,11,))/VLOOKUP(A553,database!A:K,11,)</f>
        <v/>
      </c>
    </row>
    <row r="566">
      <c r="A566" s="38" t="n">
        <v>41518</v>
      </c>
      <c r="B566" s="39">
        <f>VLOOKUP(Table8[[#This Row],[Month]],database!A:J,MATCH('Capacity Utilization'!$A$1,database!$A$1:$J$1,),)</f>
        <v/>
      </c>
      <c r="C566" s="68">
        <f>(VLOOKUP(A566,database!A:K,11,) - VLOOKUP(A554,database!A:K,11,))/VLOOKUP(A554,database!A:K,11,)</f>
        <v/>
      </c>
    </row>
    <row r="567">
      <c r="A567" s="38" t="n">
        <v>41548</v>
      </c>
      <c r="B567" s="39">
        <f>VLOOKUP(Table8[[#This Row],[Month]],database!A:J,MATCH('Capacity Utilization'!$A$1,database!$A$1:$J$1,),)</f>
        <v/>
      </c>
      <c r="C567" s="68">
        <f>(VLOOKUP(A567,database!A:K,11,) - VLOOKUP(A555,database!A:K,11,))/VLOOKUP(A555,database!A:K,11,)</f>
        <v/>
      </c>
    </row>
    <row r="568">
      <c r="A568" s="38" t="n">
        <v>41579</v>
      </c>
      <c r="B568" s="39">
        <f>VLOOKUP(Table8[[#This Row],[Month]],database!A:J,MATCH('Capacity Utilization'!$A$1,database!$A$1:$J$1,),)</f>
        <v/>
      </c>
      <c r="C568" s="68">
        <f>(VLOOKUP(A568,database!A:K,11,) - VLOOKUP(A556,database!A:K,11,))/VLOOKUP(A556,database!A:K,11,)</f>
        <v/>
      </c>
    </row>
    <row r="569">
      <c r="A569" s="38" t="n">
        <v>41609</v>
      </c>
      <c r="B569" s="39">
        <f>VLOOKUP(Table8[[#This Row],[Month]],database!A:J,MATCH('Capacity Utilization'!$A$1,database!$A$1:$J$1,),)</f>
        <v/>
      </c>
      <c r="C569" s="68">
        <f>(VLOOKUP(A569,database!A:K,11,) - VLOOKUP(A557,database!A:K,11,))/VLOOKUP(A557,database!A:K,11,)</f>
        <v/>
      </c>
    </row>
    <row r="570">
      <c r="A570" s="38" t="n">
        <v>41640</v>
      </c>
      <c r="B570" s="39">
        <f>VLOOKUP(Table8[[#This Row],[Month]],database!A:J,MATCH('Capacity Utilization'!$A$1,database!$A$1:$J$1,),)</f>
        <v/>
      </c>
      <c r="C570" s="68">
        <f>(VLOOKUP(A570,database!A:K,11,) - VLOOKUP(A558,database!A:K,11,))/VLOOKUP(A558,database!A:K,11,)</f>
        <v/>
      </c>
    </row>
    <row r="571">
      <c r="A571" s="38" t="n">
        <v>41671</v>
      </c>
      <c r="B571" s="39">
        <f>VLOOKUP(Table8[[#This Row],[Month]],database!A:J,MATCH('Capacity Utilization'!$A$1,database!$A$1:$J$1,),)</f>
        <v/>
      </c>
      <c r="C571" s="68">
        <f>(VLOOKUP(A571,database!A:K,11,) - VLOOKUP(A559,database!A:K,11,))/VLOOKUP(A559,database!A:K,11,)</f>
        <v/>
      </c>
    </row>
    <row r="572">
      <c r="A572" s="38" t="n">
        <v>41699</v>
      </c>
      <c r="B572" s="39">
        <f>VLOOKUP(Table8[[#This Row],[Month]],database!A:J,MATCH('Capacity Utilization'!$A$1,database!$A$1:$J$1,),)</f>
        <v/>
      </c>
      <c r="C572" s="68">
        <f>(VLOOKUP(A572,database!A:K,11,) - VLOOKUP(A560,database!A:K,11,))/VLOOKUP(A560,database!A:K,11,)</f>
        <v/>
      </c>
    </row>
    <row r="573">
      <c r="A573" s="38" t="n">
        <v>41730</v>
      </c>
      <c r="B573" s="39">
        <f>VLOOKUP(Table8[[#This Row],[Month]],database!A:J,MATCH('Capacity Utilization'!$A$1,database!$A$1:$J$1,),)</f>
        <v/>
      </c>
      <c r="C573" s="68">
        <f>(VLOOKUP(A573,database!A:K,11,) - VLOOKUP(A561,database!A:K,11,))/VLOOKUP(A561,database!A:K,11,)</f>
        <v/>
      </c>
    </row>
    <row r="574">
      <c r="A574" s="38" t="n">
        <v>41760</v>
      </c>
      <c r="B574" s="39">
        <f>VLOOKUP(Table8[[#This Row],[Month]],database!A:J,MATCH('Capacity Utilization'!$A$1,database!$A$1:$J$1,),)</f>
        <v/>
      </c>
      <c r="C574" s="68">
        <f>(VLOOKUP(A574,database!A:K,11,) - VLOOKUP(A562,database!A:K,11,))/VLOOKUP(A562,database!A:K,11,)</f>
        <v/>
      </c>
    </row>
    <row r="575">
      <c r="A575" s="38" t="n">
        <v>41791</v>
      </c>
      <c r="B575" s="39">
        <f>VLOOKUP(Table8[[#This Row],[Month]],database!A:J,MATCH('Capacity Utilization'!$A$1,database!$A$1:$J$1,),)</f>
        <v/>
      </c>
      <c r="C575" s="68">
        <f>(VLOOKUP(A575,database!A:K,11,) - VLOOKUP(A563,database!A:K,11,))/VLOOKUP(A563,database!A:K,11,)</f>
        <v/>
      </c>
    </row>
    <row r="576">
      <c r="A576" s="38" t="n">
        <v>41821</v>
      </c>
      <c r="B576" s="39">
        <f>VLOOKUP(Table8[[#This Row],[Month]],database!A:J,MATCH('Capacity Utilization'!$A$1,database!$A$1:$J$1,),)</f>
        <v/>
      </c>
      <c r="C576" s="68">
        <f>(VLOOKUP(A576,database!A:K,11,) - VLOOKUP(A564,database!A:K,11,))/VLOOKUP(A564,database!A:K,11,)</f>
        <v/>
      </c>
    </row>
    <row r="577">
      <c r="A577" s="38" t="n">
        <v>41852</v>
      </c>
      <c r="B577" s="39">
        <f>VLOOKUP(Table8[[#This Row],[Month]],database!A:J,MATCH('Capacity Utilization'!$A$1,database!$A$1:$J$1,),)</f>
        <v/>
      </c>
      <c r="C577" s="68">
        <f>(VLOOKUP(A577,database!A:K,11,) - VLOOKUP(A565,database!A:K,11,))/VLOOKUP(A565,database!A:K,11,)</f>
        <v/>
      </c>
    </row>
    <row r="578">
      <c r="A578" s="38" t="n">
        <v>41883</v>
      </c>
      <c r="B578" s="39">
        <f>VLOOKUP(Table8[[#This Row],[Month]],database!A:J,MATCH('Capacity Utilization'!$A$1,database!$A$1:$J$1,),)</f>
        <v/>
      </c>
      <c r="C578" s="68">
        <f>(VLOOKUP(A578,database!A:K,11,) - VLOOKUP(A566,database!A:K,11,))/VLOOKUP(A566,database!A:K,11,)</f>
        <v/>
      </c>
    </row>
    <row r="579">
      <c r="A579" s="38" t="n">
        <v>41913</v>
      </c>
      <c r="B579" s="39">
        <f>VLOOKUP(Table8[[#This Row],[Month]],database!A:J,MATCH('Capacity Utilization'!$A$1,database!$A$1:$J$1,),)</f>
        <v/>
      </c>
      <c r="C579" s="68">
        <f>(VLOOKUP(A579,database!A:K,11,) - VLOOKUP(A567,database!A:K,11,))/VLOOKUP(A567,database!A:K,11,)</f>
        <v/>
      </c>
    </row>
    <row r="580">
      <c r="A580" s="38" t="n">
        <v>41944</v>
      </c>
      <c r="B580" s="39">
        <f>VLOOKUP(Table8[[#This Row],[Month]],database!A:J,MATCH('Capacity Utilization'!$A$1,database!$A$1:$J$1,),)</f>
        <v/>
      </c>
      <c r="C580" s="68">
        <f>(VLOOKUP(A580,database!A:K,11,) - VLOOKUP(A568,database!A:K,11,))/VLOOKUP(A568,database!A:K,11,)</f>
        <v/>
      </c>
    </row>
    <row r="581">
      <c r="A581" s="38" t="n">
        <v>41974</v>
      </c>
      <c r="B581" s="39">
        <f>VLOOKUP(Table8[[#This Row],[Month]],database!A:J,MATCH('Capacity Utilization'!$A$1,database!$A$1:$J$1,),)</f>
        <v/>
      </c>
      <c r="C581" s="68">
        <f>(VLOOKUP(A581,database!A:K,11,) - VLOOKUP(A569,database!A:K,11,))/VLOOKUP(A569,database!A:K,11,)</f>
        <v/>
      </c>
    </row>
    <row r="582">
      <c r="A582" s="38" t="n">
        <v>42005</v>
      </c>
      <c r="B582" s="39">
        <f>VLOOKUP(Table8[[#This Row],[Month]],database!A:J,MATCH('Capacity Utilization'!$A$1,database!$A$1:$J$1,),)</f>
        <v/>
      </c>
      <c r="C582" s="68">
        <f>(VLOOKUP(A582,database!A:K,11,) - VLOOKUP(A570,database!A:K,11,))/VLOOKUP(A570,database!A:K,11,)</f>
        <v/>
      </c>
    </row>
    <row r="583">
      <c r="A583" s="38" t="n">
        <v>42036</v>
      </c>
      <c r="B583" s="39">
        <f>VLOOKUP(Table8[[#This Row],[Month]],database!A:J,MATCH('Capacity Utilization'!$A$1,database!$A$1:$J$1,),)</f>
        <v/>
      </c>
      <c r="C583" s="68">
        <f>(VLOOKUP(A583,database!A:K,11,) - VLOOKUP(A571,database!A:K,11,))/VLOOKUP(A571,database!A:K,11,)</f>
        <v/>
      </c>
    </row>
    <row r="584">
      <c r="A584" s="38" t="n">
        <v>42064</v>
      </c>
      <c r="B584" s="39">
        <f>VLOOKUP(Table8[[#This Row],[Month]],database!A:J,MATCH('Capacity Utilization'!$A$1,database!$A$1:$J$1,),)</f>
        <v/>
      </c>
      <c r="C584" s="68">
        <f>(VLOOKUP(A584,database!A:K,11,) - VLOOKUP(A572,database!A:K,11,))/VLOOKUP(A572,database!A:K,11,)</f>
        <v/>
      </c>
    </row>
    <row r="585">
      <c r="A585" s="38" t="n">
        <v>42095</v>
      </c>
      <c r="B585" s="39">
        <f>VLOOKUP(Table8[[#This Row],[Month]],database!A:J,MATCH('Capacity Utilization'!$A$1,database!$A$1:$J$1,),)</f>
        <v/>
      </c>
      <c r="C585" s="68">
        <f>(VLOOKUP(A585,database!A:K,11,) - VLOOKUP(A573,database!A:K,11,))/VLOOKUP(A573,database!A:K,11,)</f>
        <v/>
      </c>
    </row>
    <row r="586">
      <c r="A586" s="38" t="n">
        <v>42125</v>
      </c>
      <c r="B586" s="39">
        <f>VLOOKUP(Table8[[#This Row],[Month]],database!A:J,MATCH('Capacity Utilization'!$A$1,database!$A$1:$J$1,),)</f>
        <v/>
      </c>
      <c r="C586" s="68">
        <f>(VLOOKUP(A586,database!A:K,11,) - VLOOKUP(A574,database!A:K,11,))/VLOOKUP(A574,database!A:K,11,)</f>
        <v/>
      </c>
    </row>
    <row r="587">
      <c r="A587" s="38" t="n">
        <v>42156</v>
      </c>
      <c r="B587" s="39">
        <f>VLOOKUP(Table8[[#This Row],[Month]],database!A:J,MATCH('Capacity Utilization'!$A$1,database!$A$1:$J$1,),)</f>
        <v/>
      </c>
      <c r="C587" s="68">
        <f>(VLOOKUP(A587,database!A:K,11,) - VLOOKUP(A575,database!A:K,11,))/VLOOKUP(A575,database!A:K,11,)</f>
        <v/>
      </c>
    </row>
    <row r="588">
      <c r="A588" s="38" t="n">
        <v>42186</v>
      </c>
      <c r="B588" s="39">
        <f>VLOOKUP(Table8[[#This Row],[Month]],database!A:J,MATCH('Capacity Utilization'!$A$1,database!$A$1:$J$1,),)</f>
        <v/>
      </c>
      <c r="C588" s="68">
        <f>(VLOOKUP(A588,database!A:K,11,) - VLOOKUP(A576,database!A:K,11,))/VLOOKUP(A576,database!A:K,11,)</f>
        <v/>
      </c>
    </row>
    <row r="589">
      <c r="A589" s="38" t="n">
        <v>42217</v>
      </c>
      <c r="B589" s="39">
        <f>VLOOKUP(Table8[[#This Row],[Month]],database!A:J,MATCH('Capacity Utilization'!$A$1,database!$A$1:$J$1,),)</f>
        <v/>
      </c>
      <c r="C589" s="68">
        <f>(VLOOKUP(A589,database!A:K,11,) - VLOOKUP(A577,database!A:K,11,))/VLOOKUP(A577,database!A:K,11,)</f>
        <v/>
      </c>
    </row>
    <row r="590">
      <c r="A590" s="38" t="n">
        <v>42248</v>
      </c>
      <c r="B590" s="39">
        <f>VLOOKUP(Table8[[#This Row],[Month]],database!A:J,MATCH('Capacity Utilization'!$A$1,database!$A$1:$J$1,),)</f>
        <v/>
      </c>
      <c r="C590" s="68">
        <f>(VLOOKUP(A590,database!A:K,11,) - VLOOKUP(A578,database!A:K,11,))/VLOOKUP(A578,database!A:K,11,)</f>
        <v/>
      </c>
    </row>
    <row r="591">
      <c r="A591" s="38" t="n">
        <v>42278</v>
      </c>
      <c r="B591" s="39">
        <f>VLOOKUP(Table8[[#This Row],[Month]],database!A:J,MATCH('Capacity Utilization'!$A$1,database!$A$1:$J$1,),)</f>
        <v/>
      </c>
      <c r="C591" s="68">
        <f>(VLOOKUP(A591,database!A:K,11,) - VLOOKUP(A579,database!A:K,11,))/VLOOKUP(A579,database!A:K,11,)</f>
        <v/>
      </c>
    </row>
    <row r="592">
      <c r="A592" s="38" t="n">
        <v>42309</v>
      </c>
      <c r="B592" s="39">
        <f>VLOOKUP(Table8[[#This Row],[Month]],database!A:J,MATCH('Capacity Utilization'!$A$1,database!$A$1:$J$1,),)</f>
        <v/>
      </c>
      <c r="C592" s="68">
        <f>(VLOOKUP(A592,database!A:K,11,) - VLOOKUP(A580,database!A:K,11,))/VLOOKUP(A580,database!A:K,11,)</f>
        <v/>
      </c>
    </row>
    <row r="593">
      <c r="A593" s="38" t="n">
        <v>42339</v>
      </c>
      <c r="B593" s="39">
        <f>VLOOKUP(Table8[[#This Row],[Month]],database!A:J,MATCH('Capacity Utilization'!$A$1,database!$A$1:$J$1,),)</f>
        <v/>
      </c>
      <c r="C593" s="68">
        <f>(VLOOKUP(A593,database!A:K,11,) - VLOOKUP(A581,database!A:K,11,))/VLOOKUP(A581,database!A:K,11,)</f>
        <v/>
      </c>
    </row>
    <row r="594">
      <c r="A594" s="38" t="n">
        <v>42370</v>
      </c>
      <c r="B594" s="39">
        <f>VLOOKUP(Table8[[#This Row],[Month]],database!A:J,MATCH('Capacity Utilization'!$A$1,database!$A$1:$J$1,),)</f>
        <v/>
      </c>
      <c r="C594" s="68">
        <f>(VLOOKUP(A594,database!A:K,11,) - VLOOKUP(A582,database!A:K,11,))/VLOOKUP(A582,database!A:K,11,)</f>
        <v/>
      </c>
    </row>
    <row r="595">
      <c r="A595" s="38" t="n">
        <v>42401</v>
      </c>
      <c r="B595" s="39">
        <f>VLOOKUP(Table8[[#This Row],[Month]],database!A:J,MATCH('Capacity Utilization'!$A$1,database!$A$1:$J$1,),)</f>
        <v/>
      </c>
      <c r="C595" s="68">
        <f>(VLOOKUP(A595,database!A:K,11,) - VLOOKUP(A583,database!A:K,11,))/VLOOKUP(A583,database!A:K,11,)</f>
        <v/>
      </c>
    </row>
    <row r="596">
      <c r="A596" s="38" t="n">
        <v>42430</v>
      </c>
      <c r="B596" s="39">
        <f>VLOOKUP(Table8[[#This Row],[Month]],database!A:J,MATCH('Capacity Utilization'!$A$1,database!$A$1:$J$1,),)</f>
        <v/>
      </c>
      <c r="C596" s="68">
        <f>(VLOOKUP(A596,database!A:K,11,) - VLOOKUP(A584,database!A:K,11,))/VLOOKUP(A584,database!A:K,11,)</f>
        <v/>
      </c>
    </row>
    <row r="597">
      <c r="A597" s="38" t="n">
        <v>42461</v>
      </c>
      <c r="B597" s="39">
        <f>VLOOKUP(Table8[[#This Row],[Month]],database!A:J,MATCH('Capacity Utilization'!$A$1,database!$A$1:$J$1,),)</f>
        <v/>
      </c>
      <c r="C597" s="68">
        <f>(VLOOKUP(A597,database!A:K,11,) - VLOOKUP(A585,database!A:K,11,))/VLOOKUP(A585,database!A:K,11,)</f>
        <v/>
      </c>
    </row>
    <row r="598">
      <c r="A598" s="38" t="n">
        <v>42491</v>
      </c>
      <c r="B598" s="39">
        <f>VLOOKUP(Table8[[#This Row],[Month]],database!A:J,MATCH('Capacity Utilization'!$A$1,database!$A$1:$J$1,),)</f>
        <v/>
      </c>
      <c r="C598" s="68">
        <f>(VLOOKUP(A598,database!A:K,11,) - VLOOKUP(A586,database!A:K,11,))/VLOOKUP(A586,database!A:K,11,)</f>
        <v/>
      </c>
    </row>
    <row r="599">
      <c r="A599" s="38" t="n">
        <v>42522</v>
      </c>
      <c r="B599" s="39">
        <f>VLOOKUP(Table8[[#This Row],[Month]],database!A:J,MATCH('Capacity Utilization'!$A$1,database!$A$1:$J$1,),)</f>
        <v/>
      </c>
      <c r="C599" s="68">
        <f>(VLOOKUP(A599,database!A:K,11,) - VLOOKUP(A587,database!A:K,11,))/VLOOKUP(A587,database!A:K,11,)</f>
        <v/>
      </c>
    </row>
    <row r="600">
      <c r="A600" s="38" t="n">
        <v>42552</v>
      </c>
      <c r="B600" s="39">
        <f>VLOOKUP(Table8[[#This Row],[Month]],database!A:J,MATCH('Capacity Utilization'!$A$1,database!$A$1:$J$1,),)</f>
        <v/>
      </c>
      <c r="C600" s="68">
        <f>(VLOOKUP(A600,database!A:K,11,) - VLOOKUP(A588,database!A:K,11,))/VLOOKUP(A588,database!A:K,11,)</f>
        <v/>
      </c>
    </row>
    <row r="601">
      <c r="A601" s="38" t="n">
        <v>42583</v>
      </c>
      <c r="B601" s="39">
        <f>VLOOKUP(Table8[[#This Row],[Month]],database!A:J,MATCH('Capacity Utilization'!$A$1,database!$A$1:$J$1,),)</f>
        <v/>
      </c>
      <c r="C601" s="68">
        <f>(VLOOKUP(A601,database!A:K,11,) - VLOOKUP(A589,database!A:K,11,))/VLOOKUP(A589,database!A:K,11,)</f>
        <v/>
      </c>
    </row>
    <row r="602">
      <c r="A602" s="38" t="n">
        <v>42614</v>
      </c>
      <c r="B602" s="39">
        <f>VLOOKUP(Table8[[#This Row],[Month]],database!A:J,MATCH('Capacity Utilization'!$A$1,database!$A$1:$J$1,),)</f>
        <v/>
      </c>
      <c r="C602" s="68">
        <f>(VLOOKUP(A602,database!A:K,11,) - VLOOKUP(A590,database!A:K,11,))/VLOOKUP(A590,database!A:K,11,)</f>
        <v/>
      </c>
    </row>
    <row r="603">
      <c r="A603" s="38" t="n">
        <v>42644</v>
      </c>
      <c r="B603" s="39">
        <f>VLOOKUP(Table8[[#This Row],[Month]],database!A:J,MATCH('Capacity Utilization'!$A$1,database!$A$1:$J$1,),)</f>
        <v/>
      </c>
      <c r="C603" s="68">
        <f>(VLOOKUP(A603,database!A:K,11,) - VLOOKUP(A591,database!A:K,11,))/VLOOKUP(A591,database!A:K,11,)</f>
        <v/>
      </c>
    </row>
    <row r="604">
      <c r="A604" s="38" t="n">
        <v>42675</v>
      </c>
      <c r="B604" s="39">
        <f>VLOOKUP(Table8[[#This Row],[Month]],database!A:J,MATCH('Capacity Utilization'!$A$1,database!$A$1:$J$1,),)</f>
        <v/>
      </c>
      <c r="C604" s="68">
        <f>(VLOOKUP(A604,database!A:K,11,) - VLOOKUP(A592,database!A:K,11,))/VLOOKUP(A592,database!A:K,11,)</f>
        <v/>
      </c>
    </row>
    <row r="605">
      <c r="A605" s="38" t="n">
        <v>42705</v>
      </c>
      <c r="B605" s="39">
        <f>VLOOKUP(Table8[[#This Row],[Month]],database!A:J,MATCH('Capacity Utilization'!$A$1,database!$A$1:$J$1,),)</f>
        <v/>
      </c>
      <c r="C605" s="68">
        <f>(VLOOKUP(A605,database!A:K,11,) - VLOOKUP(A593,database!A:K,11,))/VLOOKUP(A593,database!A:K,11,)</f>
        <v/>
      </c>
    </row>
    <row r="606">
      <c r="A606" s="38" t="n">
        <v>42736</v>
      </c>
      <c r="B606" s="39">
        <f>VLOOKUP(Table8[[#This Row],[Month]],database!A:J,MATCH('Capacity Utilization'!$A$1,database!$A$1:$J$1,),)</f>
        <v/>
      </c>
      <c r="C606" s="68">
        <f>(VLOOKUP(A606,database!A:K,11,) - VLOOKUP(A594,database!A:K,11,))/VLOOKUP(A594,database!A:K,11,)</f>
        <v/>
      </c>
    </row>
    <row r="607">
      <c r="A607" s="38" t="n">
        <v>42767</v>
      </c>
      <c r="B607" s="39">
        <f>VLOOKUP(Table8[[#This Row],[Month]],database!A:J,MATCH('Capacity Utilization'!$A$1,database!$A$1:$J$1,),)</f>
        <v/>
      </c>
      <c r="C607" s="68">
        <f>(VLOOKUP(A607,database!A:K,11,) - VLOOKUP(A595,database!A:K,11,))/VLOOKUP(A595,database!A:K,11,)</f>
        <v/>
      </c>
    </row>
    <row r="608">
      <c r="A608" s="38" t="n">
        <v>42795</v>
      </c>
      <c r="B608" s="39">
        <f>VLOOKUP(Table8[[#This Row],[Month]],database!A:J,MATCH('Capacity Utilization'!$A$1,database!$A$1:$J$1,),)</f>
        <v/>
      </c>
      <c r="C608" s="68">
        <f>(VLOOKUP(A608,database!A:K,11,) - VLOOKUP(A596,database!A:K,11,))/VLOOKUP(A596,database!A:K,11,)</f>
        <v/>
      </c>
    </row>
    <row r="609">
      <c r="A609" s="38" t="n">
        <v>42826</v>
      </c>
      <c r="B609" s="39">
        <f>VLOOKUP(Table8[[#This Row],[Month]],database!A:J,MATCH('Capacity Utilization'!$A$1,database!$A$1:$J$1,),)</f>
        <v/>
      </c>
      <c r="C609" s="68">
        <f>(VLOOKUP(A609,database!A:K,11,) - VLOOKUP(A597,database!A:K,11,))/VLOOKUP(A597,database!A:K,11,)</f>
        <v/>
      </c>
    </row>
    <row r="610">
      <c r="A610" s="38" t="n">
        <v>42856</v>
      </c>
      <c r="B610" s="39">
        <f>VLOOKUP(Table8[[#This Row],[Month]],database!A:J,MATCH('Capacity Utilization'!$A$1,database!$A$1:$J$1,),)</f>
        <v/>
      </c>
      <c r="C610" s="68">
        <f>(VLOOKUP(A610,database!A:K,11,) - VLOOKUP(A598,database!A:K,11,))/VLOOKUP(A598,database!A:K,11,)</f>
        <v/>
      </c>
    </row>
    <row r="611">
      <c r="A611" s="38" t="n">
        <v>42887</v>
      </c>
      <c r="B611" s="39">
        <f>VLOOKUP(Table8[[#This Row],[Month]],database!A:J,MATCH('Capacity Utilization'!$A$1,database!$A$1:$J$1,),)</f>
        <v/>
      </c>
      <c r="C611" s="68">
        <f>(VLOOKUP(A611,database!A:K,11,) - VLOOKUP(A599,database!A:K,11,))/VLOOKUP(A599,database!A:K,11,)</f>
        <v/>
      </c>
    </row>
    <row r="612">
      <c r="A612" s="38" t="n">
        <v>42917</v>
      </c>
      <c r="B612" s="39">
        <f>VLOOKUP(Table8[[#This Row],[Month]],database!A:J,MATCH('Capacity Utilization'!$A$1,database!$A$1:$J$1,),)</f>
        <v/>
      </c>
      <c r="C612" s="68">
        <f>(VLOOKUP(A612,database!A:K,11,) - VLOOKUP(A600,database!A:K,11,))/VLOOKUP(A600,database!A:K,11,)</f>
        <v/>
      </c>
    </row>
    <row r="613">
      <c r="A613" s="38" t="n">
        <v>42948</v>
      </c>
      <c r="B613" s="39">
        <f>VLOOKUP(Table8[[#This Row],[Month]],database!A:J,MATCH('Capacity Utilization'!$A$1,database!$A$1:$J$1,),)</f>
        <v/>
      </c>
      <c r="C613" s="68">
        <f>(VLOOKUP(A613,database!A:K,11,) - VLOOKUP(A601,database!A:K,11,))/VLOOKUP(A601,database!A:K,11,)</f>
        <v/>
      </c>
    </row>
    <row r="614">
      <c r="A614" s="38" t="n">
        <v>42979</v>
      </c>
      <c r="B614" s="39">
        <f>VLOOKUP(Table8[[#This Row],[Month]],database!A:J,MATCH('Capacity Utilization'!$A$1,database!$A$1:$J$1,),)</f>
        <v/>
      </c>
      <c r="C614" s="68">
        <f>(VLOOKUP(A614,database!A:K,11,) - VLOOKUP(A602,database!A:K,11,))/VLOOKUP(A602,database!A:K,11,)</f>
        <v/>
      </c>
    </row>
    <row r="615">
      <c r="A615" s="38" t="n">
        <v>43009</v>
      </c>
      <c r="B615" s="39">
        <f>VLOOKUP(Table8[[#This Row],[Month]],database!A:J,MATCH('Capacity Utilization'!$A$1,database!$A$1:$J$1,),)</f>
        <v/>
      </c>
      <c r="C615" s="68">
        <f>(VLOOKUP(A615,database!A:K,11,) - VLOOKUP(A603,database!A:K,11,))/VLOOKUP(A603,database!A:K,11,)</f>
        <v/>
      </c>
    </row>
    <row r="616">
      <c r="A616" s="38" t="n">
        <v>43040</v>
      </c>
      <c r="B616" s="39">
        <f>VLOOKUP(Table8[[#This Row],[Month]],database!A:J,MATCH('Capacity Utilization'!$A$1,database!$A$1:$J$1,),)</f>
        <v/>
      </c>
      <c r="C616" s="68">
        <f>(VLOOKUP(A616,database!A:K,11,) - VLOOKUP(A604,database!A:K,11,))/VLOOKUP(A604,database!A:K,11,)</f>
        <v/>
      </c>
    </row>
    <row r="617">
      <c r="A617" s="38" t="n">
        <v>43070</v>
      </c>
      <c r="B617" s="39">
        <f>VLOOKUP(Table8[[#This Row],[Month]],database!A:J,MATCH('Capacity Utilization'!$A$1,database!$A$1:$J$1,),)</f>
        <v/>
      </c>
      <c r="C617" s="68">
        <f>(VLOOKUP(A617,database!A:K,11,) - VLOOKUP(A605,database!A:K,11,))/VLOOKUP(A605,database!A:K,11,)</f>
        <v/>
      </c>
    </row>
    <row r="618">
      <c r="A618" s="38" t="n">
        <v>43101</v>
      </c>
      <c r="B618" s="39">
        <f>VLOOKUP(Table8[[#This Row],[Month]],database!A:J,MATCH('Capacity Utilization'!$A$1,database!$A$1:$J$1,),)</f>
        <v/>
      </c>
      <c r="C618" s="68">
        <f>(VLOOKUP(A618,database!A:K,11,) - VLOOKUP(A606,database!A:K,11,))/VLOOKUP(A606,database!A:K,11,)</f>
        <v/>
      </c>
    </row>
    <row r="619">
      <c r="A619" s="38" t="n">
        <v>43132</v>
      </c>
      <c r="B619" s="39">
        <f>VLOOKUP(Table8[[#This Row],[Month]],database!A:J,MATCH('Capacity Utilization'!$A$1,database!$A$1:$J$1,),)</f>
        <v/>
      </c>
      <c r="C619" s="68">
        <f>(VLOOKUP(A619,database!A:K,11,) - VLOOKUP(A607,database!A:K,11,))/VLOOKUP(A607,database!A:K,11,)</f>
        <v/>
      </c>
    </row>
    <row r="620">
      <c r="A620" s="38" t="n">
        <v>43160</v>
      </c>
      <c r="B620" s="39">
        <f>VLOOKUP(Table8[[#This Row],[Month]],database!A:J,MATCH('Capacity Utilization'!$A$1,database!$A$1:$J$1,),)</f>
        <v/>
      </c>
      <c r="C620" s="68">
        <f>(VLOOKUP(A620,database!A:K,11,) - VLOOKUP(A608,database!A:K,11,))/VLOOKUP(A608,database!A:K,11,)</f>
        <v/>
      </c>
    </row>
    <row r="621">
      <c r="A621" s="38" t="n">
        <v>43191</v>
      </c>
      <c r="B621" s="39">
        <f>VLOOKUP(Table8[[#This Row],[Month]],database!A:J,MATCH('Capacity Utilization'!$A$1,database!$A$1:$J$1,),)</f>
        <v/>
      </c>
      <c r="C621" s="68">
        <f>(VLOOKUP(A621,database!A:K,11,) - VLOOKUP(A609,database!A:K,11,))/VLOOKUP(A609,database!A:K,11,)</f>
        <v/>
      </c>
    </row>
    <row r="622">
      <c r="A622" s="38" t="n">
        <v>43221</v>
      </c>
      <c r="B622" s="39">
        <f>VLOOKUP(Table8[[#This Row],[Month]],database!A:J,MATCH('Capacity Utilization'!$A$1,database!$A$1:$J$1,),)</f>
        <v/>
      </c>
      <c r="C622" s="68">
        <f>(VLOOKUP(A622,database!A:K,11,) - VLOOKUP(A610,database!A:K,11,))/VLOOKUP(A610,database!A:K,11,)</f>
        <v/>
      </c>
    </row>
    <row r="623">
      <c r="A623" s="38" t="n">
        <v>43252</v>
      </c>
      <c r="B623" s="39">
        <f>VLOOKUP(Table8[[#This Row],[Month]],database!A:J,MATCH('Capacity Utilization'!$A$1,database!$A$1:$J$1,),)</f>
        <v/>
      </c>
      <c r="C623" s="68">
        <f>(VLOOKUP(A623,database!A:K,11,) - VLOOKUP(A611,database!A:K,11,))/VLOOKUP(A611,database!A:K,11,)</f>
        <v/>
      </c>
    </row>
    <row r="624">
      <c r="A624" s="38" t="n">
        <v>43282</v>
      </c>
      <c r="B624" s="39">
        <f>VLOOKUP(Table8[[#This Row],[Month]],database!A:J,MATCH('Capacity Utilization'!$A$1,database!$A$1:$J$1,),)</f>
        <v/>
      </c>
      <c r="C624" s="68">
        <f>(VLOOKUP(A624,database!A:K,11,) - VLOOKUP(A612,database!A:K,11,))/VLOOKUP(A612,database!A:K,11,)</f>
        <v/>
      </c>
    </row>
    <row r="625">
      <c r="A625" s="38" t="n">
        <v>43313</v>
      </c>
      <c r="B625" s="39">
        <f>VLOOKUP(Table8[[#This Row],[Month]],database!A:J,MATCH('Capacity Utilization'!$A$1,database!$A$1:$J$1,),)</f>
        <v/>
      </c>
      <c r="C625" s="68">
        <f>(VLOOKUP(A625,database!A:K,11,) - VLOOKUP(A613,database!A:K,11,))/VLOOKUP(A613,database!A:K,11,)</f>
        <v/>
      </c>
    </row>
    <row r="626">
      <c r="A626" s="38" t="n">
        <v>43344</v>
      </c>
      <c r="B626" s="39">
        <f>VLOOKUP(Table8[[#This Row],[Month]],database!A:J,MATCH('Capacity Utilization'!$A$1,database!$A$1:$J$1,),)</f>
        <v/>
      </c>
      <c r="C626" s="68">
        <f>(VLOOKUP(A626,database!A:K,11,) - VLOOKUP(A614,database!A:K,11,))/VLOOKUP(A614,database!A:K,11,)</f>
        <v/>
      </c>
    </row>
    <row r="627">
      <c r="A627" s="38" t="n">
        <v>43374</v>
      </c>
      <c r="B627" s="39">
        <f>VLOOKUP(Table8[[#This Row],[Month]],database!A:J,MATCH('Capacity Utilization'!$A$1,database!$A$1:$J$1,),)</f>
        <v/>
      </c>
      <c r="C627" s="68">
        <f>(VLOOKUP(A627,database!A:K,11,) - VLOOKUP(A615,database!A:K,11,))/VLOOKUP(A615,database!A:K,11,)</f>
        <v/>
      </c>
    </row>
    <row r="628">
      <c r="A628" s="38" t="n">
        <v>43405</v>
      </c>
      <c r="B628" s="39">
        <f>VLOOKUP(Table8[[#This Row],[Month]],database!A:J,MATCH('Capacity Utilization'!$A$1,database!$A$1:$J$1,),)</f>
        <v/>
      </c>
      <c r="C628" s="68">
        <f>(VLOOKUP(A628,database!A:K,11,) - VLOOKUP(A616,database!A:K,11,))/VLOOKUP(A616,database!A:K,11,)</f>
        <v/>
      </c>
    </row>
    <row r="629">
      <c r="A629" s="38" t="n">
        <v>43435</v>
      </c>
      <c r="B629" s="39">
        <f>VLOOKUP(Table8[[#This Row],[Month]],database!A:J,MATCH('Capacity Utilization'!$A$1,database!$A$1:$J$1,),)</f>
        <v/>
      </c>
      <c r="C629" s="68">
        <f>(VLOOKUP(A629,database!A:K,11,) - VLOOKUP(A617,database!A:K,11,))/VLOOKUP(A617,database!A:K,11,)</f>
        <v/>
      </c>
    </row>
    <row r="630">
      <c r="A630" s="38" t="n">
        <v>43466</v>
      </c>
      <c r="B630" s="39">
        <f>VLOOKUP(Table8[[#This Row],[Month]],database!A:J,MATCH('Capacity Utilization'!$A$1,database!$A$1:$J$1,),)</f>
        <v/>
      </c>
      <c r="C630" s="68">
        <f>(VLOOKUP(A630,database!A:K,11,) - VLOOKUP(A618,database!A:K,11,))/VLOOKUP(A618,database!A:K,11,)</f>
        <v/>
      </c>
    </row>
    <row r="631">
      <c r="A631" s="38" t="n">
        <v>43497</v>
      </c>
      <c r="B631" s="39">
        <f>VLOOKUP(Table8[[#This Row],[Month]],database!A:J,MATCH('Capacity Utilization'!$A$1,database!$A$1:$J$1,),)</f>
        <v/>
      </c>
      <c r="C631" s="68">
        <f>(VLOOKUP(A631,database!A:K,11,) - VLOOKUP(A619,database!A:K,11,))/VLOOKUP(A619,database!A:K,11,)</f>
        <v/>
      </c>
    </row>
    <row r="632">
      <c r="A632" s="38" t="n">
        <v>43525</v>
      </c>
      <c r="B632" s="39">
        <f>VLOOKUP(Table8[[#This Row],[Month]],database!A:J,MATCH('Capacity Utilization'!$A$1,database!$A$1:$J$1,),)</f>
        <v/>
      </c>
      <c r="C632" s="68">
        <f>(VLOOKUP(A632,database!A:K,11,) - VLOOKUP(A620,database!A:K,11,))/VLOOKUP(A620,database!A:K,11,)</f>
        <v/>
      </c>
    </row>
    <row r="633">
      <c r="A633" s="38" t="n">
        <v>43556</v>
      </c>
      <c r="B633" s="39">
        <f>VLOOKUP(Table8[[#This Row],[Month]],database!A:J,MATCH('Capacity Utilization'!$A$1,database!$A$1:$J$1,),)</f>
        <v/>
      </c>
      <c r="C633" s="68">
        <f>(VLOOKUP(A633,database!A:K,11,) - VLOOKUP(A621,database!A:K,11,))/VLOOKUP(A621,database!A:K,11,)</f>
        <v/>
      </c>
    </row>
    <row r="634">
      <c r="A634" s="38" t="n">
        <v>43586</v>
      </c>
      <c r="B634" s="39">
        <f>VLOOKUP(Table8[[#This Row],[Month]],database!A:J,MATCH('Capacity Utilization'!$A$1,database!$A$1:$J$1,),)</f>
        <v/>
      </c>
      <c r="C634" s="68">
        <f>(VLOOKUP(A634,database!A:K,11,) - VLOOKUP(A622,database!A:K,11,))/VLOOKUP(A622,database!A:K,11,)</f>
        <v/>
      </c>
    </row>
    <row r="635">
      <c r="A635" s="38" t="n">
        <v>43617</v>
      </c>
      <c r="B635" s="39">
        <f>VLOOKUP(Table8[[#This Row],[Month]],database!A:J,MATCH('Capacity Utilization'!$A$1,database!$A$1:$J$1,),)</f>
        <v/>
      </c>
      <c r="C635" s="68">
        <f>(VLOOKUP(A635,database!A:K,11,) - VLOOKUP(A623,database!A:K,11,))/VLOOKUP(A623,database!A:K,11,)</f>
        <v/>
      </c>
    </row>
    <row r="636">
      <c r="A636" s="38" t="n">
        <v>43647</v>
      </c>
      <c r="B636" s="39">
        <f>VLOOKUP(Table8[[#This Row],[Month]],database!A:J,MATCH('Capacity Utilization'!$A$1,database!$A$1:$J$1,),)</f>
        <v/>
      </c>
      <c r="C636" s="68">
        <f>(VLOOKUP(A636,database!A:K,11,) - VLOOKUP(A624,database!A:K,11,))/VLOOKUP(A624,database!A:K,11,)</f>
        <v/>
      </c>
    </row>
    <row r="637">
      <c r="A637" s="38" t="n">
        <v>43678</v>
      </c>
      <c r="B637" s="39">
        <f>VLOOKUP(Table8[[#This Row],[Month]],database!A:J,MATCH('Capacity Utilization'!$A$1,database!$A$1:$J$1,),)</f>
        <v/>
      </c>
      <c r="C637" s="68">
        <f>(VLOOKUP(A637,database!A:K,11,) - VLOOKUP(A625,database!A:K,11,))/VLOOKUP(A625,database!A:K,11,)</f>
        <v/>
      </c>
    </row>
    <row r="638">
      <c r="A638" s="38" t="n">
        <v>43709</v>
      </c>
      <c r="B638" s="39">
        <f>VLOOKUP(Table8[[#This Row],[Month]],database!A:J,MATCH('Capacity Utilization'!$A$1,database!$A$1:$J$1,),)</f>
        <v/>
      </c>
      <c r="C638" s="68">
        <f>(VLOOKUP(A638,database!A:K,11,) - VLOOKUP(A626,database!A:K,11,))/VLOOKUP(A626,database!A:K,11,)</f>
        <v/>
      </c>
    </row>
    <row r="639">
      <c r="A639" s="38" t="n">
        <v>43739</v>
      </c>
      <c r="B639" s="39">
        <f>VLOOKUP(Table8[[#This Row],[Month]],database!A:J,MATCH('Capacity Utilization'!$A$1,database!$A$1:$J$1,),)</f>
        <v/>
      </c>
      <c r="C639" s="68">
        <f>(VLOOKUP(A639,database!A:K,11,) - VLOOKUP(A627,database!A:K,11,))/VLOOKUP(A627,database!A:K,11,)</f>
        <v/>
      </c>
    </row>
    <row r="640">
      <c r="A640" s="38" t="n">
        <v>43770</v>
      </c>
      <c r="B640" s="39">
        <f>VLOOKUP(Table8[[#This Row],[Month]],database!A:J,MATCH('Capacity Utilization'!$A$1,database!$A$1:$J$1,),)</f>
        <v/>
      </c>
      <c r="C640" s="68">
        <f>(VLOOKUP(A640,database!A:K,11,) - VLOOKUP(A628,database!A:K,11,))/VLOOKUP(A628,database!A:K,11,)</f>
        <v/>
      </c>
    </row>
    <row r="641">
      <c r="A641" s="38" t="n">
        <v>43800</v>
      </c>
      <c r="B641" s="39">
        <f>VLOOKUP(Table8[[#This Row],[Month]],database!A:J,MATCH('Capacity Utilization'!$A$1,database!$A$1:$J$1,),)</f>
        <v/>
      </c>
      <c r="C641" s="68">
        <f>(VLOOKUP(A641,database!A:K,11,) - VLOOKUP(A629,database!A:K,11,))/VLOOKUP(A629,database!A:K,11,)</f>
        <v/>
      </c>
    </row>
    <row r="642">
      <c r="A642" s="38" t="n">
        <v>43831</v>
      </c>
      <c r="B642" s="39">
        <f>VLOOKUP(Table8[[#This Row],[Month]],database!A:J,MATCH('Capacity Utilization'!$A$1,database!$A$1:$J$1,),)</f>
        <v/>
      </c>
      <c r="C642" s="68">
        <f>(VLOOKUP(A642,database!A:K,11,) - VLOOKUP(A630,database!A:K,11,))/VLOOKUP(A630,database!A:K,11,)</f>
        <v/>
      </c>
    </row>
    <row r="643">
      <c r="A643" s="38" t="n">
        <v>43862</v>
      </c>
      <c r="B643" s="39">
        <f>VLOOKUP(Table8[[#This Row],[Month]],database!A:J,MATCH('Capacity Utilization'!$A$1,database!$A$1:$J$1,),)</f>
        <v/>
      </c>
      <c r="C643" s="68">
        <f>(VLOOKUP(A643,database!A:K,11,) - VLOOKUP(A631,database!A:K,11,))/VLOOKUP(A631,database!A:K,11,)</f>
        <v/>
      </c>
    </row>
    <row r="644">
      <c r="A644" s="38" t="n">
        <v>43891</v>
      </c>
      <c r="B644" s="39">
        <f>VLOOKUP(Table8[[#This Row],[Month]],database!A:J,MATCH('Capacity Utilization'!$A$1,database!$A$1:$J$1,),)</f>
        <v/>
      </c>
      <c r="C644" s="68">
        <f>(VLOOKUP(A644,database!A:K,11,) - VLOOKUP(A632,database!A:K,11,))/VLOOKUP(A632,database!A:K,11,)</f>
        <v/>
      </c>
    </row>
    <row r="645">
      <c r="A645" s="38" t="n">
        <v>43922</v>
      </c>
      <c r="B645" s="39">
        <f>VLOOKUP(Table8[[#This Row],[Month]],database!A:J,MATCH('Capacity Utilization'!$A$1,database!$A$1:$J$1,),)</f>
        <v/>
      </c>
      <c r="C645" s="68">
        <f>(VLOOKUP(A645,database!A:K,11,) - VLOOKUP(A633,database!A:K,11,))/VLOOKUP(A633,database!A:K,11,)</f>
        <v/>
      </c>
    </row>
    <row r="646">
      <c r="A646" s="38" t="n">
        <v>43952</v>
      </c>
      <c r="B646" s="39">
        <f>VLOOKUP(Table8[[#This Row],[Month]],database!A:J,MATCH('Capacity Utilization'!$A$1,database!$A$1:$J$1,),)</f>
        <v/>
      </c>
      <c r="C646" s="68">
        <f>(VLOOKUP(A646,database!A:K,11,) - VLOOKUP(A634,database!A:K,11,))/VLOOKUP(A634,database!A:K,11,)</f>
        <v/>
      </c>
    </row>
    <row r="647">
      <c r="A647" s="38" t="n">
        <v>43983</v>
      </c>
      <c r="B647" s="39">
        <f>VLOOKUP(Table8[[#This Row],[Month]],database!A:J,MATCH('Capacity Utilization'!$A$1,database!$A$1:$J$1,),)</f>
        <v/>
      </c>
      <c r="C647" s="68">
        <f>(VLOOKUP(A647,database!A:K,11,) - VLOOKUP(A635,database!A:K,11,))/VLOOKUP(A635,database!A:K,11,)</f>
        <v/>
      </c>
    </row>
    <row r="648">
      <c r="A648" s="38" t="n">
        <v>44013</v>
      </c>
      <c r="B648" s="39">
        <f>VLOOKUP(Table8[[#This Row],[Month]],database!A:J,MATCH('Capacity Utilization'!$A$1,database!$A$1:$J$1,),)</f>
        <v/>
      </c>
      <c r="C648" s="68">
        <f>(VLOOKUP(A648,database!A:K,11,) - VLOOKUP(A636,database!A:K,11,))/VLOOKUP(A636,database!A:K,11,)</f>
        <v/>
      </c>
    </row>
    <row r="649">
      <c r="A649" s="38" t="n">
        <v>44044</v>
      </c>
      <c r="B649" s="39">
        <f>VLOOKUP(Table8[[#This Row],[Month]],database!A:J,MATCH('Capacity Utilization'!$A$1,database!$A$1:$J$1,),)</f>
        <v/>
      </c>
      <c r="C649" s="68">
        <f>(VLOOKUP(A649,database!A:K,11,) - VLOOKUP(A637,database!A:K,11,))/VLOOKUP(A637,database!A:K,11,)</f>
        <v/>
      </c>
    </row>
    <row r="650">
      <c r="A650" s="38" t="n">
        <v>44075</v>
      </c>
      <c r="B650" s="39">
        <f>VLOOKUP(Table8[[#This Row],[Month]],database!A:J,MATCH('Capacity Utilization'!$A$1,database!$A$1:$J$1,),)</f>
        <v/>
      </c>
      <c r="C650" s="68">
        <f>(VLOOKUP(A650,database!A:K,11,) - VLOOKUP(A638,database!A:K,11,))/VLOOKUP(A638,database!A:K,11,)</f>
        <v/>
      </c>
    </row>
    <row r="651">
      <c r="A651" s="38" t="n">
        <v>44105</v>
      </c>
      <c r="B651" s="39">
        <f>VLOOKUP(Table8[[#This Row],[Month]],database!A:J,MATCH('Capacity Utilization'!$A$1,database!$A$1:$J$1,),)</f>
        <v/>
      </c>
      <c r="C651" s="68">
        <f>(VLOOKUP(A651,database!A:K,11,) - VLOOKUP(A639,database!A:K,11,))/VLOOKUP(A639,database!A:K,11,)</f>
        <v/>
      </c>
    </row>
    <row r="652">
      <c r="A652" s="38" t="n">
        <v>44136</v>
      </c>
      <c r="B652" s="39">
        <f>VLOOKUP(Table8[[#This Row],[Month]],database!A:J,MATCH('Capacity Utilization'!$A$1,database!$A$1:$J$1,),)</f>
        <v/>
      </c>
      <c r="C652" s="68">
        <f>(VLOOKUP(A652,database!A:K,11,) - VLOOKUP(A640,database!A:K,11,))/VLOOKUP(A640,database!A:K,11,)</f>
        <v/>
      </c>
    </row>
    <row r="653">
      <c r="A653" s="38" t="n">
        <v>44166</v>
      </c>
      <c r="B653" s="39">
        <f>VLOOKUP(Table8[[#This Row],[Month]],database!A:J,MATCH('Capacity Utilization'!$A$1,database!$A$1:$J$1,),)</f>
        <v/>
      </c>
      <c r="C653" s="68">
        <f>(VLOOKUP(A653,database!A:K,11,) - VLOOKUP(A641,database!A:K,11,))/VLOOKUP(A641,database!A:K,11,)</f>
        <v/>
      </c>
    </row>
    <row r="654">
      <c r="A654" s="38" t="n">
        <v>44197</v>
      </c>
      <c r="B654" s="39">
        <f>VLOOKUP(Table8[[#This Row],[Month]],database!A:J,MATCH('Capacity Utilization'!$A$1,database!$A$1:$J$1,),)</f>
        <v/>
      </c>
      <c r="C654" s="68">
        <f>(VLOOKUP(A654,database!A:K,11,) - VLOOKUP(A642,database!A:K,11,))/VLOOKUP(A642,database!A:K,11,)</f>
        <v/>
      </c>
    </row>
    <row r="655">
      <c r="A655" s="38" t="n">
        <v>44228</v>
      </c>
      <c r="B655" s="39">
        <f>VLOOKUP(Table8[[#This Row],[Month]],database!A:J,MATCH('Capacity Utilization'!$A$1,database!$A$1:$J$1,),)</f>
        <v/>
      </c>
      <c r="C655" s="68">
        <f>(VLOOKUP(A655,database!A:K,11,) - VLOOKUP(A643,database!A:K,11,))/VLOOKUP(A643,database!A:K,11,)</f>
        <v/>
      </c>
    </row>
    <row r="656">
      <c r="A656" s="38" t="n">
        <v>44256</v>
      </c>
      <c r="B656" s="39">
        <f>VLOOKUP(Table8[[#This Row],[Month]],database!A:J,MATCH('Capacity Utilization'!$A$1,database!$A$1:$J$1,),)</f>
        <v/>
      </c>
      <c r="C656" s="68">
        <f>(VLOOKUP(A656,database!A:K,11,) - VLOOKUP(A644,database!A:K,11,))/VLOOKUP(A644,database!A:K,11,)</f>
        <v/>
      </c>
    </row>
    <row r="657">
      <c r="A657" s="38" t="n">
        <v>44287</v>
      </c>
      <c r="B657" s="39">
        <f>VLOOKUP(Table8[[#This Row],[Month]],database!A:J,MATCH('Capacity Utilization'!$A$1,database!$A$1:$J$1,),)</f>
        <v/>
      </c>
      <c r="C657" s="68">
        <f>(VLOOKUP(A657,database!A:K,11,) - VLOOKUP(A645,database!A:K,11,))/VLOOKUP(A645,database!A:K,11,)</f>
        <v/>
      </c>
    </row>
    <row r="658">
      <c r="A658" s="38" t="n">
        <v>44317</v>
      </c>
      <c r="B658" s="39">
        <f>VLOOKUP(Table8[[#This Row],[Month]],database!A:J,MATCH('Capacity Utilization'!$A$1,database!$A$1:$J$1,),)</f>
        <v/>
      </c>
      <c r="C658" s="68">
        <f>(VLOOKUP(A658,database!A:K,11,) - VLOOKUP(A646,database!A:K,11,))/VLOOKUP(A646,database!A:K,11,)</f>
        <v/>
      </c>
    </row>
    <row r="659">
      <c r="A659" s="38" t="n">
        <v>44348</v>
      </c>
      <c r="B659" s="39">
        <f>VLOOKUP(Table8[[#This Row],[Month]],database!A:J,MATCH('Capacity Utilization'!$A$1,database!$A$1:$J$1,),)</f>
        <v/>
      </c>
      <c r="C659" s="68">
        <f>(VLOOKUP(A659,database!A:K,11,) - VLOOKUP(A647,database!A:K,11,))/VLOOKUP(A647,database!A:K,11,)</f>
        <v/>
      </c>
    </row>
    <row r="660">
      <c r="A660" s="38" t="n">
        <v>44378</v>
      </c>
      <c r="B660" s="39">
        <f>VLOOKUP(Table8[[#This Row],[Month]],database!A:J,MATCH('Capacity Utilization'!$A$1,database!$A$1:$J$1,),)</f>
        <v/>
      </c>
      <c r="C660" s="68">
        <f>(VLOOKUP(A660,database!A:K,11,) - VLOOKUP(A648,database!A:K,11,))/VLOOKUP(A648,database!A:K,11,)</f>
        <v/>
      </c>
    </row>
    <row r="661">
      <c r="A661" s="38" t="n">
        <v>44409</v>
      </c>
      <c r="B661" s="39">
        <f>VLOOKUP(Table8[[#This Row],[Month]],database!A:J,MATCH('Capacity Utilization'!$A$1,database!$A$1:$J$1,),)</f>
        <v/>
      </c>
      <c r="C661" s="68">
        <f>(VLOOKUP(A661,database!A:K,11,) - VLOOKUP(A649,database!A:K,11,))/VLOOKUP(A649,database!A:K,11,)</f>
        <v/>
      </c>
    </row>
    <row r="662">
      <c r="A662" s="38" t="n">
        <v>44440</v>
      </c>
      <c r="B662" s="39">
        <f>VLOOKUP(Table8[[#This Row],[Month]],database!A:J,MATCH('Capacity Utilization'!$A$1,database!$A$1:$J$1,),)</f>
        <v/>
      </c>
      <c r="C662" s="68">
        <f>(VLOOKUP(A662,database!A:K,11,) - VLOOKUP(A650,database!A:K,11,))/VLOOKUP(A650,database!A:K,11,)</f>
        <v/>
      </c>
    </row>
    <row r="663">
      <c r="A663" s="38" t="n">
        <v>44470</v>
      </c>
      <c r="B663" s="39">
        <f>VLOOKUP(Table8[[#This Row],[Month]],database!A:J,MATCH('Capacity Utilization'!$A$1,database!$A$1:$J$1,),)</f>
        <v/>
      </c>
      <c r="C663" s="68">
        <f>(VLOOKUP(A663,database!A:K,11,) - VLOOKUP(A651,database!A:K,11,))/VLOOKUP(A651,database!A:K,11,)</f>
        <v/>
      </c>
    </row>
    <row r="664">
      <c r="A664" s="38" t="n">
        <v>44501</v>
      </c>
      <c r="B664" s="39">
        <f>VLOOKUP(Table8[[#This Row],[Month]],database!A:J,MATCH('Capacity Utilization'!$A$1,database!$A$1:$J$1,),)</f>
        <v/>
      </c>
      <c r="C664" s="68">
        <f>(VLOOKUP(A664,database!A:K,11,) - VLOOKUP(A652,database!A:K,11,))/VLOOKUP(A652,database!A:K,11,)</f>
        <v/>
      </c>
    </row>
    <row r="665">
      <c r="A665" s="38" t="n">
        <v>44531</v>
      </c>
      <c r="B665" s="39">
        <f>VLOOKUP(Table8[[#This Row],[Month]],database!A:J,MATCH('Capacity Utilization'!$A$1,database!$A$1:$J$1,),)</f>
        <v/>
      </c>
      <c r="C665" s="68">
        <f>(VLOOKUP(A665,database!A:K,11,) - VLOOKUP(A653,database!A:K,11,))/VLOOKUP(A653,database!A:K,11,)</f>
        <v/>
      </c>
    </row>
    <row r="666">
      <c r="A666" s="38" t="n">
        <v>44562</v>
      </c>
      <c r="B666" s="39">
        <f>VLOOKUP(Table8[[#This Row],[Month]],database!A:J,MATCH('Capacity Utilization'!$A$1,database!$A$1:$J$1,),)</f>
        <v/>
      </c>
      <c r="C666" s="68">
        <f>(VLOOKUP(A666,database!A:K,11,) - VLOOKUP(A654,database!A:K,11,))/VLOOKUP(A654,database!A:K,11,)</f>
        <v/>
      </c>
    </row>
    <row r="667">
      <c r="A667" s="38" t="n">
        <v>44593</v>
      </c>
      <c r="B667" s="39">
        <f>VLOOKUP(Table8[[#This Row],[Month]],database!A:J,MATCH('Capacity Utilization'!$A$1,database!$A$1:$J$1,),)</f>
        <v/>
      </c>
      <c r="C667" s="68">
        <f>(VLOOKUP(A667,database!A:K,11,) - VLOOKUP(A655,database!A:K,11,))/VLOOKUP(A655,database!A:K,11,)</f>
        <v/>
      </c>
    </row>
    <row r="668">
      <c r="A668" s="38" t="n">
        <v>44621</v>
      </c>
      <c r="B668" s="39">
        <f>VLOOKUP(Table8[[#This Row],[Month]],database!A:J,MATCH('Capacity Utilization'!$A$1,database!$A$1:$J$1,),)</f>
        <v/>
      </c>
      <c r="C668" s="68">
        <f>(VLOOKUP(A668,database!A:K,11,) - VLOOKUP(A656,database!A:K,11,))/VLOOKUP(A656,database!A:K,11,)</f>
        <v/>
      </c>
    </row>
    <row r="669">
      <c r="A669" s="38" t="n">
        <v>44652</v>
      </c>
      <c r="B669" s="39">
        <f>VLOOKUP(Table8[[#This Row],[Month]],database!A:J,MATCH('Capacity Utilization'!$A$1,database!$A$1:$J$1,),)</f>
        <v/>
      </c>
      <c r="C669" s="68">
        <f>(VLOOKUP(A669,database!A:K,11,) - VLOOKUP(A657,database!A:K,11,))/VLOOKUP(A657,database!A:K,11,)</f>
        <v/>
      </c>
    </row>
    <row r="670">
      <c r="A670" s="38" t="n">
        <v>44682</v>
      </c>
      <c r="B670" s="39">
        <f>VLOOKUP(Table8[[#This Row],[Month]],database!A:J,MATCH('Capacity Utilization'!$A$1,database!$A$1:$J$1,),)</f>
        <v/>
      </c>
      <c r="C670" s="68">
        <f>(VLOOKUP(A670,database!A:K,11,) - VLOOKUP(A658,database!A:K,11,))/VLOOKUP(A658,database!A:K,11,)</f>
        <v/>
      </c>
    </row>
    <row r="671">
      <c r="A671" s="38" t="n">
        <v>44713</v>
      </c>
      <c r="B671" s="39">
        <f>VLOOKUP(Table8[[#This Row],[Month]],database!A:J,MATCH('Capacity Utilization'!$A$1,database!$A$1:$J$1,),)</f>
        <v/>
      </c>
      <c r="C671" s="68">
        <f>(VLOOKUP(A671,database!A:K,11,) - VLOOKUP(A659,database!A:K,11,))/VLOOKUP(A659,database!A:K,11,)</f>
        <v/>
      </c>
    </row>
    <row r="672">
      <c r="A672" s="38" t="n">
        <v>44743</v>
      </c>
      <c r="B672" s="39">
        <f>VLOOKUP(Table8[[#This Row],[Month]],database!A:J,MATCH('Capacity Utilization'!$A$1,database!$A$1:$J$1,),)</f>
        <v/>
      </c>
      <c r="C672" s="68">
        <f>(VLOOKUP(A672,database!A:K,11,) - VLOOKUP(A660,database!A:K,11,))/VLOOKUP(A660,database!A:K,11,)</f>
        <v/>
      </c>
    </row>
    <row r="673">
      <c r="A673" s="38" t="n">
        <v>44774</v>
      </c>
      <c r="B673" s="39">
        <f>VLOOKUP(Table8[[#This Row],[Month]],database!A:J,MATCH('Capacity Utilization'!$A$1,database!$A$1:$J$1,),)</f>
        <v/>
      </c>
      <c r="C673" s="68">
        <f>(VLOOKUP(A673,database!A:K,11,) - VLOOKUP(A661,database!A:K,11,))/VLOOKUP(A661,database!A:K,11,)</f>
        <v/>
      </c>
    </row>
    <row r="674">
      <c r="A674" s="38" t="n">
        <v>44805</v>
      </c>
      <c r="B674" s="39">
        <f>VLOOKUP(Table8[[#This Row],[Month]],database!A:J,MATCH('Capacity Utilization'!$A$1,database!$A$1:$J$1,),)</f>
        <v/>
      </c>
      <c r="C674" s="68">
        <f>(VLOOKUP(A674,database!A:K,11,) - VLOOKUP(A662,database!A:K,11,))/VLOOKUP(A662,database!A:K,11,)</f>
        <v/>
      </c>
    </row>
    <row r="675">
      <c r="A675" s="38" t="n">
        <v>44835</v>
      </c>
      <c r="B675" s="39">
        <f>VLOOKUP(Table8[[#This Row],[Month]],database!A:J,MATCH('Capacity Utilization'!$A$1,database!$A$1:$J$1,),)</f>
        <v/>
      </c>
      <c r="C675" s="68">
        <f>(VLOOKUP(A675,database!A:K,11,) - VLOOKUP(A663,database!A:K,11,))/VLOOKUP(A663,database!A:K,11,)</f>
        <v/>
      </c>
    </row>
    <row r="676">
      <c r="A676" s="38" t="n">
        <v>44866</v>
      </c>
      <c r="B676" s="39">
        <f>VLOOKUP(Table8[[#This Row],[Month]],database!A:J,MATCH('Capacity Utilization'!$A$1,database!$A$1:$J$1,),)</f>
        <v/>
      </c>
      <c r="C676" s="68">
        <f>(VLOOKUP(A676,database!A:K,11,) - VLOOKUP(A664,database!A:K,11,))/VLOOKUP(A664,database!A:K,11,)</f>
        <v/>
      </c>
    </row>
    <row r="677">
      <c r="A677" s="38" t="n">
        <v>44896</v>
      </c>
      <c r="B677" s="39">
        <f>VLOOKUP(Table8[[#This Row],[Month]],database!A:J,MATCH('Capacity Utilization'!$A$1,database!$A$1:$J$1,),)</f>
        <v/>
      </c>
      <c r="C677" s="68">
        <f>(VLOOKUP(A677,database!A:K,11,) - VLOOKUP(A665,database!A:K,11,))/VLOOKUP(A665,database!A:K,11,)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8"/>
  <sheetViews>
    <sheetView zoomScale="120" zoomScaleNormal="120" workbookViewId="0">
      <pane ySplit="6" topLeftCell="A593" activePane="bottomLeft" state="frozen"/>
      <selection activeCell="A572" sqref="A572:D575"/>
      <selection pane="bottomLeft" activeCell="A611" sqref="A611: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IPMAT</t>
        </is>
      </c>
      <c r="B1" s="79" t="n"/>
      <c r="C1" s="79" t="n"/>
      <c r="S1" s="54" t="inlineStr">
        <is>
          <t>Industrial Production: Materials</t>
        </is>
      </c>
      <c r="T1" s="62" t="inlineStr">
        <is>
          <t xml:space="preserve"> since 2010</t>
        </is>
      </c>
      <c r="U1" s="79">
        <f>S1&amp;T1</f>
        <v/>
      </c>
      <c r="Y1" s="60">
        <f>U2&amp; T1</f>
        <v/>
      </c>
    </row>
    <row r="2">
      <c r="A2" s="16" t="n"/>
      <c r="B2" s="79" t="n"/>
      <c r="C2" s="79" t="n"/>
      <c r="S2" s="55" t="n"/>
      <c r="T2" s="62" t="n"/>
      <c r="U2" s="79">
        <f>S1&amp;Table17[[#Headers],[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VLOOKUP(Table17[[#This Row],[Date]],database!A:H,7,)</f>
        <v/>
      </c>
      <c r="C7" s="65" t="n"/>
      <c r="D7" s="65" t="n"/>
    </row>
    <row r="8">
      <c r="A8" s="17" t="n">
        <v>26330</v>
      </c>
      <c r="B8" s="58">
        <f>VLOOKUP(Table17[[#This Row],[Date]],database!A:H,7,)</f>
        <v/>
      </c>
      <c r="C8" s="66">
        <f>B8/B7-1</f>
        <v/>
      </c>
      <c r="D8" s="66" t="n"/>
    </row>
    <row r="9">
      <c r="A9" s="17" t="n">
        <v>26359</v>
      </c>
      <c r="B9" s="58">
        <f>VLOOKUP(Table17[[#This Row],[Date]],database!A:H,7,)</f>
        <v/>
      </c>
      <c r="C9" s="66">
        <f>B9/B8-1</f>
        <v/>
      </c>
      <c r="D9" s="66" t="n"/>
    </row>
    <row r="10">
      <c r="A10" s="17" t="n">
        <v>26390</v>
      </c>
      <c r="B10" s="58">
        <f>VLOOKUP(Table17[[#This Row],[Date]],database!A:H,7,)</f>
        <v/>
      </c>
      <c r="C10" s="66">
        <f>B10/B9-1</f>
        <v/>
      </c>
      <c r="D10" s="66" t="n"/>
    </row>
    <row r="11">
      <c r="A11" s="17" t="n">
        <v>26420</v>
      </c>
      <c r="B11" s="58">
        <f>VLOOKUP(Table17[[#This Row],[Date]],database!A:H,7,)</f>
        <v/>
      </c>
      <c r="C11" s="66">
        <f>B11/B10-1</f>
        <v/>
      </c>
      <c r="D11" s="66" t="n"/>
    </row>
    <row r="12">
      <c r="A12" s="17" t="n">
        <v>26451</v>
      </c>
      <c r="B12" s="58">
        <f>VLOOKUP(Table17[[#This Row],[Date]],database!A:H,7,)</f>
        <v/>
      </c>
      <c r="C12" s="66">
        <f>B12/B11-1</f>
        <v/>
      </c>
      <c r="D12" s="66" t="n"/>
    </row>
    <row r="13">
      <c r="A13" s="17" t="n">
        <v>26481</v>
      </c>
      <c r="B13" s="58">
        <f>VLOOKUP(Table17[[#This Row],[Date]],database!A:H,7,)</f>
        <v/>
      </c>
      <c r="C13" s="66">
        <f>B13/B12-1</f>
        <v/>
      </c>
      <c r="D13" s="66" t="n"/>
    </row>
    <row r="14">
      <c r="A14" s="17" t="n">
        <v>26512</v>
      </c>
      <c r="B14" s="58">
        <f>VLOOKUP(Table17[[#This Row],[Date]],database!A:H,7,)</f>
        <v/>
      </c>
      <c r="C14" s="66">
        <f>B14/B13-1</f>
        <v/>
      </c>
      <c r="D14" s="66" t="n"/>
    </row>
    <row r="15">
      <c r="A15" s="17" t="n">
        <v>26543</v>
      </c>
      <c r="B15" s="58">
        <f>VLOOKUP(Table17[[#This Row],[Date]],database!A:H,7,)</f>
        <v/>
      </c>
      <c r="C15" s="66">
        <f>B15/B14-1</f>
        <v/>
      </c>
      <c r="D15" s="66" t="n"/>
    </row>
    <row r="16">
      <c r="A16" s="17" t="n">
        <v>26573</v>
      </c>
      <c r="B16" s="58">
        <f>VLOOKUP(Table17[[#This Row],[Date]],database!A:H,7,)</f>
        <v/>
      </c>
      <c r="C16" s="66">
        <f>B16/B15-1</f>
        <v/>
      </c>
      <c r="D16" s="66" t="n"/>
    </row>
    <row r="17">
      <c r="A17" s="17" t="n">
        <v>26604</v>
      </c>
      <c r="B17" s="58">
        <f>VLOOKUP(Table17[[#This Row],[Date]],database!A:H,7,)</f>
        <v/>
      </c>
      <c r="C17" s="66">
        <f>B17/B16-1</f>
        <v/>
      </c>
      <c r="D17" s="66" t="n"/>
    </row>
    <row r="18">
      <c r="A18" s="17" t="n">
        <v>26634</v>
      </c>
      <c r="B18" s="58">
        <f>VLOOKUP(Table17[[#This Row],[Date]],database!A:H,7,)</f>
        <v/>
      </c>
      <c r="C18" s="66">
        <f>B18/B17-1</f>
        <v/>
      </c>
      <c r="D18" s="66" t="n"/>
    </row>
    <row r="19">
      <c r="A19" s="17" t="n">
        <v>26665</v>
      </c>
      <c r="B19" s="58">
        <f>VLOOKUP(Table17[[#This Row],[Date]],database!A:H,7,)</f>
        <v/>
      </c>
      <c r="C19" s="66">
        <f>B19/B18-1</f>
        <v/>
      </c>
      <c r="D19" s="66" t="n"/>
    </row>
    <row r="20">
      <c r="A20" s="17" t="n">
        <v>26696</v>
      </c>
      <c r="B20" s="58">
        <f>VLOOKUP(Table17[[#This Row],[Date]],database!A:H,7,)</f>
        <v/>
      </c>
      <c r="C20" s="66">
        <f>B20/B19-1</f>
        <v/>
      </c>
      <c r="D20" s="66">
        <f>(Table17[[#This Row],[Index]]-B8)/B8</f>
        <v/>
      </c>
    </row>
    <row r="21">
      <c r="A21" s="17" t="n">
        <v>26724</v>
      </c>
      <c r="B21" s="58">
        <f>VLOOKUP(Table17[[#This Row],[Date]],database!A:H,7,)</f>
        <v/>
      </c>
      <c r="C21" s="66">
        <f>B21/B20-1</f>
        <v/>
      </c>
      <c r="D21" s="66">
        <f>(Table17[[#This Row],[Index]]-B9)/B9</f>
        <v/>
      </c>
    </row>
    <row r="22">
      <c r="A22" s="17" t="n">
        <v>26755</v>
      </c>
      <c r="B22" s="58">
        <f>VLOOKUP(Table17[[#This Row],[Date]],database!A:H,7,)</f>
        <v/>
      </c>
      <c r="C22" s="66">
        <f>B22/B21-1</f>
        <v/>
      </c>
      <c r="D22" s="66">
        <f>(Table17[[#This Row],[Index]]-B10)/B10</f>
        <v/>
      </c>
    </row>
    <row r="23">
      <c r="A23" s="17" t="n">
        <v>26785</v>
      </c>
      <c r="B23" s="58">
        <f>VLOOKUP(Table17[[#This Row],[Date]],database!A:H,7,)</f>
        <v/>
      </c>
      <c r="C23" s="66">
        <f>B23/B22-1</f>
        <v/>
      </c>
      <c r="D23" s="66">
        <f>(Table17[[#This Row],[Index]]-B11)/B11</f>
        <v/>
      </c>
    </row>
    <row r="24">
      <c r="A24" s="17" t="n">
        <v>26816</v>
      </c>
      <c r="B24" s="58">
        <f>VLOOKUP(Table17[[#This Row],[Date]],database!A:H,7,)</f>
        <v/>
      </c>
      <c r="C24" s="66">
        <f>B24/B23-1</f>
        <v/>
      </c>
      <c r="D24" s="66">
        <f>(Table17[[#This Row],[Index]]-B12)/B12</f>
        <v/>
      </c>
    </row>
    <row r="25">
      <c r="A25" s="17" t="n">
        <v>26846</v>
      </c>
      <c r="B25" s="58">
        <f>VLOOKUP(Table17[[#This Row],[Date]],database!A:H,7,)</f>
        <v/>
      </c>
      <c r="C25" s="66">
        <f>B25/B24-1</f>
        <v/>
      </c>
      <c r="D25" s="66">
        <f>(Table17[[#This Row],[Index]]-B13)/B13</f>
        <v/>
      </c>
    </row>
    <row r="26">
      <c r="A26" s="17" t="n">
        <v>26877</v>
      </c>
      <c r="B26" s="58">
        <f>VLOOKUP(Table17[[#This Row],[Date]],database!A:H,7,)</f>
        <v/>
      </c>
      <c r="C26" s="66">
        <f>B26/B25-1</f>
        <v/>
      </c>
      <c r="D26" s="66">
        <f>(Table17[[#This Row],[Index]]-B14)/B14</f>
        <v/>
      </c>
    </row>
    <row r="27">
      <c r="A27" s="17" t="n">
        <v>26908</v>
      </c>
      <c r="B27" s="58">
        <f>VLOOKUP(Table17[[#This Row],[Date]],database!A:H,7,)</f>
        <v/>
      </c>
      <c r="C27" s="66">
        <f>B27/B26-1</f>
        <v/>
      </c>
      <c r="D27" s="66">
        <f>(Table17[[#This Row],[Index]]-B15)/B15</f>
        <v/>
      </c>
    </row>
    <row r="28">
      <c r="A28" s="17" t="n">
        <v>26938</v>
      </c>
      <c r="B28" s="58">
        <f>VLOOKUP(Table17[[#This Row],[Date]],database!A:H,7,)</f>
        <v/>
      </c>
      <c r="C28" s="66">
        <f>B28/B27-1</f>
        <v/>
      </c>
      <c r="D28" s="66">
        <f>(Table17[[#This Row],[Index]]-B16)/B16</f>
        <v/>
      </c>
    </row>
    <row r="29">
      <c r="A29" s="17" t="n">
        <v>26969</v>
      </c>
      <c r="B29" s="58">
        <f>VLOOKUP(Table17[[#This Row],[Date]],database!A:H,7,)</f>
        <v/>
      </c>
      <c r="C29" s="66">
        <f>B29/B28-1</f>
        <v/>
      </c>
      <c r="D29" s="66">
        <f>(Table17[[#This Row],[Index]]-B17)/B17</f>
        <v/>
      </c>
    </row>
    <row r="30">
      <c r="A30" s="17" t="n">
        <v>26999</v>
      </c>
      <c r="B30" s="58">
        <f>VLOOKUP(Table17[[#This Row],[Date]],database!A:H,7,)</f>
        <v/>
      </c>
      <c r="C30" s="66">
        <f>B30/B29-1</f>
        <v/>
      </c>
      <c r="D30" s="66">
        <f>(Table17[[#This Row],[Index]]-B18)/B18</f>
        <v/>
      </c>
    </row>
    <row r="31">
      <c r="A31" s="17" t="n">
        <v>27030</v>
      </c>
      <c r="B31" s="58">
        <f>VLOOKUP(Table17[[#This Row],[Date]],database!A:H,7,)</f>
        <v/>
      </c>
      <c r="C31" s="66">
        <f>B31/B30-1</f>
        <v/>
      </c>
      <c r="D31" s="66">
        <f>(Table17[[#This Row],[Index]]-B19)/B19</f>
        <v/>
      </c>
    </row>
    <row r="32">
      <c r="A32" s="17" t="n">
        <v>27061</v>
      </c>
      <c r="B32" s="58">
        <f>VLOOKUP(Table17[[#This Row],[Date]],database!A:H,7,)</f>
        <v/>
      </c>
      <c r="C32" s="66">
        <f>B32/B31-1</f>
        <v/>
      </c>
      <c r="D32" s="66">
        <f>(Table17[[#This Row],[Index]]-B20)/B20</f>
        <v/>
      </c>
    </row>
    <row r="33">
      <c r="A33" s="17" t="n">
        <v>27089</v>
      </c>
      <c r="B33" s="58">
        <f>VLOOKUP(Table17[[#This Row],[Date]],database!A:H,7,)</f>
        <v/>
      </c>
      <c r="C33" s="66">
        <f>B33/B32-1</f>
        <v/>
      </c>
      <c r="D33" s="66">
        <f>(Table17[[#This Row],[Index]]-B21)/B21</f>
        <v/>
      </c>
    </row>
    <row r="34">
      <c r="A34" s="17" t="n">
        <v>27120</v>
      </c>
      <c r="B34" s="58">
        <f>VLOOKUP(Table17[[#This Row],[Date]],database!A:H,7,)</f>
        <v/>
      </c>
      <c r="C34" s="66">
        <f>B34/B33-1</f>
        <v/>
      </c>
      <c r="D34" s="66">
        <f>(Table17[[#This Row],[Index]]-B22)/B22</f>
        <v/>
      </c>
    </row>
    <row r="35">
      <c r="A35" s="17" t="n">
        <v>27150</v>
      </c>
      <c r="B35" s="58">
        <f>VLOOKUP(Table17[[#This Row],[Date]],database!A:H,7,)</f>
        <v/>
      </c>
      <c r="C35" s="66">
        <f>B35/B34-1</f>
        <v/>
      </c>
      <c r="D35" s="66">
        <f>(Table17[[#This Row],[Index]]-B23)/B23</f>
        <v/>
      </c>
    </row>
    <row r="36">
      <c r="A36" s="17" t="n">
        <v>27181</v>
      </c>
      <c r="B36" s="58">
        <f>VLOOKUP(Table17[[#This Row],[Date]],database!A:H,7,)</f>
        <v/>
      </c>
      <c r="C36" s="66">
        <f>B36/B35-1</f>
        <v/>
      </c>
      <c r="D36" s="66">
        <f>(Table17[[#This Row],[Index]]-B24)/B24</f>
        <v/>
      </c>
    </row>
    <row r="37">
      <c r="A37" s="17" t="n">
        <v>27211</v>
      </c>
      <c r="B37" s="58">
        <f>VLOOKUP(Table17[[#This Row],[Date]],database!A:H,7,)</f>
        <v/>
      </c>
      <c r="C37" s="66">
        <f>B37/B36-1</f>
        <v/>
      </c>
      <c r="D37" s="66">
        <f>(Table17[[#This Row],[Index]]-B25)/B25</f>
        <v/>
      </c>
    </row>
    <row r="38">
      <c r="A38" s="17" t="n">
        <v>27242</v>
      </c>
      <c r="B38" s="58">
        <f>VLOOKUP(Table17[[#This Row],[Date]],database!A:H,7,)</f>
        <v/>
      </c>
      <c r="C38" s="66">
        <f>B38/B37-1</f>
        <v/>
      </c>
      <c r="D38" s="66">
        <f>(Table17[[#This Row],[Index]]-B26)/B26</f>
        <v/>
      </c>
    </row>
    <row r="39">
      <c r="A39" s="17" t="n">
        <v>27273</v>
      </c>
      <c r="B39" s="58">
        <f>VLOOKUP(Table17[[#This Row],[Date]],database!A:H,7,)</f>
        <v/>
      </c>
      <c r="C39" s="66">
        <f>B39/B38-1</f>
        <v/>
      </c>
      <c r="D39" s="66">
        <f>(Table17[[#This Row],[Index]]-B27)/B27</f>
        <v/>
      </c>
    </row>
    <row r="40">
      <c r="A40" s="17" t="n">
        <v>27303</v>
      </c>
      <c r="B40" s="58">
        <f>VLOOKUP(Table17[[#This Row],[Date]],database!A:H,7,)</f>
        <v/>
      </c>
      <c r="C40" s="66">
        <f>B40/B39-1</f>
        <v/>
      </c>
      <c r="D40" s="66">
        <f>(Table17[[#This Row],[Index]]-B28)/B28</f>
        <v/>
      </c>
    </row>
    <row r="41">
      <c r="A41" s="17" t="n">
        <v>27334</v>
      </c>
      <c r="B41" s="58">
        <f>VLOOKUP(Table17[[#This Row],[Date]],database!A:H,7,)</f>
        <v/>
      </c>
      <c r="C41" s="66">
        <f>B41/B40-1</f>
        <v/>
      </c>
      <c r="D41" s="66">
        <f>(Table17[[#This Row],[Index]]-B29)/B29</f>
        <v/>
      </c>
    </row>
    <row r="42">
      <c r="A42" s="17" t="n">
        <v>27364</v>
      </c>
      <c r="B42" s="58">
        <f>VLOOKUP(Table17[[#This Row],[Date]],database!A:H,7,)</f>
        <v/>
      </c>
      <c r="C42" s="66">
        <f>B42/B41-1</f>
        <v/>
      </c>
      <c r="D42" s="66">
        <f>(Table17[[#This Row],[Index]]-B30)/B30</f>
        <v/>
      </c>
    </row>
    <row r="43">
      <c r="A43" s="17" t="n">
        <v>27395</v>
      </c>
      <c r="B43" s="58">
        <f>VLOOKUP(Table17[[#This Row],[Date]],database!A:H,7,)</f>
        <v/>
      </c>
      <c r="C43" s="66">
        <f>B43/B42-1</f>
        <v/>
      </c>
      <c r="D43" s="66">
        <f>(Table17[[#This Row],[Index]]-B31)/B31</f>
        <v/>
      </c>
    </row>
    <row r="44">
      <c r="A44" s="17" t="n">
        <v>27426</v>
      </c>
      <c r="B44" s="58">
        <f>VLOOKUP(Table17[[#This Row],[Date]],database!A:H,7,)</f>
        <v/>
      </c>
      <c r="C44" s="66">
        <f>B44/B43-1</f>
        <v/>
      </c>
      <c r="D44" s="66">
        <f>(Table17[[#This Row],[Index]]-B32)/B32</f>
        <v/>
      </c>
    </row>
    <row r="45">
      <c r="A45" s="17" t="n">
        <v>27454</v>
      </c>
      <c r="B45" s="58">
        <f>VLOOKUP(Table17[[#This Row],[Date]],database!A:H,7,)</f>
        <v/>
      </c>
      <c r="C45" s="66">
        <f>B45/B44-1</f>
        <v/>
      </c>
      <c r="D45" s="66">
        <f>(Table17[[#This Row],[Index]]-B33)/B33</f>
        <v/>
      </c>
    </row>
    <row r="46">
      <c r="A46" s="17" t="n">
        <v>27485</v>
      </c>
      <c r="B46" s="58">
        <f>VLOOKUP(Table17[[#This Row],[Date]],database!A:H,7,)</f>
        <v/>
      </c>
      <c r="C46" s="66">
        <f>B46/B45-1</f>
        <v/>
      </c>
      <c r="D46" s="66">
        <f>(Table17[[#This Row],[Index]]-B34)/B34</f>
        <v/>
      </c>
    </row>
    <row r="47">
      <c r="A47" s="17" t="n">
        <v>27515</v>
      </c>
      <c r="B47" s="58">
        <f>VLOOKUP(Table17[[#This Row],[Date]],database!A:H,7,)</f>
        <v/>
      </c>
      <c r="C47" s="66">
        <f>B47/B46-1</f>
        <v/>
      </c>
      <c r="D47" s="66">
        <f>(Table17[[#This Row],[Index]]-B35)/B35</f>
        <v/>
      </c>
    </row>
    <row r="48">
      <c r="A48" s="17" t="n">
        <v>27546</v>
      </c>
      <c r="B48" s="58">
        <f>VLOOKUP(Table17[[#This Row],[Date]],database!A:H,7,)</f>
        <v/>
      </c>
      <c r="C48" s="66">
        <f>B48/B47-1</f>
        <v/>
      </c>
      <c r="D48" s="66">
        <f>(Table17[[#This Row],[Index]]-B36)/B36</f>
        <v/>
      </c>
    </row>
    <row r="49">
      <c r="A49" s="17" t="n">
        <v>27576</v>
      </c>
      <c r="B49" s="58">
        <f>VLOOKUP(Table17[[#This Row],[Date]],database!A:H,7,)</f>
        <v/>
      </c>
      <c r="C49" s="66">
        <f>B49/B48-1</f>
        <v/>
      </c>
      <c r="D49" s="66">
        <f>(Table17[[#This Row],[Index]]-B37)/B37</f>
        <v/>
      </c>
    </row>
    <row r="50">
      <c r="A50" s="17" t="n">
        <v>27607</v>
      </c>
      <c r="B50" s="58">
        <f>VLOOKUP(Table17[[#This Row],[Date]],database!A:H,7,)</f>
        <v/>
      </c>
      <c r="C50" s="66">
        <f>B50/B49-1</f>
        <v/>
      </c>
      <c r="D50" s="66">
        <f>(Table17[[#This Row],[Index]]-B38)/B38</f>
        <v/>
      </c>
    </row>
    <row r="51">
      <c r="A51" s="17" t="n">
        <v>27638</v>
      </c>
      <c r="B51" s="58">
        <f>VLOOKUP(Table17[[#This Row],[Date]],database!A:H,7,)</f>
        <v/>
      </c>
      <c r="C51" s="66">
        <f>B51/B50-1</f>
        <v/>
      </c>
      <c r="D51" s="66">
        <f>(Table17[[#This Row],[Index]]-B39)/B39</f>
        <v/>
      </c>
    </row>
    <row r="52">
      <c r="A52" s="17" t="n">
        <v>27668</v>
      </c>
      <c r="B52" s="58">
        <f>VLOOKUP(Table17[[#This Row],[Date]],database!A:H,7,)</f>
        <v/>
      </c>
      <c r="C52" s="66">
        <f>B52/B51-1</f>
        <v/>
      </c>
      <c r="D52" s="66">
        <f>(Table17[[#This Row],[Index]]-B40)/B40</f>
        <v/>
      </c>
    </row>
    <row r="53">
      <c r="A53" s="17" t="n">
        <v>27699</v>
      </c>
      <c r="B53" s="58">
        <f>VLOOKUP(Table17[[#This Row],[Date]],database!A:H,7,)</f>
        <v/>
      </c>
      <c r="C53" s="66">
        <f>B53/B52-1</f>
        <v/>
      </c>
      <c r="D53" s="66">
        <f>(Table17[[#This Row],[Index]]-B41)/B41</f>
        <v/>
      </c>
    </row>
    <row r="54">
      <c r="A54" s="17" t="n">
        <v>27729</v>
      </c>
      <c r="B54" s="58">
        <f>VLOOKUP(Table17[[#This Row],[Date]],database!A:H,7,)</f>
        <v/>
      </c>
      <c r="C54" s="66">
        <f>B54/B53-1</f>
        <v/>
      </c>
      <c r="D54" s="66">
        <f>(Table17[[#This Row],[Index]]-B42)/B42</f>
        <v/>
      </c>
    </row>
    <row r="55">
      <c r="A55" s="17" t="n">
        <v>27760</v>
      </c>
      <c r="B55" s="58">
        <f>VLOOKUP(Table17[[#This Row],[Date]],database!A:H,7,)</f>
        <v/>
      </c>
      <c r="C55" s="66">
        <f>B55/B54-1</f>
        <v/>
      </c>
      <c r="D55" s="66">
        <f>(Table17[[#This Row],[Index]]-B43)/B43</f>
        <v/>
      </c>
    </row>
    <row r="56">
      <c r="A56" s="17" t="n">
        <v>27791</v>
      </c>
      <c r="B56" s="58">
        <f>VLOOKUP(Table17[[#This Row],[Date]],database!A:H,7,)</f>
        <v/>
      </c>
      <c r="C56" s="66">
        <f>B56/B55-1</f>
        <v/>
      </c>
      <c r="D56" s="66">
        <f>(Table17[[#This Row],[Index]]-B44)/B44</f>
        <v/>
      </c>
    </row>
    <row r="57">
      <c r="A57" s="17" t="n">
        <v>27820</v>
      </c>
      <c r="B57" s="58">
        <f>VLOOKUP(Table17[[#This Row],[Date]],database!A:H,7,)</f>
        <v/>
      </c>
      <c r="C57" s="66">
        <f>B57/B56-1</f>
        <v/>
      </c>
      <c r="D57" s="66">
        <f>(Table17[[#This Row],[Index]]-B45)/B45</f>
        <v/>
      </c>
    </row>
    <row r="58">
      <c r="A58" s="17" t="n">
        <v>27851</v>
      </c>
      <c r="B58" s="58">
        <f>VLOOKUP(Table17[[#This Row],[Date]],database!A:H,7,)</f>
        <v/>
      </c>
      <c r="C58" s="66">
        <f>B58/B57-1</f>
        <v/>
      </c>
      <c r="D58" s="66">
        <f>(Table17[[#This Row],[Index]]-B46)/B46</f>
        <v/>
      </c>
    </row>
    <row r="59">
      <c r="A59" s="17" t="n">
        <v>27881</v>
      </c>
      <c r="B59" s="58">
        <f>VLOOKUP(Table17[[#This Row],[Date]],database!A:H,7,)</f>
        <v/>
      </c>
      <c r="C59" s="66">
        <f>B59/B58-1</f>
        <v/>
      </c>
      <c r="D59" s="66">
        <f>(Table17[[#This Row],[Index]]-B47)/B47</f>
        <v/>
      </c>
    </row>
    <row r="60">
      <c r="A60" s="17" t="n">
        <v>27912</v>
      </c>
      <c r="B60" s="58">
        <f>VLOOKUP(Table17[[#This Row],[Date]],database!A:H,7,)</f>
        <v/>
      </c>
      <c r="C60" s="66">
        <f>B60/B59-1</f>
        <v/>
      </c>
      <c r="D60" s="66">
        <f>(Table17[[#This Row],[Index]]-B48)/B48</f>
        <v/>
      </c>
    </row>
    <row r="61">
      <c r="A61" s="17" t="n">
        <v>27942</v>
      </c>
      <c r="B61" s="58">
        <f>VLOOKUP(Table17[[#This Row],[Date]],database!A:H,7,)</f>
        <v/>
      </c>
      <c r="C61" s="66">
        <f>B61/B60-1</f>
        <v/>
      </c>
      <c r="D61" s="66">
        <f>(Table17[[#This Row],[Index]]-B49)/B49</f>
        <v/>
      </c>
    </row>
    <row r="62">
      <c r="A62" s="17" t="n">
        <v>27973</v>
      </c>
      <c r="B62" s="58">
        <f>VLOOKUP(Table17[[#This Row],[Date]],database!A:H,7,)</f>
        <v/>
      </c>
      <c r="C62" s="66">
        <f>B62/B61-1</f>
        <v/>
      </c>
      <c r="D62" s="66">
        <f>(Table17[[#This Row],[Index]]-B50)/B50</f>
        <v/>
      </c>
    </row>
    <row r="63">
      <c r="A63" s="17" t="n">
        <v>28004</v>
      </c>
      <c r="B63" s="58">
        <f>VLOOKUP(Table17[[#This Row],[Date]],database!A:H,7,)</f>
        <v/>
      </c>
      <c r="C63" s="66">
        <f>B63/B62-1</f>
        <v/>
      </c>
      <c r="D63" s="66">
        <f>(Table17[[#This Row],[Index]]-B51)/B51</f>
        <v/>
      </c>
    </row>
    <row r="64">
      <c r="A64" s="17" t="n">
        <v>28034</v>
      </c>
      <c r="B64" s="58">
        <f>VLOOKUP(Table17[[#This Row],[Date]],database!A:H,7,)</f>
        <v/>
      </c>
      <c r="C64" s="66">
        <f>B64/B63-1</f>
        <v/>
      </c>
      <c r="D64" s="66">
        <f>(Table17[[#This Row],[Index]]-B52)/B52</f>
        <v/>
      </c>
    </row>
    <row r="65">
      <c r="A65" s="17" t="n">
        <v>28065</v>
      </c>
      <c r="B65" s="58">
        <f>VLOOKUP(Table17[[#This Row],[Date]],database!A:H,7,)</f>
        <v/>
      </c>
      <c r="C65" s="66">
        <f>B65/B64-1</f>
        <v/>
      </c>
      <c r="D65" s="66">
        <f>(Table17[[#This Row],[Index]]-B53)/B53</f>
        <v/>
      </c>
    </row>
    <row r="66">
      <c r="A66" s="17" t="n">
        <v>28095</v>
      </c>
      <c r="B66" s="58">
        <f>VLOOKUP(Table17[[#This Row],[Date]],database!A:H,7,)</f>
        <v/>
      </c>
      <c r="C66" s="66">
        <f>B66/B65-1</f>
        <v/>
      </c>
      <c r="D66" s="66">
        <f>(Table17[[#This Row],[Index]]-B54)/B54</f>
        <v/>
      </c>
    </row>
    <row r="67">
      <c r="A67" s="17" t="n">
        <v>28126</v>
      </c>
      <c r="B67" s="58">
        <f>VLOOKUP(Table17[[#This Row],[Date]],database!A:H,7,)</f>
        <v/>
      </c>
      <c r="C67" s="66">
        <f>B67/B66-1</f>
        <v/>
      </c>
      <c r="D67" s="66">
        <f>(Table17[[#This Row],[Index]]-B55)/B55</f>
        <v/>
      </c>
    </row>
    <row r="68">
      <c r="A68" s="17" t="n">
        <v>28157</v>
      </c>
      <c r="B68" s="58">
        <f>VLOOKUP(Table17[[#This Row],[Date]],database!A:H,7,)</f>
        <v/>
      </c>
      <c r="C68" s="66">
        <f>B68/B67-1</f>
        <v/>
      </c>
      <c r="D68" s="66">
        <f>(Table17[[#This Row],[Index]]-B56)/B56</f>
        <v/>
      </c>
    </row>
    <row r="69">
      <c r="A69" s="17" t="n">
        <v>28185</v>
      </c>
      <c r="B69" s="58">
        <f>VLOOKUP(Table17[[#This Row],[Date]],database!A:H,7,)</f>
        <v/>
      </c>
      <c r="C69" s="66">
        <f>B69/B68-1</f>
        <v/>
      </c>
      <c r="D69" s="66">
        <f>(Table17[[#This Row],[Index]]-B57)/B57</f>
        <v/>
      </c>
    </row>
    <row r="70">
      <c r="A70" s="17" t="n">
        <v>28216</v>
      </c>
      <c r="B70" s="58">
        <f>VLOOKUP(Table17[[#This Row],[Date]],database!A:H,7,)</f>
        <v/>
      </c>
      <c r="C70" s="66">
        <f>B70/B69-1</f>
        <v/>
      </c>
      <c r="D70" s="66">
        <f>(Table17[[#This Row],[Index]]-B58)/B58</f>
        <v/>
      </c>
    </row>
    <row r="71">
      <c r="A71" s="17" t="n">
        <v>28246</v>
      </c>
      <c r="B71" s="58">
        <f>VLOOKUP(Table17[[#This Row],[Date]],database!A:H,7,)</f>
        <v/>
      </c>
      <c r="C71" s="66">
        <f>B71/B70-1</f>
        <v/>
      </c>
      <c r="D71" s="66">
        <f>(Table17[[#This Row],[Index]]-B59)/B59</f>
        <v/>
      </c>
    </row>
    <row r="72">
      <c r="A72" s="17" t="n">
        <v>28277</v>
      </c>
      <c r="B72" s="58">
        <f>VLOOKUP(Table17[[#This Row],[Date]],database!A:H,7,)</f>
        <v/>
      </c>
      <c r="C72" s="66">
        <f>B72/B71-1</f>
        <v/>
      </c>
      <c r="D72" s="66">
        <f>(Table17[[#This Row],[Index]]-B60)/B60</f>
        <v/>
      </c>
    </row>
    <row r="73">
      <c r="A73" s="17" t="n">
        <v>28307</v>
      </c>
      <c r="B73" s="58">
        <f>VLOOKUP(Table17[[#This Row],[Date]],database!A:H,7,)</f>
        <v/>
      </c>
      <c r="C73" s="66">
        <f>B73/B72-1</f>
        <v/>
      </c>
      <c r="D73" s="66">
        <f>(Table17[[#This Row],[Index]]-B61)/B61</f>
        <v/>
      </c>
    </row>
    <row r="74">
      <c r="A74" s="17" t="n">
        <v>28338</v>
      </c>
      <c r="B74" s="58">
        <f>VLOOKUP(Table17[[#This Row],[Date]],database!A:H,7,)</f>
        <v/>
      </c>
      <c r="C74" s="66">
        <f>B74/B73-1</f>
        <v/>
      </c>
      <c r="D74" s="66">
        <f>(Table17[[#This Row],[Index]]-B62)/B62</f>
        <v/>
      </c>
    </row>
    <row r="75">
      <c r="A75" s="17" t="n">
        <v>28369</v>
      </c>
      <c r="B75" s="58">
        <f>VLOOKUP(Table17[[#This Row],[Date]],database!A:H,7,)</f>
        <v/>
      </c>
      <c r="C75" s="66">
        <f>B75/B74-1</f>
        <v/>
      </c>
      <c r="D75" s="66">
        <f>(Table17[[#This Row],[Index]]-B63)/B63</f>
        <v/>
      </c>
    </row>
    <row r="76">
      <c r="A76" s="17" t="n">
        <v>28399</v>
      </c>
      <c r="B76" s="58">
        <f>VLOOKUP(Table17[[#This Row],[Date]],database!A:H,7,)</f>
        <v/>
      </c>
      <c r="C76" s="66">
        <f>B76/B75-1</f>
        <v/>
      </c>
      <c r="D76" s="66">
        <f>(Table17[[#This Row],[Index]]-B64)/B64</f>
        <v/>
      </c>
    </row>
    <row r="77">
      <c r="A77" s="17" t="n">
        <v>28430</v>
      </c>
      <c r="B77" s="58">
        <f>VLOOKUP(Table17[[#This Row],[Date]],database!A:H,7,)</f>
        <v/>
      </c>
      <c r="C77" s="66">
        <f>B77/B76-1</f>
        <v/>
      </c>
      <c r="D77" s="66">
        <f>(Table17[[#This Row],[Index]]-B65)/B65</f>
        <v/>
      </c>
    </row>
    <row r="78">
      <c r="A78" s="17" t="n">
        <v>28460</v>
      </c>
      <c r="B78" s="58">
        <f>VLOOKUP(Table17[[#This Row],[Date]],database!A:H,7,)</f>
        <v/>
      </c>
      <c r="C78" s="66">
        <f>B78/B77-1</f>
        <v/>
      </c>
      <c r="D78" s="66">
        <f>(Table17[[#This Row],[Index]]-B66)/B66</f>
        <v/>
      </c>
    </row>
    <row r="79">
      <c r="A79" s="17" t="n">
        <v>28491</v>
      </c>
      <c r="B79" s="58">
        <f>VLOOKUP(Table17[[#This Row],[Date]],database!A:H,7,)</f>
        <v/>
      </c>
      <c r="C79" s="66">
        <f>B79/B78-1</f>
        <v/>
      </c>
      <c r="D79" s="66">
        <f>(Table17[[#This Row],[Index]]-B67)/B67</f>
        <v/>
      </c>
    </row>
    <row r="80">
      <c r="A80" s="17" t="n">
        <v>28522</v>
      </c>
      <c r="B80" s="58">
        <f>VLOOKUP(Table17[[#This Row],[Date]],database!A:H,7,)</f>
        <v/>
      </c>
      <c r="C80" s="66">
        <f>B80/B79-1</f>
        <v/>
      </c>
      <c r="D80" s="66">
        <f>(Table17[[#This Row],[Index]]-B68)/B68</f>
        <v/>
      </c>
    </row>
    <row r="81">
      <c r="A81" s="17" t="n">
        <v>28550</v>
      </c>
      <c r="B81" s="58">
        <f>VLOOKUP(Table17[[#This Row],[Date]],database!A:H,7,)</f>
        <v/>
      </c>
      <c r="C81" s="66">
        <f>B81/B80-1</f>
        <v/>
      </c>
      <c r="D81" s="66">
        <f>(Table17[[#This Row],[Index]]-B69)/B69</f>
        <v/>
      </c>
    </row>
    <row r="82">
      <c r="A82" s="17" t="n">
        <v>28581</v>
      </c>
      <c r="B82" s="58">
        <f>VLOOKUP(Table17[[#This Row],[Date]],database!A:H,7,)</f>
        <v/>
      </c>
      <c r="C82" s="66">
        <f>B82/B81-1</f>
        <v/>
      </c>
      <c r="D82" s="66">
        <f>(Table17[[#This Row],[Index]]-B70)/B70</f>
        <v/>
      </c>
    </row>
    <row r="83">
      <c r="A83" s="17" t="n">
        <v>28611</v>
      </c>
      <c r="B83" s="58">
        <f>VLOOKUP(Table17[[#This Row],[Date]],database!A:H,7,)</f>
        <v/>
      </c>
      <c r="C83" s="66">
        <f>B83/B82-1</f>
        <v/>
      </c>
      <c r="D83" s="66">
        <f>(Table17[[#This Row],[Index]]-B71)/B71</f>
        <v/>
      </c>
    </row>
    <row r="84">
      <c r="A84" s="17" t="n">
        <v>28642</v>
      </c>
      <c r="B84" s="58">
        <f>VLOOKUP(Table17[[#This Row],[Date]],database!A:H,7,)</f>
        <v/>
      </c>
      <c r="C84" s="66">
        <f>B84/B83-1</f>
        <v/>
      </c>
      <c r="D84" s="66">
        <f>(Table17[[#This Row],[Index]]-B72)/B72</f>
        <v/>
      </c>
    </row>
    <row r="85">
      <c r="A85" s="17" t="n">
        <v>28672</v>
      </c>
      <c r="B85" s="58">
        <f>VLOOKUP(Table17[[#This Row],[Date]],database!A:H,7,)</f>
        <v/>
      </c>
      <c r="C85" s="66">
        <f>B85/B84-1</f>
        <v/>
      </c>
      <c r="D85" s="66">
        <f>(Table17[[#This Row],[Index]]-B73)/B73</f>
        <v/>
      </c>
    </row>
    <row r="86">
      <c r="A86" s="17" t="n">
        <v>28703</v>
      </c>
      <c r="B86" s="58">
        <f>VLOOKUP(Table17[[#This Row],[Date]],database!A:H,7,)</f>
        <v/>
      </c>
      <c r="C86" s="66">
        <f>B86/B85-1</f>
        <v/>
      </c>
      <c r="D86" s="66">
        <f>(Table17[[#This Row],[Index]]-B74)/B74</f>
        <v/>
      </c>
    </row>
    <row r="87">
      <c r="A87" s="17" t="n">
        <v>28734</v>
      </c>
      <c r="B87" s="58">
        <f>VLOOKUP(Table17[[#This Row],[Date]],database!A:H,7,)</f>
        <v/>
      </c>
      <c r="C87" s="66">
        <f>B87/B86-1</f>
        <v/>
      </c>
      <c r="D87" s="66">
        <f>(Table17[[#This Row],[Index]]-B75)/B75</f>
        <v/>
      </c>
    </row>
    <row r="88">
      <c r="A88" s="17" t="n">
        <v>28764</v>
      </c>
      <c r="B88" s="58">
        <f>VLOOKUP(Table17[[#This Row],[Date]],database!A:H,7,)</f>
        <v/>
      </c>
      <c r="C88" s="66">
        <f>B88/B87-1</f>
        <v/>
      </c>
      <c r="D88" s="66">
        <f>(Table17[[#This Row],[Index]]-B76)/B76</f>
        <v/>
      </c>
    </row>
    <row r="89">
      <c r="A89" s="17" t="n">
        <v>28795</v>
      </c>
      <c r="B89" s="58">
        <f>VLOOKUP(Table17[[#This Row],[Date]],database!A:H,7,)</f>
        <v/>
      </c>
      <c r="C89" s="66">
        <f>B89/B88-1</f>
        <v/>
      </c>
      <c r="D89" s="66">
        <f>(Table17[[#This Row],[Index]]-B77)/B77</f>
        <v/>
      </c>
    </row>
    <row r="90">
      <c r="A90" s="17" t="n">
        <v>28825</v>
      </c>
      <c r="B90" s="58">
        <f>VLOOKUP(Table17[[#This Row],[Date]],database!A:H,7,)</f>
        <v/>
      </c>
      <c r="C90" s="66">
        <f>B90/B89-1</f>
        <v/>
      </c>
      <c r="D90" s="66">
        <f>(Table17[[#This Row],[Index]]-B78)/B78</f>
        <v/>
      </c>
    </row>
    <row r="91">
      <c r="A91" s="17" t="n">
        <v>28856</v>
      </c>
      <c r="B91" s="58">
        <f>VLOOKUP(Table17[[#This Row],[Date]],database!A:H,7,)</f>
        <v/>
      </c>
      <c r="C91" s="66">
        <f>B91/B90-1</f>
        <v/>
      </c>
      <c r="D91" s="66">
        <f>(Table17[[#This Row],[Index]]-B79)/B79</f>
        <v/>
      </c>
    </row>
    <row r="92">
      <c r="A92" s="17" t="n">
        <v>28887</v>
      </c>
      <c r="B92" s="58">
        <f>VLOOKUP(Table17[[#This Row],[Date]],database!A:H,7,)</f>
        <v/>
      </c>
      <c r="C92" s="66">
        <f>B92/B91-1</f>
        <v/>
      </c>
      <c r="D92" s="66">
        <f>(Table17[[#This Row],[Index]]-B80)/B80</f>
        <v/>
      </c>
    </row>
    <row r="93">
      <c r="A93" s="17" t="n">
        <v>28915</v>
      </c>
      <c r="B93" s="58">
        <f>VLOOKUP(Table17[[#This Row],[Date]],database!A:H,7,)</f>
        <v/>
      </c>
      <c r="C93" s="66">
        <f>B93/B92-1</f>
        <v/>
      </c>
      <c r="D93" s="66">
        <f>(Table17[[#This Row],[Index]]-B81)/B81</f>
        <v/>
      </c>
    </row>
    <row r="94">
      <c r="A94" s="17" t="n">
        <v>28946</v>
      </c>
      <c r="B94" s="58">
        <f>VLOOKUP(Table17[[#This Row],[Date]],database!A:H,7,)</f>
        <v/>
      </c>
      <c r="C94" s="66">
        <f>B94/B93-1</f>
        <v/>
      </c>
      <c r="D94" s="66">
        <f>(Table17[[#This Row],[Index]]-B82)/B82</f>
        <v/>
      </c>
    </row>
    <row r="95">
      <c r="A95" s="17" t="n">
        <v>28976</v>
      </c>
      <c r="B95" s="58">
        <f>VLOOKUP(Table17[[#This Row],[Date]],database!A:H,7,)</f>
        <v/>
      </c>
      <c r="C95" s="66">
        <f>B95/B94-1</f>
        <v/>
      </c>
      <c r="D95" s="66">
        <f>(Table17[[#This Row],[Index]]-B83)/B83</f>
        <v/>
      </c>
    </row>
    <row r="96">
      <c r="A96" s="17" t="n">
        <v>29007</v>
      </c>
      <c r="B96" s="58">
        <f>VLOOKUP(Table17[[#This Row],[Date]],database!A:H,7,)</f>
        <v/>
      </c>
      <c r="C96" s="66">
        <f>B96/B95-1</f>
        <v/>
      </c>
      <c r="D96" s="66">
        <f>(Table17[[#This Row],[Index]]-B84)/B84</f>
        <v/>
      </c>
    </row>
    <row r="97">
      <c r="A97" s="17" t="n">
        <v>29037</v>
      </c>
      <c r="B97" s="58">
        <f>VLOOKUP(Table17[[#This Row],[Date]],database!A:H,7,)</f>
        <v/>
      </c>
      <c r="C97" s="66">
        <f>B97/B96-1</f>
        <v/>
      </c>
      <c r="D97" s="66">
        <f>(Table17[[#This Row],[Index]]-B85)/B85</f>
        <v/>
      </c>
    </row>
    <row r="98">
      <c r="A98" s="17" t="n">
        <v>29068</v>
      </c>
      <c r="B98" s="58">
        <f>VLOOKUP(Table17[[#This Row],[Date]],database!A:H,7,)</f>
        <v/>
      </c>
      <c r="C98" s="66">
        <f>B98/B97-1</f>
        <v/>
      </c>
      <c r="D98" s="66">
        <f>(Table17[[#This Row],[Index]]-B86)/B86</f>
        <v/>
      </c>
    </row>
    <row r="99">
      <c r="A99" s="17" t="n">
        <v>29099</v>
      </c>
      <c r="B99" s="58">
        <f>VLOOKUP(Table17[[#This Row],[Date]],database!A:H,7,)</f>
        <v/>
      </c>
      <c r="C99" s="66">
        <f>B99/B98-1</f>
        <v/>
      </c>
      <c r="D99" s="66">
        <f>(Table17[[#This Row],[Index]]-B87)/B87</f>
        <v/>
      </c>
    </row>
    <row r="100">
      <c r="A100" s="17" t="n">
        <v>29129</v>
      </c>
      <c r="B100" s="58">
        <f>VLOOKUP(Table17[[#This Row],[Date]],database!A:H,7,)</f>
        <v/>
      </c>
      <c r="C100" s="66">
        <f>B100/B99-1</f>
        <v/>
      </c>
      <c r="D100" s="66">
        <f>(Table17[[#This Row],[Index]]-B88)/B88</f>
        <v/>
      </c>
    </row>
    <row r="101">
      <c r="A101" s="17" t="n">
        <v>29160</v>
      </c>
      <c r="B101" s="58">
        <f>VLOOKUP(Table17[[#This Row],[Date]],database!A:H,7,)</f>
        <v/>
      </c>
      <c r="C101" s="66">
        <f>B101/B100-1</f>
        <v/>
      </c>
      <c r="D101" s="66">
        <f>(Table17[[#This Row],[Index]]-B89)/B89</f>
        <v/>
      </c>
    </row>
    <row r="102">
      <c r="A102" s="17" t="n">
        <v>29190</v>
      </c>
      <c r="B102" s="58">
        <f>VLOOKUP(Table17[[#This Row],[Date]],database!A:H,7,)</f>
        <v/>
      </c>
      <c r="C102" s="66">
        <f>B102/B101-1</f>
        <v/>
      </c>
      <c r="D102" s="66">
        <f>(Table17[[#This Row],[Index]]-B90)/B90</f>
        <v/>
      </c>
    </row>
    <row r="103">
      <c r="A103" s="17" t="n">
        <v>29221</v>
      </c>
      <c r="B103" s="58">
        <f>VLOOKUP(Table17[[#This Row],[Date]],database!A:H,7,)</f>
        <v/>
      </c>
      <c r="C103" s="66">
        <f>B103/B102-1</f>
        <v/>
      </c>
      <c r="D103" s="66">
        <f>(Table17[[#This Row],[Index]]-B91)/B91</f>
        <v/>
      </c>
    </row>
    <row r="104">
      <c r="A104" s="17" t="n">
        <v>29252</v>
      </c>
      <c r="B104" s="58">
        <f>VLOOKUP(Table17[[#This Row],[Date]],database!A:H,7,)</f>
        <v/>
      </c>
      <c r="C104" s="66">
        <f>B104/B103-1</f>
        <v/>
      </c>
      <c r="D104" s="66">
        <f>(Table17[[#This Row],[Index]]-B92)/B92</f>
        <v/>
      </c>
    </row>
    <row r="105">
      <c r="A105" s="17" t="n">
        <v>29281</v>
      </c>
      <c r="B105" s="58">
        <f>VLOOKUP(Table17[[#This Row],[Date]],database!A:H,7,)</f>
        <v/>
      </c>
      <c r="C105" s="66">
        <f>B105/B104-1</f>
        <v/>
      </c>
      <c r="D105" s="66">
        <f>(Table17[[#This Row],[Index]]-B93)/B93</f>
        <v/>
      </c>
    </row>
    <row r="106">
      <c r="A106" s="17" t="n">
        <v>29312</v>
      </c>
      <c r="B106" s="58">
        <f>VLOOKUP(Table17[[#This Row],[Date]],database!A:H,7,)</f>
        <v/>
      </c>
      <c r="C106" s="66">
        <f>B106/B105-1</f>
        <v/>
      </c>
      <c r="D106" s="66">
        <f>(Table17[[#This Row],[Index]]-B94)/B94</f>
        <v/>
      </c>
    </row>
    <row r="107">
      <c r="A107" s="17" t="n">
        <v>29342</v>
      </c>
      <c r="B107" s="58">
        <f>VLOOKUP(Table17[[#This Row],[Date]],database!A:H,7,)</f>
        <v/>
      </c>
      <c r="C107" s="66">
        <f>B107/B106-1</f>
        <v/>
      </c>
      <c r="D107" s="66">
        <f>(Table17[[#This Row],[Index]]-B95)/B95</f>
        <v/>
      </c>
    </row>
    <row r="108">
      <c r="A108" s="17" t="n">
        <v>29373</v>
      </c>
      <c r="B108" s="58">
        <f>VLOOKUP(Table17[[#This Row],[Date]],database!A:H,7,)</f>
        <v/>
      </c>
      <c r="C108" s="66">
        <f>B108/B107-1</f>
        <v/>
      </c>
      <c r="D108" s="66">
        <f>(Table17[[#This Row],[Index]]-B96)/B96</f>
        <v/>
      </c>
    </row>
    <row r="109">
      <c r="A109" s="17" t="n">
        <v>29403</v>
      </c>
      <c r="B109" s="58">
        <f>VLOOKUP(Table17[[#This Row],[Date]],database!A:H,7,)</f>
        <v/>
      </c>
      <c r="C109" s="66">
        <f>B109/B108-1</f>
        <v/>
      </c>
      <c r="D109" s="66">
        <f>(Table17[[#This Row],[Index]]-B97)/B97</f>
        <v/>
      </c>
    </row>
    <row r="110">
      <c r="A110" s="17" t="n">
        <v>29434</v>
      </c>
      <c r="B110" s="58">
        <f>VLOOKUP(Table17[[#This Row],[Date]],database!A:H,7,)</f>
        <v/>
      </c>
      <c r="C110" s="66">
        <f>B110/B109-1</f>
        <v/>
      </c>
      <c r="D110" s="66">
        <f>(Table17[[#This Row],[Index]]-B98)/B98</f>
        <v/>
      </c>
    </row>
    <row r="111">
      <c r="A111" s="17" t="n">
        <v>29465</v>
      </c>
      <c r="B111" s="58">
        <f>VLOOKUP(Table17[[#This Row],[Date]],database!A:H,7,)</f>
        <v/>
      </c>
      <c r="C111" s="66">
        <f>B111/B110-1</f>
        <v/>
      </c>
      <c r="D111" s="66">
        <f>(Table17[[#This Row],[Index]]-B99)/B99</f>
        <v/>
      </c>
    </row>
    <row r="112">
      <c r="A112" s="17" t="n">
        <v>29495</v>
      </c>
      <c r="B112" s="58">
        <f>VLOOKUP(Table17[[#This Row],[Date]],database!A:H,7,)</f>
        <v/>
      </c>
      <c r="C112" s="66">
        <f>B112/B111-1</f>
        <v/>
      </c>
      <c r="D112" s="66">
        <f>(Table17[[#This Row],[Index]]-B100)/B100</f>
        <v/>
      </c>
    </row>
    <row r="113">
      <c r="A113" s="17" t="n">
        <v>29526</v>
      </c>
      <c r="B113" s="58">
        <f>VLOOKUP(Table17[[#This Row],[Date]],database!A:H,7,)</f>
        <v/>
      </c>
      <c r="C113" s="66">
        <f>B113/B112-1</f>
        <v/>
      </c>
      <c r="D113" s="66">
        <f>(Table17[[#This Row],[Index]]-B101)/B101</f>
        <v/>
      </c>
    </row>
    <row r="114">
      <c r="A114" s="17" t="n">
        <v>29556</v>
      </c>
      <c r="B114" s="58">
        <f>VLOOKUP(Table17[[#This Row],[Date]],database!A:H,7,)</f>
        <v/>
      </c>
      <c r="C114" s="66">
        <f>B114/B113-1</f>
        <v/>
      </c>
      <c r="D114" s="66">
        <f>(Table17[[#This Row],[Index]]-B102)/B102</f>
        <v/>
      </c>
    </row>
    <row r="115">
      <c r="A115" s="17" t="n">
        <v>29587</v>
      </c>
      <c r="B115" s="58">
        <f>VLOOKUP(Table17[[#This Row],[Date]],database!A:H,7,)</f>
        <v/>
      </c>
      <c r="C115" s="66">
        <f>B115/B114-1</f>
        <v/>
      </c>
      <c r="D115" s="66">
        <f>(Table17[[#This Row],[Index]]-B103)/B103</f>
        <v/>
      </c>
    </row>
    <row r="116">
      <c r="A116" s="17" t="n">
        <v>29618</v>
      </c>
      <c r="B116" s="58">
        <f>VLOOKUP(Table17[[#This Row],[Date]],database!A:H,7,)</f>
        <v/>
      </c>
      <c r="C116" s="66">
        <f>B116/B115-1</f>
        <v/>
      </c>
      <c r="D116" s="66">
        <f>(Table17[[#This Row],[Index]]-B104)/B104</f>
        <v/>
      </c>
    </row>
    <row r="117">
      <c r="A117" s="17" t="n">
        <v>29646</v>
      </c>
      <c r="B117" s="58">
        <f>VLOOKUP(Table17[[#This Row],[Date]],database!A:H,7,)</f>
        <v/>
      </c>
      <c r="C117" s="66">
        <f>B117/B116-1</f>
        <v/>
      </c>
      <c r="D117" s="66">
        <f>(Table17[[#This Row],[Index]]-B105)/B105</f>
        <v/>
      </c>
    </row>
    <row r="118">
      <c r="A118" s="17" t="n">
        <v>29677</v>
      </c>
      <c r="B118" s="58">
        <f>VLOOKUP(Table17[[#This Row],[Date]],database!A:H,7,)</f>
        <v/>
      </c>
      <c r="C118" s="66">
        <f>B118/B117-1</f>
        <v/>
      </c>
      <c r="D118" s="66">
        <f>(Table17[[#This Row],[Index]]-B106)/B106</f>
        <v/>
      </c>
    </row>
    <row r="119">
      <c r="A119" s="17" t="n">
        <v>29707</v>
      </c>
      <c r="B119" s="58">
        <f>VLOOKUP(Table17[[#This Row],[Date]],database!A:H,7,)</f>
        <v/>
      </c>
      <c r="C119" s="66">
        <f>B119/B118-1</f>
        <v/>
      </c>
      <c r="D119" s="66">
        <f>(Table17[[#This Row],[Index]]-B107)/B107</f>
        <v/>
      </c>
    </row>
    <row r="120">
      <c r="A120" s="17" t="n">
        <v>29738</v>
      </c>
      <c r="B120" s="58">
        <f>VLOOKUP(Table17[[#This Row],[Date]],database!A:H,7,)</f>
        <v/>
      </c>
      <c r="C120" s="66">
        <f>B120/B119-1</f>
        <v/>
      </c>
      <c r="D120" s="66">
        <f>(Table17[[#This Row],[Index]]-B108)/B108</f>
        <v/>
      </c>
    </row>
    <row r="121">
      <c r="A121" s="17" t="n">
        <v>29768</v>
      </c>
      <c r="B121" s="58">
        <f>VLOOKUP(Table17[[#This Row],[Date]],database!A:H,7,)</f>
        <v/>
      </c>
      <c r="C121" s="66">
        <f>B121/B120-1</f>
        <v/>
      </c>
      <c r="D121" s="66">
        <f>(Table17[[#This Row],[Index]]-B109)/B109</f>
        <v/>
      </c>
    </row>
    <row r="122">
      <c r="A122" s="17" t="n">
        <v>29799</v>
      </c>
      <c r="B122" s="58">
        <f>VLOOKUP(Table17[[#This Row],[Date]],database!A:H,7,)</f>
        <v/>
      </c>
      <c r="C122" s="66">
        <f>B122/B121-1</f>
        <v/>
      </c>
      <c r="D122" s="66">
        <f>(Table17[[#This Row],[Index]]-B110)/B110</f>
        <v/>
      </c>
    </row>
    <row r="123">
      <c r="A123" s="17" t="n">
        <v>29830</v>
      </c>
      <c r="B123" s="58">
        <f>VLOOKUP(Table17[[#This Row],[Date]],database!A:H,7,)</f>
        <v/>
      </c>
      <c r="C123" s="66">
        <f>B123/B122-1</f>
        <v/>
      </c>
      <c r="D123" s="66">
        <f>(Table17[[#This Row],[Index]]-B111)/B111</f>
        <v/>
      </c>
    </row>
    <row r="124">
      <c r="A124" s="17" t="n">
        <v>29860</v>
      </c>
      <c r="B124" s="58">
        <f>VLOOKUP(Table17[[#This Row],[Date]],database!A:H,7,)</f>
        <v/>
      </c>
      <c r="C124" s="66">
        <f>B124/B123-1</f>
        <v/>
      </c>
      <c r="D124" s="66">
        <f>(Table17[[#This Row],[Index]]-B112)/B112</f>
        <v/>
      </c>
    </row>
    <row r="125">
      <c r="A125" s="17" t="n">
        <v>29891</v>
      </c>
      <c r="B125" s="58">
        <f>VLOOKUP(Table17[[#This Row],[Date]],database!A:H,7,)</f>
        <v/>
      </c>
      <c r="C125" s="66">
        <f>B125/B124-1</f>
        <v/>
      </c>
      <c r="D125" s="66">
        <f>(Table17[[#This Row],[Index]]-B113)/B113</f>
        <v/>
      </c>
    </row>
    <row r="126">
      <c r="A126" s="17" t="n">
        <v>29921</v>
      </c>
      <c r="B126" s="58">
        <f>VLOOKUP(Table17[[#This Row],[Date]],database!A:H,7,)</f>
        <v/>
      </c>
      <c r="C126" s="66">
        <f>B126/B125-1</f>
        <v/>
      </c>
      <c r="D126" s="66">
        <f>(Table17[[#This Row],[Index]]-B114)/B114</f>
        <v/>
      </c>
    </row>
    <row r="127">
      <c r="A127" s="17" t="n">
        <v>29952</v>
      </c>
      <c r="B127" s="58">
        <f>VLOOKUP(Table17[[#This Row],[Date]],database!A:H,7,)</f>
        <v/>
      </c>
      <c r="C127" s="66">
        <f>B127/B126-1</f>
        <v/>
      </c>
      <c r="D127" s="66">
        <f>(Table17[[#This Row],[Index]]-B115)/B115</f>
        <v/>
      </c>
    </row>
    <row r="128">
      <c r="A128" s="17" t="n">
        <v>29983</v>
      </c>
      <c r="B128" s="58">
        <f>VLOOKUP(Table17[[#This Row],[Date]],database!A:H,7,)</f>
        <v/>
      </c>
      <c r="C128" s="66">
        <f>B128/B127-1</f>
        <v/>
      </c>
      <c r="D128" s="66">
        <f>(Table17[[#This Row],[Index]]-B116)/B116</f>
        <v/>
      </c>
    </row>
    <row r="129">
      <c r="A129" s="17" t="n">
        <v>30011</v>
      </c>
      <c r="B129" s="58">
        <f>VLOOKUP(Table17[[#This Row],[Date]],database!A:H,7,)</f>
        <v/>
      </c>
      <c r="C129" s="66">
        <f>B129/B128-1</f>
        <v/>
      </c>
      <c r="D129" s="66">
        <f>(Table17[[#This Row],[Index]]-B117)/B117</f>
        <v/>
      </c>
    </row>
    <row r="130">
      <c r="A130" s="17" t="n">
        <v>30042</v>
      </c>
      <c r="B130" s="58">
        <f>VLOOKUP(Table17[[#This Row],[Date]],database!A:H,7,)</f>
        <v/>
      </c>
      <c r="C130" s="66">
        <f>B130/B129-1</f>
        <v/>
      </c>
      <c r="D130" s="66">
        <f>(Table17[[#This Row],[Index]]-B118)/B118</f>
        <v/>
      </c>
    </row>
    <row r="131">
      <c r="A131" s="17" t="n">
        <v>30072</v>
      </c>
      <c r="B131" s="58">
        <f>VLOOKUP(Table17[[#This Row],[Date]],database!A:H,7,)</f>
        <v/>
      </c>
      <c r="C131" s="66">
        <f>B131/B130-1</f>
        <v/>
      </c>
      <c r="D131" s="66">
        <f>(Table17[[#This Row],[Index]]-B119)/B119</f>
        <v/>
      </c>
    </row>
    <row r="132">
      <c r="A132" s="17" t="n">
        <v>30103</v>
      </c>
      <c r="B132" s="58">
        <f>VLOOKUP(Table17[[#This Row],[Date]],database!A:H,7,)</f>
        <v/>
      </c>
      <c r="C132" s="66">
        <f>B132/B131-1</f>
        <v/>
      </c>
      <c r="D132" s="66">
        <f>(Table17[[#This Row],[Index]]-B120)/B120</f>
        <v/>
      </c>
    </row>
    <row r="133">
      <c r="A133" s="17" t="n">
        <v>30133</v>
      </c>
      <c r="B133" s="58">
        <f>VLOOKUP(Table17[[#This Row],[Date]],database!A:H,7,)</f>
        <v/>
      </c>
      <c r="C133" s="66">
        <f>B133/B132-1</f>
        <v/>
      </c>
      <c r="D133" s="66">
        <f>(Table17[[#This Row],[Index]]-B121)/B121</f>
        <v/>
      </c>
    </row>
    <row r="134">
      <c r="A134" s="17" t="n">
        <v>30164</v>
      </c>
      <c r="B134" s="58">
        <f>VLOOKUP(Table17[[#This Row],[Date]],database!A:H,7,)</f>
        <v/>
      </c>
      <c r="C134" s="66">
        <f>B134/B133-1</f>
        <v/>
      </c>
      <c r="D134" s="66">
        <f>(Table17[[#This Row],[Index]]-B122)/B122</f>
        <v/>
      </c>
    </row>
    <row r="135">
      <c r="A135" s="17" t="n">
        <v>30195</v>
      </c>
      <c r="B135" s="58">
        <f>VLOOKUP(Table17[[#This Row],[Date]],database!A:H,7,)</f>
        <v/>
      </c>
      <c r="C135" s="66">
        <f>B135/B134-1</f>
        <v/>
      </c>
      <c r="D135" s="66">
        <f>(Table17[[#This Row],[Index]]-B123)/B123</f>
        <v/>
      </c>
    </row>
    <row r="136">
      <c r="A136" s="17" t="n">
        <v>30225</v>
      </c>
      <c r="B136" s="58">
        <f>VLOOKUP(Table17[[#This Row],[Date]],database!A:H,7,)</f>
        <v/>
      </c>
      <c r="C136" s="66">
        <f>B136/B135-1</f>
        <v/>
      </c>
      <c r="D136" s="66">
        <f>(Table17[[#This Row],[Index]]-B124)/B124</f>
        <v/>
      </c>
    </row>
    <row r="137">
      <c r="A137" s="17" t="n">
        <v>30256</v>
      </c>
      <c r="B137" s="58">
        <f>VLOOKUP(Table17[[#This Row],[Date]],database!A:H,7,)</f>
        <v/>
      </c>
      <c r="C137" s="66">
        <f>B137/B136-1</f>
        <v/>
      </c>
      <c r="D137" s="66">
        <f>(Table17[[#This Row],[Index]]-B125)/B125</f>
        <v/>
      </c>
    </row>
    <row r="138">
      <c r="A138" s="17" t="n">
        <v>30286</v>
      </c>
      <c r="B138" s="58">
        <f>VLOOKUP(Table17[[#This Row],[Date]],database!A:H,7,)</f>
        <v/>
      </c>
      <c r="C138" s="66">
        <f>B138/B137-1</f>
        <v/>
      </c>
      <c r="D138" s="66">
        <f>(Table17[[#This Row],[Index]]-B126)/B126</f>
        <v/>
      </c>
    </row>
    <row r="139">
      <c r="A139" s="17" t="n">
        <v>30317</v>
      </c>
      <c r="B139" s="58">
        <f>VLOOKUP(Table17[[#This Row],[Date]],database!A:H,7,)</f>
        <v/>
      </c>
      <c r="C139" s="66">
        <f>B139/B138-1</f>
        <v/>
      </c>
      <c r="D139" s="66">
        <f>(Table17[[#This Row],[Index]]-B127)/B127</f>
        <v/>
      </c>
    </row>
    <row r="140">
      <c r="A140" s="17" t="n">
        <v>30348</v>
      </c>
      <c r="B140" s="58">
        <f>VLOOKUP(Table17[[#This Row],[Date]],database!A:H,7,)</f>
        <v/>
      </c>
      <c r="C140" s="66">
        <f>B140/B139-1</f>
        <v/>
      </c>
      <c r="D140" s="66">
        <f>(Table17[[#This Row],[Index]]-B128)/B128</f>
        <v/>
      </c>
    </row>
    <row r="141">
      <c r="A141" s="17" t="n">
        <v>30376</v>
      </c>
      <c r="B141" s="58">
        <f>VLOOKUP(Table17[[#This Row],[Date]],database!A:H,7,)</f>
        <v/>
      </c>
      <c r="C141" s="66">
        <f>B141/B140-1</f>
        <v/>
      </c>
      <c r="D141" s="66">
        <f>(Table17[[#This Row],[Index]]-B129)/B129</f>
        <v/>
      </c>
    </row>
    <row r="142">
      <c r="A142" s="17" t="n">
        <v>30407</v>
      </c>
      <c r="B142" s="58">
        <f>VLOOKUP(Table17[[#This Row],[Date]],database!A:H,7,)</f>
        <v/>
      </c>
      <c r="C142" s="66">
        <f>B142/B141-1</f>
        <v/>
      </c>
      <c r="D142" s="66">
        <f>(Table17[[#This Row],[Index]]-B130)/B130</f>
        <v/>
      </c>
    </row>
    <row r="143">
      <c r="A143" s="17" t="n">
        <v>30437</v>
      </c>
      <c r="B143" s="58">
        <f>VLOOKUP(Table17[[#This Row],[Date]],database!A:H,7,)</f>
        <v/>
      </c>
      <c r="C143" s="66">
        <f>B143/B142-1</f>
        <v/>
      </c>
      <c r="D143" s="66">
        <f>(Table17[[#This Row],[Index]]-B131)/B131</f>
        <v/>
      </c>
    </row>
    <row r="144">
      <c r="A144" s="17" t="n">
        <v>30468</v>
      </c>
      <c r="B144" s="58">
        <f>VLOOKUP(Table17[[#This Row],[Date]],database!A:H,7,)</f>
        <v/>
      </c>
      <c r="C144" s="66">
        <f>B144/B143-1</f>
        <v/>
      </c>
      <c r="D144" s="66">
        <f>(Table17[[#This Row],[Index]]-B132)/B132</f>
        <v/>
      </c>
    </row>
    <row r="145">
      <c r="A145" s="17" t="n">
        <v>30498</v>
      </c>
      <c r="B145" s="58">
        <f>VLOOKUP(Table17[[#This Row],[Date]],database!A:H,7,)</f>
        <v/>
      </c>
      <c r="C145" s="66">
        <f>B145/B144-1</f>
        <v/>
      </c>
      <c r="D145" s="66">
        <f>(Table17[[#This Row],[Index]]-B133)/B133</f>
        <v/>
      </c>
    </row>
    <row r="146">
      <c r="A146" s="17" t="n">
        <v>30529</v>
      </c>
      <c r="B146" s="58">
        <f>VLOOKUP(Table17[[#This Row],[Date]],database!A:H,7,)</f>
        <v/>
      </c>
      <c r="C146" s="66">
        <f>B146/B145-1</f>
        <v/>
      </c>
      <c r="D146" s="66">
        <f>(Table17[[#This Row],[Index]]-B134)/B134</f>
        <v/>
      </c>
    </row>
    <row r="147">
      <c r="A147" s="17" t="n">
        <v>30560</v>
      </c>
      <c r="B147" s="58">
        <f>VLOOKUP(Table17[[#This Row],[Date]],database!A:H,7,)</f>
        <v/>
      </c>
      <c r="C147" s="66">
        <f>B147/B146-1</f>
        <v/>
      </c>
      <c r="D147" s="66">
        <f>(Table17[[#This Row],[Index]]-B135)/B135</f>
        <v/>
      </c>
    </row>
    <row r="148">
      <c r="A148" s="17" t="n">
        <v>30590</v>
      </c>
      <c r="B148" s="58">
        <f>VLOOKUP(Table17[[#This Row],[Date]],database!A:H,7,)</f>
        <v/>
      </c>
      <c r="C148" s="66">
        <f>B148/B147-1</f>
        <v/>
      </c>
      <c r="D148" s="66">
        <f>(Table17[[#This Row],[Index]]-B136)/B136</f>
        <v/>
      </c>
    </row>
    <row r="149">
      <c r="A149" s="17" t="n">
        <v>30621</v>
      </c>
      <c r="B149" s="58">
        <f>VLOOKUP(Table17[[#This Row],[Date]],database!A:H,7,)</f>
        <v/>
      </c>
      <c r="C149" s="66">
        <f>B149/B148-1</f>
        <v/>
      </c>
      <c r="D149" s="66">
        <f>(Table17[[#This Row],[Index]]-B137)/B137</f>
        <v/>
      </c>
    </row>
    <row r="150">
      <c r="A150" s="17" t="n">
        <v>30651</v>
      </c>
      <c r="B150" s="58">
        <f>VLOOKUP(Table17[[#This Row],[Date]],database!A:H,7,)</f>
        <v/>
      </c>
      <c r="C150" s="66">
        <f>B150/B149-1</f>
        <v/>
      </c>
      <c r="D150" s="66">
        <f>(Table17[[#This Row],[Index]]-B138)/B138</f>
        <v/>
      </c>
    </row>
    <row r="151">
      <c r="A151" s="17" t="n">
        <v>30682</v>
      </c>
      <c r="B151" s="58">
        <f>VLOOKUP(Table17[[#This Row],[Date]],database!A:H,7,)</f>
        <v/>
      </c>
      <c r="C151" s="66">
        <f>B151/B150-1</f>
        <v/>
      </c>
      <c r="D151" s="66">
        <f>(Table17[[#This Row],[Index]]-B139)/B139</f>
        <v/>
      </c>
    </row>
    <row r="152">
      <c r="A152" s="17" t="n">
        <v>30713</v>
      </c>
      <c r="B152" s="58">
        <f>VLOOKUP(Table17[[#This Row],[Date]],database!A:H,7,)</f>
        <v/>
      </c>
      <c r="C152" s="66">
        <f>B152/B151-1</f>
        <v/>
      </c>
      <c r="D152" s="66">
        <f>(Table17[[#This Row],[Index]]-B140)/B140</f>
        <v/>
      </c>
    </row>
    <row r="153">
      <c r="A153" s="17" t="n">
        <v>30742</v>
      </c>
      <c r="B153" s="58">
        <f>VLOOKUP(Table17[[#This Row],[Date]],database!A:H,7,)</f>
        <v/>
      </c>
      <c r="C153" s="66">
        <f>B153/B152-1</f>
        <v/>
      </c>
      <c r="D153" s="66">
        <f>(Table17[[#This Row],[Index]]-B141)/B141</f>
        <v/>
      </c>
    </row>
    <row r="154">
      <c r="A154" s="17" t="n">
        <v>30773</v>
      </c>
      <c r="B154" s="58">
        <f>VLOOKUP(Table17[[#This Row],[Date]],database!A:H,7,)</f>
        <v/>
      </c>
      <c r="C154" s="66">
        <f>B154/B153-1</f>
        <v/>
      </c>
      <c r="D154" s="66">
        <f>(Table17[[#This Row],[Index]]-B142)/B142</f>
        <v/>
      </c>
    </row>
    <row r="155">
      <c r="A155" s="17" t="n">
        <v>30803</v>
      </c>
      <c r="B155" s="58">
        <f>VLOOKUP(Table17[[#This Row],[Date]],database!A:H,7,)</f>
        <v/>
      </c>
      <c r="C155" s="66">
        <f>B155/B154-1</f>
        <v/>
      </c>
      <c r="D155" s="66">
        <f>(Table17[[#This Row],[Index]]-B143)/B143</f>
        <v/>
      </c>
    </row>
    <row r="156">
      <c r="A156" s="17" t="n">
        <v>30834</v>
      </c>
      <c r="B156" s="58">
        <f>VLOOKUP(Table17[[#This Row],[Date]],database!A:H,7,)</f>
        <v/>
      </c>
      <c r="C156" s="66">
        <f>B156/B155-1</f>
        <v/>
      </c>
      <c r="D156" s="66">
        <f>(Table17[[#This Row],[Index]]-B144)/B144</f>
        <v/>
      </c>
    </row>
    <row r="157">
      <c r="A157" s="17" t="n">
        <v>30864</v>
      </c>
      <c r="B157" s="58">
        <f>VLOOKUP(Table17[[#This Row],[Date]],database!A:H,7,)</f>
        <v/>
      </c>
      <c r="C157" s="66">
        <f>B157/B156-1</f>
        <v/>
      </c>
      <c r="D157" s="66">
        <f>(Table17[[#This Row],[Index]]-B145)/B145</f>
        <v/>
      </c>
    </row>
    <row r="158">
      <c r="A158" s="17" t="n">
        <v>30895</v>
      </c>
      <c r="B158" s="58">
        <f>VLOOKUP(Table17[[#This Row],[Date]],database!A:H,7,)</f>
        <v/>
      </c>
      <c r="C158" s="66">
        <f>B158/B157-1</f>
        <v/>
      </c>
      <c r="D158" s="66">
        <f>(Table17[[#This Row],[Index]]-B146)/B146</f>
        <v/>
      </c>
    </row>
    <row r="159">
      <c r="A159" s="17" t="n">
        <v>30926</v>
      </c>
      <c r="B159" s="58">
        <f>VLOOKUP(Table17[[#This Row],[Date]],database!A:H,7,)</f>
        <v/>
      </c>
      <c r="C159" s="66">
        <f>B159/B158-1</f>
        <v/>
      </c>
      <c r="D159" s="66">
        <f>(Table17[[#This Row],[Index]]-B147)/B147</f>
        <v/>
      </c>
    </row>
    <row r="160">
      <c r="A160" s="17" t="n">
        <v>30956</v>
      </c>
      <c r="B160" s="58">
        <f>VLOOKUP(Table17[[#This Row],[Date]],database!A:H,7,)</f>
        <v/>
      </c>
      <c r="C160" s="66">
        <f>B160/B159-1</f>
        <v/>
      </c>
      <c r="D160" s="66">
        <f>(Table17[[#This Row],[Index]]-B148)/B148</f>
        <v/>
      </c>
    </row>
    <row r="161">
      <c r="A161" s="17" t="n">
        <v>30987</v>
      </c>
      <c r="B161" s="58">
        <f>VLOOKUP(Table17[[#This Row],[Date]],database!A:H,7,)</f>
        <v/>
      </c>
      <c r="C161" s="66">
        <f>B161/B160-1</f>
        <v/>
      </c>
      <c r="D161" s="66">
        <f>(Table17[[#This Row],[Index]]-B149)/B149</f>
        <v/>
      </c>
    </row>
    <row r="162">
      <c r="A162" s="17" t="n">
        <v>31017</v>
      </c>
      <c r="B162" s="58">
        <f>VLOOKUP(Table17[[#This Row],[Date]],database!A:H,7,)</f>
        <v/>
      </c>
      <c r="C162" s="66">
        <f>B162/B161-1</f>
        <v/>
      </c>
      <c r="D162" s="66">
        <f>(Table17[[#This Row],[Index]]-B150)/B150</f>
        <v/>
      </c>
    </row>
    <row r="163">
      <c r="A163" s="17" t="n">
        <v>31048</v>
      </c>
      <c r="B163" s="58">
        <f>VLOOKUP(Table17[[#This Row],[Date]],database!A:H,7,)</f>
        <v/>
      </c>
      <c r="C163" s="66">
        <f>B163/B162-1</f>
        <v/>
      </c>
      <c r="D163" s="66">
        <f>(Table17[[#This Row],[Index]]-B151)/B151</f>
        <v/>
      </c>
    </row>
    <row r="164">
      <c r="A164" s="17" t="n">
        <v>31079</v>
      </c>
      <c r="B164" s="58">
        <f>VLOOKUP(Table17[[#This Row],[Date]],database!A:H,7,)</f>
        <v/>
      </c>
      <c r="C164" s="66">
        <f>B164/B163-1</f>
        <v/>
      </c>
      <c r="D164" s="66">
        <f>(Table17[[#This Row],[Index]]-B152)/B152</f>
        <v/>
      </c>
    </row>
    <row r="165">
      <c r="A165" s="17" t="n">
        <v>31107</v>
      </c>
      <c r="B165" s="58">
        <f>VLOOKUP(Table17[[#This Row],[Date]],database!A:H,7,)</f>
        <v/>
      </c>
      <c r="C165" s="66">
        <f>B165/B164-1</f>
        <v/>
      </c>
      <c r="D165" s="66">
        <f>(Table17[[#This Row],[Index]]-B153)/B153</f>
        <v/>
      </c>
    </row>
    <row r="166">
      <c r="A166" s="17" t="n">
        <v>31138</v>
      </c>
      <c r="B166" s="58">
        <f>VLOOKUP(Table17[[#This Row],[Date]],database!A:H,7,)</f>
        <v/>
      </c>
      <c r="C166" s="66">
        <f>B166/B165-1</f>
        <v/>
      </c>
      <c r="D166" s="66">
        <f>(Table17[[#This Row],[Index]]-B154)/B154</f>
        <v/>
      </c>
    </row>
    <row r="167">
      <c r="A167" s="17" t="n">
        <v>31168</v>
      </c>
      <c r="B167" s="58">
        <f>VLOOKUP(Table17[[#This Row],[Date]],database!A:H,7,)</f>
        <v/>
      </c>
      <c r="C167" s="66">
        <f>B167/B166-1</f>
        <v/>
      </c>
      <c r="D167" s="66">
        <f>(Table17[[#This Row],[Index]]-B155)/B155</f>
        <v/>
      </c>
    </row>
    <row r="168">
      <c r="A168" s="17" t="n">
        <v>31199</v>
      </c>
      <c r="B168" s="58">
        <f>VLOOKUP(Table17[[#This Row],[Date]],database!A:H,7,)</f>
        <v/>
      </c>
      <c r="C168" s="66">
        <f>B168/B167-1</f>
        <v/>
      </c>
      <c r="D168" s="66">
        <f>(Table17[[#This Row],[Index]]-B156)/B156</f>
        <v/>
      </c>
    </row>
    <row r="169">
      <c r="A169" s="17" t="n">
        <v>31229</v>
      </c>
      <c r="B169" s="58">
        <f>VLOOKUP(Table17[[#This Row],[Date]],database!A:H,7,)</f>
        <v/>
      </c>
      <c r="C169" s="66">
        <f>B169/B168-1</f>
        <v/>
      </c>
      <c r="D169" s="66">
        <f>(Table17[[#This Row],[Index]]-B157)/B157</f>
        <v/>
      </c>
    </row>
    <row r="170">
      <c r="A170" s="17" t="n">
        <v>31260</v>
      </c>
      <c r="B170" s="58">
        <f>VLOOKUP(Table17[[#This Row],[Date]],database!A:H,7,)</f>
        <v/>
      </c>
      <c r="C170" s="66">
        <f>B170/B169-1</f>
        <v/>
      </c>
      <c r="D170" s="66">
        <f>(Table17[[#This Row],[Index]]-B158)/B158</f>
        <v/>
      </c>
    </row>
    <row r="171">
      <c r="A171" s="17" t="n">
        <v>31291</v>
      </c>
      <c r="B171" s="58">
        <f>VLOOKUP(Table17[[#This Row],[Date]],database!A:H,7,)</f>
        <v/>
      </c>
      <c r="C171" s="66">
        <f>B171/B170-1</f>
        <v/>
      </c>
      <c r="D171" s="66">
        <f>(Table17[[#This Row],[Index]]-B159)/B159</f>
        <v/>
      </c>
    </row>
    <row r="172">
      <c r="A172" s="17" t="n">
        <v>31321</v>
      </c>
      <c r="B172" s="58">
        <f>VLOOKUP(Table17[[#This Row],[Date]],database!A:H,7,)</f>
        <v/>
      </c>
      <c r="C172" s="66">
        <f>B172/B171-1</f>
        <v/>
      </c>
      <c r="D172" s="66">
        <f>(Table17[[#This Row],[Index]]-B160)/B160</f>
        <v/>
      </c>
    </row>
    <row r="173">
      <c r="A173" s="17" t="n">
        <v>31352</v>
      </c>
      <c r="B173" s="58">
        <f>VLOOKUP(Table17[[#This Row],[Date]],database!A:H,7,)</f>
        <v/>
      </c>
      <c r="C173" s="66">
        <f>B173/B172-1</f>
        <v/>
      </c>
      <c r="D173" s="66">
        <f>(Table17[[#This Row],[Index]]-B161)/B161</f>
        <v/>
      </c>
    </row>
    <row r="174">
      <c r="A174" s="17" t="n">
        <v>31382</v>
      </c>
      <c r="B174" s="58">
        <f>VLOOKUP(Table17[[#This Row],[Date]],database!A:H,7,)</f>
        <v/>
      </c>
      <c r="C174" s="66">
        <f>B174/B173-1</f>
        <v/>
      </c>
      <c r="D174" s="66">
        <f>(Table17[[#This Row],[Index]]-B162)/B162</f>
        <v/>
      </c>
    </row>
    <row r="175">
      <c r="A175" s="17" t="n">
        <v>31413</v>
      </c>
      <c r="B175" s="58">
        <f>VLOOKUP(Table17[[#This Row],[Date]],database!A:H,7,)</f>
        <v/>
      </c>
      <c r="C175" s="66">
        <f>B175/B174-1</f>
        <v/>
      </c>
      <c r="D175" s="66">
        <f>(Table17[[#This Row],[Index]]-B163)/B163</f>
        <v/>
      </c>
    </row>
    <row r="176">
      <c r="A176" s="17" t="n">
        <v>31444</v>
      </c>
      <c r="B176" s="58">
        <f>VLOOKUP(Table17[[#This Row],[Date]],database!A:H,7,)</f>
        <v/>
      </c>
      <c r="C176" s="66">
        <f>B176/B175-1</f>
        <v/>
      </c>
      <c r="D176" s="66">
        <f>(Table17[[#This Row],[Index]]-B164)/B164</f>
        <v/>
      </c>
    </row>
    <row r="177">
      <c r="A177" s="17" t="n">
        <v>31472</v>
      </c>
      <c r="B177" s="58">
        <f>VLOOKUP(Table17[[#This Row],[Date]],database!A:H,7,)</f>
        <v/>
      </c>
      <c r="C177" s="66">
        <f>B177/B176-1</f>
        <v/>
      </c>
      <c r="D177" s="66">
        <f>(Table17[[#This Row],[Index]]-B165)/B165</f>
        <v/>
      </c>
    </row>
    <row r="178">
      <c r="A178" s="17" t="n">
        <v>31503</v>
      </c>
      <c r="B178" s="58">
        <f>VLOOKUP(Table17[[#This Row],[Date]],database!A:H,7,)</f>
        <v/>
      </c>
      <c r="C178" s="66">
        <f>B178/B177-1</f>
        <v/>
      </c>
      <c r="D178" s="66">
        <f>(Table17[[#This Row],[Index]]-B166)/B166</f>
        <v/>
      </c>
    </row>
    <row r="179">
      <c r="A179" s="17" t="n">
        <v>31533</v>
      </c>
      <c r="B179" s="58">
        <f>VLOOKUP(Table17[[#This Row],[Date]],database!A:H,7,)</f>
        <v/>
      </c>
      <c r="C179" s="66">
        <f>B179/B178-1</f>
        <v/>
      </c>
      <c r="D179" s="66">
        <f>(Table17[[#This Row],[Index]]-B167)/B167</f>
        <v/>
      </c>
    </row>
    <row r="180">
      <c r="A180" s="17" t="n">
        <v>31564</v>
      </c>
      <c r="B180" s="58">
        <f>VLOOKUP(Table17[[#This Row],[Date]],database!A:H,7,)</f>
        <v/>
      </c>
      <c r="C180" s="66">
        <f>B180/B179-1</f>
        <v/>
      </c>
      <c r="D180" s="66">
        <f>(Table17[[#This Row],[Index]]-B168)/B168</f>
        <v/>
      </c>
    </row>
    <row r="181">
      <c r="A181" s="17" t="n">
        <v>31594</v>
      </c>
      <c r="B181" s="58">
        <f>VLOOKUP(Table17[[#This Row],[Date]],database!A:H,7,)</f>
        <v/>
      </c>
      <c r="C181" s="66">
        <f>B181/B180-1</f>
        <v/>
      </c>
      <c r="D181" s="66">
        <f>(Table17[[#This Row],[Index]]-B169)/B169</f>
        <v/>
      </c>
    </row>
    <row r="182">
      <c r="A182" s="17" t="n">
        <v>31625</v>
      </c>
      <c r="B182" s="58">
        <f>VLOOKUP(Table17[[#This Row],[Date]],database!A:H,7,)</f>
        <v/>
      </c>
      <c r="C182" s="66">
        <f>B182/B181-1</f>
        <v/>
      </c>
      <c r="D182" s="66">
        <f>(Table17[[#This Row],[Index]]-B170)/B170</f>
        <v/>
      </c>
    </row>
    <row r="183">
      <c r="A183" s="17" t="n">
        <v>31656</v>
      </c>
      <c r="B183" s="58">
        <f>VLOOKUP(Table17[[#This Row],[Date]],database!A:H,7,)</f>
        <v/>
      </c>
      <c r="C183" s="66">
        <f>B183/B182-1</f>
        <v/>
      </c>
      <c r="D183" s="66">
        <f>(Table17[[#This Row],[Index]]-B171)/B171</f>
        <v/>
      </c>
    </row>
    <row r="184">
      <c r="A184" s="17" t="n">
        <v>31686</v>
      </c>
      <c r="B184" s="58">
        <f>VLOOKUP(Table17[[#This Row],[Date]],database!A:H,7,)</f>
        <v/>
      </c>
      <c r="C184" s="66">
        <f>B184/B183-1</f>
        <v/>
      </c>
      <c r="D184" s="66">
        <f>(Table17[[#This Row],[Index]]-B172)/B172</f>
        <v/>
      </c>
    </row>
    <row r="185">
      <c r="A185" s="17" t="n">
        <v>31717</v>
      </c>
      <c r="B185" s="58">
        <f>VLOOKUP(Table17[[#This Row],[Date]],database!A:H,7,)</f>
        <v/>
      </c>
      <c r="C185" s="66">
        <f>B185/B184-1</f>
        <v/>
      </c>
      <c r="D185" s="66">
        <f>(Table17[[#This Row],[Index]]-B173)/B173</f>
        <v/>
      </c>
    </row>
    <row r="186">
      <c r="A186" s="17" t="n">
        <v>31747</v>
      </c>
      <c r="B186" s="58">
        <f>VLOOKUP(Table17[[#This Row],[Date]],database!A:H,7,)</f>
        <v/>
      </c>
      <c r="C186" s="66">
        <f>B186/B185-1</f>
        <v/>
      </c>
      <c r="D186" s="66">
        <f>(Table17[[#This Row],[Index]]-B174)/B174</f>
        <v/>
      </c>
    </row>
    <row r="187">
      <c r="A187" s="17" t="n">
        <v>31778</v>
      </c>
      <c r="B187" s="58">
        <f>VLOOKUP(Table17[[#This Row],[Date]],database!A:H,7,)</f>
        <v/>
      </c>
      <c r="C187" s="66">
        <f>B187/B186-1</f>
        <v/>
      </c>
      <c r="D187" s="66">
        <f>(Table17[[#This Row],[Index]]-B175)/B175</f>
        <v/>
      </c>
    </row>
    <row r="188">
      <c r="A188" s="17" t="n">
        <v>31809</v>
      </c>
      <c r="B188" s="58">
        <f>VLOOKUP(Table17[[#This Row],[Date]],database!A:H,7,)</f>
        <v/>
      </c>
      <c r="C188" s="66">
        <f>B188/B187-1</f>
        <v/>
      </c>
      <c r="D188" s="66">
        <f>(Table17[[#This Row],[Index]]-B176)/B176</f>
        <v/>
      </c>
    </row>
    <row r="189">
      <c r="A189" s="17" t="n">
        <v>31837</v>
      </c>
      <c r="B189" s="58">
        <f>VLOOKUP(Table17[[#This Row],[Date]],database!A:H,7,)</f>
        <v/>
      </c>
      <c r="C189" s="66">
        <f>B189/B188-1</f>
        <v/>
      </c>
      <c r="D189" s="66">
        <f>(Table17[[#This Row],[Index]]-B177)/B177</f>
        <v/>
      </c>
    </row>
    <row r="190">
      <c r="A190" s="17" t="n">
        <v>31868</v>
      </c>
      <c r="B190" s="58">
        <f>VLOOKUP(Table17[[#This Row],[Date]],database!A:H,7,)</f>
        <v/>
      </c>
      <c r="C190" s="66">
        <f>B190/B189-1</f>
        <v/>
      </c>
      <c r="D190" s="66">
        <f>(Table17[[#This Row],[Index]]-B178)/B178</f>
        <v/>
      </c>
    </row>
    <row r="191">
      <c r="A191" s="17" t="n">
        <v>31898</v>
      </c>
      <c r="B191" s="58">
        <f>VLOOKUP(Table17[[#This Row],[Date]],database!A:H,7,)</f>
        <v/>
      </c>
      <c r="C191" s="66">
        <f>B191/B190-1</f>
        <v/>
      </c>
      <c r="D191" s="66">
        <f>(Table17[[#This Row],[Index]]-B179)/B179</f>
        <v/>
      </c>
    </row>
    <row r="192">
      <c r="A192" s="17" t="n">
        <v>31929</v>
      </c>
      <c r="B192" s="58">
        <f>VLOOKUP(Table17[[#This Row],[Date]],database!A:H,7,)</f>
        <v/>
      </c>
      <c r="C192" s="66">
        <f>B192/B191-1</f>
        <v/>
      </c>
      <c r="D192" s="66">
        <f>(Table17[[#This Row],[Index]]-B180)/B180</f>
        <v/>
      </c>
    </row>
    <row r="193">
      <c r="A193" s="17" t="n">
        <v>31959</v>
      </c>
      <c r="B193" s="58">
        <f>VLOOKUP(Table17[[#This Row],[Date]],database!A:H,7,)</f>
        <v/>
      </c>
      <c r="C193" s="66">
        <f>B193/B192-1</f>
        <v/>
      </c>
      <c r="D193" s="66">
        <f>(Table17[[#This Row],[Index]]-B181)/B181</f>
        <v/>
      </c>
    </row>
    <row r="194">
      <c r="A194" s="17" t="n">
        <v>31990</v>
      </c>
      <c r="B194" s="58">
        <f>VLOOKUP(Table17[[#This Row],[Date]],database!A:H,7,)</f>
        <v/>
      </c>
      <c r="C194" s="66">
        <f>B194/B193-1</f>
        <v/>
      </c>
      <c r="D194" s="66">
        <f>(Table17[[#This Row],[Index]]-B182)/B182</f>
        <v/>
      </c>
    </row>
    <row r="195">
      <c r="A195" s="17" t="n">
        <v>32021</v>
      </c>
      <c r="B195" s="58">
        <f>VLOOKUP(Table17[[#This Row],[Date]],database!A:H,7,)</f>
        <v/>
      </c>
      <c r="C195" s="66">
        <f>B195/B194-1</f>
        <v/>
      </c>
      <c r="D195" s="66">
        <f>(Table17[[#This Row],[Index]]-B183)/B183</f>
        <v/>
      </c>
    </row>
    <row r="196">
      <c r="A196" s="17" t="n">
        <v>32051</v>
      </c>
      <c r="B196" s="58">
        <f>VLOOKUP(Table17[[#This Row],[Date]],database!A:H,7,)</f>
        <v/>
      </c>
      <c r="C196" s="66">
        <f>B196/B195-1</f>
        <v/>
      </c>
      <c r="D196" s="66">
        <f>(Table17[[#This Row],[Index]]-B184)/B184</f>
        <v/>
      </c>
    </row>
    <row r="197">
      <c r="A197" s="17" t="n">
        <v>32082</v>
      </c>
      <c r="B197" s="58">
        <f>VLOOKUP(Table17[[#This Row],[Date]],database!A:H,7,)</f>
        <v/>
      </c>
      <c r="C197" s="66">
        <f>B197/B196-1</f>
        <v/>
      </c>
      <c r="D197" s="66">
        <f>(Table17[[#This Row],[Index]]-B185)/B185</f>
        <v/>
      </c>
    </row>
    <row r="198">
      <c r="A198" s="17" t="n">
        <v>32112</v>
      </c>
      <c r="B198" s="58">
        <f>VLOOKUP(Table17[[#This Row],[Date]],database!A:H,7,)</f>
        <v/>
      </c>
      <c r="C198" s="66">
        <f>B198/B197-1</f>
        <v/>
      </c>
      <c r="D198" s="66">
        <f>(Table17[[#This Row],[Index]]-B186)/B186</f>
        <v/>
      </c>
    </row>
    <row r="199">
      <c r="A199" s="17" t="n">
        <v>32143</v>
      </c>
      <c r="B199" s="58">
        <f>VLOOKUP(Table17[[#This Row],[Date]],database!A:H,7,)</f>
        <v/>
      </c>
      <c r="C199" s="66">
        <f>B199/B198-1</f>
        <v/>
      </c>
      <c r="D199" s="66">
        <f>(Table17[[#This Row],[Index]]-B187)/B187</f>
        <v/>
      </c>
    </row>
    <row r="200">
      <c r="A200" s="17" t="n">
        <v>32174</v>
      </c>
      <c r="B200" s="58">
        <f>VLOOKUP(Table17[[#This Row],[Date]],database!A:H,7,)</f>
        <v/>
      </c>
      <c r="C200" s="66">
        <f>B200/B199-1</f>
        <v/>
      </c>
      <c r="D200" s="66">
        <f>(Table17[[#This Row],[Index]]-B188)/B188</f>
        <v/>
      </c>
    </row>
    <row r="201">
      <c r="A201" s="17" t="n">
        <v>32203</v>
      </c>
      <c r="B201" s="58">
        <f>VLOOKUP(Table17[[#This Row],[Date]],database!A:H,7,)</f>
        <v/>
      </c>
      <c r="C201" s="66">
        <f>B201/B200-1</f>
        <v/>
      </c>
      <c r="D201" s="66">
        <f>(Table17[[#This Row],[Index]]-B189)/B189</f>
        <v/>
      </c>
    </row>
    <row r="202">
      <c r="A202" s="17" t="n">
        <v>32234</v>
      </c>
      <c r="B202" s="58">
        <f>VLOOKUP(Table17[[#This Row],[Date]],database!A:H,7,)</f>
        <v/>
      </c>
      <c r="C202" s="66">
        <f>B202/B201-1</f>
        <v/>
      </c>
      <c r="D202" s="66">
        <f>(Table17[[#This Row],[Index]]-B190)/B190</f>
        <v/>
      </c>
    </row>
    <row r="203">
      <c r="A203" s="17" t="n">
        <v>32264</v>
      </c>
      <c r="B203" s="58">
        <f>VLOOKUP(Table17[[#This Row],[Date]],database!A:H,7,)</f>
        <v/>
      </c>
      <c r="C203" s="66">
        <f>B203/B202-1</f>
        <v/>
      </c>
      <c r="D203" s="66">
        <f>(Table17[[#This Row],[Index]]-B191)/B191</f>
        <v/>
      </c>
    </row>
    <row r="204">
      <c r="A204" s="17" t="n">
        <v>32295</v>
      </c>
      <c r="B204" s="58">
        <f>VLOOKUP(Table17[[#This Row],[Date]],database!A:H,7,)</f>
        <v/>
      </c>
      <c r="C204" s="66">
        <f>B204/B203-1</f>
        <v/>
      </c>
      <c r="D204" s="66">
        <f>(Table17[[#This Row],[Index]]-B192)/B192</f>
        <v/>
      </c>
    </row>
    <row r="205">
      <c r="A205" s="17" t="n">
        <v>32325</v>
      </c>
      <c r="B205" s="58">
        <f>VLOOKUP(Table17[[#This Row],[Date]],database!A:H,7,)</f>
        <v/>
      </c>
      <c r="C205" s="66">
        <f>B205/B204-1</f>
        <v/>
      </c>
      <c r="D205" s="66">
        <f>(Table17[[#This Row],[Index]]-B193)/B193</f>
        <v/>
      </c>
    </row>
    <row r="206">
      <c r="A206" s="17" t="n">
        <v>32356</v>
      </c>
      <c r="B206" s="58">
        <f>VLOOKUP(Table17[[#This Row],[Date]],database!A:H,7,)</f>
        <v/>
      </c>
      <c r="C206" s="66">
        <f>B206/B205-1</f>
        <v/>
      </c>
      <c r="D206" s="66">
        <f>(Table17[[#This Row],[Index]]-B194)/B194</f>
        <v/>
      </c>
    </row>
    <row r="207">
      <c r="A207" s="17" t="n">
        <v>32387</v>
      </c>
      <c r="B207" s="58">
        <f>VLOOKUP(Table17[[#This Row],[Date]],database!A:H,7,)</f>
        <v/>
      </c>
      <c r="C207" s="66">
        <f>B207/B206-1</f>
        <v/>
      </c>
      <c r="D207" s="66">
        <f>(Table17[[#This Row],[Index]]-B195)/B195</f>
        <v/>
      </c>
    </row>
    <row r="208">
      <c r="A208" s="17" t="n">
        <v>32417</v>
      </c>
      <c r="B208" s="58">
        <f>VLOOKUP(Table17[[#This Row],[Date]],database!A:H,7,)</f>
        <v/>
      </c>
      <c r="C208" s="66">
        <f>B208/B207-1</f>
        <v/>
      </c>
      <c r="D208" s="66">
        <f>(Table17[[#This Row],[Index]]-B196)/B196</f>
        <v/>
      </c>
    </row>
    <row r="209">
      <c r="A209" s="17" t="n">
        <v>32448</v>
      </c>
      <c r="B209" s="58">
        <f>VLOOKUP(Table17[[#This Row],[Date]],database!A:H,7,)</f>
        <v/>
      </c>
      <c r="C209" s="66">
        <f>B209/B208-1</f>
        <v/>
      </c>
      <c r="D209" s="66">
        <f>(Table17[[#This Row],[Index]]-B197)/B197</f>
        <v/>
      </c>
    </row>
    <row r="210">
      <c r="A210" s="17" t="n">
        <v>32478</v>
      </c>
      <c r="B210" s="58">
        <f>VLOOKUP(Table17[[#This Row],[Date]],database!A:H,7,)</f>
        <v/>
      </c>
      <c r="C210" s="66">
        <f>B210/B209-1</f>
        <v/>
      </c>
      <c r="D210" s="66">
        <f>(Table17[[#This Row],[Index]]-B198)/B198</f>
        <v/>
      </c>
    </row>
    <row r="211">
      <c r="A211" s="17" t="n">
        <v>32509</v>
      </c>
      <c r="B211" s="58">
        <f>VLOOKUP(Table17[[#This Row],[Date]],database!A:H,7,)</f>
        <v/>
      </c>
      <c r="C211" s="66">
        <f>B211/B210-1</f>
        <v/>
      </c>
      <c r="D211" s="66">
        <f>(Table17[[#This Row],[Index]]-B199)/B199</f>
        <v/>
      </c>
    </row>
    <row r="212">
      <c r="A212" s="17" t="n">
        <v>32540</v>
      </c>
      <c r="B212" s="58">
        <f>VLOOKUP(Table17[[#This Row],[Date]],database!A:H,7,)</f>
        <v/>
      </c>
      <c r="C212" s="66">
        <f>B212/B211-1</f>
        <v/>
      </c>
      <c r="D212" s="66">
        <f>(Table17[[#This Row],[Index]]-B200)/B200</f>
        <v/>
      </c>
    </row>
    <row r="213">
      <c r="A213" s="17" t="n">
        <v>32568</v>
      </c>
      <c r="B213" s="58">
        <f>VLOOKUP(Table17[[#This Row],[Date]],database!A:H,7,)</f>
        <v/>
      </c>
      <c r="C213" s="66">
        <f>B213/B212-1</f>
        <v/>
      </c>
      <c r="D213" s="66">
        <f>(Table17[[#This Row],[Index]]-B201)/B201</f>
        <v/>
      </c>
    </row>
    <row r="214">
      <c r="A214" s="17" t="n">
        <v>32599</v>
      </c>
      <c r="B214" s="58">
        <f>VLOOKUP(Table17[[#This Row],[Date]],database!A:H,7,)</f>
        <v/>
      </c>
      <c r="C214" s="66">
        <f>B214/B213-1</f>
        <v/>
      </c>
      <c r="D214" s="66">
        <f>(Table17[[#This Row],[Index]]-B202)/B202</f>
        <v/>
      </c>
    </row>
    <row r="215">
      <c r="A215" s="17" t="n">
        <v>32629</v>
      </c>
      <c r="B215" s="58">
        <f>VLOOKUP(Table17[[#This Row],[Date]],database!A:H,7,)</f>
        <v/>
      </c>
      <c r="C215" s="66">
        <f>B215/B214-1</f>
        <v/>
      </c>
      <c r="D215" s="66">
        <f>(Table17[[#This Row],[Index]]-B203)/B203</f>
        <v/>
      </c>
    </row>
    <row r="216">
      <c r="A216" s="17" t="n">
        <v>32660</v>
      </c>
      <c r="B216" s="58">
        <f>VLOOKUP(Table17[[#This Row],[Date]],database!A:H,7,)</f>
        <v/>
      </c>
      <c r="C216" s="66">
        <f>B216/B215-1</f>
        <v/>
      </c>
      <c r="D216" s="66">
        <f>(Table17[[#This Row],[Index]]-B204)/B204</f>
        <v/>
      </c>
    </row>
    <row r="217">
      <c r="A217" s="17" t="n">
        <v>32690</v>
      </c>
      <c r="B217" s="58">
        <f>VLOOKUP(Table17[[#This Row],[Date]],database!A:H,7,)</f>
        <v/>
      </c>
      <c r="C217" s="66">
        <f>B217/B216-1</f>
        <v/>
      </c>
      <c r="D217" s="66">
        <f>(Table17[[#This Row],[Index]]-B205)/B205</f>
        <v/>
      </c>
    </row>
    <row r="218">
      <c r="A218" s="17" t="n">
        <v>32721</v>
      </c>
      <c r="B218" s="58">
        <f>VLOOKUP(Table17[[#This Row],[Date]],database!A:H,7,)</f>
        <v/>
      </c>
      <c r="C218" s="66">
        <f>B218/B217-1</f>
        <v/>
      </c>
      <c r="D218" s="66">
        <f>(Table17[[#This Row],[Index]]-B206)/B206</f>
        <v/>
      </c>
    </row>
    <row r="219">
      <c r="A219" s="17" t="n">
        <v>32752</v>
      </c>
      <c r="B219" s="58">
        <f>VLOOKUP(Table17[[#This Row],[Date]],database!A:H,7,)</f>
        <v/>
      </c>
      <c r="C219" s="66">
        <f>B219/B218-1</f>
        <v/>
      </c>
      <c r="D219" s="66">
        <f>(Table17[[#This Row],[Index]]-B207)/B207</f>
        <v/>
      </c>
    </row>
    <row r="220">
      <c r="A220" s="17" t="n">
        <v>32782</v>
      </c>
      <c r="B220" s="58">
        <f>VLOOKUP(Table17[[#This Row],[Date]],database!A:H,7,)</f>
        <v/>
      </c>
      <c r="C220" s="66">
        <f>B220/B219-1</f>
        <v/>
      </c>
      <c r="D220" s="66">
        <f>(Table17[[#This Row],[Index]]-B208)/B208</f>
        <v/>
      </c>
    </row>
    <row r="221">
      <c r="A221" s="17" t="n">
        <v>32813</v>
      </c>
      <c r="B221" s="58">
        <f>VLOOKUP(Table17[[#This Row],[Date]],database!A:H,7,)</f>
        <v/>
      </c>
      <c r="C221" s="66">
        <f>B221/B220-1</f>
        <v/>
      </c>
      <c r="D221" s="66">
        <f>(Table17[[#This Row],[Index]]-B209)/B209</f>
        <v/>
      </c>
    </row>
    <row r="222">
      <c r="A222" s="17" t="n">
        <v>32843</v>
      </c>
      <c r="B222" s="58">
        <f>VLOOKUP(Table17[[#This Row],[Date]],database!A:H,7,)</f>
        <v/>
      </c>
      <c r="C222" s="66">
        <f>B222/B221-1</f>
        <v/>
      </c>
      <c r="D222" s="66">
        <f>(Table17[[#This Row],[Index]]-B210)/B210</f>
        <v/>
      </c>
    </row>
    <row r="223">
      <c r="A223" s="17" t="n">
        <v>32874</v>
      </c>
      <c r="B223" s="58">
        <f>VLOOKUP(Table17[[#This Row],[Date]],database!A:H,7,)</f>
        <v/>
      </c>
      <c r="C223" s="66">
        <f>B223/B222-1</f>
        <v/>
      </c>
      <c r="D223" s="66">
        <f>(Table17[[#This Row],[Index]]-B211)/B211</f>
        <v/>
      </c>
    </row>
    <row r="224">
      <c r="A224" s="17" t="n">
        <v>32905</v>
      </c>
      <c r="B224" s="58">
        <f>VLOOKUP(Table17[[#This Row],[Date]],database!A:H,7,)</f>
        <v/>
      </c>
      <c r="C224" s="66">
        <f>B224/B223-1</f>
        <v/>
      </c>
      <c r="D224" s="66">
        <f>(Table17[[#This Row],[Index]]-B212)/B212</f>
        <v/>
      </c>
    </row>
    <row r="225">
      <c r="A225" s="17" t="n">
        <v>32933</v>
      </c>
      <c r="B225" s="58">
        <f>VLOOKUP(Table17[[#This Row],[Date]],database!A:H,7,)</f>
        <v/>
      </c>
      <c r="C225" s="66">
        <f>B225/B224-1</f>
        <v/>
      </c>
      <c r="D225" s="66">
        <f>(Table17[[#This Row],[Index]]-B213)/B213</f>
        <v/>
      </c>
    </row>
    <row r="226">
      <c r="A226" s="17" t="n">
        <v>32964</v>
      </c>
      <c r="B226" s="58">
        <f>VLOOKUP(Table17[[#This Row],[Date]],database!A:H,7,)</f>
        <v/>
      </c>
      <c r="C226" s="66">
        <f>B226/B225-1</f>
        <v/>
      </c>
      <c r="D226" s="66">
        <f>(Table17[[#This Row],[Index]]-B214)/B214</f>
        <v/>
      </c>
    </row>
    <row r="227">
      <c r="A227" s="17" t="n">
        <v>32994</v>
      </c>
      <c r="B227" s="58">
        <f>VLOOKUP(Table17[[#This Row],[Date]],database!A:H,7,)</f>
        <v/>
      </c>
      <c r="C227" s="66">
        <f>B227/B226-1</f>
        <v/>
      </c>
      <c r="D227" s="66">
        <f>(Table17[[#This Row],[Index]]-B215)/B215</f>
        <v/>
      </c>
    </row>
    <row r="228">
      <c r="A228" s="17" t="n">
        <v>33025</v>
      </c>
      <c r="B228" s="58">
        <f>VLOOKUP(Table17[[#This Row],[Date]],database!A:H,7,)</f>
        <v/>
      </c>
      <c r="C228" s="66">
        <f>B228/B227-1</f>
        <v/>
      </c>
      <c r="D228" s="66">
        <f>(Table17[[#This Row],[Index]]-B216)/B216</f>
        <v/>
      </c>
    </row>
    <row r="229">
      <c r="A229" s="17" t="n">
        <v>33055</v>
      </c>
      <c r="B229" s="58">
        <f>VLOOKUP(Table17[[#This Row],[Date]],database!A:H,7,)</f>
        <v/>
      </c>
      <c r="C229" s="66">
        <f>B229/B228-1</f>
        <v/>
      </c>
      <c r="D229" s="66">
        <f>(Table17[[#This Row],[Index]]-B217)/B217</f>
        <v/>
      </c>
    </row>
    <row r="230">
      <c r="A230" s="17" t="n">
        <v>33086</v>
      </c>
      <c r="B230" s="58">
        <f>VLOOKUP(Table17[[#This Row],[Date]],database!A:H,7,)</f>
        <v/>
      </c>
      <c r="C230" s="66">
        <f>B230/B229-1</f>
        <v/>
      </c>
      <c r="D230" s="66">
        <f>(Table17[[#This Row],[Index]]-B218)/B218</f>
        <v/>
      </c>
    </row>
    <row r="231">
      <c r="A231" s="17" t="n">
        <v>33117</v>
      </c>
      <c r="B231" s="58">
        <f>VLOOKUP(Table17[[#This Row],[Date]],database!A:H,7,)</f>
        <v/>
      </c>
      <c r="C231" s="66">
        <f>B231/B230-1</f>
        <v/>
      </c>
      <c r="D231" s="66">
        <f>(Table17[[#This Row],[Index]]-B219)/B219</f>
        <v/>
      </c>
    </row>
    <row r="232">
      <c r="A232" s="17" t="n">
        <v>33147</v>
      </c>
      <c r="B232" s="58">
        <f>VLOOKUP(Table17[[#This Row],[Date]],database!A:H,7,)</f>
        <v/>
      </c>
      <c r="C232" s="66">
        <f>B232/B231-1</f>
        <v/>
      </c>
      <c r="D232" s="66">
        <f>(Table17[[#This Row],[Index]]-B220)/B220</f>
        <v/>
      </c>
    </row>
    <row r="233">
      <c r="A233" s="17" t="n">
        <v>33178</v>
      </c>
      <c r="B233" s="58">
        <f>VLOOKUP(Table17[[#This Row],[Date]],database!A:H,7,)</f>
        <v/>
      </c>
      <c r="C233" s="66">
        <f>B233/B232-1</f>
        <v/>
      </c>
      <c r="D233" s="66">
        <f>(Table17[[#This Row],[Index]]-B221)/B221</f>
        <v/>
      </c>
    </row>
    <row r="234">
      <c r="A234" s="17" t="n">
        <v>33208</v>
      </c>
      <c r="B234" s="58">
        <f>VLOOKUP(Table17[[#This Row],[Date]],database!A:H,7,)</f>
        <v/>
      </c>
      <c r="C234" s="66">
        <f>B234/B233-1</f>
        <v/>
      </c>
      <c r="D234" s="66">
        <f>(Table17[[#This Row],[Index]]-B222)/B222</f>
        <v/>
      </c>
    </row>
    <row r="235">
      <c r="A235" s="17" t="n">
        <v>33239</v>
      </c>
      <c r="B235" s="58">
        <f>VLOOKUP(Table17[[#This Row],[Date]],database!A:H,7,)</f>
        <v/>
      </c>
      <c r="C235" s="66">
        <f>B235/B234-1</f>
        <v/>
      </c>
      <c r="D235" s="66">
        <f>(Table17[[#This Row],[Index]]-B223)/B223</f>
        <v/>
      </c>
    </row>
    <row r="236">
      <c r="A236" s="17" t="n">
        <v>33270</v>
      </c>
      <c r="B236" s="58">
        <f>VLOOKUP(Table17[[#This Row],[Date]],database!A:H,7,)</f>
        <v/>
      </c>
      <c r="C236" s="66">
        <f>B236/B235-1</f>
        <v/>
      </c>
      <c r="D236" s="66">
        <f>(Table17[[#This Row],[Index]]-B224)/B224</f>
        <v/>
      </c>
    </row>
    <row r="237">
      <c r="A237" s="17" t="n">
        <v>33298</v>
      </c>
      <c r="B237" s="58">
        <f>VLOOKUP(Table17[[#This Row],[Date]],database!A:H,7,)</f>
        <v/>
      </c>
      <c r="C237" s="66">
        <f>B237/B236-1</f>
        <v/>
      </c>
      <c r="D237" s="66">
        <f>(Table17[[#This Row],[Index]]-B225)/B225</f>
        <v/>
      </c>
    </row>
    <row r="238">
      <c r="A238" s="17" t="n">
        <v>33329</v>
      </c>
      <c r="B238" s="58">
        <f>VLOOKUP(Table17[[#This Row],[Date]],database!A:H,7,)</f>
        <v/>
      </c>
      <c r="C238" s="66">
        <f>B238/B237-1</f>
        <v/>
      </c>
      <c r="D238" s="66">
        <f>(Table17[[#This Row],[Index]]-B226)/B226</f>
        <v/>
      </c>
    </row>
    <row r="239">
      <c r="A239" s="17" t="n">
        <v>33359</v>
      </c>
      <c r="B239" s="58">
        <f>VLOOKUP(Table17[[#This Row],[Date]],database!A:H,7,)</f>
        <v/>
      </c>
      <c r="C239" s="66">
        <f>B239/B238-1</f>
        <v/>
      </c>
      <c r="D239" s="66">
        <f>(Table17[[#This Row],[Index]]-B227)/B227</f>
        <v/>
      </c>
    </row>
    <row r="240">
      <c r="A240" s="17" t="n">
        <v>33390</v>
      </c>
      <c r="B240" s="58">
        <f>VLOOKUP(Table17[[#This Row],[Date]],database!A:H,7,)</f>
        <v/>
      </c>
      <c r="C240" s="66">
        <f>B240/B239-1</f>
        <v/>
      </c>
      <c r="D240" s="66">
        <f>(Table17[[#This Row],[Index]]-B228)/B228</f>
        <v/>
      </c>
    </row>
    <row r="241">
      <c r="A241" s="17" t="n">
        <v>33420</v>
      </c>
      <c r="B241" s="58">
        <f>VLOOKUP(Table17[[#This Row],[Date]],database!A:H,7,)</f>
        <v/>
      </c>
      <c r="C241" s="66">
        <f>B241/B240-1</f>
        <v/>
      </c>
      <c r="D241" s="66">
        <f>(Table17[[#This Row],[Index]]-B229)/B229</f>
        <v/>
      </c>
    </row>
    <row r="242">
      <c r="A242" s="17" t="n">
        <v>33451</v>
      </c>
      <c r="B242" s="58">
        <f>VLOOKUP(Table17[[#This Row],[Date]],database!A:H,7,)</f>
        <v/>
      </c>
      <c r="C242" s="66">
        <f>B242/B241-1</f>
        <v/>
      </c>
      <c r="D242" s="66">
        <f>(Table17[[#This Row],[Index]]-B230)/B230</f>
        <v/>
      </c>
    </row>
    <row r="243">
      <c r="A243" s="17" t="n">
        <v>33482</v>
      </c>
      <c r="B243" s="58">
        <f>VLOOKUP(Table17[[#This Row],[Date]],database!A:H,7,)</f>
        <v/>
      </c>
      <c r="C243" s="66">
        <f>B243/B242-1</f>
        <v/>
      </c>
      <c r="D243" s="66">
        <f>(Table17[[#This Row],[Index]]-B231)/B231</f>
        <v/>
      </c>
    </row>
    <row r="244">
      <c r="A244" s="17" t="n">
        <v>33512</v>
      </c>
      <c r="B244" s="58">
        <f>VLOOKUP(Table17[[#This Row],[Date]],database!A:H,7,)</f>
        <v/>
      </c>
      <c r="C244" s="66">
        <f>B244/B243-1</f>
        <v/>
      </c>
      <c r="D244" s="66">
        <f>(Table17[[#This Row],[Index]]-B232)/B232</f>
        <v/>
      </c>
    </row>
    <row r="245">
      <c r="A245" s="17" t="n">
        <v>33543</v>
      </c>
      <c r="B245" s="58">
        <f>VLOOKUP(Table17[[#This Row],[Date]],database!A:H,7,)</f>
        <v/>
      </c>
      <c r="C245" s="66">
        <f>B245/B244-1</f>
        <v/>
      </c>
      <c r="D245" s="66">
        <f>(Table17[[#This Row],[Index]]-B233)/B233</f>
        <v/>
      </c>
    </row>
    <row r="246">
      <c r="A246" s="17" t="n">
        <v>33573</v>
      </c>
      <c r="B246" s="58">
        <f>VLOOKUP(Table17[[#This Row],[Date]],database!A:H,7,)</f>
        <v/>
      </c>
      <c r="C246" s="66">
        <f>B246/B245-1</f>
        <v/>
      </c>
      <c r="D246" s="66">
        <f>(Table17[[#This Row],[Index]]-B234)/B234</f>
        <v/>
      </c>
    </row>
    <row r="247">
      <c r="A247" s="17" t="n">
        <v>33604</v>
      </c>
      <c r="B247" s="58">
        <f>VLOOKUP(Table17[[#This Row],[Date]],database!A:H,7,)</f>
        <v/>
      </c>
      <c r="C247" s="66">
        <f>B247/B246-1</f>
        <v/>
      </c>
      <c r="D247" s="66">
        <f>(Table17[[#This Row],[Index]]-B235)/B235</f>
        <v/>
      </c>
    </row>
    <row r="248">
      <c r="A248" s="17" t="n">
        <v>33635</v>
      </c>
      <c r="B248" s="58">
        <f>VLOOKUP(Table17[[#This Row],[Date]],database!A:H,7,)</f>
        <v/>
      </c>
      <c r="C248" s="66">
        <f>B248/B247-1</f>
        <v/>
      </c>
      <c r="D248" s="66">
        <f>(Table17[[#This Row],[Index]]-B236)/B236</f>
        <v/>
      </c>
    </row>
    <row r="249">
      <c r="A249" s="17" t="n">
        <v>33664</v>
      </c>
      <c r="B249" s="58">
        <f>VLOOKUP(Table17[[#This Row],[Date]],database!A:H,7,)</f>
        <v/>
      </c>
      <c r="C249" s="66">
        <f>B249/B248-1</f>
        <v/>
      </c>
      <c r="D249" s="66">
        <f>(Table17[[#This Row],[Index]]-B237)/B237</f>
        <v/>
      </c>
    </row>
    <row r="250">
      <c r="A250" s="17" t="n">
        <v>33695</v>
      </c>
      <c r="B250" s="58">
        <f>VLOOKUP(Table17[[#This Row],[Date]],database!A:H,7,)</f>
        <v/>
      </c>
      <c r="C250" s="66">
        <f>B250/B249-1</f>
        <v/>
      </c>
      <c r="D250" s="66">
        <f>(Table17[[#This Row],[Index]]-B238)/B238</f>
        <v/>
      </c>
    </row>
    <row r="251">
      <c r="A251" s="17" t="n">
        <v>33725</v>
      </c>
      <c r="B251" s="58">
        <f>VLOOKUP(Table17[[#This Row],[Date]],database!A:H,7,)</f>
        <v/>
      </c>
      <c r="C251" s="66">
        <f>B251/B250-1</f>
        <v/>
      </c>
      <c r="D251" s="66">
        <f>(Table17[[#This Row],[Index]]-B239)/B239</f>
        <v/>
      </c>
    </row>
    <row r="252">
      <c r="A252" s="17" t="n">
        <v>33756</v>
      </c>
      <c r="B252" s="58">
        <f>VLOOKUP(Table17[[#This Row],[Date]],database!A:H,7,)</f>
        <v/>
      </c>
      <c r="C252" s="66">
        <f>B252/B251-1</f>
        <v/>
      </c>
      <c r="D252" s="66">
        <f>(Table17[[#This Row],[Index]]-B240)/B240</f>
        <v/>
      </c>
    </row>
    <row r="253">
      <c r="A253" s="17" t="n">
        <v>33786</v>
      </c>
      <c r="B253" s="58">
        <f>VLOOKUP(Table17[[#This Row],[Date]],database!A:H,7,)</f>
        <v/>
      </c>
      <c r="C253" s="66">
        <f>B253/B252-1</f>
        <v/>
      </c>
      <c r="D253" s="66">
        <f>(Table17[[#This Row],[Index]]-B241)/B241</f>
        <v/>
      </c>
    </row>
    <row r="254">
      <c r="A254" s="17" t="n">
        <v>33817</v>
      </c>
      <c r="B254" s="58">
        <f>VLOOKUP(Table17[[#This Row],[Date]],database!A:H,7,)</f>
        <v/>
      </c>
      <c r="C254" s="66">
        <f>B254/B253-1</f>
        <v/>
      </c>
      <c r="D254" s="66">
        <f>(Table17[[#This Row],[Index]]-B242)/B242</f>
        <v/>
      </c>
    </row>
    <row r="255">
      <c r="A255" s="17" t="n">
        <v>33848</v>
      </c>
      <c r="B255" s="58">
        <f>VLOOKUP(Table17[[#This Row],[Date]],database!A:H,7,)</f>
        <v/>
      </c>
      <c r="C255" s="66">
        <f>B255/B254-1</f>
        <v/>
      </c>
      <c r="D255" s="66">
        <f>(Table17[[#This Row],[Index]]-B243)/B243</f>
        <v/>
      </c>
    </row>
    <row r="256">
      <c r="A256" s="17" t="n">
        <v>33878</v>
      </c>
      <c r="B256" s="58">
        <f>VLOOKUP(Table17[[#This Row],[Date]],database!A:H,7,)</f>
        <v/>
      </c>
      <c r="C256" s="66">
        <f>B256/B255-1</f>
        <v/>
      </c>
      <c r="D256" s="66">
        <f>(Table17[[#This Row],[Index]]-B244)/B244</f>
        <v/>
      </c>
    </row>
    <row r="257">
      <c r="A257" s="17" t="n">
        <v>33909</v>
      </c>
      <c r="B257" s="58">
        <f>VLOOKUP(Table17[[#This Row],[Date]],database!A:H,7,)</f>
        <v/>
      </c>
      <c r="C257" s="66">
        <f>B257/B256-1</f>
        <v/>
      </c>
      <c r="D257" s="66">
        <f>(Table17[[#This Row],[Index]]-B245)/B245</f>
        <v/>
      </c>
    </row>
    <row r="258">
      <c r="A258" s="17" t="n">
        <v>33939</v>
      </c>
      <c r="B258" s="58">
        <f>VLOOKUP(Table17[[#This Row],[Date]],database!A:H,7,)</f>
        <v/>
      </c>
      <c r="C258" s="66">
        <f>B258/B257-1</f>
        <v/>
      </c>
      <c r="D258" s="66">
        <f>(Table17[[#This Row],[Index]]-B246)/B246</f>
        <v/>
      </c>
    </row>
    <row r="259">
      <c r="A259" s="17" t="n">
        <v>33970</v>
      </c>
      <c r="B259" s="58">
        <f>VLOOKUP(Table17[[#This Row],[Date]],database!A:H,7,)</f>
        <v/>
      </c>
      <c r="C259" s="66">
        <f>B259/B258-1</f>
        <v/>
      </c>
      <c r="D259" s="66">
        <f>(Table17[[#This Row],[Index]]-B247)/B247</f>
        <v/>
      </c>
    </row>
    <row r="260">
      <c r="A260" s="17" t="n">
        <v>34001</v>
      </c>
      <c r="B260" s="58">
        <f>VLOOKUP(Table17[[#This Row],[Date]],database!A:H,7,)</f>
        <v/>
      </c>
      <c r="C260" s="66">
        <f>B260/B259-1</f>
        <v/>
      </c>
      <c r="D260" s="66">
        <f>(Table17[[#This Row],[Index]]-B248)/B248</f>
        <v/>
      </c>
    </row>
    <row r="261">
      <c r="A261" s="17" t="n">
        <v>34029</v>
      </c>
      <c r="B261" s="58">
        <f>VLOOKUP(Table17[[#This Row],[Date]],database!A:H,7,)</f>
        <v/>
      </c>
      <c r="C261" s="66">
        <f>B261/B260-1</f>
        <v/>
      </c>
      <c r="D261" s="66">
        <f>(Table17[[#This Row],[Index]]-B249)/B249</f>
        <v/>
      </c>
    </row>
    <row r="262">
      <c r="A262" s="17" t="n">
        <v>34060</v>
      </c>
      <c r="B262" s="58">
        <f>VLOOKUP(Table17[[#This Row],[Date]],database!A:H,7,)</f>
        <v/>
      </c>
      <c r="C262" s="66">
        <f>B262/B261-1</f>
        <v/>
      </c>
      <c r="D262" s="66">
        <f>(Table17[[#This Row],[Index]]-B250)/B250</f>
        <v/>
      </c>
    </row>
    <row r="263">
      <c r="A263" s="17" t="n">
        <v>34090</v>
      </c>
      <c r="B263" s="58">
        <f>VLOOKUP(Table17[[#This Row],[Date]],database!A:H,7,)</f>
        <v/>
      </c>
      <c r="C263" s="66">
        <f>B263/B262-1</f>
        <v/>
      </c>
      <c r="D263" s="66">
        <f>(Table17[[#This Row],[Index]]-B251)/B251</f>
        <v/>
      </c>
    </row>
    <row r="264">
      <c r="A264" s="17" t="n">
        <v>34121</v>
      </c>
      <c r="B264" s="58">
        <f>VLOOKUP(Table17[[#This Row],[Date]],database!A:H,7,)</f>
        <v/>
      </c>
      <c r="C264" s="66">
        <f>B264/B263-1</f>
        <v/>
      </c>
      <c r="D264" s="66">
        <f>(Table17[[#This Row],[Index]]-B252)/B252</f>
        <v/>
      </c>
    </row>
    <row r="265">
      <c r="A265" s="17" t="n">
        <v>34151</v>
      </c>
      <c r="B265" s="58">
        <f>VLOOKUP(Table17[[#This Row],[Date]],database!A:H,7,)</f>
        <v/>
      </c>
      <c r="C265" s="66">
        <f>B265/B264-1</f>
        <v/>
      </c>
      <c r="D265" s="66">
        <f>(Table17[[#This Row],[Index]]-B253)/B253</f>
        <v/>
      </c>
    </row>
    <row r="266">
      <c r="A266" s="17" t="n">
        <v>34182</v>
      </c>
      <c r="B266" s="58">
        <f>VLOOKUP(Table17[[#This Row],[Date]],database!A:H,7,)</f>
        <v/>
      </c>
      <c r="C266" s="66">
        <f>B266/B265-1</f>
        <v/>
      </c>
      <c r="D266" s="66">
        <f>(Table17[[#This Row],[Index]]-B254)/B254</f>
        <v/>
      </c>
    </row>
    <row r="267">
      <c r="A267" s="17" t="n">
        <v>34213</v>
      </c>
      <c r="B267" s="58">
        <f>VLOOKUP(Table17[[#This Row],[Date]],database!A:H,7,)</f>
        <v/>
      </c>
      <c r="C267" s="66">
        <f>B267/B266-1</f>
        <v/>
      </c>
      <c r="D267" s="66">
        <f>(Table17[[#This Row],[Index]]-B255)/B255</f>
        <v/>
      </c>
    </row>
    <row r="268">
      <c r="A268" s="17" t="n">
        <v>34243</v>
      </c>
      <c r="B268" s="58">
        <f>VLOOKUP(Table17[[#This Row],[Date]],database!A:H,7,)</f>
        <v/>
      </c>
      <c r="C268" s="66">
        <f>B268/B267-1</f>
        <v/>
      </c>
      <c r="D268" s="66">
        <f>(Table17[[#This Row],[Index]]-B256)/B256</f>
        <v/>
      </c>
    </row>
    <row r="269">
      <c r="A269" s="17" t="n">
        <v>34274</v>
      </c>
      <c r="B269" s="58">
        <f>VLOOKUP(Table17[[#This Row],[Date]],database!A:H,7,)</f>
        <v/>
      </c>
      <c r="C269" s="66">
        <f>B269/B268-1</f>
        <v/>
      </c>
      <c r="D269" s="66">
        <f>(Table17[[#This Row],[Index]]-B257)/B257</f>
        <v/>
      </c>
    </row>
    <row r="270">
      <c r="A270" s="17" t="n">
        <v>34304</v>
      </c>
      <c r="B270" s="58">
        <f>VLOOKUP(Table17[[#This Row],[Date]],database!A:H,7,)</f>
        <v/>
      </c>
      <c r="C270" s="66">
        <f>B270/B269-1</f>
        <v/>
      </c>
      <c r="D270" s="66">
        <f>(Table17[[#This Row],[Index]]-B258)/B258</f>
        <v/>
      </c>
    </row>
    <row r="271">
      <c r="A271" s="17" t="n">
        <v>34335</v>
      </c>
      <c r="B271" s="58">
        <f>VLOOKUP(Table17[[#This Row],[Date]],database!A:H,7,)</f>
        <v/>
      </c>
      <c r="C271" s="66">
        <f>B271/B270-1</f>
        <v/>
      </c>
      <c r="D271" s="66">
        <f>(Table17[[#This Row],[Index]]-B259)/B259</f>
        <v/>
      </c>
    </row>
    <row r="272">
      <c r="A272" s="17" t="n">
        <v>34366</v>
      </c>
      <c r="B272" s="58">
        <f>VLOOKUP(Table17[[#This Row],[Date]],database!A:H,7,)</f>
        <v/>
      </c>
      <c r="C272" s="66">
        <f>B272/B271-1</f>
        <v/>
      </c>
      <c r="D272" s="66">
        <f>(Table17[[#This Row],[Index]]-B260)/B260</f>
        <v/>
      </c>
    </row>
    <row r="273">
      <c r="A273" s="17" t="n">
        <v>34394</v>
      </c>
      <c r="B273" s="58">
        <f>VLOOKUP(Table17[[#This Row],[Date]],database!A:H,7,)</f>
        <v/>
      </c>
      <c r="C273" s="66">
        <f>B273/B272-1</f>
        <v/>
      </c>
      <c r="D273" s="66">
        <f>(Table17[[#This Row],[Index]]-B261)/B261</f>
        <v/>
      </c>
    </row>
    <row r="274">
      <c r="A274" s="17" t="n">
        <v>34425</v>
      </c>
      <c r="B274" s="58">
        <f>VLOOKUP(Table17[[#This Row],[Date]],database!A:H,7,)</f>
        <v/>
      </c>
      <c r="C274" s="66">
        <f>B274/B273-1</f>
        <v/>
      </c>
      <c r="D274" s="66">
        <f>(Table17[[#This Row],[Index]]-B262)/B262</f>
        <v/>
      </c>
    </row>
    <row r="275">
      <c r="A275" s="17" t="n">
        <v>34455</v>
      </c>
      <c r="B275" s="58">
        <f>VLOOKUP(Table17[[#This Row],[Date]],database!A:H,7,)</f>
        <v/>
      </c>
      <c r="C275" s="66">
        <f>B275/B274-1</f>
        <v/>
      </c>
      <c r="D275" s="66">
        <f>(Table17[[#This Row],[Index]]-B263)/B263</f>
        <v/>
      </c>
    </row>
    <row r="276">
      <c r="A276" s="17" t="n">
        <v>34486</v>
      </c>
      <c r="B276" s="58">
        <f>VLOOKUP(Table17[[#This Row],[Date]],database!A:H,7,)</f>
        <v/>
      </c>
      <c r="C276" s="66">
        <f>B276/B275-1</f>
        <v/>
      </c>
      <c r="D276" s="66">
        <f>(Table17[[#This Row],[Index]]-B264)/B264</f>
        <v/>
      </c>
    </row>
    <row r="277">
      <c r="A277" s="17" t="n">
        <v>34516</v>
      </c>
      <c r="B277" s="58">
        <f>VLOOKUP(Table17[[#This Row],[Date]],database!A:H,7,)</f>
        <v/>
      </c>
      <c r="C277" s="66">
        <f>B277/B276-1</f>
        <v/>
      </c>
      <c r="D277" s="66">
        <f>(Table17[[#This Row],[Index]]-B265)/B265</f>
        <v/>
      </c>
    </row>
    <row r="278">
      <c r="A278" s="17" t="n">
        <v>34547</v>
      </c>
      <c r="B278" s="58">
        <f>VLOOKUP(Table17[[#This Row],[Date]],database!A:H,7,)</f>
        <v/>
      </c>
      <c r="C278" s="66">
        <f>B278/B277-1</f>
        <v/>
      </c>
      <c r="D278" s="66">
        <f>(Table17[[#This Row],[Index]]-B266)/B266</f>
        <v/>
      </c>
    </row>
    <row r="279">
      <c r="A279" s="17" t="n">
        <v>34578</v>
      </c>
      <c r="B279" s="58">
        <f>VLOOKUP(Table17[[#This Row],[Date]],database!A:H,7,)</f>
        <v/>
      </c>
      <c r="C279" s="66">
        <f>B279/B278-1</f>
        <v/>
      </c>
      <c r="D279" s="66">
        <f>(Table17[[#This Row],[Index]]-B267)/B267</f>
        <v/>
      </c>
    </row>
    <row r="280">
      <c r="A280" s="17" t="n">
        <v>34608</v>
      </c>
      <c r="B280" s="58">
        <f>VLOOKUP(Table17[[#This Row],[Date]],database!A:H,7,)</f>
        <v/>
      </c>
      <c r="C280" s="66">
        <f>B280/B279-1</f>
        <v/>
      </c>
      <c r="D280" s="66">
        <f>(Table17[[#This Row],[Index]]-B268)/B268</f>
        <v/>
      </c>
    </row>
    <row r="281">
      <c r="A281" s="17" t="n">
        <v>34639</v>
      </c>
      <c r="B281" s="58">
        <f>VLOOKUP(Table17[[#This Row],[Date]],database!A:H,7,)</f>
        <v/>
      </c>
      <c r="C281" s="66">
        <f>B281/B280-1</f>
        <v/>
      </c>
      <c r="D281" s="66">
        <f>(Table17[[#This Row],[Index]]-B269)/B269</f>
        <v/>
      </c>
    </row>
    <row r="282">
      <c r="A282" s="17" t="n">
        <v>34669</v>
      </c>
      <c r="B282" s="58">
        <f>VLOOKUP(Table17[[#This Row],[Date]],database!A:H,7,)</f>
        <v/>
      </c>
      <c r="C282" s="66">
        <f>B282/B281-1</f>
        <v/>
      </c>
      <c r="D282" s="66">
        <f>(Table17[[#This Row],[Index]]-B270)/B270</f>
        <v/>
      </c>
    </row>
    <row r="283">
      <c r="A283" s="17" t="n">
        <v>34700</v>
      </c>
      <c r="B283" s="58">
        <f>VLOOKUP(Table17[[#This Row],[Date]],database!A:H,7,)</f>
        <v/>
      </c>
      <c r="C283" s="66">
        <f>B283/B282-1</f>
        <v/>
      </c>
      <c r="D283" s="66">
        <f>(Table17[[#This Row],[Index]]-B271)/B271</f>
        <v/>
      </c>
    </row>
    <row r="284">
      <c r="A284" s="17" t="n">
        <v>34731</v>
      </c>
      <c r="B284" s="58">
        <f>VLOOKUP(Table17[[#This Row],[Date]],database!A:H,7,)</f>
        <v/>
      </c>
      <c r="C284" s="66">
        <f>B284/B283-1</f>
        <v/>
      </c>
      <c r="D284" s="66">
        <f>(Table17[[#This Row],[Index]]-B272)/B272</f>
        <v/>
      </c>
    </row>
    <row r="285">
      <c r="A285" s="17" t="n">
        <v>34759</v>
      </c>
      <c r="B285" s="58">
        <f>VLOOKUP(Table17[[#This Row],[Date]],database!A:H,7,)</f>
        <v/>
      </c>
      <c r="C285" s="66">
        <f>B285/B284-1</f>
        <v/>
      </c>
      <c r="D285" s="66">
        <f>(Table17[[#This Row],[Index]]-B273)/B273</f>
        <v/>
      </c>
    </row>
    <row r="286">
      <c r="A286" s="17" t="n">
        <v>34790</v>
      </c>
      <c r="B286" s="58">
        <f>VLOOKUP(Table17[[#This Row],[Date]],database!A:H,7,)</f>
        <v/>
      </c>
      <c r="C286" s="66">
        <f>B286/B285-1</f>
        <v/>
      </c>
      <c r="D286" s="66">
        <f>(Table17[[#This Row],[Index]]-B274)/B274</f>
        <v/>
      </c>
    </row>
    <row r="287">
      <c r="A287" s="17" t="n">
        <v>34820</v>
      </c>
      <c r="B287" s="58">
        <f>VLOOKUP(Table17[[#This Row],[Date]],database!A:H,7,)</f>
        <v/>
      </c>
      <c r="C287" s="66">
        <f>B287/B286-1</f>
        <v/>
      </c>
      <c r="D287" s="66">
        <f>(Table17[[#This Row],[Index]]-B275)/B275</f>
        <v/>
      </c>
    </row>
    <row r="288">
      <c r="A288" s="17" t="n">
        <v>34851</v>
      </c>
      <c r="B288" s="58">
        <f>VLOOKUP(Table17[[#This Row],[Date]],database!A:H,7,)</f>
        <v/>
      </c>
      <c r="C288" s="66">
        <f>B288/B287-1</f>
        <v/>
      </c>
      <c r="D288" s="66">
        <f>(Table17[[#This Row],[Index]]-B276)/B276</f>
        <v/>
      </c>
    </row>
    <row r="289">
      <c r="A289" s="17" t="n">
        <v>34881</v>
      </c>
      <c r="B289" s="58">
        <f>VLOOKUP(Table17[[#This Row],[Date]],database!A:H,7,)</f>
        <v/>
      </c>
      <c r="C289" s="66">
        <f>B289/B288-1</f>
        <v/>
      </c>
      <c r="D289" s="66">
        <f>(Table17[[#This Row],[Index]]-B277)/B277</f>
        <v/>
      </c>
    </row>
    <row r="290">
      <c r="A290" s="17" t="n">
        <v>34912</v>
      </c>
      <c r="B290" s="58">
        <f>VLOOKUP(Table17[[#This Row],[Date]],database!A:H,7,)</f>
        <v/>
      </c>
      <c r="C290" s="66">
        <f>B290/B289-1</f>
        <v/>
      </c>
      <c r="D290" s="66">
        <f>(Table17[[#This Row],[Index]]-B278)/B278</f>
        <v/>
      </c>
    </row>
    <row r="291">
      <c r="A291" s="17" t="n">
        <v>34943</v>
      </c>
      <c r="B291" s="58">
        <f>VLOOKUP(Table17[[#This Row],[Date]],database!A:H,7,)</f>
        <v/>
      </c>
      <c r="C291" s="66">
        <f>B291/B290-1</f>
        <v/>
      </c>
      <c r="D291" s="66">
        <f>(Table17[[#This Row],[Index]]-B279)/B279</f>
        <v/>
      </c>
    </row>
    <row r="292">
      <c r="A292" s="17" t="n">
        <v>34973</v>
      </c>
      <c r="B292" s="58">
        <f>VLOOKUP(Table17[[#This Row],[Date]],database!A:H,7,)</f>
        <v/>
      </c>
      <c r="C292" s="66">
        <f>B292/B291-1</f>
        <v/>
      </c>
      <c r="D292" s="66">
        <f>(Table17[[#This Row],[Index]]-B280)/B280</f>
        <v/>
      </c>
    </row>
    <row r="293">
      <c r="A293" s="17" t="n">
        <v>35004</v>
      </c>
      <c r="B293" s="58">
        <f>VLOOKUP(Table17[[#This Row],[Date]],database!A:H,7,)</f>
        <v/>
      </c>
      <c r="C293" s="66">
        <f>B293/B292-1</f>
        <v/>
      </c>
      <c r="D293" s="66">
        <f>(Table17[[#This Row],[Index]]-B281)/B281</f>
        <v/>
      </c>
    </row>
    <row r="294">
      <c r="A294" s="17" t="n">
        <v>35034</v>
      </c>
      <c r="B294" s="58">
        <f>VLOOKUP(Table17[[#This Row],[Date]],database!A:H,7,)</f>
        <v/>
      </c>
      <c r="C294" s="66">
        <f>B294/B293-1</f>
        <v/>
      </c>
      <c r="D294" s="66">
        <f>(Table17[[#This Row],[Index]]-B282)/B282</f>
        <v/>
      </c>
    </row>
    <row r="295">
      <c r="A295" s="17" t="n">
        <v>35065</v>
      </c>
      <c r="B295" s="58">
        <f>VLOOKUP(Table17[[#This Row],[Date]],database!A:H,7,)</f>
        <v/>
      </c>
      <c r="C295" s="66">
        <f>B295/B294-1</f>
        <v/>
      </c>
      <c r="D295" s="66">
        <f>(Table17[[#This Row],[Index]]-B283)/B283</f>
        <v/>
      </c>
    </row>
    <row r="296">
      <c r="A296" s="17" t="n">
        <v>35096</v>
      </c>
      <c r="B296" s="58">
        <f>VLOOKUP(Table17[[#This Row],[Date]],database!A:H,7,)</f>
        <v/>
      </c>
      <c r="C296" s="66">
        <f>B296/B295-1</f>
        <v/>
      </c>
      <c r="D296" s="66">
        <f>(Table17[[#This Row],[Index]]-B284)/B284</f>
        <v/>
      </c>
    </row>
    <row r="297">
      <c r="A297" s="17" t="n">
        <v>35125</v>
      </c>
      <c r="B297" s="58">
        <f>VLOOKUP(Table17[[#This Row],[Date]],database!A:H,7,)</f>
        <v/>
      </c>
      <c r="C297" s="66">
        <f>B297/B296-1</f>
        <v/>
      </c>
      <c r="D297" s="66">
        <f>(Table17[[#This Row],[Index]]-B285)/B285</f>
        <v/>
      </c>
    </row>
    <row r="298">
      <c r="A298" s="17" t="n">
        <v>35156</v>
      </c>
      <c r="B298" s="58">
        <f>VLOOKUP(Table17[[#This Row],[Date]],database!A:H,7,)</f>
        <v/>
      </c>
      <c r="C298" s="66">
        <f>B298/B297-1</f>
        <v/>
      </c>
      <c r="D298" s="66">
        <f>(Table17[[#This Row],[Index]]-B286)/B286</f>
        <v/>
      </c>
    </row>
    <row r="299">
      <c r="A299" s="17" t="n">
        <v>35186</v>
      </c>
      <c r="B299" s="58">
        <f>VLOOKUP(Table17[[#This Row],[Date]],database!A:H,7,)</f>
        <v/>
      </c>
      <c r="C299" s="66">
        <f>B299/B298-1</f>
        <v/>
      </c>
      <c r="D299" s="66">
        <f>(Table17[[#This Row],[Index]]-B287)/B287</f>
        <v/>
      </c>
    </row>
    <row r="300">
      <c r="A300" s="17" t="n">
        <v>35217</v>
      </c>
      <c r="B300" s="58">
        <f>VLOOKUP(Table17[[#This Row],[Date]],database!A:H,7,)</f>
        <v/>
      </c>
      <c r="C300" s="66">
        <f>B300/B299-1</f>
        <v/>
      </c>
      <c r="D300" s="66">
        <f>(Table17[[#This Row],[Index]]-B288)/B288</f>
        <v/>
      </c>
    </row>
    <row r="301">
      <c r="A301" s="17" t="n">
        <v>35247</v>
      </c>
      <c r="B301" s="58">
        <f>VLOOKUP(Table17[[#This Row],[Date]],database!A:H,7,)</f>
        <v/>
      </c>
      <c r="C301" s="66">
        <f>B301/B300-1</f>
        <v/>
      </c>
      <c r="D301" s="66">
        <f>(Table17[[#This Row],[Index]]-B289)/B289</f>
        <v/>
      </c>
    </row>
    <row r="302">
      <c r="A302" s="17" t="n">
        <v>35278</v>
      </c>
      <c r="B302" s="58">
        <f>VLOOKUP(Table17[[#This Row],[Date]],database!A:H,7,)</f>
        <v/>
      </c>
      <c r="C302" s="66">
        <f>B302/B301-1</f>
        <v/>
      </c>
      <c r="D302" s="66">
        <f>(Table17[[#This Row],[Index]]-B290)/B290</f>
        <v/>
      </c>
    </row>
    <row r="303">
      <c r="A303" s="17" t="n">
        <v>35309</v>
      </c>
      <c r="B303" s="58">
        <f>VLOOKUP(Table17[[#This Row],[Date]],database!A:H,7,)</f>
        <v/>
      </c>
      <c r="C303" s="66">
        <f>B303/B302-1</f>
        <v/>
      </c>
      <c r="D303" s="66">
        <f>(Table17[[#This Row],[Index]]-B291)/B291</f>
        <v/>
      </c>
    </row>
    <row r="304">
      <c r="A304" s="17" t="n">
        <v>35339</v>
      </c>
      <c r="B304" s="58">
        <f>VLOOKUP(Table17[[#This Row],[Date]],database!A:H,7,)</f>
        <v/>
      </c>
      <c r="C304" s="66">
        <f>B304/B303-1</f>
        <v/>
      </c>
      <c r="D304" s="66">
        <f>(Table17[[#This Row],[Index]]-B292)/B292</f>
        <v/>
      </c>
    </row>
    <row r="305">
      <c r="A305" s="17" t="n">
        <v>35370</v>
      </c>
      <c r="B305" s="58">
        <f>VLOOKUP(Table17[[#This Row],[Date]],database!A:H,7,)</f>
        <v/>
      </c>
      <c r="C305" s="66">
        <f>B305/B304-1</f>
        <v/>
      </c>
      <c r="D305" s="66">
        <f>(Table17[[#This Row],[Index]]-B293)/B293</f>
        <v/>
      </c>
    </row>
    <row r="306">
      <c r="A306" s="17" t="n">
        <v>35400</v>
      </c>
      <c r="B306" s="58">
        <f>VLOOKUP(Table17[[#This Row],[Date]],database!A:H,7,)</f>
        <v/>
      </c>
      <c r="C306" s="66">
        <f>B306/B305-1</f>
        <v/>
      </c>
      <c r="D306" s="66">
        <f>(Table17[[#This Row],[Index]]-B294)/B294</f>
        <v/>
      </c>
    </row>
    <row r="307">
      <c r="A307" s="17" t="n">
        <v>35431</v>
      </c>
      <c r="B307" s="58">
        <f>VLOOKUP(Table17[[#This Row],[Date]],database!A:H,7,)</f>
        <v/>
      </c>
      <c r="C307" s="66">
        <f>B307/B306-1</f>
        <v/>
      </c>
      <c r="D307" s="66">
        <f>(Table17[[#This Row],[Index]]-B295)/B295</f>
        <v/>
      </c>
    </row>
    <row r="308">
      <c r="A308" s="17" t="n">
        <v>35462</v>
      </c>
      <c r="B308" s="58">
        <f>VLOOKUP(Table17[[#This Row],[Date]],database!A:H,7,)</f>
        <v/>
      </c>
      <c r="C308" s="66">
        <f>B308/B307-1</f>
        <v/>
      </c>
      <c r="D308" s="66">
        <f>(Table17[[#This Row],[Index]]-B296)/B296</f>
        <v/>
      </c>
    </row>
    <row r="309">
      <c r="A309" s="17" t="n">
        <v>35490</v>
      </c>
      <c r="B309" s="58">
        <f>VLOOKUP(Table17[[#This Row],[Date]],database!A:H,7,)</f>
        <v/>
      </c>
      <c r="C309" s="66">
        <f>B309/B308-1</f>
        <v/>
      </c>
      <c r="D309" s="66">
        <f>(Table17[[#This Row],[Index]]-B297)/B297</f>
        <v/>
      </c>
    </row>
    <row r="310">
      <c r="A310" s="17" t="n">
        <v>35521</v>
      </c>
      <c r="B310" s="58">
        <f>VLOOKUP(Table17[[#This Row],[Date]],database!A:H,7,)</f>
        <v/>
      </c>
      <c r="C310" s="66">
        <f>B310/B309-1</f>
        <v/>
      </c>
      <c r="D310" s="66">
        <f>(Table17[[#This Row],[Index]]-B298)/B298</f>
        <v/>
      </c>
    </row>
    <row r="311">
      <c r="A311" s="17" t="n">
        <v>35551</v>
      </c>
      <c r="B311" s="58">
        <f>VLOOKUP(Table17[[#This Row],[Date]],database!A:H,7,)</f>
        <v/>
      </c>
      <c r="C311" s="66">
        <f>B311/B310-1</f>
        <v/>
      </c>
      <c r="D311" s="66">
        <f>(Table17[[#This Row],[Index]]-B299)/B299</f>
        <v/>
      </c>
    </row>
    <row r="312">
      <c r="A312" s="17" t="n">
        <v>35582</v>
      </c>
      <c r="B312" s="58">
        <f>VLOOKUP(Table17[[#This Row],[Date]],database!A:H,7,)</f>
        <v/>
      </c>
      <c r="C312" s="66">
        <f>B312/B311-1</f>
        <v/>
      </c>
      <c r="D312" s="66">
        <f>(Table17[[#This Row],[Index]]-B300)/B300</f>
        <v/>
      </c>
    </row>
    <row r="313">
      <c r="A313" s="17" t="n">
        <v>35612</v>
      </c>
      <c r="B313" s="58">
        <f>VLOOKUP(Table17[[#This Row],[Date]],database!A:H,7,)</f>
        <v/>
      </c>
      <c r="C313" s="66">
        <f>B313/B312-1</f>
        <v/>
      </c>
      <c r="D313" s="66">
        <f>(Table17[[#This Row],[Index]]-B301)/B301</f>
        <v/>
      </c>
    </row>
    <row r="314">
      <c r="A314" s="17" t="n">
        <v>35643</v>
      </c>
      <c r="B314" s="58">
        <f>VLOOKUP(Table17[[#This Row],[Date]],database!A:H,7,)</f>
        <v/>
      </c>
      <c r="C314" s="66">
        <f>B314/B313-1</f>
        <v/>
      </c>
      <c r="D314" s="66">
        <f>(Table17[[#This Row],[Index]]-B302)/B302</f>
        <v/>
      </c>
    </row>
    <row r="315">
      <c r="A315" s="17" t="n">
        <v>35674</v>
      </c>
      <c r="B315" s="58">
        <f>VLOOKUP(Table17[[#This Row],[Date]],database!A:H,7,)</f>
        <v/>
      </c>
      <c r="C315" s="66">
        <f>B315/B314-1</f>
        <v/>
      </c>
      <c r="D315" s="66">
        <f>(Table17[[#This Row],[Index]]-B303)/B303</f>
        <v/>
      </c>
    </row>
    <row r="316">
      <c r="A316" s="17" t="n">
        <v>35704</v>
      </c>
      <c r="B316" s="58">
        <f>VLOOKUP(Table17[[#This Row],[Date]],database!A:H,7,)</f>
        <v/>
      </c>
      <c r="C316" s="66">
        <f>B316/B315-1</f>
        <v/>
      </c>
      <c r="D316" s="66">
        <f>(Table17[[#This Row],[Index]]-B304)/B304</f>
        <v/>
      </c>
    </row>
    <row r="317">
      <c r="A317" s="17" t="n">
        <v>35735</v>
      </c>
      <c r="B317" s="58">
        <f>VLOOKUP(Table17[[#This Row],[Date]],database!A:H,7,)</f>
        <v/>
      </c>
      <c r="C317" s="66">
        <f>B317/B316-1</f>
        <v/>
      </c>
      <c r="D317" s="66">
        <f>(Table17[[#This Row],[Index]]-B305)/B305</f>
        <v/>
      </c>
    </row>
    <row r="318">
      <c r="A318" s="17" t="n">
        <v>35765</v>
      </c>
      <c r="B318" s="58">
        <f>VLOOKUP(Table17[[#This Row],[Date]],database!A:H,7,)</f>
        <v/>
      </c>
      <c r="C318" s="66">
        <f>B318/B317-1</f>
        <v/>
      </c>
      <c r="D318" s="66">
        <f>(Table17[[#This Row],[Index]]-B306)/B306</f>
        <v/>
      </c>
    </row>
    <row r="319">
      <c r="A319" s="17" t="n">
        <v>35796</v>
      </c>
      <c r="B319" s="58">
        <f>VLOOKUP(Table17[[#This Row],[Date]],database!A:H,7,)</f>
        <v/>
      </c>
      <c r="C319" s="66">
        <f>B319/B318-1</f>
        <v/>
      </c>
      <c r="D319" s="66">
        <f>(Table17[[#This Row],[Index]]-B307)/B307</f>
        <v/>
      </c>
    </row>
    <row r="320">
      <c r="A320" s="17" t="n">
        <v>35827</v>
      </c>
      <c r="B320" s="58">
        <f>VLOOKUP(Table17[[#This Row],[Date]],database!A:H,7,)</f>
        <v/>
      </c>
      <c r="C320" s="66">
        <f>B320/B319-1</f>
        <v/>
      </c>
      <c r="D320" s="66">
        <f>(Table17[[#This Row],[Index]]-B308)/B308</f>
        <v/>
      </c>
    </row>
    <row r="321">
      <c r="A321" s="17" t="n">
        <v>35855</v>
      </c>
      <c r="B321" s="58">
        <f>VLOOKUP(Table17[[#This Row],[Date]],database!A:H,7,)</f>
        <v/>
      </c>
      <c r="C321" s="66">
        <f>B321/B320-1</f>
        <v/>
      </c>
      <c r="D321" s="66">
        <f>(Table17[[#This Row],[Index]]-B309)/B309</f>
        <v/>
      </c>
    </row>
    <row r="322">
      <c r="A322" s="17" t="n">
        <v>35886</v>
      </c>
      <c r="B322" s="58">
        <f>VLOOKUP(Table17[[#This Row],[Date]],database!A:H,7,)</f>
        <v/>
      </c>
      <c r="C322" s="66">
        <f>B322/B321-1</f>
        <v/>
      </c>
      <c r="D322" s="66">
        <f>(Table17[[#This Row],[Index]]-B310)/B310</f>
        <v/>
      </c>
    </row>
    <row r="323">
      <c r="A323" s="17" t="n">
        <v>35916</v>
      </c>
      <c r="B323" s="58">
        <f>VLOOKUP(Table17[[#This Row],[Date]],database!A:H,7,)</f>
        <v/>
      </c>
      <c r="C323" s="66">
        <f>B323/B322-1</f>
        <v/>
      </c>
      <c r="D323" s="66">
        <f>(Table17[[#This Row],[Index]]-B311)/B311</f>
        <v/>
      </c>
    </row>
    <row r="324">
      <c r="A324" s="17" t="n">
        <v>35947</v>
      </c>
      <c r="B324" s="58">
        <f>VLOOKUP(Table17[[#This Row],[Date]],database!A:H,7,)</f>
        <v/>
      </c>
      <c r="C324" s="66">
        <f>B324/B323-1</f>
        <v/>
      </c>
      <c r="D324" s="66">
        <f>(Table17[[#This Row],[Index]]-B312)/B312</f>
        <v/>
      </c>
    </row>
    <row r="325">
      <c r="A325" s="17" t="n">
        <v>35977</v>
      </c>
      <c r="B325" s="58">
        <f>VLOOKUP(Table17[[#This Row],[Date]],database!A:H,7,)</f>
        <v/>
      </c>
      <c r="C325" s="66">
        <f>B325/B324-1</f>
        <v/>
      </c>
      <c r="D325" s="66">
        <f>(Table17[[#This Row],[Index]]-B313)/B313</f>
        <v/>
      </c>
    </row>
    <row r="326">
      <c r="A326" s="17" t="n">
        <v>36008</v>
      </c>
      <c r="B326" s="58">
        <f>VLOOKUP(Table17[[#This Row],[Date]],database!A:H,7,)</f>
        <v/>
      </c>
      <c r="C326" s="66">
        <f>B326/B325-1</f>
        <v/>
      </c>
      <c r="D326" s="66">
        <f>(Table17[[#This Row],[Index]]-B314)/B314</f>
        <v/>
      </c>
    </row>
    <row r="327">
      <c r="A327" s="17" t="n">
        <v>36039</v>
      </c>
      <c r="B327" s="58">
        <f>VLOOKUP(Table17[[#This Row],[Date]],database!A:H,7,)</f>
        <v/>
      </c>
      <c r="C327" s="66">
        <f>B327/B326-1</f>
        <v/>
      </c>
      <c r="D327" s="66">
        <f>(Table17[[#This Row],[Index]]-B315)/B315</f>
        <v/>
      </c>
    </row>
    <row r="328">
      <c r="A328" s="17" t="n">
        <v>36069</v>
      </c>
      <c r="B328" s="58">
        <f>VLOOKUP(Table17[[#This Row],[Date]],database!A:H,7,)</f>
        <v/>
      </c>
      <c r="C328" s="66">
        <f>B328/B327-1</f>
        <v/>
      </c>
      <c r="D328" s="66">
        <f>(Table17[[#This Row],[Index]]-B316)/B316</f>
        <v/>
      </c>
    </row>
    <row r="329">
      <c r="A329" s="17" t="n">
        <v>36100</v>
      </c>
      <c r="B329" s="58">
        <f>VLOOKUP(Table17[[#This Row],[Date]],database!A:H,7,)</f>
        <v/>
      </c>
      <c r="C329" s="66">
        <f>B329/B328-1</f>
        <v/>
      </c>
      <c r="D329" s="66">
        <f>(Table17[[#This Row],[Index]]-B317)/B317</f>
        <v/>
      </c>
    </row>
    <row r="330">
      <c r="A330" s="17" t="n">
        <v>36130</v>
      </c>
      <c r="B330" s="58">
        <f>VLOOKUP(Table17[[#This Row],[Date]],database!A:H,7,)</f>
        <v/>
      </c>
      <c r="C330" s="66">
        <f>B330/B329-1</f>
        <v/>
      </c>
      <c r="D330" s="66">
        <f>(Table17[[#This Row],[Index]]-B318)/B318</f>
        <v/>
      </c>
    </row>
    <row r="331">
      <c r="A331" s="17" t="n">
        <v>36161</v>
      </c>
      <c r="B331" s="58">
        <f>VLOOKUP(Table17[[#This Row],[Date]],database!A:H,7,)</f>
        <v/>
      </c>
      <c r="C331" s="66">
        <f>B331/B330-1</f>
        <v/>
      </c>
      <c r="D331" s="66">
        <f>(Table17[[#This Row],[Index]]-B319)/B319</f>
        <v/>
      </c>
    </row>
    <row r="332">
      <c r="A332" s="17" t="n">
        <v>36192</v>
      </c>
      <c r="B332" s="58">
        <f>VLOOKUP(Table17[[#This Row],[Date]],database!A:H,7,)</f>
        <v/>
      </c>
      <c r="C332" s="66">
        <f>B332/B331-1</f>
        <v/>
      </c>
      <c r="D332" s="66">
        <f>(Table17[[#This Row],[Index]]-B320)/B320</f>
        <v/>
      </c>
    </row>
    <row r="333">
      <c r="A333" s="17" t="n">
        <v>36220</v>
      </c>
      <c r="B333" s="58">
        <f>VLOOKUP(Table17[[#This Row],[Date]],database!A:H,7,)</f>
        <v/>
      </c>
      <c r="C333" s="66">
        <f>B333/B332-1</f>
        <v/>
      </c>
      <c r="D333" s="66">
        <f>(Table17[[#This Row],[Index]]-B321)/B321</f>
        <v/>
      </c>
    </row>
    <row r="334">
      <c r="A334" s="17" t="n">
        <v>36251</v>
      </c>
      <c r="B334" s="58">
        <f>VLOOKUP(Table17[[#This Row],[Date]],database!A:H,7,)</f>
        <v/>
      </c>
      <c r="C334" s="66">
        <f>B334/B333-1</f>
        <v/>
      </c>
      <c r="D334" s="66">
        <f>(Table17[[#This Row],[Index]]-B322)/B322</f>
        <v/>
      </c>
    </row>
    <row r="335">
      <c r="A335" s="17" t="n">
        <v>36281</v>
      </c>
      <c r="B335" s="58">
        <f>VLOOKUP(Table17[[#This Row],[Date]],database!A:H,7,)</f>
        <v/>
      </c>
      <c r="C335" s="66">
        <f>B335/B334-1</f>
        <v/>
      </c>
      <c r="D335" s="66">
        <f>(Table17[[#This Row],[Index]]-B323)/B323</f>
        <v/>
      </c>
    </row>
    <row r="336">
      <c r="A336" s="17" t="n">
        <v>36312</v>
      </c>
      <c r="B336" s="58">
        <f>VLOOKUP(Table17[[#This Row],[Date]],database!A:H,7,)</f>
        <v/>
      </c>
      <c r="C336" s="66">
        <f>B336/B335-1</f>
        <v/>
      </c>
      <c r="D336" s="66">
        <f>(Table17[[#This Row],[Index]]-B324)/B324</f>
        <v/>
      </c>
    </row>
    <row r="337">
      <c r="A337" s="17" t="n">
        <v>36342</v>
      </c>
      <c r="B337" s="58">
        <f>VLOOKUP(Table17[[#This Row],[Date]],database!A:H,7,)</f>
        <v/>
      </c>
      <c r="C337" s="66">
        <f>B337/B336-1</f>
        <v/>
      </c>
      <c r="D337" s="66">
        <f>(Table17[[#This Row],[Index]]-B325)/B325</f>
        <v/>
      </c>
    </row>
    <row r="338">
      <c r="A338" s="17" t="n">
        <v>36373</v>
      </c>
      <c r="B338" s="58">
        <f>VLOOKUP(Table17[[#This Row],[Date]],database!A:H,7,)</f>
        <v/>
      </c>
      <c r="C338" s="66">
        <f>B338/B337-1</f>
        <v/>
      </c>
      <c r="D338" s="66">
        <f>(Table17[[#This Row],[Index]]-B326)/B326</f>
        <v/>
      </c>
    </row>
    <row r="339">
      <c r="A339" s="17" t="n">
        <v>36404</v>
      </c>
      <c r="B339" s="58">
        <f>VLOOKUP(Table17[[#This Row],[Date]],database!A:H,7,)</f>
        <v/>
      </c>
      <c r="C339" s="66">
        <f>B339/B338-1</f>
        <v/>
      </c>
      <c r="D339" s="66">
        <f>(Table17[[#This Row],[Index]]-B327)/B327</f>
        <v/>
      </c>
    </row>
    <row r="340">
      <c r="A340" s="17" t="n">
        <v>36434</v>
      </c>
      <c r="B340" s="58">
        <f>VLOOKUP(Table17[[#This Row],[Date]],database!A:H,7,)</f>
        <v/>
      </c>
      <c r="C340" s="66">
        <f>B340/B339-1</f>
        <v/>
      </c>
      <c r="D340" s="66">
        <f>(Table17[[#This Row],[Index]]-B328)/B328</f>
        <v/>
      </c>
    </row>
    <row r="341">
      <c r="A341" s="17" t="n">
        <v>36465</v>
      </c>
      <c r="B341" s="58">
        <f>VLOOKUP(Table17[[#This Row],[Date]],database!A:H,7,)</f>
        <v/>
      </c>
      <c r="C341" s="66">
        <f>B341/B340-1</f>
        <v/>
      </c>
      <c r="D341" s="66">
        <f>(Table17[[#This Row],[Index]]-B329)/B329</f>
        <v/>
      </c>
    </row>
    <row r="342">
      <c r="A342" s="17" t="n">
        <v>36495</v>
      </c>
      <c r="B342" s="58">
        <f>VLOOKUP(Table17[[#This Row],[Date]],database!A:H,7,)</f>
        <v/>
      </c>
      <c r="C342" s="66">
        <f>B342/B341-1</f>
        <v/>
      </c>
      <c r="D342" s="66">
        <f>(Table17[[#This Row],[Index]]-B330)/B330</f>
        <v/>
      </c>
    </row>
    <row r="343">
      <c r="A343" s="17" t="n">
        <v>36526</v>
      </c>
      <c r="B343" s="58">
        <f>VLOOKUP(Table17[[#This Row],[Date]],database!A:H,7,)</f>
        <v/>
      </c>
      <c r="C343" s="66">
        <f>B343/B342-1</f>
        <v/>
      </c>
      <c r="D343" s="66">
        <f>(Table17[[#This Row],[Index]]-B331)/B331</f>
        <v/>
      </c>
    </row>
    <row r="344">
      <c r="A344" s="17" t="n">
        <v>36557</v>
      </c>
      <c r="B344" s="58">
        <f>VLOOKUP(Table17[[#This Row],[Date]],database!A:H,7,)</f>
        <v/>
      </c>
      <c r="C344" s="66">
        <f>B344/B343-1</f>
        <v/>
      </c>
      <c r="D344" s="66">
        <f>(Table17[[#This Row],[Index]]-B332)/B332</f>
        <v/>
      </c>
    </row>
    <row r="345">
      <c r="A345" s="17" t="n">
        <v>36586</v>
      </c>
      <c r="B345" s="58">
        <f>VLOOKUP(Table17[[#This Row],[Date]],database!A:H,7,)</f>
        <v/>
      </c>
      <c r="C345" s="66">
        <f>B345/B344-1</f>
        <v/>
      </c>
      <c r="D345" s="66">
        <f>(Table17[[#This Row],[Index]]-B333)/B333</f>
        <v/>
      </c>
    </row>
    <row r="346">
      <c r="A346" s="17" t="n">
        <v>36617</v>
      </c>
      <c r="B346" s="58">
        <f>VLOOKUP(Table17[[#This Row],[Date]],database!A:H,7,)</f>
        <v/>
      </c>
      <c r="C346" s="66">
        <f>B346/B345-1</f>
        <v/>
      </c>
      <c r="D346" s="66">
        <f>(Table17[[#This Row],[Index]]-B334)/B334</f>
        <v/>
      </c>
    </row>
    <row r="347">
      <c r="A347" s="17" t="n">
        <v>36647</v>
      </c>
      <c r="B347" s="58">
        <f>VLOOKUP(Table17[[#This Row],[Date]],database!A:H,7,)</f>
        <v/>
      </c>
      <c r="C347" s="66">
        <f>B347/B346-1</f>
        <v/>
      </c>
      <c r="D347" s="66">
        <f>(Table17[[#This Row],[Index]]-B335)/B335</f>
        <v/>
      </c>
    </row>
    <row r="348">
      <c r="A348" s="17" t="n">
        <v>36678</v>
      </c>
      <c r="B348" s="58">
        <f>VLOOKUP(Table17[[#This Row],[Date]],database!A:H,7,)</f>
        <v/>
      </c>
      <c r="C348" s="66">
        <f>B348/B347-1</f>
        <v/>
      </c>
      <c r="D348" s="66">
        <f>(Table17[[#This Row],[Index]]-B336)/B336</f>
        <v/>
      </c>
    </row>
    <row r="349">
      <c r="A349" s="17" t="n">
        <v>36708</v>
      </c>
      <c r="B349" s="58">
        <f>VLOOKUP(Table17[[#This Row],[Date]],database!A:H,7,)</f>
        <v/>
      </c>
      <c r="C349" s="66">
        <f>B349/B348-1</f>
        <v/>
      </c>
      <c r="D349" s="66">
        <f>(Table17[[#This Row],[Index]]-B337)/B337</f>
        <v/>
      </c>
    </row>
    <row r="350">
      <c r="A350" s="17" t="n">
        <v>36739</v>
      </c>
      <c r="B350" s="58">
        <f>VLOOKUP(Table17[[#This Row],[Date]],database!A:H,7,)</f>
        <v/>
      </c>
      <c r="C350" s="66">
        <f>B350/B349-1</f>
        <v/>
      </c>
      <c r="D350" s="66">
        <f>(Table17[[#This Row],[Index]]-B338)/B338</f>
        <v/>
      </c>
    </row>
    <row r="351">
      <c r="A351" s="17" t="n">
        <v>36770</v>
      </c>
      <c r="B351" s="58">
        <f>VLOOKUP(Table17[[#This Row],[Date]],database!A:H,7,)</f>
        <v/>
      </c>
      <c r="C351" s="66">
        <f>B351/B350-1</f>
        <v/>
      </c>
      <c r="D351" s="66">
        <f>(Table17[[#This Row],[Index]]-B339)/B339</f>
        <v/>
      </c>
    </row>
    <row r="352">
      <c r="A352" s="17" t="n">
        <v>36800</v>
      </c>
      <c r="B352" s="58">
        <f>VLOOKUP(Table17[[#This Row],[Date]],database!A:H,7,)</f>
        <v/>
      </c>
      <c r="C352" s="66">
        <f>B352/B351-1</f>
        <v/>
      </c>
      <c r="D352" s="66">
        <f>(Table17[[#This Row],[Index]]-B340)/B340</f>
        <v/>
      </c>
    </row>
    <row r="353">
      <c r="A353" s="17" t="n">
        <v>36831</v>
      </c>
      <c r="B353" s="58">
        <f>VLOOKUP(Table17[[#This Row],[Date]],database!A:H,7,)</f>
        <v/>
      </c>
      <c r="C353" s="66">
        <f>B353/B352-1</f>
        <v/>
      </c>
      <c r="D353" s="66">
        <f>(Table17[[#This Row],[Index]]-B341)/B341</f>
        <v/>
      </c>
    </row>
    <row r="354">
      <c r="A354" s="17" t="n">
        <v>36861</v>
      </c>
      <c r="B354" s="58">
        <f>VLOOKUP(Table17[[#This Row],[Date]],database!A:H,7,)</f>
        <v/>
      </c>
      <c r="C354" s="66">
        <f>B354/B353-1</f>
        <v/>
      </c>
      <c r="D354" s="66">
        <f>(Table17[[#This Row],[Index]]-B342)/B342</f>
        <v/>
      </c>
    </row>
    <row r="355">
      <c r="A355" s="17" t="n">
        <v>36892</v>
      </c>
      <c r="B355" s="58">
        <f>VLOOKUP(Table17[[#This Row],[Date]],database!A:H,7,)</f>
        <v/>
      </c>
      <c r="C355" s="66">
        <f>B355/B354-1</f>
        <v/>
      </c>
      <c r="D355" s="66">
        <f>(Table17[[#This Row],[Index]]-B343)/B343</f>
        <v/>
      </c>
    </row>
    <row r="356">
      <c r="A356" s="17" t="n">
        <v>36923</v>
      </c>
      <c r="B356" s="58">
        <f>VLOOKUP(Table17[[#This Row],[Date]],database!A:H,7,)</f>
        <v/>
      </c>
      <c r="C356" s="66">
        <f>B356/B355-1</f>
        <v/>
      </c>
      <c r="D356" s="66">
        <f>(Table17[[#This Row],[Index]]-B344)/B344</f>
        <v/>
      </c>
    </row>
    <row r="357">
      <c r="A357" s="17" t="n">
        <v>36951</v>
      </c>
      <c r="B357" s="58">
        <f>VLOOKUP(Table17[[#This Row],[Date]],database!A:H,7,)</f>
        <v/>
      </c>
      <c r="C357" s="66">
        <f>B357/B356-1</f>
        <v/>
      </c>
      <c r="D357" s="66">
        <f>(Table17[[#This Row],[Index]]-B345)/B345</f>
        <v/>
      </c>
    </row>
    <row r="358">
      <c r="A358" s="17" t="n">
        <v>36982</v>
      </c>
      <c r="B358" s="58">
        <f>VLOOKUP(Table17[[#This Row],[Date]],database!A:H,7,)</f>
        <v/>
      </c>
      <c r="C358" s="66">
        <f>B358/B357-1</f>
        <v/>
      </c>
      <c r="D358" s="66">
        <f>(Table17[[#This Row],[Index]]-B346)/B346</f>
        <v/>
      </c>
    </row>
    <row r="359">
      <c r="A359" s="17" t="n">
        <v>37012</v>
      </c>
      <c r="B359" s="58">
        <f>VLOOKUP(Table17[[#This Row],[Date]],database!A:H,7,)</f>
        <v/>
      </c>
      <c r="C359" s="66">
        <f>B359/B358-1</f>
        <v/>
      </c>
      <c r="D359" s="66">
        <f>(Table17[[#This Row],[Index]]-B347)/B347</f>
        <v/>
      </c>
    </row>
    <row r="360">
      <c r="A360" s="17" t="n">
        <v>37043</v>
      </c>
      <c r="B360" s="58">
        <f>VLOOKUP(Table17[[#This Row],[Date]],database!A:H,7,)</f>
        <v/>
      </c>
      <c r="C360" s="66">
        <f>B360/B359-1</f>
        <v/>
      </c>
      <c r="D360" s="66">
        <f>(Table17[[#This Row],[Index]]-B348)/B348</f>
        <v/>
      </c>
    </row>
    <row r="361">
      <c r="A361" s="17" t="n">
        <v>37073</v>
      </c>
      <c r="B361" s="58">
        <f>VLOOKUP(Table17[[#This Row],[Date]],database!A:H,7,)</f>
        <v/>
      </c>
      <c r="C361" s="66">
        <f>B361/B360-1</f>
        <v/>
      </c>
      <c r="D361" s="66">
        <f>(Table17[[#This Row],[Index]]-B349)/B349</f>
        <v/>
      </c>
    </row>
    <row r="362">
      <c r="A362" s="17" t="n">
        <v>37104</v>
      </c>
      <c r="B362" s="58">
        <f>VLOOKUP(Table17[[#This Row],[Date]],database!A:H,7,)</f>
        <v/>
      </c>
      <c r="C362" s="66">
        <f>B362/B361-1</f>
        <v/>
      </c>
      <c r="D362" s="66">
        <f>(Table17[[#This Row],[Index]]-B350)/B350</f>
        <v/>
      </c>
    </row>
    <row r="363">
      <c r="A363" s="17" t="n">
        <v>37135</v>
      </c>
      <c r="B363" s="58">
        <f>VLOOKUP(Table17[[#This Row],[Date]],database!A:H,7,)</f>
        <v/>
      </c>
      <c r="C363" s="66">
        <f>B363/B362-1</f>
        <v/>
      </c>
      <c r="D363" s="66">
        <f>(Table17[[#This Row],[Index]]-B351)/B351</f>
        <v/>
      </c>
    </row>
    <row r="364">
      <c r="A364" s="17" t="n">
        <v>37165</v>
      </c>
      <c r="B364" s="58">
        <f>VLOOKUP(Table17[[#This Row],[Date]],database!A:H,7,)</f>
        <v/>
      </c>
      <c r="C364" s="66">
        <f>B364/B363-1</f>
        <v/>
      </c>
      <c r="D364" s="66">
        <f>(Table17[[#This Row],[Index]]-B352)/B352</f>
        <v/>
      </c>
    </row>
    <row r="365">
      <c r="A365" s="17" t="n">
        <v>37196</v>
      </c>
      <c r="B365" s="58">
        <f>VLOOKUP(Table17[[#This Row],[Date]],database!A:H,7,)</f>
        <v/>
      </c>
      <c r="C365" s="66">
        <f>B365/B364-1</f>
        <v/>
      </c>
      <c r="D365" s="66">
        <f>(Table17[[#This Row],[Index]]-B353)/B353</f>
        <v/>
      </c>
    </row>
    <row r="366">
      <c r="A366" s="17" t="n">
        <v>37226</v>
      </c>
      <c r="B366" s="58">
        <f>VLOOKUP(Table17[[#This Row],[Date]],database!A:H,7,)</f>
        <v/>
      </c>
      <c r="C366" s="66">
        <f>B366/B365-1</f>
        <v/>
      </c>
      <c r="D366" s="66">
        <f>(Table17[[#This Row],[Index]]-B354)/B354</f>
        <v/>
      </c>
    </row>
    <row r="367">
      <c r="A367" s="17" t="n">
        <v>37257</v>
      </c>
      <c r="B367" s="58">
        <f>VLOOKUP(Table17[[#This Row],[Date]],database!A:H,7,)</f>
        <v/>
      </c>
      <c r="C367" s="66">
        <f>B367/B366-1</f>
        <v/>
      </c>
      <c r="D367" s="66">
        <f>(Table17[[#This Row],[Index]]-B355)/B355</f>
        <v/>
      </c>
    </row>
    <row r="368">
      <c r="A368" s="17" t="n">
        <v>37288</v>
      </c>
      <c r="B368" s="58">
        <f>VLOOKUP(Table17[[#This Row],[Date]],database!A:H,7,)</f>
        <v/>
      </c>
      <c r="C368" s="66">
        <f>B368/B367-1</f>
        <v/>
      </c>
      <c r="D368" s="66">
        <f>(Table17[[#This Row],[Index]]-B356)/B356</f>
        <v/>
      </c>
    </row>
    <row r="369">
      <c r="A369" s="17" t="n">
        <v>37316</v>
      </c>
      <c r="B369" s="58">
        <f>VLOOKUP(Table17[[#This Row],[Date]],database!A:H,7,)</f>
        <v/>
      </c>
      <c r="C369" s="66">
        <f>B369/B368-1</f>
        <v/>
      </c>
      <c r="D369" s="66">
        <f>(Table17[[#This Row],[Index]]-B357)/B357</f>
        <v/>
      </c>
    </row>
    <row r="370">
      <c r="A370" s="17" t="n">
        <v>37347</v>
      </c>
      <c r="B370" s="58">
        <f>VLOOKUP(Table17[[#This Row],[Date]],database!A:H,7,)</f>
        <v/>
      </c>
      <c r="C370" s="66">
        <f>B370/B369-1</f>
        <v/>
      </c>
      <c r="D370" s="66">
        <f>(Table17[[#This Row],[Index]]-B358)/B358</f>
        <v/>
      </c>
    </row>
    <row r="371">
      <c r="A371" s="17" t="n">
        <v>37377</v>
      </c>
      <c r="B371" s="58">
        <f>VLOOKUP(Table17[[#This Row],[Date]],database!A:H,7,)</f>
        <v/>
      </c>
      <c r="C371" s="66">
        <f>B371/B370-1</f>
        <v/>
      </c>
      <c r="D371" s="66">
        <f>(Table17[[#This Row],[Index]]-B359)/B359</f>
        <v/>
      </c>
    </row>
    <row r="372">
      <c r="A372" s="17" t="n">
        <v>37408</v>
      </c>
      <c r="B372" s="58">
        <f>VLOOKUP(Table17[[#This Row],[Date]],database!A:H,7,)</f>
        <v/>
      </c>
      <c r="C372" s="66">
        <f>B372/B371-1</f>
        <v/>
      </c>
      <c r="D372" s="66">
        <f>(Table17[[#This Row],[Index]]-B360)/B360</f>
        <v/>
      </c>
    </row>
    <row r="373">
      <c r="A373" s="17" t="n">
        <v>37438</v>
      </c>
      <c r="B373" s="58">
        <f>VLOOKUP(Table17[[#This Row],[Date]],database!A:H,7,)</f>
        <v/>
      </c>
      <c r="C373" s="66">
        <f>B373/B372-1</f>
        <v/>
      </c>
      <c r="D373" s="66">
        <f>(Table17[[#This Row],[Index]]-B361)/B361</f>
        <v/>
      </c>
    </row>
    <row r="374">
      <c r="A374" s="17" t="n">
        <v>37469</v>
      </c>
      <c r="B374" s="58">
        <f>VLOOKUP(Table17[[#This Row],[Date]],database!A:H,7,)</f>
        <v/>
      </c>
      <c r="C374" s="66">
        <f>B374/B373-1</f>
        <v/>
      </c>
      <c r="D374" s="66">
        <f>(Table17[[#This Row],[Index]]-B362)/B362</f>
        <v/>
      </c>
    </row>
    <row r="375">
      <c r="A375" s="17" t="n">
        <v>37500</v>
      </c>
      <c r="B375" s="58">
        <f>VLOOKUP(Table17[[#This Row],[Date]],database!A:H,7,)</f>
        <v/>
      </c>
      <c r="C375" s="66">
        <f>B375/B374-1</f>
        <v/>
      </c>
      <c r="D375" s="66">
        <f>(Table17[[#This Row],[Index]]-B363)/B363</f>
        <v/>
      </c>
    </row>
    <row r="376">
      <c r="A376" s="17" t="n">
        <v>37530</v>
      </c>
      <c r="B376" s="58">
        <f>VLOOKUP(Table17[[#This Row],[Date]],database!A:H,7,)</f>
        <v/>
      </c>
      <c r="C376" s="66">
        <f>B376/B375-1</f>
        <v/>
      </c>
      <c r="D376" s="66">
        <f>(Table17[[#This Row],[Index]]-B364)/B364</f>
        <v/>
      </c>
    </row>
    <row r="377">
      <c r="A377" s="17" t="n">
        <v>37561</v>
      </c>
      <c r="B377" s="58">
        <f>VLOOKUP(Table17[[#This Row],[Date]],database!A:H,7,)</f>
        <v/>
      </c>
      <c r="C377" s="66">
        <f>B377/B376-1</f>
        <v/>
      </c>
      <c r="D377" s="66">
        <f>(Table17[[#This Row],[Index]]-B365)/B365</f>
        <v/>
      </c>
    </row>
    <row r="378">
      <c r="A378" s="17" t="n">
        <v>37591</v>
      </c>
      <c r="B378" s="58">
        <f>VLOOKUP(Table17[[#This Row],[Date]],database!A:H,7,)</f>
        <v/>
      </c>
      <c r="C378" s="66">
        <f>B378/B377-1</f>
        <v/>
      </c>
      <c r="D378" s="66">
        <f>(Table17[[#This Row],[Index]]-B366)/B366</f>
        <v/>
      </c>
    </row>
    <row r="379">
      <c r="A379" s="17" t="n">
        <v>37622</v>
      </c>
      <c r="B379" s="58">
        <f>VLOOKUP(Table17[[#This Row],[Date]],database!A:H,7,)</f>
        <v/>
      </c>
      <c r="C379" s="66">
        <f>B379/B378-1</f>
        <v/>
      </c>
      <c r="D379" s="66">
        <f>(Table17[[#This Row],[Index]]-B367)/B367</f>
        <v/>
      </c>
    </row>
    <row r="380">
      <c r="A380" s="17" t="n">
        <v>37653</v>
      </c>
      <c r="B380" s="58">
        <f>VLOOKUP(Table17[[#This Row],[Date]],database!A:H,7,)</f>
        <v/>
      </c>
      <c r="C380" s="66">
        <f>B380/B379-1</f>
        <v/>
      </c>
      <c r="D380" s="66">
        <f>(Table17[[#This Row],[Index]]-B368)/B368</f>
        <v/>
      </c>
    </row>
    <row r="381">
      <c r="A381" s="17" t="n">
        <v>37681</v>
      </c>
      <c r="B381" s="58">
        <f>VLOOKUP(Table17[[#This Row],[Date]],database!A:H,7,)</f>
        <v/>
      </c>
      <c r="C381" s="66">
        <f>B381/B380-1</f>
        <v/>
      </c>
      <c r="D381" s="66">
        <f>(Table17[[#This Row],[Index]]-B369)/B369</f>
        <v/>
      </c>
    </row>
    <row r="382">
      <c r="A382" s="17" t="n">
        <v>37712</v>
      </c>
      <c r="B382" s="58">
        <f>VLOOKUP(Table17[[#This Row],[Date]],database!A:H,7,)</f>
        <v/>
      </c>
      <c r="C382" s="66">
        <f>B382/B381-1</f>
        <v/>
      </c>
      <c r="D382" s="66">
        <f>(Table17[[#This Row],[Index]]-B370)/B370</f>
        <v/>
      </c>
    </row>
    <row r="383">
      <c r="A383" s="17" t="n">
        <v>37742</v>
      </c>
      <c r="B383" s="58">
        <f>VLOOKUP(Table17[[#This Row],[Date]],database!A:H,7,)</f>
        <v/>
      </c>
      <c r="C383" s="66">
        <f>B383/B382-1</f>
        <v/>
      </c>
      <c r="D383" s="66">
        <f>(Table17[[#This Row],[Index]]-B371)/B371</f>
        <v/>
      </c>
    </row>
    <row r="384">
      <c r="A384" s="17" t="n">
        <v>37773</v>
      </c>
      <c r="B384" s="58">
        <f>VLOOKUP(Table17[[#This Row],[Date]],database!A:H,7,)</f>
        <v/>
      </c>
      <c r="C384" s="66">
        <f>B384/B383-1</f>
        <v/>
      </c>
      <c r="D384" s="66">
        <f>(Table17[[#This Row],[Index]]-B372)/B372</f>
        <v/>
      </c>
    </row>
    <row r="385">
      <c r="A385" s="17" t="n">
        <v>37803</v>
      </c>
      <c r="B385" s="58">
        <f>VLOOKUP(Table17[[#This Row],[Date]],database!A:H,7,)</f>
        <v/>
      </c>
      <c r="C385" s="66">
        <f>B385/B384-1</f>
        <v/>
      </c>
      <c r="D385" s="66">
        <f>(Table17[[#This Row],[Index]]-B373)/B373</f>
        <v/>
      </c>
    </row>
    <row r="386">
      <c r="A386" s="17" t="n">
        <v>37834</v>
      </c>
      <c r="B386" s="58">
        <f>VLOOKUP(Table17[[#This Row],[Date]],database!A:H,7,)</f>
        <v/>
      </c>
      <c r="C386" s="66">
        <f>B386/B385-1</f>
        <v/>
      </c>
      <c r="D386" s="66">
        <f>(Table17[[#This Row],[Index]]-B374)/B374</f>
        <v/>
      </c>
    </row>
    <row r="387">
      <c r="A387" s="17" t="n">
        <v>37865</v>
      </c>
      <c r="B387" s="58">
        <f>VLOOKUP(Table17[[#This Row],[Date]],database!A:H,7,)</f>
        <v/>
      </c>
      <c r="C387" s="66">
        <f>B387/B386-1</f>
        <v/>
      </c>
      <c r="D387" s="66">
        <f>(Table17[[#This Row],[Index]]-B375)/B375</f>
        <v/>
      </c>
    </row>
    <row r="388">
      <c r="A388" s="17" t="n">
        <v>37895</v>
      </c>
      <c r="B388" s="58">
        <f>VLOOKUP(Table17[[#This Row],[Date]],database!A:H,7,)</f>
        <v/>
      </c>
      <c r="C388" s="66">
        <f>B388/B387-1</f>
        <v/>
      </c>
      <c r="D388" s="66">
        <f>(Table17[[#This Row],[Index]]-B376)/B376</f>
        <v/>
      </c>
    </row>
    <row r="389">
      <c r="A389" s="17" t="n">
        <v>37926</v>
      </c>
      <c r="B389" s="58">
        <f>VLOOKUP(Table17[[#This Row],[Date]],database!A:H,7,)</f>
        <v/>
      </c>
      <c r="C389" s="66">
        <f>B389/B388-1</f>
        <v/>
      </c>
      <c r="D389" s="66">
        <f>(Table17[[#This Row],[Index]]-B377)/B377</f>
        <v/>
      </c>
    </row>
    <row r="390">
      <c r="A390" s="17" t="n">
        <v>37956</v>
      </c>
      <c r="B390" s="58">
        <f>VLOOKUP(Table17[[#This Row],[Date]],database!A:H,7,)</f>
        <v/>
      </c>
      <c r="C390" s="66">
        <f>B390/B389-1</f>
        <v/>
      </c>
      <c r="D390" s="66">
        <f>(Table17[[#This Row],[Index]]-B378)/B378</f>
        <v/>
      </c>
    </row>
    <row r="391">
      <c r="A391" s="17" t="n">
        <v>37987</v>
      </c>
      <c r="B391" s="58">
        <f>VLOOKUP(Table17[[#This Row],[Date]],database!A:H,7,)</f>
        <v/>
      </c>
      <c r="C391" s="66">
        <f>B391/B390-1</f>
        <v/>
      </c>
      <c r="D391" s="66">
        <f>(Table17[[#This Row],[Index]]-B379)/B379</f>
        <v/>
      </c>
    </row>
    <row r="392">
      <c r="A392" s="17" t="n">
        <v>38018</v>
      </c>
      <c r="B392" s="58">
        <f>VLOOKUP(Table17[[#This Row],[Date]],database!A:H,7,)</f>
        <v/>
      </c>
      <c r="C392" s="66">
        <f>B392/B391-1</f>
        <v/>
      </c>
      <c r="D392" s="66">
        <f>(Table17[[#This Row],[Index]]-B380)/B380</f>
        <v/>
      </c>
    </row>
    <row r="393">
      <c r="A393" s="17" t="n">
        <v>38047</v>
      </c>
      <c r="B393" s="58">
        <f>VLOOKUP(Table17[[#This Row],[Date]],database!A:H,7,)</f>
        <v/>
      </c>
      <c r="C393" s="66">
        <f>B393/B392-1</f>
        <v/>
      </c>
      <c r="D393" s="66">
        <f>(Table17[[#This Row],[Index]]-B381)/B381</f>
        <v/>
      </c>
    </row>
    <row r="394">
      <c r="A394" s="17" t="n">
        <v>38078</v>
      </c>
      <c r="B394" s="58">
        <f>VLOOKUP(Table17[[#This Row],[Date]],database!A:H,7,)</f>
        <v/>
      </c>
      <c r="C394" s="66">
        <f>B394/B393-1</f>
        <v/>
      </c>
      <c r="D394" s="66">
        <f>(Table17[[#This Row],[Index]]-B382)/B382</f>
        <v/>
      </c>
    </row>
    <row r="395">
      <c r="A395" s="17" t="n">
        <v>38108</v>
      </c>
      <c r="B395" s="58">
        <f>VLOOKUP(Table17[[#This Row],[Date]],database!A:H,7,)</f>
        <v/>
      </c>
      <c r="C395" s="66">
        <f>B395/B394-1</f>
        <v/>
      </c>
      <c r="D395" s="66">
        <f>(Table17[[#This Row],[Index]]-B383)/B383</f>
        <v/>
      </c>
    </row>
    <row r="396">
      <c r="A396" s="17" t="n">
        <v>38139</v>
      </c>
      <c r="B396" s="58">
        <f>VLOOKUP(Table17[[#This Row],[Date]],database!A:H,7,)</f>
        <v/>
      </c>
      <c r="C396" s="66">
        <f>B396/B395-1</f>
        <v/>
      </c>
      <c r="D396" s="66">
        <f>(Table17[[#This Row],[Index]]-B384)/B384</f>
        <v/>
      </c>
    </row>
    <row r="397">
      <c r="A397" s="17" t="n">
        <v>38169</v>
      </c>
      <c r="B397" s="58">
        <f>VLOOKUP(Table17[[#This Row],[Date]],database!A:H,7,)</f>
        <v/>
      </c>
      <c r="C397" s="66">
        <f>B397/B396-1</f>
        <v/>
      </c>
      <c r="D397" s="66">
        <f>(Table17[[#This Row],[Index]]-B385)/B385</f>
        <v/>
      </c>
    </row>
    <row r="398">
      <c r="A398" s="17" t="n">
        <v>38200</v>
      </c>
      <c r="B398" s="58">
        <f>VLOOKUP(Table17[[#This Row],[Date]],database!A:H,7,)</f>
        <v/>
      </c>
      <c r="C398" s="66">
        <f>B398/B397-1</f>
        <v/>
      </c>
      <c r="D398" s="66">
        <f>(Table17[[#This Row],[Index]]-B386)/B386</f>
        <v/>
      </c>
    </row>
    <row r="399">
      <c r="A399" s="17" t="n">
        <v>38231</v>
      </c>
      <c r="B399" s="58">
        <f>VLOOKUP(Table17[[#This Row],[Date]],database!A:H,7,)</f>
        <v/>
      </c>
      <c r="C399" s="66">
        <f>B399/B398-1</f>
        <v/>
      </c>
      <c r="D399" s="66">
        <f>(Table17[[#This Row],[Index]]-B387)/B387</f>
        <v/>
      </c>
    </row>
    <row r="400">
      <c r="A400" s="17" t="n">
        <v>38261</v>
      </c>
      <c r="B400" s="58">
        <f>VLOOKUP(Table17[[#This Row],[Date]],database!A:H,7,)</f>
        <v/>
      </c>
      <c r="C400" s="66">
        <f>B400/B399-1</f>
        <v/>
      </c>
      <c r="D400" s="66">
        <f>(Table17[[#This Row],[Index]]-B388)/B388</f>
        <v/>
      </c>
    </row>
    <row r="401">
      <c r="A401" s="17" t="n">
        <v>38292</v>
      </c>
      <c r="B401" s="58">
        <f>VLOOKUP(Table17[[#This Row],[Date]],database!A:H,7,)</f>
        <v/>
      </c>
      <c r="C401" s="66">
        <f>B401/B400-1</f>
        <v/>
      </c>
      <c r="D401" s="66">
        <f>(Table17[[#This Row],[Index]]-B389)/B389</f>
        <v/>
      </c>
    </row>
    <row r="402">
      <c r="A402" s="17" t="n">
        <v>38322</v>
      </c>
      <c r="B402" s="58">
        <f>VLOOKUP(Table17[[#This Row],[Date]],database!A:H,7,)</f>
        <v/>
      </c>
      <c r="C402" s="66">
        <f>B402/B401-1</f>
        <v/>
      </c>
      <c r="D402" s="66">
        <f>(Table17[[#This Row],[Index]]-B390)/B390</f>
        <v/>
      </c>
    </row>
    <row r="403">
      <c r="A403" s="17" t="n">
        <v>38353</v>
      </c>
      <c r="B403" s="58">
        <f>VLOOKUP(Table17[[#This Row],[Date]],database!A:H,7,)</f>
        <v/>
      </c>
      <c r="C403" s="66">
        <f>B403/B402-1</f>
        <v/>
      </c>
      <c r="D403" s="66">
        <f>(Table17[[#This Row],[Index]]-B391)/B391</f>
        <v/>
      </c>
    </row>
    <row r="404">
      <c r="A404" s="17" t="n">
        <v>38384</v>
      </c>
      <c r="B404" s="58">
        <f>VLOOKUP(Table17[[#This Row],[Date]],database!A:H,7,)</f>
        <v/>
      </c>
      <c r="C404" s="66">
        <f>B404/B403-1</f>
        <v/>
      </c>
      <c r="D404" s="66">
        <f>(Table17[[#This Row],[Index]]-B392)/B392</f>
        <v/>
      </c>
    </row>
    <row r="405">
      <c r="A405" s="17" t="n">
        <v>38412</v>
      </c>
      <c r="B405" s="58">
        <f>VLOOKUP(Table17[[#This Row],[Date]],database!A:H,7,)</f>
        <v/>
      </c>
      <c r="C405" s="66">
        <f>B405/B404-1</f>
        <v/>
      </c>
      <c r="D405" s="66">
        <f>(Table17[[#This Row],[Index]]-B393)/B393</f>
        <v/>
      </c>
    </row>
    <row r="406">
      <c r="A406" s="17" t="n">
        <v>38443</v>
      </c>
      <c r="B406" s="58">
        <f>VLOOKUP(Table17[[#This Row],[Date]],database!A:H,7,)</f>
        <v/>
      </c>
      <c r="C406" s="66">
        <f>B406/B405-1</f>
        <v/>
      </c>
      <c r="D406" s="66">
        <f>(Table17[[#This Row],[Index]]-B394)/B394</f>
        <v/>
      </c>
    </row>
    <row r="407">
      <c r="A407" s="17" t="n">
        <v>38473</v>
      </c>
      <c r="B407" s="58">
        <f>VLOOKUP(Table17[[#This Row],[Date]],database!A:H,7,)</f>
        <v/>
      </c>
      <c r="C407" s="66">
        <f>B407/B406-1</f>
        <v/>
      </c>
      <c r="D407" s="66">
        <f>(Table17[[#This Row],[Index]]-B395)/B395</f>
        <v/>
      </c>
    </row>
    <row r="408">
      <c r="A408" s="17" t="n">
        <v>38504</v>
      </c>
      <c r="B408" s="58">
        <f>VLOOKUP(Table17[[#This Row],[Date]],database!A:H,7,)</f>
        <v/>
      </c>
      <c r="C408" s="66">
        <f>B408/B407-1</f>
        <v/>
      </c>
      <c r="D408" s="66">
        <f>(Table17[[#This Row],[Index]]-B396)/B396</f>
        <v/>
      </c>
    </row>
    <row r="409">
      <c r="A409" s="17" t="n">
        <v>38534</v>
      </c>
      <c r="B409" s="58">
        <f>VLOOKUP(Table17[[#This Row],[Date]],database!A:H,7,)</f>
        <v/>
      </c>
      <c r="C409" s="66">
        <f>B409/B408-1</f>
        <v/>
      </c>
      <c r="D409" s="66">
        <f>(Table17[[#This Row],[Index]]-B397)/B397</f>
        <v/>
      </c>
    </row>
    <row r="410">
      <c r="A410" s="17" t="n">
        <v>38565</v>
      </c>
      <c r="B410" s="58">
        <f>VLOOKUP(Table17[[#This Row],[Date]],database!A:H,7,)</f>
        <v/>
      </c>
      <c r="C410" s="66">
        <f>B410/B409-1</f>
        <v/>
      </c>
      <c r="D410" s="66">
        <f>(Table17[[#This Row],[Index]]-B398)/B398</f>
        <v/>
      </c>
    </row>
    <row r="411">
      <c r="A411" s="17" t="n">
        <v>38596</v>
      </c>
      <c r="B411" s="58">
        <f>VLOOKUP(Table17[[#This Row],[Date]],database!A:H,7,)</f>
        <v/>
      </c>
      <c r="C411" s="66">
        <f>B411/B410-1</f>
        <v/>
      </c>
      <c r="D411" s="66">
        <f>(Table17[[#This Row],[Index]]-B399)/B399</f>
        <v/>
      </c>
    </row>
    <row r="412">
      <c r="A412" s="17" t="n">
        <v>38626</v>
      </c>
      <c r="B412" s="58">
        <f>VLOOKUP(Table17[[#This Row],[Date]],database!A:H,7,)</f>
        <v/>
      </c>
      <c r="C412" s="66">
        <f>B412/B411-1</f>
        <v/>
      </c>
      <c r="D412" s="66">
        <f>(Table17[[#This Row],[Index]]-B400)/B400</f>
        <v/>
      </c>
    </row>
    <row r="413">
      <c r="A413" s="17" t="n">
        <v>38657</v>
      </c>
      <c r="B413" s="58">
        <f>VLOOKUP(Table17[[#This Row],[Date]],database!A:H,7,)</f>
        <v/>
      </c>
      <c r="C413" s="66">
        <f>B413/B412-1</f>
        <v/>
      </c>
      <c r="D413" s="66">
        <f>(Table17[[#This Row],[Index]]-B401)/B401</f>
        <v/>
      </c>
    </row>
    <row r="414">
      <c r="A414" s="17" t="n">
        <v>38687</v>
      </c>
      <c r="B414" s="58">
        <f>VLOOKUP(Table17[[#This Row],[Date]],database!A:H,7,)</f>
        <v/>
      </c>
      <c r="C414" s="66">
        <f>B414/B413-1</f>
        <v/>
      </c>
      <c r="D414" s="66">
        <f>(Table17[[#This Row],[Index]]-B402)/B402</f>
        <v/>
      </c>
    </row>
    <row r="415">
      <c r="A415" s="17" t="n">
        <v>38718</v>
      </c>
      <c r="B415" s="58">
        <f>VLOOKUP(Table17[[#This Row],[Date]],database!A:H,7,)</f>
        <v/>
      </c>
      <c r="C415" s="66">
        <f>B415/B414-1</f>
        <v/>
      </c>
      <c r="D415" s="66">
        <f>(Table17[[#This Row],[Index]]-B403)/B403</f>
        <v/>
      </c>
    </row>
    <row r="416">
      <c r="A416" s="17" t="n">
        <v>38749</v>
      </c>
      <c r="B416" s="58">
        <f>VLOOKUP(Table17[[#This Row],[Date]],database!A:H,7,)</f>
        <v/>
      </c>
      <c r="C416" s="66">
        <f>B416/B415-1</f>
        <v/>
      </c>
      <c r="D416" s="66">
        <f>(Table17[[#This Row],[Index]]-B404)/B404</f>
        <v/>
      </c>
    </row>
    <row r="417">
      <c r="A417" s="17" t="n">
        <v>38777</v>
      </c>
      <c r="B417" s="58">
        <f>VLOOKUP(Table17[[#This Row],[Date]],database!A:H,7,)</f>
        <v/>
      </c>
      <c r="C417" s="66">
        <f>B417/B416-1</f>
        <v/>
      </c>
      <c r="D417" s="66">
        <f>(Table17[[#This Row],[Index]]-B405)/B405</f>
        <v/>
      </c>
    </row>
    <row r="418">
      <c r="A418" s="17" t="n">
        <v>38808</v>
      </c>
      <c r="B418" s="58">
        <f>VLOOKUP(Table17[[#This Row],[Date]],database!A:H,7,)</f>
        <v/>
      </c>
      <c r="C418" s="66">
        <f>B418/B417-1</f>
        <v/>
      </c>
      <c r="D418" s="66">
        <f>(Table17[[#This Row],[Index]]-B406)/B406</f>
        <v/>
      </c>
    </row>
    <row r="419">
      <c r="A419" s="17" t="n">
        <v>38838</v>
      </c>
      <c r="B419" s="58">
        <f>VLOOKUP(Table17[[#This Row],[Date]],database!A:H,7,)</f>
        <v/>
      </c>
      <c r="C419" s="66">
        <f>B419/B418-1</f>
        <v/>
      </c>
      <c r="D419" s="66">
        <f>(Table17[[#This Row],[Index]]-B407)/B407</f>
        <v/>
      </c>
    </row>
    <row r="420">
      <c r="A420" s="17" t="n">
        <v>38869</v>
      </c>
      <c r="B420" s="58">
        <f>VLOOKUP(Table17[[#This Row],[Date]],database!A:H,7,)</f>
        <v/>
      </c>
      <c r="C420" s="66">
        <f>B420/B419-1</f>
        <v/>
      </c>
      <c r="D420" s="66">
        <f>(Table17[[#This Row],[Index]]-B408)/B408</f>
        <v/>
      </c>
    </row>
    <row r="421">
      <c r="A421" s="17" t="n">
        <v>38899</v>
      </c>
      <c r="B421" s="58">
        <f>VLOOKUP(Table17[[#This Row],[Date]],database!A:H,7,)</f>
        <v/>
      </c>
      <c r="C421" s="66">
        <f>B421/B420-1</f>
        <v/>
      </c>
      <c r="D421" s="66">
        <f>(Table17[[#This Row],[Index]]-B409)/B409</f>
        <v/>
      </c>
    </row>
    <row r="422">
      <c r="A422" s="17" t="n">
        <v>38930</v>
      </c>
      <c r="B422" s="58">
        <f>VLOOKUP(Table17[[#This Row],[Date]],database!A:H,7,)</f>
        <v/>
      </c>
      <c r="C422" s="66">
        <f>B422/B421-1</f>
        <v/>
      </c>
      <c r="D422" s="66">
        <f>(Table17[[#This Row],[Index]]-B410)/B410</f>
        <v/>
      </c>
    </row>
    <row r="423">
      <c r="A423" s="17" t="n">
        <v>38961</v>
      </c>
      <c r="B423" s="58">
        <f>VLOOKUP(Table17[[#This Row],[Date]],database!A:H,7,)</f>
        <v/>
      </c>
      <c r="C423" s="66">
        <f>B423/B422-1</f>
        <v/>
      </c>
      <c r="D423" s="66">
        <f>(Table17[[#This Row],[Index]]-B411)/B411</f>
        <v/>
      </c>
    </row>
    <row r="424">
      <c r="A424" s="17" t="n">
        <v>38991</v>
      </c>
      <c r="B424" s="58">
        <f>VLOOKUP(Table17[[#This Row],[Date]],database!A:H,7,)</f>
        <v/>
      </c>
      <c r="C424" s="66">
        <f>B424/B423-1</f>
        <v/>
      </c>
      <c r="D424" s="66">
        <f>(Table17[[#This Row],[Index]]-B412)/B412</f>
        <v/>
      </c>
    </row>
    <row r="425">
      <c r="A425" s="17" t="n">
        <v>39022</v>
      </c>
      <c r="B425" s="58">
        <f>VLOOKUP(Table17[[#This Row],[Date]],database!A:H,7,)</f>
        <v/>
      </c>
      <c r="C425" s="66">
        <f>B425/B424-1</f>
        <v/>
      </c>
      <c r="D425" s="66">
        <f>(Table17[[#This Row],[Index]]-B413)/B413</f>
        <v/>
      </c>
    </row>
    <row r="426">
      <c r="A426" s="17" t="n">
        <v>39052</v>
      </c>
      <c r="B426" s="58">
        <f>VLOOKUP(Table17[[#This Row],[Date]],database!A:H,7,)</f>
        <v/>
      </c>
      <c r="C426" s="66">
        <f>B426/B425-1</f>
        <v/>
      </c>
      <c r="D426" s="66">
        <f>(Table17[[#This Row],[Index]]-B414)/B414</f>
        <v/>
      </c>
    </row>
    <row r="427">
      <c r="A427" s="17" t="n">
        <v>39083</v>
      </c>
      <c r="B427" s="58">
        <f>VLOOKUP(Table17[[#This Row],[Date]],database!A:H,7,)</f>
        <v/>
      </c>
      <c r="C427" s="66">
        <f>B427/B426-1</f>
        <v/>
      </c>
      <c r="D427" s="66">
        <f>(Table17[[#This Row],[Index]]-B415)/B415</f>
        <v/>
      </c>
    </row>
    <row r="428">
      <c r="A428" s="17" t="n">
        <v>39114</v>
      </c>
      <c r="B428" s="58">
        <f>VLOOKUP(Table17[[#This Row],[Date]],database!A:H,7,)</f>
        <v/>
      </c>
      <c r="C428" s="66">
        <f>B428/B427-1</f>
        <v/>
      </c>
      <c r="D428" s="66">
        <f>(Table17[[#This Row],[Index]]-B416)/B416</f>
        <v/>
      </c>
    </row>
    <row r="429">
      <c r="A429" s="17" t="n">
        <v>39142</v>
      </c>
      <c r="B429" s="58">
        <f>VLOOKUP(Table17[[#This Row],[Date]],database!A:H,7,)</f>
        <v/>
      </c>
      <c r="C429" s="66">
        <f>B429/B428-1</f>
        <v/>
      </c>
      <c r="D429" s="66">
        <f>(Table17[[#This Row],[Index]]-B417)/B417</f>
        <v/>
      </c>
    </row>
    <row r="430">
      <c r="A430" s="17" t="n">
        <v>39173</v>
      </c>
      <c r="B430" s="58">
        <f>VLOOKUP(Table17[[#This Row],[Date]],database!A:H,7,)</f>
        <v/>
      </c>
      <c r="C430" s="66">
        <f>B430/B429-1</f>
        <v/>
      </c>
      <c r="D430" s="66">
        <f>(Table17[[#This Row],[Index]]-B418)/B418</f>
        <v/>
      </c>
    </row>
    <row r="431">
      <c r="A431" s="17" t="n">
        <v>39203</v>
      </c>
      <c r="B431" s="58">
        <f>VLOOKUP(Table17[[#This Row],[Date]],database!A:H,7,)</f>
        <v/>
      </c>
      <c r="C431" s="66">
        <f>B431/B430-1</f>
        <v/>
      </c>
      <c r="D431" s="66">
        <f>(Table17[[#This Row],[Index]]-B419)/B419</f>
        <v/>
      </c>
    </row>
    <row r="432">
      <c r="A432" s="17" t="n">
        <v>39234</v>
      </c>
      <c r="B432" s="58">
        <f>VLOOKUP(Table17[[#This Row],[Date]],database!A:H,7,)</f>
        <v/>
      </c>
      <c r="C432" s="66">
        <f>B432/B431-1</f>
        <v/>
      </c>
      <c r="D432" s="66">
        <f>(Table17[[#This Row],[Index]]-B420)/B420</f>
        <v/>
      </c>
    </row>
    <row r="433">
      <c r="A433" s="17" t="n">
        <v>39264</v>
      </c>
      <c r="B433" s="58">
        <f>VLOOKUP(Table17[[#This Row],[Date]],database!A:H,7,)</f>
        <v/>
      </c>
      <c r="C433" s="66">
        <f>B433/B432-1</f>
        <v/>
      </c>
      <c r="D433" s="66">
        <f>(Table17[[#This Row],[Index]]-B421)/B421</f>
        <v/>
      </c>
    </row>
    <row r="434">
      <c r="A434" s="17" t="n">
        <v>39295</v>
      </c>
      <c r="B434" s="58">
        <f>VLOOKUP(Table17[[#This Row],[Date]],database!A:H,7,)</f>
        <v/>
      </c>
      <c r="C434" s="66">
        <f>B434/B433-1</f>
        <v/>
      </c>
      <c r="D434" s="66">
        <f>(Table17[[#This Row],[Index]]-B422)/B422</f>
        <v/>
      </c>
    </row>
    <row r="435">
      <c r="A435" s="17" t="n">
        <v>39326</v>
      </c>
      <c r="B435" s="58">
        <f>VLOOKUP(Table17[[#This Row],[Date]],database!A:H,7,)</f>
        <v/>
      </c>
      <c r="C435" s="66">
        <f>B435/B434-1</f>
        <v/>
      </c>
      <c r="D435" s="66">
        <f>(Table17[[#This Row],[Index]]-B423)/B423</f>
        <v/>
      </c>
    </row>
    <row r="436">
      <c r="A436" s="17" t="n">
        <v>39356</v>
      </c>
      <c r="B436" s="58">
        <f>VLOOKUP(Table17[[#This Row],[Date]],database!A:H,7,)</f>
        <v/>
      </c>
      <c r="C436" s="66">
        <f>B436/B435-1</f>
        <v/>
      </c>
      <c r="D436" s="66">
        <f>(Table17[[#This Row],[Index]]-B424)/B424</f>
        <v/>
      </c>
    </row>
    <row r="437">
      <c r="A437" s="17" t="n">
        <v>39387</v>
      </c>
      <c r="B437" s="58">
        <f>VLOOKUP(Table17[[#This Row],[Date]],database!A:H,7,)</f>
        <v/>
      </c>
      <c r="C437" s="66">
        <f>B437/B436-1</f>
        <v/>
      </c>
      <c r="D437" s="66">
        <f>(Table17[[#This Row],[Index]]-B425)/B425</f>
        <v/>
      </c>
    </row>
    <row r="438">
      <c r="A438" s="17" t="n">
        <v>39417</v>
      </c>
      <c r="B438" s="58">
        <f>VLOOKUP(Table17[[#This Row],[Date]],database!A:H,7,)</f>
        <v/>
      </c>
      <c r="C438" s="66">
        <f>B438/B437-1</f>
        <v/>
      </c>
      <c r="D438" s="66">
        <f>(Table17[[#This Row],[Index]]-B426)/B426</f>
        <v/>
      </c>
    </row>
    <row r="439">
      <c r="A439" s="17" t="n">
        <v>39448</v>
      </c>
      <c r="B439" s="58">
        <f>VLOOKUP(Table17[[#This Row],[Date]],database!A:H,7,)</f>
        <v/>
      </c>
      <c r="C439" s="66">
        <f>B439/B438-1</f>
        <v/>
      </c>
      <c r="D439" s="66">
        <f>(Table17[[#This Row],[Index]]-B427)/B427</f>
        <v/>
      </c>
    </row>
    <row r="440">
      <c r="A440" s="17" t="n">
        <v>39479</v>
      </c>
      <c r="B440" s="58">
        <f>VLOOKUP(Table17[[#This Row],[Date]],database!A:H,7,)</f>
        <v/>
      </c>
      <c r="C440" s="66">
        <f>B440/B439-1</f>
        <v/>
      </c>
      <c r="D440" s="66">
        <f>(Table17[[#This Row],[Index]]-B428)/B428</f>
        <v/>
      </c>
    </row>
    <row r="441">
      <c r="A441" s="17" t="n">
        <v>39508</v>
      </c>
      <c r="B441" s="58">
        <f>VLOOKUP(Table17[[#This Row],[Date]],database!A:H,7,)</f>
        <v/>
      </c>
      <c r="C441" s="66">
        <f>B441/B440-1</f>
        <v/>
      </c>
      <c r="D441" s="66">
        <f>(Table17[[#This Row],[Index]]-B429)/B429</f>
        <v/>
      </c>
    </row>
    <row r="442">
      <c r="A442" s="17" t="n">
        <v>39539</v>
      </c>
      <c r="B442" s="58">
        <f>VLOOKUP(Table17[[#This Row],[Date]],database!A:H,7,)</f>
        <v/>
      </c>
      <c r="C442" s="66">
        <f>B442/B441-1</f>
        <v/>
      </c>
      <c r="D442" s="66">
        <f>(Table17[[#This Row],[Index]]-B430)/B430</f>
        <v/>
      </c>
    </row>
    <row r="443">
      <c r="A443" s="17" t="n">
        <v>39569</v>
      </c>
      <c r="B443" s="58">
        <f>VLOOKUP(Table17[[#This Row],[Date]],database!A:H,7,)</f>
        <v/>
      </c>
      <c r="C443" s="66">
        <f>B443/B442-1</f>
        <v/>
      </c>
      <c r="D443" s="66">
        <f>(Table17[[#This Row],[Index]]-B431)/B431</f>
        <v/>
      </c>
    </row>
    <row r="444">
      <c r="A444" s="17" t="n">
        <v>39600</v>
      </c>
      <c r="B444" s="58">
        <f>VLOOKUP(Table17[[#This Row],[Date]],database!A:H,7,)</f>
        <v/>
      </c>
      <c r="C444" s="66">
        <f>B444/B443-1</f>
        <v/>
      </c>
      <c r="D444" s="66">
        <f>(Table17[[#This Row],[Index]]-B432)/B432</f>
        <v/>
      </c>
    </row>
    <row r="445">
      <c r="A445" s="17" t="n">
        <v>39630</v>
      </c>
      <c r="B445" s="58">
        <f>VLOOKUP(Table17[[#This Row],[Date]],database!A:H,7,)</f>
        <v/>
      </c>
      <c r="C445" s="66">
        <f>B445/B444-1</f>
        <v/>
      </c>
      <c r="D445" s="66">
        <f>(Table17[[#This Row],[Index]]-B433)/B433</f>
        <v/>
      </c>
    </row>
    <row r="446">
      <c r="A446" s="17" t="n">
        <v>39661</v>
      </c>
      <c r="B446" s="58">
        <f>VLOOKUP(Table17[[#This Row],[Date]],database!A:H,7,)</f>
        <v/>
      </c>
      <c r="C446" s="66">
        <f>B446/B445-1</f>
        <v/>
      </c>
      <c r="D446" s="66">
        <f>(Table17[[#This Row],[Index]]-B434)/B434</f>
        <v/>
      </c>
    </row>
    <row r="447">
      <c r="A447" s="17" t="n">
        <v>39692</v>
      </c>
      <c r="B447" s="58">
        <f>VLOOKUP(Table17[[#This Row],[Date]],database!A:H,7,)</f>
        <v/>
      </c>
      <c r="C447" s="66">
        <f>B447/B446-1</f>
        <v/>
      </c>
      <c r="D447" s="66">
        <f>(Table17[[#This Row],[Index]]-B435)/B435</f>
        <v/>
      </c>
    </row>
    <row r="448">
      <c r="A448" s="17" t="n">
        <v>39722</v>
      </c>
      <c r="B448" s="58">
        <f>VLOOKUP(Table17[[#This Row],[Date]],database!A:H,7,)</f>
        <v/>
      </c>
      <c r="C448" s="66">
        <f>B448/B447-1</f>
        <v/>
      </c>
      <c r="D448" s="66">
        <f>(Table17[[#This Row],[Index]]-B436)/B436</f>
        <v/>
      </c>
    </row>
    <row r="449">
      <c r="A449" s="17" t="n">
        <v>39753</v>
      </c>
      <c r="B449" s="58">
        <f>VLOOKUP(Table17[[#This Row],[Date]],database!A:H,7,)</f>
        <v/>
      </c>
      <c r="C449" s="66">
        <f>B449/B448-1</f>
        <v/>
      </c>
      <c r="D449" s="66">
        <f>(Table17[[#This Row],[Index]]-B437)/B437</f>
        <v/>
      </c>
    </row>
    <row r="450">
      <c r="A450" s="17" t="n">
        <v>39783</v>
      </c>
      <c r="B450" s="58">
        <f>VLOOKUP(Table17[[#This Row],[Date]],database!A:H,7,)</f>
        <v/>
      </c>
      <c r="C450" s="66">
        <f>B450/B449-1</f>
        <v/>
      </c>
      <c r="D450" s="66">
        <f>(Table17[[#This Row],[Index]]-B438)/B438</f>
        <v/>
      </c>
    </row>
    <row r="451">
      <c r="A451" s="17" t="n">
        <v>39814</v>
      </c>
      <c r="B451" s="58">
        <f>VLOOKUP(Table17[[#This Row],[Date]],database!A:H,7,)</f>
        <v/>
      </c>
      <c r="C451" s="66">
        <f>B451/B450-1</f>
        <v/>
      </c>
      <c r="D451" s="66">
        <f>(Table17[[#This Row],[Index]]-B439)/B439</f>
        <v/>
      </c>
    </row>
    <row r="452">
      <c r="A452" s="17" t="n">
        <v>39845</v>
      </c>
      <c r="B452" s="58">
        <f>VLOOKUP(Table17[[#This Row],[Date]],database!A:H,7,)</f>
        <v/>
      </c>
      <c r="C452" s="66">
        <f>B452/B451-1</f>
        <v/>
      </c>
      <c r="D452" s="66">
        <f>(Table17[[#This Row],[Index]]-B440)/B440</f>
        <v/>
      </c>
    </row>
    <row r="453">
      <c r="A453" s="17" t="n">
        <v>39873</v>
      </c>
      <c r="B453" s="58">
        <f>VLOOKUP(Table17[[#This Row],[Date]],database!A:H,7,)</f>
        <v/>
      </c>
      <c r="C453" s="66">
        <f>B453/B452-1</f>
        <v/>
      </c>
      <c r="D453" s="66">
        <f>(Table17[[#This Row],[Index]]-B441)/B441</f>
        <v/>
      </c>
    </row>
    <row r="454">
      <c r="A454" s="17" t="n">
        <v>39904</v>
      </c>
      <c r="B454" s="58">
        <f>VLOOKUP(Table17[[#This Row],[Date]],database!A:H,7,)</f>
        <v/>
      </c>
      <c r="C454" s="66">
        <f>B454/B453-1</f>
        <v/>
      </c>
      <c r="D454" s="66">
        <f>(Table17[[#This Row],[Index]]-B442)/B442</f>
        <v/>
      </c>
    </row>
    <row r="455">
      <c r="A455" s="17" t="n">
        <v>39934</v>
      </c>
      <c r="B455" s="58">
        <f>VLOOKUP(Table17[[#This Row],[Date]],database!A:H,7,)</f>
        <v/>
      </c>
      <c r="C455" s="66">
        <f>B455/B454-1</f>
        <v/>
      </c>
      <c r="D455" s="66">
        <f>(Table17[[#This Row],[Index]]-B443)/B443</f>
        <v/>
      </c>
    </row>
    <row r="456">
      <c r="A456" s="17" t="n">
        <v>39965</v>
      </c>
      <c r="B456" s="58">
        <f>VLOOKUP(Table17[[#This Row],[Date]],database!A:H,7,)</f>
        <v/>
      </c>
      <c r="C456" s="66">
        <f>B456/B455-1</f>
        <v/>
      </c>
      <c r="D456" s="66">
        <f>(Table17[[#This Row],[Index]]-B444)/B444</f>
        <v/>
      </c>
    </row>
    <row r="457">
      <c r="A457" s="17" t="n">
        <v>39995</v>
      </c>
      <c r="B457" s="58">
        <f>VLOOKUP(Table17[[#This Row],[Date]],database!A:H,7,)</f>
        <v/>
      </c>
      <c r="C457" s="66">
        <f>B457/B456-1</f>
        <v/>
      </c>
      <c r="D457" s="66">
        <f>(Table17[[#This Row],[Index]]-B445)/B445</f>
        <v/>
      </c>
    </row>
    <row r="458">
      <c r="A458" s="17" t="n">
        <v>40026</v>
      </c>
      <c r="B458" s="58">
        <f>VLOOKUP(Table17[[#This Row],[Date]],database!A:H,7,)</f>
        <v/>
      </c>
      <c r="C458" s="66">
        <f>B458/B457-1</f>
        <v/>
      </c>
      <c r="D458" s="66">
        <f>(Table17[[#This Row],[Index]]-B446)/B446</f>
        <v/>
      </c>
    </row>
    <row r="459">
      <c r="A459" s="17" t="n">
        <v>40057</v>
      </c>
      <c r="B459" s="58">
        <f>VLOOKUP(Table17[[#This Row],[Date]],database!A:H,7,)</f>
        <v/>
      </c>
      <c r="C459" s="66">
        <f>B459/B458-1</f>
        <v/>
      </c>
      <c r="D459" s="66">
        <f>(Table17[[#This Row],[Index]]-B447)/B447</f>
        <v/>
      </c>
    </row>
    <row r="460">
      <c r="A460" s="17" t="n">
        <v>40087</v>
      </c>
      <c r="B460" s="58">
        <f>VLOOKUP(Table17[[#This Row],[Date]],database!A:H,7,)</f>
        <v/>
      </c>
      <c r="C460" s="66">
        <f>B460/B459-1</f>
        <v/>
      </c>
      <c r="D460" s="66">
        <f>(Table17[[#This Row],[Index]]-B448)/B448</f>
        <v/>
      </c>
    </row>
    <row r="461">
      <c r="A461" s="17" t="n">
        <v>40118</v>
      </c>
      <c r="B461" s="58">
        <f>VLOOKUP(Table17[[#This Row],[Date]],database!A:H,7,)</f>
        <v/>
      </c>
      <c r="C461" s="66">
        <f>B461/B460-1</f>
        <v/>
      </c>
      <c r="D461" s="66">
        <f>(Table17[[#This Row],[Index]]-B449)/B449</f>
        <v/>
      </c>
    </row>
    <row r="462">
      <c r="A462" s="17" t="n">
        <v>40148</v>
      </c>
      <c r="B462" s="58">
        <f>VLOOKUP(Table17[[#This Row],[Date]],database!A:H,7,)</f>
        <v/>
      </c>
      <c r="C462" s="66">
        <f>B462/B461-1</f>
        <v/>
      </c>
      <c r="D462" s="66">
        <f>(Table17[[#This Row],[Index]]-B450)/B450</f>
        <v/>
      </c>
    </row>
    <row r="463">
      <c r="A463" s="17" t="n">
        <v>40179</v>
      </c>
      <c r="B463" s="58">
        <f>VLOOKUP(Table17[[#This Row],[Date]],database!A:H,7,)</f>
        <v/>
      </c>
      <c r="C463" s="66">
        <f>B463/B462-1</f>
        <v/>
      </c>
      <c r="D463" s="66">
        <f>(Table17[[#This Row],[Index]]-B451)/B451</f>
        <v/>
      </c>
    </row>
    <row r="464">
      <c r="A464" s="17" t="n">
        <v>40210</v>
      </c>
      <c r="B464" s="58">
        <f>VLOOKUP(Table17[[#This Row],[Date]],database!A:H,7,)</f>
        <v/>
      </c>
      <c r="C464" s="66">
        <f>B464/B463-1</f>
        <v/>
      </c>
      <c r="D464" s="66">
        <f>(Table17[[#This Row],[Index]]-B452)/B452</f>
        <v/>
      </c>
    </row>
    <row r="465">
      <c r="A465" s="17" t="n">
        <v>40238</v>
      </c>
      <c r="B465" s="58">
        <f>VLOOKUP(Table17[[#This Row],[Date]],database!A:H,7,)</f>
        <v/>
      </c>
      <c r="C465" s="66">
        <f>B465/B464-1</f>
        <v/>
      </c>
      <c r="D465" s="66">
        <f>(Table17[[#This Row],[Index]]-B453)/B453</f>
        <v/>
      </c>
    </row>
    <row r="466">
      <c r="A466" s="17" t="n">
        <v>40269</v>
      </c>
      <c r="B466" s="58">
        <f>VLOOKUP(Table17[[#This Row],[Date]],database!A:H,7,)</f>
        <v/>
      </c>
      <c r="C466" s="66">
        <f>B466/B465-1</f>
        <v/>
      </c>
      <c r="D466" s="66">
        <f>(Table17[[#This Row],[Index]]-B454)/B454</f>
        <v/>
      </c>
    </row>
    <row r="467">
      <c r="A467" s="17" t="n">
        <v>40299</v>
      </c>
      <c r="B467" s="58">
        <f>VLOOKUP(Table17[[#This Row],[Date]],database!A:H,7,)</f>
        <v/>
      </c>
      <c r="C467" s="66">
        <f>B467/B466-1</f>
        <v/>
      </c>
      <c r="D467" s="66">
        <f>(Table17[[#This Row],[Index]]-B455)/B455</f>
        <v/>
      </c>
    </row>
    <row r="468">
      <c r="A468" s="17" t="n">
        <v>40330</v>
      </c>
      <c r="B468" s="58">
        <f>VLOOKUP(Table17[[#This Row],[Date]],database!A:H,7,)</f>
        <v/>
      </c>
      <c r="C468" s="66">
        <f>B468/B467-1</f>
        <v/>
      </c>
      <c r="D468" s="66">
        <f>(Table17[[#This Row],[Index]]-B456)/B456</f>
        <v/>
      </c>
    </row>
    <row r="469">
      <c r="A469" s="17" t="n">
        <v>40360</v>
      </c>
      <c r="B469" s="58">
        <f>VLOOKUP(Table17[[#This Row],[Date]],database!A:H,7,)</f>
        <v/>
      </c>
      <c r="C469" s="66">
        <f>B469/B468-1</f>
        <v/>
      </c>
      <c r="D469" s="66">
        <f>(Table17[[#This Row],[Index]]-B457)/B457</f>
        <v/>
      </c>
    </row>
    <row r="470">
      <c r="A470" s="17" t="n">
        <v>40391</v>
      </c>
      <c r="B470" s="58">
        <f>VLOOKUP(Table17[[#This Row],[Date]],database!A:H,7,)</f>
        <v/>
      </c>
      <c r="C470" s="66">
        <f>B470/B469-1</f>
        <v/>
      </c>
      <c r="D470" s="66">
        <f>(Table17[[#This Row],[Index]]-B458)/B458</f>
        <v/>
      </c>
    </row>
    <row r="471">
      <c r="A471" s="17" t="n">
        <v>40422</v>
      </c>
      <c r="B471" s="58">
        <f>VLOOKUP(Table17[[#This Row],[Date]],database!A:H,7,)</f>
        <v/>
      </c>
      <c r="C471" s="66">
        <f>B471/B470-1</f>
        <v/>
      </c>
      <c r="D471" s="66">
        <f>(Table17[[#This Row],[Index]]-B459)/B459</f>
        <v/>
      </c>
    </row>
    <row r="472">
      <c r="A472" s="17" t="n">
        <v>40452</v>
      </c>
      <c r="B472" s="58">
        <f>VLOOKUP(Table17[[#This Row],[Date]],database!A:H,7,)</f>
        <v/>
      </c>
      <c r="C472" s="66">
        <f>B472/B471-1</f>
        <v/>
      </c>
      <c r="D472" s="66">
        <f>(Table17[[#This Row],[Index]]-B460)/B460</f>
        <v/>
      </c>
    </row>
    <row r="473">
      <c r="A473" s="17" t="n">
        <v>40483</v>
      </c>
      <c r="B473" s="58">
        <f>VLOOKUP(Table17[[#This Row],[Date]],database!A:H,7,)</f>
        <v/>
      </c>
      <c r="C473" s="66">
        <f>B473/B472-1</f>
        <v/>
      </c>
      <c r="D473" s="66">
        <f>(Table17[[#This Row],[Index]]-B461)/B461</f>
        <v/>
      </c>
    </row>
    <row r="474">
      <c r="A474" s="17" t="n">
        <v>40513</v>
      </c>
      <c r="B474" s="58">
        <f>VLOOKUP(Table17[[#This Row],[Date]],database!A:H,7,)</f>
        <v/>
      </c>
      <c r="C474" s="66">
        <f>B474/B473-1</f>
        <v/>
      </c>
      <c r="D474" s="66">
        <f>(Table17[[#This Row],[Index]]-B462)/B462</f>
        <v/>
      </c>
    </row>
    <row r="475">
      <c r="A475" s="17" t="n">
        <v>40544</v>
      </c>
      <c r="B475" s="58">
        <f>VLOOKUP(Table17[[#This Row],[Date]],database!A:H,7,)</f>
        <v/>
      </c>
      <c r="C475" s="66">
        <f>B475/B474-1</f>
        <v/>
      </c>
      <c r="D475" s="66">
        <f>(Table17[[#This Row],[Index]]-B463)/B463</f>
        <v/>
      </c>
    </row>
    <row r="476">
      <c r="A476" s="17" t="n">
        <v>40575</v>
      </c>
      <c r="B476" s="58">
        <f>VLOOKUP(Table17[[#This Row],[Date]],database!A:H,7,)</f>
        <v/>
      </c>
      <c r="C476" s="66">
        <f>B476/B475-1</f>
        <v/>
      </c>
      <c r="D476" s="66">
        <f>(Table17[[#This Row],[Index]]-B464)/B464</f>
        <v/>
      </c>
    </row>
    <row r="477">
      <c r="A477" s="17" t="n">
        <v>40603</v>
      </c>
      <c r="B477" s="58">
        <f>VLOOKUP(Table17[[#This Row],[Date]],database!A:H,7,)</f>
        <v/>
      </c>
      <c r="C477" s="66">
        <f>B477/B476-1</f>
        <v/>
      </c>
      <c r="D477" s="66">
        <f>(Table17[[#This Row],[Index]]-B465)/B465</f>
        <v/>
      </c>
    </row>
    <row r="478">
      <c r="A478" s="17" t="n">
        <v>40634</v>
      </c>
      <c r="B478" s="58">
        <f>VLOOKUP(Table17[[#This Row],[Date]],database!A:H,7,)</f>
        <v/>
      </c>
      <c r="C478" s="67">
        <f>B478/B477-1</f>
        <v/>
      </c>
      <c r="D478" s="66">
        <f>(Table17[[#This Row],[Index]]-B466)/B466</f>
        <v/>
      </c>
    </row>
    <row r="479">
      <c r="A479" s="17" t="n">
        <v>40664</v>
      </c>
      <c r="B479" s="58">
        <f>VLOOKUP(Table17[[#This Row],[Date]],database!A:H,7,)</f>
        <v/>
      </c>
      <c r="C479" s="66">
        <f>B479/B478-1</f>
        <v/>
      </c>
      <c r="D479" s="66">
        <f>(Table17[[#This Row],[Index]]-B467)/B467</f>
        <v/>
      </c>
    </row>
    <row r="480">
      <c r="A480" s="17" t="n">
        <v>40695</v>
      </c>
      <c r="B480" s="58">
        <f>VLOOKUP(Table17[[#This Row],[Date]],database!A:H,7,)</f>
        <v/>
      </c>
      <c r="C480" s="66">
        <f>B480/B479-1</f>
        <v/>
      </c>
      <c r="D480" s="66">
        <f>(Table17[[#This Row],[Index]]-B468)/B468</f>
        <v/>
      </c>
    </row>
    <row r="481">
      <c r="A481" s="17" t="n">
        <v>40725</v>
      </c>
      <c r="B481" s="58">
        <f>VLOOKUP(Table17[[#This Row],[Date]],database!A:H,7,)</f>
        <v/>
      </c>
      <c r="C481" s="66">
        <f>B481/B480-1</f>
        <v/>
      </c>
      <c r="D481" s="66">
        <f>(Table17[[#This Row],[Index]]-B469)/B469</f>
        <v/>
      </c>
    </row>
    <row r="482">
      <c r="A482" s="17" t="n">
        <v>40756</v>
      </c>
      <c r="B482" s="58">
        <f>VLOOKUP(Table17[[#This Row],[Date]],database!A:H,7,)</f>
        <v/>
      </c>
      <c r="C482" s="66">
        <f>B482/B481-1</f>
        <v/>
      </c>
      <c r="D482" s="66">
        <f>(Table17[[#This Row],[Index]]-B470)/B470</f>
        <v/>
      </c>
    </row>
    <row r="483">
      <c r="A483" s="17" t="n">
        <v>40787</v>
      </c>
      <c r="B483" s="58">
        <f>VLOOKUP(Table17[[#This Row],[Date]],database!A:H,7,)</f>
        <v/>
      </c>
      <c r="C483" s="66">
        <f>B483/B482-1</f>
        <v/>
      </c>
      <c r="D483" s="66">
        <f>(Table17[[#This Row],[Index]]-B471)/B471</f>
        <v/>
      </c>
    </row>
    <row r="484">
      <c r="A484" s="17" t="n">
        <v>40817</v>
      </c>
      <c r="B484" s="58">
        <f>VLOOKUP(Table17[[#This Row],[Date]],database!A:H,7,)</f>
        <v/>
      </c>
      <c r="C484" s="66">
        <f>B484/B483-1</f>
        <v/>
      </c>
      <c r="D484" s="66">
        <f>(Table17[[#This Row],[Index]]-B472)/B472</f>
        <v/>
      </c>
    </row>
    <row r="485">
      <c r="A485" s="17" t="n">
        <v>40848</v>
      </c>
      <c r="B485" s="58">
        <f>VLOOKUP(Table17[[#This Row],[Date]],database!A:H,7,)</f>
        <v/>
      </c>
      <c r="C485" s="66">
        <f>B485/B484-1</f>
        <v/>
      </c>
      <c r="D485" s="66">
        <f>(Table17[[#This Row],[Index]]-B473)/B473</f>
        <v/>
      </c>
    </row>
    <row r="486">
      <c r="A486" s="17" t="n">
        <v>40878</v>
      </c>
      <c r="B486" s="58">
        <f>VLOOKUP(Table17[[#This Row],[Date]],database!A:H,7,)</f>
        <v/>
      </c>
      <c r="C486" s="66">
        <f>B486/B485-1</f>
        <v/>
      </c>
      <c r="D486" s="66">
        <f>(Table17[[#This Row],[Index]]-B474)/B474</f>
        <v/>
      </c>
    </row>
    <row r="487">
      <c r="A487" s="17" t="n">
        <v>40909</v>
      </c>
      <c r="B487" s="58">
        <f>VLOOKUP(Table17[[#This Row],[Date]],database!A:H,7,)</f>
        <v/>
      </c>
      <c r="C487" s="66">
        <f>B487/B486-1</f>
        <v/>
      </c>
      <c r="D487" s="66">
        <f>(Table17[[#This Row],[Index]]-B475)/B475</f>
        <v/>
      </c>
    </row>
    <row r="488">
      <c r="A488" s="17" t="n">
        <v>40940</v>
      </c>
      <c r="B488" s="58">
        <f>VLOOKUP(Table17[[#This Row],[Date]],database!A:H,7,)</f>
        <v/>
      </c>
      <c r="C488" s="66">
        <f>B488/B487-1</f>
        <v/>
      </c>
      <c r="D488" s="66">
        <f>(Table17[[#This Row],[Index]]-B476)/B476</f>
        <v/>
      </c>
    </row>
    <row r="489">
      <c r="A489" s="17" t="n">
        <v>40969</v>
      </c>
      <c r="B489" s="58">
        <f>VLOOKUP(Table17[[#This Row],[Date]],database!A:H,7,)</f>
        <v/>
      </c>
      <c r="C489" s="66">
        <f>B489/B488-1</f>
        <v/>
      </c>
      <c r="D489" s="66">
        <f>(Table17[[#This Row],[Index]]-B477)/B477</f>
        <v/>
      </c>
    </row>
    <row r="490">
      <c r="A490" s="17" t="n">
        <v>41000</v>
      </c>
      <c r="B490" s="58">
        <f>VLOOKUP(Table17[[#This Row],[Date]],database!A:H,7,)</f>
        <v/>
      </c>
      <c r="C490" s="66">
        <f>B490/B489-1</f>
        <v/>
      </c>
      <c r="D490" s="66">
        <f>(Table17[[#This Row],[Index]]-B478)/B478</f>
        <v/>
      </c>
    </row>
    <row r="491">
      <c r="A491" s="17" t="n">
        <v>41030</v>
      </c>
      <c r="B491" s="58">
        <f>VLOOKUP(Table17[[#This Row],[Date]],database!A:H,7,)</f>
        <v/>
      </c>
      <c r="C491" s="66">
        <f>B491/B490-1</f>
        <v/>
      </c>
      <c r="D491" s="66">
        <f>(Table17[[#This Row],[Index]]-B479)/B479</f>
        <v/>
      </c>
    </row>
    <row r="492">
      <c r="A492" s="17" t="n">
        <v>41061</v>
      </c>
      <c r="B492" s="58">
        <f>VLOOKUP(Table17[[#This Row],[Date]],database!A:H,7,)</f>
        <v/>
      </c>
      <c r="C492" s="66">
        <f>B492/B491-1</f>
        <v/>
      </c>
      <c r="D492" s="66">
        <f>(Table17[[#This Row],[Index]]-B480)/B480</f>
        <v/>
      </c>
    </row>
    <row r="493">
      <c r="A493" s="17" t="n">
        <v>41091</v>
      </c>
      <c r="B493" s="58">
        <f>VLOOKUP(Table17[[#This Row],[Date]],database!A:H,7,)</f>
        <v/>
      </c>
      <c r="C493" s="66">
        <f>B493/B492-1</f>
        <v/>
      </c>
      <c r="D493" s="66">
        <f>(Table17[[#This Row],[Index]]-B481)/B481</f>
        <v/>
      </c>
    </row>
    <row r="494">
      <c r="A494" s="17" t="n">
        <v>41122</v>
      </c>
      <c r="B494" s="58">
        <f>VLOOKUP(Table17[[#This Row],[Date]],database!A:H,7,)</f>
        <v/>
      </c>
      <c r="C494" s="66">
        <f>B494/B493-1</f>
        <v/>
      </c>
      <c r="D494" s="66">
        <f>(Table17[[#This Row],[Index]]-B482)/B482</f>
        <v/>
      </c>
    </row>
    <row r="495">
      <c r="A495" s="17" t="n">
        <v>41153</v>
      </c>
      <c r="B495" s="58">
        <f>VLOOKUP(Table17[[#This Row],[Date]],database!A:H,7,)</f>
        <v/>
      </c>
      <c r="C495" s="66">
        <f>B495/B494-1</f>
        <v/>
      </c>
      <c r="D495" s="66">
        <f>(Table17[[#This Row],[Index]]-B483)/B483</f>
        <v/>
      </c>
    </row>
    <row r="496">
      <c r="A496" s="17" t="n">
        <v>41183</v>
      </c>
      <c r="B496" s="58">
        <f>VLOOKUP(Table17[[#This Row],[Date]],database!A:H,7,)</f>
        <v/>
      </c>
      <c r="C496" s="66">
        <f>B496/B495-1</f>
        <v/>
      </c>
      <c r="D496" s="66">
        <f>(Table17[[#This Row],[Index]]-B484)/B484</f>
        <v/>
      </c>
    </row>
    <row r="497">
      <c r="A497" s="17" t="n">
        <v>41214</v>
      </c>
      <c r="B497" s="58">
        <f>VLOOKUP(Table17[[#This Row],[Date]],database!A:H,7,)</f>
        <v/>
      </c>
      <c r="C497" s="66">
        <f>B497/B496-1</f>
        <v/>
      </c>
      <c r="D497" s="66">
        <f>(Table17[[#This Row],[Index]]-B485)/B485</f>
        <v/>
      </c>
    </row>
    <row r="498">
      <c r="A498" s="17" t="n">
        <v>41244</v>
      </c>
      <c r="B498" s="58">
        <f>VLOOKUP(Table17[[#This Row],[Date]],database!A:H,7,)</f>
        <v/>
      </c>
      <c r="C498" s="66">
        <f>B498/B497-1</f>
        <v/>
      </c>
      <c r="D498" s="66">
        <f>(Table17[[#This Row],[Index]]-B486)/B486</f>
        <v/>
      </c>
    </row>
    <row r="499">
      <c r="A499" s="17" t="n">
        <v>41275</v>
      </c>
      <c r="B499" s="58">
        <f>VLOOKUP(Table17[[#This Row],[Date]],database!A:H,7,)</f>
        <v/>
      </c>
      <c r="C499" s="66">
        <f>B499/B498-1</f>
        <v/>
      </c>
      <c r="D499" s="66">
        <f>(Table17[[#This Row],[Index]]-B487)/B487</f>
        <v/>
      </c>
    </row>
    <row r="500">
      <c r="A500" s="17" t="n">
        <v>41306</v>
      </c>
      <c r="B500" s="58">
        <f>VLOOKUP(Table17[[#This Row],[Date]],database!A:H,7,)</f>
        <v/>
      </c>
      <c r="C500" s="66">
        <f>B500/B499-1</f>
        <v/>
      </c>
      <c r="D500" s="66">
        <f>(Table17[[#This Row],[Index]]-B488)/B488</f>
        <v/>
      </c>
    </row>
    <row r="501">
      <c r="A501" s="17" t="n">
        <v>41334</v>
      </c>
      <c r="B501" s="58">
        <f>VLOOKUP(Table17[[#This Row],[Date]],database!A:H,7,)</f>
        <v/>
      </c>
      <c r="C501" s="66">
        <f>B501/B500-1</f>
        <v/>
      </c>
      <c r="D501" s="66">
        <f>(Table17[[#This Row],[Index]]-B489)/B489</f>
        <v/>
      </c>
    </row>
    <row r="502">
      <c r="A502" s="17" t="n">
        <v>41365</v>
      </c>
      <c r="B502" s="58">
        <f>VLOOKUP(Table17[[#This Row],[Date]],database!A:H,7,)</f>
        <v/>
      </c>
      <c r="C502" s="66">
        <f>B502/B501-1</f>
        <v/>
      </c>
      <c r="D502" s="66">
        <f>(Table17[[#This Row],[Index]]-B490)/B490</f>
        <v/>
      </c>
    </row>
    <row r="503">
      <c r="A503" s="17" t="n">
        <v>41395</v>
      </c>
      <c r="B503" s="58">
        <f>VLOOKUP(Table17[[#This Row],[Date]],database!A:H,7,)</f>
        <v/>
      </c>
      <c r="C503" s="66">
        <f>B503/B502-1</f>
        <v/>
      </c>
      <c r="D503" s="66">
        <f>(Table17[[#This Row],[Index]]-B491)/B491</f>
        <v/>
      </c>
    </row>
    <row r="504">
      <c r="A504" s="17" t="n">
        <v>41426</v>
      </c>
      <c r="B504" s="58">
        <f>VLOOKUP(Table17[[#This Row],[Date]],database!A:H,7,)</f>
        <v/>
      </c>
      <c r="C504" s="66">
        <f>B504/B503-1</f>
        <v/>
      </c>
      <c r="D504" s="66">
        <f>(Table17[[#This Row],[Index]]-B492)/B492</f>
        <v/>
      </c>
    </row>
    <row r="505">
      <c r="A505" s="17" t="n">
        <v>41456</v>
      </c>
      <c r="B505" s="58">
        <f>VLOOKUP(Table17[[#This Row],[Date]],database!A:H,7,)</f>
        <v/>
      </c>
      <c r="C505" s="66">
        <f>B505/B504-1</f>
        <v/>
      </c>
      <c r="D505" s="66">
        <f>(Table17[[#This Row],[Index]]-B493)/B493</f>
        <v/>
      </c>
    </row>
    <row r="506">
      <c r="A506" s="17" t="n">
        <v>41487</v>
      </c>
      <c r="B506" s="58">
        <f>VLOOKUP(Table17[[#This Row],[Date]],database!A:H,7,)</f>
        <v/>
      </c>
      <c r="C506" s="66">
        <f>B506/B505-1</f>
        <v/>
      </c>
      <c r="D506" s="66">
        <f>(Table17[[#This Row],[Index]]-B494)/B494</f>
        <v/>
      </c>
    </row>
    <row r="507">
      <c r="A507" s="17" t="n">
        <v>41518</v>
      </c>
      <c r="B507" s="58">
        <f>VLOOKUP(Table17[[#This Row],[Date]],database!A:H,7,)</f>
        <v/>
      </c>
      <c r="C507" s="66">
        <f>B507/B506-1</f>
        <v/>
      </c>
      <c r="D507" s="66">
        <f>(Table17[[#This Row],[Index]]-B495)/B495</f>
        <v/>
      </c>
    </row>
    <row r="508">
      <c r="A508" s="17" t="n">
        <v>41548</v>
      </c>
      <c r="B508" s="58">
        <f>VLOOKUP(Table17[[#This Row],[Date]],database!A:H,7,)</f>
        <v/>
      </c>
      <c r="C508" s="66">
        <f>B508/B507-1</f>
        <v/>
      </c>
      <c r="D508" s="66">
        <f>(Table17[[#This Row],[Index]]-B496)/B496</f>
        <v/>
      </c>
    </row>
    <row r="509">
      <c r="A509" s="17" t="n">
        <v>41579</v>
      </c>
      <c r="B509" s="58">
        <f>VLOOKUP(Table17[[#This Row],[Date]],database!A:H,7,)</f>
        <v/>
      </c>
      <c r="C509" s="66">
        <f>B509/B508-1</f>
        <v/>
      </c>
      <c r="D509" s="66">
        <f>(Table17[[#This Row],[Index]]-B497)/B497</f>
        <v/>
      </c>
    </row>
    <row r="510">
      <c r="A510" s="17" t="n">
        <v>41609</v>
      </c>
      <c r="B510" s="58">
        <f>VLOOKUP(Table17[[#This Row],[Date]],database!A:H,7,)</f>
        <v/>
      </c>
      <c r="C510" s="66">
        <f>B510/B509-1</f>
        <v/>
      </c>
      <c r="D510" s="66">
        <f>(Table17[[#This Row],[Index]]-B498)/B498</f>
        <v/>
      </c>
    </row>
    <row r="511">
      <c r="A511" s="17" t="n">
        <v>41640</v>
      </c>
      <c r="B511" s="58">
        <f>VLOOKUP(Table17[[#This Row],[Date]],database!A:H,7,)</f>
        <v/>
      </c>
      <c r="C511" s="66">
        <f>B511/B510-1</f>
        <v/>
      </c>
      <c r="D511" s="66">
        <f>(Table17[[#This Row],[Index]]-B499)/B499</f>
        <v/>
      </c>
    </row>
    <row r="512">
      <c r="A512" s="17" t="n">
        <v>41671</v>
      </c>
      <c r="B512" s="58">
        <f>VLOOKUP(Table17[[#This Row],[Date]],database!A:H,7,)</f>
        <v/>
      </c>
      <c r="C512" s="66">
        <f>B512/B511-1</f>
        <v/>
      </c>
      <c r="D512" s="66">
        <f>(Table17[[#This Row],[Index]]-B500)/B500</f>
        <v/>
      </c>
    </row>
    <row r="513">
      <c r="A513" s="17" t="n">
        <v>41699</v>
      </c>
      <c r="B513" s="58">
        <f>VLOOKUP(Table17[[#This Row],[Date]],database!A:H,7,)</f>
        <v/>
      </c>
      <c r="C513" s="66">
        <f>B513/B512-1</f>
        <v/>
      </c>
      <c r="D513" s="66">
        <f>(Table17[[#This Row],[Index]]-B501)/B501</f>
        <v/>
      </c>
    </row>
    <row r="514">
      <c r="A514" s="17" t="n">
        <v>41730</v>
      </c>
      <c r="B514" s="58">
        <f>VLOOKUP(Table17[[#This Row],[Date]],database!A:H,7,)</f>
        <v/>
      </c>
      <c r="C514" s="66">
        <f>B514/B513-1</f>
        <v/>
      </c>
      <c r="D514" s="66">
        <f>(Table17[[#This Row],[Index]]-B502)/B502</f>
        <v/>
      </c>
    </row>
    <row r="515">
      <c r="A515" s="17" t="n">
        <v>41760</v>
      </c>
      <c r="B515" s="58">
        <f>VLOOKUP(Table17[[#This Row],[Date]],database!A:H,7,)</f>
        <v/>
      </c>
      <c r="C515" s="66">
        <f>B515/B514-1</f>
        <v/>
      </c>
      <c r="D515" s="66">
        <f>(Table17[[#This Row],[Index]]-B503)/B503</f>
        <v/>
      </c>
    </row>
    <row r="516">
      <c r="A516" s="17" t="n">
        <v>41791</v>
      </c>
      <c r="B516" s="58">
        <f>VLOOKUP(Table17[[#This Row],[Date]],database!A:H,7,)</f>
        <v/>
      </c>
      <c r="C516" s="66">
        <f>B516/B515-1</f>
        <v/>
      </c>
      <c r="D516" s="66">
        <f>(Table17[[#This Row],[Index]]-B504)/B504</f>
        <v/>
      </c>
    </row>
    <row r="517">
      <c r="A517" s="17" t="n">
        <v>41821</v>
      </c>
      <c r="B517" s="58">
        <f>VLOOKUP(Table17[[#This Row],[Date]],database!A:H,7,)</f>
        <v/>
      </c>
      <c r="C517" s="66">
        <f>B517/B516-1</f>
        <v/>
      </c>
      <c r="D517" s="66">
        <f>(Table17[[#This Row],[Index]]-B505)/B505</f>
        <v/>
      </c>
    </row>
    <row r="518">
      <c r="A518" s="17" t="n">
        <v>41852</v>
      </c>
      <c r="B518" s="58">
        <f>VLOOKUP(Table17[[#This Row],[Date]],database!A:H,7,)</f>
        <v/>
      </c>
      <c r="C518" s="66">
        <f>B518/B517-1</f>
        <v/>
      </c>
      <c r="D518" s="66">
        <f>(Table17[[#This Row],[Index]]-B506)/B506</f>
        <v/>
      </c>
    </row>
    <row r="519">
      <c r="A519" s="17" t="n">
        <v>41883</v>
      </c>
      <c r="B519" s="58">
        <f>VLOOKUP(Table17[[#This Row],[Date]],database!A:H,7,)</f>
        <v/>
      </c>
      <c r="C519" s="66">
        <f>B519/B518-1</f>
        <v/>
      </c>
      <c r="D519" s="66">
        <f>(Table17[[#This Row],[Index]]-B507)/B507</f>
        <v/>
      </c>
    </row>
    <row r="520">
      <c r="A520" s="17" t="n">
        <v>41913</v>
      </c>
      <c r="B520" s="58">
        <f>VLOOKUP(Table17[[#This Row],[Date]],database!A:H,7,)</f>
        <v/>
      </c>
      <c r="C520" s="66">
        <f>B520/B519-1</f>
        <v/>
      </c>
      <c r="D520" s="66">
        <f>(Table17[[#This Row],[Index]]-B508)/B508</f>
        <v/>
      </c>
    </row>
    <row r="521">
      <c r="A521" s="17" t="n">
        <v>41944</v>
      </c>
      <c r="B521" s="58">
        <f>VLOOKUP(Table17[[#This Row],[Date]],database!A:H,7,)</f>
        <v/>
      </c>
      <c r="C521" s="67">
        <f>B521/B520-1</f>
        <v/>
      </c>
      <c r="D521" s="66">
        <f>(Table17[[#This Row],[Index]]-B509)/B509</f>
        <v/>
      </c>
    </row>
    <row r="522">
      <c r="A522" s="17" t="n">
        <v>41974</v>
      </c>
      <c r="B522" s="58">
        <f>VLOOKUP(Table17[[#This Row],[Date]],database!A:H,7,)</f>
        <v/>
      </c>
      <c r="C522" s="66">
        <f>B522/B521-1</f>
        <v/>
      </c>
      <c r="D522" s="66">
        <f>(Table17[[#This Row],[Index]]-B510)/B510</f>
        <v/>
      </c>
    </row>
    <row r="523">
      <c r="A523" s="17" t="n">
        <v>42005</v>
      </c>
      <c r="B523" s="58">
        <f>VLOOKUP(Table17[[#This Row],[Date]],database!A:H,7,)</f>
        <v/>
      </c>
      <c r="C523" s="67">
        <f>B523/B522-1</f>
        <v/>
      </c>
      <c r="D523" s="66">
        <f>(Table17[[#This Row],[Index]]-B511)/B511</f>
        <v/>
      </c>
    </row>
    <row r="524">
      <c r="A524" s="17" t="n">
        <v>42036</v>
      </c>
      <c r="B524" s="58">
        <f>VLOOKUP(Table17[[#This Row],[Date]],database!A:H,7,)</f>
        <v/>
      </c>
      <c r="C524" s="66">
        <f>B524/B523-1</f>
        <v/>
      </c>
      <c r="D524" s="66">
        <f>(Table17[[#This Row],[Index]]-B512)/B512</f>
        <v/>
      </c>
    </row>
    <row r="525">
      <c r="A525" s="17" t="n">
        <v>42064</v>
      </c>
      <c r="B525" s="58">
        <f>VLOOKUP(Table17[[#This Row],[Date]],database!A:H,7,)</f>
        <v/>
      </c>
      <c r="C525" s="67">
        <f>B525/B524-1</f>
        <v/>
      </c>
      <c r="D525" s="66">
        <f>(Table17[[#This Row],[Index]]-B513)/B513</f>
        <v/>
      </c>
    </row>
    <row r="526">
      <c r="A526" s="17" t="n">
        <v>42095</v>
      </c>
      <c r="B526" s="58">
        <f>VLOOKUP(Table17[[#This Row],[Date]],database!A:H,7,)</f>
        <v/>
      </c>
      <c r="C526" s="66">
        <f>B526/B525-1</f>
        <v/>
      </c>
      <c r="D526" s="66">
        <f>(Table17[[#This Row],[Index]]-B514)/B514</f>
        <v/>
      </c>
    </row>
    <row r="527">
      <c r="A527" s="17" t="n">
        <v>42125</v>
      </c>
      <c r="B527" s="58">
        <f>VLOOKUP(Table17[[#This Row],[Date]],database!A:H,7,)</f>
        <v/>
      </c>
      <c r="C527" s="66">
        <f>B527/B526-1</f>
        <v/>
      </c>
      <c r="D527" s="66">
        <f>(Table17[[#This Row],[Index]]-B515)/B515</f>
        <v/>
      </c>
    </row>
    <row r="528">
      <c r="A528" s="17" t="n">
        <v>42156</v>
      </c>
      <c r="B528" s="58">
        <f>VLOOKUP(Table17[[#This Row],[Date]],database!A:H,7,)</f>
        <v/>
      </c>
      <c r="C528" s="66">
        <f>B528/B527-1</f>
        <v/>
      </c>
      <c r="D528" s="66">
        <f>(Table17[[#This Row],[Index]]-B516)/B516</f>
        <v/>
      </c>
    </row>
    <row r="529">
      <c r="A529" s="17" t="n">
        <v>42186</v>
      </c>
      <c r="B529" s="58">
        <f>VLOOKUP(Table17[[#This Row],[Date]],database!A:H,7,)</f>
        <v/>
      </c>
      <c r="C529" s="66">
        <f>B529/B528-1</f>
        <v/>
      </c>
      <c r="D529" s="66">
        <f>(Table17[[#This Row],[Index]]-B517)/B517</f>
        <v/>
      </c>
    </row>
    <row r="530">
      <c r="A530" s="17" t="n">
        <v>42217</v>
      </c>
      <c r="B530" s="58">
        <f>VLOOKUP(Table17[[#This Row],[Date]],database!A:H,7,)</f>
        <v/>
      </c>
      <c r="C530" s="66">
        <f>B530/B529-1</f>
        <v/>
      </c>
      <c r="D530" s="66">
        <f>(Table17[[#This Row],[Index]]-B518)/B518</f>
        <v/>
      </c>
    </row>
    <row r="531">
      <c r="A531" s="17" t="n">
        <v>42248</v>
      </c>
      <c r="B531" s="58">
        <f>VLOOKUP(Table17[[#This Row],[Date]],database!A:H,7,)</f>
        <v/>
      </c>
      <c r="C531" s="66">
        <f>B531/B530-1</f>
        <v/>
      </c>
      <c r="D531" s="66">
        <f>(Table17[[#This Row],[Index]]-B519)/B519</f>
        <v/>
      </c>
    </row>
    <row r="532">
      <c r="A532" s="17" t="n">
        <v>42278</v>
      </c>
      <c r="B532" s="58">
        <f>VLOOKUP(Table17[[#This Row],[Date]],database!A:H,7,)</f>
        <v/>
      </c>
      <c r="C532" s="66">
        <f>B532/B531-1</f>
        <v/>
      </c>
      <c r="D532" s="66">
        <f>(Table17[[#This Row],[Index]]-B520)/B520</f>
        <v/>
      </c>
    </row>
    <row r="533">
      <c r="A533" s="17" t="n">
        <v>42309</v>
      </c>
      <c r="B533" s="58">
        <f>VLOOKUP(Table17[[#This Row],[Date]],database!A:H,7,)</f>
        <v/>
      </c>
      <c r="C533" s="66">
        <f>B533/B532-1</f>
        <v/>
      </c>
      <c r="D533" s="66">
        <f>(Table17[[#This Row],[Index]]-B521)/B521</f>
        <v/>
      </c>
    </row>
    <row r="534">
      <c r="A534" s="17" t="n">
        <v>42339</v>
      </c>
      <c r="B534" s="58">
        <f>VLOOKUP(Table17[[#This Row],[Date]],database!A:H,7,)</f>
        <v/>
      </c>
      <c r="C534" s="66">
        <f>B534/B533-1</f>
        <v/>
      </c>
      <c r="D534" s="66">
        <f>(Table17[[#This Row],[Index]]-B522)/B522</f>
        <v/>
      </c>
    </row>
    <row r="535">
      <c r="A535" s="17" t="n">
        <v>42370</v>
      </c>
      <c r="B535" s="58">
        <f>VLOOKUP(Table17[[#This Row],[Date]],database!A:H,7,)</f>
        <v/>
      </c>
      <c r="C535" s="66">
        <f>B535/B534-1</f>
        <v/>
      </c>
      <c r="D535" s="66">
        <f>(Table17[[#This Row],[Index]]-B523)/B523</f>
        <v/>
      </c>
    </row>
    <row r="536">
      <c r="A536" s="17" t="n">
        <v>42401</v>
      </c>
      <c r="B536" s="58">
        <f>VLOOKUP(Table17[[#This Row],[Date]],database!A:H,7,)</f>
        <v/>
      </c>
      <c r="C536" s="66">
        <f>B536/B535-1</f>
        <v/>
      </c>
      <c r="D536" s="66">
        <f>(Table17[[#This Row],[Index]]-B524)/B524</f>
        <v/>
      </c>
    </row>
    <row r="537">
      <c r="A537" s="17" t="n">
        <v>42430</v>
      </c>
      <c r="B537" s="58">
        <f>VLOOKUP(Table17[[#This Row],[Date]],database!A:H,7,)</f>
        <v/>
      </c>
      <c r="C537" s="66">
        <f>B537/B536-1</f>
        <v/>
      </c>
      <c r="D537" s="66">
        <f>(Table17[[#This Row],[Index]]-B525)/B525</f>
        <v/>
      </c>
    </row>
    <row r="538">
      <c r="A538" s="17" t="n">
        <v>42461</v>
      </c>
      <c r="B538" s="58">
        <f>VLOOKUP(Table17[[#This Row],[Date]],database!A:H,7,)</f>
        <v/>
      </c>
      <c r="C538" s="66">
        <f>B538/B537-1</f>
        <v/>
      </c>
      <c r="D538" s="66">
        <f>(Table17[[#This Row],[Index]]-B526)/B526</f>
        <v/>
      </c>
    </row>
    <row r="539">
      <c r="A539" s="17" t="n">
        <v>42491</v>
      </c>
      <c r="B539" s="58">
        <f>VLOOKUP(Table17[[#This Row],[Date]],database!A:H,7,)</f>
        <v/>
      </c>
      <c r="C539" s="66">
        <f>B539/B538-1</f>
        <v/>
      </c>
      <c r="D539" s="66">
        <f>(Table17[[#This Row],[Index]]-B527)/B527</f>
        <v/>
      </c>
    </row>
    <row r="540">
      <c r="A540" s="17" t="n">
        <v>42522</v>
      </c>
      <c r="B540" s="58">
        <f>VLOOKUP(Table17[[#This Row],[Date]],database!A:H,7,)</f>
        <v/>
      </c>
      <c r="C540" s="66">
        <f>B540/B539-1</f>
        <v/>
      </c>
      <c r="D540" s="66">
        <f>(Table17[[#This Row],[Index]]-B528)/B528</f>
        <v/>
      </c>
    </row>
    <row r="541">
      <c r="A541" s="17" t="n">
        <v>42552</v>
      </c>
      <c r="B541" s="58">
        <f>VLOOKUP(Table17[[#This Row],[Date]],database!A:H,7,)</f>
        <v/>
      </c>
      <c r="C541" s="66">
        <f>B541/B540-1</f>
        <v/>
      </c>
      <c r="D541" s="66">
        <f>(Table17[[#This Row],[Index]]-B529)/B529</f>
        <v/>
      </c>
    </row>
    <row r="542">
      <c r="A542" s="17" t="n">
        <v>42583</v>
      </c>
      <c r="B542" s="58">
        <f>VLOOKUP(Table17[[#This Row],[Date]],database!A:H,7,)</f>
        <v/>
      </c>
      <c r="C542" s="66">
        <f>B542/B541-1</f>
        <v/>
      </c>
      <c r="D542" s="66">
        <f>(Table17[[#This Row],[Index]]-B530)/B530</f>
        <v/>
      </c>
    </row>
    <row r="543">
      <c r="A543" s="17" t="n">
        <v>42614</v>
      </c>
      <c r="B543" s="58">
        <f>VLOOKUP(Table17[[#This Row],[Date]],database!A:H,7,)</f>
        <v/>
      </c>
      <c r="C543" s="66">
        <f>B543/B542-1</f>
        <v/>
      </c>
      <c r="D543" s="66">
        <f>(Table17[[#This Row],[Index]]-B531)/B531</f>
        <v/>
      </c>
    </row>
    <row r="544">
      <c r="A544" s="17" t="n">
        <v>42644</v>
      </c>
      <c r="B544" s="58">
        <f>VLOOKUP(Table17[[#This Row],[Date]],database!A:H,7,)</f>
        <v/>
      </c>
      <c r="C544" s="66">
        <f>B544/B543-1</f>
        <v/>
      </c>
      <c r="D544" s="66">
        <f>(Table17[[#This Row],[Index]]-B532)/B532</f>
        <v/>
      </c>
    </row>
    <row r="545">
      <c r="A545" s="17" t="n">
        <v>42675</v>
      </c>
      <c r="B545" s="58">
        <f>VLOOKUP(Table17[[#This Row],[Date]],database!A:H,7,)</f>
        <v/>
      </c>
      <c r="C545" s="66">
        <f>B545/B544-1</f>
        <v/>
      </c>
      <c r="D545" s="66">
        <f>(Table17[[#This Row],[Index]]-B533)/B533</f>
        <v/>
      </c>
    </row>
    <row r="546">
      <c r="A546" s="17" t="n">
        <v>42705</v>
      </c>
      <c r="B546" s="58">
        <f>VLOOKUP(Table17[[#This Row],[Date]],database!A:H,7,)</f>
        <v/>
      </c>
      <c r="C546" s="66">
        <f>B546/B545-1</f>
        <v/>
      </c>
      <c r="D546" s="66">
        <f>(Table17[[#This Row],[Index]]-B534)/B534</f>
        <v/>
      </c>
    </row>
    <row r="547">
      <c r="A547" s="17" t="n">
        <v>42736</v>
      </c>
      <c r="B547" s="58">
        <f>VLOOKUP(Table17[[#This Row],[Date]],database!A:H,7,)</f>
        <v/>
      </c>
      <c r="C547" s="66">
        <f>B547/B546-1</f>
        <v/>
      </c>
      <c r="D547" s="66">
        <f>(Table17[[#This Row],[Index]]-B535)/B535</f>
        <v/>
      </c>
    </row>
    <row r="548">
      <c r="A548" s="17" t="n">
        <v>42767</v>
      </c>
      <c r="B548" s="58">
        <f>VLOOKUP(Table17[[#This Row],[Date]],database!A:H,7,)</f>
        <v/>
      </c>
      <c r="C548" s="66">
        <f>B548/B547-1</f>
        <v/>
      </c>
      <c r="D548" s="66">
        <f>(Table17[[#This Row],[Index]]-B536)/B536</f>
        <v/>
      </c>
    </row>
    <row r="549">
      <c r="A549" s="17" t="n">
        <v>42795</v>
      </c>
      <c r="B549" s="58">
        <f>VLOOKUP(Table17[[#This Row],[Date]],database!A:H,7,)</f>
        <v/>
      </c>
      <c r="C549" s="66">
        <f>B549/B548-1</f>
        <v/>
      </c>
      <c r="D549" s="66">
        <f>(Table17[[#This Row],[Index]]-B537)/B537</f>
        <v/>
      </c>
    </row>
    <row r="550">
      <c r="A550" s="17" t="n">
        <v>42826</v>
      </c>
      <c r="B550" s="58">
        <f>VLOOKUP(Table17[[#This Row],[Date]],database!A:H,7,)</f>
        <v/>
      </c>
      <c r="C550" s="66">
        <f>B550/B549-1</f>
        <v/>
      </c>
      <c r="D550" s="66">
        <f>(Table17[[#This Row],[Index]]-B538)/B538</f>
        <v/>
      </c>
    </row>
    <row r="551">
      <c r="A551" s="17" t="n">
        <v>42856</v>
      </c>
      <c r="B551" s="58">
        <f>VLOOKUP(Table17[[#This Row],[Date]],database!A:H,7,)</f>
        <v/>
      </c>
      <c r="C551" s="66">
        <f>B551/B550-1</f>
        <v/>
      </c>
      <c r="D551" s="66">
        <f>(Table17[[#This Row],[Index]]-B539)/B539</f>
        <v/>
      </c>
    </row>
    <row r="552">
      <c r="A552" s="17" t="n">
        <v>42887</v>
      </c>
      <c r="B552" s="58">
        <f>VLOOKUP(Table17[[#This Row],[Date]],database!A:H,7,)</f>
        <v/>
      </c>
      <c r="C552" s="66">
        <f>B552/B551-1</f>
        <v/>
      </c>
      <c r="D552" s="66">
        <f>(Table17[[#This Row],[Index]]-B540)/B540</f>
        <v/>
      </c>
    </row>
    <row r="553">
      <c r="A553" s="17" t="n">
        <v>42917</v>
      </c>
      <c r="B553" s="58">
        <f>VLOOKUP(Table17[[#This Row],[Date]],database!A:H,7,)</f>
        <v/>
      </c>
      <c r="C553" s="66">
        <f>B553/B552-1</f>
        <v/>
      </c>
      <c r="D553" s="66">
        <f>(Table17[[#This Row],[Index]]-B541)/B541</f>
        <v/>
      </c>
    </row>
    <row r="554">
      <c r="A554" s="17" t="n">
        <v>42948</v>
      </c>
      <c r="B554" s="58">
        <f>VLOOKUP(Table17[[#This Row],[Date]],database!A:H,7,)</f>
        <v/>
      </c>
      <c r="C554" s="66">
        <f>B554/B553-1</f>
        <v/>
      </c>
      <c r="D554" s="66">
        <f>(Table17[[#This Row],[Index]]-B542)/B542</f>
        <v/>
      </c>
    </row>
    <row r="555">
      <c r="A555" s="17" t="n">
        <v>42979</v>
      </c>
      <c r="B555" s="58">
        <f>VLOOKUP(Table17[[#This Row],[Date]],database!A:H,7,)</f>
        <v/>
      </c>
      <c r="C555" s="66">
        <f>B555/B554-1</f>
        <v/>
      </c>
      <c r="D555" s="66">
        <f>(Table17[[#This Row],[Index]]-B543)/B543</f>
        <v/>
      </c>
    </row>
    <row r="556">
      <c r="A556" s="17" t="n">
        <v>43009</v>
      </c>
      <c r="B556" s="58">
        <f>VLOOKUP(Table17[[#This Row],[Date]],database!A:H,7,)</f>
        <v/>
      </c>
      <c r="C556" s="66">
        <f>B556/B555-1</f>
        <v/>
      </c>
      <c r="D556" s="66">
        <f>(Table17[[#This Row],[Index]]-B544)/B544</f>
        <v/>
      </c>
    </row>
    <row r="557">
      <c r="A557" s="17" t="n">
        <v>43040</v>
      </c>
      <c r="B557" s="58">
        <f>VLOOKUP(Table17[[#This Row],[Date]],database!A:H,7,)</f>
        <v/>
      </c>
      <c r="C557" s="66">
        <f>B557/B556-1</f>
        <v/>
      </c>
      <c r="D557" s="66">
        <f>(Table17[[#This Row],[Index]]-B545)/B545</f>
        <v/>
      </c>
    </row>
    <row r="558">
      <c r="A558" s="17" t="n">
        <v>43070</v>
      </c>
      <c r="B558" s="58">
        <f>VLOOKUP(Table17[[#This Row],[Date]],database!A:H,7,)</f>
        <v/>
      </c>
      <c r="C558" s="66">
        <f>B558/B557-1</f>
        <v/>
      </c>
      <c r="D558" s="66">
        <f>(Table17[[#This Row],[Index]]-B546)/B546</f>
        <v/>
      </c>
    </row>
    <row r="559">
      <c r="A559" s="17" t="n">
        <v>43101</v>
      </c>
      <c r="B559" s="58">
        <f>VLOOKUP(Table17[[#This Row],[Date]],database!A:H,7,)</f>
        <v/>
      </c>
      <c r="C559" s="66">
        <f>B559/B558-1</f>
        <v/>
      </c>
      <c r="D559" s="66">
        <f>(Table17[[#This Row],[Index]]-B547)/B547</f>
        <v/>
      </c>
    </row>
    <row r="560">
      <c r="A560" s="17" t="n">
        <v>43132</v>
      </c>
      <c r="B560" s="58">
        <f>VLOOKUP(Table17[[#This Row],[Date]],database!A:H,7,)</f>
        <v/>
      </c>
      <c r="C560" s="66">
        <f>B560/B559-1</f>
        <v/>
      </c>
      <c r="D560" s="66">
        <f>(Table17[[#This Row],[Index]]-B548)/B548</f>
        <v/>
      </c>
    </row>
    <row r="561">
      <c r="A561" s="17" t="n">
        <v>43160</v>
      </c>
      <c r="B561" s="58">
        <f>VLOOKUP(Table17[[#This Row],[Date]],database!A:H,7,)</f>
        <v/>
      </c>
      <c r="C561" s="66">
        <f>B561/B560-1</f>
        <v/>
      </c>
      <c r="D561" s="66">
        <f>(Table17[[#This Row],[Index]]-B549)/B549</f>
        <v/>
      </c>
    </row>
    <row r="562">
      <c r="A562" s="17" t="n">
        <v>43191</v>
      </c>
      <c r="B562" s="58">
        <f>VLOOKUP(Table17[[#This Row],[Date]],database!A:H,7,)</f>
        <v/>
      </c>
      <c r="C562" s="66">
        <f>B562/B561-1</f>
        <v/>
      </c>
      <c r="D562" s="66">
        <f>(Table17[[#This Row],[Index]]-B550)/B550</f>
        <v/>
      </c>
    </row>
    <row r="563">
      <c r="A563" s="17" t="n">
        <v>43221</v>
      </c>
      <c r="B563" s="58">
        <f>VLOOKUP(Table17[[#This Row],[Date]],database!A:H,7,)</f>
        <v/>
      </c>
      <c r="C563" s="66">
        <f>B563/B562-1</f>
        <v/>
      </c>
      <c r="D563" s="66">
        <f>(Table17[[#This Row],[Index]]-B551)/B551</f>
        <v/>
      </c>
    </row>
    <row r="564">
      <c r="A564" s="17" t="n">
        <v>43252</v>
      </c>
      <c r="B564" s="58">
        <f>VLOOKUP(Table17[[#This Row],[Date]],database!A:H,7,)</f>
        <v/>
      </c>
      <c r="C564" s="66">
        <f>B564/B563-1</f>
        <v/>
      </c>
      <c r="D564" s="66">
        <f>(Table17[[#This Row],[Index]]-B552)/B552</f>
        <v/>
      </c>
    </row>
    <row r="565">
      <c r="A565" s="17" t="n">
        <v>43282</v>
      </c>
      <c r="B565" s="58">
        <f>VLOOKUP(Table17[[#This Row],[Date]],database!A:H,7,)</f>
        <v/>
      </c>
      <c r="C565" s="66">
        <f>B565/B564-1</f>
        <v/>
      </c>
      <c r="D565" s="66">
        <f>(Table17[[#This Row],[Index]]-B553)/B553</f>
        <v/>
      </c>
    </row>
    <row r="566">
      <c r="A566" s="17" t="n">
        <v>43313</v>
      </c>
      <c r="B566" s="58">
        <f>VLOOKUP(Table17[[#This Row],[Date]],database!A:H,7,)</f>
        <v/>
      </c>
      <c r="C566" s="66">
        <f>B566/B565-1</f>
        <v/>
      </c>
      <c r="D566" s="66">
        <f>(Table17[[#This Row],[Index]]-B554)/B554</f>
        <v/>
      </c>
    </row>
    <row r="567">
      <c r="A567" s="17" t="n">
        <v>43344</v>
      </c>
      <c r="B567" s="58">
        <f>VLOOKUP(Table17[[#This Row],[Date]],database!A:H,7,)</f>
        <v/>
      </c>
      <c r="C567" s="66">
        <f>B567/B566-1</f>
        <v/>
      </c>
      <c r="D567" s="66">
        <f>(Table17[[#This Row],[Index]]-B555)/B555</f>
        <v/>
      </c>
    </row>
    <row r="568">
      <c r="A568" s="17" t="n">
        <v>43374</v>
      </c>
      <c r="B568" s="58">
        <f>VLOOKUP(Table17[[#This Row],[Date]],database!A:H,7,)</f>
        <v/>
      </c>
      <c r="C568" s="66">
        <f>B568/B567-1</f>
        <v/>
      </c>
      <c r="D568" s="66">
        <f>(Table17[[#This Row],[Index]]-B556)/B556</f>
        <v/>
      </c>
    </row>
    <row r="569">
      <c r="A569" s="17" t="n">
        <v>43405</v>
      </c>
      <c r="B569" s="58">
        <f>VLOOKUP(Table17[[#This Row],[Date]],database!A:H,7,)</f>
        <v/>
      </c>
      <c r="C569" s="66">
        <f>B569/B568-1</f>
        <v/>
      </c>
      <c r="D569" s="66">
        <f>(Table17[[#This Row],[Index]]-B557)/B557</f>
        <v/>
      </c>
    </row>
    <row r="570">
      <c r="A570" s="17" t="n">
        <v>43435</v>
      </c>
      <c r="B570" s="58">
        <f>VLOOKUP(Table17[[#This Row],[Date]],database!A:H,7,)</f>
        <v/>
      </c>
      <c r="C570" s="66">
        <f>B570/B569-1</f>
        <v/>
      </c>
      <c r="D570" s="66">
        <f>(Table17[[#This Row],[Index]]-B558)/B558</f>
        <v/>
      </c>
    </row>
    <row r="571">
      <c r="A571" s="17" t="n">
        <v>43466</v>
      </c>
      <c r="B571" s="58">
        <f>VLOOKUP(Table17[[#This Row],[Date]],database!A:H,7,)</f>
        <v/>
      </c>
      <c r="C571" s="66">
        <f>B571/B570-1</f>
        <v/>
      </c>
      <c r="D571" s="66">
        <f>(Table17[[#This Row],[Index]]-B559)/B559</f>
        <v/>
      </c>
    </row>
    <row r="572">
      <c r="A572" s="17" t="n">
        <v>43497</v>
      </c>
      <c r="B572" s="58">
        <f>VLOOKUP(Table17[[#This Row],[Date]],database!A:H,7,)</f>
        <v/>
      </c>
      <c r="C572" s="66">
        <f>B572/B571-1</f>
        <v/>
      </c>
      <c r="D572" s="66">
        <f>(Table17[[#This Row],[Index]]-B560)/B560</f>
        <v/>
      </c>
    </row>
    <row r="573">
      <c r="A573" s="17" t="n">
        <v>43525</v>
      </c>
      <c r="B573" s="58">
        <f>VLOOKUP(Table17[[#This Row],[Date]],database!A:H,7,)</f>
        <v/>
      </c>
      <c r="C573" s="66">
        <f>B573/B572-1</f>
        <v/>
      </c>
      <c r="D573" s="66">
        <f>(Table17[[#This Row],[Index]]-B561)/B561</f>
        <v/>
      </c>
    </row>
    <row r="574">
      <c r="A574" s="17" t="n">
        <v>43556</v>
      </c>
      <c r="B574" s="58">
        <f>VLOOKUP(Table17[[#This Row],[Date]],database!A:H,7,)</f>
        <v/>
      </c>
      <c r="C574" s="66">
        <f>B574/B573-1</f>
        <v/>
      </c>
      <c r="D574" s="66">
        <f>(Table17[[#This Row],[Index]]-B562)/B562</f>
        <v/>
      </c>
    </row>
    <row r="575">
      <c r="A575" s="17" t="n">
        <v>43586</v>
      </c>
      <c r="B575" s="58">
        <f>VLOOKUP(Table17[[#This Row],[Date]],database!A:H,7,)</f>
        <v/>
      </c>
      <c r="C575" s="66">
        <f>B575/B574-1</f>
        <v/>
      </c>
      <c r="D575" s="66">
        <f>(Table17[[#This Row],[Index]]-B563)/B563</f>
        <v/>
      </c>
    </row>
    <row r="576">
      <c r="A576" s="17" t="n">
        <v>43617</v>
      </c>
      <c r="B576" s="58">
        <f>VLOOKUP(Table17[[#This Row],[Date]],database!A:H,7,)</f>
        <v/>
      </c>
      <c r="C576" s="66">
        <f>B576/B575-1</f>
        <v/>
      </c>
      <c r="D576" s="66">
        <f>(Table17[[#This Row],[Index]]-B564)/B564</f>
        <v/>
      </c>
    </row>
    <row r="577">
      <c r="A577" s="17" t="n">
        <v>43647</v>
      </c>
      <c r="B577" s="58">
        <f>VLOOKUP(Table17[[#This Row],[Date]],database!A:H,7,)</f>
        <v/>
      </c>
      <c r="C577" s="66">
        <f>B577/B576-1</f>
        <v/>
      </c>
      <c r="D577" s="66">
        <f>(Table17[[#This Row],[Index]]-B565)/B565</f>
        <v/>
      </c>
    </row>
    <row r="578">
      <c r="A578" s="17" t="n">
        <v>43678</v>
      </c>
      <c r="B578" s="58">
        <f>VLOOKUP(Table17[[#This Row],[Date]],database!A:H,7,)</f>
        <v/>
      </c>
      <c r="C578" s="66">
        <f>B578/B577-1</f>
        <v/>
      </c>
      <c r="D578" s="66">
        <f>(Table17[[#This Row],[Index]]-B566)/B566</f>
        <v/>
      </c>
    </row>
    <row r="579">
      <c r="A579" s="17" t="n">
        <v>43709</v>
      </c>
      <c r="B579" s="58">
        <f>VLOOKUP(Table17[[#This Row],[Date]],database!A:H,7,)</f>
        <v/>
      </c>
      <c r="C579" s="66">
        <f>B579/B578-1</f>
        <v/>
      </c>
      <c r="D579" s="66">
        <f>(Table17[[#This Row],[Index]]-B567)/B567</f>
        <v/>
      </c>
    </row>
    <row r="580">
      <c r="A580" s="17" t="n">
        <v>43739</v>
      </c>
      <c r="B580" s="58">
        <f>VLOOKUP(Table17[[#This Row],[Date]],database!A:H,7,)</f>
        <v/>
      </c>
      <c r="C580" s="66">
        <f>B580/B579-1</f>
        <v/>
      </c>
      <c r="D580" s="66">
        <f>(Table17[[#This Row],[Index]]-B568)/B568</f>
        <v/>
      </c>
    </row>
    <row r="581">
      <c r="A581" s="17" t="n">
        <v>43770</v>
      </c>
      <c r="B581" s="58">
        <f>VLOOKUP(Table17[[#This Row],[Date]],database!A:H,7,)</f>
        <v/>
      </c>
      <c r="C581" s="66">
        <f>B581/B580-1</f>
        <v/>
      </c>
      <c r="D581" s="66">
        <f>(Table17[[#This Row],[Index]]-B569)/B569</f>
        <v/>
      </c>
    </row>
    <row r="582">
      <c r="A582" s="17" t="n">
        <v>43800</v>
      </c>
      <c r="B582" s="58">
        <f>VLOOKUP(Table17[[#This Row],[Date]],database!A:H,7,)</f>
        <v/>
      </c>
      <c r="C582" s="66">
        <f>B582/B581-1</f>
        <v/>
      </c>
      <c r="D582" s="66">
        <f>(Table17[[#This Row],[Index]]-B570)/B570</f>
        <v/>
      </c>
    </row>
    <row r="583">
      <c r="A583" s="17" t="n">
        <v>43831</v>
      </c>
      <c r="B583" s="58">
        <f>VLOOKUP(Table17[[#This Row],[Date]],database!A:H,7,)</f>
        <v/>
      </c>
      <c r="C583" s="66">
        <f>B583/B582-1</f>
        <v/>
      </c>
      <c r="D583" s="66">
        <f>(Table17[[#This Row],[Index]]-B571)/B571</f>
        <v/>
      </c>
    </row>
    <row r="584">
      <c r="A584" s="17" t="n">
        <v>43862</v>
      </c>
      <c r="B584" s="58">
        <f>VLOOKUP(Table17[[#This Row],[Date]],database!A:H,7,)</f>
        <v/>
      </c>
      <c r="C584" s="66">
        <f>B584/B583-1</f>
        <v/>
      </c>
      <c r="D584" s="66">
        <f>(Table17[[#This Row],[Index]]-B572)/B572</f>
        <v/>
      </c>
    </row>
    <row r="585">
      <c r="A585" s="17" t="n">
        <v>43891</v>
      </c>
      <c r="B585" s="58">
        <f>VLOOKUP(Table17[[#This Row],[Date]],database!A:H,7,)</f>
        <v/>
      </c>
      <c r="C585" s="66">
        <f>B585/B584-1</f>
        <v/>
      </c>
      <c r="D585" s="66">
        <f>(Table17[[#This Row],[Index]]-B573)/B573</f>
        <v/>
      </c>
    </row>
    <row r="586">
      <c r="A586" s="17" t="n">
        <v>43922</v>
      </c>
      <c r="B586" s="58">
        <f>VLOOKUP(Table17[[#This Row],[Date]],database!A:H,7,)</f>
        <v/>
      </c>
      <c r="C586" s="66">
        <f>B586/B585-1</f>
        <v/>
      </c>
      <c r="D586" s="66">
        <f>(Table17[[#This Row],[Index]]-B574)/B574</f>
        <v/>
      </c>
    </row>
    <row r="587">
      <c r="A587" s="17" t="n">
        <v>43952</v>
      </c>
      <c r="B587" s="58">
        <f>VLOOKUP(Table17[[#This Row],[Date]],database!A:H,7,)</f>
        <v/>
      </c>
      <c r="C587" s="66">
        <f>B587/B586-1</f>
        <v/>
      </c>
      <c r="D587" s="66">
        <f>(Table17[[#This Row],[Index]]-B575)/B575</f>
        <v/>
      </c>
    </row>
    <row r="588">
      <c r="A588" s="17" t="n">
        <v>43983</v>
      </c>
      <c r="B588" s="58">
        <f>VLOOKUP(Table17[[#This Row],[Date]],database!A:H,7,)</f>
        <v/>
      </c>
      <c r="C588" s="66">
        <f>B588/B587-1</f>
        <v/>
      </c>
      <c r="D588" s="66">
        <f>(Table17[[#This Row],[Index]]-B576)/B576</f>
        <v/>
      </c>
    </row>
    <row r="589">
      <c r="A589" s="17" t="n">
        <v>44013</v>
      </c>
      <c r="B589" s="58">
        <f>VLOOKUP(Table17[[#This Row],[Date]],database!A:H,7,)</f>
        <v/>
      </c>
      <c r="C589" s="66">
        <f>B589/B588-1</f>
        <v/>
      </c>
      <c r="D589" s="66">
        <f>(Table17[[#This Row],[Index]]-B577)/B577</f>
        <v/>
      </c>
    </row>
    <row r="590">
      <c r="A590" s="17" t="n">
        <v>44044</v>
      </c>
      <c r="B590" s="58">
        <f>VLOOKUP(Table17[[#This Row],[Date]],database!A:H,7,)</f>
        <v/>
      </c>
      <c r="C590" s="66">
        <f>B590/B589-1</f>
        <v/>
      </c>
      <c r="D590" s="66">
        <f>(Table17[[#This Row],[Index]]-B578)/B578</f>
        <v/>
      </c>
    </row>
    <row r="591">
      <c r="A591" s="17" t="n">
        <v>44075</v>
      </c>
      <c r="B591" s="58">
        <f>VLOOKUP(Table17[[#This Row],[Date]],database!A:H,7,)</f>
        <v/>
      </c>
      <c r="C591" s="66">
        <f>B591/B590-1</f>
        <v/>
      </c>
      <c r="D591" s="66">
        <f>(Table17[[#This Row],[Index]]-B579)/B579</f>
        <v/>
      </c>
    </row>
    <row r="592">
      <c r="A592" s="17" t="n">
        <v>44105</v>
      </c>
      <c r="B592" s="58">
        <f>VLOOKUP(Table17[[#This Row],[Date]],database!A:H,7,)</f>
        <v/>
      </c>
      <c r="C592" s="66">
        <f>B592/B591-1</f>
        <v/>
      </c>
      <c r="D592" s="66">
        <f>(Table17[[#This Row],[Index]]-B580)/B580</f>
        <v/>
      </c>
    </row>
    <row r="593">
      <c r="A593" s="17" t="n">
        <v>44136</v>
      </c>
      <c r="B593" s="58">
        <f>VLOOKUP(Table17[[#This Row],[Date]],database!A:H,7,)</f>
        <v/>
      </c>
      <c r="C593" s="66">
        <f>B593/B592-1</f>
        <v/>
      </c>
      <c r="D593" s="66">
        <f>(Table17[[#This Row],[Index]]-B581)/B581</f>
        <v/>
      </c>
    </row>
    <row r="594">
      <c r="A594" s="17" t="n">
        <v>44166</v>
      </c>
      <c r="B594" s="58">
        <f>VLOOKUP(Table17[[#This Row],[Date]],database!A:H,7,)</f>
        <v/>
      </c>
      <c r="C594" s="66">
        <f>B594/B593-1</f>
        <v/>
      </c>
      <c r="D594" s="66">
        <f>(Table17[[#This Row],[Index]]-B582)/B582</f>
        <v/>
      </c>
    </row>
    <row r="595">
      <c r="A595" s="17" t="n">
        <v>44197</v>
      </c>
      <c r="B595" s="58">
        <f>VLOOKUP(Table17[[#This Row],[Date]],database!A:H,7,)</f>
        <v/>
      </c>
      <c r="C595" s="66">
        <f>B595/B594-1</f>
        <v/>
      </c>
      <c r="D595" s="66">
        <f>(Table17[[#This Row],[Index]]-B583)/B583</f>
        <v/>
      </c>
    </row>
    <row r="596">
      <c r="A596" s="17" t="n">
        <v>44228</v>
      </c>
      <c r="B596" s="58">
        <f>VLOOKUP(Table17[[#This Row],[Date]],database!A:H,7,)</f>
        <v/>
      </c>
      <c r="C596" s="66">
        <f>B596/B595-1</f>
        <v/>
      </c>
      <c r="D596" s="66">
        <f>(Table17[[#This Row],[Index]]-B584)/B584</f>
        <v/>
      </c>
    </row>
    <row r="597">
      <c r="A597" s="17" t="n">
        <v>44256</v>
      </c>
      <c r="B597" s="58">
        <f>VLOOKUP(Table17[[#This Row],[Date]],database!A:H,7,)</f>
        <v/>
      </c>
      <c r="C597" s="66">
        <f>B597/B596-1</f>
        <v/>
      </c>
      <c r="D597" s="66">
        <f>(Table17[[#This Row],[Index]]-B585)/B585</f>
        <v/>
      </c>
    </row>
    <row r="598">
      <c r="A598" s="17" t="n">
        <v>44287</v>
      </c>
      <c r="B598" s="58">
        <f>VLOOKUP(Table17[[#This Row],[Date]],database!A:H,7,)</f>
        <v/>
      </c>
      <c r="C598" s="66">
        <f>B598/B597-1</f>
        <v/>
      </c>
      <c r="D598" s="66">
        <f>(Table17[[#This Row],[Index]]-B586)/B586</f>
        <v/>
      </c>
    </row>
    <row r="599">
      <c r="A599" s="17" t="n">
        <v>44317</v>
      </c>
      <c r="B599" s="58">
        <f>VLOOKUP(Table17[[#This Row],[Date]],database!A:H,7,)</f>
        <v/>
      </c>
      <c r="C599" s="66">
        <f>B599/B598-1</f>
        <v/>
      </c>
      <c r="D599" s="66">
        <f>(Table17[[#This Row],[Index]]-B587)/B587</f>
        <v/>
      </c>
    </row>
    <row r="600">
      <c r="A600" s="17" t="n">
        <v>44348</v>
      </c>
      <c r="B600" s="58">
        <f>VLOOKUP(Table17[[#This Row],[Date]],database!A:H,7,)</f>
        <v/>
      </c>
      <c r="C600" s="66">
        <f>B600/B599-1</f>
        <v/>
      </c>
      <c r="D600" s="66">
        <f>(Table17[[#This Row],[Index]]-B588)/B588</f>
        <v/>
      </c>
    </row>
    <row r="601">
      <c r="A601" s="17" t="n">
        <v>44378</v>
      </c>
      <c r="B601" s="58">
        <f>VLOOKUP(Table17[[#This Row],[Date]],database!A:H,7,)</f>
        <v/>
      </c>
      <c r="C601" s="66">
        <f>B601/B600-1</f>
        <v/>
      </c>
      <c r="D601" s="66">
        <f>(Table17[[#This Row],[Index]]-B589)/B589</f>
        <v/>
      </c>
    </row>
    <row r="602">
      <c r="A602" s="17" t="n">
        <v>44409</v>
      </c>
      <c r="B602" s="58">
        <f>VLOOKUP(Table17[[#This Row],[Date]],database!A:H,7,)</f>
        <v/>
      </c>
      <c r="C602" s="66">
        <f>B602/B601-1</f>
        <v/>
      </c>
      <c r="D602" s="66">
        <f>(Table17[[#This Row],[Index]]-B590)/B590</f>
        <v/>
      </c>
    </row>
    <row r="603">
      <c r="A603" s="17" t="n">
        <v>44440</v>
      </c>
      <c r="B603" s="58">
        <f>VLOOKUP(Table17[[#This Row],[Date]],database!A:H,7,)</f>
        <v/>
      </c>
      <c r="C603" s="66">
        <f>B603/B602-1</f>
        <v/>
      </c>
      <c r="D603" s="66">
        <f>(Table17[[#This Row],[Index]]-B591)/B591</f>
        <v/>
      </c>
    </row>
    <row r="604">
      <c r="A604" s="17" t="n">
        <v>44470</v>
      </c>
      <c r="B604" s="58">
        <f>VLOOKUP(Table17[[#This Row],[Date]],database!A:H,7,)</f>
        <v/>
      </c>
      <c r="C604" s="66">
        <f>B604/B603-1</f>
        <v/>
      </c>
      <c r="D604" s="66">
        <f>(Table17[[#This Row],[Index]]-B592)/B592</f>
        <v/>
      </c>
    </row>
    <row r="605">
      <c r="A605" s="17" t="n">
        <v>44501</v>
      </c>
      <c r="B605" s="58">
        <f>VLOOKUP(Table17[[#This Row],[Date]],database!A:H,7,)</f>
        <v/>
      </c>
      <c r="C605" s="66">
        <f>B605/B604-1</f>
        <v/>
      </c>
      <c r="D605" s="66">
        <f>(Table17[[#This Row],[Index]]-B593)/B593</f>
        <v/>
      </c>
    </row>
    <row r="606">
      <c r="A606" s="17" t="n">
        <v>44531</v>
      </c>
      <c r="B606" s="58">
        <f>VLOOKUP(Table17[[#This Row],[Date]],database!A:H,7,)</f>
        <v/>
      </c>
      <c r="C606" s="66">
        <f>B606/B605-1</f>
        <v/>
      </c>
      <c r="D606" s="66">
        <f>(Table17[[#This Row],[Index]]-B594)/B594</f>
        <v/>
      </c>
    </row>
    <row r="607">
      <c r="A607" s="17" t="n">
        <v>44562</v>
      </c>
      <c r="B607" s="58">
        <f>VLOOKUP(Table17[[#This Row],[Date]],database!A:H,7,)</f>
        <v/>
      </c>
      <c r="C607" s="66">
        <f>B607/B606-1</f>
        <v/>
      </c>
      <c r="D607" s="66">
        <f>(Table17[[#This Row],[Index]]-B595)/B595</f>
        <v/>
      </c>
    </row>
    <row r="608">
      <c r="A608" s="17" t="n">
        <v>44593</v>
      </c>
      <c r="B608" s="58">
        <f>VLOOKUP(Table17[[#This Row],[Date]],database!A:H,7,)</f>
        <v/>
      </c>
      <c r="C608" s="66">
        <f>B608/B607-1</f>
        <v/>
      </c>
      <c r="D608" s="66">
        <f>(Table17[[#This Row],[Index]]-B596)/B596</f>
        <v/>
      </c>
    </row>
    <row r="609">
      <c r="A609" s="17" t="n">
        <v>44621</v>
      </c>
      <c r="B609" s="58">
        <f>VLOOKUP(Table17[[#This Row],[Date]],database!A:H,7,)</f>
        <v/>
      </c>
      <c r="C609" s="66">
        <f>B609/B608-1</f>
        <v/>
      </c>
      <c r="D609" s="66">
        <f>(Table17[[#This Row],[Index]]-B597)/B597</f>
        <v/>
      </c>
    </row>
    <row r="610">
      <c r="A610" s="17" t="n">
        <v>44652</v>
      </c>
      <c r="B610" s="58">
        <f>VLOOKUP(Table17[[#This Row],[Date]],database!A:H,7,)</f>
        <v/>
      </c>
      <c r="C610" s="66">
        <f>B610/B609-1</f>
        <v/>
      </c>
      <c r="D610" s="66">
        <f>(Table17[[#This Row],[Index]]-B598)/B598</f>
        <v/>
      </c>
    </row>
    <row r="611">
      <c r="A611" s="17" t="n">
        <v>44682</v>
      </c>
      <c r="B611" s="58">
        <f>VLOOKUP(Table17[[#This Row],[Date]],database!A:H,7,)</f>
        <v/>
      </c>
      <c r="C611" s="66">
        <f>B611/B610-1</f>
        <v/>
      </c>
      <c r="D611" s="66">
        <f>(Table17[[#This Row],[Index]]-B599)/B599</f>
        <v/>
      </c>
    </row>
    <row r="612">
      <c r="A612" s="17" t="n">
        <v>44713</v>
      </c>
      <c r="B612" s="58">
        <f>VLOOKUP(Table17[[#This Row],[Date]],database!A:H,7,)</f>
        <v/>
      </c>
      <c r="C612" s="66">
        <f>B612/B611-1</f>
        <v/>
      </c>
      <c r="D612" s="66">
        <f>(Table17[[#This Row],[Index]]-B600)/B600</f>
        <v/>
      </c>
    </row>
    <row r="613">
      <c r="A613" s="17" t="n">
        <v>44743</v>
      </c>
      <c r="B613" s="58">
        <f>VLOOKUP(Table17[[#This Row],[Date]],database!A:H,7,)</f>
        <v/>
      </c>
      <c r="C613" s="66">
        <f>B613/B612-1</f>
        <v/>
      </c>
      <c r="D613" s="66">
        <f>(Table17[[#This Row],[Index]]-B601)/B601</f>
        <v/>
      </c>
    </row>
    <row r="614">
      <c r="A614" s="17" t="n">
        <v>44774</v>
      </c>
      <c r="B614" s="58">
        <f>VLOOKUP(Table17[[#This Row],[Date]],database!A:H,7,)</f>
        <v/>
      </c>
      <c r="C614" s="66">
        <f>B614/B613-1</f>
        <v/>
      </c>
      <c r="D614" s="66">
        <f>(Table17[[#This Row],[Index]]-B602)/B602</f>
        <v/>
      </c>
    </row>
    <row r="615">
      <c r="A615" s="17" t="n">
        <v>44805</v>
      </c>
      <c r="B615" s="58">
        <f>VLOOKUP(Table17[[#This Row],[Date]],database!A:H,7,)</f>
        <v/>
      </c>
      <c r="C615" s="66">
        <f>B615/B614-1</f>
        <v/>
      </c>
      <c r="D615" s="66">
        <f>(Table17[[#This Row],[Index]]-B603)/B603</f>
        <v/>
      </c>
    </row>
    <row r="616">
      <c r="A616" s="17" t="n">
        <v>44835</v>
      </c>
      <c r="B616" s="58">
        <f>VLOOKUP(Table17[[#This Row],[Date]],database!A:H,7,)</f>
        <v/>
      </c>
      <c r="C616" s="66">
        <f>B616/B615-1</f>
        <v/>
      </c>
      <c r="D616" s="66">
        <f>(Table17[[#This Row],[Index]]-B604)/B604</f>
        <v/>
      </c>
    </row>
    <row r="617">
      <c r="A617" s="17" t="n">
        <v>44866</v>
      </c>
      <c r="B617" s="58">
        <f>VLOOKUP(Table17[[#This Row],[Date]],database!A:H,7,)</f>
        <v/>
      </c>
      <c r="C617" s="66">
        <f>B617/B616-1</f>
        <v/>
      </c>
      <c r="D617" s="66">
        <f>(Table17[[#This Row],[Index]]-B605)/B605</f>
        <v/>
      </c>
    </row>
    <row r="618">
      <c r="A618" s="17" t="n">
        <v>44896</v>
      </c>
      <c r="B618" s="58">
        <f>VLOOKUP(Table17[[#This Row],[Date]],database!A:H,7,)</f>
        <v/>
      </c>
      <c r="C618" s="66">
        <f>B618/B617-1</f>
        <v/>
      </c>
      <c r="D618" s="66">
        <f>(Table17[[#This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8"/>
  <sheetViews>
    <sheetView zoomScale="130" zoomScaleNormal="130" workbookViewId="0">
      <pane ySplit="6" topLeftCell="A590" activePane="bottomLeft" state="frozen"/>
      <selection activeCell="J582" sqref="J582"/>
      <selection pane="bottomLeft" activeCell="A613" sqref="A613: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2"/>
    <col width="15.36328125" customWidth="1" style="79" min="23" max="23"/>
    <col width="9.1796875" customWidth="1" style="79" min="24" max="37"/>
    <col width="9.1796875" customWidth="1" style="79" min="38" max="16384"/>
  </cols>
  <sheetData>
    <row r="1">
      <c r="A1" s="15" t="inlineStr">
        <is>
          <t>IPCONGD</t>
        </is>
      </c>
      <c r="B1" s="79" t="n"/>
      <c r="C1" s="79" t="n"/>
      <c r="S1" s="79" t="inlineStr">
        <is>
          <t>Industrial Production: Consumer Goods</t>
        </is>
      </c>
      <c r="T1" s="79" t="inlineStr">
        <is>
          <t xml:space="preserve"> since 2010 </t>
        </is>
      </c>
      <c r="U1" s="79">
        <f>S1&amp;T1</f>
        <v/>
      </c>
      <c r="Y1" s="79">
        <f>U2&amp; T1</f>
        <v/>
      </c>
    </row>
    <row r="2">
      <c r="A2" s="16" t="n"/>
      <c r="B2" s="79" t="n"/>
      <c r="C2" s="79" t="n"/>
      <c r="U2" s="79">
        <f>S1&amp;Table18[[#Headers],[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VLOOKUP(Table18[[#This Row],[Date]],database!A:G,5,)</f>
        <v/>
      </c>
      <c r="C7" s="65" t="n"/>
      <c r="D7" s="65" t="n"/>
    </row>
    <row r="8">
      <c r="A8" s="17" t="n">
        <v>26330</v>
      </c>
      <c r="B8" s="58">
        <f>VLOOKUP(Table18[[#This Row],[Date]],database!A:G,5,)</f>
        <v/>
      </c>
      <c r="C8" s="66">
        <f>B8/B7-1</f>
        <v/>
      </c>
      <c r="D8" s="66" t="n"/>
    </row>
    <row r="9">
      <c r="A9" s="17" t="n">
        <v>26359</v>
      </c>
      <c r="B9" s="58">
        <f>VLOOKUP(Table18[[#This Row],[Date]],database!A:G,5,)</f>
        <v/>
      </c>
      <c r="C9" s="66">
        <f>B9/B8-1</f>
        <v/>
      </c>
      <c r="D9" s="66" t="n"/>
    </row>
    <row r="10">
      <c r="A10" s="17" t="n">
        <v>26390</v>
      </c>
      <c r="B10" s="58">
        <f>VLOOKUP(Table18[[#This Row],[Date]],database!A:G,5,)</f>
        <v/>
      </c>
      <c r="C10" s="66">
        <f>B10/B9-1</f>
        <v/>
      </c>
      <c r="D10" s="66" t="n"/>
    </row>
    <row r="11">
      <c r="A11" s="17" t="n">
        <v>26420</v>
      </c>
      <c r="B11" s="58">
        <f>VLOOKUP(Table18[[#This Row],[Date]],database!A:G,5,)</f>
        <v/>
      </c>
      <c r="C11" s="66">
        <f>B11/B10-1</f>
        <v/>
      </c>
      <c r="D11" s="66" t="n"/>
    </row>
    <row r="12">
      <c r="A12" s="17" t="n">
        <v>26451</v>
      </c>
      <c r="B12" s="58">
        <f>VLOOKUP(Table18[[#This Row],[Date]],database!A:G,5,)</f>
        <v/>
      </c>
      <c r="C12" s="66">
        <f>B12/B11-1</f>
        <v/>
      </c>
      <c r="D12" s="66" t="n"/>
    </row>
    <row r="13">
      <c r="A13" s="17" t="n">
        <v>26481</v>
      </c>
      <c r="B13" s="58">
        <f>VLOOKUP(Table18[[#This Row],[Date]],database!A:G,5,)</f>
        <v/>
      </c>
      <c r="C13" s="66">
        <f>B13/B12-1</f>
        <v/>
      </c>
      <c r="D13" s="66" t="n"/>
    </row>
    <row r="14">
      <c r="A14" s="17" t="n">
        <v>26512</v>
      </c>
      <c r="B14" s="58">
        <f>VLOOKUP(Table18[[#This Row],[Date]],database!A:G,5,)</f>
        <v/>
      </c>
      <c r="C14" s="66">
        <f>B14/B13-1</f>
        <v/>
      </c>
      <c r="D14" s="66" t="n"/>
    </row>
    <row r="15">
      <c r="A15" s="17" t="n">
        <v>26543</v>
      </c>
      <c r="B15" s="58">
        <f>VLOOKUP(Table18[[#This Row],[Date]],database!A:G,5,)</f>
        <v/>
      </c>
      <c r="C15" s="66">
        <f>B15/B14-1</f>
        <v/>
      </c>
      <c r="D15" s="66" t="n"/>
    </row>
    <row r="16">
      <c r="A16" s="17" t="n">
        <v>26573</v>
      </c>
      <c r="B16" s="58">
        <f>VLOOKUP(Table18[[#This Row],[Date]],database!A:G,5,)</f>
        <v/>
      </c>
      <c r="C16" s="66">
        <f>B16/B15-1</f>
        <v/>
      </c>
      <c r="D16" s="66" t="n"/>
    </row>
    <row r="17">
      <c r="A17" s="17" t="n">
        <v>26604</v>
      </c>
      <c r="B17" s="58">
        <f>VLOOKUP(Table18[[#This Row],[Date]],database!A:G,5,)</f>
        <v/>
      </c>
      <c r="C17" s="66">
        <f>B17/B16-1</f>
        <v/>
      </c>
      <c r="D17" s="66" t="n"/>
    </row>
    <row r="18">
      <c r="A18" s="17" t="n">
        <v>26634</v>
      </c>
      <c r="B18" s="58">
        <f>VLOOKUP(Table18[[#This Row],[Date]],database!A:G,5,)</f>
        <v/>
      </c>
      <c r="C18" s="66">
        <f>B18/B17-1</f>
        <v/>
      </c>
      <c r="D18" s="66" t="n"/>
    </row>
    <row r="19">
      <c r="A19" s="17" t="n">
        <v>26665</v>
      </c>
      <c r="B19" s="58">
        <f>VLOOKUP(Table18[[#This Row],[Date]],database!A:G,5,)</f>
        <v/>
      </c>
      <c r="C19" s="66">
        <f>B19/B18-1</f>
        <v/>
      </c>
      <c r="D19" s="66" t="n"/>
    </row>
    <row r="20">
      <c r="A20" s="17" t="n">
        <v>26696</v>
      </c>
      <c r="B20" s="58">
        <f>VLOOKUP(Table18[[#This Row],[Date]],database!A:G,5,)</f>
        <v/>
      </c>
      <c r="C20" s="66">
        <f>B20/B19-1</f>
        <v/>
      </c>
      <c r="D20" s="66">
        <f>(Table18[[#This Row],[Index]]-B8)/B8</f>
        <v/>
      </c>
    </row>
    <row r="21">
      <c r="A21" s="17" t="n">
        <v>26724</v>
      </c>
      <c r="B21" s="58">
        <f>VLOOKUP(Table18[[#This Row],[Date]],database!A:G,5,)</f>
        <v/>
      </c>
      <c r="C21" s="66">
        <f>B21/B20-1</f>
        <v/>
      </c>
      <c r="D21" s="66">
        <f>(Table18[[#This Row],[Index]]-B9)/B9</f>
        <v/>
      </c>
    </row>
    <row r="22">
      <c r="A22" s="17" t="n">
        <v>26755</v>
      </c>
      <c r="B22" s="58">
        <f>VLOOKUP(Table18[[#This Row],[Date]],database!A:G,5,)</f>
        <v/>
      </c>
      <c r="C22" s="66">
        <f>B22/B21-1</f>
        <v/>
      </c>
      <c r="D22" s="66">
        <f>(Table18[[#This Row],[Index]]-B10)/B10</f>
        <v/>
      </c>
    </row>
    <row r="23">
      <c r="A23" s="17" t="n">
        <v>26785</v>
      </c>
      <c r="B23" s="58">
        <f>VLOOKUP(Table18[[#This Row],[Date]],database!A:G,5,)</f>
        <v/>
      </c>
      <c r="C23" s="66">
        <f>B23/B22-1</f>
        <v/>
      </c>
      <c r="D23" s="66">
        <f>(Table18[[#This Row],[Index]]-B11)/B11</f>
        <v/>
      </c>
    </row>
    <row r="24">
      <c r="A24" s="17" t="n">
        <v>26816</v>
      </c>
      <c r="B24" s="58">
        <f>VLOOKUP(Table18[[#This Row],[Date]],database!A:G,5,)</f>
        <v/>
      </c>
      <c r="C24" s="66">
        <f>B24/B23-1</f>
        <v/>
      </c>
      <c r="D24" s="66">
        <f>(Table18[[#This Row],[Index]]-B12)/B12</f>
        <v/>
      </c>
    </row>
    <row r="25">
      <c r="A25" s="17" t="n">
        <v>26846</v>
      </c>
      <c r="B25" s="58">
        <f>VLOOKUP(Table18[[#This Row],[Date]],database!A:G,5,)</f>
        <v/>
      </c>
      <c r="C25" s="66">
        <f>B25/B24-1</f>
        <v/>
      </c>
      <c r="D25" s="66">
        <f>(Table18[[#This Row],[Index]]-B13)/B13</f>
        <v/>
      </c>
    </row>
    <row r="26">
      <c r="A26" s="17" t="n">
        <v>26877</v>
      </c>
      <c r="B26" s="58">
        <f>VLOOKUP(Table18[[#This Row],[Date]],database!A:G,5,)</f>
        <v/>
      </c>
      <c r="C26" s="66">
        <f>B26/B25-1</f>
        <v/>
      </c>
      <c r="D26" s="66">
        <f>(Table18[[#This Row],[Index]]-B14)/B14</f>
        <v/>
      </c>
    </row>
    <row r="27">
      <c r="A27" s="17" t="n">
        <v>26908</v>
      </c>
      <c r="B27" s="58">
        <f>VLOOKUP(Table18[[#This Row],[Date]],database!A:G,5,)</f>
        <v/>
      </c>
      <c r="C27" s="66">
        <f>B27/B26-1</f>
        <v/>
      </c>
      <c r="D27" s="66">
        <f>(Table18[[#This Row],[Index]]-B15)/B15</f>
        <v/>
      </c>
    </row>
    <row r="28">
      <c r="A28" s="17" t="n">
        <v>26938</v>
      </c>
      <c r="B28" s="58">
        <f>VLOOKUP(Table18[[#This Row],[Date]],database!A:G,5,)</f>
        <v/>
      </c>
      <c r="C28" s="66">
        <f>B28/B27-1</f>
        <v/>
      </c>
      <c r="D28" s="66">
        <f>(Table18[[#This Row],[Index]]-B16)/B16</f>
        <v/>
      </c>
    </row>
    <row r="29">
      <c r="A29" s="17" t="n">
        <v>26969</v>
      </c>
      <c r="B29" s="58">
        <f>VLOOKUP(Table18[[#This Row],[Date]],database!A:G,5,)</f>
        <v/>
      </c>
      <c r="C29" s="66">
        <f>B29/B28-1</f>
        <v/>
      </c>
      <c r="D29" s="66">
        <f>(Table18[[#This Row],[Index]]-B17)/B17</f>
        <v/>
      </c>
    </row>
    <row r="30">
      <c r="A30" s="17" t="n">
        <v>26999</v>
      </c>
      <c r="B30" s="58">
        <f>VLOOKUP(Table18[[#This Row],[Date]],database!A:G,5,)</f>
        <v/>
      </c>
      <c r="C30" s="66">
        <f>B30/B29-1</f>
        <v/>
      </c>
      <c r="D30" s="66">
        <f>(Table18[[#This Row],[Index]]-B18)/B18</f>
        <v/>
      </c>
    </row>
    <row r="31">
      <c r="A31" s="17" t="n">
        <v>27030</v>
      </c>
      <c r="B31" s="58">
        <f>VLOOKUP(Table18[[#This Row],[Date]],database!A:G,5,)</f>
        <v/>
      </c>
      <c r="C31" s="66">
        <f>B31/B30-1</f>
        <v/>
      </c>
      <c r="D31" s="66">
        <f>(Table18[[#This Row],[Index]]-B19)/B19</f>
        <v/>
      </c>
    </row>
    <row r="32">
      <c r="A32" s="17" t="n">
        <v>27061</v>
      </c>
      <c r="B32" s="58">
        <f>VLOOKUP(Table18[[#This Row],[Date]],database!A:G,5,)</f>
        <v/>
      </c>
      <c r="C32" s="66">
        <f>B32/B31-1</f>
        <v/>
      </c>
      <c r="D32" s="66">
        <f>(Table18[[#This Row],[Index]]-B20)/B20</f>
        <v/>
      </c>
    </row>
    <row r="33">
      <c r="A33" s="17" t="n">
        <v>27089</v>
      </c>
      <c r="B33" s="58">
        <f>VLOOKUP(Table18[[#This Row],[Date]],database!A:G,5,)</f>
        <v/>
      </c>
      <c r="C33" s="66">
        <f>B33/B32-1</f>
        <v/>
      </c>
      <c r="D33" s="66">
        <f>(Table18[[#This Row],[Index]]-B21)/B21</f>
        <v/>
      </c>
    </row>
    <row r="34">
      <c r="A34" s="17" t="n">
        <v>27120</v>
      </c>
      <c r="B34" s="58">
        <f>VLOOKUP(Table18[[#This Row],[Date]],database!A:G,5,)</f>
        <v/>
      </c>
      <c r="C34" s="66">
        <f>B34/B33-1</f>
        <v/>
      </c>
      <c r="D34" s="66">
        <f>(Table18[[#This Row],[Index]]-B22)/B22</f>
        <v/>
      </c>
    </row>
    <row r="35">
      <c r="A35" s="17" t="n">
        <v>27150</v>
      </c>
      <c r="B35" s="58">
        <f>VLOOKUP(Table18[[#This Row],[Date]],database!A:G,5,)</f>
        <v/>
      </c>
      <c r="C35" s="66">
        <f>B35/B34-1</f>
        <v/>
      </c>
      <c r="D35" s="66">
        <f>(Table18[[#This Row],[Index]]-B23)/B23</f>
        <v/>
      </c>
    </row>
    <row r="36">
      <c r="A36" s="17" t="n">
        <v>27181</v>
      </c>
      <c r="B36" s="58">
        <f>VLOOKUP(Table18[[#This Row],[Date]],database!A:G,5,)</f>
        <v/>
      </c>
      <c r="C36" s="66">
        <f>B36/B35-1</f>
        <v/>
      </c>
      <c r="D36" s="66">
        <f>(Table18[[#This Row],[Index]]-B24)/B24</f>
        <v/>
      </c>
    </row>
    <row r="37">
      <c r="A37" s="17" t="n">
        <v>27211</v>
      </c>
      <c r="B37" s="58">
        <f>VLOOKUP(Table18[[#This Row],[Date]],database!A:G,5,)</f>
        <v/>
      </c>
      <c r="C37" s="66">
        <f>B37/B36-1</f>
        <v/>
      </c>
      <c r="D37" s="66">
        <f>(Table18[[#This Row],[Index]]-B25)/B25</f>
        <v/>
      </c>
    </row>
    <row r="38">
      <c r="A38" s="17" t="n">
        <v>27242</v>
      </c>
      <c r="B38" s="58">
        <f>VLOOKUP(Table18[[#This Row],[Date]],database!A:G,5,)</f>
        <v/>
      </c>
      <c r="C38" s="66">
        <f>B38/B37-1</f>
        <v/>
      </c>
      <c r="D38" s="66">
        <f>(Table18[[#This Row],[Index]]-B26)/B26</f>
        <v/>
      </c>
    </row>
    <row r="39">
      <c r="A39" s="17" t="n">
        <v>27273</v>
      </c>
      <c r="B39" s="58">
        <f>VLOOKUP(Table18[[#This Row],[Date]],database!A:G,5,)</f>
        <v/>
      </c>
      <c r="C39" s="66">
        <f>B39/B38-1</f>
        <v/>
      </c>
      <c r="D39" s="66">
        <f>(Table18[[#This Row],[Index]]-B27)/B27</f>
        <v/>
      </c>
    </row>
    <row r="40">
      <c r="A40" s="17" t="n">
        <v>27303</v>
      </c>
      <c r="B40" s="58">
        <f>VLOOKUP(Table18[[#This Row],[Date]],database!A:G,5,)</f>
        <v/>
      </c>
      <c r="C40" s="66">
        <f>B40/B39-1</f>
        <v/>
      </c>
      <c r="D40" s="66">
        <f>(Table18[[#This Row],[Index]]-B28)/B28</f>
        <v/>
      </c>
    </row>
    <row r="41">
      <c r="A41" s="17" t="n">
        <v>27334</v>
      </c>
      <c r="B41" s="58">
        <f>VLOOKUP(Table18[[#This Row],[Date]],database!A:G,5,)</f>
        <v/>
      </c>
      <c r="C41" s="66">
        <f>B41/B40-1</f>
        <v/>
      </c>
      <c r="D41" s="66">
        <f>(Table18[[#This Row],[Index]]-B29)/B29</f>
        <v/>
      </c>
    </row>
    <row r="42">
      <c r="A42" s="17" t="n">
        <v>27364</v>
      </c>
      <c r="B42" s="58">
        <f>VLOOKUP(Table18[[#This Row],[Date]],database!A:G,5,)</f>
        <v/>
      </c>
      <c r="C42" s="66">
        <f>B42/B41-1</f>
        <v/>
      </c>
      <c r="D42" s="66">
        <f>(Table18[[#This Row],[Index]]-B30)/B30</f>
        <v/>
      </c>
    </row>
    <row r="43">
      <c r="A43" s="17" t="n">
        <v>27395</v>
      </c>
      <c r="B43" s="58">
        <f>VLOOKUP(Table18[[#This Row],[Date]],database!A:G,5,)</f>
        <v/>
      </c>
      <c r="C43" s="66">
        <f>B43/B42-1</f>
        <v/>
      </c>
      <c r="D43" s="66">
        <f>(Table18[[#This Row],[Index]]-B31)/B31</f>
        <v/>
      </c>
    </row>
    <row r="44">
      <c r="A44" s="17" t="n">
        <v>27426</v>
      </c>
      <c r="B44" s="58">
        <f>VLOOKUP(Table18[[#This Row],[Date]],database!A:G,5,)</f>
        <v/>
      </c>
      <c r="C44" s="66">
        <f>B44/B43-1</f>
        <v/>
      </c>
      <c r="D44" s="66">
        <f>(Table18[[#This Row],[Index]]-B32)/B32</f>
        <v/>
      </c>
    </row>
    <row r="45">
      <c r="A45" s="17" t="n">
        <v>27454</v>
      </c>
      <c r="B45" s="58">
        <f>VLOOKUP(Table18[[#This Row],[Date]],database!A:G,5,)</f>
        <v/>
      </c>
      <c r="C45" s="66">
        <f>B45/B44-1</f>
        <v/>
      </c>
      <c r="D45" s="66">
        <f>(Table18[[#This Row],[Index]]-B33)/B33</f>
        <v/>
      </c>
    </row>
    <row r="46">
      <c r="A46" s="17" t="n">
        <v>27485</v>
      </c>
      <c r="B46" s="58">
        <f>VLOOKUP(Table18[[#This Row],[Date]],database!A:G,5,)</f>
        <v/>
      </c>
      <c r="C46" s="66">
        <f>B46/B45-1</f>
        <v/>
      </c>
      <c r="D46" s="66">
        <f>(Table18[[#This Row],[Index]]-B34)/B34</f>
        <v/>
      </c>
    </row>
    <row r="47">
      <c r="A47" s="17" t="n">
        <v>27515</v>
      </c>
      <c r="B47" s="58">
        <f>VLOOKUP(Table18[[#This Row],[Date]],database!A:G,5,)</f>
        <v/>
      </c>
      <c r="C47" s="66">
        <f>B47/B46-1</f>
        <v/>
      </c>
      <c r="D47" s="66">
        <f>(Table18[[#This Row],[Index]]-B35)/B35</f>
        <v/>
      </c>
    </row>
    <row r="48">
      <c r="A48" s="17" t="n">
        <v>27546</v>
      </c>
      <c r="B48" s="58">
        <f>VLOOKUP(Table18[[#This Row],[Date]],database!A:G,5,)</f>
        <v/>
      </c>
      <c r="C48" s="66">
        <f>B48/B47-1</f>
        <v/>
      </c>
      <c r="D48" s="66">
        <f>(Table18[[#This Row],[Index]]-B36)/B36</f>
        <v/>
      </c>
    </row>
    <row r="49">
      <c r="A49" s="17" t="n">
        <v>27576</v>
      </c>
      <c r="B49" s="58">
        <f>VLOOKUP(Table18[[#This Row],[Date]],database!A:G,5,)</f>
        <v/>
      </c>
      <c r="C49" s="66">
        <f>B49/B48-1</f>
        <v/>
      </c>
      <c r="D49" s="66">
        <f>(Table18[[#This Row],[Index]]-B37)/B37</f>
        <v/>
      </c>
    </row>
    <row r="50">
      <c r="A50" s="17" t="n">
        <v>27607</v>
      </c>
      <c r="B50" s="58">
        <f>VLOOKUP(Table18[[#This Row],[Date]],database!A:G,5,)</f>
        <v/>
      </c>
      <c r="C50" s="66">
        <f>B50/B49-1</f>
        <v/>
      </c>
      <c r="D50" s="66">
        <f>(Table18[[#This Row],[Index]]-B38)/B38</f>
        <v/>
      </c>
    </row>
    <row r="51">
      <c r="A51" s="17" t="n">
        <v>27638</v>
      </c>
      <c r="B51" s="58">
        <f>VLOOKUP(Table18[[#This Row],[Date]],database!A:G,5,)</f>
        <v/>
      </c>
      <c r="C51" s="66">
        <f>B51/B50-1</f>
        <v/>
      </c>
      <c r="D51" s="66">
        <f>(Table18[[#This Row],[Index]]-B39)/B39</f>
        <v/>
      </c>
    </row>
    <row r="52">
      <c r="A52" s="17" t="n">
        <v>27668</v>
      </c>
      <c r="B52" s="58">
        <f>VLOOKUP(Table18[[#This Row],[Date]],database!A:G,5,)</f>
        <v/>
      </c>
      <c r="C52" s="66">
        <f>B52/B51-1</f>
        <v/>
      </c>
      <c r="D52" s="66">
        <f>(Table18[[#This Row],[Index]]-B40)/B40</f>
        <v/>
      </c>
    </row>
    <row r="53">
      <c r="A53" s="17" t="n">
        <v>27699</v>
      </c>
      <c r="B53" s="58">
        <f>VLOOKUP(Table18[[#This Row],[Date]],database!A:G,5,)</f>
        <v/>
      </c>
      <c r="C53" s="66">
        <f>B53/B52-1</f>
        <v/>
      </c>
      <c r="D53" s="66">
        <f>(Table18[[#This Row],[Index]]-B41)/B41</f>
        <v/>
      </c>
    </row>
    <row r="54">
      <c r="A54" s="17" t="n">
        <v>27729</v>
      </c>
      <c r="B54" s="58">
        <f>VLOOKUP(Table18[[#This Row],[Date]],database!A:G,5,)</f>
        <v/>
      </c>
      <c r="C54" s="66">
        <f>B54/B53-1</f>
        <v/>
      </c>
      <c r="D54" s="66">
        <f>(Table18[[#This Row],[Index]]-B42)/B42</f>
        <v/>
      </c>
    </row>
    <row r="55">
      <c r="A55" s="17" t="n">
        <v>27760</v>
      </c>
      <c r="B55" s="58">
        <f>VLOOKUP(Table18[[#This Row],[Date]],database!A:G,5,)</f>
        <v/>
      </c>
      <c r="C55" s="66">
        <f>B55/B54-1</f>
        <v/>
      </c>
      <c r="D55" s="66">
        <f>(Table18[[#This Row],[Index]]-B43)/B43</f>
        <v/>
      </c>
    </row>
    <row r="56">
      <c r="A56" s="17" t="n">
        <v>27791</v>
      </c>
      <c r="B56" s="58">
        <f>VLOOKUP(Table18[[#This Row],[Date]],database!A:G,5,)</f>
        <v/>
      </c>
      <c r="C56" s="66">
        <f>B56/B55-1</f>
        <v/>
      </c>
      <c r="D56" s="66">
        <f>(Table18[[#This Row],[Index]]-B44)/B44</f>
        <v/>
      </c>
    </row>
    <row r="57">
      <c r="A57" s="17" t="n">
        <v>27820</v>
      </c>
      <c r="B57" s="58">
        <f>VLOOKUP(Table18[[#This Row],[Date]],database!A:G,5,)</f>
        <v/>
      </c>
      <c r="C57" s="66">
        <f>B57/B56-1</f>
        <v/>
      </c>
      <c r="D57" s="66">
        <f>(Table18[[#This Row],[Index]]-B45)/B45</f>
        <v/>
      </c>
    </row>
    <row r="58">
      <c r="A58" s="17" t="n">
        <v>27851</v>
      </c>
      <c r="B58" s="58">
        <f>VLOOKUP(Table18[[#This Row],[Date]],database!A:G,5,)</f>
        <v/>
      </c>
      <c r="C58" s="66">
        <f>B58/B57-1</f>
        <v/>
      </c>
      <c r="D58" s="66">
        <f>(Table18[[#This Row],[Index]]-B46)/B46</f>
        <v/>
      </c>
    </row>
    <row r="59">
      <c r="A59" s="17" t="n">
        <v>27881</v>
      </c>
      <c r="B59" s="58">
        <f>VLOOKUP(Table18[[#This Row],[Date]],database!A:G,5,)</f>
        <v/>
      </c>
      <c r="C59" s="66">
        <f>B59/B58-1</f>
        <v/>
      </c>
      <c r="D59" s="66">
        <f>(Table18[[#This Row],[Index]]-B47)/B47</f>
        <v/>
      </c>
    </row>
    <row r="60">
      <c r="A60" s="17" t="n">
        <v>27912</v>
      </c>
      <c r="B60" s="58">
        <f>VLOOKUP(Table18[[#This Row],[Date]],database!A:G,5,)</f>
        <v/>
      </c>
      <c r="C60" s="66">
        <f>B60/B59-1</f>
        <v/>
      </c>
      <c r="D60" s="66">
        <f>(Table18[[#This Row],[Index]]-B48)/B48</f>
        <v/>
      </c>
    </row>
    <row r="61">
      <c r="A61" s="17" t="n">
        <v>27942</v>
      </c>
      <c r="B61" s="58">
        <f>VLOOKUP(Table18[[#This Row],[Date]],database!A:G,5,)</f>
        <v/>
      </c>
      <c r="C61" s="66">
        <f>B61/B60-1</f>
        <v/>
      </c>
      <c r="D61" s="66">
        <f>(Table18[[#This Row],[Index]]-B49)/B49</f>
        <v/>
      </c>
    </row>
    <row r="62">
      <c r="A62" s="17" t="n">
        <v>27973</v>
      </c>
      <c r="B62" s="58">
        <f>VLOOKUP(Table18[[#This Row],[Date]],database!A:G,5,)</f>
        <v/>
      </c>
      <c r="C62" s="66">
        <f>B62/B61-1</f>
        <v/>
      </c>
      <c r="D62" s="66">
        <f>(Table18[[#This Row],[Index]]-B50)/B50</f>
        <v/>
      </c>
    </row>
    <row r="63">
      <c r="A63" s="17" t="n">
        <v>28004</v>
      </c>
      <c r="B63" s="58">
        <f>VLOOKUP(Table18[[#This Row],[Date]],database!A:G,5,)</f>
        <v/>
      </c>
      <c r="C63" s="66">
        <f>B63/B62-1</f>
        <v/>
      </c>
      <c r="D63" s="66">
        <f>(Table18[[#This Row],[Index]]-B51)/B51</f>
        <v/>
      </c>
    </row>
    <row r="64">
      <c r="A64" s="17" t="n">
        <v>28034</v>
      </c>
      <c r="B64" s="58">
        <f>VLOOKUP(Table18[[#This Row],[Date]],database!A:G,5,)</f>
        <v/>
      </c>
      <c r="C64" s="66">
        <f>B64/B63-1</f>
        <v/>
      </c>
      <c r="D64" s="66">
        <f>(Table18[[#This Row],[Index]]-B52)/B52</f>
        <v/>
      </c>
    </row>
    <row r="65">
      <c r="A65" s="17" t="n">
        <v>28065</v>
      </c>
      <c r="B65" s="58">
        <f>VLOOKUP(Table18[[#This Row],[Date]],database!A:G,5,)</f>
        <v/>
      </c>
      <c r="C65" s="66">
        <f>B65/B64-1</f>
        <v/>
      </c>
      <c r="D65" s="66">
        <f>(Table18[[#This Row],[Index]]-B53)/B53</f>
        <v/>
      </c>
    </row>
    <row r="66">
      <c r="A66" s="17" t="n">
        <v>28095</v>
      </c>
      <c r="B66" s="58">
        <f>VLOOKUP(Table18[[#This Row],[Date]],database!A:G,5,)</f>
        <v/>
      </c>
      <c r="C66" s="66">
        <f>B66/B65-1</f>
        <v/>
      </c>
      <c r="D66" s="66">
        <f>(Table18[[#This Row],[Index]]-B54)/B54</f>
        <v/>
      </c>
    </row>
    <row r="67">
      <c r="A67" s="17" t="n">
        <v>28126</v>
      </c>
      <c r="B67" s="58">
        <f>VLOOKUP(Table18[[#This Row],[Date]],database!A:G,5,)</f>
        <v/>
      </c>
      <c r="C67" s="66">
        <f>B67/B66-1</f>
        <v/>
      </c>
      <c r="D67" s="66">
        <f>(Table18[[#This Row],[Index]]-B55)/B55</f>
        <v/>
      </c>
    </row>
    <row r="68">
      <c r="A68" s="17" t="n">
        <v>28157</v>
      </c>
      <c r="B68" s="58">
        <f>VLOOKUP(Table18[[#This Row],[Date]],database!A:G,5,)</f>
        <v/>
      </c>
      <c r="C68" s="66">
        <f>B68/B67-1</f>
        <v/>
      </c>
      <c r="D68" s="66">
        <f>(Table18[[#This Row],[Index]]-B56)/B56</f>
        <v/>
      </c>
    </row>
    <row r="69">
      <c r="A69" s="17" t="n">
        <v>28185</v>
      </c>
      <c r="B69" s="58">
        <f>VLOOKUP(Table18[[#This Row],[Date]],database!A:G,5,)</f>
        <v/>
      </c>
      <c r="C69" s="66">
        <f>B69/B68-1</f>
        <v/>
      </c>
      <c r="D69" s="66">
        <f>(Table18[[#This Row],[Index]]-B57)/B57</f>
        <v/>
      </c>
    </row>
    <row r="70">
      <c r="A70" s="17" t="n">
        <v>28216</v>
      </c>
      <c r="B70" s="58">
        <f>VLOOKUP(Table18[[#This Row],[Date]],database!A:G,5,)</f>
        <v/>
      </c>
      <c r="C70" s="66">
        <f>B70/B69-1</f>
        <v/>
      </c>
      <c r="D70" s="66">
        <f>(Table18[[#This Row],[Index]]-B58)/B58</f>
        <v/>
      </c>
    </row>
    <row r="71">
      <c r="A71" s="17" t="n">
        <v>28246</v>
      </c>
      <c r="B71" s="58">
        <f>VLOOKUP(Table18[[#This Row],[Date]],database!A:G,5,)</f>
        <v/>
      </c>
      <c r="C71" s="66">
        <f>B71/B70-1</f>
        <v/>
      </c>
      <c r="D71" s="66">
        <f>(Table18[[#This Row],[Index]]-B59)/B59</f>
        <v/>
      </c>
    </row>
    <row r="72">
      <c r="A72" s="17" t="n">
        <v>28277</v>
      </c>
      <c r="B72" s="58">
        <f>VLOOKUP(Table18[[#This Row],[Date]],database!A:G,5,)</f>
        <v/>
      </c>
      <c r="C72" s="66">
        <f>B72/B71-1</f>
        <v/>
      </c>
      <c r="D72" s="66">
        <f>(Table18[[#This Row],[Index]]-B60)/B60</f>
        <v/>
      </c>
    </row>
    <row r="73">
      <c r="A73" s="17" t="n">
        <v>28307</v>
      </c>
      <c r="B73" s="58">
        <f>VLOOKUP(Table18[[#This Row],[Date]],database!A:G,5,)</f>
        <v/>
      </c>
      <c r="C73" s="66">
        <f>B73/B72-1</f>
        <v/>
      </c>
      <c r="D73" s="66">
        <f>(Table18[[#This Row],[Index]]-B61)/B61</f>
        <v/>
      </c>
    </row>
    <row r="74">
      <c r="A74" s="17" t="n">
        <v>28338</v>
      </c>
      <c r="B74" s="58">
        <f>VLOOKUP(Table18[[#This Row],[Date]],database!A:G,5,)</f>
        <v/>
      </c>
      <c r="C74" s="66">
        <f>B74/B73-1</f>
        <v/>
      </c>
      <c r="D74" s="66">
        <f>(Table18[[#This Row],[Index]]-B62)/B62</f>
        <v/>
      </c>
    </row>
    <row r="75">
      <c r="A75" s="17" t="n">
        <v>28369</v>
      </c>
      <c r="B75" s="58">
        <f>VLOOKUP(Table18[[#This Row],[Date]],database!A:G,5,)</f>
        <v/>
      </c>
      <c r="C75" s="66">
        <f>B75/B74-1</f>
        <v/>
      </c>
      <c r="D75" s="66">
        <f>(Table18[[#This Row],[Index]]-B63)/B63</f>
        <v/>
      </c>
    </row>
    <row r="76">
      <c r="A76" s="17" t="n">
        <v>28399</v>
      </c>
      <c r="B76" s="58">
        <f>VLOOKUP(Table18[[#This Row],[Date]],database!A:G,5,)</f>
        <v/>
      </c>
      <c r="C76" s="66">
        <f>B76/B75-1</f>
        <v/>
      </c>
      <c r="D76" s="66">
        <f>(Table18[[#This Row],[Index]]-B64)/B64</f>
        <v/>
      </c>
    </row>
    <row r="77">
      <c r="A77" s="17" t="n">
        <v>28430</v>
      </c>
      <c r="B77" s="58">
        <f>VLOOKUP(Table18[[#This Row],[Date]],database!A:G,5,)</f>
        <v/>
      </c>
      <c r="C77" s="66">
        <f>B77/B76-1</f>
        <v/>
      </c>
      <c r="D77" s="66">
        <f>(Table18[[#This Row],[Index]]-B65)/B65</f>
        <v/>
      </c>
    </row>
    <row r="78">
      <c r="A78" s="17" t="n">
        <v>28460</v>
      </c>
      <c r="B78" s="58">
        <f>VLOOKUP(Table18[[#This Row],[Date]],database!A:G,5,)</f>
        <v/>
      </c>
      <c r="C78" s="66">
        <f>B78/B77-1</f>
        <v/>
      </c>
      <c r="D78" s="66">
        <f>(Table18[[#This Row],[Index]]-B66)/B66</f>
        <v/>
      </c>
    </row>
    <row r="79">
      <c r="A79" s="17" t="n">
        <v>28491</v>
      </c>
      <c r="B79" s="58">
        <f>VLOOKUP(Table18[[#This Row],[Date]],database!A:G,5,)</f>
        <v/>
      </c>
      <c r="C79" s="66">
        <f>B79/B78-1</f>
        <v/>
      </c>
      <c r="D79" s="66">
        <f>(Table18[[#This Row],[Index]]-B67)/B67</f>
        <v/>
      </c>
    </row>
    <row r="80">
      <c r="A80" s="17" t="n">
        <v>28522</v>
      </c>
      <c r="B80" s="58">
        <f>VLOOKUP(Table18[[#This Row],[Date]],database!A:G,5,)</f>
        <v/>
      </c>
      <c r="C80" s="66">
        <f>B80/B79-1</f>
        <v/>
      </c>
      <c r="D80" s="66">
        <f>(Table18[[#This Row],[Index]]-B68)/B68</f>
        <v/>
      </c>
    </row>
    <row r="81">
      <c r="A81" s="17" t="n">
        <v>28550</v>
      </c>
      <c r="B81" s="58">
        <f>VLOOKUP(Table18[[#This Row],[Date]],database!A:G,5,)</f>
        <v/>
      </c>
      <c r="C81" s="66">
        <f>B81/B80-1</f>
        <v/>
      </c>
      <c r="D81" s="66">
        <f>(Table18[[#This Row],[Index]]-B69)/B69</f>
        <v/>
      </c>
    </row>
    <row r="82">
      <c r="A82" s="17" t="n">
        <v>28581</v>
      </c>
      <c r="B82" s="58">
        <f>VLOOKUP(Table18[[#This Row],[Date]],database!A:G,5,)</f>
        <v/>
      </c>
      <c r="C82" s="66">
        <f>B82/B81-1</f>
        <v/>
      </c>
      <c r="D82" s="66">
        <f>(Table18[[#This Row],[Index]]-B70)/B70</f>
        <v/>
      </c>
    </row>
    <row r="83">
      <c r="A83" s="17" t="n">
        <v>28611</v>
      </c>
      <c r="B83" s="58">
        <f>VLOOKUP(Table18[[#This Row],[Date]],database!A:G,5,)</f>
        <v/>
      </c>
      <c r="C83" s="66">
        <f>B83/B82-1</f>
        <v/>
      </c>
      <c r="D83" s="66">
        <f>(Table18[[#This Row],[Index]]-B71)/B71</f>
        <v/>
      </c>
    </row>
    <row r="84">
      <c r="A84" s="17" t="n">
        <v>28642</v>
      </c>
      <c r="B84" s="58">
        <f>VLOOKUP(Table18[[#This Row],[Date]],database!A:G,5,)</f>
        <v/>
      </c>
      <c r="C84" s="66">
        <f>B84/B83-1</f>
        <v/>
      </c>
      <c r="D84" s="66">
        <f>(Table18[[#This Row],[Index]]-B72)/B72</f>
        <v/>
      </c>
    </row>
    <row r="85">
      <c r="A85" s="17" t="n">
        <v>28672</v>
      </c>
      <c r="B85" s="58">
        <f>VLOOKUP(Table18[[#This Row],[Date]],database!A:G,5,)</f>
        <v/>
      </c>
      <c r="C85" s="66">
        <f>B85/B84-1</f>
        <v/>
      </c>
      <c r="D85" s="66">
        <f>(Table18[[#This Row],[Index]]-B73)/B73</f>
        <v/>
      </c>
    </row>
    <row r="86">
      <c r="A86" s="17" t="n">
        <v>28703</v>
      </c>
      <c r="B86" s="58">
        <f>VLOOKUP(Table18[[#This Row],[Date]],database!A:G,5,)</f>
        <v/>
      </c>
      <c r="C86" s="66">
        <f>B86/B85-1</f>
        <v/>
      </c>
      <c r="D86" s="66">
        <f>(Table18[[#This Row],[Index]]-B74)/B74</f>
        <v/>
      </c>
    </row>
    <row r="87">
      <c r="A87" s="17" t="n">
        <v>28734</v>
      </c>
      <c r="B87" s="58">
        <f>VLOOKUP(Table18[[#This Row],[Date]],database!A:G,5,)</f>
        <v/>
      </c>
      <c r="C87" s="66">
        <f>B87/B86-1</f>
        <v/>
      </c>
      <c r="D87" s="66">
        <f>(Table18[[#This Row],[Index]]-B75)/B75</f>
        <v/>
      </c>
    </row>
    <row r="88">
      <c r="A88" s="17" t="n">
        <v>28764</v>
      </c>
      <c r="B88" s="58">
        <f>VLOOKUP(Table18[[#This Row],[Date]],database!A:G,5,)</f>
        <v/>
      </c>
      <c r="C88" s="66">
        <f>B88/B87-1</f>
        <v/>
      </c>
      <c r="D88" s="66">
        <f>(Table18[[#This Row],[Index]]-B76)/B76</f>
        <v/>
      </c>
    </row>
    <row r="89">
      <c r="A89" s="17" t="n">
        <v>28795</v>
      </c>
      <c r="B89" s="58">
        <f>VLOOKUP(Table18[[#This Row],[Date]],database!A:G,5,)</f>
        <v/>
      </c>
      <c r="C89" s="66">
        <f>B89/B88-1</f>
        <v/>
      </c>
      <c r="D89" s="66">
        <f>(Table18[[#This Row],[Index]]-B77)/B77</f>
        <v/>
      </c>
    </row>
    <row r="90">
      <c r="A90" s="17" t="n">
        <v>28825</v>
      </c>
      <c r="B90" s="58">
        <f>VLOOKUP(Table18[[#This Row],[Date]],database!A:G,5,)</f>
        <v/>
      </c>
      <c r="C90" s="66">
        <f>B90/B89-1</f>
        <v/>
      </c>
      <c r="D90" s="66">
        <f>(Table18[[#This Row],[Index]]-B78)/B78</f>
        <v/>
      </c>
    </row>
    <row r="91">
      <c r="A91" s="17" t="n">
        <v>28856</v>
      </c>
      <c r="B91" s="58">
        <f>VLOOKUP(Table18[[#This Row],[Date]],database!A:G,5,)</f>
        <v/>
      </c>
      <c r="C91" s="66">
        <f>B91/B90-1</f>
        <v/>
      </c>
      <c r="D91" s="66">
        <f>(Table18[[#This Row],[Index]]-B79)/B79</f>
        <v/>
      </c>
    </row>
    <row r="92">
      <c r="A92" s="17" t="n">
        <v>28887</v>
      </c>
      <c r="B92" s="58">
        <f>VLOOKUP(Table18[[#This Row],[Date]],database!A:G,5,)</f>
        <v/>
      </c>
      <c r="C92" s="66">
        <f>B92/B91-1</f>
        <v/>
      </c>
      <c r="D92" s="66">
        <f>(Table18[[#This Row],[Index]]-B80)/B80</f>
        <v/>
      </c>
    </row>
    <row r="93">
      <c r="A93" s="17" t="n">
        <v>28915</v>
      </c>
      <c r="B93" s="58">
        <f>VLOOKUP(Table18[[#This Row],[Date]],database!A:G,5,)</f>
        <v/>
      </c>
      <c r="C93" s="66">
        <f>B93/B92-1</f>
        <v/>
      </c>
      <c r="D93" s="66">
        <f>(Table18[[#This Row],[Index]]-B81)/B81</f>
        <v/>
      </c>
    </row>
    <row r="94">
      <c r="A94" s="17" t="n">
        <v>28946</v>
      </c>
      <c r="B94" s="58">
        <f>VLOOKUP(Table18[[#This Row],[Date]],database!A:G,5,)</f>
        <v/>
      </c>
      <c r="C94" s="66">
        <f>B94/B93-1</f>
        <v/>
      </c>
      <c r="D94" s="66">
        <f>(Table18[[#This Row],[Index]]-B82)/B82</f>
        <v/>
      </c>
    </row>
    <row r="95">
      <c r="A95" s="17" t="n">
        <v>28976</v>
      </c>
      <c r="B95" s="58">
        <f>VLOOKUP(Table18[[#This Row],[Date]],database!A:G,5,)</f>
        <v/>
      </c>
      <c r="C95" s="66">
        <f>B95/B94-1</f>
        <v/>
      </c>
      <c r="D95" s="66">
        <f>(Table18[[#This Row],[Index]]-B83)/B83</f>
        <v/>
      </c>
    </row>
    <row r="96">
      <c r="A96" s="17" t="n">
        <v>29007</v>
      </c>
      <c r="B96" s="58">
        <f>VLOOKUP(Table18[[#This Row],[Date]],database!A:G,5,)</f>
        <v/>
      </c>
      <c r="C96" s="66">
        <f>B96/B95-1</f>
        <v/>
      </c>
      <c r="D96" s="66">
        <f>(Table18[[#This Row],[Index]]-B84)/B84</f>
        <v/>
      </c>
    </row>
    <row r="97">
      <c r="A97" s="17" t="n">
        <v>29037</v>
      </c>
      <c r="B97" s="58">
        <f>VLOOKUP(Table18[[#This Row],[Date]],database!A:G,5,)</f>
        <v/>
      </c>
      <c r="C97" s="66">
        <f>B97/B96-1</f>
        <v/>
      </c>
      <c r="D97" s="66">
        <f>(Table18[[#This Row],[Index]]-B85)/B85</f>
        <v/>
      </c>
    </row>
    <row r="98">
      <c r="A98" s="17" t="n">
        <v>29068</v>
      </c>
      <c r="B98" s="58">
        <f>VLOOKUP(Table18[[#This Row],[Date]],database!A:G,5,)</f>
        <v/>
      </c>
      <c r="C98" s="66">
        <f>B98/B97-1</f>
        <v/>
      </c>
      <c r="D98" s="66">
        <f>(Table18[[#This Row],[Index]]-B86)/B86</f>
        <v/>
      </c>
    </row>
    <row r="99">
      <c r="A99" s="17" t="n">
        <v>29099</v>
      </c>
      <c r="B99" s="58">
        <f>VLOOKUP(Table18[[#This Row],[Date]],database!A:G,5,)</f>
        <v/>
      </c>
      <c r="C99" s="66">
        <f>B99/B98-1</f>
        <v/>
      </c>
      <c r="D99" s="66">
        <f>(Table18[[#This Row],[Index]]-B87)/B87</f>
        <v/>
      </c>
    </row>
    <row r="100">
      <c r="A100" s="17" t="n">
        <v>29129</v>
      </c>
      <c r="B100" s="58">
        <f>VLOOKUP(Table18[[#This Row],[Date]],database!A:G,5,)</f>
        <v/>
      </c>
      <c r="C100" s="66">
        <f>B100/B99-1</f>
        <v/>
      </c>
      <c r="D100" s="66">
        <f>(Table18[[#This Row],[Index]]-B88)/B88</f>
        <v/>
      </c>
    </row>
    <row r="101">
      <c r="A101" s="17" t="n">
        <v>29160</v>
      </c>
      <c r="B101" s="58">
        <f>VLOOKUP(Table18[[#This Row],[Date]],database!A:G,5,)</f>
        <v/>
      </c>
      <c r="C101" s="66">
        <f>B101/B100-1</f>
        <v/>
      </c>
      <c r="D101" s="66">
        <f>(Table18[[#This Row],[Index]]-B89)/B89</f>
        <v/>
      </c>
    </row>
    <row r="102">
      <c r="A102" s="17" t="n">
        <v>29190</v>
      </c>
      <c r="B102" s="58">
        <f>VLOOKUP(Table18[[#This Row],[Date]],database!A:G,5,)</f>
        <v/>
      </c>
      <c r="C102" s="66">
        <f>B102/B101-1</f>
        <v/>
      </c>
      <c r="D102" s="66">
        <f>(Table18[[#This Row],[Index]]-B90)/B90</f>
        <v/>
      </c>
    </row>
    <row r="103">
      <c r="A103" s="17" t="n">
        <v>29221</v>
      </c>
      <c r="B103" s="58">
        <f>VLOOKUP(Table18[[#This Row],[Date]],database!A:G,5,)</f>
        <v/>
      </c>
      <c r="C103" s="66">
        <f>B103/B102-1</f>
        <v/>
      </c>
      <c r="D103" s="66">
        <f>(Table18[[#This Row],[Index]]-B91)/B91</f>
        <v/>
      </c>
    </row>
    <row r="104">
      <c r="A104" s="17" t="n">
        <v>29252</v>
      </c>
      <c r="B104" s="58">
        <f>VLOOKUP(Table18[[#This Row],[Date]],database!A:G,5,)</f>
        <v/>
      </c>
      <c r="C104" s="66">
        <f>B104/B103-1</f>
        <v/>
      </c>
      <c r="D104" s="66">
        <f>(Table18[[#This Row],[Index]]-B92)/B92</f>
        <v/>
      </c>
    </row>
    <row r="105">
      <c r="A105" s="17" t="n">
        <v>29281</v>
      </c>
      <c r="B105" s="58">
        <f>VLOOKUP(Table18[[#This Row],[Date]],database!A:G,5,)</f>
        <v/>
      </c>
      <c r="C105" s="66">
        <f>B105/B104-1</f>
        <v/>
      </c>
      <c r="D105" s="66">
        <f>(Table18[[#This Row],[Index]]-B93)/B93</f>
        <v/>
      </c>
    </row>
    <row r="106">
      <c r="A106" s="17" t="n">
        <v>29312</v>
      </c>
      <c r="B106" s="58">
        <f>VLOOKUP(Table18[[#This Row],[Date]],database!A:G,5,)</f>
        <v/>
      </c>
      <c r="C106" s="66">
        <f>B106/B105-1</f>
        <v/>
      </c>
      <c r="D106" s="66">
        <f>(Table18[[#This Row],[Index]]-B94)/B94</f>
        <v/>
      </c>
    </row>
    <row r="107">
      <c r="A107" s="17" t="n">
        <v>29342</v>
      </c>
      <c r="B107" s="58">
        <f>VLOOKUP(Table18[[#This Row],[Date]],database!A:G,5,)</f>
        <v/>
      </c>
      <c r="C107" s="66">
        <f>B107/B106-1</f>
        <v/>
      </c>
      <c r="D107" s="66">
        <f>(Table18[[#This Row],[Index]]-B95)/B95</f>
        <v/>
      </c>
    </row>
    <row r="108">
      <c r="A108" s="17" t="n">
        <v>29373</v>
      </c>
      <c r="B108" s="58">
        <f>VLOOKUP(Table18[[#This Row],[Date]],database!A:G,5,)</f>
        <v/>
      </c>
      <c r="C108" s="66">
        <f>B108/B107-1</f>
        <v/>
      </c>
      <c r="D108" s="66">
        <f>(Table18[[#This Row],[Index]]-B96)/B96</f>
        <v/>
      </c>
    </row>
    <row r="109">
      <c r="A109" s="17" t="n">
        <v>29403</v>
      </c>
      <c r="B109" s="58">
        <f>VLOOKUP(Table18[[#This Row],[Date]],database!A:G,5,)</f>
        <v/>
      </c>
      <c r="C109" s="66">
        <f>B109/B108-1</f>
        <v/>
      </c>
      <c r="D109" s="66">
        <f>(Table18[[#This Row],[Index]]-B97)/B97</f>
        <v/>
      </c>
    </row>
    <row r="110">
      <c r="A110" s="17" t="n">
        <v>29434</v>
      </c>
      <c r="B110" s="58">
        <f>VLOOKUP(Table18[[#This Row],[Date]],database!A:G,5,)</f>
        <v/>
      </c>
      <c r="C110" s="66">
        <f>B110/B109-1</f>
        <v/>
      </c>
      <c r="D110" s="66">
        <f>(Table18[[#This Row],[Index]]-B98)/B98</f>
        <v/>
      </c>
    </row>
    <row r="111">
      <c r="A111" s="17" t="n">
        <v>29465</v>
      </c>
      <c r="B111" s="58">
        <f>VLOOKUP(Table18[[#This Row],[Date]],database!A:G,5,)</f>
        <v/>
      </c>
      <c r="C111" s="66">
        <f>B111/B110-1</f>
        <v/>
      </c>
      <c r="D111" s="66">
        <f>(Table18[[#This Row],[Index]]-B99)/B99</f>
        <v/>
      </c>
    </row>
    <row r="112">
      <c r="A112" s="17" t="n">
        <v>29495</v>
      </c>
      <c r="B112" s="58">
        <f>VLOOKUP(Table18[[#This Row],[Date]],database!A:G,5,)</f>
        <v/>
      </c>
      <c r="C112" s="66">
        <f>B112/B111-1</f>
        <v/>
      </c>
      <c r="D112" s="66">
        <f>(Table18[[#This Row],[Index]]-B100)/B100</f>
        <v/>
      </c>
    </row>
    <row r="113">
      <c r="A113" s="17" t="n">
        <v>29526</v>
      </c>
      <c r="B113" s="58">
        <f>VLOOKUP(Table18[[#This Row],[Date]],database!A:G,5,)</f>
        <v/>
      </c>
      <c r="C113" s="66">
        <f>B113/B112-1</f>
        <v/>
      </c>
      <c r="D113" s="66">
        <f>(Table18[[#This Row],[Index]]-B101)/B101</f>
        <v/>
      </c>
    </row>
    <row r="114">
      <c r="A114" s="17" t="n">
        <v>29556</v>
      </c>
      <c r="B114" s="58">
        <f>VLOOKUP(Table18[[#This Row],[Date]],database!A:G,5,)</f>
        <v/>
      </c>
      <c r="C114" s="66">
        <f>B114/B113-1</f>
        <v/>
      </c>
      <c r="D114" s="66">
        <f>(Table18[[#This Row],[Index]]-B102)/B102</f>
        <v/>
      </c>
    </row>
    <row r="115">
      <c r="A115" s="17" t="n">
        <v>29587</v>
      </c>
      <c r="B115" s="58">
        <f>VLOOKUP(Table18[[#This Row],[Date]],database!A:G,5,)</f>
        <v/>
      </c>
      <c r="C115" s="66">
        <f>B115/B114-1</f>
        <v/>
      </c>
      <c r="D115" s="66">
        <f>(Table18[[#This Row],[Index]]-B103)/B103</f>
        <v/>
      </c>
    </row>
    <row r="116">
      <c r="A116" s="17" t="n">
        <v>29618</v>
      </c>
      <c r="B116" s="58">
        <f>VLOOKUP(Table18[[#This Row],[Date]],database!A:G,5,)</f>
        <v/>
      </c>
      <c r="C116" s="66">
        <f>B116/B115-1</f>
        <v/>
      </c>
      <c r="D116" s="66">
        <f>(Table18[[#This Row],[Index]]-B104)/B104</f>
        <v/>
      </c>
    </row>
    <row r="117">
      <c r="A117" s="17" t="n">
        <v>29646</v>
      </c>
      <c r="B117" s="58">
        <f>VLOOKUP(Table18[[#This Row],[Date]],database!A:G,5,)</f>
        <v/>
      </c>
      <c r="C117" s="66">
        <f>B117/B116-1</f>
        <v/>
      </c>
      <c r="D117" s="66">
        <f>(Table18[[#This Row],[Index]]-B105)/B105</f>
        <v/>
      </c>
    </row>
    <row r="118">
      <c r="A118" s="17" t="n">
        <v>29677</v>
      </c>
      <c r="B118" s="58">
        <f>VLOOKUP(Table18[[#This Row],[Date]],database!A:G,5,)</f>
        <v/>
      </c>
      <c r="C118" s="66">
        <f>B118/B117-1</f>
        <v/>
      </c>
      <c r="D118" s="66">
        <f>(Table18[[#This Row],[Index]]-B106)/B106</f>
        <v/>
      </c>
    </row>
    <row r="119">
      <c r="A119" s="17" t="n">
        <v>29707</v>
      </c>
      <c r="B119" s="58">
        <f>VLOOKUP(Table18[[#This Row],[Date]],database!A:G,5,)</f>
        <v/>
      </c>
      <c r="C119" s="66">
        <f>B119/B118-1</f>
        <v/>
      </c>
      <c r="D119" s="66">
        <f>(Table18[[#This Row],[Index]]-B107)/B107</f>
        <v/>
      </c>
    </row>
    <row r="120">
      <c r="A120" s="17" t="n">
        <v>29738</v>
      </c>
      <c r="B120" s="58">
        <f>VLOOKUP(Table18[[#This Row],[Date]],database!A:G,5,)</f>
        <v/>
      </c>
      <c r="C120" s="66">
        <f>B120/B119-1</f>
        <v/>
      </c>
      <c r="D120" s="66">
        <f>(Table18[[#This Row],[Index]]-B108)/B108</f>
        <v/>
      </c>
    </row>
    <row r="121">
      <c r="A121" s="17" t="n">
        <v>29768</v>
      </c>
      <c r="B121" s="58">
        <f>VLOOKUP(Table18[[#This Row],[Date]],database!A:G,5,)</f>
        <v/>
      </c>
      <c r="C121" s="66">
        <f>B121/B120-1</f>
        <v/>
      </c>
      <c r="D121" s="66">
        <f>(Table18[[#This Row],[Index]]-B109)/B109</f>
        <v/>
      </c>
    </row>
    <row r="122">
      <c r="A122" s="17" t="n">
        <v>29799</v>
      </c>
      <c r="B122" s="58">
        <f>VLOOKUP(Table18[[#This Row],[Date]],database!A:G,5,)</f>
        <v/>
      </c>
      <c r="C122" s="66">
        <f>B122/B121-1</f>
        <v/>
      </c>
      <c r="D122" s="66">
        <f>(Table18[[#This Row],[Index]]-B110)/B110</f>
        <v/>
      </c>
    </row>
    <row r="123">
      <c r="A123" s="17" t="n">
        <v>29830</v>
      </c>
      <c r="B123" s="58">
        <f>VLOOKUP(Table18[[#This Row],[Date]],database!A:G,5,)</f>
        <v/>
      </c>
      <c r="C123" s="66">
        <f>B123/B122-1</f>
        <v/>
      </c>
      <c r="D123" s="66">
        <f>(Table18[[#This Row],[Index]]-B111)/B111</f>
        <v/>
      </c>
    </row>
    <row r="124">
      <c r="A124" s="17" t="n">
        <v>29860</v>
      </c>
      <c r="B124" s="58">
        <f>VLOOKUP(Table18[[#This Row],[Date]],database!A:G,5,)</f>
        <v/>
      </c>
      <c r="C124" s="66">
        <f>B124/B123-1</f>
        <v/>
      </c>
      <c r="D124" s="66">
        <f>(Table18[[#This Row],[Index]]-B112)/B112</f>
        <v/>
      </c>
    </row>
    <row r="125">
      <c r="A125" s="17" t="n">
        <v>29891</v>
      </c>
      <c r="B125" s="58">
        <f>VLOOKUP(Table18[[#This Row],[Date]],database!A:G,5,)</f>
        <v/>
      </c>
      <c r="C125" s="66">
        <f>B125/B124-1</f>
        <v/>
      </c>
      <c r="D125" s="66">
        <f>(Table18[[#This Row],[Index]]-B113)/B113</f>
        <v/>
      </c>
    </row>
    <row r="126">
      <c r="A126" s="17" t="n">
        <v>29921</v>
      </c>
      <c r="B126" s="58">
        <f>VLOOKUP(Table18[[#This Row],[Date]],database!A:G,5,)</f>
        <v/>
      </c>
      <c r="C126" s="66">
        <f>B126/B125-1</f>
        <v/>
      </c>
      <c r="D126" s="66">
        <f>(Table18[[#This Row],[Index]]-B114)/B114</f>
        <v/>
      </c>
    </row>
    <row r="127">
      <c r="A127" s="17" t="n">
        <v>29952</v>
      </c>
      <c r="B127" s="58">
        <f>VLOOKUP(Table18[[#This Row],[Date]],database!A:G,5,)</f>
        <v/>
      </c>
      <c r="C127" s="66">
        <f>B127/B126-1</f>
        <v/>
      </c>
      <c r="D127" s="66">
        <f>(Table18[[#This Row],[Index]]-B115)/B115</f>
        <v/>
      </c>
    </row>
    <row r="128">
      <c r="A128" s="17" t="n">
        <v>29983</v>
      </c>
      <c r="B128" s="58">
        <f>VLOOKUP(Table18[[#This Row],[Date]],database!A:G,5,)</f>
        <v/>
      </c>
      <c r="C128" s="66">
        <f>B128/B127-1</f>
        <v/>
      </c>
      <c r="D128" s="66">
        <f>(Table18[[#This Row],[Index]]-B116)/B116</f>
        <v/>
      </c>
    </row>
    <row r="129">
      <c r="A129" s="17" t="n">
        <v>30011</v>
      </c>
      <c r="B129" s="58">
        <f>VLOOKUP(Table18[[#This Row],[Date]],database!A:G,5,)</f>
        <v/>
      </c>
      <c r="C129" s="66">
        <f>B129/B128-1</f>
        <v/>
      </c>
      <c r="D129" s="66">
        <f>(Table18[[#This Row],[Index]]-B117)/B117</f>
        <v/>
      </c>
    </row>
    <row r="130">
      <c r="A130" s="17" t="n">
        <v>30042</v>
      </c>
      <c r="B130" s="58">
        <f>VLOOKUP(Table18[[#This Row],[Date]],database!A:G,5,)</f>
        <v/>
      </c>
      <c r="C130" s="66">
        <f>B130/B129-1</f>
        <v/>
      </c>
      <c r="D130" s="66">
        <f>(Table18[[#This Row],[Index]]-B118)/B118</f>
        <v/>
      </c>
    </row>
    <row r="131">
      <c r="A131" s="17" t="n">
        <v>30072</v>
      </c>
      <c r="B131" s="58">
        <f>VLOOKUP(Table18[[#This Row],[Date]],database!A:G,5,)</f>
        <v/>
      </c>
      <c r="C131" s="66">
        <f>B131/B130-1</f>
        <v/>
      </c>
      <c r="D131" s="66">
        <f>(Table18[[#This Row],[Index]]-B119)/B119</f>
        <v/>
      </c>
    </row>
    <row r="132">
      <c r="A132" s="17" t="n">
        <v>30103</v>
      </c>
      <c r="B132" s="58">
        <f>VLOOKUP(Table18[[#This Row],[Date]],database!A:G,5,)</f>
        <v/>
      </c>
      <c r="C132" s="66">
        <f>B132/B131-1</f>
        <v/>
      </c>
      <c r="D132" s="66">
        <f>(Table18[[#This Row],[Index]]-B120)/B120</f>
        <v/>
      </c>
    </row>
    <row r="133">
      <c r="A133" s="17" t="n">
        <v>30133</v>
      </c>
      <c r="B133" s="58">
        <f>VLOOKUP(Table18[[#This Row],[Date]],database!A:G,5,)</f>
        <v/>
      </c>
      <c r="C133" s="66">
        <f>B133/B132-1</f>
        <v/>
      </c>
      <c r="D133" s="66">
        <f>(Table18[[#This Row],[Index]]-B121)/B121</f>
        <v/>
      </c>
    </row>
    <row r="134">
      <c r="A134" s="17" t="n">
        <v>30164</v>
      </c>
      <c r="B134" s="58">
        <f>VLOOKUP(Table18[[#This Row],[Date]],database!A:G,5,)</f>
        <v/>
      </c>
      <c r="C134" s="66">
        <f>B134/B133-1</f>
        <v/>
      </c>
      <c r="D134" s="66">
        <f>(Table18[[#This Row],[Index]]-B122)/B122</f>
        <v/>
      </c>
    </row>
    <row r="135">
      <c r="A135" s="17" t="n">
        <v>30195</v>
      </c>
      <c r="B135" s="58">
        <f>VLOOKUP(Table18[[#This Row],[Date]],database!A:G,5,)</f>
        <v/>
      </c>
      <c r="C135" s="66">
        <f>B135/B134-1</f>
        <v/>
      </c>
      <c r="D135" s="66">
        <f>(Table18[[#This Row],[Index]]-B123)/B123</f>
        <v/>
      </c>
    </row>
    <row r="136">
      <c r="A136" s="17" t="n">
        <v>30225</v>
      </c>
      <c r="B136" s="58">
        <f>VLOOKUP(Table18[[#This Row],[Date]],database!A:G,5,)</f>
        <v/>
      </c>
      <c r="C136" s="66">
        <f>B136/B135-1</f>
        <v/>
      </c>
      <c r="D136" s="66">
        <f>(Table18[[#This Row],[Index]]-B124)/B124</f>
        <v/>
      </c>
    </row>
    <row r="137">
      <c r="A137" s="17" t="n">
        <v>30256</v>
      </c>
      <c r="B137" s="58">
        <f>VLOOKUP(Table18[[#This Row],[Date]],database!A:G,5,)</f>
        <v/>
      </c>
      <c r="C137" s="66">
        <f>B137/B136-1</f>
        <v/>
      </c>
      <c r="D137" s="66">
        <f>(Table18[[#This Row],[Index]]-B125)/B125</f>
        <v/>
      </c>
    </row>
    <row r="138">
      <c r="A138" s="17" t="n">
        <v>30286</v>
      </c>
      <c r="B138" s="58">
        <f>VLOOKUP(Table18[[#This Row],[Date]],database!A:G,5,)</f>
        <v/>
      </c>
      <c r="C138" s="66">
        <f>B138/B137-1</f>
        <v/>
      </c>
      <c r="D138" s="66">
        <f>(Table18[[#This Row],[Index]]-B126)/B126</f>
        <v/>
      </c>
    </row>
    <row r="139">
      <c r="A139" s="17" t="n">
        <v>30317</v>
      </c>
      <c r="B139" s="58">
        <f>VLOOKUP(Table18[[#This Row],[Date]],database!A:G,5,)</f>
        <v/>
      </c>
      <c r="C139" s="66">
        <f>B139/B138-1</f>
        <v/>
      </c>
      <c r="D139" s="66">
        <f>(Table18[[#This Row],[Index]]-B127)/B127</f>
        <v/>
      </c>
    </row>
    <row r="140">
      <c r="A140" s="17" t="n">
        <v>30348</v>
      </c>
      <c r="B140" s="58">
        <f>VLOOKUP(Table18[[#This Row],[Date]],database!A:G,5,)</f>
        <v/>
      </c>
      <c r="C140" s="66">
        <f>B140/B139-1</f>
        <v/>
      </c>
      <c r="D140" s="66">
        <f>(Table18[[#This Row],[Index]]-B128)/B128</f>
        <v/>
      </c>
    </row>
    <row r="141">
      <c r="A141" s="17" t="n">
        <v>30376</v>
      </c>
      <c r="B141" s="58">
        <f>VLOOKUP(Table18[[#This Row],[Date]],database!A:G,5,)</f>
        <v/>
      </c>
      <c r="C141" s="66">
        <f>B141/B140-1</f>
        <v/>
      </c>
      <c r="D141" s="66">
        <f>(Table18[[#This Row],[Index]]-B129)/B129</f>
        <v/>
      </c>
    </row>
    <row r="142">
      <c r="A142" s="17" t="n">
        <v>30407</v>
      </c>
      <c r="B142" s="58">
        <f>VLOOKUP(Table18[[#This Row],[Date]],database!A:G,5,)</f>
        <v/>
      </c>
      <c r="C142" s="66">
        <f>B142/B141-1</f>
        <v/>
      </c>
      <c r="D142" s="66">
        <f>(Table18[[#This Row],[Index]]-B130)/B130</f>
        <v/>
      </c>
    </row>
    <row r="143">
      <c r="A143" s="17" t="n">
        <v>30437</v>
      </c>
      <c r="B143" s="58">
        <f>VLOOKUP(Table18[[#This Row],[Date]],database!A:G,5,)</f>
        <v/>
      </c>
      <c r="C143" s="66">
        <f>B143/B142-1</f>
        <v/>
      </c>
      <c r="D143" s="66">
        <f>(Table18[[#This Row],[Index]]-B131)/B131</f>
        <v/>
      </c>
    </row>
    <row r="144">
      <c r="A144" s="17" t="n">
        <v>30468</v>
      </c>
      <c r="B144" s="58">
        <f>VLOOKUP(Table18[[#This Row],[Date]],database!A:G,5,)</f>
        <v/>
      </c>
      <c r="C144" s="66">
        <f>B144/B143-1</f>
        <v/>
      </c>
      <c r="D144" s="66">
        <f>(Table18[[#This Row],[Index]]-B132)/B132</f>
        <v/>
      </c>
    </row>
    <row r="145">
      <c r="A145" s="17" t="n">
        <v>30498</v>
      </c>
      <c r="B145" s="58">
        <f>VLOOKUP(Table18[[#This Row],[Date]],database!A:G,5,)</f>
        <v/>
      </c>
      <c r="C145" s="66">
        <f>B145/B144-1</f>
        <v/>
      </c>
      <c r="D145" s="66">
        <f>(Table18[[#This Row],[Index]]-B133)/B133</f>
        <v/>
      </c>
    </row>
    <row r="146">
      <c r="A146" s="17" t="n">
        <v>30529</v>
      </c>
      <c r="B146" s="58">
        <f>VLOOKUP(Table18[[#This Row],[Date]],database!A:G,5,)</f>
        <v/>
      </c>
      <c r="C146" s="66">
        <f>B146/B145-1</f>
        <v/>
      </c>
      <c r="D146" s="66">
        <f>(Table18[[#This Row],[Index]]-B134)/B134</f>
        <v/>
      </c>
    </row>
    <row r="147">
      <c r="A147" s="17" t="n">
        <v>30560</v>
      </c>
      <c r="B147" s="58">
        <f>VLOOKUP(Table18[[#This Row],[Date]],database!A:G,5,)</f>
        <v/>
      </c>
      <c r="C147" s="66">
        <f>B147/B146-1</f>
        <v/>
      </c>
      <c r="D147" s="66">
        <f>(Table18[[#This Row],[Index]]-B135)/B135</f>
        <v/>
      </c>
    </row>
    <row r="148">
      <c r="A148" s="17" t="n">
        <v>30590</v>
      </c>
      <c r="B148" s="58">
        <f>VLOOKUP(Table18[[#This Row],[Date]],database!A:G,5,)</f>
        <v/>
      </c>
      <c r="C148" s="66">
        <f>B148/B147-1</f>
        <v/>
      </c>
      <c r="D148" s="66">
        <f>(Table18[[#This Row],[Index]]-B136)/B136</f>
        <v/>
      </c>
    </row>
    <row r="149">
      <c r="A149" s="17" t="n">
        <v>30621</v>
      </c>
      <c r="B149" s="58">
        <f>VLOOKUP(Table18[[#This Row],[Date]],database!A:G,5,)</f>
        <v/>
      </c>
      <c r="C149" s="66">
        <f>B149/B148-1</f>
        <v/>
      </c>
      <c r="D149" s="66">
        <f>(Table18[[#This Row],[Index]]-B137)/B137</f>
        <v/>
      </c>
    </row>
    <row r="150">
      <c r="A150" s="17" t="n">
        <v>30651</v>
      </c>
      <c r="B150" s="58">
        <f>VLOOKUP(Table18[[#This Row],[Date]],database!A:G,5,)</f>
        <v/>
      </c>
      <c r="C150" s="66">
        <f>B150/B149-1</f>
        <v/>
      </c>
      <c r="D150" s="66">
        <f>(Table18[[#This Row],[Index]]-B138)/B138</f>
        <v/>
      </c>
    </row>
    <row r="151">
      <c r="A151" s="17" t="n">
        <v>30682</v>
      </c>
      <c r="B151" s="58">
        <f>VLOOKUP(Table18[[#This Row],[Date]],database!A:G,5,)</f>
        <v/>
      </c>
      <c r="C151" s="66">
        <f>B151/B150-1</f>
        <v/>
      </c>
      <c r="D151" s="66">
        <f>(Table18[[#This Row],[Index]]-B139)/B139</f>
        <v/>
      </c>
    </row>
    <row r="152">
      <c r="A152" s="17" t="n">
        <v>30713</v>
      </c>
      <c r="B152" s="58">
        <f>VLOOKUP(Table18[[#This Row],[Date]],database!A:G,5,)</f>
        <v/>
      </c>
      <c r="C152" s="66">
        <f>B152/B151-1</f>
        <v/>
      </c>
      <c r="D152" s="66">
        <f>(Table18[[#This Row],[Index]]-B140)/B140</f>
        <v/>
      </c>
    </row>
    <row r="153">
      <c r="A153" s="17" t="n">
        <v>30742</v>
      </c>
      <c r="B153" s="58">
        <f>VLOOKUP(Table18[[#This Row],[Date]],database!A:G,5,)</f>
        <v/>
      </c>
      <c r="C153" s="66">
        <f>B153/B152-1</f>
        <v/>
      </c>
      <c r="D153" s="66">
        <f>(Table18[[#This Row],[Index]]-B141)/B141</f>
        <v/>
      </c>
    </row>
    <row r="154">
      <c r="A154" s="17" t="n">
        <v>30773</v>
      </c>
      <c r="B154" s="58">
        <f>VLOOKUP(Table18[[#This Row],[Date]],database!A:G,5,)</f>
        <v/>
      </c>
      <c r="C154" s="66">
        <f>B154/B153-1</f>
        <v/>
      </c>
      <c r="D154" s="66">
        <f>(Table18[[#This Row],[Index]]-B142)/B142</f>
        <v/>
      </c>
    </row>
    <row r="155">
      <c r="A155" s="17" t="n">
        <v>30803</v>
      </c>
      <c r="B155" s="58">
        <f>VLOOKUP(Table18[[#This Row],[Date]],database!A:G,5,)</f>
        <v/>
      </c>
      <c r="C155" s="66">
        <f>B155/B154-1</f>
        <v/>
      </c>
      <c r="D155" s="66">
        <f>(Table18[[#This Row],[Index]]-B143)/B143</f>
        <v/>
      </c>
    </row>
    <row r="156">
      <c r="A156" s="17" t="n">
        <v>30834</v>
      </c>
      <c r="B156" s="58">
        <f>VLOOKUP(Table18[[#This Row],[Date]],database!A:G,5,)</f>
        <v/>
      </c>
      <c r="C156" s="66">
        <f>B156/B155-1</f>
        <v/>
      </c>
      <c r="D156" s="66">
        <f>(Table18[[#This Row],[Index]]-B144)/B144</f>
        <v/>
      </c>
    </row>
    <row r="157">
      <c r="A157" s="17" t="n">
        <v>30864</v>
      </c>
      <c r="B157" s="58">
        <f>VLOOKUP(Table18[[#This Row],[Date]],database!A:G,5,)</f>
        <v/>
      </c>
      <c r="C157" s="66">
        <f>B157/B156-1</f>
        <v/>
      </c>
      <c r="D157" s="66">
        <f>(Table18[[#This Row],[Index]]-B145)/B145</f>
        <v/>
      </c>
    </row>
    <row r="158">
      <c r="A158" s="17" t="n">
        <v>30895</v>
      </c>
      <c r="B158" s="58">
        <f>VLOOKUP(Table18[[#This Row],[Date]],database!A:G,5,)</f>
        <v/>
      </c>
      <c r="C158" s="66">
        <f>B158/B157-1</f>
        <v/>
      </c>
      <c r="D158" s="66">
        <f>(Table18[[#This Row],[Index]]-B146)/B146</f>
        <v/>
      </c>
    </row>
    <row r="159">
      <c r="A159" s="17" t="n">
        <v>30926</v>
      </c>
      <c r="B159" s="58">
        <f>VLOOKUP(Table18[[#This Row],[Date]],database!A:G,5,)</f>
        <v/>
      </c>
      <c r="C159" s="66">
        <f>B159/B158-1</f>
        <v/>
      </c>
      <c r="D159" s="66">
        <f>(Table18[[#This Row],[Index]]-B147)/B147</f>
        <v/>
      </c>
    </row>
    <row r="160">
      <c r="A160" s="17" t="n">
        <v>30956</v>
      </c>
      <c r="B160" s="58">
        <f>VLOOKUP(Table18[[#This Row],[Date]],database!A:G,5,)</f>
        <v/>
      </c>
      <c r="C160" s="66">
        <f>B160/B159-1</f>
        <v/>
      </c>
      <c r="D160" s="66">
        <f>(Table18[[#This Row],[Index]]-B148)/B148</f>
        <v/>
      </c>
    </row>
    <row r="161">
      <c r="A161" s="17" t="n">
        <v>30987</v>
      </c>
      <c r="B161" s="58">
        <f>VLOOKUP(Table18[[#This Row],[Date]],database!A:G,5,)</f>
        <v/>
      </c>
      <c r="C161" s="66">
        <f>B161/B160-1</f>
        <v/>
      </c>
      <c r="D161" s="66">
        <f>(Table18[[#This Row],[Index]]-B149)/B149</f>
        <v/>
      </c>
    </row>
    <row r="162">
      <c r="A162" s="17" t="n">
        <v>31017</v>
      </c>
      <c r="B162" s="58">
        <f>VLOOKUP(Table18[[#This Row],[Date]],database!A:G,5,)</f>
        <v/>
      </c>
      <c r="C162" s="66">
        <f>B162/B161-1</f>
        <v/>
      </c>
      <c r="D162" s="66">
        <f>(Table18[[#This Row],[Index]]-B150)/B150</f>
        <v/>
      </c>
    </row>
    <row r="163">
      <c r="A163" s="17" t="n">
        <v>31048</v>
      </c>
      <c r="B163" s="58">
        <f>VLOOKUP(Table18[[#This Row],[Date]],database!A:G,5,)</f>
        <v/>
      </c>
      <c r="C163" s="66">
        <f>B163/B162-1</f>
        <v/>
      </c>
      <c r="D163" s="66">
        <f>(Table18[[#This Row],[Index]]-B151)/B151</f>
        <v/>
      </c>
    </row>
    <row r="164">
      <c r="A164" s="17" t="n">
        <v>31079</v>
      </c>
      <c r="B164" s="58">
        <f>VLOOKUP(Table18[[#This Row],[Date]],database!A:G,5,)</f>
        <v/>
      </c>
      <c r="C164" s="66">
        <f>B164/B163-1</f>
        <v/>
      </c>
      <c r="D164" s="66">
        <f>(Table18[[#This Row],[Index]]-B152)/B152</f>
        <v/>
      </c>
    </row>
    <row r="165">
      <c r="A165" s="17" t="n">
        <v>31107</v>
      </c>
      <c r="B165" s="58">
        <f>VLOOKUP(Table18[[#This Row],[Date]],database!A:G,5,)</f>
        <v/>
      </c>
      <c r="C165" s="66">
        <f>B165/B164-1</f>
        <v/>
      </c>
      <c r="D165" s="66">
        <f>(Table18[[#This Row],[Index]]-B153)/B153</f>
        <v/>
      </c>
    </row>
    <row r="166">
      <c r="A166" s="17" t="n">
        <v>31138</v>
      </c>
      <c r="B166" s="58">
        <f>VLOOKUP(Table18[[#This Row],[Date]],database!A:G,5,)</f>
        <v/>
      </c>
      <c r="C166" s="66">
        <f>B166/B165-1</f>
        <v/>
      </c>
      <c r="D166" s="66">
        <f>(Table18[[#This Row],[Index]]-B154)/B154</f>
        <v/>
      </c>
    </row>
    <row r="167">
      <c r="A167" s="17" t="n">
        <v>31168</v>
      </c>
      <c r="B167" s="58">
        <f>VLOOKUP(Table18[[#This Row],[Date]],database!A:G,5,)</f>
        <v/>
      </c>
      <c r="C167" s="66">
        <f>B167/B166-1</f>
        <v/>
      </c>
      <c r="D167" s="66">
        <f>(Table18[[#This Row],[Index]]-B155)/B155</f>
        <v/>
      </c>
    </row>
    <row r="168">
      <c r="A168" s="17" t="n">
        <v>31199</v>
      </c>
      <c r="B168" s="58">
        <f>VLOOKUP(Table18[[#This Row],[Date]],database!A:G,5,)</f>
        <v/>
      </c>
      <c r="C168" s="66">
        <f>B168/B167-1</f>
        <v/>
      </c>
      <c r="D168" s="66">
        <f>(Table18[[#This Row],[Index]]-B156)/B156</f>
        <v/>
      </c>
    </row>
    <row r="169">
      <c r="A169" s="17" t="n">
        <v>31229</v>
      </c>
      <c r="B169" s="58">
        <f>VLOOKUP(Table18[[#This Row],[Date]],database!A:G,5,)</f>
        <v/>
      </c>
      <c r="C169" s="66">
        <f>B169/B168-1</f>
        <v/>
      </c>
      <c r="D169" s="66">
        <f>(Table18[[#This Row],[Index]]-B157)/B157</f>
        <v/>
      </c>
    </row>
    <row r="170">
      <c r="A170" s="17" t="n">
        <v>31260</v>
      </c>
      <c r="B170" s="58">
        <f>VLOOKUP(Table18[[#This Row],[Date]],database!A:G,5,)</f>
        <v/>
      </c>
      <c r="C170" s="66">
        <f>B170/B169-1</f>
        <v/>
      </c>
      <c r="D170" s="66">
        <f>(Table18[[#This Row],[Index]]-B158)/B158</f>
        <v/>
      </c>
    </row>
    <row r="171">
      <c r="A171" s="17" t="n">
        <v>31291</v>
      </c>
      <c r="B171" s="58">
        <f>VLOOKUP(Table18[[#This Row],[Date]],database!A:G,5,)</f>
        <v/>
      </c>
      <c r="C171" s="66">
        <f>B171/B170-1</f>
        <v/>
      </c>
      <c r="D171" s="66">
        <f>(Table18[[#This Row],[Index]]-B159)/B159</f>
        <v/>
      </c>
    </row>
    <row r="172">
      <c r="A172" s="17" t="n">
        <v>31321</v>
      </c>
      <c r="B172" s="58">
        <f>VLOOKUP(Table18[[#This Row],[Date]],database!A:G,5,)</f>
        <v/>
      </c>
      <c r="C172" s="66">
        <f>B172/B171-1</f>
        <v/>
      </c>
      <c r="D172" s="66">
        <f>(Table18[[#This Row],[Index]]-B160)/B160</f>
        <v/>
      </c>
    </row>
    <row r="173">
      <c r="A173" s="17" t="n">
        <v>31352</v>
      </c>
      <c r="B173" s="58">
        <f>VLOOKUP(Table18[[#This Row],[Date]],database!A:G,5,)</f>
        <v/>
      </c>
      <c r="C173" s="66">
        <f>B173/B172-1</f>
        <v/>
      </c>
      <c r="D173" s="66">
        <f>(Table18[[#This Row],[Index]]-B161)/B161</f>
        <v/>
      </c>
    </row>
    <row r="174">
      <c r="A174" s="17" t="n">
        <v>31382</v>
      </c>
      <c r="B174" s="58">
        <f>VLOOKUP(Table18[[#This Row],[Date]],database!A:G,5,)</f>
        <v/>
      </c>
      <c r="C174" s="66">
        <f>B174/B173-1</f>
        <v/>
      </c>
      <c r="D174" s="66">
        <f>(Table18[[#This Row],[Index]]-B162)/B162</f>
        <v/>
      </c>
    </row>
    <row r="175">
      <c r="A175" s="17" t="n">
        <v>31413</v>
      </c>
      <c r="B175" s="58">
        <f>VLOOKUP(Table18[[#This Row],[Date]],database!A:G,5,)</f>
        <v/>
      </c>
      <c r="C175" s="66">
        <f>B175/B174-1</f>
        <v/>
      </c>
      <c r="D175" s="66">
        <f>(Table18[[#This Row],[Index]]-B163)/B163</f>
        <v/>
      </c>
    </row>
    <row r="176">
      <c r="A176" s="17" t="n">
        <v>31444</v>
      </c>
      <c r="B176" s="58">
        <f>VLOOKUP(Table18[[#This Row],[Date]],database!A:G,5,)</f>
        <v/>
      </c>
      <c r="C176" s="66">
        <f>B176/B175-1</f>
        <v/>
      </c>
      <c r="D176" s="66">
        <f>(Table18[[#This Row],[Index]]-B164)/B164</f>
        <v/>
      </c>
    </row>
    <row r="177">
      <c r="A177" s="17" t="n">
        <v>31472</v>
      </c>
      <c r="B177" s="58">
        <f>VLOOKUP(Table18[[#This Row],[Date]],database!A:G,5,)</f>
        <v/>
      </c>
      <c r="C177" s="66">
        <f>B177/B176-1</f>
        <v/>
      </c>
      <c r="D177" s="66">
        <f>(Table18[[#This Row],[Index]]-B165)/B165</f>
        <v/>
      </c>
    </row>
    <row r="178">
      <c r="A178" s="17" t="n">
        <v>31503</v>
      </c>
      <c r="B178" s="58">
        <f>VLOOKUP(Table18[[#This Row],[Date]],database!A:G,5,)</f>
        <v/>
      </c>
      <c r="C178" s="66">
        <f>B178/B177-1</f>
        <v/>
      </c>
      <c r="D178" s="66">
        <f>(Table18[[#This Row],[Index]]-B166)/B166</f>
        <v/>
      </c>
    </row>
    <row r="179">
      <c r="A179" s="17" t="n">
        <v>31533</v>
      </c>
      <c r="B179" s="58">
        <f>VLOOKUP(Table18[[#This Row],[Date]],database!A:G,5,)</f>
        <v/>
      </c>
      <c r="C179" s="66">
        <f>B179/B178-1</f>
        <v/>
      </c>
      <c r="D179" s="66">
        <f>(Table18[[#This Row],[Index]]-B167)/B167</f>
        <v/>
      </c>
    </row>
    <row r="180">
      <c r="A180" s="17" t="n">
        <v>31564</v>
      </c>
      <c r="B180" s="58">
        <f>VLOOKUP(Table18[[#This Row],[Date]],database!A:G,5,)</f>
        <v/>
      </c>
      <c r="C180" s="66">
        <f>B180/B179-1</f>
        <v/>
      </c>
      <c r="D180" s="66">
        <f>(Table18[[#This Row],[Index]]-B168)/B168</f>
        <v/>
      </c>
    </row>
    <row r="181">
      <c r="A181" s="17" t="n">
        <v>31594</v>
      </c>
      <c r="B181" s="58">
        <f>VLOOKUP(Table18[[#This Row],[Date]],database!A:G,5,)</f>
        <v/>
      </c>
      <c r="C181" s="66">
        <f>B181/B180-1</f>
        <v/>
      </c>
      <c r="D181" s="66">
        <f>(Table18[[#This Row],[Index]]-B169)/B169</f>
        <v/>
      </c>
    </row>
    <row r="182">
      <c r="A182" s="17" t="n">
        <v>31625</v>
      </c>
      <c r="B182" s="58">
        <f>VLOOKUP(Table18[[#This Row],[Date]],database!A:G,5,)</f>
        <v/>
      </c>
      <c r="C182" s="66">
        <f>B182/B181-1</f>
        <v/>
      </c>
      <c r="D182" s="66">
        <f>(Table18[[#This Row],[Index]]-B170)/B170</f>
        <v/>
      </c>
    </row>
    <row r="183">
      <c r="A183" s="17" t="n">
        <v>31656</v>
      </c>
      <c r="B183" s="58">
        <f>VLOOKUP(Table18[[#This Row],[Date]],database!A:G,5,)</f>
        <v/>
      </c>
      <c r="C183" s="66">
        <f>B183/B182-1</f>
        <v/>
      </c>
      <c r="D183" s="66">
        <f>(Table18[[#This Row],[Index]]-B171)/B171</f>
        <v/>
      </c>
    </row>
    <row r="184">
      <c r="A184" s="17" t="n">
        <v>31686</v>
      </c>
      <c r="B184" s="58">
        <f>VLOOKUP(Table18[[#This Row],[Date]],database!A:G,5,)</f>
        <v/>
      </c>
      <c r="C184" s="66">
        <f>B184/B183-1</f>
        <v/>
      </c>
      <c r="D184" s="66">
        <f>(Table18[[#This Row],[Index]]-B172)/B172</f>
        <v/>
      </c>
    </row>
    <row r="185">
      <c r="A185" s="17" t="n">
        <v>31717</v>
      </c>
      <c r="B185" s="58">
        <f>VLOOKUP(Table18[[#This Row],[Date]],database!A:G,5,)</f>
        <v/>
      </c>
      <c r="C185" s="66">
        <f>B185/B184-1</f>
        <v/>
      </c>
      <c r="D185" s="66">
        <f>(Table18[[#This Row],[Index]]-B173)/B173</f>
        <v/>
      </c>
    </row>
    <row r="186">
      <c r="A186" s="17" t="n">
        <v>31747</v>
      </c>
      <c r="B186" s="58">
        <f>VLOOKUP(Table18[[#This Row],[Date]],database!A:G,5,)</f>
        <v/>
      </c>
      <c r="C186" s="66">
        <f>B186/B185-1</f>
        <v/>
      </c>
      <c r="D186" s="66">
        <f>(Table18[[#This Row],[Index]]-B174)/B174</f>
        <v/>
      </c>
    </row>
    <row r="187">
      <c r="A187" s="17" t="n">
        <v>31778</v>
      </c>
      <c r="B187" s="58">
        <f>VLOOKUP(Table18[[#This Row],[Date]],database!A:G,5,)</f>
        <v/>
      </c>
      <c r="C187" s="66">
        <f>B187/B186-1</f>
        <v/>
      </c>
      <c r="D187" s="66">
        <f>(Table18[[#This Row],[Index]]-B175)/B175</f>
        <v/>
      </c>
    </row>
    <row r="188">
      <c r="A188" s="17" t="n">
        <v>31809</v>
      </c>
      <c r="B188" s="58">
        <f>VLOOKUP(Table18[[#This Row],[Date]],database!A:G,5,)</f>
        <v/>
      </c>
      <c r="C188" s="66">
        <f>B188/B187-1</f>
        <v/>
      </c>
      <c r="D188" s="66">
        <f>(Table18[[#This Row],[Index]]-B176)/B176</f>
        <v/>
      </c>
    </row>
    <row r="189">
      <c r="A189" s="17" t="n">
        <v>31837</v>
      </c>
      <c r="B189" s="58">
        <f>VLOOKUP(Table18[[#This Row],[Date]],database!A:G,5,)</f>
        <v/>
      </c>
      <c r="C189" s="66">
        <f>B189/B188-1</f>
        <v/>
      </c>
      <c r="D189" s="66">
        <f>(Table18[[#This Row],[Index]]-B177)/B177</f>
        <v/>
      </c>
    </row>
    <row r="190">
      <c r="A190" s="17" t="n">
        <v>31868</v>
      </c>
      <c r="B190" s="58">
        <f>VLOOKUP(Table18[[#This Row],[Date]],database!A:G,5,)</f>
        <v/>
      </c>
      <c r="C190" s="66">
        <f>B190/B189-1</f>
        <v/>
      </c>
      <c r="D190" s="66">
        <f>(Table18[[#This Row],[Index]]-B178)/B178</f>
        <v/>
      </c>
    </row>
    <row r="191">
      <c r="A191" s="17" t="n">
        <v>31898</v>
      </c>
      <c r="B191" s="58">
        <f>VLOOKUP(Table18[[#This Row],[Date]],database!A:G,5,)</f>
        <v/>
      </c>
      <c r="C191" s="66">
        <f>B191/B190-1</f>
        <v/>
      </c>
      <c r="D191" s="66">
        <f>(Table18[[#This Row],[Index]]-B179)/B179</f>
        <v/>
      </c>
    </row>
    <row r="192">
      <c r="A192" s="17" t="n">
        <v>31929</v>
      </c>
      <c r="B192" s="58">
        <f>VLOOKUP(Table18[[#This Row],[Date]],database!A:G,5,)</f>
        <v/>
      </c>
      <c r="C192" s="66">
        <f>B192/B191-1</f>
        <v/>
      </c>
      <c r="D192" s="66">
        <f>(Table18[[#This Row],[Index]]-B180)/B180</f>
        <v/>
      </c>
    </row>
    <row r="193">
      <c r="A193" s="17" t="n">
        <v>31959</v>
      </c>
      <c r="B193" s="58">
        <f>VLOOKUP(Table18[[#This Row],[Date]],database!A:G,5,)</f>
        <v/>
      </c>
      <c r="C193" s="66">
        <f>B193/B192-1</f>
        <v/>
      </c>
      <c r="D193" s="66">
        <f>(Table18[[#This Row],[Index]]-B181)/B181</f>
        <v/>
      </c>
    </row>
    <row r="194">
      <c r="A194" s="17" t="n">
        <v>31990</v>
      </c>
      <c r="B194" s="58">
        <f>VLOOKUP(Table18[[#This Row],[Date]],database!A:G,5,)</f>
        <v/>
      </c>
      <c r="C194" s="66">
        <f>B194/B193-1</f>
        <v/>
      </c>
      <c r="D194" s="66">
        <f>(Table18[[#This Row],[Index]]-B182)/B182</f>
        <v/>
      </c>
    </row>
    <row r="195">
      <c r="A195" s="17" t="n">
        <v>32021</v>
      </c>
      <c r="B195" s="58">
        <f>VLOOKUP(Table18[[#This Row],[Date]],database!A:G,5,)</f>
        <v/>
      </c>
      <c r="C195" s="66">
        <f>B195/B194-1</f>
        <v/>
      </c>
      <c r="D195" s="66">
        <f>(Table18[[#This Row],[Index]]-B183)/B183</f>
        <v/>
      </c>
    </row>
    <row r="196">
      <c r="A196" s="17" t="n">
        <v>32051</v>
      </c>
      <c r="B196" s="58">
        <f>VLOOKUP(Table18[[#This Row],[Date]],database!A:G,5,)</f>
        <v/>
      </c>
      <c r="C196" s="66">
        <f>B196/B195-1</f>
        <v/>
      </c>
      <c r="D196" s="66">
        <f>(Table18[[#This Row],[Index]]-B184)/B184</f>
        <v/>
      </c>
    </row>
    <row r="197">
      <c r="A197" s="17" t="n">
        <v>32082</v>
      </c>
      <c r="B197" s="58">
        <f>VLOOKUP(Table18[[#This Row],[Date]],database!A:G,5,)</f>
        <v/>
      </c>
      <c r="C197" s="66">
        <f>B197/B196-1</f>
        <v/>
      </c>
      <c r="D197" s="66">
        <f>(Table18[[#This Row],[Index]]-B185)/B185</f>
        <v/>
      </c>
    </row>
    <row r="198">
      <c r="A198" s="17" t="n">
        <v>32112</v>
      </c>
      <c r="B198" s="58">
        <f>VLOOKUP(Table18[[#This Row],[Date]],database!A:G,5,)</f>
        <v/>
      </c>
      <c r="C198" s="66">
        <f>B198/B197-1</f>
        <v/>
      </c>
      <c r="D198" s="66">
        <f>(Table18[[#This Row],[Index]]-B186)/B186</f>
        <v/>
      </c>
    </row>
    <row r="199">
      <c r="A199" s="17" t="n">
        <v>32143</v>
      </c>
      <c r="B199" s="58">
        <f>VLOOKUP(Table18[[#This Row],[Date]],database!A:G,5,)</f>
        <v/>
      </c>
      <c r="C199" s="66">
        <f>B199/B198-1</f>
        <v/>
      </c>
      <c r="D199" s="66">
        <f>(Table18[[#This Row],[Index]]-B187)/B187</f>
        <v/>
      </c>
    </row>
    <row r="200">
      <c r="A200" s="17" t="n">
        <v>32174</v>
      </c>
      <c r="B200" s="58">
        <f>VLOOKUP(Table18[[#This Row],[Date]],database!A:G,5,)</f>
        <v/>
      </c>
      <c r="C200" s="66">
        <f>B200/B199-1</f>
        <v/>
      </c>
      <c r="D200" s="66">
        <f>(Table18[[#This Row],[Index]]-B188)/B188</f>
        <v/>
      </c>
    </row>
    <row r="201">
      <c r="A201" s="17" t="n">
        <v>32203</v>
      </c>
      <c r="B201" s="58">
        <f>VLOOKUP(Table18[[#This Row],[Date]],database!A:G,5,)</f>
        <v/>
      </c>
      <c r="C201" s="66">
        <f>B201/B200-1</f>
        <v/>
      </c>
      <c r="D201" s="66">
        <f>(Table18[[#This Row],[Index]]-B189)/B189</f>
        <v/>
      </c>
    </row>
    <row r="202">
      <c r="A202" s="17" t="n">
        <v>32234</v>
      </c>
      <c r="B202" s="58">
        <f>VLOOKUP(Table18[[#This Row],[Date]],database!A:G,5,)</f>
        <v/>
      </c>
      <c r="C202" s="66">
        <f>B202/B201-1</f>
        <v/>
      </c>
      <c r="D202" s="66">
        <f>(Table18[[#This Row],[Index]]-B190)/B190</f>
        <v/>
      </c>
    </row>
    <row r="203">
      <c r="A203" s="17" t="n">
        <v>32264</v>
      </c>
      <c r="B203" s="58">
        <f>VLOOKUP(Table18[[#This Row],[Date]],database!A:G,5,)</f>
        <v/>
      </c>
      <c r="C203" s="66">
        <f>B203/B202-1</f>
        <v/>
      </c>
      <c r="D203" s="66">
        <f>(Table18[[#This Row],[Index]]-B191)/B191</f>
        <v/>
      </c>
    </row>
    <row r="204">
      <c r="A204" s="17" t="n">
        <v>32295</v>
      </c>
      <c r="B204" s="58">
        <f>VLOOKUP(Table18[[#This Row],[Date]],database!A:G,5,)</f>
        <v/>
      </c>
      <c r="C204" s="66">
        <f>B204/B203-1</f>
        <v/>
      </c>
      <c r="D204" s="66">
        <f>(Table18[[#This Row],[Index]]-B192)/B192</f>
        <v/>
      </c>
    </row>
    <row r="205">
      <c r="A205" s="17" t="n">
        <v>32325</v>
      </c>
      <c r="B205" s="58">
        <f>VLOOKUP(Table18[[#This Row],[Date]],database!A:G,5,)</f>
        <v/>
      </c>
      <c r="C205" s="66">
        <f>B205/B204-1</f>
        <v/>
      </c>
      <c r="D205" s="66">
        <f>(Table18[[#This Row],[Index]]-B193)/B193</f>
        <v/>
      </c>
    </row>
    <row r="206">
      <c r="A206" s="17" t="n">
        <v>32356</v>
      </c>
      <c r="B206" s="58">
        <f>VLOOKUP(Table18[[#This Row],[Date]],database!A:G,5,)</f>
        <v/>
      </c>
      <c r="C206" s="66">
        <f>B206/B205-1</f>
        <v/>
      </c>
      <c r="D206" s="66">
        <f>(Table18[[#This Row],[Index]]-B194)/B194</f>
        <v/>
      </c>
    </row>
    <row r="207">
      <c r="A207" s="17" t="n">
        <v>32387</v>
      </c>
      <c r="B207" s="58">
        <f>VLOOKUP(Table18[[#This Row],[Date]],database!A:G,5,)</f>
        <v/>
      </c>
      <c r="C207" s="66">
        <f>B207/B206-1</f>
        <v/>
      </c>
      <c r="D207" s="66">
        <f>(Table18[[#This Row],[Index]]-B195)/B195</f>
        <v/>
      </c>
    </row>
    <row r="208">
      <c r="A208" s="17" t="n">
        <v>32417</v>
      </c>
      <c r="B208" s="58">
        <f>VLOOKUP(Table18[[#This Row],[Date]],database!A:G,5,)</f>
        <v/>
      </c>
      <c r="C208" s="66">
        <f>B208/B207-1</f>
        <v/>
      </c>
      <c r="D208" s="66">
        <f>(Table18[[#This Row],[Index]]-B196)/B196</f>
        <v/>
      </c>
    </row>
    <row r="209">
      <c r="A209" s="17" t="n">
        <v>32448</v>
      </c>
      <c r="B209" s="58">
        <f>VLOOKUP(Table18[[#This Row],[Date]],database!A:G,5,)</f>
        <v/>
      </c>
      <c r="C209" s="66">
        <f>B209/B208-1</f>
        <v/>
      </c>
      <c r="D209" s="66">
        <f>(Table18[[#This Row],[Index]]-B197)/B197</f>
        <v/>
      </c>
    </row>
    <row r="210">
      <c r="A210" s="17" t="n">
        <v>32478</v>
      </c>
      <c r="B210" s="58">
        <f>VLOOKUP(Table18[[#This Row],[Date]],database!A:G,5,)</f>
        <v/>
      </c>
      <c r="C210" s="66">
        <f>B210/B209-1</f>
        <v/>
      </c>
      <c r="D210" s="66">
        <f>(Table18[[#This Row],[Index]]-B198)/B198</f>
        <v/>
      </c>
    </row>
    <row r="211">
      <c r="A211" s="17" t="n">
        <v>32509</v>
      </c>
      <c r="B211" s="58">
        <f>VLOOKUP(Table18[[#This Row],[Date]],database!A:G,5,)</f>
        <v/>
      </c>
      <c r="C211" s="66">
        <f>B211/B210-1</f>
        <v/>
      </c>
      <c r="D211" s="66">
        <f>(Table18[[#This Row],[Index]]-B199)/B199</f>
        <v/>
      </c>
    </row>
    <row r="212">
      <c r="A212" s="17" t="n">
        <v>32540</v>
      </c>
      <c r="B212" s="58">
        <f>VLOOKUP(Table18[[#This Row],[Date]],database!A:G,5,)</f>
        <v/>
      </c>
      <c r="C212" s="66">
        <f>B212/B211-1</f>
        <v/>
      </c>
      <c r="D212" s="66">
        <f>(Table18[[#This Row],[Index]]-B200)/B200</f>
        <v/>
      </c>
    </row>
    <row r="213">
      <c r="A213" s="17" t="n">
        <v>32568</v>
      </c>
      <c r="B213" s="58">
        <f>VLOOKUP(Table18[[#This Row],[Date]],database!A:G,5,)</f>
        <v/>
      </c>
      <c r="C213" s="66">
        <f>B213/B212-1</f>
        <v/>
      </c>
      <c r="D213" s="66">
        <f>(Table18[[#This Row],[Index]]-B201)/B201</f>
        <v/>
      </c>
    </row>
    <row r="214">
      <c r="A214" s="17" t="n">
        <v>32599</v>
      </c>
      <c r="B214" s="58">
        <f>VLOOKUP(Table18[[#This Row],[Date]],database!A:G,5,)</f>
        <v/>
      </c>
      <c r="C214" s="66">
        <f>B214/B213-1</f>
        <v/>
      </c>
      <c r="D214" s="66">
        <f>(Table18[[#This Row],[Index]]-B202)/B202</f>
        <v/>
      </c>
    </row>
    <row r="215">
      <c r="A215" s="17" t="n">
        <v>32629</v>
      </c>
      <c r="B215" s="58">
        <f>VLOOKUP(Table18[[#This Row],[Date]],database!A:G,5,)</f>
        <v/>
      </c>
      <c r="C215" s="66">
        <f>B215/B214-1</f>
        <v/>
      </c>
      <c r="D215" s="66">
        <f>(Table18[[#This Row],[Index]]-B203)/B203</f>
        <v/>
      </c>
    </row>
    <row r="216">
      <c r="A216" s="17" t="n">
        <v>32660</v>
      </c>
      <c r="B216" s="58">
        <f>VLOOKUP(Table18[[#This Row],[Date]],database!A:G,5,)</f>
        <v/>
      </c>
      <c r="C216" s="66">
        <f>B216/B215-1</f>
        <v/>
      </c>
      <c r="D216" s="66">
        <f>(Table18[[#This Row],[Index]]-B204)/B204</f>
        <v/>
      </c>
    </row>
    <row r="217">
      <c r="A217" s="17" t="n">
        <v>32690</v>
      </c>
      <c r="B217" s="58">
        <f>VLOOKUP(Table18[[#This Row],[Date]],database!A:G,5,)</f>
        <v/>
      </c>
      <c r="C217" s="66">
        <f>B217/B216-1</f>
        <v/>
      </c>
      <c r="D217" s="66">
        <f>(Table18[[#This Row],[Index]]-B205)/B205</f>
        <v/>
      </c>
    </row>
    <row r="218">
      <c r="A218" s="17" t="n">
        <v>32721</v>
      </c>
      <c r="B218" s="58">
        <f>VLOOKUP(Table18[[#This Row],[Date]],database!A:G,5,)</f>
        <v/>
      </c>
      <c r="C218" s="66">
        <f>B218/B217-1</f>
        <v/>
      </c>
      <c r="D218" s="66">
        <f>(Table18[[#This Row],[Index]]-B206)/B206</f>
        <v/>
      </c>
    </row>
    <row r="219">
      <c r="A219" s="17" t="n">
        <v>32752</v>
      </c>
      <c r="B219" s="58">
        <f>VLOOKUP(Table18[[#This Row],[Date]],database!A:G,5,)</f>
        <v/>
      </c>
      <c r="C219" s="66">
        <f>B219/B218-1</f>
        <v/>
      </c>
      <c r="D219" s="66">
        <f>(Table18[[#This Row],[Index]]-B207)/B207</f>
        <v/>
      </c>
    </row>
    <row r="220">
      <c r="A220" s="17" t="n">
        <v>32782</v>
      </c>
      <c r="B220" s="58">
        <f>VLOOKUP(Table18[[#This Row],[Date]],database!A:G,5,)</f>
        <v/>
      </c>
      <c r="C220" s="66">
        <f>B220/B219-1</f>
        <v/>
      </c>
      <c r="D220" s="66">
        <f>(Table18[[#This Row],[Index]]-B208)/B208</f>
        <v/>
      </c>
    </row>
    <row r="221">
      <c r="A221" s="17" t="n">
        <v>32813</v>
      </c>
      <c r="B221" s="58">
        <f>VLOOKUP(Table18[[#This Row],[Date]],database!A:G,5,)</f>
        <v/>
      </c>
      <c r="C221" s="66">
        <f>B221/B220-1</f>
        <v/>
      </c>
      <c r="D221" s="66">
        <f>(Table18[[#This Row],[Index]]-B209)/B209</f>
        <v/>
      </c>
    </row>
    <row r="222">
      <c r="A222" s="17" t="n">
        <v>32843</v>
      </c>
      <c r="B222" s="58">
        <f>VLOOKUP(Table18[[#This Row],[Date]],database!A:G,5,)</f>
        <v/>
      </c>
      <c r="C222" s="66">
        <f>B222/B221-1</f>
        <v/>
      </c>
      <c r="D222" s="66">
        <f>(Table18[[#This Row],[Index]]-B210)/B210</f>
        <v/>
      </c>
    </row>
    <row r="223">
      <c r="A223" s="17" t="n">
        <v>32874</v>
      </c>
      <c r="B223" s="58">
        <f>VLOOKUP(Table18[[#This Row],[Date]],database!A:G,5,)</f>
        <v/>
      </c>
      <c r="C223" s="66">
        <f>B223/B222-1</f>
        <v/>
      </c>
      <c r="D223" s="66">
        <f>(Table18[[#This Row],[Index]]-B211)/B211</f>
        <v/>
      </c>
    </row>
    <row r="224">
      <c r="A224" s="17" t="n">
        <v>32905</v>
      </c>
      <c r="B224" s="58">
        <f>VLOOKUP(Table18[[#This Row],[Date]],database!A:G,5,)</f>
        <v/>
      </c>
      <c r="C224" s="66">
        <f>B224/B223-1</f>
        <v/>
      </c>
      <c r="D224" s="66">
        <f>(Table18[[#This Row],[Index]]-B212)/B212</f>
        <v/>
      </c>
    </row>
    <row r="225">
      <c r="A225" s="17" t="n">
        <v>32933</v>
      </c>
      <c r="B225" s="58">
        <f>VLOOKUP(Table18[[#This Row],[Date]],database!A:G,5,)</f>
        <v/>
      </c>
      <c r="C225" s="66">
        <f>B225/B224-1</f>
        <v/>
      </c>
      <c r="D225" s="66">
        <f>(Table18[[#This Row],[Index]]-B213)/B213</f>
        <v/>
      </c>
    </row>
    <row r="226">
      <c r="A226" s="17" t="n">
        <v>32964</v>
      </c>
      <c r="B226" s="58">
        <f>VLOOKUP(Table18[[#This Row],[Date]],database!A:G,5,)</f>
        <v/>
      </c>
      <c r="C226" s="66">
        <f>B226/B225-1</f>
        <v/>
      </c>
      <c r="D226" s="66">
        <f>(Table18[[#This Row],[Index]]-B214)/B214</f>
        <v/>
      </c>
    </row>
    <row r="227">
      <c r="A227" s="17" t="n">
        <v>32994</v>
      </c>
      <c r="B227" s="58">
        <f>VLOOKUP(Table18[[#This Row],[Date]],database!A:G,5,)</f>
        <v/>
      </c>
      <c r="C227" s="66">
        <f>B227/B226-1</f>
        <v/>
      </c>
      <c r="D227" s="66">
        <f>(Table18[[#This Row],[Index]]-B215)/B215</f>
        <v/>
      </c>
    </row>
    <row r="228">
      <c r="A228" s="17" t="n">
        <v>33025</v>
      </c>
      <c r="B228" s="58">
        <f>VLOOKUP(Table18[[#This Row],[Date]],database!A:G,5,)</f>
        <v/>
      </c>
      <c r="C228" s="66">
        <f>B228/B227-1</f>
        <v/>
      </c>
      <c r="D228" s="66">
        <f>(Table18[[#This Row],[Index]]-B216)/B216</f>
        <v/>
      </c>
    </row>
    <row r="229">
      <c r="A229" s="17" t="n">
        <v>33055</v>
      </c>
      <c r="B229" s="58">
        <f>VLOOKUP(Table18[[#This Row],[Date]],database!A:G,5,)</f>
        <v/>
      </c>
      <c r="C229" s="66">
        <f>B229/B228-1</f>
        <v/>
      </c>
      <c r="D229" s="66">
        <f>(Table18[[#This Row],[Index]]-B217)/B217</f>
        <v/>
      </c>
    </row>
    <row r="230">
      <c r="A230" s="17" t="n">
        <v>33086</v>
      </c>
      <c r="B230" s="58">
        <f>VLOOKUP(Table18[[#This Row],[Date]],database!A:G,5,)</f>
        <v/>
      </c>
      <c r="C230" s="66">
        <f>B230/B229-1</f>
        <v/>
      </c>
      <c r="D230" s="66">
        <f>(Table18[[#This Row],[Index]]-B218)/B218</f>
        <v/>
      </c>
    </row>
    <row r="231">
      <c r="A231" s="17" t="n">
        <v>33117</v>
      </c>
      <c r="B231" s="58">
        <f>VLOOKUP(Table18[[#This Row],[Date]],database!A:G,5,)</f>
        <v/>
      </c>
      <c r="C231" s="66">
        <f>B231/B230-1</f>
        <v/>
      </c>
      <c r="D231" s="66">
        <f>(Table18[[#This Row],[Index]]-B219)/B219</f>
        <v/>
      </c>
    </row>
    <row r="232">
      <c r="A232" s="17" t="n">
        <v>33147</v>
      </c>
      <c r="B232" s="58">
        <f>VLOOKUP(Table18[[#This Row],[Date]],database!A:G,5,)</f>
        <v/>
      </c>
      <c r="C232" s="66">
        <f>B232/B231-1</f>
        <v/>
      </c>
      <c r="D232" s="66">
        <f>(Table18[[#This Row],[Index]]-B220)/B220</f>
        <v/>
      </c>
    </row>
    <row r="233">
      <c r="A233" s="17" t="n">
        <v>33178</v>
      </c>
      <c r="B233" s="58">
        <f>VLOOKUP(Table18[[#This Row],[Date]],database!A:G,5,)</f>
        <v/>
      </c>
      <c r="C233" s="66">
        <f>B233/B232-1</f>
        <v/>
      </c>
      <c r="D233" s="66">
        <f>(Table18[[#This Row],[Index]]-B221)/B221</f>
        <v/>
      </c>
    </row>
    <row r="234">
      <c r="A234" s="17" t="n">
        <v>33208</v>
      </c>
      <c r="B234" s="58">
        <f>VLOOKUP(Table18[[#This Row],[Date]],database!A:G,5,)</f>
        <v/>
      </c>
      <c r="C234" s="66">
        <f>B234/B233-1</f>
        <v/>
      </c>
      <c r="D234" s="66">
        <f>(Table18[[#This Row],[Index]]-B222)/B222</f>
        <v/>
      </c>
    </row>
    <row r="235">
      <c r="A235" s="17" t="n">
        <v>33239</v>
      </c>
      <c r="B235" s="58">
        <f>VLOOKUP(Table18[[#This Row],[Date]],database!A:G,5,)</f>
        <v/>
      </c>
      <c r="C235" s="66">
        <f>B235/B234-1</f>
        <v/>
      </c>
      <c r="D235" s="66">
        <f>(Table18[[#This Row],[Index]]-B223)/B223</f>
        <v/>
      </c>
    </row>
    <row r="236">
      <c r="A236" s="17" t="n">
        <v>33270</v>
      </c>
      <c r="B236" s="58">
        <f>VLOOKUP(Table18[[#This Row],[Date]],database!A:G,5,)</f>
        <v/>
      </c>
      <c r="C236" s="66">
        <f>B236/B235-1</f>
        <v/>
      </c>
      <c r="D236" s="66">
        <f>(Table18[[#This Row],[Index]]-B224)/B224</f>
        <v/>
      </c>
    </row>
    <row r="237">
      <c r="A237" s="17" t="n">
        <v>33298</v>
      </c>
      <c r="B237" s="58">
        <f>VLOOKUP(Table18[[#This Row],[Date]],database!A:G,5,)</f>
        <v/>
      </c>
      <c r="C237" s="66">
        <f>B237/B236-1</f>
        <v/>
      </c>
      <c r="D237" s="66">
        <f>(Table18[[#This Row],[Index]]-B225)/B225</f>
        <v/>
      </c>
    </row>
    <row r="238">
      <c r="A238" s="17" t="n">
        <v>33329</v>
      </c>
      <c r="B238" s="58">
        <f>VLOOKUP(Table18[[#This Row],[Date]],database!A:G,5,)</f>
        <v/>
      </c>
      <c r="C238" s="66">
        <f>B238/B237-1</f>
        <v/>
      </c>
      <c r="D238" s="66">
        <f>(Table18[[#This Row],[Index]]-B226)/B226</f>
        <v/>
      </c>
    </row>
    <row r="239">
      <c r="A239" s="17" t="n">
        <v>33359</v>
      </c>
      <c r="B239" s="58">
        <f>VLOOKUP(Table18[[#This Row],[Date]],database!A:G,5,)</f>
        <v/>
      </c>
      <c r="C239" s="66">
        <f>B239/B238-1</f>
        <v/>
      </c>
      <c r="D239" s="66">
        <f>(Table18[[#This Row],[Index]]-B227)/B227</f>
        <v/>
      </c>
    </row>
    <row r="240">
      <c r="A240" s="17" t="n">
        <v>33390</v>
      </c>
      <c r="B240" s="58">
        <f>VLOOKUP(Table18[[#This Row],[Date]],database!A:G,5,)</f>
        <v/>
      </c>
      <c r="C240" s="66">
        <f>B240/B239-1</f>
        <v/>
      </c>
      <c r="D240" s="66">
        <f>(Table18[[#This Row],[Index]]-B228)/B228</f>
        <v/>
      </c>
    </row>
    <row r="241">
      <c r="A241" s="17" t="n">
        <v>33420</v>
      </c>
      <c r="B241" s="58">
        <f>VLOOKUP(Table18[[#This Row],[Date]],database!A:G,5,)</f>
        <v/>
      </c>
      <c r="C241" s="66">
        <f>B241/B240-1</f>
        <v/>
      </c>
      <c r="D241" s="66">
        <f>(Table18[[#This Row],[Index]]-B229)/B229</f>
        <v/>
      </c>
    </row>
    <row r="242">
      <c r="A242" s="17" t="n">
        <v>33451</v>
      </c>
      <c r="B242" s="58">
        <f>VLOOKUP(Table18[[#This Row],[Date]],database!A:G,5,)</f>
        <v/>
      </c>
      <c r="C242" s="66">
        <f>B242/B241-1</f>
        <v/>
      </c>
      <c r="D242" s="66">
        <f>(Table18[[#This Row],[Index]]-B230)/B230</f>
        <v/>
      </c>
    </row>
    <row r="243">
      <c r="A243" s="17" t="n">
        <v>33482</v>
      </c>
      <c r="B243" s="58">
        <f>VLOOKUP(Table18[[#This Row],[Date]],database!A:G,5,)</f>
        <v/>
      </c>
      <c r="C243" s="66">
        <f>B243/B242-1</f>
        <v/>
      </c>
      <c r="D243" s="66">
        <f>(Table18[[#This Row],[Index]]-B231)/B231</f>
        <v/>
      </c>
    </row>
    <row r="244">
      <c r="A244" s="17" t="n">
        <v>33512</v>
      </c>
      <c r="B244" s="58">
        <f>VLOOKUP(Table18[[#This Row],[Date]],database!A:G,5,)</f>
        <v/>
      </c>
      <c r="C244" s="66">
        <f>B244/B243-1</f>
        <v/>
      </c>
      <c r="D244" s="66">
        <f>(Table18[[#This Row],[Index]]-B232)/B232</f>
        <v/>
      </c>
    </row>
    <row r="245">
      <c r="A245" s="17" t="n">
        <v>33543</v>
      </c>
      <c r="B245" s="58">
        <f>VLOOKUP(Table18[[#This Row],[Date]],database!A:G,5,)</f>
        <v/>
      </c>
      <c r="C245" s="66">
        <f>B245/B244-1</f>
        <v/>
      </c>
      <c r="D245" s="66">
        <f>(Table18[[#This Row],[Index]]-B233)/B233</f>
        <v/>
      </c>
    </row>
    <row r="246">
      <c r="A246" s="17" t="n">
        <v>33573</v>
      </c>
      <c r="B246" s="58">
        <f>VLOOKUP(Table18[[#This Row],[Date]],database!A:G,5,)</f>
        <v/>
      </c>
      <c r="C246" s="66">
        <f>B246/B245-1</f>
        <v/>
      </c>
      <c r="D246" s="66">
        <f>(Table18[[#This Row],[Index]]-B234)/B234</f>
        <v/>
      </c>
    </row>
    <row r="247">
      <c r="A247" s="17" t="n">
        <v>33604</v>
      </c>
      <c r="B247" s="58">
        <f>VLOOKUP(Table18[[#This Row],[Date]],database!A:G,5,)</f>
        <v/>
      </c>
      <c r="C247" s="66">
        <f>B247/B246-1</f>
        <v/>
      </c>
      <c r="D247" s="66">
        <f>(Table18[[#This Row],[Index]]-B235)/B235</f>
        <v/>
      </c>
    </row>
    <row r="248">
      <c r="A248" s="17" t="n">
        <v>33635</v>
      </c>
      <c r="B248" s="58">
        <f>VLOOKUP(Table18[[#This Row],[Date]],database!A:G,5,)</f>
        <v/>
      </c>
      <c r="C248" s="66">
        <f>B248/B247-1</f>
        <v/>
      </c>
      <c r="D248" s="66">
        <f>(Table18[[#This Row],[Index]]-B236)/B236</f>
        <v/>
      </c>
    </row>
    <row r="249">
      <c r="A249" s="17" t="n">
        <v>33664</v>
      </c>
      <c r="B249" s="58">
        <f>VLOOKUP(Table18[[#This Row],[Date]],database!A:G,5,)</f>
        <v/>
      </c>
      <c r="C249" s="66">
        <f>B249/B248-1</f>
        <v/>
      </c>
      <c r="D249" s="66">
        <f>(Table18[[#This Row],[Index]]-B237)/B237</f>
        <v/>
      </c>
    </row>
    <row r="250">
      <c r="A250" s="17" t="n">
        <v>33695</v>
      </c>
      <c r="B250" s="58">
        <f>VLOOKUP(Table18[[#This Row],[Date]],database!A:G,5,)</f>
        <v/>
      </c>
      <c r="C250" s="66">
        <f>B250/B249-1</f>
        <v/>
      </c>
      <c r="D250" s="66">
        <f>(Table18[[#This Row],[Index]]-B238)/B238</f>
        <v/>
      </c>
    </row>
    <row r="251">
      <c r="A251" s="17" t="n">
        <v>33725</v>
      </c>
      <c r="B251" s="58">
        <f>VLOOKUP(Table18[[#This Row],[Date]],database!A:G,5,)</f>
        <v/>
      </c>
      <c r="C251" s="66">
        <f>B251/B250-1</f>
        <v/>
      </c>
      <c r="D251" s="66">
        <f>(Table18[[#This Row],[Index]]-B239)/B239</f>
        <v/>
      </c>
    </row>
    <row r="252">
      <c r="A252" s="17" t="n">
        <v>33756</v>
      </c>
      <c r="B252" s="58">
        <f>VLOOKUP(Table18[[#This Row],[Date]],database!A:G,5,)</f>
        <v/>
      </c>
      <c r="C252" s="66">
        <f>B252/B251-1</f>
        <v/>
      </c>
      <c r="D252" s="66">
        <f>(Table18[[#This Row],[Index]]-B240)/B240</f>
        <v/>
      </c>
    </row>
    <row r="253">
      <c r="A253" s="17" t="n">
        <v>33786</v>
      </c>
      <c r="B253" s="58">
        <f>VLOOKUP(Table18[[#This Row],[Date]],database!A:G,5,)</f>
        <v/>
      </c>
      <c r="C253" s="66">
        <f>B253/B252-1</f>
        <v/>
      </c>
      <c r="D253" s="66">
        <f>(Table18[[#This Row],[Index]]-B241)/B241</f>
        <v/>
      </c>
    </row>
    <row r="254">
      <c r="A254" s="17" t="n">
        <v>33817</v>
      </c>
      <c r="B254" s="58">
        <f>VLOOKUP(Table18[[#This Row],[Date]],database!A:G,5,)</f>
        <v/>
      </c>
      <c r="C254" s="66">
        <f>B254/B253-1</f>
        <v/>
      </c>
      <c r="D254" s="66">
        <f>(Table18[[#This Row],[Index]]-B242)/B242</f>
        <v/>
      </c>
    </row>
    <row r="255">
      <c r="A255" s="17" t="n">
        <v>33848</v>
      </c>
      <c r="B255" s="58">
        <f>VLOOKUP(Table18[[#This Row],[Date]],database!A:G,5,)</f>
        <v/>
      </c>
      <c r="C255" s="66">
        <f>B255/B254-1</f>
        <v/>
      </c>
      <c r="D255" s="66">
        <f>(Table18[[#This Row],[Index]]-B243)/B243</f>
        <v/>
      </c>
    </row>
    <row r="256">
      <c r="A256" s="17" t="n">
        <v>33878</v>
      </c>
      <c r="B256" s="58">
        <f>VLOOKUP(Table18[[#This Row],[Date]],database!A:G,5,)</f>
        <v/>
      </c>
      <c r="C256" s="66">
        <f>B256/B255-1</f>
        <v/>
      </c>
      <c r="D256" s="66">
        <f>(Table18[[#This Row],[Index]]-B244)/B244</f>
        <v/>
      </c>
    </row>
    <row r="257">
      <c r="A257" s="17" t="n">
        <v>33909</v>
      </c>
      <c r="B257" s="58">
        <f>VLOOKUP(Table18[[#This Row],[Date]],database!A:G,5,)</f>
        <v/>
      </c>
      <c r="C257" s="66">
        <f>B257/B256-1</f>
        <v/>
      </c>
      <c r="D257" s="66">
        <f>(Table18[[#This Row],[Index]]-B245)/B245</f>
        <v/>
      </c>
    </row>
    <row r="258">
      <c r="A258" s="17" t="n">
        <v>33939</v>
      </c>
      <c r="B258" s="58">
        <f>VLOOKUP(Table18[[#This Row],[Date]],database!A:G,5,)</f>
        <v/>
      </c>
      <c r="C258" s="66">
        <f>B258/B257-1</f>
        <v/>
      </c>
      <c r="D258" s="66">
        <f>(Table18[[#This Row],[Index]]-B246)/B246</f>
        <v/>
      </c>
    </row>
    <row r="259">
      <c r="A259" s="17" t="n">
        <v>33970</v>
      </c>
      <c r="B259" s="58">
        <f>VLOOKUP(Table18[[#This Row],[Date]],database!A:G,5,)</f>
        <v/>
      </c>
      <c r="C259" s="66">
        <f>B259/B258-1</f>
        <v/>
      </c>
      <c r="D259" s="66">
        <f>(Table18[[#This Row],[Index]]-B247)/B247</f>
        <v/>
      </c>
    </row>
    <row r="260">
      <c r="A260" s="17" t="n">
        <v>34001</v>
      </c>
      <c r="B260" s="58">
        <f>VLOOKUP(Table18[[#This Row],[Date]],database!A:G,5,)</f>
        <v/>
      </c>
      <c r="C260" s="66">
        <f>B260/B259-1</f>
        <v/>
      </c>
      <c r="D260" s="66">
        <f>(Table18[[#This Row],[Index]]-B248)/B248</f>
        <v/>
      </c>
    </row>
    <row r="261">
      <c r="A261" s="17" t="n">
        <v>34029</v>
      </c>
      <c r="B261" s="58">
        <f>VLOOKUP(Table18[[#This Row],[Date]],database!A:G,5,)</f>
        <v/>
      </c>
      <c r="C261" s="66">
        <f>B261/B260-1</f>
        <v/>
      </c>
      <c r="D261" s="66">
        <f>(Table18[[#This Row],[Index]]-B249)/B249</f>
        <v/>
      </c>
    </row>
    <row r="262">
      <c r="A262" s="17" t="n">
        <v>34060</v>
      </c>
      <c r="B262" s="58">
        <f>VLOOKUP(Table18[[#This Row],[Date]],database!A:G,5,)</f>
        <v/>
      </c>
      <c r="C262" s="66">
        <f>B262/B261-1</f>
        <v/>
      </c>
      <c r="D262" s="66">
        <f>(Table18[[#This Row],[Index]]-B250)/B250</f>
        <v/>
      </c>
    </row>
    <row r="263">
      <c r="A263" s="17" t="n">
        <v>34090</v>
      </c>
      <c r="B263" s="58">
        <f>VLOOKUP(Table18[[#This Row],[Date]],database!A:G,5,)</f>
        <v/>
      </c>
      <c r="C263" s="66">
        <f>B263/B262-1</f>
        <v/>
      </c>
      <c r="D263" s="66">
        <f>(Table18[[#This Row],[Index]]-B251)/B251</f>
        <v/>
      </c>
    </row>
    <row r="264">
      <c r="A264" s="17" t="n">
        <v>34121</v>
      </c>
      <c r="B264" s="58">
        <f>VLOOKUP(Table18[[#This Row],[Date]],database!A:G,5,)</f>
        <v/>
      </c>
      <c r="C264" s="66">
        <f>B264/B263-1</f>
        <v/>
      </c>
      <c r="D264" s="66">
        <f>(Table18[[#This Row],[Index]]-B252)/B252</f>
        <v/>
      </c>
    </row>
    <row r="265">
      <c r="A265" s="17" t="n">
        <v>34151</v>
      </c>
      <c r="B265" s="58">
        <f>VLOOKUP(Table18[[#This Row],[Date]],database!A:G,5,)</f>
        <v/>
      </c>
      <c r="C265" s="66">
        <f>B265/B264-1</f>
        <v/>
      </c>
      <c r="D265" s="66">
        <f>(Table18[[#This Row],[Index]]-B253)/B253</f>
        <v/>
      </c>
    </row>
    <row r="266">
      <c r="A266" s="17" t="n">
        <v>34182</v>
      </c>
      <c r="B266" s="58">
        <f>VLOOKUP(Table18[[#This Row],[Date]],database!A:G,5,)</f>
        <v/>
      </c>
      <c r="C266" s="66">
        <f>B266/B265-1</f>
        <v/>
      </c>
      <c r="D266" s="66">
        <f>(Table18[[#This Row],[Index]]-B254)/B254</f>
        <v/>
      </c>
    </row>
    <row r="267">
      <c r="A267" s="17" t="n">
        <v>34213</v>
      </c>
      <c r="B267" s="58">
        <f>VLOOKUP(Table18[[#This Row],[Date]],database!A:G,5,)</f>
        <v/>
      </c>
      <c r="C267" s="66">
        <f>B267/B266-1</f>
        <v/>
      </c>
      <c r="D267" s="66">
        <f>(Table18[[#This Row],[Index]]-B255)/B255</f>
        <v/>
      </c>
    </row>
    <row r="268">
      <c r="A268" s="17" t="n">
        <v>34243</v>
      </c>
      <c r="B268" s="58">
        <f>VLOOKUP(Table18[[#This Row],[Date]],database!A:G,5,)</f>
        <v/>
      </c>
      <c r="C268" s="66">
        <f>B268/B267-1</f>
        <v/>
      </c>
      <c r="D268" s="66">
        <f>(Table18[[#This Row],[Index]]-B256)/B256</f>
        <v/>
      </c>
    </row>
    <row r="269">
      <c r="A269" s="17" t="n">
        <v>34274</v>
      </c>
      <c r="B269" s="58">
        <f>VLOOKUP(Table18[[#This Row],[Date]],database!A:G,5,)</f>
        <v/>
      </c>
      <c r="C269" s="66">
        <f>B269/B268-1</f>
        <v/>
      </c>
      <c r="D269" s="66">
        <f>(Table18[[#This Row],[Index]]-B257)/B257</f>
        <v/>
      </c>
    </row>
    <row r="270">
      <c r="A270" s="17" t="n">
        <v>34304</v>
      </c>
      <c r="B270" s="58">
        <f>VLOOKUP(Table18[[#This Row],[Date]],database!A:G,5,)</f>
        <v/>
      </c>
      <c r="C270" s="66">
        <f>B270/B269-1</f>
        <v/>
      </c>
      <c r="D270" s="66">
        <f>(Table18[[#This Row],[Index]]-B258)/B258</f>
        <v/>
      </c>
    </row>
    <row r="271">
      <c r="A271" s="17" t="n">
        <v>34335</v>
      </c>
      <c r="B271" s="58">
        <f>VLOOKUP(Table18[[#This Row],[Date]],database!A:G,5,)</f>
        <v/>
      </c>
      <c r="C271" s="66">
        <f>B271/B270-1</f>
        <v/>
      </c>
      <c r="D271" s="66">
        <f>(Table18[[#This Row],[Index]]-B259)/B259</f>
        <v/>
      </c>
    </row>
    <row r="272">
      <c r="A272" s="17" t="n">
        <v>34366</v>
      </c>
      <c r="B272" s="58">
        <f>VLOOKUP(Table18[[#This Row],[Date]],database!A:G,5,)</f>
        <v/>
      </c>
      <c r="C272" s="66">
        <f>B272/B271-1</f>
        <v/>
      </c>
      <c r="D272" s="66">
        <f>(Table18[[#This Row],[Index]]-B260)/B260</f>
        <v/>
      </c>
    </row>
    <row r="273">
      <c r="A273" s="17" t="n">
        <v>34394</v>
      </c>
      <c r="B273" s="58">
        <f>VLOOKUP(Table18[[#This Row],[Date]],database!A:G,5,)</f>
        <v/>
      </c>
      <c r="C273" s="66">
        <f>B273/B272-1</f>
        <v/>
      </c>
      <c r="D273" s="66">
        <f>(Table18[[#This Row],[Index]]-B261)/B261</f>
        <v/>
      </c>
    </row>
    <row r="274">
      <c r="A274" s="17" t="n">
        <v>34425</v>
      </c>
      <c r="B274" s="58">
        <f>VLOOKUP(Table18[[#This Row],[Date]],database!A:G,5,)</f>
        <v/>
      </c>
      <c r="C274" s="66">
        <f>B274/B273-1</f>
        <v/>
      </c>
      <c r="D274" s="66">
        <f>(Table18[[#This Row],[Index]]-B262)/B262</f>
        <v/>
      </c>
    </row>
    <row r="275">
      <c r="A275" s="17" t="n">
        <v>34455</v>
      </c>
      <c r="B275" s="58">
        <f>VLOOKUP(Table18[[#This Row],[Date]],database!A:G,5,)</f>
        <v/>
      </c>
      <c r="C275" s="66">
        <f>B275/B274-1</f>
        <v/>
      </c>
      <c r="D275" s="66">
        <f>(Table18[[#This Row],[Index]]-B263)/B263</f>
        <v/>
      </c>
    </row>
    <row r="276">
      <c r="A276" s="17" t="n">
        <v>34486</v>
      </c>
      <c r="B276" s="58">
        <f>VLOOKUP(Table18[[#This Row],[Date]],database!A:G,5,)</f>
        <v/>
      </c>
      <c r="C276" s="66">
        <f>B276/B275-1</f>
        <v/>
      </c>
      <c r="D276" s="66">
        <f>(Table18[[#This Row],[Index]]-B264)/B264</f>
        <v/>
      </c>
    </row>
    <row r="277">
      <c r="A277" s="17" t="n">
        <v>34516</v>
      </c>
      <c r="B277" s="58">
        <f>VLOOKUP(Table18[[#This Row],[Date]],database!A:G,5,)</f>
        <v/>
      </c>
      <c r="C277" s="66">
        <f>B277/B276-1</f>
        <v/>
      </c>
      <c r="D277" s="66">
        <f>(Table18[[#This Row],[Index]]-B265)/B265</f>
        <v/>
      </c>
    </row>
    <row r="278">
      <c r="A278" s="17" t="n">
        <v>34547</v>
      </c>
      <c r="B278" s="58">
        <f>VLOOKUP(Table18[[#This Row],[Date]],database!A:G,5,)</f>
        <v/>
      </c>
      <c r="C278" s="66">
        <f>B278/B277-1</f>
        <v/>
      </c>
      <c r="D278" s="66">
        <f>(Table18[[#This Row],[Index]]-B266)/B266</f>
        <v/>
      </c>
    </row>
    <row r="279">
      <c r="A279" s="17" t="n">
        <v>34578</v>
      </c>
      <c r="B279" s="58">
        <f>VLOOKUP(Table18[[#This Row],[Date]],database!A:G,5,)</f>
        <v/>
      </c>
      <c r="C279" s="66">
        <f>B279/B278-1</f>
        <v/>
      </c>
      <c r="D279" s="66">
        <f>(Table18[[#This Row],[Index]]-B267)/B267</f>
        <v/>
      </c>
    </row>
    <row r="280">
      <c r="A280" s="17" t="n">
        <v>34608</v>
      </c>
      <c r="B280" s="58">
        <f>VLOOKUP(Table18[[#This Row],[Date]],database!A:G,5,)</f>
        <v/>
      </c>
      <c r="C280" s="66">
        <f>B280/B279-1</f>
        <v/>
      </c>
      <c r="D280" s="66">
        <f>(Table18[[#This Row],[Index]]-B268)/B268</f>
        <v/>
      </c>
    </row>
    <row r="281">
      <c r="A281" s="17" t="n">
        <v>34639</v>
      </c>
      <c r="B281" s="58">
        <f>VLOOKUP(Table18[[#This Row],[Date]],database!A:G,5,)</f>
        <v/>
      </c>
      <c r="C281" s="66">
        <f>B281/B280-1</f>
        <v/>
      </c>
      <c r="D281" s="66">
        <f>(Table18[[#This Row],[Index]]-B269)/B269</f>
        <v/>
      </c>
    </row>
    <row r="282">
      <c r="A282" s="17" t="n">
        <v>34669</v>
      </c>
      <c r="B282" s="58">
        <f>VLOOKUP(Table18[[#This Row],[Date]],database!A:G,5,)</f>
        <v/>
      </c>
      <c r="C282" s="66">
        <f>B282/B281-1</f>
        <v/>
      </c>
      <c r="D282" s="66">
        <f>(Table18[[#This Row],[Index]]-B270)/B270</f>
        <v/>
      </c>
    </row>
    <row r="283">
      <c r="A283" s="17" t="n">
        <v>34700</v>
      </c>
      <c r="B283" s="58">
        <f>VLOOKUP(Table18[[#This Row],[Date]],database!A:G,5,)</f>
        <v/>
      </c>
      <c r="C283" s="66">
        <f>B283/B282-1</f>
        <v/>
      </c>
      <c r="D283" s="66">
        <f>(Table18[[#This Row],[Index]]-B271)/B271</f>
        <v/>
      </c>
    </row>
    <row r="284">
      <c r="A284" s="17" t="n">
        <v>34731</v>
      </c>
      <c r="B284" s="58">
        <f>VLOOKUP(Table18[[#This Row],[Date]],database!A:G,5,)</f>
        <v/>
      </c>
      <c r="C284" s="66">
        <f>B284/B283-1</f>
        <v/>
      </c>
      <c r="D284" s="66">
        <f>(Table18[[#This Row],[Index]]-B272)/B272</f>
        <v/>
      </c>
    </row>
    <row r="285">
      <c r="A285" s="17" t="n">
        <v>34759</v>
      </c>
      <c r="B285" s="58">
        <f>VLOOKUP(Table18[[#This Row],[Date]],database!A:G,5,)</f>
        <v/>
      </c>
      <c r="C285" s="66">
        <f>B285/B284-1</f>
        <v/>
      </c>
      <c r="D285" s="66">
        <f>(Table18[[#This Row],[Index]]-B273)/B273</f>
        <v/>
      </c>
    </row>
    <row r="286">
      <c r="A286" s="17" t="n">
        <v>34790</v>
      </c>
      <c r="B286" s="58">
        <f>VLOOKUP(Table18[[#This Row],[Date]],database!A:G,5,)</f>
        <v/>
      </c>
      <c r="C286" s="66">
        <f>B286/B285-1</f>
        <v/>
      </c>
      <c r="D286" s="66">
        <f>(Table18[[#This Row],[Index]]-B274)/B274</f>
        <v/>
      </c>
    </row>
    <row r="287">
      <c r="A287" s="17" t="n">
        <v>34820</v>
      </c>
      <c r="B287" s="58">
        <f>VLOOKUP(Table18[[#This Row],[Date]],database!A:G,5,)</f>
        <v/>
      </c>
      <c r="C287" s="66">
        <f>B287/B286-1</f>
        <v/>
      </c>
      <c r="D287" s="66">
        <f>(Table18[[#This Row],[Index]]-B275)/B275</f>
        <v/>
      </c>
    </row>
    <row r="288">
      <c r="A288" s="17" t="n">
        <v>34851</v>
      </c>
      <c r="B288" s="58">
        <f>VLOOKUP(Table18[[#This Row],[Date]],database!A:G,5,)</f>
        <v/>
      </c>
      <c r="C288" s="66">
        <f>B288/B287-1</f>
        <v/>
      </c>
      <c r="D288" s="66">
        <f>(Table18[[#This Row],[Index]]-B276)/B276</f>
        <v/>
      </c>
    </row>
    <row r="289">
      <c r="A289" s="17" t="n">
        <v>34881</v>
      </c>
      <c r="B289" s="58">
        <f>VLOOKUP(Table18[[#This Row],[Date]],database!A:G,5,)</f>
        <v/>
      </c>
      <c r="C289" s="66">
        <f>B289/B288-1</f>
        <v/>
      </c>
      <c r="D289" s="66">
        <f>(Table18[[#This Row],[Index]]-B277)/B277</f>
        <v/>
      </c>
    </row>
    <row r="290">
      <c r="A290" s="17" t="n">
        <v>34912</v>
      </c>
      <c r="B290" s="58">
        <f>VLOOKUP(Table18[[#This Row],[Date]],database!A:G,5,)</f>
        <v/>
      </c>
      <c r="C290" s="66">
        <f>B290/B289-1</f>
        <v/>
      </c>
      <c r="D290" s="66">
        <f>(Table18[[#This Row],[Index]]-B278)/B278</f>
        <v/>
      </c>
    </row>
    <row r="291">
      <c r="A291" s="17" t="n">
        <v>34943</v>
      </c>
      <c r="B291" s="58">
        <f>VLOOKUP(Table18[[#This Row],[Date]],database!A:G,5,)</f>
        <v/>
      </c>
      <c r="C291" s="66">
        <f>B291/B290-1</f>
        <v/>
      </c>
      <c r="D291" s="66">
        <f>(Table18[[#This Row],[Index]]-B279)/B279</f>
        <v/>
      </c>
    </row>
    <row r="292">
      <c r="A292" s="17" t="n">
        <v>34973</v>
      </c>
      <c r="B292" s="58">
        <f>VLOOKUP(Table18[[#This Row],[Date]],database!A:G,5,)</f>
        <v/>
      </c>
      <c r="C292" s="66">
        <f>B292/B291-1</f>
        <v/>
      </c>
      <c r="D292" s="66">
        <f>(Table18[[#This Row],[Index]]-B280)/B280</f>
        <v/>
      </c>
    </row>
    <row r="293">
      <c r="A293" s="17" t="n">
        <v>35004</v>
      </c>
      <c r="B293" s="58">
        <f>VLOOKUP(Table18[[#This Row],[Date]],database!A:G,5,)</f>
        <v/>
      </c>
      <c r="C293" s="66">
        <f>B293/B292-1</f>
        <v/>
      </c>
      <c r="D293" s="66">
        <f>(Table18[[#This Row],[Index]]-B281)/B281</f>
        <v/>
      </c>
    </row>
    <row r="294">
      <c r="A294" s="17" t="n">
        <v>35034</v>
      </c>
      <c r="B294" s="58">
        <f>VLOOKUP(Table18[[#This Row],[Date]],database!A:G,5,)</f>
        <v/>
      </c>
      <c r="C294" s="66">
        <f>B294/B293-1</f>
        <v/>
      </c>
      <c r="D294" s="66">
        <f>(Table18[[#This Row],[Index]]-B282)/B282</f>
        <v/>
      </c>
    </row>
    <row r="295">
      <c r="A295" s="17" t="n">
        <v>35065</v>
      </c>
      <c r="B295" s="58">
        <f>VLOOKUP(Table18[[#This Row],[Date]],database!A:G,5,)</f>
        <v/>
      </c>
      <c r="C295" s="66">
        <f>B295/B294-1</f>
        <v/>
      </c>
      <c r="D295" s="66">
        <f>(Table18[[#This Row],[Index]]-B283)/B283</f>
        <v/>
      </c>
    </row>
    <row r="296">
      <c r="A296" s="17" t="n">
        <v>35096</v>
      </c>
      <c r="B296" s="58">
        <f>VLOOKUP(Table18[[#This Row],[Date]],database!A:G,5,)</f>
        <v/>
      </c>
      <c r="C296" s="66">
        <f>B296/B295-1</f>
        <v/>
      </c>
      <c r="D296" s="66">
        <f>(Table18[[#This Row],[Index]]-B284)/B284</f>
        <v/>
      </c>
    </row>
    <row r="297">
      <c r="A297" s="17" t="n">
        <v>35125</v>
      </c>
      <c r="B297" s="58">
        <f>VLOOKUP(Table18[[#This Row],[Date]],database!A:G,5,)</f>
        <v/>
      </c>
      <c r="C297" s="66">
        <f>B297/B296-1</f>
        <v/>
      </c>
      <c r="D297" s="66">
        <f>(Table18[[#This Row],[Index]]-B285)/B285</f>
        <v/>
      </c>
    </row>
    <row r="298">
      <c r="A298" s="17" t="n">
        <v>35156</v>
      </c>
      <c r="B298" s="58">
        <f>VLOOKUP(Table18[[#This Row],[Date]],database!A:G,5,)</f>
        <v/>
      </c>
      <c r="C298" s="66">
        <f>B298/B297-1</f>
        <v/>
      </c>
      <c r="D298" s="66">
        <f>(Table18[[#This Row],[Index]]-B286)/B286</f>
        <v/>
      </c>
    </row>
    <row r="299">
      <c r="A299" s="17" t="n">
        <v>35186</v>
      </c>
      <c r="B299" s="58">
        <f>VLOOKUP(Table18[[#This Row],[Date]],database!A:G,5,)</f>
        <v/>
      </c>
      <c r="C299" s="66">
        <f>B299/B298-1</f>
        <v/>
      </c>
      <c r="D299" s="66">
        <f>(Table18[[#This Row],[Index]]-B287)/B287</f>
        <v/>
      </c>
    </row>
    <row r="300">
      <c r="A300" s="17" t="n">
        <v>35217</v>
      </c>
      <c r="B300" s="58">
        <f>VLOOKUP(Table18[[#This Row],[Date]],database!A:G,5,)</f>
        <v/>
      </c>
      <c r="C300" s="66">
        <f>B300/B299-1</f>
        <v/>
      </c>
      <c r="D300" s="66">
        <f>(Table18[[#This Row],[Index]]-B288)/B288</f>
        <v/>
      </c>
    </row>
    <row r="301">
      <c r="A301" s="17" t="n">
        <v>35247</v>
      </c>
      <c r="B301" s="58">
        <f>VLOOKUP(Table18[[#This Row],[Date]],database!A:G,5,)</f>
        <v/>
      </c>
      <c r="C301" s="66">
        <f>B301/B300-1</f>
        <v/>
      </c>
      <c r="D301" s="66">
        <f>(Table18[[#This Row],[Index]]-B289)/B289</f>
        <v/>
      </c>
    </row>
    <row r="302">
      <c r="A302" s="17" t="n">
        <v>35278</v>
      </c>
      <c r="B302" s="58">
        <f>VLOOKUP(Table18[[#This Row],[Date]],database!A:G,5,)</f>
        <v/>
      </c>
      <c r="C302" s="66">
        <f>B302/B301-1</f>
        <v/>
      </c>
      <c r="D302" s="66">
        <f>(Table18[[#This Row],[Index]]-B290)/B290</f>
        <v/>
      </c>
    </row>
    <row r="303">
      <c r="A303" s="17" t="n">
        <v>35309</v>
      </c>
      <c r="B303" s="58">
        <f>VLOOKUP(Table18[[#This Row],[Date]],database!A:G,5,)</f>
        <v/>
      </c>
      <c r="C303" s="66">
        <f>B303/B302-1</f>
        <v/>
      </c>
      <c r="D303" s="66">
        <f>(Table18[[#This Row],[Index]]-B291)/B291</f>
        <v/>
      </c>
    </row>
    <row r="304">
      <c r="A304" s="17" t="n">
        <v>35339</v>
      </c>
      <c r="B304" s="58">
        <f>VLOOKUP(Table18[[#This Row],[Date]],database!A:G,5,)</f>
        <v/>
      </c>
      <c r="C304" s="66">
        <f>B304/B303-1</f>
        <v/>
      </c>
      <c r="D304" s="66">
        <f>(Table18[[#This Row],[Index]]-B292)/B292</f>
        <v/>
      </c>
    </row>
    <row r="305">
      <c r="A305" s="17" t="n">
        <v>35370</v>
      </c>
      <c r="B305" s="58">
        <f>VLOOKUP(Table18[[#This Row],[Date]],database!A:G,5,)</f>
        <v/>
      </c>
      <c r="C305" s="66">
        <f>B305/B304-1</f>
        <v/>
      </c>
      <c r="D305" s="66">
        <f>(Table18[[#This Row],[Index]]-B293)/B293</f>
        <v/>
      </c>
    </row>
    <row r="306">
      <c r="A306" s="17" t="n">
        <v>35400</v>
      </c>
      <c r="B306" s="58">
        <f>VLOOKUP(Table18[[#This Row],[Date]],database!A:G,5,)</f>
        <v/>
      </c>
      <c r="C306" s="66">
        <f>B306/B305-1</f>
        <v/>
      </c>
      <c r="D306" s="66">
        <f>(Table18[[#This Row],[Index]]-B294)/B294</f>
        <v/>
      </c>
    </row>
    <row r="307">
      <c r="A307" s="17" t="n">
        <v>35431</v>
      </c>
      <c r="B307" s="58">
        <f>VLOOKUP(Table18[[#This Row],[Date]],database!A:G,5,)</f>
        <v/>
      </c>
      <c r="C307" s="66">
        <f>B307/B306-1</f>
        <v/>
      </c>
      <c r="D307" s="66">
        <f>(Table18[[#This Row],[Index]]-B295)/B295</f>
        <v/>
      </c>
    </row>
    <row r="308">
      <c r="A308" s="17" t="n">
        <v>35462</v>
      </c>
      <c r="B308" s="58">
        <f>VLOOKUP(Table18[[#This Row],[Date]],database!A:G,5,)</f>
        <v/>
      </c>
      <c r="C308" s="66">
        <f>B308/B307-1</f>
        <v/>
      </c>
      <c r="D308" s="66">
        <f>(Table18[[#This Row],[Index]]-B296)/B296</f>
        <v/>
      </c>
    </row>
    <row r="309">
      <c r="A309" s="17" t="n">
        <v>35490</v>
      </c>
      <c r="B309" s="58">
        <f>VLOOKUP(Table18[[#This Row],[Date]],database!A:G,5,)</f>
        <v/>
      </c>
      <c r="C309" s="66">
        <f>B309/B308-1</f>
        <v/>
      </c>
      <c r="D309" s="66">
        <f>(Table18[[#This Row],[Index]]-B297)/B297</f>
        <v/>
      </c>
    </row>
    <row r="310">
      <c r="A310" s="17" t="n">
        <v>35521</v>
      </c>
      <c r="B310" s="58">
        <f>VLOOKUP(Table18[[#This Row],[Date]],database!A:G,5,)</f>
        <v/>
      </c>
      <c r="C310" s="66">
        <f>B310/B309-1</f>
        <v/>
      </c>
      <c r="D310" s="66">
        <f>(Table18[[#This Row],[Index]]-B298)/B298</f>
        <v/>
      </c>
    </row>
    <row r="311">
      <c r="A311" s="17" t="n">
        <v>35551</v>
      </c>
      <c r="B311" s="58">
        <f>VLOOKUP(Table18[[#This Row],[Date]],database!A:G,5,)</f>
        <v/>
      </c>
      <c r="C311" s="66">
        <f>B311/B310-1</f>
        <v/>
      </c>
      <c r="D311" s="66">
        <f>(Table18[[#This Row],[Index]]-B299)/B299</f>
        <v/>
      </c>
    </row>
    <row r="312">
      <c r="A312" s="17" t="n">
        <v>35582</v>
      </c>
      <c r="B312" s="58">
        <f>VLOOKUP(Table18[[#This Row],[Date]],database!A:G,5,)</f>
        <v/>
      </c>
      <c r="C312" s="66">
        <f>B312/B311-1</f>
        <v/>
      </c>
      <c r="D312" s="66">
        <f>(Table18[[#This Row],[Index]]-B300)/B300</f>
        <v/>
      </c>
    </row>
    <row r="313">
      <c r="A313" s="17" t="n">
        <v>35612</v>
      </c>
      <c r="B313" s="58">
        <f>VLOOKUP(Table18[[#This Row],[Date]],database!A:G,5,)</f>
        <v/>
      </c>
      <c r="C313" s="66">
        <f>B313/B312-1</f>
        <v/>
      </c>
      <c r="D313" s="66">
        <f>(Table18[[#This Row],[Index]]-B301)/B301</f>
        <v/>
      </c>
    </row>
    <row r="314">
      <c r="A314" s="17" t="n">
        <v>35643</v>
      </c>
      <c r="B314" s="58">
        <f>VLOOKUP(Table18[[#This Row],[Date]],database!A:G,5,)</f>
        <v/>
      </c>
      <c r="C314" s="66">
        <f>B314/B313-1</f>
        <v/>
      </c>
      <c r="D314" s="66">
        <f>(Table18[[#This Row],[Index]]-B302)/B302</f>
        <v/>
      </c>
    </row>
    <row r="315">
      <c r="A315" s="17" t="n">
        <v>35674</v>
      </c>
      <c r="B315" s="58">
        <f>VLOOKUP(Table18[[#This Row],[Date]],database!A:G,5,)</f>
        <v/>
      </c>
      <c r="C315" s="66">
        <f>B315/B314-1</f>
        <v/>
      </c>
      <c r="D315" s="66">
        <f>(Table18[[#This Row],[Index]]-B303)/B303</f>
        <v/>
      </c>
    </row>
    <row r="316">
      <c r="A316" s="17" t="n">
        <v>35704</v>
      </c>
      <c r="B316" s="58">
        <f>VLOOKUP(Table18[[#This Row],[Date]],database!A:G,5,)</f>
        <v/>
      </c>
      <c r="C316" s="66">
        <f>B316/B315-1</f>
        <v/>
      </c>
      <c r="D316" s="66">
        <f>(Table18[[#This Row],[Index]]-B304)/B304</f>
        <v/>
      </c>
    </row>
    <row r="317">
      <c r="A317" s="17" t="n">
        <v>35735</v>
      </c>
      <c r="B317" s="58">
        <f>VLOOKUP(Table18[[#This Row],[Date]],database!A:G,5,)</f>
        <v/>
      </c>
      <c r="C317" s="66">
        <f>B317/B316-1</f>
        <v/>
      </c>
      <c r="D317" s="66">
        <f>(Table18[[#This Row],[Index]]-B305)/B305</f>
        <v/>
      </c>
    </row>
    <row r="318">
      <c r="A318" s="17" t="n">
        <v>35765</v>
      </c>
      <c r="B318" s="58">
        <f>VLOOKUP(Table18[[#This Row],[Date]],database!A:G,5,)</f>
        <v/>
      </c>
      <c r="C318" s="66">
        <f>B318/B317-1</f>
        <v/>
      </c>
      <c r="D318" s="66">
        <f>(Table18[[#This Row],[Index]]-B306)/B306</f>
        <v/>
      </c>
    </row>
    <row r="319">
      <c r="A319" s="17" t="n">
        <v>35796</v>
      </c>
      <c r="B319" s="58">
        <f>VLOOKUP(Table18[[#This Row],[Date]],database!A:G,5,)</f>
        <v/>
      </c>
      <c r="C319" s="66">
        <f>B319/B318-1</f>
        <v/>
      </c>
      <c r="D319" s="66">
        <f>(Table18[[#This Row],[Index]]-B307)/B307</f>
        <v/>
      </c>
    </row>
    <row r="320">
      <c r="A320" s="17" t="n">
        <v>35827</v>
      </c>
      <c r="B320" s="58">
        <f>VLOOKUP(Table18[[#This Row],[Date]],database!A:G,5,)</f>
        <v/>
      </c>
      <c r="C320" s="66">
        <f>B320/B319-1</f>
        <v/>
      </c>
      <c r="D320" s="66">
        <f>(Table18[[#This Row],[Index]]-B308)/B308</f>
        <v/>
      </c>
    </row>
    <row r="321">
      <c r="A321" s="17" t="n">
        <v>35855</v>
      </c>
      <c r="B321" s="58">
        <f>VLOOKUP(Table18[[#This Row],[Date]],database!A:G,5,)</f>
        <v/>
      </c>
      <c r="C321" s="66">
        <f>B321/B320-1</f>
        <v/>
      </c>
      <c r="D321" s="66">
        <f>(Table18[[#This Row],[Index]]-B309)/B309</f>
        <v/>
      </c>
    </row>
    <row r="322">
      <c r="A322" s="17" t="n">
        <v>35886</v>
      </c>
      <c r="B322" s="58">
        <f>VLOOKUP(Table18[[#This Row],[Date]],database!A:G,5,)</f>
        <v/>
      </c>
      <c r="C322" s="66">
        <f>B322/B321-1</f>
        <v/>
      </c>
      <c r="D322" s="66">
        <f>(Table18[[#This Row],[Index]]-B310)/B310</f>
        <v/>
      </c>
    </row>
    <row r="323">
      <c r="A323" s="17" t="n">
        <v>35916</v>
      </c>
      <c r="B323" s="58">
        <f>VLOOKUP(Table18[[#This Row],[Date]],database!A:G,5,)</f>
        <v/>
      </c>
      <c r="C323" s="66">
        <f>B323/B322-1</f>
        <v/>
      </c>
      <c r="D323" s="66">
        <f>(Table18[[#This Row],[Index]]-B311)/B311</f>
        <v/>
      </c>
    </row>
    <row r="324">
      <c r="A324" s="17" t="n">
        <v>35947</v>
      </c>
      <c r="B324" s="58">
        <f>VLOOKUP(Table18[[#This Row],[Date]],database!A:G,5,)</f>
        <v/>
      </c>
      <c r="C324" s="66">
        <f>B324/B323-1</f>
        <v/>
      </c>
      <c r="D324" s="66">
        <f>(Table18[[#This Row],[Index]]-B312)/B312</f>
        <v/>
      </c>
    </row>
    <row r="325">
      <c r="A325" s="17" t="n">
        <v>35977</v>
      </c>
      <c r="B325" s="58">
        <f>VLOOKUP(Table18[[#This Row],[Date]],database!A:G,5,)</f>
        <v/>
      </c>
      <c r="C325" s="66">
        <f>B325/B324-1</f>
        <v/>
      </c>
      <c r="D325" s="66">
        <f>(Table18[[#This Row],[Index]]-B313)/B313</f>
        <v/>
      </c>
    </row>
    <row r="326">
      <c r="A326" s="17" t="n">
        <v>36008</v>
      </c>
      <c r="B326" s="58">
        <f>VLOOKUP(Table18[[#This Row],[Date]],database!A:G,5,)</f>
        <v/>
      </c>
      <c r="C326" s="66">
        <f>B326/B325-1</f>
        <v/>
      </c>
      <c r="D326" s="66">
        <f>(Table18[[#This Row],[Index]]-B314)/B314</f>
        <v/>
      </c>
    </row>
    <row r="327">
      <c r="A327" s="17" t="n">
        <v>36039</v>
      </c>
      <c r="B327" s="58">
        <f>VLOOKUP(Table18[[#This Row],[Date]],database!A:G,5,)</f>
        <v/>
      </c>
      <c r="C327" s="66">
        <f>B327/B326-1</f>
        <v/>
      </c>
      <c r="D327" s="66">
        <f>(Table18[[#This Row],[Index]]-B315)/B315</f>
        <v/>
      </c>
    </row>
    <row r="328">
      <c r="A328" s="17" t="n">
        <v>36069</v>
      </c>
      <c r="B328" s="58">
        <f>VLOOKUP(Table18[[#This Row],[Date]],database!A:G,5,)</f>
        <v/>
      </c>
      <c r="C328" s="66">
        <f>B328/B327-1</f>
        <v/>
      </c>
      <c r="D328" s="66">
        <f>(Table18[[#This Row],[Index]]-B316)/B316</f>
        <v/>
      </c>
    </row>
    <row r="329">
      <c r="A329" s="17" t="n">
        <v>36100</v>
      </c>
      <c r="B329" s="58">
        <f>VLOOKUP(Table18[[#This Row],[Date]],database!A:G,5,)</f>
        <v/>
      </c>
      <c r="C329" s="66">
        <f>B329/B328-1</f>
        <v/>
      </c>
      <c r="D329" s="66">
        <f>(Table18[[#This Row],[Index]]-B317)/B317</f>
        <v/>
      </c>
    </row>
    <row r="330">
      <c r="A330" s="17" t="n">
        <v>36130</v>
      </c>
      <c r="B330" s="58">
        <f>VLOOKUP(Table18[[#This Row],[Date]],database!A:G,5,)</f>
        <v/>
      </c>
      <c r="C330" s="66">
        <f>B330/B329-1</f>
        <v/>
      </c>
      <c r="D330" s="66">
        <f>(Table18[[#This Row],[Index]]-B318)/B318</f>
        <v/>
      </c>
    </row>
    <row r="331">
      <c r="A331" s="17" t="n">
        <v>36161</v>
      </c>
      <c r="B331" s="58">
        <f>VLOOKUP(Table18[[#This Row],[Date]],database!A:G,5,)</f>
        <v/>
      </c>
      <c r="C331" s="66">
        <f>B331/B330-1</f>
        <v/>
      </c>
      <c r="D331" s="66">
        <f>(Table18[[#This Row],[Index]]-B319)/B319</f>
        <v/>
      </c>
    </row>
    <row r="332">
      <c r="A332" s="17" t="n">
        <v>36192</v>
      </c>
      <c r="B332" s="58">
        <f>VLOOKUP(Table18[[#This Row],[Date]],database!A:G,5,)</f>
        <v/>
      </c>
      <c r="C332" s="66">
        <f>B332/B331-1</f>
        <v/>
      </c>
      <c r="D332" s="66">
        <f>(Table18[[#This Row],[Index]]-B320)/B320</f>
        <v/>
      </c>
    </row>
    <row r="333">
      <c r="A333" s="17" t="n">
        <v>36220</v>
      </c>
      <c r="B333" s="58">
        <f>VLOOKUP(Table18[[#This Row],[Date]],database!A:G,5,)</f>
        <v/>
      </c>
      <c r="C333" s="66">
        <f>B333/B332-1</f>
        <v/>
      </c>
      <c r="D333" s="66">
        <f>(Table18[[#This Row],[Index]]-B321)/B321</f>
        <v/>
      </c>
    </row>
    <row r="334">
      <c r="A334" s="17" t="n">
        <v>36251</v>
      </c>
      <c r="B334" s="58">
        <f>VLOOKUP(Table18[[#This Row],[Date]],database!A:G,5,)</f>
        <v/>
      </c>
      <c r="C334" s="66">
        <f>B334/B333-1</f>
        <v/>
      </c>
      <c r="D334" s="66">
        <f>(Table18[[#This Row],[Index]]-B322)/B322</f>
        <v/>
      </c>
    </row>
    <row r="335">
      <c r="A335" s="17" t="n">
        <v>36281</v>
      </c>
      <c r="B335" s="58">
        <f>VLOOKUP(Table18[[#This Row],[Date]],database!A:G,5,)</f>
        <v/>
      </c>
      <c r="C335" s="66">
        <f>B335/B334-1</f>
        <v/>
      </c>
      <c r="D335" s="66">
        <f>(Table18[[#This Row],[Index]]-B323)/B323</f>
        <v/>
      </c>
    </row>
    <row r="336">
      <c r="A336" s="17" t="n">
        <v>36312</v>
      </c>
      <c r="B336" s="58">
        <f>VLOOKUP(Table18[[#This Row],[Date]],database!A:G,5,)</f>
        <v/>
      </c>
      <c r="C336" s="66">
        <f>B336/B335-1</f>
        <v/>
      </c>
      <c r="D336" s="66">
        <f>(Table18[[#This Row],[Index]]-B324)/B324</f>
        <v/>
      </c>
    </row>
    <row r="337">
      <c r="A337" s="17" t="n">
        <v>36342</v>
      </c>
      <c r="B337" s="58">
        <f>VLOOKUP(Table18[[#This Row],[Date]],database!A:G,5,)</f>
        <v/>
      </c>
      <c r="C337" s="66">
        <f>B337/B336-1</f>
        <v/>
      </c>
      <c r="D337" s="66">
        <f>(Table18[[#This Row],[Index]]-B325)/B325</f>
        <v/>
      </c>
    </row>
    <row r="338">
      <c r="A338" s="17" t="n">
        <v>36373</v>
      </c>
      <c r="B338" s="58">
        <f>VLOOKUP(Table18[[#This Row],[Date]],database!A:G,5,)</f>
        <v/>
      </c>
      <c r="C338" s="66">
        <f>B338/B337-1</f>
        <v/>
      </c>
      <c r="D338" s="66">
        <f>(Table18[[#This Row],[Index]]-B326)/B326</f>
        <v/>
      </c>
    </row>
    <row r="339">
      <c r="A339" s="17" t="n">
        <v>36404</v>
      </c>
      <c r="B339" s="58">
        <f>VLOOKUP(Table18[[#This Row],[Date]],database!A:G,5,)</f>
        <v/>
      </c>
      <c r="C339" s="66">
        <f>B339/B338-1</f>
        <v/>
      </c>
      <c r="D339" s="66">
        <f>(Table18[[#This Row],[Index]]-B327)/B327</f>
        <v/>
      </c>
    </row>
    <row r="340">
      <c r="A340" s="17" t="n">
        <v>36434</v>
      </c>
      <c r="B340" s="58">
        <f>VLOOKUP(Table18[[#This Row],[Date]],database!A:G,5,)</f>
        <v/>
      </c>
      <c r="C340" s="66">
        <f>B340/B339-1</f>
        <v/>
      </c>
      <c r="D340" s="66">
        <f>(Table18[[#This Row],[Index]]-B328)/B328</f>
        <v/>
      </c>
    </row>
    <row r="341">
      <c r="A341" s="17" t="n">
        <v>36465</v>
      </c>
      <c r="B341" s="58">
        <f>VLOOKUP(Table18[[#This Row],[Date]],database!A:G,5,)</f>
        <v/>
      </c>
      <c r="C341" s="66">
        <f>B341/B340-1</f>
        <v/>
      </c>
      <c r="D341" s="66">
        <f>(Table18[[#This Row],[Index]]-B329)/B329</f>
        <v/>
      </c>
    </row>
    <row r="342">
      <c r="A342" s="17" t="n">
        <v>36495</v>
      </c>
      <c r="B342" s="58">
        <f>VLOOKUP(Table18[[#This Row],[Date]],database!A:G,5,)</f>
        <v/>
      </c>
      <c r="C342" s="66">
        <f>B342/B341-1</f>
        <v/>
      </c>
      <c r="D342" s="66">
        <f>(Table18[[#This Row],[Index]]-B330)/B330</f>
        <v/>
      </c>
    </row>
    <row r="343">
      <c r="A343" s="17" t="n">
        <v>36526</v>
      </c>
      <c r="B343" s="58">
        <f>VLOOKUP(Table18[[#This Row],[Date]],database!A:G,5,)</f>
        <v/>
      </c>
      <c r="C343" s="66">
        <f>B343/B342-1</f>
        <v/>
      </c>
      <c r="D343" s="66">
        <f>(Table18[[#This Row],[Index]]-B331)/B331</f>
        <v/>
      </c>
    </row>
    <row r="344">
      <c r="A344" s="17" t="n">
        <v>36557</v>
      </c>
      <c r="B344" s="58">
        <f>VLOOKUP(Table18[[#This Row],[Date]],database!A:G,5,)</f>
        <v/>
      </c>
      <c r="C344" s="66">
        <f>B344/B343-1</f>
        <v/>
      </c>
      <c r="D344" s="66">
        <f>(Table18[[#This Row],[Index]]-B332)/B332</f>
        <v/>
      </c>
    </row>
    <row r="345">
      <c r="A345" s="17" t="n">
        <v>36586</v>
      </c>
      <c r="B345" s="58">
        <f>VLOOKUP(Table18[[#This Row],[Date]],database!A:G,5,)</f>
        <v/>
      </c>
      <c r="C345" s="66">
        <f>B345/B344-1</f>
        <v/>
      </c>
      <c r="D345" s="66">
        <f>(Table18[[#This Row],[Index]]-B333)/B333</f>
        <v/>
      </c>
    </row>
    <row r="346">
      <c r="A346" s="17" t="n">
        <v>36617</v>
      </c>
      <c r="B346" s="58">
        <f>VLOOKUP(Table18[[#This Row],[Date]],database!A:G,5,)</f>
        <v/>
      </c>
      <c r="C346" s="66">
        <f>B346/B345-1</f>
        <v/>
      </c>
      <c r="D346" s="66">
        <f>(Table18[[#This Row],[Index]]-B334)/B334</f>
        <v/>
      </c>
    </row>
    <row r="347">
      <c r="A347" s="17" t="n">
        <v>36647</v>
      </c>
      <c r="B347" s="58">
        <f>VLOOKUP(Table18[[#This Row],[Date]],database!A:G,5,)</f>
        <v/>
      </c>
      <c r="C347" s="66">
        <f>B347/B346-1</f>
        <v/>
      </c>
      <c r="D347" s="66">
        <f>(Table18[[#This Row],[Index]]-B335)/B335</f>
        <v/>
      </c>
    </row>
    <row r="348">
      <c r="A348" s="17" t="n">
        <v>36678</v>
      </c>
      <c r="B348" s="58">
        <f>VLOOKUP(Table18[[#This Row],[Date]],database!A:G,5,)</f>
        <v/>
      </c>
      <c r="C348" s="66">
        <f>B348/B347-1</f>
        <v/>
      </c>
      <c r="D348" s="66">
        <f>(Table18[[#This Row],[Index]]-B336)/B336</f>
        <v/>
      </c>
    </row>
    <row r="349">
      <c r="A349" s="17" t="n">
        <v>36708</v>
      </c>
      <c r="B349" s="58">
        <f>VLOOKUP(Table18[[#This Row],[Date]],database!A:G,5,)</f>
        <v/>
      </c>
      <c r="C349" s="66">
        <f>B349/B348-1</f>
        <v/>
      </c>
      <c r="D349" s="66">
        <f>(Table18[[#This Row],[Index]]-B337)/B337</f>
        <v/>
      </c>
    </row>
    <row r="350">
      <c r="A350" s="17" t="n">
        <v>36739</v>
      </c>
      <c r="B350" s="58">
        <f>VLOOKUP(Table18[[#This Row],[Date]],database!A:G,5,)</f>
        <v/>
      </c>
      <c r="C350" s="66">
        <f>B350/B349-1</f>
        <v/>
      </c>
      <c r="D350" s="66">
        <f>(Table18[[#This Row],[Index]]-B338)/B338</f>
        <v/>
      </c>
    </row>
    <row r="351">
      <c r="A351" s="17" t="n">
        <v>36770</v>
      </c>
      <c r="B351" s="58">
        <f>VLOOKUP(Table18[[#This Row],[Date]],database!A:G,5,)</f>
        <v/>
      </c>
      <c r="C351" s="66">
        <f>B351/B350-1</f>
        <v/>
      </c>
      <c r="D351" s="66">
        <f>(Table18[[#This Row],[Index]]-B339)/B339</f>
        <v/>
      </c>
    </row>
    <row r="352">
      <c r="A352" s="17" t="n">
        <v>36800</v>
      </c>
      <c r="B352" s="58">
        <f>VLOOKUP(Table18[[#This Row],[Date]],database!A:G,5,)</f>
        <v/>
      </c>
      <c r="C352" s="66">
        <f>B352/B351-1</f>
        <v/>
      </c>
      <c r="D352" s="66">
        <f>(Table18[[#This Row],[Index]]-B340)/B340</f>
        <v/>
      </c>
    </row>
    <row r="353">
      <c r="A353" s="17" t="n">
        <v>36831</v>
      </c>
      <c r="B353" s="58">
        <f>VLOOKUP(Table18[[#This Row],[Date]],database!A:G,5,)</f>
        <v/>
      </c>
      <c r="C353" s="66">
        <f>B353/B352-1</f>
        <v/>
      </c>
      <c r="D353" s="66">
        <f>(Table18[[#This Row],[Index]]-B341)/B341</f>
        <v/>
      </c>
    </row>
    <row r="354">
      <c r="A354" s="17" t="n">
        <v>36861</v>
      </c>
      <c r="B354" s="58">
        <f>VLOOKUP(Table18[[#This Row],[Date]],database!A:G,5,)</f>
        <v/>
      </c>
      <c r="C354" s="66">
        <f>B354/B353-1</f>
        <v/>
      </c>
      <c r="D354" s="66">
        <f>(Table18[[#This Row],[Index]]-B342)/B342</f>
        <v/>
      </c>
    </row>
    <row r="355">
      <c r="A355" s="17" t="n">
        <v>36892</v>
      </c>
      <c r="B355" s="58">
        <f>VLOOKUP(Table18[[#This Row],[Date]],database!A:G,5,)</f>
        <v/>
      </c>
      <c r="C355" s="66">
        <f>B355/B354-1</f>
        <v/>
      </c>
      <c r="D355" s="66">
        <f>(Table18[[#This Row],[Index]]-B343)/B343</f>
        <v/>
      </c>
    </row>
    <row r="356">
      <c r="A356" s="17" t="n">
        <v>36923</v>
      </c>
      <c r="B356" s="58">
        <f>VLOOKUP(Table18[[#This Row],[Date]],database!A:G,5,)</f>
        <v/>
      </c>
      <c r="C356" s="66">
        <f>B356/B355-1</f>
        <v/>
      </c>
      <c r="D356" s="66">
        <f>(Table18[[#This Row],[Index]]-B344)/B344</f>
        <v/>
      </c>
    </row>
    <row r="357">
      <c r="A357" s="17" t="n">
        <v>36951</v>
      </c>
      <c r="B357" s="58">
        <f>VLOOKUP(Table18[[#This Row],[Date]],database!A:G,5,)</f>
        <v/>
      </c>
      <c r="C357" s="66">
        <f>B357/B356-1</f>
        <v/>
      </c>
      <c r="D357" s="66">
        <f>(Table18[[#This Row],[Index]]-B345)/B345</f>
        <v/>
      </c>
    </row>
    <row r="358">
      <c r="A358" s="17" t="n">
        <v>36982</v>
      </c>
      <c r="B358" s="58">
        <f>VLOOKUP(Table18[[#This Row],[Date]],database!A:G,5,)</f>
        <v/>
      </c>
      <c r="C358" s="66">
        <f>B358/B357-1</f>
        <v/>
      </c>
      <c r="D358" s="66">
        <f>(Table18[[#This Row],[Index]]-B346)/B346</f>
        <v/>
      </c>
    </row>
    <row r="359">
      <c r="A359" s="17" t="n">
        <v>37012</v>
      </c>
      <c r="B359" s="58">
        <f>VLOOKUP(Table18[[#This Row],[Date]],database!A:G,5,)</f>
        <v/>
      </c>
      <c r="C359" s="66">
        <f>B359/B358-1</f>
        <v/>
      </c>
      <c r="D359" s="66">
        <f>(Table18[[#This Row],[Index]]-B347)/B347</f>
        <v/>
      </c>
    </row>
    <row r="360">
      <c r="A360" s="17" t="n">
        <v>37043</v>
      </c>
      <c r="B360" s="58">
        <f>VLOOKUP(Table18[[#This Row],[Date]],database!A:G,5,)</f>
        <v/>
      </c>
      <c r="C360" s="66">
        <f>B360/B359-1</f>
        <v/>
      </c>
      <c r="D360" s="66">
        <f>(Table18[[#This Row],[Index]]-B348)/B348</f>
        <v/>
      </c>
    </row>
    <row r="361">
      <c r="A361" s="17" t="n">
        <v>37073</v>
      </c>
      <c r="B361" s="58">
        <f>VLOOKUP(Table18[[#This Row],[Date]],database!A:G,5,)</f>
        <v/>
      </c>
      <c r="C361" s="66">
        <f>B361/B360-1</f>
        <v/>
      </c>
      <c r="D361" s="66">
        <f>(Table18[[#This Row],[Index]]-B349)/B349</f>
        <v/>
      </c>
    </row>
    <row r="362">
      <c r="A362" s="17" t="n">
        <v>37104</v>
      </c>
      <c r="B362" s="58">
        <f>VLOOKUP(Table18[[#This Row],[Date]],database!A:G,5,)</f>
        <v/>
      </c>
      <c r="C362" s="66">
        <f>B362/B361-1</f>
        <v/>
      </c>
      <c r="D362" s="66">
        <f>(Table18[[#This Row],[Index]]-B350)/B350</f>
        <v/>
      </c>
    </row>
    <row r="363">
      <c r="A363" s="17" t="n">
        <v>37135</v>
      </c>
      <c r="B363" s="58">
        <f>VLOOKUP(Table18[[#This Row],[Date]],database!A:G,5,)</f>
        <v/>
      </c>
      <c r="C363" s="66">
        <f>B363/B362-1</f>
        <v/>
      </c>
      <c r="D363" s="66">
        <f>(Table18[[#This Row],[Index]]-B351)/B351</f>
        <v/>
      </c>
    </row>
    <row r="364">
      <c r="A364" s="17" t="n">
        <v>37165</v>
      </c>
      <c r="B364" s="58">
        <f>VLOOKUP(Table18[[#This Row],[Date]],database!A:G,5,)</f>
        <v/>
      </c>
      <c r="C364" s="66">
        <f>B364/B363-1</f>
        <v/>
      </c>
      <c r="D364" s="66">
        <f>(Table18[[#This Row],[Index]]-B352)/B352</f>
        <v/>
      </c>
    </row>
    <row r="365">
      <c r="A365" s="17" t="n">
        <v>37196</v>
      </c>
      <c r="B365" s="58">
        <f>VLOOKUP(Table18[[#This Row],[Date]],database!A:G,5,)</f>
        <v/>
      </c>
      <c r="C365" s="66">
        <f>B365/B364-1</f>
        <v/>
      </c>
      <c r="D365" s="66">
        <f>(Table18[[#This Row],[Index]]-B353)/B353</f>
        <v/>
      </c>
    </row>
    <row r="366">
      <c r="A366" s="17" t="n">
        <v>37226</v>
      </c>
      <c r="B366" s="58">
        <f>VLOOKUP(Table18[[#This Row],[Date]],database!A:G,5,)</f>
        <v/>
      </c>
      <c r="C366" s="66">
        <f>B366/B365-1</f>
        <v/>
      </c>
      <c r="D366" s="66">
        <f>(Table18[[#This Row],[Index]]-B354)/B354</f>
        <v/>
      </c>
    </row>
    <row r="367">
      <c r="A367" s="17" t="n">
        <v>37257</v>
      </c>
      <c r="B367" s="58">
        <f>VLOOKUP(Table18[[#This Row],[Date]],database!A:G,5,)</f>
        <v/>
      </c>
      <c r="C367" s="66">
        <f>B367/B366-1</f>
        <v/>
      </c>
      <c r="D367" s="66">
        <f>(Table18[[#This Row],[Index]]-B355)/B355</f>
        <v/>
      </c>
    </row>
    <row r="368">
      <c r="A368" s="17" t="n">
        <v>37288</v>
      </c>
      <c r="B368" s="58">
        <f>VLOOKUP(Table18[[#This Row],[Date]],database!A:G,5,)</f>
        <v/>
      </c>
      <c r="C368" s="66">
        <f>B368/B367-1</f>
        <v/>
      </c>
      <c r="D368" s="66">
        <f>(Table18[[#This Row],[Index]]-B356)/B356</f>
        <v/>
      </c>
    </row>
    <row r="369">
      <c r="A369" s="17" t="n">
        <v>37316</v>
      </c>
      <c r="B369" s="58">
        <f>VLOOKUP(Table18[[#This Row],[Date]],database!A:G,5,)</f>
        <v/>
      </c>
      <c r="C369" s="66">
        <f>B369/B368-1</f>
        <v/>
      </c>
      <c r="D369" s="66">
        <f>(Table18[[#This Row],[Index]]-B357)/B357</f>
        <v/>
      </c>
    </row>
    <row r="370">
      <c r="A370" s="17" t="n">
        <v>37347</v>
      </c>
      <c r="B370" s="58">
        <f>VLOOKUP(Table18[[#This Row],[Date]],database!A:G,5,)</f>
        <v/>
      </c>
      <c r="C370" s="66">
        <f>B370/B369-1</f>
        <v/>
      </c>
      <c r="D370" s="66">
        <f>(Table18[[#This Row],[Index]]-B358)/B358</f>
        <v/>
      </c>
    </row>
    <row r="371">
      <c r="A371" s="17" t="n">
        <v>37377</v>
      </c>
      <c r="B371" s="58">
        <f>VLOOKUP(Table18[[#This Row],[Date]],database!A:G,5,)</f>
        <v/>
      </c>
      <c r="C371" s="66">
        <f>B371/B370-1</f>
        <v/>
      </c>
      <c r="D371" s="66">
        <f>(Table18[[#This Row],[Index]]-B359)/B359</f>
        <v/>
      </c>
    </row>
    <row r="372">
      <c r="A372" s="17" t="n">
        <v>37408</v>
      </c>
      <c r="B372" s="58">
        <f>VLOOKUP(Table18[[#This Row],[Date]],database!A:G,5,)</f>
        <v/>
      </c>
      <c r="C372" s="66">
        <f>B372/B371-1</f>
        <v/>
      </c>
      <c r="D372" s="66">
        <f>(Table18[[#This Row],[Index]]-B360)/B360</f>
        <v/>
      </c>
    </row>
    <row r="373">
      <c r="A373" s="17" t="n">
        <v>37438</v>
      </c>
      <c r="B373" s="58">
        <f>VLOOKUP(Table18[[#This Row],[Date]],database!A:G,5,)</f>
        <v/>
      </c>
      <c r="C373" s="66">
        <f>B373/B372-1</f>
        <v/>
      </c>
      <c r="D373" s="66">
        <f>(Table18[[#This Row],[Index]]-B361)/B361</f>
        <v/>
      </c>
    </row>
    <row r="374">
      <c r="A374" s="17" t="n">
        <v>37469</v>
      </c>
      <c r="B374" s="58">
        <f>VLOOKUP(Table18[[#This Row],[Date]],database!A:G,5,)</f>
        <v/>
      </c>
      <c r="C374" s="66">
        <f>B374/B373-1</f>
        <v/>
      </c>
      <c r="D374" s="66">
        <f>(Table18[[#This Row],[Index]]-B362)/B362</f>
        <v/>
      </c>
    </row>
    <row r="375">
      <c r="A375" s="17" t="n">
        <v>37500</v>
      </c>
      <c r="B375" s="58">
        <f>VLOOKUP(Table18[[#This Row],[Date]],database!A:G,5,)</f>
        <v/>
      </c>
      <c r="C375" s="66">
        <f>B375/B374-1</f>
        <v/>
      </c>
      <c r="D375" s="66">
        <f>(Table18[[#This Row],[Index]]-B363)/B363</f>
        <v/>
      </c>
    </row>
    <row r="376">
      <c r="A376" s="17" t="n">
        <v>37530</v>
      </c>
      <c r="B376" s="58">
        <f>VLOOKUP(Table18[[#This Row],[Date]],database!A:G,5,)</f>
        <v/>
      </c>
      <c r="C376" s="66">
        <f>B376/B375-1</f>
        <v/>
      </c>
      <c r="D376" s="66">
        <f>(Table18[[#This Row],[Index]]-B364)/B364</f>
        <v/>
      </c>
    </row>
    <row r="377">
      <c r="A377" s="17" t="n">
        <v>37561</v>
      </c>
      <c r="B377" s="58">
        <f>VLOOKUP(Table18[[#This Row],[Date]],database!A:G,5,)</f>
        <v/>
      </c>
      <c r="C377" s="66">
        <f>B377/B376-1</f>
        <v/>
      </c>
      <c r="D377" s="66">
        <f>(Table18[[#This Row],[Index]]-B365)/B365</f>
        <v/>
      </c>
    </row>
    <row r="378">
      <c r="A378" s="17" t="n">
        <v>37591</v>
      </c>
      <c r="B378" s="58">
        <f>VLOOKUP(Table18[[#This Row],[Date]],database!A:G,5,)</f>
        <v/>
      </c>
      <c r="C378" s="66">
        <f>B378/B377-1</f>
        <v/>
      </c>
      <c r="D378" s="66">
        <f>(Table18[[#This Row],[Index]]-B366)/B366</f>
        <v/>
      </c>
    </row>
    <row r="379">
      <c r="A379" s="17" t="n">
        <v>37622</v>
      </c>
      <c r="B379" s="58">
        <f>VLOOKUP(Table18[[#This Row],[Date]],database!A:G,5,)</f>
        <v/>
      </c>
      <c r="C379" s="66">
        <f>B379/B378-1</f>
        <v/>
      </c>
      <c r="D379" s="66">
        <f>(Table18[[#This Row],[Index]]-B367)/B367</f>
        <v/>
      </c>
    </row>
    <row r="380">
      <c r="A380" s="17" t="n">
        <v>37653</v>
      </c>
      <c r="B380" s="58">
        <f>VLOOKUP(Table18[[#This Row],[Date]],database!A:G,5,)</f>
        <v/>
      </c>
      <c r="C380" s="66">
        <f>B380/B379-1</f>
        <v/>
      </c>
      <c r="D380" s="66">
        <f>(Table18[[#This Row],[Index]]-B368)/B368</f>
        <v/>
      </c>
    </row>
    <row r="381">
      <c r="A381" s="17" t="n">
        <v>37681</v>
      </c>
      <c r="B381" s="58">
        <f>VLOOKUP(Table18[[#This Row],[Date]],database!A:G,5,)</f>
        <v/>
      </c>
      <c r="C381" s="66">
        <f>B381/B380-1</f>
        <v/>
      </c>
      <c r="D381" s="66">
        <f>(Table18[[#This Row],[Index]]-B369)/B369</f>
        <v/>
      </c>
    </row>
    <row r="382">
      <c r="A382" s="17" t="n">
        <v>37712</v>
      </c>
      <c r="B382" s="58">
        <f>VLOOKUP(Table18[[#This Row],[Date]],database!A:G,5,)</f>
        <v/>
      </c>
      <c r="C382" s="66">
        <f>B382/B381-1</f>
        <v/>
      </c>
      <c r="D382" s="66">
        <f>(Table18[[#This Row],[Index]]-B370)/B370</f>
        <v/>
      </c>
    </row>
    <row r="383">
      <c r="A383" s="17" t="n">
        <v>37742</v>
      </c>
      <c r="B383" s="58">
        <f>VLOOKUP(Table18[[#This Row],[Date]],database!A:G,5,)</f>
        <v/>
      </c>
      <c r="C383" s="66">
        <f>B383/B382-1</f>
        <v/>
      </c>
      <c r="D383" s="66">
        <f>(Table18[[#This Row],[Index]]-B371)/B371</f>
        <v/>
      </c>
    </row>
    <row r="384">
      <c r="A384" s="17" t="n">
        <v>37773</v>
      </c>
      <c r="B384" s="58">
        <f>VLOOKUP(Table18[[#This Row],[Date]],database!A:G,5,)</f>
        <v/>
      </c>
      <c r="C384" s="66">
        <f>B384/B383-1</f>
        <v/>
      </c>
      <c r="D384" s="66">
        <f>(Table18[[#This Row],[Index]]-B372)/B372</f>
        <v/>
      </c>
    </row>
    <row r="385">
      <c r="A385" s="17" t="n">
        <v>37803</v>
      </c>
      <c r="B385" s="58">
        <f>VLOOKUP(Table18[[#This Row],[Date]],database!A:G,5,)</f>
        <v/>
      </c>
      <c r="C385" s="66">
        <f>B385/B384-1</f>
        <v/>
      </c>
      <c r="D385" s="66">
        <f>(Table18[[#This Row],[Index]]-B373)/B373</f>
        <v/>
      </c>
    </row>
    <row r="386">
      <c r="A386" s="17" t="n">
        <v>37834</v>
      </c>
      <c r="B386" s="58">
        <f>VLOOKUP(Table18[[#This Row],[Date]],database!A:G,5,)</f>
        <v/>
      </c>
      <c r="C386" s="66">
        <f>B386/B385-1</f>
        <v/>
      </c>
      <c r="D386" s="66">
        <f>(Table18[[#This Row],[Index]]-B374)/B374</f>
        <v/>
      </c>
    </row>
    <row r="387">
      <c r="A387" s="17" t="n">
        <v>37865</v>
      </c>
      <c r="B387" s="58">
        <f>VLOOKUP(Table18[[#This Row],[Date]],database!A:G,5,)</f>
        <v/>
      </c>
      <c r="C387" s="66">
        <f>B387/B386-1</f>
        <v/>
      </c>
      <c r="D387" s="66">
        <f>(Table18[[#This Row],[Index]]-B375)/B375</f>
        <v/>
      </c>
    </row>
    <row r="388">
      <c r="A388" s="17" t="n">
        <v>37895</v>
      </c>
      <c r="B388" s="58">
        <f>VLOOKUP(Table18[[#This Row],[Date]],database!A:G,5,)</f>
        <v/>
      </c>
      <c r="C388" s="66">
        <f>B388/B387-1</f>
        <v/>
      </c>
      <c r="D388" s="66">
        <f>(Table18[[#This Row],[Index]]-B376)/B376</f>
        <v/>
      </c>
    </row>
    <row r="389">
      <c r="A389" s="17" t="n">
        <v>37926</v>
      </c>
      <c r="B389" s="58">
        <f>VLOOKUP(Table18[[#This Row],[Date]],database!A:G,5,)</f>
        <v/>
      </c>
      <c r="C389" s="66">
        <f>B389/B388-1</f>
        <v/>
      </c>
      <c r="D389" s="66">
        <f>(Table18[[#This Row],[Index]]-B377)/B377</f>
        <v/>
      </c>
    </row>
    <row r="390">
      <c r="A390" s="17" t="n">
        <v>37956</v>
      </c>
      <c r="B390" s="58">
        <f>VLOOKUP(Table18[[#This Row],[Date]],database!A:G,5,)</f>
        <v/>
      </c>
      <c r="C390" s="66">
        <f>B390/B389-1</f>
        <v/>
      </c>
      <c r="D390" s="66">
        <f>(Table18[[#This Row],[Index]]-B378)/B378</f>
        <v/>
      </c>
    </row>
    <row r="391">
      <c r="A391" s="17" t="n">
        <v>37987</v>
      </c>
      <c r="B391" s="58">
        <f>VLOOKUP(Table18[[#This Row],[Date]],database!A:G,5,)</f>
        <v/>
      </c>
      <c r="C391" s="66">
        <f>B391/B390-1</f>
        <v/>
      </c>
      <c r="D391" s="66">
        <f>(Table18[[#This Row],[Index]]-B379)/B379</f>
        <v/>
      </c>
    </row>
    <row r="392">
      <c r="A392" s="17" t="n">
        <v>38018</v>
      </c>
      <c r="B392" s="58">
        <f>VLOOKUP(Table18[[#This Row],[Date]],database!A:G,5,)</f>
        <v/>
      </c>
      <c r="C392" s="66">
        <f>B392/B391-1</f>
        <v/>
      </c>
      <c r="D392" s="66">
        <f>(Table18[[#This Row],[Index]]-B380)/B380</f>
        <v/>
      </c>
    </row>
    <row r="393">
      <c r="A393" s="17" t="n">
        <v>38047</v>
      </c>
      <c r="B393" s="58">
        <f>VLOOKUP(Table18[[#This Row],[Date]],database!A:G,5,)</f>
        <v/>
      </c>
      <c r="C393" s="66">
        <f>B393/B392-1</f>
        <v/>
      </c>
      <c r="D393" s="66">
        <f>(Table18[[#This Row],[Index]]-B381)/B381</f>
        <v/>
      </c>
    </row>
    <row r="394">
      <c r="A394" s="17" t="n">
        <v>38078</v>
      </c>
      <c r="B394" s="58">
        <f>VLOOKUP(Table18[[#This Row],[Date]],database!A:G,5,)</f>
        <v/>
      </c>
      <c r="C394" s="66">
        <f>B394/B393-1</f>
        <v/>
      </c>
      <c r="D394" s="66">
        <f>(Table18[[#This Row],[Index]]-B382)/B382</f>
        <v/>
      </c>
    </row>
    <row r="395">
      <c r="A395" s="17" t="n">
        <v>38108</v>
      </c>
      <c r="B395" s="58">
        <f>VLOOKUP(Table18[[#This Row],[Date]],database!A:G,5,)</f>
        <v/>
      </c>
      <c r="C395" s="66">
        <f>B395/B394-1</f>
        <v/>
      </c>
      <c r="D395" s="66">
        <f>(Table18[[#This Row],[Index]]-B383)/B383</f>
        <v/>
      </c>
    </row>
    <row r="396">
      <c r="A396" s="17" t="n">
        <v>38139</v>
      </c>
      <c r="B396" s="58">
        <f>VLOOKUP(Table18[[#This Row],[Date]],database!A:G,5,)</f>
        <v/>
      </c>
      <c r="C396" s="66">
        <f>B396/B395-1</f>
        <v/>
      </c>
      <c r="D396" s="66">
        <f>(Table18[[#This Row],[Index]]-B384)/B384</f>
        <v/>
      </c>
    </row>
    <row r="397">
      <c r="A397" s="17" t="n">
        <v>38169</v>
      </c>
      <c r="B397" s="58">
        <f>VLOOKUP(Table18[[#This Row],[Date]],database!A:G,5,)</f>
        <v/>
      </c>
      <c r="C397" s="66">
        <f>B397/B396-1</f>
        <v/>
      </c>
      <c r="D397" s="66">
        <f>(Table18[[#This Row],[Index]]-B385)/B385</f>
        <v/>
      </c>
    </row>
    <row r="398">
      <c r="A398" s="17" t="n">
        <v>38200</v>
      </c>
      <c r="B398" s="58">
        <f>VLOOKUP(Table18[[#This Row],[Date]],database!A:G,5,)</f>
        <v/>
      </c>
      <c r="C398" s="66">
        <f>B398/B397-1</f>
        <v/>
      </c>
      <c r="D398" s="66">
        <f>(Table18[[#This Row],[Index]]-B386)/B386</f>
        <v/>
      </c>
    </row>
    <row r="399">
      <c r="A399" s="17" t="n">
        <v>38231</v>
      </c>
      <c r="B399" s="58">
        <f>VLOOKUP(Table18[[#This Row],[Date]],database!A:G,5,)</f>
        <v/>
      </c>
      <c r="C399" s="66">
        <f>B399/B398-1</f>
        <v/>
      </c>
      <c r="D399" s="66">
        <f>(Table18[[#This Row],[Index]]-B387)/B387</f>
        <v/>
      </c>
    </row>
    <row r="400">
      <c r="A400" s="17" t="n">
        <v>38261</v>
      </c>
      <c r="B400" s="58">
        <f>VLOOKUP(Table18[[#This Row],[Date]],database!A:G,5,)</f>
        <v/>
      </c>
      <c r="C400" s="66">
        <f>B400/B399-1</f>
        <v/>
      </c>
      <c r="D400" s="66">
        <f>(Table18[[#This Row],[Index]]-B388)/B388</f>
        <v/>
      </c>
    </row>
    <row r="401">
      <c r="A401" s="17" t="n">
        <v>38292</v>
      </c>
      <c r="B401" s="58">
        <f>VLOOKUP(Table18[[#This Row],[Date]],database!A:G,5,)</f>
        <v/>
      </c>
      <c r="C401" s="66">
        <f>B401/B400-1</f>
        <v/>
      </c>
      <c r="D401" s="66">
        <f>(Table18[[#This Row],[Index]]-B389)/B389</f>
        <v/>
      </c>
    </row>
    <row r="402">
      <c r="A402" s="17" t="n">
        <v>38322</v>
      </c>
      <c r="B402" s="58">
        <f>VLOOKUP(Table18[[#This Row],[Date]],database!A:G,5,)</f>
        <v/>
      </c>
      <c r="C402" s="66">
        <f>B402/B401-1</f>
        <v/>
      </c>
      <c r="D402" s="66">
        <f>(Table18[[#This Row],[Index]]-B390)/B390</f>
        <v/>
      </c>
    </row>
    <row r="403">
      <c r="A403" s="17" t="n">
        <v>38353</v>
      </c>
      <c r="B403" s="58">
        <f>VLOOKUP(Table18[[#This Row],[Date]],database!A:G,5,)</f>
        <v/>
      </c>
      <c r="C403" s="66">
        <f>B403/B402-1</f>
        <v/>
      </c>
      <c r="D403" s="66">
        <f>(Table18[[#This Row],[Index]]-B391)/B391</f>
        <v/>
      </c>
    </row>
    <row r="404">
      <c r="A404" s="17" t="n">
        <v>38384</v>
      </c>
      <c r="B404" s="58">
        <f>VLOOKUP(Table18[[#This Row],[Date]],database!A:G,5,)</f>
        <v/>
      </c>
      <c r="C404" s="66">
        <f>B404/B403-1</f>
        <v/>
      </c>
      <c r="D404" s="66">
        <f>(Table18[[#This Row],[Index]]-B392)/B392</f>
        <v/>
      </c>
    </row>
    <row r="405">
      <c r="A405" s="17" t="n">
        <v>38412</v>
      </c>
      <c r="B405" s="58">
        <f>VLOOKUP(Table18[[#This Row],[Date]],database!A:G,5,)</f>
        <v/>
      </c>
      <c r="C405" s="66">
        <f>B405/B404-1</f>
        <v/>
      </c>
      <c r="D405" s="66">
        <f>(Table18[[#This Row],[Index]]-B393)/B393</f>
        <v/>
      </c>
    </row>
    <row r="406">
      <c r="A406" s="17" t="n">
        <v>38443</v>
      </c>
      <c r="B406" s="58">
        <f>VLOOKUP(Table18[[#This Row],[Date]],database!A:G,5,)</f>
        <v/>
      </c>
      <c r="C406" s="66">
        <f>B406/B405-1</f>
        <v/>
      </c>
      <c r="D406" s="66">
        <f>(Table18[[#This Row],[Index]]-B394)/B394</f>
        <v/>
      </c>
    </row>
    <row r="407">
      <c r="A407" s="17" t="n">
        <v>38473</v>
      </c>
      <c r="B407" s="58">
        <f>VLOOKUP(Table18[[#This Row],[Date]],database!A:G,5,)</f>
        <v/>
      </c>
      <c r="C407" s="66">
        <f>B407/B406-1</f>
        <v/>
      </c>
      <c r="D407" s="66">
        <f>(Table18[[#This Row],[Index]]-B395)/B395</f>
        <v/>
      </c>
    </row>
    <row r="408">
      <c r="A408" s="17" t="n">
        <v>38504</v>
      </c>
      <c r="B408" s="58">
        <f>VLOOKUP(Table18[[#This Row],[Date]],database!A:G,5,)</f>
        <v/>
      </c>
      <c r="C408" s="66">
        <f>B408/B407-1</f>
        <v/>
      </c>
      <c r="D408" s="66">
        <f>(Table18[[#This Row],[Index]]-B396)/B396</f>
        <v/>
      </c>
    </row>
    <row r="409">
      <c r="A409" s="17" t="n">
        <v>38534</v>
      </c>
      <c r="B409" s="58">
        <f>VLOOKUP(Table18[[#This Row],[Date]],database!A:G,5,)</f>
        <v/>
      </c>
      <c r="C409" s="66">
        <f>B409/B408-1</f>
        <v/>
      </c>
      <c r="D409" s="66">
        <f>(Table18[[#This Row],[Index]]-B397)/B397</f>
        <v/>
      </c>
    </row>
    <row r="410">
      <c r="A410" s="17" t="n">
        <v>38565</v>
      </c>
      <c r="B410" s="58">
        <f>VLOOKUP(Table18[[#This Row],[Date]],database!A:G,5,)</f>
        <v/>
      </c>
      <c r="C410" s="66">
        <f>B410/B409-1</f>
        <v/>
      </c>
      <c r="D410" s="66">
        <f>(Table18[[#This Row],[Index]]-B398)/B398</f>
        <v/>
      </c>
    </row>
    <row r="411">
      <c r="A411" s="17" t="n">
        <v>38596</v>
      </c>
      <c r="B411" s="58">
        <f>VLOOKUP(Table18[[#This Row],[Date]],database!A:G,5,)</f>
        <v/>
      </c>
      <c r="C411" s="66">
        <f>B411/B410-1</f>
        <v/>
      </c>
      <c r="D411" s="66">
        <f>(Table18[[#This Row],[Index]]-B399)/B399</f>
        <v/>
      </c>
    </row>
    <row r="412">
      <c r="A412" s="17" t="n">
        <v>38626</v>
      </c>
      <c r="B412" s="58">
        <f>VLOOKUP(Table18[[#This Row],[Date]],database!A:G,5,)</f>
        <v/>
      </c>
      <c r="C412" s="66">
        <f>B412/B411-1</f>
        <v/>
      </c>
      <c r="D412" s="66">
        <f>(Table18[[#This Row],[Index]]-B400)/B400</f>
        <v/>
      </c>
    </row>
    <row r="413">
      <c r="A413" s="17" t="n">
        <v>38657</v>
      </c>
      <c r="B413" s="58">
        <f>VLOOKUP(Table18[[#This Row],[Date]],database!A:G,5,)</f>
        <v/>
      </c>
      <c r="C413" s="66">
        <f>B413/B412-1</f>
        <v/>
      </c>
      <c r="D413" s="66">
        <f>(Table18[[#This Row],[Index]]-B401)/B401</f>
        <v/>
      </c>
    </row>
    <row r="414">
      <c r="A414" s="17" t="n">
        <v>38687</v>
      </c>
      <c r="B414" s="58">
        <f>VLOOKUP(Table18[[#This Row],[Date]],database!A:G,5,)</f>
        <v/>
      </c>
      <c r="C414" s="66">
        <f>B414/B413-1</f>
        <v/>
      </c>
      <c r="D414" s="66">
        <f>(Table18[[#This Row],[Index]]-B402)/B402</f>
        <v/>
      </c>
    </row>
    <row r="415">
      <c r="A415" s="17" t="n">
        <v>38718</v>
      </c>
      <c r="B415" s="58">
        <f>VLOOKUP(Table18[[#This Row],[Date]],database!A:G,5,)</f>
        <v/>
      </c>
      <c r="C415" s="66">
        <f>B415/B414-1</f>
        <v/>
      </c>
      <c r="D415" s="66">
        <f>(Table18[[#This Row],[Index]]-B403)/B403</f>
        <v/>
      </c>
    </row>
    <row r="416">
      <c r="A416" s="17" t="n">
        <v>38749</v>
      </c>
      <c r="B416" s="58">
        <f>VLOOKUP(Table18[[#This Row],[Date]],database!A:G,5,)</f>
        <v/>
      </c>
      <c r="C416" s="66">
        <f>B416/B415-1</f>
        <v/>
      </c>
      <c r="D416" s="66">
        <f>(Table18[[#This Row],[Index]]-B404)/B404</f>
        <v/>
      </c>
    </row>
    <row r="417">
      <c r="A417" s="17" t="n">
        <v>38777</v>
      </c>
      <c r="B417" s="58">
        <f>VLOOKUP(Table18[[#This Row],[Date]],database!A:G,5,)</f>
        <v/>
      </c>
      <c r="C417" s="66">
        <f>B417/B416-1</f>
        <v/>
      </c>
      <c r="D417" s="66">
        <f>(Table18[[#This Row],[Index]]-B405)/B405</f>
        <v/>
      </c>
    </row>
    <row r="418">
      <c r="A418" s="17" t="n">
        <v>38808</v>
      </c>
      <c r="B418" s="58">
        <f>VLOOKUP(Table18[[#This Row],[Date]],database!A:G,5,)</f>
        <v/>
      </c>
      <c r="C418" s="66">
        <f>B418/B417-1</f>
        <v/>
      </c>
      <c r="D418" s="66">
        <f>(Table18[[#This Row],[Index]]-B406)/B406</f>
        <v/>
      </c>
    </row>
    <row r="419">
      <c r="A419" s="17" t="n">
        <v>38838</v>
      </c>
      <c r="B419" s="58">
        <f>VLOOKUP(Table18[[#This Row],[Date]],database!A:G,5,)</f>
        <v/>
      </c>
      <c r="C419" s="66">
        <f>B419/B418-1</f>
        <v/>
      </c>
      <c r="D419" s="66">
        <f>(Table18[[#This Row],[Index]]-B407)/B407</f>
        <v/>
      </c>
    </row>
    <row r="420">
      <c r="A420" s="17" t="n">
        <v>38869</v>
      </c>
      <c r="B420" s="58">
        <f>VLOOKUP(Table18[[#This Row],[Date]],database!A:G,5,)</f>
        <v/>
      </c>
      <c r="C420" s="66">
        <f>B420/B419-1</f>
        <v/>
      </c>
      <c r="D420" s="66">
        <f>(Table18[[#This Row],[Index]]-B408)/B408</f>
        <v/>
      </c>
    </row>
    <row r="421">
      <c r="A421" s="17" t="n">
        <v>38899</v>
      </c>
      <c r="B421" s="58">
        <f>VLOOKUP(Table18[[#This Row],[Date]],database!A:G,5,)</f>
        <v/>
      </c>
      <c r="C421" s="66">
        <f>B421/B420-1</f>
        <v/>
      </c>
      <c r="D421" s="66">
        <f>(Table18[[#This Row],[Index]]-B409)/B409</f>
        <v/>
      </c>
    </row>
    <row r="422">
      <c r="A422" s="17" t="n">
        <v>38930</v>
      </c>
      <c r="B422" s="58">
        <f>VLOOKUP(Table18[[#This Row],[Date]],database!A:G,5,)</f>
        <v/>
      </c>
      <c r="C422" s="66">
        <f>B422/B421-1</f>
        <v/>
      </c>
      <c r="D422" s="66">
        <f>(Table18[[#This Row],[Index]]-B410)/B410</f>
        <v/>
      </c>
    </row>
    <row r="423">
      <c r="A423" s="17" t="n">
        <v>38961</v>
      </c>
      <c r="B423" s="58">
        <f>VLOOKUP(Table18[[#This Row],[Date]],database!A:G,5,)</f>
        <v/>
      </c>
      <c r="C423" s="66">
        <f>B423/B422-1</f>
        <v/>
      </c>
      <c r="D423" s="66">
        <f>(Table18[[#This Row],[Index]]-B411)/B411</f>
        <v/>
      </c>
    </row>
    <row r="424">
      <c r="A424" s="17" t="n">
        <v>38991</v>
      </c>
      <c r="B424" s="58">
        <f>VLOOKUP(Table18[[#This Row],[Date]],database!A:G,5,)</f>
        <v/>
      </c>
      <c r="C424" s="66">
        <f>B424/B423-1</f>
        <v/>
      </c>
      <c r="D424" s="66">
        <f>(Table18[[#This Row],[Index]]-B412)/B412</f>
        <v/>
      </c>
    </row>
    <row r="425">
      <c r="A425" s="17" t="n">
        <v>39022</v>
      </c>
      <c r="B425" s="58">
        <f>VLOOKUP(Table18[[#This Row],[Date]],database!A:G,5,)</f>
        <v/>
      </c>
      <c r="C425" s="66">
        <f>B425/B424-1</f>
        <v/>
      </c>
      <c r="D425" s="66">
        <f>(Table18[[#This Row],[Index]]-B413)/B413</f>
        <v/>
      </c>
    </row>
    <row r="426">
      <c r="A426" s="17" t="n">
        <v>39052</v>
      </c>
      <c r="B426" s="58">
        <f>VLOOKUP(Table18[[#This Row],[Date]],database!A:G,5,)</f>
        <v/>
      </c>
      <c r="C426" s="66">
        <f>B426/B425-1</f>
        <v/>
      </c>
      <c r="D426" s="66">
        <f>(Table18[[#This Row],[Index]]-B414)/B414</f>
        <v/>
      </c>
    </row>
    <row r="427">
      <c r="A427" s="17" t="n">
        <v>39083</v>
      </c>
      <c r="B427" s="58">
        <f>VLOOKUP(Table18[[#This Row],[Date]],database!A:G,5,)</f>
        <v/>
      </c>
      <c r="C427" s="66">
        <f>B427/B426-1</f>
        <v/>
      </c>
      <c r="D427" s="66">
        <f>(Table18[[#This Row],[Index]]-B415)/B415</f>
        <v/>
      </c>
    </row>
    <row r="428">
      <c r="A428" s="17" t="n">
        <v>39114</v>
      </c>
      <c r="B428" s="58">
        <f>VLOOKUP(Table18[[#This Row],[Date]],database!A:G,5,)</f>
        <v/>
      </c>
      <c r="C428" s="66">
        <f>B428/B427-1</f>
        <v/>
      </c>
      <c r="D428" s="66">
        <f>(Table18[[#This Row],[Index]]-B416)/B416</f>
        <v/>
      </c>
    </row>
    <row r="429">
      <c r="A429" s="17" t="n">
        <v>39142</v>
      </c>
      <c r="B429" s="58">
        <f>VLOOKUP(Table18[[#This Row],[Date]],database!A:G,5,)</f>
        <v/>
      </c>
      <c r="C429" s="66">
        <f>B429/B428-1</f>
        <v/>
      </c>
      <c r="D429" s="66">
        <f>(Table18[[#This Row],[Index]]-B417)/B417</f>
        <v/>
      </c>
    </row>
    <row r="430">
      <c r="A430" s="17" t="n">
        <v>39173</v>
      </c>
      <c r="B430" s="58">
        <f>VLOOKUP(Table18[[#This Row],[Date]],database!A:G,5,)</f>
        <v/>
      </c>
      <c r="C430" s="66">
        <f>B430/B429-1</f>
        <v/>
      </c>
      <c r="D430" s="66">
        <f>(Table18[[#This Row],[Index]]-B418)/B418</f>
        <v/>
      </c>
    </row>
    <row r="431">
      <c r="A431" s="17" t="n">
        <v>39203</v>
      </c>
      <c r="B431" s="58">
        <f>VLOOKUP(Table18[[#This Row],[Date]],database!A:G,5,)</f>
        <v/>
      </c>
      <c r="C431" s="66">
        <f>B431/B430-1</f>
        <v/>
      </c>
      <c r="D431" s="66">
        <f>(Table18[[#This Row],[Index]]-B419)/B419</f>
        <v/>
      </c>
    </row>
    <row r="432">
      <c r="A432" s="17" t="n">
        <v>39234</v>
      </c>
      <c r="B432" s="58">
        <f>VLOOKUP(Table18[[#This Row],[Date]],database!A:G,5,)</f>
        <v/>
      </c>
      <c r="C432" s="66">
        <f>B432/B431-1</f>
        <v/>
      </c>
      <c r="D432" s="66">
        <f>(Table18[[#This Row],[Index]]-B420)/B420</f>
        <v/>
      </c>
    </row>
    <row r="433">
      <c r="A433" s="17" t="n">
        <v>39264</v>
      </c>
      <c r="B433" s="58">
        <f>VLOOKUP(Table18[[#This Row],[Date]],database!A:G,5,)</f>
        <v/>
      </c>
      <c r="C433" s="66">
        <f>B433/B432-1</f>
        <v/>
      </c>
      <c r="D433" s="66">
        <f>(Table18[[#This Row],[Index]]-B421)/B421</f>
        <v/>
      </c>
    </row>
    <row r="434">
      <c r="A434" s="17" t="n">
        <v>39295</v>
      </c>
      <c r="B434" s="58">
        <f>VLOOKUP(Table18[[#This Row],[Date]],database!A:G,5,)</f>
        <v/>
      </c>
      <c r="C434" s="66">
        <f>B434/B433-1</f>
        <v/>
      </c>
      <c r="D434" s="66">
        <f>(Table18[[#This Row],[Index]]-B422)/B422</f>
        <v/>
      </c>
    </row>
    <row r="435">
      <c r="A435" s="17" t="n">
        <v>39326</v>
      </c>
      <c r="B435" s="58">
        <f>VLOOKUP(Table18[[#This Row],[Date]],database!A:G,5,)</f>
        <v/>
      </c>
      <c r="C435" s="66">
        <f>B435/B434-1</f>
        <v/>
      </c>
      <c r="D435" s="66">
        <f>(Table18[[#This Row],[Index]]-B423)/B423</f>
        <v/>
      </c>
    </row>
    <row r="436">
      <c r="A436" s="17" t="n">
        <v>39356</v>
      </c>
      <c r="B436" s="58">
        <f>VLOOKUP(Table18[[#This Row],[Date]],database!A:G,5,)</f>
        <v/>
      </c>
      <c r="C436" s="66">
        <f>B436/B435-1</f>
        <v/>
      </c>
      <c r="D436" s="66">
        <f>(Table18[[#This Row],[Index]]-B424)/B424</f>
        <v/>
      </c>
    </row>
    <row r="437">
      <c r="A437" s="17" t="n">
        <v>39387</v>
      </c>
      <c r="B437" s="58">
        <f>VLOOKUP(Table18[[#This Row],[Date]],database!A:G,5,)</f>
        <v/>
      </c>
      <c r="C437" s="66">
        <f>B437/B436-1</f>
        <v/>
      </c>
      <c r="D437" s="66">
        <f>(Table18[[#This Row],[Index]]-B425)/B425</f>
        <v/>
      </c>
    </row>
    <row r="438">
      <c r="A438" s="17" t="n">
        <v>39417</v>
      </c>
      <c r="B438" s="58">
        <f>VLOOKUP(Table18[[#This Row],[Date]],database!A:G,5,)</f>
        <v/>
      </c>
      <c r="C438" s="66">
        <f>B438/B437-1</f>
        <v/>
      </c>
      <c r="D438" s="66">
        <f>(Table18[[#This Row],[Index]]-B426)/B426</f>
        <v/>
      </c>
    </row>
    <row r="439">
      <c r="A439" s="17" t="n">
        <v>39448</v>
      </c>
      <c r="B439" s="58">
        <f>VLOOKUP(Table18[[#This Row],[Date]],database!A:G,5,)</f>
        <v/>
      </c>
      <c r="C439" s="66">
        <f>B439/B438-1</f>
        <v/>
      </c>
      <c r="D439" s="66">
        <f>(Table18[[#This Row],[Index]]-B427)/B427</f>
        <v/>
      </c>
    </row>
    <row r="440">
      <c r="A440" s="17" t="n">
        <v>39479</v>
      </c>
      <c r="B440" s="58">
        <f>VLOOKUP(Table18[[#This Row],[Date]],database!A:G,5,)</f>
        <v/>
      </c>
      <c r="C440" s="66">
        <f>B440/B439-1</f>
        <v/>
      </c>
      <c r="D440" s="66">
        <f>(Table18[[#This Row],[Index]]-B428)/B428</f>
        <v/>
      </c>
    </row>
    <row r="441">
      <c r="A441" s="17" t="n">
        <v>39508</v>
      </c>
      <c r="B441" s="58">
        <f>VLOOKUP(Table18[[#This Row],[Date]],database!A:G,5,)</f>
        <v/>
      </c>
      <c r="C441" s="66">
        <f>B441/B440-1</f>
        <v/>
      </c>
      <c r="D441" s="66">
        <f>(Table18[[#This Row],[Index]]-B429)/B429</f>
        <v/>
      </c>
    </row>
    <row r="442">
      <c r="A442" s="17" t="n">
        <v>39539</v>
      </c>
      <c r="B442" s="58">
        <f>VLOOKUP(Table18[[#This Row],[Date]],database!A:G,5,)</f>
        <v/>
      </c>
      <c r="C442" s="66">
        <f>B442/B441-1</f>
        <v/>
      </c>
      <c r="D442" s="66">
        <f>(Table18[[#This Row],[Index]]-B430)/B430</f>
        <v/>
      </c>
    </row>
    <row r="443">
      <c r="A443" s="17" t="n">
        <v>39569</v>
      </c>
      <c r="B443" s="58">
        <f>VLOOKUP(Table18[[#This Row],[Date]],database!A:G,5,)</f>
        <v/>
      </c>
      <c r="C443" s="66">
        <f>B443/B442-1</f>
        <v/>
      </c>
      <c r="D443" s="66">
        <f>(Table18[[#This Row],[Index]]-B431)/B431</f>
        <v/>
      </c>
    </row>
    <row r="444">
      <c r="A444" s="17" t="n">
        <v>39600</v>
      </c>
      <c r="B444" s="58">
        <f>VLOOKUP(Table18[[#This Row],[Date]],database!A:G,5,)</f>
        <v/>
      </c>
      <c r="C444" s="66">
        <f>B444/B443-1</f>
        <v/>
      </c>
      <c r="D444" s="66">
        <f>(Table18[[#This Row],[Index]]-B432)/B432</f>
        <v/>
      </c>
    </row>
    <row r="445">
      <c r="A445" s="17" t="n">
        <v>39630</v>
      </c>
      <c r="B445" s="58">
        <f>VLOOKUP(Table18[[#This Row],[Date]],database!A:G,5,)</f>
        <v/>
      </c>
      <c r="C445" s="66">
        <f>B445/B444-1</f>
        <v/>
      </c>
      <c r="D445" s="66">
        <f>(Table18[[#This Row],[Index]]-B433)/B433</f>
        <v/>
      </c>
    </row>
    <row r="446">
      <c r="A446" s="17" t="n">
        <v>39661</v>
      </c>
      <c r="B446" s="58">
        <f>VLOOKUP(Table18[[#This Row],[Date]],database!A:G,5,)</f>
        <v/>
      </c>
      <c r="C446" s="66">
        <f>B446/B445-1</f>
        <v/>
      </c>
      <c r="D446" s="66">
        <f>(Table18[[#This Row],[Index]]-B434)/B434</f>
        <v/>
      </c>
    </row>
    <row r="447">
      <c r="A447" s="17" t="n">
        <v>39692</v>
      </c>
      <c r="B447" s="58">
        <f>VLOOKUP(Table18[[#This Row],[Date]],database!A:G,5,)</f>
        <v/>
      </c>
      <c r="C447" s="66">
        <f>B447/B446-1</f>
        <v/>
      </c>
      <c r="D447" s="66">
        <f>(Table18[[#This Row],[Index]]-B435)/B435</f>
        <v/>
      </c>
    </row>
    <row r="448">
      <c r="A448" s="17" t="n">
        <v>39722</v>
      </c>
      <c r="B448" s="58">
        <f>VLOOKUP(Table18[[#This Row],[Date]],database!A:G,5,)</f>
        <v/>
      </c>
      <c r="C448" s="66">
        <f>B448/B447-1</f>
        <v/>
      </c>
      <c r="D448" s="66">
        <f>(Table18[[#This Row],[Index]]-B436)/B436</f>
        <v/>
      </c>
    </row>
    <row r="449">
      <c r="A449" s="17" t="n">
        <v>39753</v>
      </c>
      <c r="B449" s="58">
        <f>VLOOKUP(Table18[[#This Row],[Date]],database!A:G,5,)</f>
        <v/>
      </c>
      <c r="C449" s="66">
        <f>B449/B448-1</f>
        <v/>
      </c>
      <c r="D449" s="66">
        <f>(Table18[[#This Row],[Index]]-B437)/B437</f>
        <v/>
      </c>
    </row>
    <row r="450">
      <c r="A450" s="17" t="n">
        <v>39783</v>
      </c>
      <c r="B450" s="58">
        <f>VLOOKUP(Table18[[#This Row],[Date]],database!A:G,5,)</f>
        <v/>
      </c>
      <c r="C450" s="66">
        <f>B450/B449-1</f>
        <v/>
      </c>
      <c r="D450" s="66">
        <f>(Table18[[#This Row],[Index]]-B438)/B438</f>
        <v/>
      </c>
    </row>
    <row r="451">
      <c r="A451" s="17" t="n">
        <v>39814</v>
      </c>
      <c r="B451" s="58">
        <f>VLOOKUP(Table18[[#This Row],[Date]],database!A:G,5,)</f>
        <v/>
      </c>
      <c r="C451" s="66">
        <f>B451/B450-1</f>
        <v/>
      </c>
      <c r="D451" s="66">
        <f>(Table18[[#This Row],[Index]]-B439)/B439</f>
        <v/>
      </c>
    </row>
    <row r="452">
      <c r="A452" s="17" t="n">
        <v>39845</v>
      </c>
      <c r="B452" s="58">
        <f>VLOOKUP(Table18[[#This Row],[Date]],database!A:G,5,)</f>
        <v/>
      </c>
      <c r="C452" s="66">
        <f>B452/B451-1</f>
        <v/>
      </c>
      <c r="D452" s="66">
        <f>(Table18[[#This Row],[Index]]-B440)/B440</f>
        <v/>
      </c>
    </row>
    <row r="453">
      <c r="A453" s="17" t="n">
        <v>39873</v>
      </c>
      <c r="B453" s="58">
        <f>VLOOKUP(Table18[[#This Row],[Date]],database!A:G,5,)</f>
        <v/>
      </c>
      <c r="C453" s="66">
        <f>B453/B452-1</f>
        <v/>
      </c>
      <c r="D453" s="66">
        <f>(Table18[[#This Row],[Index]]-B441)/B441</f>
        <v/>
      </c>
    </row>
    <row r="454">
      <c r="A454" s="17" t="n">
        <v>39904</v>
      </c>
      <c r="B454" s="58">
        <f>VLOOKUP(Table18[[#This Row],[Date]],database!A:G,5,)</f>
        <v/>
      </c>
      <c r="C454" s="66">
        <f>B454/B453-1</f>
        <v/>
      </c>
      <c r="D454" s="66">
        <f>(Table18[[#This Row],[Index]]-B442)/B442</f>
        <v/>
      </c>
    </row>
    <row r="455">
      <c r="A455" s="17" t="n">
        <v>39934</v>
      </c>
      <c r="B455" s="58">
        <f>VLOOKUP(Table18[[#This Row],[Date]],database!A:G,5,)</f>
        <v/>
      </c>
      <c r="C455" s="66">
        <f>B455/B454-1</f>
        <v/>
      </c>
      <c r="D455" s="66">
        <f>(Table18[[#This Row],[Index]]-B443)/B443</f>
        <v/>
      </c>
    </row>
    <row r="456">
      <c r="A456" s="17" t="n">
        <v>39965</v>
      </c>
      <c r="B456" s="58">
        <f>VLOOKUP(Table18[[#This Row],[Date]],database!A:G,5,)</f>
        <v/>
      </c>
      <c r="C456" s="66">
        <f>B456/B455-1</f>
        <v/>
      </c>
      <c r="D456" s="66">
        <f>(Table18[[#This Row],[Index]]-B444)/B444</f>
        <v/>
      </c>
    </row>
    <row r="457">
      <c r="A457" s="17" t="n">
        <v>39995</v>
      </c>
      <c r="B457" s="58">
        <f>VLOOKUP(Table18[[#This Row],[Date]],database!A:G,5,)</f>
        <v/>
      </c>
      <c r="C457" s="66">
        <f>B457/B456-1</f>
        <v/>
      </c>
      <c r="D457" s="66">
        <f>(Table18[[#This Row],[Index]]-B445)/B445</f>
        <v/>
      </c>
    </row>
    <row r="458">
      <c r="A458" s="17" t="n">
        <v>40026</v>
      </c>
      <c r="B458" s="58">
        <f>VLOOKUP(Table18[[#This Row],[Date]],database!A:G,5,)</f>
        <v/>
      </c>
      <c r="C458" s="66">
        <f>B458/B457-1</f>
        <v/>
      </c>
      <c r="D458" s="66">
        <f>(Table18[[#This Row],[Index]]-B446)/B446</f>
        <v/>
      </c>
    </row>
    <row r="459">
      <c r="A459" s="17" t="n">
        <v>40057</v>
      </c>
      <c r="B459" s="58">
        <f>VLOOKUP(Table18[[#This Row],[Date]],database!A:G,5,)</f>
        <v/>
      </c>
      <c r="C459" s="66">
        <f>B459/B458-1</f>
        <v/>
      </c>
      <c r="D459" s="66">
        <f>(Table18[[#This Row],[Index]]-B447)/B447</f>
        <v/>
      </c>
    </row>
    <row r="460">
      <c r="A460" s="17" t="n">
        <v>40087</v>
      </c>
      <c r="B460" s="58">
        <f>VLOOKUP(Table18[[#This Row],[Date]],database!A:G,5,)</f>
        <v/>
      </c>
      <c r="C460" s="66">
        <f>B460/B459-1</f>
        <v/>
      </c>
      <c r="D460" s="66">
        <f>(Table18[[#This Row],[Index]]-B448)/B448</f>
        <v/>
      </c>
    </row>
    <row r="461">
      <c r="A461" s="17" t="n">
        <v>40118</v>
      </c>
      <c r="B461" s="58">
        <f>VLOOKUP(Table18[[#This Row],[Date]],database!A:G,5,)</f>
        <v/>
      </c>
      <c r="C461" s="66">
        <f>B461/B460-1</f>
        <v/>
      </c>
      <c r="D461" s="66">
        <f>(Table18[[#This Row],[Index]]-B449)/B449</f>
        <v/>
      </c>
    </row>
    <row r="462">
      <c r="A462" s="17" t="n">
        <v>40148</v>
      </c>
      <c r="B462" s="58">
        <f>VLOOKUP(Table18[[#This Row],[Date]],database!A:G,5,)</f>
        <v/>
      </c>
      <c r="C462" s="66">
        <f>B462/B461-1</f>
        <v/>
      </c>
      <c r="D462" s="66">
        <f>(Table18[[#This Row],[Index]]-B450)/B450</f>
        <v/>
      </c>
    </row>
    <row r="463">
      <c r="A463" s="17" t="n">
        <v>40179</v>
      </c>
      <c r="B463" s="58">
        <f>VLOOKUP(Table18[[#This Row],[Date]],database!A:G,5,)</f>
        <v/>
      </c>
      <c r="C463" s="66">
        <f>B463/B462-1</f>
        <v/>
      </c>
      <c r="D463" s="66">
        <f>(Table18[[#This Row],[Index]]-B451)/B451</f>
        <v/>
      </c>
    </row>
    <row r="464">
      <c r="A464" s="17" t="n">
        <v>40210</v>
      </c>
      <c r="B464" s="58">
        <f>VLOOKUP(Table18[[#This Row],[Date]],database!A:G,5,)</f>
        <v/>
      </c>
      <c r="C464" s="66">
        <f>B464/B463-1</f>
        <v/>
      </c>
      <c r="D464" s="66">
        <f>(Table18[[#This Row],[Index]]-B452)/B452</f>
        <v/>
      </c>
    </row>
    <row r="465">
      <c r="A465" s="17" t="n">
        <v>40238</v>
      </c>
      <c r="B465" s="58">
        <f>VLOOKUP(Table18[[#This Row],[Date]],database!A:G,5,)</f>
        <v/>
      </c>
      <c r="C465" s="66">
        <f>B465/B464-1</f>
        <v/>
      </c>
      <c r="D465" s="66">
        <f>(Table18[[#This Row],[Index]]-B453)/B453</f>
        <v/>
      </c>
    </row>
    <row r="466">
      <c r="A466" s="17" t="n">
        <v>40269</v>
      </c>
      <c r="B466" s="58">
        <f>VLOOKUP(Table18[[#This Row],[Date]],database!A:G,5,)</f>
        <v/>
      </c>
      <c r="C466" s="66">
        <f>B466/B465-1</f>
        <v/>
      </c>
      <c r="D466" s="66">
        <f>(Table18[[#This Row],[Index]]-B454)/B454</f>
        <v/>
      </c>
    </row>
    <row r="467">
      <c r="A467" s="17" t="n">
        <v>40299</v>
      </c>
      <c r="B467" s="58">
        <f>VLOOKUP(Table18[[#This Row],[Date]],database!A:G,5,)</f>
        <v/>
      </c>
      <c r="C467" s="66">
        <f>B467/B466-1</f>
        <v/>
      </c>
      <c r="D467" s="66">
        <f>(Table18[[#This Row],[Index]]-B455)/B455</f>
        <v/>
      </c>
    </row>
    <row r="468">
      <c r="A468" s="17" t="n">
        <v>40330</v>
      </c>
      <c r="B468" s="58">
        <f>VLOOKUP(Table18[[#This Row],[Date]],database!A:G,5,)</f>
        <v/>
      </c>
      <c r="C468" s="66">
        <f>B468/B467-1</f>
        <v/>
      </c>
      <c r="D468" s="66">
        <f>(Table18[[#This Row],[Index]]-B456)/B456</f>
        <v/>
      </c>
    </row>
    <row r="469">
      <c r="A469" s="17" t="n">
        <v>40360</v>
      </c>
      <c r="B469" s="58">
        <f>VLOOKUP(Table18[[#This Row],[Date]],database!A:G,5,)</f>
        <v/>
      </c>
      <c r="C469" s="66">
        <f>B469/B468-1</f>
        <v/>
      </c>
      <c r="D469" s="66">
        <f>(Table18[[#This Row],[Index]]-B457)/B457</f>
        <v/>
      </c>
    </row>
    <row r="470">
      <c r="A470" s="17" t="n">
        <v>40391</v>
      </c>
      <c r="B470" s="58">
        <f>VLOOKUP(Table18[[#This Row],[Date]],database!A:G,5,)</f>
        <v/>
      </c>
      <c r="C470" s="66">
        <f>B470/B469-1</f>
        <v/>
      </c>
      <c r="D470" s="66">
        <f>(Table18[[#This Row],[Index]]-B458)/B458</f>
        <v/>
      </c>
    </row>
    <row r="471">
      <c r="A471" s="17" t="n">
        <v>40422</v>
      </c>
      <c r="B471" s="58">
        <f>VLOOKUP(Table18[[#This Row],[Date]],database!A:G,5,)</f>
        <v/>
      </c>
      <c r="C471" s="66">
        <f>B471/B470-1</f>
        <v/>
      </c>
      <c r="D471" s="66">
        <f>(Table18[[#This Row],[Index]]-B459)/B459</f>
        <v/>
      </c>
    </row>
    <row r="472">
      <c r="A472" s="17" t="n">
        <v>40452</v>
      </c>
      <c r="B472" s="58">
        <f>VLOOKUP(Table18[[#This Row],[Date]],database!A:G,5,)</f>
        <v/>
      </c>
      <c r="C472" s="66">
        <f>B472/B471-1</f>
        <v/>
      </c>
      <c r="D472" s="66">
        <f>(Table18[[#This Row],[Index]]-B460)/B460</f>
        <v/>
      </c>
    </row>
    <row r="473">
      <c r="A473" s="17" t="n">
        <v>40483</v>
      </c>
      <c r="B473" s="58">
        <f>VLOOKUP(Table18[[#This Row],[Date]],database!A:G,5,)</f>
        <v/>
      </c>
      <c r="C473" s="66">
        <f>B473/B472-1</f>
        <v/>
      </c>
      <c r="D473" s="66">
        <f>(Table18[[#This Row],[Index]]-B461)/B461</f>
        <v/>
      </c>
    </row>
    <row r="474">
      <c r="A474" s="17" t="n">
        <v>40513</v>
      </c>
      <c r="B474" s="58">
        <f>VLOOKUP(Table18[[#This Row],[Date]],database!A:G,5,)</f>
        <v/>
      </c>
      <c r="C474" s="66">
        <f>B474/B473-1</f>
        <v/>
      </c>
      <c r="D474" s="66">
        <f>(Table18[[#This Row],[Index]]-B462)/B462</f>
        <v/>
      </c>
    </row>
    <row r="475">
      <c r="A475" s="17" t="n">
        <v>40544</v>
      </c>
      <c r="B475" s="58">
        <f>VLOOKUP(Table18[[#This Row],[Date]],database!A:G,5,)</f>
        <v/>
      </c>
      <c r="C475" s="66">
        <f>B475/B474-1</f>
        <v/>
      </c>
      <c r="D475" s="66">
        <f>(Table18[[#This Row],[Index]]-B463)/B463</f>
        <v/>
      </c>
    </row>
    <row r="476">
      <c r="A476" s="17" t="n">
        <v>40575</v>
      </c>
      <c r="B476" s="58">
        <f>VLOOKUP(Table18[[#This Row],[Date]],database!A:G,5,)</f>
        <v/>
      </c>
      <c r="C476" s="66">
        <f>B476/B475-1</f>
        <v/>
      </c>
      <c r="D476" s="66">
        <f>(Table18[[#This Row],[Index]]-B464)/B464</f>
        <v/>
      </c>
    </row>
    <row r="477">
      <c r="A477" s="17" t="n">
        <v>40603</v>
      </c>
      <c r="B477" s="58">
        <f>VLOOKUP(Table18[[#This Row],[Date]],database!A:G,5,)</f>
        <v/>
      </c>
      <c r="C477" s="66">
        <f>B477/B476-1</f>
        <v/>
      </c>
      <c r="D477" s="66">
        <f>(Table18[[#This Row],[Index]]-B465)/B465</f>
        <v/>
      </c>
    </row>
    <row r="478">
      <c r="A478" s="17" t="n">
        <v>40634</v>
      </c>
      <c r="B478" s="58">
        <f>VLOOKUP(Table18[[#This Row],[Date]],database!A:G,5,)</f>
        <v/>
      </c>
      <c r="C478" s="67">
        <f>B478/B477-1</f>
        <v/>
      </c>
      <c r="D478" s="66">
        <f>(Table18[[#This Row],[Index]]-B466)/B466</f>
        <v/>
      </c>
    </row>
    <row r="479">
      <c r="A479" s="17" t="n">
        <v>40664</v>
      </c>
      <c r="B479" s="58">
        <f>VLOOKUP(Table18[[#This Row],[Date]],database!A:G,5,)</f>
        <v/>
      </c>
      <c r="C479" s="66">
        <f>B479/B478-1</f>
        <v/>
      </c>
      <c r="D479" s="66">
        <f>(Table18[[#This Row],[Index]]-B467)/B467</f>
        <v/>
      </c>
    </row>
    <row r="480">
      <c r="A480" s="17" t="n">
        <v>40695</v>
      </c>
      <c r="B480" s="58">
        <f>VLOOKUP(Table18[[#This Row],[Date]],database!A:G,5,)</f>
        <v/>
      </c>
      <c r="C480" s="66">
        <f>B480/B479-1</f>
        <v/>
      </c>
      <c r="D480" s="66">
        <f>(Table18[[#This Row],[Index]]-B468)/B468</f>
        <v/>
      </c>
    </row>
    <row r="481">
      <c r="A481" s="17" t="n">
        <v>40725</v>
      </c>
      <c r="B481" s="58">
        <f>VLOOKUP(Table18[[#This Row],[Date]],database!A:G,5,)</f>
        <v/>
      </c>
      <c r="C481" s="66">
        <f>B481/B480-1</f>
        <v/>
      </c>
      <c r="D481" s="66">
        <f>(Table18[[#This Row],[Index]]-B469)/B469</f>
        <v/>
      </c>
    </row>
    <row r="482">
      <c r="A482" s="17" t="n">
        <v>40756</v>
      </c>
      <c r="B482" s="58">
        <f>VLOOKUP(Table18[[#This Row],[Date]],database!A:G,5,)</f>
        <v/>
      </c>
      <c r="C482" s="66">
        <f>B482/B481-1</f>
        <v/>
      </c>
      <c r="D482" s="66">
        <f>(Table18[[#This Row],[Index]]-B470)/B470</f>
        <v/>
      </c>
    </row>
    <row r="483">
      <c r="A483" s="17" t="n">
        <v>40787</v>
      </c>
      <c r="B483" s="58">
        <f>VLOOKUP(Table18[[#This Row],[Date]],database!A:G,5,)</f>
        <v/>
      </c>
      <c r="C483" s="66">
        <f>B483/B482-1</f>
        <v/>
      </c>
      <c r="D483" s="66">
        <f>(Table18[[#This Row],[Index]]-B471)/B471</f>
        <v/>
      </c>
    </row>
    <row r="484">
      <c r="A484" s="17" t="n">
        <v>40817</v>
      </c>
      <c r="B484" s="58">
        <f>VLOOKUP(Table18[[#This Row],[Date]],database!A:G,5,)</f>
        <v/>
      </c>
      <c r="C484" s="66">
        <f>B484/B483-1</f>
        <v/>
      </c>
      <c r="D484" s="66">
        <f>(Table18[[#This Row],[Index]]-B472)/B472</f>
        <v/>
      </c>
    </row>
    <row r="485">
      <c r="A485" s="17" t="n">
        <v>40848</v>
      </c>
      <c r="B485" s="58">
        <f>VLOOKUP(Table18[[#This Row],[Date]],database!A:G,5,)</f>
        <v/>
      </c>
      <c r="C485" s="66">
        <f>B485/B484-1</f>
        <v/>
      </c>
      <c r="D485" s="66">
        <f>(Table18[[#This Row],[Index]]-B473)/B473</f>
        <v/>
      </c>
    </row>
    <row r="486">
      <c r="A486" s="17" t="n">
        <v>40878</v>
      </c>
      <c r="B486" s="58">
        <f>VLOOKUP(Table18[[#This Row],[Date]],database!A:G,5,)</f>
        <v/>
      </c>
      <c r="C486" s="66">
        <f>B486/B485-1</f>
        <v/>
      </c>
      <c r="D486" s="66">
        <f>(Table18[[#This Row],[Index]]-B474)/B474</f>
        <v/>
      </c>
    </row>
    <row r="487">
      <c r="A487" s="17" t="n">
        <v>40909</v>
      </c>
      <c r="B487" s="58">
        <f>VLOOKUP(Table18[[#This Row],[Date]],database!A:G,5,)</f>
        <v/>
      </c>
      <c r="C487" s="66">
        <f>B487/B486-1</f>
        <v/>
      </c>
      <c r="D487" s="66">
        <f>(Table18[[#This Row],[Index]]-B475)/B475</f>
        <v/>
      </c>
    </row>
    <row r="488">
      <c r="A488" s="17" t="n">
        <v>40940</v>
      </c>
      <c r="B488" s="58">
        <f>VLOOKUP(Table18[[#This Row],[Date]],database!A:G,5,)</f>
        <v/>
      </c>
      <c r="C488" s="66">
        <f>B488/B487-1</f>
        <v/>
      </c>
      <c r="D488" s="66">
        <f>(Table18[[#This Row],[Index]]-B476)/B476</f>
        <v/>
      </c>
    </row>
    <row r="489">
      <c r="A489" s="17" t="n">
        <v>40969</v>
      </c>
      <c r="B489" s="58">
        <f>VLOOKUP(Table18[[#This Row],[Date]],database!A:G,5,)</f>
        <v/>
      </c>
      <c r="C489" s="66">
        <f>B489/B488-1</f>
        <v/>
      </c>
      <c r="D489" s="66">
        <f>(Table18[[#This Row],[Index]]-B477)/B477</f>
        <v/>
      </c>
    </row>
    <row r="490">
      <c r="A490" s="17" t="n">
        <v>41000</v>
      </c>
      <c r="B490" s="58">
        <f>VLOOKUP(Table18[[#This Row],[Date]],database!A:G,5,)</f>
        <v/>
      </c>
      <c r="C490" s="66">
        <f>B490/B489-1</f>
        <v/>
      </c>
      <c r="D490" s="66">
        <f>(Table18[[#This Row],[Index]]-B478)/B478</f>
        <v/>
      </c>
    </row>
    <row r="491">
      <c r="A491" s="17" t="n">
        <v>41030</v>
      </c>
      <c r="B491" s="58">
        <f>VLOOKUP(Table18[[#This Row],[Date]],database!A:G,5,)</f>
        <v/>
      </c>
      <c r="C491" s="66">
        <f>B491/B490-1</f>
        <v/>
      </c>
      <c r="D491" s="66">
        <f>(Table18[[#This Row],[Index]]-B479)/B479</f>
        <v/>
      </c>
    </row>
    <row r="492">
      <c r="A492" s="17" t="n">
        <v>41061</v>
      </c>
      <c r="B492" s="58">
        <f>VLOOKUP(Table18[[#This Row],[Date]],database!A:G,5,)</f>
        <v/>
      </c>
      <c r="C492" s="66">
        <f>B492/B491-1</f>
        <v/>
      </c>
      <c r="D492" s="66">
        <f>(Table18[[#This Row],[Index]]-B480)/B480</f>
        <v/>
      </c>
    </row>
    <row r="493">
      <c r="A493" s="17" t="n">
        <v>41091</v>
      </c>
      <c r="B493" s="58">
        <f>VLOOKUP(Table18[[#This Row],[Date]],database!A:G,5,)</f>
        <v/>
      </c>
      <c r="C493" s="66">
        <f>B493/B492-1</f>
        <v/>
      </c>
      <c r="D493" s="66">
        <f>(Table18[[#This Row],[Index]]-B481)/B481</f>
        <v/>
      </c>
    </row>
    <row r="494">
      <c r="A494" s="17" t="n">
        <v>41122</v>
      </c>
      <c r="B494" s="58">
        <f>VLOOKUP(Table18[[#This Row],[Date]],database!A:G,5,)</f>
        <v/>
      </c>
      <c r="C494" s="66">
        <f>B494/B493-1</f>
        <v/>
      </c>
      <c r="D494" s="66">
        <f>(Table18[[#This Row],[Index]]-B482)/B482</f>
        <v/>
      </c>
    </row>
    <row r="495">
      <c r="A495" s="17" t="n">
        <v>41153</v>
      </c>
      <c r="B495" s="58">
        <f>VLOOKUP(Table18[[#This Row],[Date]],database!A:G,5,)</f>
        <v/>
      </c>
      <c r="C495" s="66">
        <f>B495/B494-1</f>
        <v/>
      </c>
      <c r="D495" s="66">
        <f>(Table18[[#This Row],[Index]]-B483)/B483</f>
        <v/>
      </c>
    </row>
    <row r="496">
      <c r="A496" s="17" t="n">
        <v>41183</v>
      </c>
      <c r="B496" s="58">
        <f>VLOOKUP(Table18[[#This Row],[Date]],database!A:G,5,)</f>
        <v/>
      </c>
      <c r="C496" s="66">
        <f>B496/B495-1</f>
        <v/>
      </c>
      <c r="D496" s="66">
        <f>(Table18[[#This Row],[Index]]-B484)/B484</f>
        <v/>
      </c>
    </row>
    <row r="497">
      <c r="A497" s="17" t="n">
        <v>41214</v>
      </c>
      <c r="B497" s="58">
        <f>VLOOKUP(Table18[[#This Row],[Date]],database!A:G,5,)</f>
        <v/>
      </c>
      <c r="C497" s="66">
        <f>B497/B496-1</f>
        <v/>
      </c>
      <c r="D497" s="66">
        <f>(Table18[[#This Row],[Index]]-B485)/B485</f>
        <v/>
      </c>
    </row>
    <row r="498">
      <c r="A498" s="17" t="n">
        <v>41244</v>
      </c>
      <c r="B498" s="58">
        <f>VLOOKUP(Table18[[#This Row],[Date]],database!A:G,5,)</f>
        <v/>
      </c>
      <c r="C498" s="66">
        <f>B498/B497-1</f>
        <v/>
      </c>
      <c r="D498" s="66">
        <f>(Table18[[#This Row],[Index]]-B486)/B486</f>
        <v/>
      </c>
    </row>
    <row r="499">
      <c r="A499" s="17" t="n">
        <v>41275</v>
      </c>
      <c r="B499" s="58">
        <f>VLOOKUP(Table18[[#This Row],[Date]],database!A:G,5,)</f>
        <v/>
      </c>
      <c r="C499" s="66">
        <f>B499/B498-1</f>
        <v/>
      </c>
      <c r="D499" s="66">
        <f>(Table18[[#This Row],[Index]]-B487)/B487</f>
        <v/>
      </c>
    </row>
    <row r="500">
      <c r="A500" s="17" t="n">
        <v>41306</v>
      </c>
      <c r="B500" s="58">
        <f>VLOOKUP(Table18[[#This Row],[Date]],database!A:G,5,)</f>
        <v/>
      </c>
      <c r="C500" s="66">
        <f>B500/B499-1</f>
        <v/>
      </c>
      <c r="D500" s="66">
        <f>(Table18[[#This Row],[Index]]-B488)/B488</f>
        <v/>
      </c>
    </row>
    <row r="501">
      <c r="A501" s="17" t="n">
        <v>41334</v>
      </c>
      <c r="B501" s="58">
        <f>VLOOKUP(Table18[[#This Row],[Date]],database!A:G,5,)</f>
        <v/>
      </c>
      <c r="C501" s="66">
        <f>B501/B500-1</f>
        <v/>
      </c>
      <c r="D501" s="66">
        <f>(Table18[[#This Row],[Index]]-B489)/B489</f>
        <v/>
      </c>
    </row>
    <row r="502">
      <c r="A502" s="17" t="n">
        <v>41365</v>
      </c>
      <c r="B502" s="58">
        <f>VLOOKUP(Table18[[#This Row],[Date]],database!A:G,5,)</f>
        <v/>
      </c>
      <c r="C502" s="66">
        <f>B502/B501-1</f>
        <v/>
      </c>
      <c r="D502" s="66">
        <f>(Table18[[#This Row],[Index]]-B490)/B490</f>
        <v/>
      </c>
    </row>
    <row r="503">
      <c r="A503" s="17" t="n">
        <v>41395</v>
      </c>
      <c r="B503" s="58">
        <f>VLOOKUP(Table18[[#This Row],[Date]],database!A:G,5,)</f>
        <v/>
      </c>
      <c r="C503" s="66">
        <f>B503/B502-1</f>
        <v/>
      </c>
      <c r="D503" s="66">
        <f>(Table18[[#This Row],[Index]]-B491)/B491</f>
        <v/>
      </c>
    </row>
    <row r="504">
      <c r="A504" s="17" t="n">
        <v>41426</v>
      </c>
      <c r="B504" s="58">
        <f>VLOOKUP(Table18[[#This Row],[Date]],database!A:G,5,)</f>
        <v/>
      </c>
      <c r="C504" s="66">
        <f>B504/B503-1</f>
        <v/>
      </c>
      <c r="D504" s="66">
        <f>(Table18[[#This Row],[Index]]-B492)/B492</f>
        <v/>
      </c>
    </row>
    <row r="505">
      <c r="A505" s="17" t="n">
        <v>41456</v>
      </c>
      <c r="B505" s="58">
        <f>VLOOKUP(Table18[[#This Row],[Date]],database!A:G,5,)</f>
        <v/>
      </c>
      <c r="C505" s="66">
        <f>B505/B504-1</f>
        <v/>
      </c>
      <c r="D505" s="66">
        <f>(Table18[[#This Row],[Index]]-B493)/B493</f>
        <v/>
      </c>
    </row>
    <row r="506">
      <c r="A506" s="17" t="n">
        <v>41487</v>
      </c>
      <c r="B506" s="58">
        <f>VLOOKUP(Table18[[#This Row],[Date]],database!A:G,5,)</f>
        <v/>
      </c>
      <c r="C506" s="66">
        <f>B506/B505-1</f>
        <v/>
      </c>
      <c r="D506" s="66">
        <f>(Table18[[#This Row],[Index]]-B494)/B494</f>
        <v/>
      </c>
    </row>
    <row r="507">
      <c r="A507" s="17" t="n">
        <v>41518</v>
      </c>
      <c r="B507" s="58">
        <f>VLOOKUP(Table18[[#This Row],[Date]],database!A:G,5,)</f>
        <v/>
      </c>
      <c r="C507" s="66">
        <f>B507/B506-1</f>
        <v/>
      </c>
      <c r="D507" s="66">
        <f>(Table18[[#This Row],[Index]]-B495)/B495</f>
        <v/>
      </c>
    </row>
    <row r="508">
      <c r="A508" s="17" t="n">
        <v>41548</v>
      </c>
      <c r="B508" s="58">
        <f>VLOOKUP(Table18[[#This Row],[Date]],database!A:G,5,)</f>
        <v/>
      </c>
      <c r="C508" s="66">
        <f>B508/B507-1</f>
        <v/>
      </c>
      <c r="D508" s="66">
        <f>(Table18[[#This Row],[Index]]-B496)/B496</f>
        <v/>
      </c>
    </row>
    <row r="509">
      <c r="A509" s="17" t="n">
        <v>41579</v>
      </c>
      <c r="B509" s="58">
        <f>VLOOKUP(Table18[[#This Row],[Date]],database!A:G,5,)</f>
        <v/>
      </c>
      <c r="C509" s="66">
        <f>B509/B508-1</f>
        <v/>
      </c>
      <c r="D509" s="66">
        <f>(Table18[[#This Row],[Index]]-B497)/B497</f>
        <v/>
      </c>
    </row>
    <row r="510">
      <c r="A510" s="17" t="n">
        <v>41609</v>
      </c>
      <c r="B510" s="58">
        <f>VLOOKUP(Table18[[#This Row],[Date]],database!A:G,5,)</f>
        <v/>
      </c>
      <c r="C510" s="66">
        <f>B510/B509-1</f>
        <v/>
      </c>
      <c r="D510" s="66">
        <f>(Table18[[#This Row],[Index]]-B498)/B498</f>
        <v/>
      </c>
    </row>
    <row r="511">
      <c r="A511" s="17" t="n">
        <v>41640</v>
      </c>
      <c r="B511" s="58">
        <f>VLOOKUP(Table18[[#This Row],[Date]],database!A:G,5,)</f>
        <v/>
      </c>
      <c r="C511" s="66">
        <f>B511/B510-1</f>
        <v/>
      </c>
      <c r="D511" s="66">
        <f>(Table18[[#This Row],[Index]]-B499)/B499</f>
        <v/>
      </c>
    </row>
    <row r="512">
      <c r="A512" s="17" t="n">
        <v>41671</v>
      </c>
      <c r="B512" s="58">
        <f>VLOOKUP(Table18[[#This Row],[Date]],database!A:G,5,)</f>
        <v/>
      </c>
      <c r="C512" s="66">
        <f>B512/B511-1</f>
        <v/>
      </c>
      <c r="D512" s="66">
        <f>(Table18[[#This Row],[Index]]-B500)/B500</f>
        <v/>
      </c>
    </row>
    <row r="513">
      <c r="A513" s="17" t="n">
        <v>41699</v>
      </c>
      <c r="B513" s="58">
        <f>VLOOKUP(Table18[[#This Row],[Date]],database!A:G,5,)</f>
        <v/>
      </c>
      <c r="C513" s="66">
        <f>B513/B512-1</f>
        <v/>
      </c>
      <c r="D513" s="66">
        <f>(Table18[[#This Row],[Index]]-B501)/B501</f>
        <v/>
      </c>
    </row>
    <row r="514">
      <c r="A514" s="17" t="n">
        <v>41730</v>
      </c>
      <c r="B514" s="58">
        <f>VLOOKUP(Table18[[#This Row],[Date]],database!A:G,5,)</f>
        <v/>
      </c>
      <c r="C514" s="66">
        <f>B514/B513-1</f>
        <v/>
      </c>
      <c r="D514" s="66">
        <f>(Table18[[#This Row],[Index]]-B502)/B502</f>
        <v/>
      </c>
    </row>
    <row r="515">
      <c r="A515" s="17" t="n">
        <v>41760</v>
      </c>
      <c r="B515" s="58">
        <f>VLOOKUP(Table18[[#This Row],[Date]],database!A:G,5,)</f>
        <v/>
      </c>
      <c r="C515" s="66">
        <f>B515/B514-1</f>
        <v/>
      </c>
      <c r="D515" s="66">
        <f>(Table18[[#This Row],[Index]]-B503)/B503</f>
        <v/>
      </c>
    </row>
    <row r="516">
      <c r="A516" s="17" t="n">
        <v>41791</v>
      </c>
      <c r="B516" s="58">
        <f>VLOOKUP(Table18[[#This Row],[Date]],database!A:G,5,)</f>
        <v/>
      </c>
      <c r="C516" s="66">
        <f>B516/B515-1</f>
        <v/>
      </c>
      <c r="D516" s="66">
        <f>(Table18[[#This Row],[Index]]-B504)/B504</f>
        <v/>
      </c>
    </row>
    <row r="517">
      <c r="A517" s="17" t="n">
        <v>41821</v>
      </c>
      <c r="B517" s="58">
        <f>VLOOKUP(Table18[[#This Row],[Date]],database!A:G,5,)</f>
        <v/>
      </c>
      <c r="C517" s="66">
        <f>B517/B516-1</f>
        <v/>
      </c>
      <c r="D517" s="66">
        <f>(Table18[[#This Row],[Index]]-B505)/B505</f>
        <v/>
      </c>
    </row>
    <row r="518">
      <c r="A518" s="17" t="n">
        <v>41852</v>
      </c>
      <c r="B518" s="58">
        <f>VLOOKUP(Table18[[#This Row],[Date]],database!A:G,5,)</f>
        <v/>
      </c>
      <c r="C518" s="66">
        <f>B518/B517-1</f>
        <v/>
      </c>
      <c r="D518" s="66">
        <f>(Table18[[#This Row],[Index]]-B506)/B506</f>
        <v/>
      </c>
    </row>
    <row r="519">
      <c r="A519" s="17" t="n">
        <v>41883</v>
      </c>
      <c r="B519" s="58">
        <f>VLOOKUP(Table18[[#This Row],[Date]],database!A:G,5,)</f>
        <v/>
      </c>
      <c r="C519" s="66">
        <f>B519/B518-1</f>
        <v/>
      </c>
      <c r="D519" s="66">
        <f>(Table18[[#This Row],[Index]]-B507)/B507</f>
        <v/>
      </c>
    </row>
    <row r="520">
      <c r="A520" s="17" t="n">
        <v>41913</v>
      </c>
      <c r="B520" s="58">
        <f>VLOOKUP(Table18[[#This Row],[Date]],database!A:G,5,)</f>
        <v/>
      </c>
      <c r="C520" s="66">
        <f>B520/B519-1</f>
        <v/>
      </c>
      <c r="D520" s="66">
        <f>(Table18[[#This Row],[Index]]-B508)/B508</f>
        <v/>
      </c>
    </row>
    <row r="521">
      <c r="A521" s="17" t="n">
        <v>41944</v>
      </c>
      <c r="B521" s="58">
        <f>VLOOKUP(Table18[[#This Row],[Date]],database!A:G,5,)</f>
        <v/>
      </c>
      <c r="C521" s="67">
        <f>B521/B520-1</f>
        <v/>
      </c>
      <c r="D521" s="66">
        <f>(Table18[[#This Row],[Index]]-B509)/B509</f>
        <v/>
      </c>
    </row>
    <row r="522">
      <c r="A522" s="17" t="n">
        <v>41974</v>
      </c>
      <c r="B522" s="58">
        <f>VLOOKUP(Table18[[#This Row],[Date]],database!A:G,5,)</f>
        <v/>
      </c>
      <c r="C522" s="66">
        <f>B522/B521-1</f>
        <v/>
      </c>
      <c r="D522" s="66">
        <f>(Table18[[#This Row],[Index]]-B510)/B510</f>
        <v/>
      </c>
    </row>
    <row r="523">
      <c r="A523" s="17" t="n">
        <v>42005</v>
      </c>
      <c r="B523" s="58">
        <f>VLOOKUP(Table18[[#This Row],[Date]],database!A:G,5,)</f>
        <v/>
      </c>
      <c r="C523" s="67">
        <f>B523/B522-1</f>
        <v/>
      </c>
      <c r="D523" s="66">
        <f>(Table18[[#This Row],[Index]]-B511)/B511</f>
        <v/>
      </c>
    </row>
    <row r="524">
      <c r="A524" s="17" t="n">
        <v>42036</v>
      </c>
      <c r="B524" s="58">
        <f>VLOOKUP(Table18[[#This Row],[Date]],database!A:G,5,)</f>
        <v/>
      </c>
      <c r="C524" s="66">
        <f>B524/B523-1</f>
        <v/>
      </c>
      <c r="D524" s="66">
        <f>(Table18[[#This Row],[Index]]-B512)/B512</f>
        <v/>
      </c>
    </row>
    <row r="525">
      <c r="A525" s="17" t="n">
        <v>42064</v>
      </c>
      <c r="B525" s="58">
        <f>VLOOKUP(Table18[[#This Row],[Date]],database!A:G,5,)</f>
        <v/>
      </c>
      <c r="C525" s="67">
        <f>B525/B524-1</f>
        <v/>
      </c>
      <c r="D525" s="66">
        <f>(Table18[[#This Row],[Index]]-B513)/B513</f>
        <v/>
      </c>
    </row>
    <row r="526">
      <c r="A526" s="17" t="n">
        <v>42095</v>
      </c>
      <c r="B526" s="58">
        <f>VLOOKUP(Table18[[#This Row],[Date]],database!A:G,5,)</f>
        <v/>
      </c>
      <c r="C526" s="66">
        <f>B526/B525-1</f>
        <v/>
      </c>
      <c r="D526" s="66">
        <f>(Table18[[#This Row],[Index]]-B514)/B514</f>
        <v/>
      </c>
    </row>
    <row r="527">
      <c r="A527" s="17" t="n">
        <v>42125</v>
      </c>
      <c r="B527" s="58">
        <f>VLOOKUP(Table18[[#This Row],[Date]],database!A:G,5,)</f>
        <v/>
      </c>
      <c r="C527" s="66">
        <f>B527/B526-1</f>
        <v/>
      </c>
      <c r="D527" s="66">
        <f>(Table18[[#This Row],[Index]]-B515)/B515</f>
        <v/>
      </c>
    </row>
    <row r="528">
      <c r="A528" s="17" t="n">
        <v>42156</v>
      </c>
      <c r="B528" s="58">
        <f>VLOOKUP(Table18[[#This Row],[Date]],database!A:G,5,)</f>
        <v/>
      </c>
      <c r="C528" s="66">
        <f>B528/B527-1</f>
        <v/>
      </c>
      <c r="D528" s="66">
        <f>(Table18[[#This Row],[Index]]-B516)/B516</f>
        <v/>
      </c>
    </row>
    <row r="529">
      <c r="A529" s="17" t="n">
        <v>42186</v>
      </c>
      <c r="B529" s="58">
        <f>VLOOKUP(Table18[[#This Row],[Date]],database!A:G,5,)</f>
        <v/>
      </c>
      <c r="C529" s="66">
        <f>B529/B528-1</f>
        <v/>
      </c>
      <c r="D529" s="66">
        <f>(Table18[[#This Row],[Index]]-B517)/B517</f>
        <v/>
      </c>
    </row>
    <row r="530">
      <c r="A530" s="17" t="n">
        <v>42217</v>
      </c>
      <c r="B530" s="58">
        <f>VLOOKUP(Table18[[#This Row],[Date]],database!A:G,5,)</f>
        <v/>
      </c>
      <c r="C530" s="66">
        <f>B530/B529-1</f>
        <v/>
      </c>
      <c r="D530" s="66">
        <f>(Table18[[#This Row],[Index]]-B518)/B518</f>
        <v/>
      </c>
    </row>
    <row r="531">
      <c r="A531" s="17" t="n">
        <v>42248</v>
      </c>
      <c r="B531" s="58">
        <f>VLOOKUP(Table18[[#This Row],[Date]],database!A:G,5,)</f>
        <v/>
      </c>
      <c r="C531" s="66">
        <f>B531/B530-1</f>
        <v/>
      </c>
      <c r="D531" s="66">
        <f>(Table18[[#This Row],[Index]]-B519)/B519</f>
        <v/>
      </c>
    </row>
    <row r="532">
      <c r="A532" s="17" t="n">
        <v>42278</v>
      </c>
      <c r="B532" s="58">
        <f>VLOOKUP(Table18[[#This Row],[Date]],database!A:G,5,)</f>
        <v/>
      </c>
      <c r="C532" s="66">
        <f>B532/B531-1</f>
        <v/>
      </c>
      <c r="D532" s="66">
        <f>(Table18[[#This Row],[Index]]-B520)/B520</f>
        <v/>
      </c>
    </row>
    <row r="533">
      <c r="A533" s="17" t="n">
        <v>42309</v>
      </c>
      <c r="B533" s="58">
        <f>VLOOKUP(Table18[[#This Row],[Date]],database!A:G,5,)</f>
        <v/>
      </c>
      <c r="C533" s="66">
        <f>B533/B532-1</f>
        <v/>
      </c>
      <c r="D533" s="66">
        <f>(Table18[[#This Row],[Index]]-B521)/B521</f>
        <v/>
      </c>
    </row>
    <row r="534">
      <c r="A534" s="17" t="n">
        <v>42339</v>
      </c>
      <c r="B534" s="58">
        <f>VLOOKUP(Table18[[#This Row],[Date]],database!A:G,5,)</f>
        <v/>
      </c>
      <c r="C534" s="66">
        <f>B534/B533-1</f>
        <v/>
      </c>
      <c r="D534" s="66">
        <f>(Table18[[#This Row],[Index]]-B522)/B522</f>
        <v/>
      </c>
    </row>
    <row r="535">
      <c r="A535" s="17" t="n">
        <v>42370</v>
      </c>
      <c r="B535" s="58">
        <f>VLOOKUP(Table18[[#This Row],[Date]],database!A:G,5,)</f>
        <v/>
      </c>
      <c r="C535" s="66">
        <f>B535/B534-1</f>
        <v/>
      </c>
      <c r="D535" s="66">
        <f>(Table18[[#This Row],[Index]]-B523)/B523</f>
        <v/>
      </c>
    </row>
    <row r="536">
      <c r="A536" s="17" t="n">
        <v>42401</v>
      </c>
      <c r="B536" s="58">
        <f>VLOOKUP(Table18[[#This Row],[Date]],database!A:G,5,)</f>
        <v/>
      </c>
      <c r="C536" s="66">
        <f>B536/B535-1</f>
        <v/>
      </c>
      <c r="D536" s="66">
        <f>(Table18[[#This Row],[Index]]-B524)/B524</f>
        <v/>
      </c>
    </row>
    <row r="537">
      <c r="A537" s="17" t="n">
        <v>42430</v>
      </c>
      <c r="B537" s="58">
        <f>VLOOKUP(Table18[[#This Row],[Date]],database!A:G,5,)</f>
        <v/>
      </c>
      <c r="C537" s="66">
        <f>B537/B536-1</f>
        <v/>
      </c>
      <c r="D537" s="66">
        <f>(Table18[[#This Row],[Index]]-B525)/B525</f>
        <v/>
      </c>
    </row>
    <row r="538">
      <c r="A538" s="17" t="n">
        <v>42461</v>
      </c>
      <c r="B538" s="58">
        <f>VLOOKUP(Table18[[#This Row],[Date]],database!A:G,5,)</f>
        <v/>
      </c>
      <c r="C538" s="66">
        <f>B538/B537-1</f>
        <v/>
      </c>
      <c r="D538" s="66">
        <f>(Table18[[#This Row],[Index]]-B526)/B526</f>
        <v/>
      </c>
    </row>
    <row r="539">
      <c r="A539" s="17" t="n">
        <v>42491</v>
      </c>
      <c r="B539" s="58">
        <f>VLOOKUP(Table18[[#This Row],[Date]],database!A:G,5,)</f>
        <v/>
      </c>
      <c r="C539" s="66">
        <f>B539/B538-1</f>
        <v/>
      </c>
      <c r="D539" s="66">
        <f>(Table18[[#This Row],[Index]]-B527)/B527</f>
        <v/>
      </c>
    </row>
    <row r="540">
      <c r="A540" s="17" t="n">
        <v>42522</v>
      </c>
      <c r="B540" s="58">
        <f>VLOOKUP(Table18[[#This Row],[Date]],database!A:G,5,)</f>
        <v/>
      </c>
      <c r="C540" s="66">
        <f>B540/B539-1</f>
        <v/>
      </c>
      <c r="D540" s="66">
        <f>(Table18[[#This Row],[Index]]-B528)/B528</f>
        <v/>
      </c>
    </row>
    <row r="541">
      <c r="A541" s="17" t="n">
        <v>42552</v>
      </c>
      <c r="B541" s="58">
        <f>VLOOKUP(Table18[[#This Row],[Date]],database!A:G,5,)</f>
        <v/>
      </c>
      <c r="C541" s="66">
        <f>B541/B540-1</f>
        <v/>
      </c>
      <c r="D541" s="66">
        <f>(Table18[[#This Row],[Index]]-B529)/B529</f>
        <v/>
      </c>
    </row>
    <row r="542">
      <c r="A542" s="17" t="n">
        <v>42583</v>
      </c>
      <c r="B542" s="58">
        <f>VLOOKUP(Table18[[#This Row],[Date]],database!A:G,5,)</f>
        <v/>
      </c>
      <c r="C542" s="66">
        <f>B542/B541-1</f>
        <v/>
      </c>
      <c r="D542" s="66">
        <f>(Table18[[#This Row],[Index]]-B530)/B530</f>
        <v/>
      </c>
    </row>
    <row r="543">
      <c r="A543" s="17" t="n">
        <v>42614</v>
      </c>
      <c r="B543" s="58">
        <f>VLOOKUP(Table18[[#This Row],[Date]],database!A:G,5,)</f>
        <v/>
      </c>
      <c r="C543" s="66">
        <f>B543/B542-1</f>
        <v/>
      </c>
      <c r="D543" s="66">
        <f>(Table18[[#This Row],[Index]]-B531)/B531</f>
        <v/>
      </c>
    </row>
    <row r="544">
      <c r="A544" s="17" t="n">
        <v>42644</v>
      </c>
      <c r="B544" s="58">
        <f>VLOOKUP(Table18[[#This Row],[Date]],database!A:G,5,)</f>
        <v/>
      </c>
      <c r="C544" s="66">
        <f>B544/B543-1</f>
        <v/>
      </c>
      <c r="D544" s="66">
        <f>(Table18[[#This Row],[Index]]-B532)/B532</f>
        <v/>
      </c>
    </row>
    <row r="545">
      <c r="A545" s="17" t="n">
        <v>42675</v>
      </c>
      <c r="B545" s="58">
        <f>VLOOKUP(Table18[[#This Row],[Date]],database!A:G,5,)</f>
        <v/>
      </c>
      <c r="C545" s="66">
        <f>B545/B544-1</f>
        <v/>
      </c>
      <c r="D545" s="66">
        <f>(Table18[[#This Row],[Index]]-B533)/B533</f>
        <v/>
      </c>
    </row>
    <row r="546">
      <c r="A546" s="17" t="n">
        <v>42705</v>
      </c>
      <c r="B546" s="58">
        <f>VLOOKUP(Table18[[#This Row],[Date]],database!A:G,5,)</f>
        <v/>
      </c>
      <c r="C546" s="66">
        <f>B546/B545-1</f>
        <v/>
      </c>
      <c r="D546" s="66">
        <f>(Table18[[#This Row],[Index]]-B534)/B534</f>
        <v/>
      </c>
    </row>
    <row r="547">
      <c r="A547" s="17" t="n">
        <v>42736</v>
      </c>
      <c r="B547" s="58">
        <f>VLOOKUP(Table18[[#This Row],[Date]],database!A:G,5,)</f>
        <v/>
      </c>
      <c r="C547" s="66">
        <f>B547/B546-1</f>
        <v/>
      </c>
      <c r="D547" s="66">
        <f>(Table18[[#This Row],[Index]]-B535)/B535</f>
        <v/>
      </c>
    </row>
    <row r="548">
      <c r="A548" s="17" t="n">
        <v>42767</v>
      </c>
      <c r="B548" s="58">
        <f>VLOOKUP(Table18[[#This Row],[Date]],database!A:G,5,)</f>
        <v/>
      </c>
      <c r="C548" s="66">
        <f>B548/B547-1</f>
        <v/>
      </c>
      <c r="D548" s="66">
        <f>(Table18[[#This Row],[Index]]-B536)/B536</f>
        <v/>
      </c>
    </row>
    <row r="549">
      <c r="A549" s="17" t="n">
        <v>42795</v>
      </c>
      <c r="B549" s="58">
        <f>VLOOKUP(Table18[[#This Row],[Date]],database!A:G,5,)</f>
        <v/>
      </c>
      <c r="C549" s="66">
        <f>B549/B548-1</f>
        <v/>
      </c>
      <c r="D549" s="66">
        <f>(Table18[[#This Row],[Index]]-B537)/B537</f>
        <v/>
      </c>
    </row>
    <row r="550">
      <c r="A550" s="17" t="n">
        <v>42826</v>
      </c>
      <c r="B550" s="58">
        <f>VLOOKUP(Table18[[#This Row],[Date]],database!A:G,5,)</f>
        <v/>
      </c>
      <c r="C550" s="66">
        <f>B550/B549-1</f>
        <v/>
      </c>
      <c r="D550" s="66">
        <f>(Table18[[#This Row],[Index]]-B538)/B538</f>
        <v/>
      </c>
    </row>
    <row r="551">
      <c r="A551" s="17" t="n">
        <v>42856</v>
      </c>
      <c r="B551" s="58">
        <f>VLOOKUP(Table18[[#This Row],[Date]],database!A:G,5,)</f>
        <v/>
      </c>
      <c r="C551" s="66">
        <f>B551/B550-1</f>
        <v/>
      </c>
      <c r="D551" s="66">
        <f>(Table18[[#This Row],[Index]]-B539)/B539</f>
        <v/>
      </c>
    </row>
    <row r="552">
      <c r="A552" s="17" t="n">
        <v>42887</v>
      </c>
      <c r="B552" s="58">
        <f>VLOOKUP(Table18[[#This Row],[Date]],database!A:G,5,)</f>
        <v/>
      </c>
      <c r="C552" s="66">
        <f>B552/B551-1</f>
        <v/>
      </c>
      <c r="D552" s="66">
        <f>(Table18[[#This Row],[Index]]-B540)/B540</f>
        <v/>
      </c>
    </row>
    <row r="553">
      <c r="A553" s="17" t="n">
        <v>42917</v>
      </c>
      <c r="B553" s="58">
        <f>VLOOKUP(Table18[[#This Row],[Date]],database!A:G,5,)</f>
        <v/>
      </c>
      <c r="C553" s="66">
        <f>B553/B552-1</f>
        <v/>
      </c>
      <c r="D553" s="66">
        <f>(Table18[[#This Row],[Index]]-B541)/B541</f>
        <v/>
      </c>
    </row>
    <row r="554">
      <c r="A554" s="17" t="n">
        <v>42948</v>
      </c>
      <c r="B554" s="58">
        <f>VLOOKUP(Table18[[#This Row],[Date]],database!A:G,5,)</f>
        <v/>
      </c>
      <c r="C554" s="66">
        <f>B554/B553-1</f>
        <v/>
      </c>
      <c r="D554" s="66">
        <f>(Table18[[#This Row],[Index]]-B542)/B542</f>
        <v/>
      </c>
    </row>
    <row r="555">
      <c r="A555" s="17" t="n">
        <v>42979</v>
      </c>
      <c r="B555" s="58">
        <f>VLOOKUP(Table18[[#This Row],[Date]],database!A:G,5,)</f>
        <v/>
      </c>
      <c r="C555" s="66">
        <f>B555/B554-1</f>
        <v/>
      </c>
      <c r="D555" s="66">
        <f>(Table18[[#This Row],[Index]]-B543)/B543</f>
        <v/>
      </c>
    </row>
    <row r="556">
      <c r="A556" s="17" t="n">
        <v>43009</v>
      </c>
      <c r="B556" s="58">
        <f>VLOOKUP(Table18[[#This Row],[Date]],database!A:G,5,)</f>
        <v/>
      </c>
      <c r="C556" s="66">
        <f>B556/B555-1</f>
        <v/>
      </c>
      <c r="D556" s="66">
        <f>(Table18[[#This Row],[Index]]-B544)/B544</f>
        <v/>
      </c>
    </row>
    <row r="557">
      <c r="A557" s="17" t="n">
        <v>43040</v>
      </c>
      <c r="B557" s="58">
        <f>VLOOKUP(Table18[[#This Row],[Date]],database!A:G,5,)</f>
        <v/>
      </c>
      <c r="C557" s="66">
        <f>B557/B556-1</f>
        <v/>
      </c>
      <c r="D557" s="66">
        <f>(Table18[[#This Row],[Index]]-B545)/B545</f>
        <v/>
      </c>
    </row>
    <row r="558">
      <c r="A558" s="17" t="n">
        <v>43070</v>
      </c>
      <c r="B558" s="58">
        <f>VLOOKUP(Table18[[#This Row],[Date]],database!A:G,5,)</f>
        <v/>
      </c>
      <c r="C558" s="66">
        <f>B558/B557-1</f>
        <v/>
      </c>
      <c r="D558" s="66">
        <f>(Table18[[#This Row],[Index]]-B546)/B546</f>
        <v/>
      </c>
    </row>
    <row r="559">
      <c r="A559" s="17" t="n">
        <v>43101</v>
      </c>
      <c r="B559" s="58">
        <f>VLOOKUP(Table18[[#This Row],[Date]],database!A:G,5,)</f>
        <v/>
      </c>
      <c r="C559" s="66">
        <f>B559/B558-1</f>
        <v/>
      </c>
      <c r="D559" s="66">
        <f>(Table18[[#This Row],[Index]]-B547)/B547</f>
        <v/>
      </c>
    </row>
    <row r="560">
      <c r="A560" s="17" t="n">
        <v>43132</v>
      </c>
      <c r="B560" s="58">
        <f>VLOOKUP(Table18[[#This Row],[Date]],database!A:G,5,)</f>
        <v/>
      </c>
      <c r="C560" s="66">
        <f>B560/B559-1</f>
        <v/>
      </c>
      <c r="D560" s="66">
        <f>(Table18[[#This Row],[Index]]-B548)/B548</f>
        <v/>
      </c>
    </row>
    <row r="561">
      <c r="A561" s="17" t="n">
        <v>43160</v>
      </c>
      <c r="B561" s="58">
        <f>VLOOKUP(Table18[[#This Row],[Date]],database!A:G,5,)</f>
        <v/>
      </c>
      <c r="C561" s="66">
        <f>B561/B560-1</f>
        <v/>
      </c>
      <c r="D561" s="66">
        <f>(Table18[[#This Row],[Index]]-B549)/B549</f>
        <v/>
      </c>
    </row>
    <row r="562">
      <c r="A562" s="17" t="n">
        <v>43191</v>
      </c>
      <c r="B562" s="58">
        <f>VLOOKUP(Table18[[#This Row],[Date]],database!A:G,5,)</f>
        <v/>
      </c>
      <c r="C562" s="66">
        <f>B562/B561-1</f>
        <v/>
      </c>
      <c r="D562" s="66">
        <f>(Table18[[#This Row],[Index]]-B550)/B550</f>
        <v/>
      </c>
    </row>
    <row r="563">
      <c r="A563" s="17" t="n">
        <v>43221</v>
      </c>
      <c r="B563" s="58">
        <f>VLOOKUP(Table18[[#This Row],[Date]],database!A:G,5,)</f>
        <v/>
      </c>
      <c r="C563" s="66">
        <f>B563/B562-1</f>
        <v/>
      </c>
      <c r="D563" s="66">
        <f>(Table18[[#This Row],[Index]]-B551)/B551</f>
        <v/>
      </c>
    </row>
    <row r="564">
      <c r="A564" s="17" t="n">
        <v>43252</v>
      </c>
      <c r="B564" s="58">
        <f>VLOOKUP(Table18[[#This Row],[Date]],database!A:G,5,)</f>
        <v/>
      </c>
      <c r="C564" s="66">
        <f>B564/B563-1</f>
        <v/>
      </c>
      <c r="D564" s="66">
        <f>(Table18[[#This Row],[Index]]-B552)/B552</f>
        <v/>
      </c>
    </row>
    <row r="565">
      <c r="A565" s="17" t="n">
        <v>43282</v>
      </c>
      <c r="B565" s="58">
        <f>VLOOKUP(Table18[[#This Row],[Date]],database!A:G,5,)</f>
        <v/>
      </c>
      <c r="C565" s="66">
        <f>B565/B564-1</f>
        <v/>
      </c>
      <c r="D565" s="66">
        <f>(Table18[[#This Row],[Index]]-B553)/B553</f>
        <v/>
      </c>
    </row>
    <row r="566">
      <c r="A566" s="17" t="n">
        <v>43313</v>
      </c>
      <c r="B566" s="58">
        <f>VLOOKUP(Table18[[#This Row],[Date]],database!A:G,5,)</f>
        <v/>
      </c>
      <c r="C566" s="66">
        <f>B566/B565-1</f>
        <v/>
      </c>
      <c r="D566" s="66">
        <f>(Table18[[#This Row],[Index]]-B554)/B554</f>
        <v/>
      </c>
    </row>
    <row r="567">
      <c r="A567" s="17" t="n">
        <v>43344</v>
      </c>
      <c r="B567" s="58">
        <f>VLOOKUP(Table18[[#This Row],[Date]],database!A:G,5,)</f>
        <v/>
      </c>
      <c r="C567" s="66">
        <f>B567/B566-1</f>
        <v/>
      </c>
      <c r="D567" s="66">
        <f>(Table18[[#This Row],[Index]]-B555)/B555</f>
        <v/>
      </c>
    </row>
    <row r="568">
      <c r="A568" s="17" t="n">
        <v>43374</v>
      </c>
      <c r="B568" s="58">
        <f>VLOOKUP(Table18[[#This Row],[Date]],database!A:G,5,)</f>
        <v/>
      </c>
      <c r="C568" s="66">
        <f>B568/B567-1</f>
        <v/>
      </c>
      <c r="D568" s="66">
        <f>(Table18[[#This Row],[Index]]-B556)/B556</f>
        <v/>
      </c>
    </row>
    <row r="569">
      <c r="A569" s="17" t="n">
        <v>43405</v>
      </c>
      <c r="B569" s="58">
        <f>VLOOKUP(Table18[[#This Row],[Date]],database!A:G,5,)</f>
        <v/>
      </c>
      <c r="C569" s="66">
        <f>B569/B568-1</f>
        <v/>
      </c>
      <c r="D569" s="66">
        <f>(Table18[[#This Row],[Index]]-B557)/B557</f>
        <v/>
      </c>
    </row>
    <row r="570">
      <c r="A570" s="17" t="n">
        <v>43435</v>
      </c>
      <c r="B570" s="58">
        <f>VLOOKUP(Table18[[#This Row],[Date]],database!A:G,5,)</f>
        <v/>
      </c>
      <c r="C570" s="66">
        <f>B570/B569-1</f>
        <v/>
      </c>
      <c r="D570" s="66">
        <f>(Table18[[#This Row],[Index]]-B558)/B558</f>
        <v/>
      </c>
    </row>
    <row r="571">
      <c r="A571" s="17" t="n">
        <v>43466</v>
      </c>
      <c r="B571" s="58">
        <f>VLOOKUP(Table18[[#This Row],[Date]],database!A:G,5,)</f>
        <v/>
      </c>
      <c r="C571" s="66">
        <f>B571/B570-1</f>
        <v/>
      </c>
      <c r="D571" s="66">
        <f>(Table18[[#This Row],[Index]]-B559)/B559</f>
        <v/>
      </c>
    </row>
    <row r="572">
      <c r="A572" s="17" t="n">
        <v>43497</v>
      </c>
      <c r="B572" s="58">
        <f>VLOOKUP(Table18[[#This Row],[Date]],database!A:G,5,)</f>
        <v/>
      </c>
      <c r="C572" s="66">
        <f>B572/B571-1</f>
        <v/>
      </c>
      <c r="D572" s="66">
        <f>(Table18[[#This Row],[Index]]-B560)/B560</f>
        <v/>
      </c>
    </row>
    <row r="573">
      <c r="A573" s="17" t="n">
        <v>43525</v>
      </c>
      <c r="B573" s="58">
        <f>VLOOKUP(Table18[[#This Row],[Date]],database!A:G,5,)</f>
        <v/>
      </c>
      <c r="C573" s="66">
        <f>B573/B572-1</f>
        <v/>
      </c>
      <c r="D573" s="66">
        <f>(Table18[[#This Row],[Index]]-B561)/B561</f>
        <v/>
      </c>
    </row>
    <row r="574">
      <c r="A574" s="17" t="n">
        <v>43556</v>
      </c>
      <c r="B574" s="58">
        <f>VLOOKUP(Table18[[#This Row],[Date]],database!A:G,5,)</f>
        <v/>
      </c>
      <c r="C574" s="66">
        <f>B574/B573-1</f>
        <v/>
      </c>
      <c r="D574" s="66">
        <f>(Table18[[#This Row],[Index]]-B562)/B562</f>
        <v/>
      </c>
    </row>
    <row r="575">
      <c r="A575" s="17" t="n">
        <v>43586</v>
      </c>
      <c r="B575" s="58">
        <f>VLOOKUP(Table18[[#This Row],[Date]],database!A:G,5,)</f>
        <v/>
      </c>
      <c r="C575" s="66">
        <f>B575/B574-1</f>
        <v/>
      </c>
      <c r="D575" s="66">
        <f>(Table18[[#This Row],[Index]]-B563)/B563</f>
        <v/>
      </c>
    </row>
    <row r="576">
      <c r="A576" s="17" t="n">
        <v>43617</v>
      </c>
      <c r="B576" s="58">
        <f>VLOOKUP(Table18[[#This Row],[Date]],database!A:G,5,)</f>
        <v/>
      </c>
      <c r="C576" s="66">
        <f>B576/B575-1</f>
        <v/>
      </c>
      <c r="D576" s="66">
        <f>(Table18[[#This Row],[Index]]-B564)/B564</f>
        <v/>
      </c>
    </row>
    <row r="577">
      <c r="A577" s="17" t="n">
        <v>43647</v>
      </c>
      <c r="B577" s="58">
        <f>VLOOKUP(Table18[[#This Row],[Date]],database!A:G,5,)</f>
        <v/>
      </c>
      <c r="C577" s="66">
        <f>B577/B576-1</f>
        <v/>
      </c>
      <c r="D577" s="66">
        <f>(Table18[[#This Row],[Index]]-B565)/B565</f>
        <v/>
      </c>
    </row>
    <row r="578">
      <c r="A578" s="17" t="n">
        <v>43678</v>
      </c>
      <c r="B578" s="58">
        <f>VLOOKUP(Table18[[#This Row],[Date]],database!A:G,5,)</f>
        <v/>
      </c>
      <c r="C578" s="66">
        <f>B578/B577-1</f>
        <v/>
      </c>
      <c r="D578" s="66">
        <f>(Table18[[#This Row],[Index]]-B566)/B566</f>
        <v/>
      </c>
    </row>
    <row r="579">
      <c r="A579" s="17" t="n">
        <v>43709</v>
      </c>
      <c r="B579" s="58">
        <f>VLOOKUP(Table18[[#This Row],[Date]],database!A:G,5,)</f>
        <v/>
      </c>
      <c r="C579" s="66">
        <f>B579/B578-1</f>
        <v/>
      </c>
      <c r="D579" s="66">
        <f>(Table18[[#This Row],[Index]]-B567)/B567</f>
        <v/>
      </c>
    </row>
    <row r="580">
      <c r="A580" s="17" t="n">
        <v>43739</v>
      </c>
      <c r="B580" s="58">
        <f>VLOOKUP(Table18[[#This Row],[Date]],database!A:G,5,)</f>
        <v/>
      </c>
      <c r="C580" s="66">
        <f>B580/B579-1</f>
        <v/>
      </c>
      <c r="D580" s="66">
        <f>(Table18[[#This Row],[Index]]-B568)/B568</f>
        <v/>
      </c>
    </row>
    <row r="581">
      <c r="A581" s="17" t="n">
        <v>43770</v>
      </c>
      <c r="B581" s="58">
        <f>VLOOKUP(Table18[[#This Row],[Date]],database!A:G,5,)</f>
        <v/>
      </c>
      <c r="C581" s="66">
        <f>B581/B580-1</f>
        <v/>
      </c>
      <c r="D581" s="66">
        <f>(Table18[[#This Row],[Index]]-B569)/B569</f>
        <v/>
      </c>
    </row>
    <row r="582">
      <c r="A582" s="17" t="n">
        <v>43800</v>
      </c>
      <c r="B582" s="58">
        <f>VLOOKUP(Table18[[#This Row],[Date]],database!A:G,5,)</f>
        <v/>
      </c>
      <c r="C582" s="66">
        <f>B582/B581-1</f>
        <v/>
      </c>
      <c r="D582" s="66">
        <f>(Table18[[#This Row],[Index]]-B570)/B570</f>
        <v/>
      </c>
    </row>
    <row r="583">
      <c r="A583" s="17" t="n">
        <v>43831</v>
      </c>
      <c r="B583" s="58">
        <f>VLOOKUP(Table18[[#This Row],[Date]],database!A:G,5,)</f>
        <v/>
      </c>
      <c r="C583" s="66">
        <f>B583/B582-1</f>
        <v/>
      </c>
      <c r="D583" s="66">
        <f>(Table18[[#This Row],[Index]]-B571)/B571</f>
        <v/>
      </c>
    </row>
    <row r="584">
      <c r="A584" s="17" t="n">
        <v>43862</v>
      </c>
      <c r="B584" s="58">
        <f>VLOOKUP(Table18[[#This Row],[Date]],database!A:G,5,)</f>
        <v/>
      </c>
      <c r="C584" s="66">
        <f>B584/B583-1</f>
        <v/>
      </c>
      <c r="D584" s="66">
        <f>(Table18[[#This Row],[Index]]-B572)/B572</f>
        <v/>
      </c>
    </row>
    <row r="585">
      <c r="A585" s="17" t="n">
        <v>43891</v>
      </c>
      <c r="B585" s="58">
        <f>VLOOKUP(Table18[[#This Row],[Date]],database!A:G,5,)</f>
        <v/>
      </c>
      <c r="C585" s="66">
        <f>B585/B584-1</f>
        <v/>
      </c>
      <c r="D585" s="66">
        <f>(Table18[[#This Row],[Index]]-B573)/B573</f>
        <v/>
      </c>
    </row>
    <row r="586">
      <c r="A586" s="17" t="n">
        <v>43922</v>
      </c>
      <c r="B586" s="58">
        <f>VLOOKUP(Table18[[#This Row],[Date]],database!A:G,5,)</f>
        <v/>
      </c>
      <c r="C586" s="66">
        <f>B586/B585-1</f>
        <v/>
      </c>
      <c r="D586" s="66">
        <f>(Table18[[#This Row],[Index]]-B574)/B574</f>
        <v/>
      </c>
    </row>
    <row r="587">
      <c r="A587" s="17" t="n">
        <v>43952</v>
      </c>
      <c r="B587" s="58">
        <f>VLOOKUP(Table18[[#This Row],[Date]],database!A:G,5,)</f>
        <v/>
      </c>
      <c r="C587" s="66">
        <f>B587/B586-1</f>
        <v/>
      </c>
      <c r="D587" s="66">
        <f>(Table18[[#This Row],[Index]]-B575)/B575</f>
        <v/>
      </c>
    </row>
    <row r="588">
      <c r="A588" s="17" t="n">
        <v>43983</v>
      </c>
      <c r="B588" s="58">
        <f>VLOOKUP(Table18[[#This Row],[Date]],database!A:G,5,)</f>
        <v/>
      </c>
      <c r="C588" s="66">
        <f>B588/B587-1</f>
        <v/>
      </c>
      <c r="D588" s="66">
        <f>(Table18[[#This Row],[Index]]-B576)/B576</f>
        <v/>
      </c>
    </row>
    <row r="589">
      <c r="A589" s="17" t="n">
        <v>44013</v>
      </c>
      <c r="B589" s="58">
        <f>VLOOKUP(Table18[[#This Row],[Date]],database!A:G,5,)</f>
        <v/>
      </c>
      <c r="C589" s="66">
        <f>B589/B588-1</f>
        <v/>
      </c>
      <c r="D589" s="66">
        <f>(Table18[[#This Row],[Index]]-B577)/B577</f>
        <v/>
      </c>
    </row>
    <row r="590">
      <c r="A590" s="17" t="n">
        <v>44044</v>
      </c>
      <c r="B590" s="58">
        <f>VLOOKUP(Table18[[#This Row],[Date]],database!A:G,5,)</f>
        <v/>
      </c>
      <c r="C590" s="66">
        <f>B590/B589-1</f>
        <v/>
      </c>
      <c r="D590" s="66">
        <f>(Table18[[#This Row],[Index]]-B578)/B578</f>
        <v/>
      </c>
    </row>
    <row r="591">
      <c r="A591" s="17" t="n">
        <v>44075</v>
      </c>
      <c r="B591" s="58">
        <f>VLOOKUP(Table18[[#This Row],[Date]],database!A:G,5,)</f>
        <v/>
      </c>
      <c r="C591" s="66">
        <f>B591/B590-1</f>
        <v/>
      </c>
      <c r="D591" s="66">
        <f>(Table18[[#This Row],[Index]]-B579)/B579</f>
        <v/>
      </c>
    </row>
    <row r="592">
      <c r="A592" s="17" t="n">
        <v>44105</v>
      </c>
      <c r="B592" s="58">
        <f>VLOOKUP(Table18[[#This Row],[Date]],database!A:G,5,)</f>
        <v/>
      </c>
      <c r="C592" s="66">
        <f>B592/B591-1</f>
        <v/>
      </c>
      <c r="D592" s="66">
        <f>(Table18[[#This Row],[Index]]-B580)/B580</f>
        <v/>
      </c>
    </row>
    <row r="593">
      <c r="A593" s="17" t="n">
        <v>44136</v>
      </c>
      <c r="B593" s="58">
        <f>VLOOKUP(Table18[[#This Row],[Date]],database!A:G,5,)</f>
        <v/>
      </c>
      <c r="C593" s="66">
        <f>B593/B592-1</f>
        <v/>
      </c>
      <c r="D593" s="66">
        <f>(Table18[[#This Row],[Index]]-B581)/B581</f>
        <v/>
      </c>
    </row>
    <row r="594">
      <c r="A594" s="17" t="n">
        <v>44166</v>
      </c>
      <c r="B594" s="58">
        <f>VLOOKUP(Table18[[#This Row],[Date]],database!A:G,5,)</f>
        <v/>
      </c>
      <c r="C594" s="66">
        <f>B594/B593-1</f>
        <v/>
      </c>
      <c r="D594" s="66">
        <f>(Table18[[#This Row],[Index]]-B582)/B582</f>
        <v/>
      </c>
    </row>
    <row r="595">
      <c r="A595" s="17" t="n">
        <v>44197</v>
      </c>
      <c r="B595" s="58">
        <f>VLOOKUP(Table18[[#This Row],[Date]],database!A:G,5,)</f>
        <v/>
      </c>
      <c r="C595" s="66">
        <f>B595/B594-1</f>
        <v/>
      </c>
      <c r="D595" s="66">
        <f>(Table18[[#This Row],[Index]]-B583)/B583</f>
        <v/>
      </c>
    </row>
    <row r="596">
      <c r="A596" s="17" t="n">
        <v>44228</v>
      </c>
      <c r="B596" s="58">
        <f>VLOOKUP(Table18[[#This Row],[Date]],database!A:G,5,)</f>
        <v/>
      </c>
      <c r="C596" s="66">
        <f>B596/B595-1</f>
        <v/>
      </c>
      <c r="D596" s="66">
        <f>(Table18[[#This Row],[Index]]-B584)/B584</f>
        <v/>
      </c>
    </row>
    <row r="597">
      <c r="A597" s="17" t="n">
        <v>44256</v>
      </c>
      <c r="B597" s="58">
        <f>VLOOKUP(Table18[[#This Row],[Date]],database!A:G,5,)</f>
        <v/>
      </c>
      <c r="C597" s="66">
        <f>B597/B596-1</f>
        <v/>
      </c>
      <c r="D597" s="66">
        <f>(Table18[[#This Row],[Index]]-B585)/B585</f>
        <v/>
      </c>
    </row>
    <row r="598">
      <c r="A598" s="17" t="n">
        <v>44287</v>
      </c>
      <c r="B598" s="58">
        <f>VLOOKUP(Table18[[#This Row],[Date]],database!A:G,5,)</f>
        <v/>
      </c>
      <c r="C598" s="66">
        <f>B598/B597-1</f>
        <v/>
      </c>
      <c r="D598" s="66">
        <f>(Table18[[#This Row],[Index]]-B586)/B586</f>
        <v/>
      </c>
    </row>
    <row r="599">
      <c r="A599" s="17" t="n">
        <v>44317</v>
      </c>
      <c r="B599" s="58">
        <f>VLOOKUP(Table18[[#This Row],[Date]],database!A:G,5,)</f>
        <v/>
      </c>
      <c r="C599" s="66">
        <f>B599/B598-1</f>
        <v/>
      </c>
      <c r="D599" s="66">
        <f>(Table18[[#This Row],[Index]]-B587)/B587</f>
        <v/>
      </c>
    </row>
    <row r="600">
      <c r="A600" s="17" t="n">
        <v>44348</v>
      </c>
      <c r="B600" s="58">
        <f>VLOOKUP(Table18[[#This Row],[Date]],database!A:G,5,)</f>
        <v/>
      </c>
      <c r="C600" s="66">
        <f>B600/B599-1</f>
        <v/>
      </c>
      <c r="D600" s="66">
        <f>(Table18[[#This Row],[Index]]-B588)/B588</f>
        <v/>
      </c>
    </row>
    <row r="601">
      <c r="A601" s="17" t="n">
        <v>44378</v>
      </c>
      <c r="B601" s="58">
        <f>VLOOKUP(Table18[[#This Row],[Date]],database!A:G,5,)</f>
        <v/>
      </c>
      <c r="C601" s="66">
        <f>B601/B600-1</f>
        <v/>
      </c>
      <c r="D601" s="66">
        <f>(Table18[[#This Row],[Index]]-B589)/B589</f>
        <v/>
      </c>
    </row>
    <row r="602">
      <c r="A602" s="17" t="n">
        <v>44409</v>
      </c>
      <c r="B602" s="58">
        <f>VLOOKUP(Table18[[#This Row],[Date]],database!A:G,5,)</f>
        <v/>
      </c>
      <c r="C602" s="66">
        <f>B602/B601-1</f>
        <v/>
      </c>
      <c r="D602" s="66">
        <f>(Table18[[#This Row],[Index]]-B590)/B590</f>
        <v/>
      </c>
    </row>
    <row r="603">
      <c r="A603" s="17" t="n">
        <v>44440</v>
      </c>
      <c r="B603" s="58">
        <f>VLOOKUP(Table18[[#This Row],[Date]],database!A:G,5,)</f>
        <v/>
      </c>
      <c r="C603" s="66">
        <f>B603/B602-1</f>
        <v/>
      </c>
      <c r="D603" s="66">
        <f>(Table18[[#This Row],[Index]]-B591)/B591</f>
        <v/>
      </c>
    </row>
    <row r="604">
      <c r="A604" s="17" t="n">
        <v>44470</v>
      </c>
      <c r="B604" s="58">
        <f>VLOOKUP(Table18[[#This Row],[Date]],database!A:G,5,)</f>
        <v/>
      </c>
      <c r="C604" s="66">
        <f>B604/B603-1</f>
        <v/>
      </c>
      <c r="D604" s="66">
        <f>(Table18[[#This Row],[Index]]-B592)/B592</f>
        <v/>
      </c>
    </row>
    <row r="605">
      <c r="A605" s="17" t="n">
        <v>44501</v>
      </c>
      <c r="B605" s="58">
        <f>VLOOKUP(Table18[[#This Row],[Date]],database!A:G,5,)</f>
        <v/>
      </c>
      <c r="C605" s="66">
        <f>B605/B604-1</f>
        <v/>
      </c>
      <c r="D605" s="66">
        <f>(Table18[[#This Row],[Index]]-B593)/B593</f>
        <v/>
      </c>
    </row>
    <row r="606">
      <c r="A606" s="17" t="n">
        <v>44531</v>
      </c>
      <c r="B606" s="58">
        <f>VLOOKUP(Table18[[#This Row],[Date]],database!A:G,5,)</f>
        <v/>
      </c>
      <c r="C606" s="66">
        <f>B606/B605-1</f>
        <v/>
      </c>
      <c r="D606" s="66">
        <f>(Table18[[#This Row],[Index]]-B594)/B594</f>
        <v/>
      </c>
    </row>
    <row r="607">
      <c r="A607" s="17" t="n">
        <v>44562</v>
      </c>
      <c r="B607" s="58">
        <f>VLOOKUP(Table18[[#This Row],[Date]],database!A:G,5,)</f>
        <v/>
      </c>
      <c r="C607" s="66">
        <f>B607/B606-1</f>
        <v/>
      </c>
      <c r="D607" s="66">
        <f>(Table18[[#This Row],[Index]]-B595)/B595</f>
        <v/>
      </c>
    </row>
    <row r="608">
      <c r="A608" s="17" t="n">
        <v>44593</v>
      </c>
      <c r="B608" s="58">
        <f>VLOOKUP(Table18[[#This Row],[Date]],database!A:G,5,)</f>
        <v/>
      </c>
      <c r="C608" s="66">
        <f>B608/B607-1</f>
        <v/>
      </c>
      <c r="D608" s="66">
        <f>(Table18[[#This Row],[Index]]-B596)/B596</f>
        <v/>
      </c>
    </row>
    <row r="609">
      <c r="A609" s="17" t="n">
        <v>44621</v>
      </c>
      <c r="B609" s="58">
        <f>VLOOKUP(Table18[[#This Row],[Date]],database!A:G,5,)</f>
        <v/>
      </c>
      <c r="C609" s="66">
        <f>B609/B608-1</f>
        <v/>
      </c>
      <c r="D609" s="66">
        <f>(Table18[[#This Row],[Index]]-B597)/B597</f>
        <v/>
      </c>
    </row>
    <row r="610">
      <c r="A610" s="17" t="n">
        <v>44652</v>
      </c>
      <c r="B610" s="58">
        <f>VLOOKUP(Table18[[#This Row],[Date]],database!A:G,5,)</f>
        <v/>
      </c>
      <c r="C610" s="66">
        <f>B610/B609-1</f>
        <v/>
      </c>
      <c r="D610" s="66">
        <f>(Table18[[#This Row],[Index]]-B598)/B598</f>
        <v/>
      </c>
    </row>
    <row r="611">
      <c r="A611" s="17" t="n">
        <v>44682</v>
      </c>
      <c r="B611" s="58">
        <f>VLOOKUP(Table18[[#This Row],[Date]],database!A:G,5,)</f>
        <v/>
      </c>
      <c r="C611" s="66">
        <f>B611/B610-1</f>
        <v/>
      </c>
      <c r="D611" s="66">
        <f>(Table18[[#This Row],[Index]]-B599)/B599</f>
        <v/>
      </c>
    </row>
    <row r="612">
      <c r="A612" s="17" t="n">
        <v>44713</v>
      </c>
      <c r="B612" s="58">
        <f>VLOOKUP(Table18[[#This Row],[Date]],database!A:G,5,)</f>
        <v/>
      </c>
      <c r="C612" s="66">
        <f>B612/B611-1</f>
        <v/>
      </c>
      <c r="D612" s="66">
        <f>(Table18[[#This Row],[Index]]-B600)/B600</f>
        <v/>
      </c>
    </row>
    <row r="613">
      <c r="A613" s="17" t="n">
        <v>44743</v>
      </c>
      <c r="B613" s="58">
        <f>VLOOKUP(Table18[[#This Row],[Date]],database!A:G,5,)</f>
        <v/>
      </c>
      <c r="C613" s="66">
        <f>B613/B612-1</f>
        <v/>
      </c>
      <c r="D613" s="66">
        <f>(Table18[[#This Row],[Index]]-B601)/B601</f>
        <v/>
      </c>
    </row>
    <row r="614">
      <c r="A614" s="17" t="n">
        <v>44774</v>
      </c>
      <c r="B614" s="58">
        <f>VLOOKUP(Table18[[#This Row],[Date]],database!A:G,5,)</f>
        <v/>
      </c>
      <c r="C614" s="66">
        <f>B614/B613-1</f>
        <v/>
      </c>
      <c r="D614" s="66">
        <f>(Table18[[#This Row],[Index]]-B602)/B602</f>
        <v/>
      </c>
    </row>
    <row r="615">
      <c r="A615" s="17" t="n">
        <v>44805</v>
      </c>
      <c r="B615" s="58">
        <f>VLOOKUP(Table18[[#This Row],[Date]],database!A:G,5,)</f>
        <v/>
      </c>
      <c r="C615" s="66">
        <f>B615/B614-1</f>
        <v/>
      </c>
      <c r="D615" s="66">
        <f>(Table18[[#This Row],[Index]]-B603)/B603</f>
        <v/>
      </c>
    </row>
    <row r="616">
      <c r="A616" s="17" t="n">
        <v>44835</v>
      </c>
      <c r="B616" s="58">
        <f>VLOOKUP(Table18[[#This Row],[Date]],database!A:G,5,)</f>
        <v/>
      </c>
      <c r="C616" s="66">
        <f>B616/B615-1</f>
        <v/>
      </c>
      <c r="D616" s="66">
        <f>(Table18[[#This Row],[Index]]-B604)/B604</f>
        <v/>
      </c>
    </row>
    <row r="617">
      <c r="A617" s="17" t="n">
        <v>44866</v>
      </c>
      <c r="B617" s="58">
        <f>VLOOKUP(Table18[[#This Row],[Date]],database!A:G,5,)</f>
        <v/>
      </c>
      <c r="C617" s="66">
        <f>B617/B616-1</f>
        <v/>
      </c>
      <c r="D617" s="66">
        <f>(Table18[[#This Row],[Index]]-B605)/B605</f>
        <v/>
      </c>
    </row>
    <row r="618">
      <c r="A618" s="17" t="n">
        <v>44896</v>
      </c>
      <c r="B618" s="58">
        <f>VLOOKUP(Table18[[#This Row],[Date]],database!A:G,5,)</f>
        <v/>
      </c>
      <c r="C618" s="66">
        <f>B618/B617-1</f>
        <v/>
      </c>
      <c r="D618" s="66">
        <f>(Table18[[#This Row],[Index]]-B606)/B606</f>
        <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8"/>
  <sheetViews>
    <sheetView zoomScale="120" zoomScaleNormal="120" workbookViewId="0">
      <pane ySplit="6" topLeftCell="A588" activePane="bottomLeft" state="frozen"/>
      <selection activeCell="J582" sqref="J582"/>
      <selection pane="bottomLeft" activeCell="A612" sqref="A612: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IPBUSEQ</t>
        </is>
      </c>
      <c r="B1" s="79" t="n"/>
      <c r="C1" s="79" t="n"/>
      <c r="S1" s="79" t="inlineStr">
        <is>
          <t>Industrial Production: Business Equipment</t>
        </is>
      </c>
      <c r="T1" s="79" t="inlineStr">
        <is>
          <t xml:space="preserve"> since 2010</t>
        </is>
      </c>
      <c r="U1" s="79">
        <f>S1&amp;T1</f>
        <v/>
      </c>
      <c r="Y1" s="79">
        <f>U2&amp; T1</f>
        <v/>
      </c>
    </row>
    <row r="2">
      <c r="A2" s="16" t="n"/>
      <c r="B2" s="79" t="n"/>
      <c r="C2" s="79" t="n"/>
      <c r="U2" s="79">
        <f>S1&amp;Table16[[#Headers],[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VLOOKUP(Table16[[#This Row],[Date]],database!A:H,4,)</f>
        <v/>
      </c>
      <c r="C7" s="66" t="n"/>
      <c r="D7" s="66" t="n"/>
    </row>
    <row r="8">
      <c r="A8" s="17" t="n">
        <v>26330</v>
      </c>
      <c r="B8" s="58">
        <f>VLOOKUP(Table16[[#This Row],[Date]],database!A:H,4,)</f>
        <v/>
      </c>
      <c r="C8" s="66">
        <f>B8/B7-1</f>
        <v/>
      </c>
      <c r="D8" s="66" t="n"/>
    </row>
    <row r="9">
      <c r="A9" s="17" t="n">
        <v>26359</v>
      </c>
      <c r="B9" s="58">
        <f>VLOOKUP(Table16[[#This Row],[Date]],database!A:H,4,)</f>
        <v/>
      </c>
      <c r="C9" s="66">
        <f>B9/B8-1</f>
        <v/>
      </c>
      <c r="D9" s="66" t="n"/>
    </row>
    <row r="10">
      <c r="A10" s="17" t="n">
        <v>26390</v>
      </c>
      <c r="B10" s="58">
        <f>VLOOKUP(Table16[[#This Row],[Date]],database!A:H,4,)</f>
        <v/>
      </c>
      <c r="C10" s="66">
        <f>B10/B9-1</f>
        <v/>
      </c>
      <c r="D10" s="66" t="n"/>
    </row>
    <row r="11">
      <c r="A11" s="17" t="n">
        <v>26420</v>
      </c>
      <c r="B11" s="58">
        <f>VLOOKUP(Table16[[#This Row],[Date]],database!A:H,4,)</f>
        <v/>
      </c>
      <c r="C11" s="66">
        <f>B11/B10-1</f>
        <v/>
      </c>
      <c r="D11" s="66" t="n"/>
    </row>
    <row r="12">
      <c r="A12" s="17" t="n">
        <v>26451</v>
      </c>
      <c r="B12" s="58">
        <f>VLOOKUP(Table16[[#This Row],[Date]],database!A:H,4,)</f>
        <v/>
      </c>
      <c r="C12" s="66">
        <f>B12/B11-1</f>
        <v/>
      </c>
      <c r="D12" s="66" t="n"/>
    </row>
    <row r="13">
      <c r="A13" s="17" t="n">
        <v>26481</v>
      </c>
      <c r="B13" s="58">
        <f>VLOOKUP(Table16[[#This Row],[Date]],database!A:H,4,)</f>
        <v/>
      </c>
      <c r="C13" s="66">
        <f>B13/B12-1</f>
        <v/>
      </c>
      <c r="D13" s="66" t="n"/>
    </row>
    <row r="14">
      <c r="A14" s="17" t="n">
        <v>26512</v>
      </c>
      <c r="B14" s="58">
        <f>VLOOKUP(Table16[[#This Row],[Date]],database!A:H,4,)</f>
        <v/>
      </c>
      <c r="C14" s="66">
        <f>B14/B13-1</f>
        <v/>
      </c>
      <c r="D14" s="66" t="n"/>
    </row>
    <row r="15">
      <c r="A15" s="17" t="n">
        <v>26543</v>
      </c>
      <c r="B15" s="58">
        <f>VLOOKUP(Table16[[#This Row],[Date]],database!A:H,4,)</f>
        <v/>
      </c>
      <c r="C15" s="66">
        <f>B15/B14-1</f>
        <v/>
      </c>
      <c r="D15" s="66" t="n"/>
    </row>
    <row r="16">
      <c r="A16" s="17" t="n">
        <v>26573</v>
      </c>
      <c r="B16" s="58">
        <f>VLOOKUP(Table16[[#This Row],[Date]],database!A:H,4,)</f>
        <v/>
      </c>
      <c r="C16" s="66">
        <f>B16/B15-1</f>
        <v/>
      </c>
      <c r="D16" s="66" t="n"/>
    </row>
    <row r="17">
      <c r="A17" s="17" t="n">
        <v>26604</v>
      </c>
      <c r="B17" s="58">
        <f>VLOOKUP(Table16[[#This Row],[Date]],database!A:H,4,)</f>
        <v/>
      </c>
      <c r="C17" s="66">
        <f>B17/B16-1</f>
        <v/>
      </c>
      <c r="D17" s="66" t="n"/>
    </row>
    <row r="18">
      <c r="A18" s="17" t="n">
        <v>26634</v>
      </c>
      <c r="B18" s="58">
        <f>VLOOKUP(Table16[[#This Row],[Date]],database!A:H,4,)</f>
        <v/>
      </c>
      <c r="C18" s="66">
        <f>B18/B17-1</f>
        <v/>
      </c>
      <c r="D18" s="66" t="n"/>
    </row>
    <row r="19">
      <c r="A19" s="17" t="n">
        <v>26665</v>
      </c>
      <c r="B19" s="58">
        <f>VLOOKUP(Table16[[#This Row],[Date]],database!A:H,4,)</f>
        <v/>
      </c>
      <c r="C19" s="66">
        <f>B19/B18-1</f>
        <v/>
      </c>
      <c r="D19" s="66" t="n"/>
    </row>
    <row r="20">
      <c r="A20" s="17" t="n">
        <v>26696</v>
      </c>
      <c r="B20" s="58">
        <f>VLOOKUP(Table16[[#This Row],[Date]],database!A:H,4,)</f>
        <v/>
      </c>
      <c r="C20" s="66">
        <f>B20/B19-1</f>
        <v/>
      </c>
      <c r="D20" s="66">
        <f>(Table16[[#This Row],[Index]]-B8)/B8</f>
        <v/>
      </c>
    </row>
    <row r="21">
      <c r="A21" s="17" t="n">
        <v>26724</v>
      </c>
      <c r="B21" s="58">
        <f>VLOOKUP(Table16[[#This Row],[Date]],database!A:H,4,)</f>
        <v/>
      </c>
      <c r="C21" s="66">
        <f>B21/B20-1</f>
        <v/>
      </c>
      <c r="D21" s="66">
        <f>(Table16[[#This Row],[Index]]-B9)/B9</f>
        <v/>
      </c>
    </row>
    <row r="22">
      <c r="A22" s="17" t="n">
        <v>26755</v>
      </c>
      <c r="B22" s="58">
        <f>VLOOKUP(Table16[[#This Row],[Date]],database!A:H,4,)</f>
        <v/>
      </c>
      <c r="C22" s="66">
        <f>B22/B21-1</f>
        <v/>
      </c>
      <c r="D22" s="66">
        <f>(Table16[[#This Row],[Index]]-B10)/B10</f>
        <v/>
      </c>
    </row>
    <row r="23">
      <c r="A23" s="17" t="n">
        <v>26785</v>
      </c>
      <c r="B23" s="58">
        <f>VLOOKUP(Table16[[#This Row],[Date]],database!A:H,4,)</f>
        <v/>
      </c>
      <c r="C23" s="66">
        <f>B23/B22-1</f>
        <v/>
      </c>
      <c r="D23" s="66">
        <f>(Table16[[#This Row],[Index]]-B11)/B11</f>
        <v/>
      </c>
    </row>
    <row r="24">
      <c r="A24" s="17" t="n">
        <v>26816</v>
      </c>
      <c r="B24" s="58">
        <f>VLOOKUP(Table16[[#This Row],[Date]],database!A:H,4,)</f>
        <v/>
      </c>
      <c r="C24" s="66">
        <f>B24/B23-1</f>
        <v/>
      </c>
      <c r="D24" s="66">
        <f>(Table16[[#This Row],[Index]]-B12)/B12</f>
        <v/>
      </c>
    </row>
    <row r="25">
      <c r="A25" s="17" t="n">
        <v>26846</v>
      </c>
      <c r="B25" s="58">
        <f>VLOOKUP(Table16[[#This Row],[Date]],database!A:H,4,)</f>
        <v/>
      </c>
      <c r="C25" s="66">
        <f>B25/B24-1</f>
        <v/>
      </c>
      <c r="D25" s="66">
        <f>(Table16[[#This Row],[Index]]-B13)/B13</f>
        <v/>
      </c>
    </row>
    <row r="26">
      <c r="A26" s="17" t="n">
        <v>26877</v>
      </c>
      <c r="B26" s="58">
        <f>VLOOKUP(Table16[[#This Row],[Date]],database!A:H,4,)</f>
        <v/>
      </c>
      <c r="C26" s="66">
        <f>B26/B25-1</f>
        <v/>
      </c>
      <c r="D26" s="66">
        <f>(Table16[[#This Row],[Index]]-B14)/B14</f>
        <v/>
      </c>
    </row>
    <row r="27">
      <c r="A27" s="17" t="n">
        <v>26908</v>
      </c>
      <c r="B27" s="58">
        <f>VLOOKUP(Table16[[#This Row],[Date]],database!A:H,4,)</f>
        <v/>
      </c>
      <c r="C27" s="66">
        <f>B27/B26-1</f>
        <v/>
      </c>
      <c r="D27" s="66">
        <f>(Table16[[#This Row],[Index]]-B15)/B15</f>
        <v/>
      </c>
    </row>
    <row r="28">
      <c r="A28" s="17" t="n">
        <v>26938</v>
      </c>
      <c r="B28" s="58">
        <f>VLOOKUP(Table16[[#This Row],[Date]],database!A:H,4,)</f>
        <v/>
      </c>
      <c r="C28" s="66">
        <f>B28/B27-1</f>
        <v/>
      </c>
      <c r="D28" s="66">
        <f>(Table16[[#This Row],[Index]]-B16)/B16</f>
        <v/>
      </c>
    </row>
    <row r="29">
      <c r="A29" s="17" t="n">
        <v>26969</v>
      </c>
      <c r="B29" s="58">
        <f>VLOOKUP(Table16[[#This Row],[Date]],database!A:H,4,)</f>
        <v/>
      </c>
      <c r="C29" s="66">
        <f>B29/B28-1</f>
        <v/>
      </c>
      <c r="D29" s="66">
        <f>(Table16[[#This Row],[Index]]-B17)/B17</f>
        <v/>
      </c>
    </row>
    <row r="30">
      <c r="A30" s="17" t="n">
        <v>26999</v>
      </c>
      <c r="B30" s="58">
        <f>VLOOKUP(Table16[[#This Row],[Date]],database!A:H,4,)</f>
        <v/>
      </c>
      <c r="C30" s="66">
        <f>B30/B29-1</f>
        <v/>
      </c>
      <c r="D30" s="66">
        <f>(Table16[[#This Row],[Index]]-B18)/B18</f>
        <v/>
      </c>
    </row>
    <row r="31">
      <c r="A31" s="17" t="n">
        <v>27030</v>
      </c>
      <c r="B31" s="58">
        <f>VLOOKUP(Table16[[#This Row],[Date]],database!A:H,4,)</f>
        <v/>
      </c>
      <c r="C31" s="66">
        <f>B31/B30-1</f>
        <v/>
      </c>
      <c r="D31" s="66">
        <f>(Table16[[#This Row],[Index]]-B19)/B19</f>
        <v/>
      </c>
    </row>
    <row r="32">
      <c r="A32" s="17" t="n">
        <v>27061</v>
      </c>
      <c r="B32" s="58">
        <f>VLOOKUP(Table16[[#This Row],[Date]],database!A:H,4,)</f>
        <v/>
      </c>
      <c r="C32" s="66">
        <f>B32/B31-1</f>
        <v/>
      </c>
      <c r="D32" s="66">
        <f>(Table16[[#This Row],[Index]]-B20)/B20</f>
        <v/>
      </c>
    </row>
    <row r="33">
      <c r="A33" s="17" t="n">
        <v>27089</v>
      </c>
      <c r="B33" s="58">
        <f>VLOOKUP(Table16[[#This Row],[Date]],database!A:H,4,)</f>
        <v/>
      </c>
      <c r="C33" s="66">
        <f>B33/B32-1</f>
        <v/>
      </c>
      <c r="D33" s="66">
        <f>(Table16[[#This Row],[Index]]-B21)/B21</f>
        <v/>
      </c>
    </row>
    <row r="34">
      <c r="A34" s="17" t="n">
        <v>27120</v>
      </c>
      <c r="B34" s="58">
        <f>VLOOKUP(Table16[[#This Row],[Date]],database!A:H,4,)</f>
        <v/>
      </c>
      <c r="C34" s="66">
        <f>B34/B33-1</f>
        <v/>
      </c>
      <c r="D34" s="66">
        <f>(Table16[[#This Row],[Index]]-B22)/B22</f>
        <v/>
      </c>
    </row>
    <row r="35">
      <c r="A35" s="17" t="n">
        <v>27150</v>
      </c>
      <c r="B35" s="58">
        <f>VLOOKUP(Table16[[#This Row],[Date]],database!A:H,4,)</f>
        <v/>
      </c>
      <c r="C35" s="66">
        <f>B35/B34-1</f>
        <v/>
      </c>
      <c r="D35" s="66">
        <f>(Table16[[#This Row],[Index]]-B23)/B23</f>
        <v/>
      </c>
    </row>
    <row r="36">
      <c r="A36" s="17" t="n">
        <v>27181</v>
      </c>
      <c r="B36" s="58">
        <f>VLOOKUP(Table16[[#This Row],[Date]],database!A:H,4,)</f>
        <v/>
      </c>
      <c r="C36" s="66">
        <f>B36/B35-1</f>
        <v/>
      </c>
      <c r="D36" s="66">
        <f>(Table16[[#This Row],[Index]]-B24)/B24</f>
        <v/>
      </c>
    </row>
    <row r="37">
      <c r="A37" s="17" t="n">
        <v>27211</v>
      </c>
      <c r="B37" s="58">
        <f>VLOOKUP(Table16[[#This Row],[Date]],database!A:H,4,)</f>
        <v/>
      </c>
      <c r="C37" s="66">
        <f>B37/B36-1</f>
        <v/>
      </c>
      <c r="D37" s="66">
        <f>(Table16[[#This Row],[Index]]-B25)/B25</f>
        <v/>
      </c>
    </row>
    <row r="38">
      <c r="A38" s="17" t="n">
        <v>27242</v>
      </c>
      <c r="B38" s="58">
        <f>VLOOKUP(Table16[[#This Row],[Date]],database!A:H,4,)</f>
        <v/>
      </c>
      <c r="C38" s="66">
        <f>B38/B37-1</f>
        <v/>
      </c>
      <c r="D38" s="66">
        <f>(Table16[[#This Row],[Index]]-B26)/B26</f>
        <v/>
      </c>
    </row>
    <row r="39">
      <c r="A39" s="17" t="n">
        <v>27273</v>
      </c>
      <c r="B39" s="58">
        <f>VLOOKUP(Table16[[#This Row],[Date]],database!A:H,4,)</f>
        <v/>
      </c>
      <c r="C39" s="66">
        <f>B39/B38-1</f>
        <v/>
      </c>
      <c r="D39" s="66">
        <f>(Table16[[#This Row],[Index]]-B27)/B27</f>
        <v/>
      </c>
    </row>
    <row r="40">
      <c r="A40" s="17" t="n">
        <v>27303</v>
      </c>
      <c r="B40" s="58">
        <f>VLOOKUP(Table16[[#This Row],[Date]],database!A:H,4,)</f>
        <v/>
      </c>
      <c r="C40" s="66">
        <f>B40/B39-1</f>
        <v/>
      </c>
      <c r="D40" s="66">
        <f>(Table16[[#This Row],[Index]]-B28)/B28</f>
        <v/>
      </c>
    </row>
    <row r="41">
      <c r="A41" s="17" t="n">
        <v>27334</v>
      </c>
      <c r="B41" s="58">
        <f>VLOOKUP(Table16[[#This Row],[Date]],database!A:H,4,)</f>
        <v/>
      </c>
      <c r="C41" s="66">
        <f>B41/B40-1</f>
        <v/>
      </c>
      <c r="D41" s="66">
        <f>(Table16[[#This Row],[Index]]-B29)/B29</f>
        <v/>
      </c>
    </row>
    <row r="42">
      <c r="A42" s="17" t="n">
        <v>27364</v>
      </c>
      <c r="B42" s="58">
        <f>VLOOKUP(Table16[[#This Row],[Date]],database!A:H,4,)</f>
        <v/>
      </c>
      <c r="C42" s="66">
        <f>B42/B41-1</f>
        <v/>
      </c>
      <c r="D42" s="66">
        <f>(Table16[[#This Row],[Index]]-B30)/B30</f>
        <v/>
      </c>
    </row>
    <row r="43">
      <c r="A43" s="17" t="n">
        <v>27395</v>
      </c>
      <c r="B43" s="58">
        <f>VLOOKUP(Table16[[#This Row],[Date]],database!A:H,4,)</f>
        <v/>
      </c>
      <c r="C43" s="66">
        <f>B43/B42-1</f>
        <v/>
      </c>
      <c r="D43" s="66">
        <f>(Table16[[#This Row],[Index]]-B31)/B31</f>
        <v/>
      </c>
    </row>
    <row r="44">
      <c r="A44" s="17" t="n">
        <v>27426</v>
      </c>
      <c r="B44" s="58">
        <f>VLOOKUP(Table16[[#This Row],[Date]],database!A:H,4,)</f>
        <v/>
      </c>
      <c r="C44" s="66">
        <f>B44/B43-1</f>
        <v/>
      </c>
      <c r="D44" s="66">
        <f>(Table16[[#This Row],[Index]]-B32)/B32</f>
        <v/>
      </c>
    </row>
    <row r="45">
      <c r="A45" s="17" t="n">
        <v>27454</v>
      </c>
      <c r="B45" s="58">
        <f>VLOOKUP(Table16[[#This Row],[Date]],database!A:H,4,)</f>
        <v/>
      </c>
      <c r="C45" s="66">
        <f>B45/B44-1</f>
        <v/>
      </c>
      <c r="D45" s="66">
        <f>(Table16[[#This Row],[Index]]-B33)/B33</f>
        <v/>
      </c>
    </row>
    <row r="46">
      <c r="A46" s="17" t="n">
        <v>27485</v>
      </c>
      <c r="B46" s="58">
        <f>VLOOKUP(Table16[[#This Row],[Date]],database!A:H,4,)</f>
        <v/>
      </c>
      <c r="C46" s="66">
        <f>B46/B45-1</f>
        <v/>
      </c>
      <c r="D46" s="66">
        <f>(Table16[[#This Row],[Index]]-B34)/B34</f>
        <v/>
      </c>
    </row>
    <row r="47">
      <c r="A47" s="17" t="n">
        <v>27515</v>
      </c>
      <c r="B47" s="58">
        <f>VLOOKUP(Table16[[#This Row],[Date]],database!A:H,4,)</f>
        <v/>
      </c>
      <c r="C47" s="66">
        <f>B47/B46-1</f>
        <v/>
      </c>
      <c r="D47" s="66">
        <f>(Table16[[#This Row],[Index]]-B35)/B35</f>
        <v/>
      </c>
    </row>
    <row r="48">
      <c r="A48" s="17" t="n">
        <v>27546</v>
      </c>
      <c r="B48" s="58">
        <f>VLOOKUP(Table16[[#This Row],[Date]],database!A:H,4,)</f>
        <v/>
      </c>
      <c r="C48" s="66">
        <f>B48/B47-1</f>
        <v/>
      </c>
      <c r="D48" s="66">
        <f>(Table16[[#This Row],[Index]]-B36)/B36</f>
        <v/>
      </c>
    </row>
    <row r="49">
      <c r="A49" s="17" t="n">
        <v>27576</v>
      </c>
      <c r="B49" s="58">
        <f>VLOOKUP(Table16[[#This Row],[Date]],database!A:H,4,)</f>
        <v/>
      </c>
      <c r="C49" s="66">
        <f>B49/B48-1</f>
        <v/>
      </c>
      <c r="D49" s="66">
        <f>(Table16[[#This Row],[Index]]-B37)/B37</f>
        <v/>
      </c>
    </row>
    <row r="50">
      <c r="A50" s="17" t="n">
        <v>27607</v>
      </c>
      <c r="B50" s="58">
        <f>VLOOKUP(Table16[[#This Row],[Date]],database!A:H,4,)</f>
        <v/>
      </c>
      <c r="C50" s="66">
        <f>B50/B49-1</f>
        <v/>
      </c>
      <c r="D50" s="66">
        <f>(Table16[[#This Row],[Index]]-B38)/B38</f>
        <v/>
      </c>
    </row>
    <row r="51">
      <c r="A51" s="17" t="n">
        <v>27638</v>
      </c>
      <c r="B51" s="58">
        <f>VLOOKUP(Table16[[#This Row],[Date]],database!A:H,4,)</f>
        <v/>
      </c>
      <c r="C51" s="66">
        <f>B51/B50-1</f>
        <v/>
      </c>
      <c r="D51" s="66">
        <f>(Table16[[#This Row],[Index]]-B39)/B39</f>
        <v/>
      </c>
    </row>
    <row r="52">
      <c r="A52" s="17" t="n">
        <v>27668</v>
      </c>
      <c r="B52" s="58">
        <f>VLOOKUP(Table16[[#This Row],[Date]],database!A:H,4,)</f>
        <v/>
      </c>
      <c r="C52" s="66">
        <f>B52/B51-1</f>
        <v/>
      </c>
      <c r="D52" s="66">
        <f>(Table16[[#This Row],[Index]]-B40)/B40</f>
        <v/>
      </c>
    </row>
    <row r="53">
      <c r="A53" s="17" t="n">
        <v>27699</v>
      </c>
      <c r="B53" s="58">
        <f>VLOOKUP(Table16[[#This Row],[Date]],database!A:H,4,)</f>
        <v/>
      </c>
      <c r="C53" s="66">
        <f>B53/B52-1</f>
        <v/>
      </c>
      <c r="D53" s="66">
        <f>(Table16[[#This Row],[Index]]-B41)/B41</f>
        <v/>
      </c>
    </row>
    <row r="54">
      <c r="A54" s="17" t="n">
        <v>27729</v>
      </c>
      <c r="B54" s="58">
        <f>VLOOKUP(Table16[[#This Row],[Date]],database!A:H,4,)</f>
        <v/>
      </c>
      <c r="C54" s="66">
        <f>B54/B53-1</f>
        <v/>
      </c>
      <c r="D54" s="66">
        <f>(Table16[[#This Row],[Index]]-B42)/B42</f>
        <v/>
      </c>
    </row>
    <row r="55">
      <c r="A55" s="17" t="n">
        <v>27760</v>
      </c>
      <c r="B55" s="58">
        <f>VLOOKUP(Table16[[#This Row],[Date]],database!A:H,4,)</f>
        <v/>
      </c>
      <c r="C55" s="66">
        <f>B55/B54-1</f>
        <v/>
      </c>
      <c r="D55" s="66">
        <f>(Table16[[#This Row],[Index]]-B43)/B43</f>
        <v/>
      </c>
    </row>
    <row r="56">
      <c r="A56" s="17" t="n">
        <v>27791</v>
      </c>
      <c r="B56" s="58">
        <f>VLOOKUP(Table16[[#This Row],[Date]],database!A:H,4,)</f>
        <v/>
      </c>
      <c r="C56" s="66">
        <f>B56/B55-1</f>
        <v/>
      </c>
      <c r="D56" s="66">
        <f>(Table16[[#This Row],[Index]]-B44)/B44</f>
        <v/>
      </c>
    </row>
    <row r="57">
      <c r="A57" s="17" t="n">
        <v>27820</v>
      </c>
      <c r="B57" s="58">
        <f>VLOOKUP(Table16[[#This Row],[Date]],database!A:H,4,)</f>
        <v/>
      </c>
      <c r="C57" s="66">
        <f>B57/B56-1</f>
        <v/>
      </c>
      <c r="D57" s="66">
        <f>(Table16[[#This Row],[Index]]-B45)/B45</f>
        <v/>
      </c>
    </row>
    <row r="58">
      <c r="A58" s="17" t="n">
        <v>27851</v>
      </c>
      <c r="B58" s="58">
        <f>VLOOKUP(Table16[[#This Row],[Date]],database!A:H,4,)</f>
        <v/>
      </c>
      <c r="C58" s="66">
        <f>B58/B57-1</f>
        <v/>
      </c>
      <c r="D58" s="66">
        <f>(Table16[[#This Row],[Index]]-B46)/B46</f>
        <v/>
      </c>
    </row>
    <row r="59">
      <c r="A59" s="17" t="n">
        <v>27881</v>
      </c>
      <c r="B59" s="58">
        <f>VLOOKUP(Table16[[#This Row],[Date]],database!A:H,4,)</f>
        <v/>
      </c>
      <c r="C59" s="66">
        <f>B59/B58-1</f>
        <v/>
      </c>
      <c r="D59" s="66">
        <f>(Table16[[#This Row],[Index]]-B47)/B47</f>
        <v/>
      </c>
    </row>
    <row r="60">
      <c r="A60" s="17" t="n">
        <v>27912</v>
      </c>
      <c r="B60" s="58">
        <f>VLOOKUP(Table16[[#This Row],[Date]],database!A:H,4,)</f>
        <v/>
      </c>
      <c r="C60" s="66">
        <f>B60/B59-1</f>
        <v/>
      </c>
      <c r="D60" s="66">
        <f>(Table16[[#This Row],[Index]]-B48)/B48</f>
        <v/>
      </c>
    </row>
    <row r="61">
      <c r="A61" s="17" t="n">
        <v>27942</v>
      </c>
      <c r="B61" s="58">
        <f>VLOOKUP(Table16[[#This Row],[Date]],database!A:H,4,)</f>
        <v/>
      </c>
      <c r="C61" s="66">
        <f>B61/B60-1</f>
        <v/>
      </c>
      <c r="D61" s="66">
        <f>(Table16[[#This Row],[Index]]-B49)/B49</f>
        <v/>
      </c>
    </row>
    <row r="62">
      <c r="A62" s="17" t="n">
        <v>27973</v>
      </c>
      <c r="B62" s="58">
        <f>VLOOKUP(Table16[[#This Row],[Date]],database!A:H,4,)</f>
        <v/>
      </c>
      <c r="C62" s="66">
        <f>B62/B61-1</f>
        <v/>
      </c>
      <c r="D62" s="66">
        <f>(Table16[[#This Row],[Index]]-B50)/B50</f>
        <v/>
      </c>
    </row>
    <row r="63">
      <c r="A63" s="17" t="n">
        <v>28004</v>
      </c>
      <c r="B63" s="58">
        <f>VLOOKUP(Table16[[#This Row],[Date]],database!A:H,4,)</f>
        <v/>
      </c>
      <c r="C63" s="66">
        <f>B63/B62-1</f>
        <v/>
      </c>
      <c r="D63" s="66">
        <f>(Table16[[#This Row],[Index]]-B51)/B51</f>
        <v/>
      </c>
    </row>
    <row r="64">
      <c r="A64" s="17" t="n">
        <v>28034</v>
      </c>
      <c r="B64" s="58">
        <f>VLOOKUP(Table16[[#This Row],[Date]],database!A:H,4,)</f>
        <v/>
      </c>
      <c r="C64" s="66">
        <f>B64/B63-1</f>
        <v/>
      </c>
      <c r="D64" s="66">
        <f>(Table16[[#This Row],[Index]]-B52)/B52</f>
        <v/>
      </c>
    </row>
    <row r="65">
      <c r="A65" s="17" t="n">
        <v>28065</v>
      </c>
      <c r="B65" s="58">
        <f>VLOOKUP(Table16[[#This Row],[Date]],database!A:H,4,)</f>
        <v/>
      </c>
      <c r="C65" s="66">
        <f>B65/B64-1</f>
        <v/>
      </c>
      <c r="D65" s="66">
        <f>(Table16[[#This Row],[Index]]-B53)/B53</f>
        <v/>
      </c>
    </row>
    <row r="66">
      <c r="A66" s="17" t="n">
        <v>28095</v>
      </c>
      <c r="B66" s="58">
        <f>VLOOKUP(Table16[[#This Row],[Date]],database!A:H,4,)</f>
        <v/>
      </c>
      <c r="C66" s="66">
        <f>B66/B65-1</f>
        <v/>
      </c>
      <c r="D66" s="66">
        <f>(Table16[[#This Row],[Index]]-B54)/B54</f>
        <v/>
      </c>
    </row>
    <row r="67">
      <c r="A67" s="17" t="n">
        <v>28126</v>
      </c>
      <c r="B67" s="58">
        <f>VLOOKUP(Table16[[#This Row],[Date]],database!A:H,4,)</f>
        <v/>
      </c>
      <c r="C67" s="66">
        <f>B67/B66-1</f>
        <v/>
      </c>
      <c r="D67" s="66">
        <f>(Table16[[#This Row],[Index]]-B55)/B55</f>
        <v/>
      </c>
    </row>
    <row r="68">
      <c r="A68" s="17" t="n">
        <v>28157</v>
      </c>
      <c r="B68" s="58">
        <f>VLOOKUP(Table16[[#This Row],[Date]],database!A:H,4,)</f>
        <v/>
      </c>
      <c r="C68" s="66">
        <f>B68/B67-1</f>
        <v/>
      </c>
      <c r="D68" s="66">
        <f>(Table16[[#This Row],[Index]]-B56)/B56</f>
        <v/>
      </c>
    </row>
    <row r="69">
      <c r="A69" s="17" t="n">
        <v>28185</v>
      </c>
      <c r="B69" s="58">
        <f>VLOOKUP(Table16[[#This Row],[Date]],database!A:H,4,)</f>
        <v/>
      </c>
      <c r="C69" s="66">
        <f>B69/B68-1</f>
        <v/>
      </c>
      <c r="D69" s="66">
        <f>(Table16[[#This Row],[Index]]-B57)/B57</f>
        <v/>
      </c>
    </row>
    <row r="70">
      <c r="A70" s="17" t="n">
        <v>28216</v>
      </c>
      <c r="B70" s="58">
        <f>VLOOKUP(Table16[[#This Row],[Date]],database!A:H,4,)</f>
        <v/>
      </c>
      <c r="C70" s="66">
        <f>B70/B69-1</f>
        <v/>
      </c>
      <c r="D70" s="66">
        <f>(Table16[[#This Row],[Index]]-B58)/B58</f>
        <v/>
      </c>
    </row>
    <row r="71">
      <c r="A71" s="17" t="n">
        <v>28246</v>
      </c>
      <c r="B71" s="58">
        <f>VLOOKUP(Table16[[#This Row],[Date]],database!A:H,4,)</f>
        <v/>
      </c>
      <c r="C71" s="66">
        <f>B71/B70-1</f>
        <v/>
      </c>
      <c r="D71" s="66">
        <f>(Table16[[#This Row],[Index]]-B59)/B59</f>
        <v/>
      </c>
    </row>
    <row r="72">
      <c r="A72" s="17" t="n">
        <v>28277</v>
      </c>
      <c r="B72" s="58">
        <f>VLOOKUP(Table16[[#This Row],[Date]],database!A:H,4,)</f>
        <v/>
      </c>
      <c r="C72" s="66">
        <f>B72/B71-1</f>
        <v/>
      </c>
      <c r="D72" s="66">
        <f>(Table16[[#This Row],[Index]]-B60)/B60</f>
        <v/>
      </c>
    </row>
    <row r="73">
      <c r="A73" s="17" t="n">
        <v>28307</v>
      </c>
      <c r="B73" s="58">
        <f>VLOOKUP(Table16[[#This Row],[Date]],database!A:H,4,)</f>
        <v/>
      </c>
      <c r="C73" s="66">
        <f>B73/B72-1</f>
        <v/>
      </c>
      <c r="D73" s="66">
        <f>(Table16[[#This Row],[Index]]-B61)/B61</f>
        <v/>
      </c>
    </row>
    <row r="74">
      <c r="A74" s="17" t="n">
        <v>28338</v>
      </c>
      <c r="B74" s="58">
        <f>VLOOKUP(Table16[[#This Row],[Date]],database!A:H,4,)</f>
        <v/>
      </c>
      <c r="C74" s="66">
        <f>B74/B73-1</f>
        <v/>
      </c>
      <c r="D74" s="66">
        <f>(Table16[[#This Row],[Index]]-B62)/B62</f>
        <v/>
      </c>
    </row>
    <row r="75">
      <c r="A75" s="17" t="n">
        <v>28369</v>
      </c>
      <c r="B75" s="58">
        <f>VLOOKUP(Table16[[#This Row],[Date]],database!A:H,4,)</f>
        <v/>
      </c>
      <c r="C75" s="66">
        <f>B75/B74-1</f>
        <v/>
      </c>
      <c r="D75" s="66">
        <f>(Table16[[#This Row],[Index]]-B63)/B63</f>
        <v/>
      </c>
    </row>
    <row r="76">
      <c r="A76" s="17" t="n">
        <v>28399</v>
      </c>
      <c r="B76" s="58">
        <f>VLOOKUP(Table16[[#This Row],[Date]],database!A:H,4,)</f>
        <v/>
      </c>
      <c r="C76" s="66">
        <f>B76/B75-1</f>
        <v/>
      </c>
      <c r="D76" s="66">
        <f>(Table16[[#This Row],[Index]]-B64)/B64</f>
        <v/>
      </c>
    </row>
    <row r="77">
      <c r="A77" s="17" t="n">
        <v>28430</v>
      </c>
      <c r="B77" s="58">
        <f>VLOOKUP(Table16[[#This Row],[Date]],database!A:H,4,)</f>
        <v/>
      </c>
      <c r="C77" s="66">
        <f>B77/B76-1</f>
        <v/>
      </c>
      <c r="D77" s="66">
        <f>(Table16[[#This Row],[Index]]-B65)/B65</f>
        <v/>
      </c>
    </row>
    <row r="78">
      <c r="A78" s="17" t="n">
        <v>28460</v>
      </c>
      <c r="B78" s="58">
        <f>VLOOKUP(Table16[[#This Row],[Date]],database!A:H,4,)</f>
        <v/>
      </c>
      <c r="C78" s="66">
        <f>B78/B77-1</f>
        <v/>
      </c>
      <c r="D78" s="66">
        <f>(Table16[[#This Row],[Index]]-B66)/B66</f>
        <v/>
      </c>
    </row>
    <row r="79">
      <c r="A79" s="17" t="n">
        <v>28491</v>
      </c>
      <c r="B79" s="58">
        <f>VLOOKUP(Table16[[#This Row],[Date]],database!A:H,4,)</f>
        <v/>
      </c>
      <c r="C79" s="66">
        <f>B79/B78-1</f>
        <v/>
      </c>
      <c r="D79" s="66">
        <f>(Table16[[#This Row],[Index]]-B67)/B67</f>
        <v/>
      </c>
    </row>
    <row r="80">
      <c r="A80" s="17" t="n">
        <v>28522</v>
      </c>
      <c r="B80" s="58">
        <f>VLOOKUP(Table16[[#This Row],[Date]],database!A:H,4,)</f>
        <v/>
      </c>
      <c r="C80" s="66">
        <f>B80/B79-1</f>
        <v/>
      </c>
      <c r="D80" s="66">
        <f>(Table16[[#This Row],[Index]]-B68)/B68</f>
        <v/>
      </c>
    </row>
    <row r="81">
      <c r="A81" s="17" t="n">
        <v>28550</v>
      </c>
      <c r="B81" s="58">
        <f>VLOOKUP(Table16[[#This Row],[Date]],database!A:H,4,)</f>
        <v/>
      </c>
      <c r="C81" s="66">
        <f>B81/B80-1</f>
        <v/>
      </c>
      <c r="D81" s="66">
        <f>(Table16[[#This Row],[Index]]-B69)/B69</f>
        <v/>
      </c>
    </row>
    <row r="82">
      <c r="A82" s="17" t="n">
        <v>28581</v>
      </c>
      <c r="B82" s="58">
        <f>VLOOKUP(Table16[[#This Row],[Date]],database!A:H,4,)</f>
        <v/>
      </c>
      <c r="C82" s="66">
        <f>B82/B81-1</f>
        <v/>
      </c>
      <c r="D82" s="66">
        <f>(Table16[[#This Row],[Index]]-B70)/B70</f>
        <v/>
      </c>
    </row>
    <row r="83">
      <c r="A83" s="17" t="n">
        <v>28611</v>
      </c>
      <c r="B83" s="58">
        <f>VLOOKUP(Table16[[#This Row],[Date]],database!A:H,4,)</f>
        <v/>
      </c>
      <c r="C83" s="66">
        <f>B83/B82-1</f>
        <v/>
      </c>
      <c r="D83" s="66">
        <f>(Table16[[#This Row],[Index]]-B71)/B71</f>
        <v/>
      </c>
    </row>
    <row r="84">
      <c r="A84" s="17" t="n">
        <v>28642</v>
      </c>
      <c r="B84" s="58">
        <f>VLOOKUP(Table16[[#This Row],[Date]],database!A:H,4,)</f>
        <v/>
      </c>
      <c r="C84" s="66">
        <f>B84/B83-1</f>
        <v/>
      </c>
      <c r="D84" s="66">
        <f>(Table16[[#This Row],[Index]]-B72)/B72</f>
        <v/>
      </c>
    </row>
    <row r="85">
      <c r="A85" s="17" t="n">
        <v>28672</v>
      </c>
      <c r="B85" s="58">
        <f>VLOOKUP(Table16[[#This Row],[Date]],database!A:H,4,)</f>
        <v/>
      </c>
      <c r="C85" s="66">
        <f>B85/B84-1</f>
        <v/>
      </c>
      <c r="D85" s="66">
        <f>(Table16[[#This Row],[Index]]-B73)/B73</f>
        <v/>
      </c>
    </row>
    <row r="86">
      <c r="A86" s="17" t="n">
        <v>28703</v>
      </c>
      <c r="B86" s="58">
        <f>VLOOKUP(Table16[[#This Row],[Date]],database!A:H,4,)</f>
        <v/>
      </c>
      <c r="C86" s="66">
        <f>B86/B85-1</f>
        <v/>
      </c>
      <c r="D86" s="66">
        <f>(Table16[[#This Row],[Index]]-B74)/B74</f>
        <v/>
      </c>
    </row>
    <row r="87">
      <c r="A87" s="17" t="n">
        <v>28734</v>
      </c>
      <c r="B87" s="58">
        <f>VLOOKUP(Table16[[#This Row],[Date]],database!A:H,4,)</f>
        <v/>
      </c>
      <c r="C87" s="66">
        <f>B87/B86-1</f>
        <v/>
      </c>
      <c r="D87" s="66">
        <f>(Table16[[#This Row],[Index]]-B75)/B75</f>
        <v/>
      </c>
    </row>
    <row r="88">
      <c r="A88" s="17" t="n">
        <v>28764</v>
      </c>
      <c r="B88" s="58">
        <f>VLOOKUP(Table16[[#This Row],[Date]],database!A:H,4,)</f>
        <v/>
      </c>
      <c r="C88" s="66">
        <f>B88/B87-1</f>
        <v/>
      </c>
      <c r="D88" s="66">
        <f>(Table16[[#This Row],[Index]]-B76)/B76</f>
        <v/>
      </c>
    </row>
    <row r="89">
      <c r="A89" s="17" t="n">
        <v>28795</v>
      </c>
      <c r="B89" s="58">
        <f>VLOOKUP(Table16[[#This Row],[Date]],database!A:H,4,)</f>
        <v/>
      </c>
      <c r="C89" s="66">
        <f>B89/B88-1</f>
        <v/>
      </c>
      <c r="D89" s="66">
        <f>(Table16[[#This Row],[Index]]-B77)/B77</f>
        <v/>
      </c>
    </row>
    <row r="90">
      <c r="A90" s="17" t="n">
        <v>28825</v>
      </c>
      <c r="B90" s="58">
        <f>VLOOKUP(Table16[[#This Row],[Date]],database!A:H,4,)</f>
        <v/>
      </c>
      <c r="C90" s="66">
        <f>B90/B89-1</f>
        <v/>
      </c>
      <c r="D90" s="66">
        <f>(Table16[[#This Row],[Index]]-B78)/B78</f>
        <v/>
      </c>
    </row>
    <row r="91">
      <c r="A91" s="17" t="n">
        <v>28856</v>
      </c>
      <c r="B91" s="58">
        <f>VLOOKUP(Table16[[#This Row],[Date]],database!A:H,4,)</f>
        <v/>
      </c>
      <c r="C91" s="66">
        <f>B91/B90-1</f>
        <v/>
      </c>
      <c r="D91" s="66">
        <f>(Table16[[#This Row],[Index]]-B79)/B79</f>
        <v/>
      </c>
    </row>
    <row r="92">
      <c r="A92" s="17" t="n">
        <v>28887</v>
      </c>
      <c r="B92" s="58">
        <f>VLOOKUP(Table16[[#This Row],[Date]],database!A:H,4,)</f>
        <v/>
      </c>
      <c r="C92" s="66">
        <f>B92/B91-1</f>
        <v/>
      </c>
      <c r="D92" s="66">
        <f>(Table16[[#This Row],[Index]]-B80)/B80</f>
        <v/>
      </c>
    </row>
    <row r="93">
      <c r="A93" s="17" t="n">
        <v>28915</v>
      </c>
      <c r="B93" s="58">
        <f>VLOOKUP(Table16[[#This Row],[Date]],database!A:H,4,)</f>
        <v/>
      </c>
      <c r="C93" s="66">
        <f>B93/B92-1</f>
        <v/>
      </c>
      <c r="D93" s="66">
        <f>(Table16[[#This Row],[Index]]-B81)/B81</f>
        <v/>
      </c>
    </row>
    <row r="94">
      <c r="A94" s="17" t="n">
        <v>28946</v>
      </c>
      <c r="B94" s="58">
        <f>VLOOKUP(Table16[[#This Row],[Date]],database!A:H,4,)</f>
        <v/>
      </c>
      <c r="C94" s="66">
        <f>B94/B93-1</f>
        <v/>
      </c>
      <c r="D94" s="66">
        <f>(Table16[[#This Row],[Index]]-B82)/B82</f>
        <v/>
      </c>
    </row>
    <row r="95">
      <c r="A95" s="17" t="n">
        <v>28976</v>
      </c>
      <c r="B95" s="58">
        <f>VLOOKUP(Table16[[#This Row],[Date]],database!A:H,4,)</f>
        <v/>
      </c>
      <c r="C95" s="66">
        <f>B95/B94-1</f>
        <v/>
      </c>
      <c r="D95" s="66">
        <f>(Table16[[#This Row],[Index]]-B83)/B83</f>
        <v/>
      </c>
    </row>
    <row r="96">
      <c r="A96" s="17" t="n">
        <v>29007</v>
      </c>
      <c r="B96" s="58">
        <f>VLOOKUP(Table16[[#This Row],[Date]],database!A:H,4,)</f>
        <v/>
      </c>
      <c r="C96" s="66">
        <f>B96/B95-1</f>
        <v/>
      </c>
      <c r="D96" s="66">
        <f>(Table16[[#This Row],[Index]]-B84)/B84</f>
        <v/>
      </c>
    </row>
    <row r="97">
      <c r="A97" s="17" t="n">
        <v>29037</v>
      </c>
      <c r="B97" s="58">
        <f>VLOOKUP(Table16[[#This Row],[Date]],database!A:H,4,)</f>
        <v/>
      </c>
      <c r="C97" s="66">
        <f>B97/B96-1</f>
        <v/>
      </c>
      <c r="D97" s="66">
        <f>(Table16[[#This Row],[Index]]-B85)/B85</f>
        <v/>
      </c>
    </row>
    <row r="98">
      <c r="A98" s="17" t="n">
        <v>29068</v>
      </c>
      <c r="B98" s="58">
        <f>VLOOKUP(Table16[[#This Row],[Date]],database!A:H,4,)</f>
        <v/>
      </c>
      <c r="C98" s="66">
        <f>B98/B97-1</f>
        <v/>
      </c>
      <c r="D98" s="66">
        <f>(Table16[[#This Row],[Index]]-B86)/B86</f>
        <v/>
      </c>
    </row>
    <row r="99">
      <c r="A99" s="17" t="n">
        <v>29099</v>
      </c>
      <c r="B99" s="58">
        <f>VLOOKUP(Table16[[#This Row],[Date]],database!A:H,4,)</f>
        <v/>
      </c>
      <c r="C99" s="66">
        <f>B99/B98-1</f>
        <v/>
      </c>
      <c r="D99" s="66">
        <f>(Table16[[#This Row],[Index]]-B87)/B87</f>
        <v/>
      </c>
    </row>
    <row r="100">
      <c r="A100" s="17" t="n">
        <v>29129</v>
      </c>
      <c r="B100" s="58">
        <f>VLOOKUP(Table16[[#This Row],[Date]],database!A:H,4,)</f>
        <v/>
      </c>
      <c r="C100" s="66">
        <f>B100/B99-1</f>
        <v/>
      </c>
      <c r="D100" s="66">
        <f>(Table16[[#This Row],[Index]]-B88)/B88</f>
        <v/>
      </c>
    </row>
    <row r="101">
      <c r="A101" s="17" t="n">
        <v>29160</v>
      </c>
      <c r="B101" s="58">
        <f>VLOOKUP(Table16[[#This Row],[Date]],database!A:H,4,)</f>
        <v/>
      </c>
      <c r="C101" s="66">
        <f>B101/B100-1</f>
        <v/>
      </c>
      <c r="D101" s="66">
        <f>(Table16[[#This Row],[Index]]-B89)/B89</f>
        <v/>
      </c>
    </row>
    <row r="102">
      <c r="A102" s="17" t="n">
        <v>29190</v>
      </c>
      <c r="B102" s="58">
        <f>VLOOKUP(Table16[[#This Row],[Date]],database!A:H,4,)</f>
        <v/>
      </c>
      <c r="C102" s="66">
        <f>B102/B101-1</f>
        <v/>
      </c>
      <c r="D102" s="66">
        <f>(Table16[[#This Row],[Index]]-B90)/B90</f>
        <v/>
      </c>
    </row>
    <row r="103">
      <c r="A103" s="17" t="n">
        <v>29221</v>
      </c>
      <c r="B103" s="58">
        <f>VLOOKUP(Table16[[#This Row],[Date]],database!A:H,4,)</f>
        <v/>
      </c>
      <c r="C103" s="66">
        <f>B103/B102-1</f>
        <v/>
      </c>
      <c r="D103" s="66">
        <f>(Table16[[#This Row],[Index]]-B91)/B91</f>
        <v/>
      </c>
    </row>
    <row r="104">
      <c r="A104" s="17" t="n">
        <v>29252</v>
      </c>
      <c r="B104" s="58">
        <f>VLOOKUP(Table16[[#This Row],[Date]],database!A:H,4,)</f>
        <v/>
      </c>
      <c r="C104" s="66">
        <f>B104/B103-1</f>
        <v/>
      </c>
      <c r="D104" s="66">
        <f>(Table16[[#This Row],[Index]]-B92)/B92</f>
        <v/>
      </c>
    </row>
    <row r="105">
      <c r="A105" s="17" t="n">
        <v>29281</v>
      </c>
      <c r="B105" s="58">
        <f>VLOOKUP(Table16[[#This Row],[Date]],database!A:H,4,)</f>
        <v/>
      </c>
      <c r="C105" s="66">
        <f>B105/B104-1</f>
        <v/>
      </c>
      <c r="D105" s="66">
        <f>(Table16[[#This Row],[Index]]-B93)/B93</f>
        <v/>
      </c>
    </row>
    <row r="106">
      <c r="A106" s="17" t="n">
        <v>29312</v>
      </c>
      <c r="B106" s="58">
        <f>VLOOKUP(Table16[[#This Row],[Date]],database!A:H,4,)</f>
        <v/>
      </c>
      <c r="C106" s="66">
        <f>B106/B105-1</f>
        <v/>
      </c>
      <c r="D106" s="66">
        <f>(Table16[[#This Row],[Index]]-B94)/B94</f>
        <v/>
      </c>
    </row>
    <row r="107">
      <c r="A107" s="17" t="n">
        <v>29342</v>
      </c>
      <c r="B107" s="58">
        <f>VLOOKUP(Table16[[#This Row],[Date]],database!A:H,4,)</f>
        <v/>
      </c>
      <c r="C107" s="66">
        <f>B107/B106-1</f>
        <v/>
      </c>
      <c r="D107" s="66">
        <f>(Table16[[#This Row],[Index]]-B95)/B95</f>
        <v/>
      </c>
    </row>
    <row r="108">
      <c r="A108" s="17" t="n">
        <v>29373</v>
      </c>
      <c r="B108" s="58">
        <f>VLOOKUP(Table16[[#This Row],[Date]],database!A:H,4,)</f>
        <v/>
      </c>
      <c r="C108" s="66">
        <f>B108/B107-1</f>
        <v/>
      </c>
      <c r="D108" s="66">
        <f>(Table16[[#This Row],[Index]]-B96)/B96</f>
        <v/>
      </c>
    </row>
    <row r="109">
      <c r="A109" s="17" t="n">
        <v>29403</v>
      </c>
      <c r="B109" s="58">
        <f>VLOOKUP(Table16[[#This Row],[Date]],database!A:H,4,)</f>
        <v/>
      </c>
      <c r="C109" s="66">
        <f>B109/B108-1</f>
        <v/>
      </c>
      <c r="D109" s="66">
        <f>(Table16[[#This Row],[Index]]-B97)/B97</f>
        <v/>
      </c>
    </row>
    <row r="110">
      <c r="A110" s="17" t="n">
        <v>29434</v>
      </c>
      <c r="B110" s="58">
        <f>VLOOKUP(Table16[[#This Row],[Date]],database!A:H,4,)</f>
        <v/>
      </c>
      <c r="C110" s="66">
        <f>B110/B109-1</f>
        <v/>
      </c>
      <c r="D110" s="66">
        <f>(Table16[[#This Row],[Index]]-B98)/B98</f>
        <v/>
      </c>
    </row>
    <row r="111">
      <c r="A111" s="17" t="n">
        <v>29465</v>
      </c>
      <c r="B111" s="58">
        <f>VLOOKUP(Table16[[#This Row],[Date]],database!A:H,4,)</f>
        <v/>
      </c>
      <c r="C111" s="66">
        <f>B111/B110-1</f>
        <v/>
      </c>
      <c r="D111" s="66">
        <f>(Table16[[#This Row],[Index]]-B99)/B99</f>
        <v/>
      </c>
    </row>
    <row r="112">
      <c r="A112" s="17" t="n">
        <v>29495</v>
      </c>
      <c r="B112" s="58">
        <f>VLOOKUP(Table16[[#This Row],[Date]],database!A:H,4,)</f>
        <v/>
      </c>
      <c r="C112" s="66">
        <f>B112/B111-1</f>
        <v/>
      </c>
      <c r="D112" s="66">
        <f>(Table16[[#This Row],[Index]]-B100)/B100</f>
        <v/>
      </c>
    </row>
    <row r="113">
      <c r="A113" s="17" t="n">
        <v>29526</v>
      </c>
      <c r="B113" s="58">
        <f>VLOOKUP(Table16[[#This Row],[Date]],database!A:H,4,)</f>
        <v/>
      </c>
      <c r="C113" s="66">
        <f>B113/B112-1</f>
        <v/>
      </c>
      <c r="D113" s="66">
        <f>(Table16[[#This Row],[Index]]-B101)/B101</f>
        <v/>
      </c>
    </row>
    <row r="114">
      <c r="A114" s="17" t="n">
        <v>29556</v>
      </c>
      <c r="B114" s="58">
        <f>VLOOKUP(Table16[[#This Row],[Date]],database!A:H,4,)</f>
        <v/>
      </c>
      <c r="C114" s="66">
        <f>B114/B113-1</f>
        <v/>
      </c>
      <c r="D114" s="66">
        <f>(Table16[[#This Row],[Index]]-B102)/B102</f>
        <v/>
      </c>
    </row>
    <row r="115">
      <c r="A115" s="17" t="n">
        <v>29587</v>
      </c>
      <c r="B115" s="58">
        <f>VLOOKUP(Table16[[#This Row],[Date]],database!A:H,4,)</f>
        <v/>
      </c>
      <c r="C115" s="66">
        <f>B115/B114-1</f>
        <v/>
      </c>
      <c r="D115" s="66">
        <f>(Table16[[#This Row],[Index]]-B103)/B103</f>
        <v/>
      </c>
    </row>
    <row r="116">
      <c r="A116" s="17" t="n">
        <v>29618</v>
      </c>
      <c r="B116" s="58">
        <f>VLOOKUP(Table16[[#This Row],[Date]],database!A:H,4,)</f>
        <v/>
      </c>
      <c r="C116" s="66">
        <f>B116/B115-1</f>
        <v/>
      </c>
      <c r="D116" s="66">
        <f>(Table16[[#This Row],[Index]]-B104)/B104</f>
        <v/>
      </c>
    </row>
    <row r="117">
      <c r="A117" s="17" t="n">
        <v>29646</v>
      </c>
      <c r="B117" s="58">
        <f>VLOOKUP(Table16[[#This Row],[Date]],database!A:H,4,)</f>
        <v/>
      </c>
      <c r="C117" s="66">
        <f>B117/B116-1</f>
        <v/>
      </c>
      <c r="D117" s="66">
        <f>(Table16[[#This Row],[Index]]-B105)/B105</f>
        <v/>
      </c>
    </row>
    <row r="118">
      <c r="A118" s="17" t="n">
        <v>29677</v>
      </c>
      <c r="B118" s="58">
        <f>VLOOKUP(Table16[[#This Row],[Date]],database!A:H,4,)</f>
        <v/>
      </c>
      <c r="C118" s="66">
        <f>B118/B117-1</f>
        <v/>
      </c>
      <c r="D118" s="66">
        <f>(Table16[[#This Row],[Index]]-B106)/B106</f>
        <v/>
      </c>
    </row>
    <row r="119">
      <c r="A119" s="17" t="n">
        <v>29707</v>
      </c>
      <c r="B119" s="58">
        <f>VLOOKUP(Table16[[#This Row],[Date]],database!A:H,4,)</f>
        <v/>
      </c>
      <c r="C119" s="66">
        <f>B119/B118-1</f>
        <v/>
      </c>
      <c r="D119" s="66">
        <f>(Table16[[#This Row],[Index]]-B107)/B107</f>
        <v/>
      </c>
    </row>
    <row r="120">
      <c r="A120" s="17" t="n">
        <v>29738</v>
      </c>
      <c r="B120" s="58">
        <f>VLOOKUP(Table16[[#This Row],[Date]],database!A:H,4,)</f>
        <v/>
      </c>
      <c r="C120" s="66">
        <f>B120/B119-1</f>
        <v/>
      </c>
      <c r="D120" s="66">
        <f>(Table16[[#This Row],[Index]]-B108)/B108</f>
        <v/>
      </c>
    </row>
    <row r="121">
      <c r="A121" s="17" t="n">
        <v>29768</v>
      </c>
      <c r="B121" s="58">
        <f>VLOOKUP(Table16[[#This Row],[Date]],database!A:H,4,)</f>
        <v/>
      </c>
      <c r="C121" s="66">
        <f>B121/B120-1</f>
        <v/>
      </c>
      <c r="D121" s="66">
        <f>(Table16[[#This Row],[Index]]-B109)/B109</f>
        <v/>
      </c>
    </row>
    <row r="122">
      <c r="A122" s="17" t="n">
        <v>29799</v>
      </c>
      <c r="B122" s="58">
        <f>VLOOKUP(Table16[[#This Row],[Date]],database!A:H,4,)</f>
        <v/>
      </c>
      <c r="C122" s="66">
        <f>B122/B121-1</f>
        <v/>
      </c>
      <c r="D122" s="66">
        <f>(Table16[[#This Row],[Index]]-B110)/B110</f>
        <v/>
      </c>
    </row>
    <row r="123">
      <c r="A123" s="17" t="n">
        <v>29830</v>
      </c>
      <c r="B123" s="58">
        <f>VLOOKUP(Table16[[#This Row],[Date]],database!A:H,4,)</f>
        <v/>
      </c>
      <c r="C123" s="66">
        <f>B123/B122-1</f>
        <v/>
      </c>
      <c r="D123" s="66">
        <f>(Table16[[#This Row],[Index]]-B111)/B111</f>
        <v/>
      </c>
    </row>
    <row r="124">
      <c r="A124" s="17" t="n">
        <v>29860</v>
      </c>
      <c r="B124" s="58">
        <f>VLOOKUP(Table16[[#This Row],[Date]],database!A:H,4,)</f>
        <v/>
      </c>
      <c r="C124" s="66">
        <f>B124/B123-1</f>
        <v/>
      </c>
      <c r="D124" s="66">
        <f>(Table16[[#This Row],[Index]]-B112)/B112</f>
        <v/>
      </c>
    </row>
    <row r="125">
      <c r="A125" s="17" t="n">
        <v>29891</v>
      </c>
      <c r="B125" s="58">
        <f>VLOOKUP(Table16[[#This Row],[Date]],database!A:H,4,)</f>
        <v/>
      </c>
      <c r="C125" s="66">
        <f>B125/B124-1</f>
        <v/>
      </c>
      <c r="D125" s="66">
        <f>(Table16[[#This Row],[Index]]-B113)/B113</f>
        <v/>
      </c>
    </row>
    <row r="126">
      <c r="A126" s="17" t="n">
        <v>29921</v>
      </c>
      <c r="B126" s="58">
        <f>VLOOKUP(Table16[[#This Row],[Date]],database!A:H,4,)</f>
        <v/>
      </c>
      <c r="C126" s="66">
        <f>B126/B125-1</f>
        <v/>
      </c>
      <c r="D126" s="66">
        <f>(Table16[[#This Row],[Index]]-B114)/B114</f>
        <v/>
      </c>
    </row>
    <row r="127">
      <c r="A127" s="17" t="n">
        <v>29952</v>
      </c>
      <c r="B127" s="58">
        <f>VLOOKUP(Table16[[#This Row],[Date]],database!A:H,4,)</f>
        <v/>
      </c>
      <c r="C127" s="66">
        <f>B127/B126-1</f>
        <v/>
      </c>
      <c r="D127" s="66">
        <f>(Table16[[#This Row],[Index]]-B115)/B115</f>
        <v/>
      </c>
    </row>
    <row r="128">
      <c r="A128" s="17" t="n">
        <v>29983</v>
      </c>
      <c r="B128" s="58">
        <f>VLOOKUP(Table16[[#This Row],[Date]],database!A:H,4,)</f>
        <v/>
      </c>
      <c r="C128" s="66">
        <f>B128/B127-1</f>
        <v/>
      </c>
      <c r="D128" s="66">
        <f>(Table16[[#This Row],[Index]]-B116)/B116</f>
        <v/>
      </c>
    </row>
    <row r="129">
      <c r="A129" s="17" t="n">
        <v>30011</v>
      </c>
      <c r="B129" s="58">
        <f>VLOOKUP(Table16[[#This Row],[Date]],database!A:H,4,)</f>
        <v/>
      </c>
      <c r="C129" s="66">
        <f>B129/B128-1</f>
        <v/>
      </c>
      <c r="D129" s="66">
        <f>(Table16[[#This Row],[Index]]-B117)/B117</f>
        <v/>
      </c>
    </row>
    <row r="130">
      <c r="A130" s="17" t="n">
        <v>30042</v>
      </c>
      <c r="B130" s="58">
        <f>VLOOKUP(Table16[[#This Row],[Date]],database!A:H,4,)</f>
        <v/>
      </c>
      <c r="C130" s="66">
        <f>B130/B129-1</f>
        <v/>
      </c>
      <c r="D130" s="66">
        <f>(Table16[[#This Row],[Index]]-B118)/B118</f>
        <v/>
      </c>
    </row>
    <row r="131">
      <c r="A131" s="17" t="n">
        <v>30072</v>
      </c>
      <c r="B131" s="58">
        <f>VLOOKUP(Table16[[#This Row],[Date]],database!A:H,4,)</f>
        <v/>
      </c>
      <c r="C131" s="66">
        <f>B131/B130-1</f>
        <v/>
      </c>
      <c r="D131" s="66">
        <f>(Table16[[#This Row],[Index]]-B119)/B119</f>
        <v/>
      </c>
    </row>
    <row r="132">
      <c r="A132" s="17" t="n">
        <v>30103</v>
      </c>
      <c r="B132" s="58">
        <f>VLOOKUP(Table16[[#This Row],[Date]],database!A:H,4,)</f>
        <v/>
      </c>
      <c r="C132" s="66">
        <f>B132/B131-1</f>
        <v/>
      </c>
      <c r="D132" s="66">
        <f>(Table16[[#This Row],[Index]]-B120)/B120</f>
        <v/>
      </c>
    </row>
    <row r="133">
      <c r="A133" s="17" t="n">
        <v>30133</v>
      </c>
      <c r="B133" s="58">
        <f>VLOOKUP(Table16[[#This Row],[Date]],database!A:H,4,)</f>
        <v/>
      </c>
      <c r="C133" s="66">
        <f>B133/B132-1</f>
        <v/>
      </c>
      <c r="D133" s="66">
        <f>(Table16[[#This Row],[Index]]-B121)/B121</f>
        <v/>
      </c>
    </row>
    <row r="134">
      <c r="A134" s="17" t="n">
        <v>30164</v>
      </c>
      <c r="B134" s="58">
        <f>VLOOKUP(Table16[[#This Row],[Date]],database!A:H,4,)</f>
        <v/>
      </c>
      <c r="C134" s="66">
        <f>B134/B133-1</f>
        <v/>
      </c>
      <c r="D134" s="66">
        <f>(Table16[[#This Row],[Index]]-B122)/B122</f>
        <v/>
      </c>
    </row>
    <row r="135">
      <c r="A135" s="17" t="n">
        <v>30195</v>
      </c>
      <c r="B135" s="58">
        <f>VLOOKUP(Table16[[#This Row],[Date]],database!A:H,4,)</f>
        <v/>
      </c>
      <c r="C135" s="66">
        <f>B135/B134-1</f>
        <v/>
      </c>
      <c r="D135" s="66">
        <f>(Table16[[#This Row],[Index]]-B123)/B123</f>
        <v/>
      </c>
    </row>
    <row r="136">
      <c r="A136" s="17" t="n">
        <v>30225</v>
      </c>
      <c r="B136" s="58">
        <f>VLOOKUP(Table16[[#This Row],[Date]],database!A:H,4,)</f>
        <v/>
      </c>
      <c r="C136" s="66">
        <f>B136/B135-1</f>
        <v/>
      </c>
      <c r="D136" s="66">
        <f>(Table16[[#This Row],[Index]]-B124)/B124</f>
        <v/>
      </c>
    </row>
    <row r="137">
      <c r="A137" s="17" t="n">
        <v>30256</v>
      </c>
      <c r="B137" s="58">
        <f>VLOOKUP(Table16[[#This Row],[Date]],database!A:H,4,)</f>
        <v/>
      </c>
      <c r="C137" s="66">
        <f>B137/B136-1</f>
        <v/>
      </c>
      <c r="D137" s="66">
        <f>(Table16[[#This Row],[Index]]-B125)/B125</f>
        <v/>
      </c>
    </row>
    <row r="138">
      <c r="A138" s="17" t="n">
        <v>30286</v>
      </c>
      <c r="B138" s="58">
        <f>VLOOKUP(Table16[[#This Row],[Date]],database!A:H,4,)</f>
        <v/>
      </c>
      <c r="C138" s="66">
        <f>B138/B137-1</f>
        <v/>
      </c>
      <c r="D138" s="66">
        <f>(Table16[[#This Row],[Index]]-B126)/B126</f>
        <v/>
      </c>
    </row>
    <row r="139">
      <c r="A139" s="17" t="n">
        <v>30317</v>
      </c>
      <c r="B139" s="58">
        <f>VLOOKUP(Table16[[#This Row],[Date]],database!A:H,4,)</f>
        <v/>
      </c>
      <c r="C139" s="66">
        <f>B139/B138-1</f>
        <v/>
      </c>
      <c r="D139" s="66">
        <f>(Table16[[#This Row],[Index]]-B127)/B127</f>
        <v/>
      </c>
    </row>
    <row r="140">
      <c r="A140" s="17" t="n">
        <v>30348</v>
      </c>
      <c r="B140" s="58">
        <f>VLOOKUP(Table16[[#This Row],[Date]],database!A:H,4,)</f>
        <v/>
      </c>
      <c r="C140" s="66">
        <f>B140/B139-1</f>
        <v/>
      </c>
      <c r="D140" s="66">
        <f>(Table16[[#This Row],[Index]]-B128)/B128</f>
        <v/>
      </c>
    </row>
    <row r="141">
      <c r="A141" s="17" t="n">
        <v>30376</v>
      </c>
      <c r="B141" s="58">
        <f>VLOOKUP(Table16[[#This Row],[Date]],database!A:H,4,)</f>
        <v/>
      </c>
      <c r="C141" s="66">
        <f>B141/B140-1</f>
        <v/>
      </c>
      <c r="D141" s="66">
        <f>(Table16[[#This Row],[Index]]-B129)/B129</f>
        <v/>
      </c>
    </row>
    <row r="142">
      <c r="A142" s="17" t="n">
        <v>30407</v>
      </c>
      <c r="B142" s="58">
        <f>VLOOKUP(Table16[[#This Row],[Date]],database!A:H,4,)</f>
        <v/>
      </c>
      <c r="C142" s="66">
        <f>B142/B141-1</f>
        <v/>
      </c>
      <c r="D142" s="66">
        <f>(Table16[[#This Row],[Index]]-B130)/B130</f>
        <v/>
      </c>
    </row>
    <row r="143">
      <c r="A143" s="17" t="n">
        <v>30437</v>
      </c>
      <c r="B143" s="58">
        <f>VLOOKUP(Table16[[#This Row],[Date]],database!A:H,4,)</f>
        <v/>
      </c>
      <c r="C143" s="66">
        <f>B143/B142-1</f>
        <v/>
      </c>
      <c r="D143" s="66">
        <f>(Table16[[#This Row],[Index]]-B131)/B131</f>
        <v/>
      </c>
    </row>
    <row r="144">
      <c r="A144" s="17" t="n">
        <v>30468</v>
      </c>
      <c r="B144" s="58">
        <f>VLOOKUP(Table16[[#This Row],[Date]],database!A:H,4,)</f>
        <v/>
      </c>
      <c r="C144" s="66">
        <f>B144/B143-1</f>
        <v/>
      </c>
      <c r="D144" s="66">
        <f>(Table16[[#This Row],[Index]]-B132)/B132</f>
        <v/>
      </c>
    </row>
    <row r="145">
      <c r="A145" s="17" t="n">
        <v>30498</v>
      </c>
      <c r="B145" s="58">
        <f>VLOOKUP(Table16[[#This Row],[Date]],database!A:H,4,)</f>
        <v/>
      </c>
      <c r="C145" s="66">
        <f>B145/B144-1</f>
        <v/>
      </c>
      <c r="D145" s="66">
        <f>(Table16[[#This Row],[Index]]-B133)/B133</f>
        <v/>
      </c>
    </row>
    <row r="146">
      <c r="A146" s="17" t="n">
        <v>30529</v>
      </c>
      <c r="B146" s="58">
        <f>VLOOKUP(Table16[[#This Row],[Date]],database!A:H,4,)</f>
        <v/>
      </c>
      <c r="C146" s="66">
        <f>B146/B145-1</f>
        <v/>
      </c>
      <c r="D146" s="66">
        <f>(Table16[[#This Row],[Index]]-B134)/B134</f>
        <v/>
      </c>
    </row>
    <row r="147">
      <c r="A147" s="17" t="n">
        <v>30560</v>
      </c>
      <c r="B147" s="58">
        <f>VLOOKUP(Table16[[#This Row],[Date]],database!A:H,4,)</f>
        <v/>
      </c>
      <c r="C147" s="66">
        <f>B147/B146-1</f>
        <v/>
      </c>
      <c r="D147" s="66">
        <f>(Table16[[#This Row],[Index]]-B135)/B135</f>
        <v/>
      </c>
    </row>
    <row r="148">
      <c r="A148" s="17" t="n">
        <v>30590</v>
      </c>
      <c r="B148" s="58">
        <f>VLOOKUP(Table16[[#This Row],[Date]],database!A:H,4,)</f>
        <v/>
      </c>
      <c r="C148" s="66">
        <f>B148/B147-1</f>
        <v/>
      </c>
      <c r="D148" s="66">
        <f>(Table16[[#This Row],[Index]]-B136)/B136</f>
        <v/>
      </c>
    </row>
    <row r="149">
      <c r="A149" s="17" t="n">
        <v>30621</v>
      </c>
      <c r="B149" s="58">
        <f>VLOOKUP(Table16[[#This Row],[Date]],database!A:H,4,)</f>
        <v/>
      </c>
      <c r="C149" s="66">
        <f>B149/B148-1</f>
        <v/>
      </c>
      <c r="D149" s="66">
        <f>(Table16[[#This Row],[Index]]-B137)/B137</f>
        <v/>
      </c>
    </row>
    <row r="150">
      <c r="A150" s="17" t="n">
        <v>30651</v>
      </c>
      <c r="B150" s="58">
        <f>VLOOKUP(Table16[[#This Row],[Date]],database!A:H,4,)</f>
        <v/>
      </c>
      <c r="C150" s="66">
        <f>B150/B149-1</f>
        <v/>
      </c>
      <c r="D150" s="66">
        <f>(Table16[[#This Row],[Index]]-B138)/B138</f>
        <v/>
      </c>
    </row>
    <row r="151">
      <c r="A151" s="17" t="n">
        <v>30682</v>
      </c>
      <c r="B151" s="58">
        <f>VLOOKUP(Table16[[#This Row],[Date]],database!A:H,4,)</f>
        <v/>
      </c>
      <c r="C151" s="66">
        <f>B151/B150-1</f>
        <v/>
      </c>
      <c r="D151" s="66">
        <f>(Table16[[#This Row],[Index]]-B139)/B139</f>
        <v/>
      </c>
    </row>
    <row r="152">
      <c r="A152" s="17" t="n">
        <v>30713</v>
      </c>
      <c r="B152" s="58">
        <f>VLOOKUP(Table16[[#This Row],[Date]],database!A:H,4,)</f>
        <v/>
      </c>
      <c r="C152" s="66">
        <f>B152/B151-1</f>
        <v/>
      </c>
      <c r="D152" s="66">
        <f>(Table16[[#This Row],[Index]]-B140)/B140</f>
        <v/>
      </c>
    </row>
    <row r="153">
      <c r="A153" s="17" t="n">
        <v>30742</v>
      </c>
      <c r="B153" s="58">
        <f>VLOOKUP(Table16[[#This Row],[Date]],database!A:H,4,)</f>
        <v/>
      </c>
      <c r="C153" s="66">
        <f>B153/B152-1</f>
        <v/>
      </c>
      <c r="D153" s="66">
        <f>(Table16[[#This Row],[Index]]-B141)/B141</f>
        <v/>
      </c>
    </row>
    <row r="154">
      <c r="A154" s="17" t="n">
        <v>30773</v>
      </c>
      <c r="B154" s="58">
        <f>VLOOKUP(Table16[[#This Row],[Date]],database!A:H,4,)</f>
        <v/>
      </c>
      <c r="C154" s="66">
        <f>B154/B153-1</f>
        <v/>
      </c>
      <c r="D154" s="66">
        <f>(Table16[[#This Row],[Index]]-B142)/B142</f>
        <v/>
      </c>
    </row>
    <row r="155">
      <c r="A155" s="17" t="n">
        <v>30803</v>
      </c>
      <c r="B155" s="58">
        <f>VLOOKUP(Table16[[#This Row],[Date]],database!A:H,4,)</f>
        <v/>
      </c>
      <c r="C155" s="66">
        <f>B155/B154-1</f>
        <v/>
      </c>
      <c r="D155" s="66">
        <f>(Table16[[#This Row],[Index]]-B143)/B143</f>
        <v/>
      </c>
    </row>
    <row r="156">
      <c r="A156" s="17" t="n">
        <v>30834</v>
      </c>
      <c r="B156" s="58">
        <f>VLOOKUP(Table16[[#This Row],[Date]],database!A:H,4,)</f>
        <v/>
      </c>
      <c r="C156" s="66">
        <f>B156/B155-1</f>
        <v/>
      </c>
      <c r="D156" s="66">
        <f>(Table16[[#This Row],[Index]]-B144)/B144</f>
        <v/>
      </c>
    </row>
    <row r="157">
      <c r="A157" s="17" t="n">
        <v>30864</v>
      </c>
      <c r="B157" s="58">
        <f>VLOOKUP(Table16[[#This Row],[Date]],database!A:H,4,)</f>
        <v/>
      </c>
      <c r="C157" s="66">
        <f>B157/B156-1</f>
        <v/>
      </c>
      <c r="D157" s="66">
        <f>(Table16[[#This Row],[Index]]-B145)/B145</f>
        <v/>
      </c>
    </row>
    <row r="158">
      <c r="A158" s="17" t="n">
        <v>30895</v>
      </c>
      <c r="B158" s="58">
        <f>VLOOKUP(Table16[[#This Row],[Date]],database!A:H,4,)</f>
        <v/>
      </c>
      <c r="C158" s="66">
        <f>B158/B157-1</f>
        <v/>
      </c>
      <c r="D158" s="66">
        <f>(Table16[[#This Row],[Index]]-B146)/B146</f>
        <v/>
      </c>
    </row>
    <row r="159">
      <c r="A159" s="17" t="n">
        <v>30926</v>
      </c>
      <c r="B159" s="58">
        <f>VLOOKUP(Table16[[#This Row],[Date]],database!A:H,4,)</f>
        <v/>
      </c>
      <c r="C159" s="66">
        <f>B159/B158-1</f>
        <v/>
      </c>
      <c r="D159" s="66">
        <f>(Table16[[#This Row],[Index]]-B147)/B147</f>
        <v/>
      </c>
    </row>
    <row r="160">
      <c r="A160" s="17" t="n">
        <v>30956</v>
      </c>
      <c r="B160" s="58">
        <f>VLOOKUP(Table16[[#This Row],[Date]],database!A:H,4,)</f>
        <v/>
      </c>
      <c r="C160" s="66">
        <f>B160/B159-1</f>
        <v/>
      </c>
      <c r="D160" s="66">
        <f>(Table16[[#This Row],[Index]]-B148)/B148</f>
        <v/>
      </c>
    </row>
    <row r="161">
      <c r="A161" s="17" t="n">
        <v>30987</v>
      </c>
      <c r="B161" s="58">
        <f>VLOOKUP(Table16[[#This Row],[Date]],database!A:H,4,)</f>
        <v/>
      </c>
      <c r="C161" s="66">
        <f>B161/B160-1</f>
        <v/>
      </c>
      <c r="D161" s="66">
        <f>(Table16[[#This Row],[Index]]-B149)/B149</f>
        <v/>
      </c>
    </row>
    <row r="162">
      <c r="A162" s="17" t="n">
        <v>31017</v>
      </c>
      <c r="B162" s="58">
        <f>VLOOKUP(Table16[[#This Row],[Date]],database!A:H,4,)</f>
        <v/>
      </c>
      <c r="C162" s="66">
        <f>B162/B161-1</f>
        <v/>
      </c>
      <c r="D162" s="66">
        <f>(Table16[[#This Row],[Index]]-B150)/B150</f>
        <v/>
      </c>
    </row>
    <row r="163">
      <c r="A163" s="17" t="n">
        <v>31048</v>
      </c>
      <c r="B163" s="58">
        <f>VLOOKUP(Table16[[#This Row],[Date]],database!A:H,4,)</f>
        <v/>
      </c>
      <c r="C163" s="66">
        <f>B163/B162-1</f>
        <v/>
      </c>
      <c r="D163" s="66">
        <f>(Table16[[#This Row],[Index]]-B151)/B151</f>
        <v/>
      </c>
    </row>
    <row r="164">
      <c r="A164" s="17" t="n">
        <v>31079</v>
      </c>
      <c r="B164" s="58">
        <f>VLOOKUP(Table16[[#This Row],[Date]],database!A:H,4,)</f>
        <v/>
      </c>
      <c r="C164" s="66">
        <f>B164/B163-1</f>
        <v/>
      </c>
      <c r="D164" s="66">
        <f>(Table16[[#This Row],[Index]]-B152)/B152</f>
        <v/>
      </c>
    </row>
    <row r="165">
      <c r="A165" s="17" t="n">
        <v>31107</v>
      </c>
      <c r="B165" s="58">
        <f>VLOOKUP(Table16[[#This Row],[Date]],database!A:H,4,)</f>
        <v/>
      </c>
      <c r="C165" s="66">
        <f>B165/B164-1</f>
        <v/>
      </c>
      <c r="D165" s="66">
        <f>(Table16[[#This Row],[Index]]-B153)/B153</f>
        <v/>
      </c>
    </row>
    <row r="166">
      <c r="A166" s="17" t="n">
        <v>31138</v>
      </c>
      <c r="B166" s="58">
        <f>VLOOKUP(Table16[[#This Row],[Date]],database!A:H,4,)</f>
        <v/>
      </c>
      <c r="C166" s="66">
        <f>B166/B165-1</f>
        <v/>
      </c>
      <c r="D166" s="66">
        <f>(Table16[[#This Row],[Index]]-B154)/B154</f>
        <v/>
      </c>
    </row>
    <row r="167">
      <c r="A167" s="17" t="n">
        <v>31168</v>
      </c>
      <c r="B167" s="58">
        <f>VLOOKUP(Table16[[#This Row],[Date]],database!A:H,4,)</f>
        <v/>
      </c>
      <c r="C167" s="66">
        <f>B167/B166-1</f>
        <v/>
      </c>
      <c r="D167" s="66">
        <f>(Table16[[#This Row],[Index]]-B155)/B155</f>
        <v/>
      </c>
    </row>
    <row r="168">
      <c r="A168" s="17" t="n">
        <v>31199</v>
      </c>
      <c r="B168" s="58">
        <f>VLOOKUP(Table16[[#This Row],[Date]],database!A:H,4,)</f>
        <v/>
      </c>
      <c r="C168" s="66">
        <f>B168/B167-1</f>
        <v/>
      </c>
      <c r="D168" s="66">
        <f>(Table16[[#This Row],[Index]]-B156)/B156</f>
        <v/>
      </c>
    </row>
    <row r="169">
      <c r="A169" s="17" t="n">
        <v>31229</v>
      </c>
      <c r="B169" s="58">
        <f>VLOOKUP(Table16[[#This Row],[Date]],database!A:H,4,)</f>
        <v/>
      </c>
      <c r="C169" s="66">
        <f>B169/B168-1</f>
        <v/>
      </c>
      <c r="D169" s="66">
        <f>(Table16[[#This Row],[Index]]-B157)/B157</f>
        <v/>
      </c>
    </row>
    <row r="170">
      <c r="A170" s="17" t="n">
        <v>31260</v>
      </c>
      <c r="B170" s="58">
        <f>VLOOKUP(Table16[[#This Row],[Date]],database!A:H,4,)</f>
        <v/>
      </c>
      <c r="C170" s="66">
        <f>B170/B169-1</f>
        <v/>
      </c>
      <c r="D170" s="66">
        <f>(Table16[[#This Row],[Index]]-B158)/B158</f>
        <v/>
      </c>
    </row>
    <row r="171">
      <c r="A171" s="17" t="n">
        <v>31291</v>
      </c>
      <c r="B171" s="58">
        <f>VLOOKUP(Table16[[#This Row],[Date]],database!A:H,4,)</f>
        <v/>
      </c>
      <c r="C171" s="66">
        <f>B171/B170-1</f>
        <v/>
      </c>
      <c r="D171" s="66">
        <f>(Table16[[#This Row],[Index]]-B159)/B159</f>
        <v/>
      </c>
    </row>
    <row r="172">
      <c r="A172" s="17" t="n">
        <v>31321</v>
      </c>
      <c r="B172" s="58">
        <f>VLOOKUP(Table16[[#This Row],[Date]],database!A:H,4,)</f>
        <v/>
      </c>
      <c r="C172" s="66">
        <f>B172/B171-1</f>
        <v/>
      </c>
      <c r="D172" s="66">
        <f>(Table16[[#This Row],[Index]]-B160)/B160</f>
        <v/>
      </c>
    </row>
    <row r="173">
      <c r="A173" s="17" t="n">
        <v>31352</v>
      </c>
      <c r="B173" s="58">
        <f>VLOOKUP(Table16[[#This Row],[Date]],database!A:H,4,)</f>
        <v/>
      </c>
      <c r="C173" s="66">
        <f>B173/B172-1</f>
        <v/>
      </c>
      <c r="D173" s="66">
        <f>(Table16[[#This Row],[Index]]-B161)/B161</f>
        <v/>
      </c>
    </row>
    <row r="174">
      <c r="A174" s="17" t="n">
        <v>31382</v>
      </c>
      <c r="B174" s="58">
        <f>VLOOKUP(Table16[[#This Row],[Date]],database!A:H,4,)</f>
        <v/>
      </c>
      <c r="C174" s="66">
        <f>B174/B173-1</f>
        <v/>
      </c>
      <c r="D174" s="66">
        <f>(Table16[[#This Row],[Index]]-B162)/B162</f>
        <v/>
      </c>
    </row>
    <row r="175">
      <c r="A175" s="17" t="n">
        <v>31413</v>
      </c>
      <c r="B175" s="58">
        <f>VLOOKUP(Table16[[#This Row],[Date]],database!A:H,4,)</f>
        <v/>
      </c>
      <c r="C175" s="66">
        <f>B175/B174-1</f>
        <v/>
      </c>
      <c r="D175" s="66">
        <f>(Table16[[#This Row],[Index]]-B163)/B163</f>
        <v/>
      </c>
    </row>
    <row r="176">
      <c r="A176" s="17" t="n">
        <v>31444</v>
      </c>
      <c r="B176" s="58">
        <f>VLOOKUP(Table16[[#This Row],[Date]],database!A:H,4,)</f>
        <v/>
      </c>
      <c r="C176" s="66">
        <f>B176/B175-1</f>
        <v/>
      </c>
      <c r="D176" s="66">
        <f>(Table16[[#This Row],[Index]]-B164)/B164</f>
        <v/>
      </c>
    </row>
    <row r="177">
      <c r="A177" s="17" t="n">
        <v>31472</v>
      </c>
      <c r="B177" s="58">
        <f>VLOOKUP(Table16[[#This Row],[Date]],database!A:H,4,)</f>
        <v/>
      </c>
      <c r="C177" s="66">
        <f>B177/B176-1</f>
        <v/>
      </c>
      <c r="D177" s="66">
        <f>(Table16[[#This Row],[Index]]-B165)/B165</f>
        <v/>
      </c>
    </row>
    <row r="178">
      <c r="A178" s="17" t="n">
        <v>31503</v>
      </c>
      <c r="B178" s="58">
        <f>VLOOKUP(Table16[[#This Row],[Date]],database!A:H,4,)</f>
        <v/>
      </c>
      <c r="C178" s="66">
        <f>B178/B177-1</f>
        <v/>
      </c>
      <c r="D178" s="66">
        <f>(Table16[[#This Row],[Index]]-B166)/B166</f>
        <v/>
      </c>
    </row>
    <row r="179">
      <c r="A179" s="17" t="n">
        <v>31533</v>
      </c>
      <c r="B179" s="58">
        <f>VLOOKUP(Table16[[#This Row],[Date]],database!A:H,4,)</f>
        <v/>
      </c>
      <c r="C179" s="66">
        <f>B179/B178-1</f>
        <v/>
      </c>
      <c r="D179" s="66">
        <f>(Table16[[#This Row],[Index]]-B167)/B167</f>
        <v/>
      </c>
    </row>
    <row r="180">
      <c r="A180" s="17" t="n">
        <v>31564</v>
      </c>
      <c r="B180" s="58">
        <f>VLOOKUP(Table16[[#This Row],[Date]],database!A:H,4,)</f>
        <v/>
      </c>
      <c r="C180" s="66">
        <f>B180/B179-1</f>
        <v/>
      </c>
      <c r="D180" s="66">
        <f>(Table16[[#This Row],[Index]]-B168)/B168</f>
        <v/>
      </c>
    </row>
    <row r="181">
      <c r="A181" s="17" t="n">
        <v>31594</v>
      </c>
      <c r="B181" s="58">
        <f>VLOOKUP(Table16[[#This Row],[Date]],database!A:H,4,)</f>
        <v/>
      </c>
      <c r="C181" s="66">
        <f>B181/B180-1</f>
        <v/>
      </c>
      <c r="D181" s="66">
        <f>(Table16[[#This Row],[Index]]-B169)/B169</f>
        <v/>
      </c>
    </row>
    <row r="182">
      <c r="A182" s="17" t="n">
        <v>31625</v>
      </c>
      <c r="B182" s="58">
        <f>VLOOKUP(Table16[[#This Row],[Date]],database!A:H,4,)</f>
        <v/>
      </c>
      <c r="C182" s="66">
        <f>B182/B181-1</f>
        <v/>
      </c>
      <c r="D182" s="66">
        <f>(Table16[[#This Row],[Index]]-B170)/B170</f>
        <v/>
      </c>
    </row>
    <row r="183">
      <c r="A183" s="17" t="n">
        <v>31656</v>
      </c>
      <c r="B183" s="58">
        <f>VLOOKUP(Table16[[#This Row],[Date]],database!A:H,4,)</f>
        <v/>
      </c>
      <c r="C183" s="66">
        <f>B183/B182-1</f>
        <v/>
      </c>
      <c r="D183" s="66">
        <f>(Table16[[#This Row],[Index]]-B171)/B171</f>
        <v/>
      </c>
    </row>
    <row r="184">
      <c r="A184" s="17" t="n">
        <v>31686</v>
      </c>
      <c r="B184" s="58">
        <f>VLOOKUP(Table16[[#This Row],[Date]],database!A:H,4,)</f>
        <v/>
      </c>
      <c r="C184" s="66">
        <f>B184/B183-1</f>
        <v/>
      </c>
      <c r="D184" s="66">
        <f>(Table16[[#This Row],[Index]]-B172)/B172</f>
        <v/>
      </c>
    </row>
    <row r="185">
      <c r="A185" s="17" t="n">
        <v>31717</v>
      </c>
      <c r="B185" s="58">
        <f>VLOOKUP(Table16[[#This Row],[Date]],database!A:H,4,)</f>
        <v/>
      </c>
      <c r="C185" s="66">
        <f>B185/B184-1</f>
        <v/>
      </c>
      <c r="D185" s="66">
        <f>(Table16[[#This Row],[Index]]-B173)/B173</f>
        <v/>
      </c>
    </row>
    <row r="186">
      <c r="A186" s="17" t="n">
        <v>31747</v>
      </c>
      <c r="B186" s="58">
        <f>VLOOKUP(Table16[[#This Row],[Date]],database!A:H,4,)</f>
        <v/>
      </c>
      <c r="C186" s="66">
        <f>B186/B185-1</f>
        <v/>
      </c>
      <c r="D186" s="66">
        <f>(Table16[[#This Row],[Index]]-B174)/B174</f>
        <v/>
      </c>
    </row>
    <row r="187">
      <c r="A187" s="17" t="n">
        <v>31778</v>
      </c>
      <c r="B187" s="58">
        <f>VLOOKUP(Table16[[#This Row],[Date]],database!A:H,4,)</f>
        <v/>
      </c>
      <c r="C187" s="66">
        <f>B187/B186-1</f>
        <v/>
      </c>
      <c r="D187" s="66">
        <f>(Table16[[#This Row],[Index]]-B175)/B175</f>
        <v/>
      </c>
    </row>
    <row r="188">
      <c r="A188" s="17" t="n">
        <v>31809</v>
      </c>
      <c r="B188" s="58">
        <f>VLOOKUP(Table16[[#This Row],[Date]],database!A:H,4,)</f>
        <v/>
      </c>
      <c r="C188" s="66">
        <f>B188/B187-1</f>
        <v/>
      </c>
      <c r="D188" s="66">
        <f>(Table16[[#This Row],[Index]]-B176)/B176</f>
        <v/>
      </c>
    </row>
    <row r="189">
      <c r="A189" s="17" t="n">
        <v>31837</v>
      </c>
      <c r="B189" s="58">
        <f>VLOOKUP(Table16[[#This Row],[Date]],database!A:H,4,)</f>
        <v/>
      </c>
      <c r="C189" s="66">
        <f>B189/B188-1</f>
        <v/>
      </c>
      <c r="D189" s="66">
        <f>(Table16[[#This Row],[Index]]-B177)/B177</f>
        <v/>
      </c>
    </row>
    <row r="190">
      <c r="A190" s="17" t="n">
        <v>31868</v>
      </c>
      <c r="B190" s="58">
        <f>VLOOKUP(Table16[[#This Row],[Date]],database!A:H,4,)</f>
        <v/>
      </c>
      <c r="C190" s="66">
        <f>B190/B189-1</f>
        <v/>
      </c>
      <c r="D190" s="66">
        <f>(Table16[[#This Row],[Index]]-B178)/B178</f>
        <v/>
      </c>
    </row>
    <row r="191">
      <c r="A191" s="17" t="n">
        <v>31898</v>
      </c>
      <c r="B191" s="58">
        <f>VLOOKUP(Table16[[#This Row],[Date]],database!A:H,4,)</f>
        <v/>
      </c>
      <c r="C191" s="66">
        <f>B191/B190-1</f>
        <v/>
      </c>
      <c r="D191" s="66">
        <f>(Table16[[#This Row],[Index]]-B179)/B179</f>
        <v/>
      </c>
    </row>
    <row r="192">
      <c r="A192" s="17" t="n">
        <v>31929</v>
      </c>
      <c r="B192" s="58">
        <f>VLOOKUP(Table16[[#This Row],[Date]],database!A:H,4,)</f>
        <v/>
      </c>
      <c r="C192" s="66">
        <f>B192/B191-1</f>
        <v/>
      </c>
      <c r="D192" s="66">
        <f>(Table16[[#This Row],[Index]]-B180)/B180</f>
        <v/>
      </c>
    </row>
    <row r="193">
      <c r="A193" s="17" t="n">
        <v>31959</v>
      </c>
      <c r="B193" s="58">
        <f>VLOOKUP(Table16[[#This Row],[Date]],database!A:H,4,)</f>
        <v/>
      </c>
      <c r="C193" s="66">
        <f>B193/B192-1</f>
        <v/>
      </c>
      <c r="D193" s="66">
        <f>(Table16[[#This Row],[Index]]-B181)/B181</f>
        <v/>
      </c>
    </row>
    <row r="194">
      <c r="A194" s="17" t="n">
        <v>31990</v>
      </c>
      <c r="B194" s="58">
        <f>VLOOKUP(Table16[[#This Row],[Date]],database!A:H,4,)</f>
        <v/>
      </c>
      <c r="C194" s="66">
        <f>B194/B193-1</f>
        <v/>
      </c>
      <c r="D194" s="66">
        <f>(Table16[[#This Row],[Index]]-B182)/B182</f>
        <v/>
      </c>
    </row>
    <row r="195">
      <c r="A195" s="17" t="n">
        <v>32021</v>
      </c>
      <c r="B195" s="58">
        <f>VLOOKUP(Table16[[#This Row],[Date]],database!A:H,4,)</f>
        <v/>
      </c>
      <c r="C195" s="66">
        <f>B195/B194-1</f>
        <v/>
      </c>
      <c r="D195" s="66">
        <f>(Table16[[#This Row],[Index]]-B183)/B183</f>
        <v/>
      </c>
    </row>
    <row r="196">
      <c r="A196" s="17" t="n">
        <v>32051</v>
      </c>
      <c r="B196" s="58">
        <f>VLOOKUP(Table16[[#This Row],[Date]],database!A:H,4,)</f>
        <v/>
      </c>
      <c r="C196" s="66">
        <f>B196/B195-1</f>
        <v/>
      </c>
      <c r="D196" s="66">
        <f>(Table16[[#This Row],[Index]]-B184)/B184</f>
        <v/>
      </c>
    </row>
    <row r="197">
      <c r="A197" s="17" t="n">
        <v>32082</v>
      </c>
      <c r="B197" s="58">
        <f>VLOOKUP(Table16[[#This Row],[Date]],database!A:H,4,)</f>
        <v/>
      </c>
      <c r="C197" s="66">
        <f>B197/B196-1</f>
        <v/>
      </c>
      <c r="D197" s="66">
        <f>(Table16[[#This Row],[Index]]-B185)/B185</f>
        <v/>
      </c>
    </row>
    <row r="198">
      <c r="A198" s="17" t="n">
        <v>32112</v>
      </c>
      <c r="B198" s="58">
        <f>VLOOKUP(Table16[[#This Row],[Date]],database!A:H,4,)</f>
        <v/>
      </c>
      <c r="C198" s="66">
        <f>B198/B197-1</f>
        <v/>
      </c>
      <c r="D198" s="66">
        <f>(Table16[[#This Row],[Index]]-B186)/B186</f>
        <v/>
      </c>
    </row>
    <row r="199">
      <c r="A199" s="17" t="n">
        <v>32143</v>
      </c>
      <c r="B199" s="58">
        <f>VLOOKUP(Table16[[#This Row],[Date]],database!A:H,4,)</f>
        <v/>
      </c>
      <c r="C199" s="66">
        <f>B199/B198-1</f>
        <v/>
      </c>
      <c r="D199" s="66">
        <f>(Table16[[#This Row],[Index]]-B187)/B187</f>
        <v/>
      </c>
    </row>
    <row r="200">
      <c r="A200" s="17" t="n">
        <v>32174</v>
      </c>
      <c r="B200" s="58">
        <f>VLOOKUP(Table16[[#This Row],[Date]],database!A:H,4,)</f>
        <v/>
      </c>
      <c r="C200" s="66">
        <f>B200/B199-1</f>
        <v/>
      </c>
      <c r="D200" s="66">
        <f>(Table16[[#This Row],[Index]]-B188)/B188</f>
        <v/>
      </c>
    </row>
    <row r="201">
      <c r="A201" s="17" t="n">
        <v>32203</v>
      </c>
      <c r="B201" s="58">
        <f>VLOOKUP(Table16[[#This Row],[Date]],database!A:H,4,)</f>
        <v/>
      </c>
      <c r="C201" s="66">
        <f>B201/B200-1</f>
        <v/>
      </c>
      <c r="D201" s="66">
        <f>(Table16[[#This Row],[Index]]-B189)/B189</f>
        <v/>
      </c>
    </row>
    <row r="202">
      <c r="A202" s="17" t="n">
        <v>32234</v>
      </c>
      <c r="B202" s="58">
        <f>VLOOKUP(Table16[[#This Row],[Date]],database!A:H,4,)</f>
        <v/>
      </c>
      <c r="C202" s="66">
        <f>B202/B201-1</f>
        <v/>
      </c>
      <c r="D202" s="66">
        <f>(Table16[[#This Row],[Index]]-B190)/B190</f>
        <v/>
      </c>
    </row>
    <row r="203">
      <c r="A203" s="17" t="n">
        <v>32264</v>
      </c>
      <c r="B203" s="58">
        <f>VLOOKUP(Table16[[#This Row],[Date]],database!A:H,4,)</f>
        <v/>
      </c>
      <c r="C203" s="66">
        <f>B203/B202-1</f>
        <v/>
      </c>
      <c r="D203" s="66">
        <f>(Table16[[#This Row],[Index]]-B191)/B191</f>
        <v/>
      </c>
    </row>
    <row r="204">
      <c r="A204" s="17" t="n">
        <v>32295</v>
      </c>
      <c r="B204" s="58">
        <f>VLOOKUP(Table16[[#This Row],[Date]],database!A:H,4,)</f>
        <v/>
      </c>
      <c r="C204" s="66">
        <f>B204/B203-1</f>
        <v/>
      </c>
      <c r="D204" s="66">
        <f>(Table16[[#This Row],[Index]]-B192)/B192</f>
        <v/>
      </c>
    </row>
    <row r="205">
      <c r="A205" s="17" t="n">
        <v>32325</v>
      </c>
      <c r="B205" s="58">
        <f>VLOOKUP(Table16[[#This Row],[Date]],database!A:H,4,)</f>
        <v/>
      </c>
      <c r="C205" s="66">
        <f>B205/B204-1</f>
        <v/>
      </c>
      <c r="D205" s="66">
        <f>(Table16[[#This Row],[Index]]-B193)/B193</f>
        <v/>
      </c>
    </row>
    <row r="206">
      <c r="A206" s="17" t="n">
        <v>32356</v>
      </c>
      <c r="B206" s="58">
        <f>VLOOKUP(Table16[[#This Row],[Date]],database!A:H,4,)</f>
        <v/>
      </c>
      <c r="C206" s="66">
        <f>B206/B205-1</f>
        <v/>
      </c>
      <c r="D206" s="66">
        <f>(Table16[[#This Row],[Index]]-B194)/B194</f>
        <v/>
      </c>
    </row>
    <row r="207">
      <c r="A207" s="17" t="n">
        <v>32387</v>
      </c>
      <c r="B207" s="58">
        <f>VLOOKUP(Table16[[#This Row],[Date]],database!A:H,4,)</f>
        <v/>
      </c>
      <c r="C207" s="66">
        <f>B207/B206-1</f>
        <v/>
      </c>
      <c r="D207" s="66">
        <f>(Table16[[#This Row],[Index]]-B195)/B195</f>
        <v/>
      </c>
    </row>
    <row r="208">
      <c r="A208" s="17" t="n">
        <v>32417</v>
      </c>
      <c r="B208" s="58">
        <f>VLOOKUP(Table16[[#This Row],[Date]],database!A:H,4,)</f>
        <v/>
      </c>
      <c r="C208" s="66">
        <f>B208/B207-1</f>
        <v/>
      </c>
      <c r="D208" s="66">
        <f>(Table16[[#This Row],[Index]]-B196)/B196</f>
        <v/>
      </c>
    </row>
    <row r="209">
      <c r="A209" s="17" t="n">
        <v>32448</v>
      </c>
      <c r="B209" s="58">
        <f>VLOOKUP(Table16[[#This Row],[Date]],database!A:H,4,)</f>
        <v/>
      </c>
      <c r="C209" s="66">
        <f>B209/B208-1</f>
        <v/>
      </c>
      <c r="D209" s="66">
        <f>(Table16[[#This Row],[Index]]-B197)/B197</f>
        <v/>
      </c>
    </row>
    <row r="210">
      <c r="A210" s="17" t="n">
        <v>32478</v>
      </c>
      <c r="B210" s="58">
        <f>VLOOKUP(Table16[[#This Row],[Date]],database!A:H,4,)</f>
        <v/>
      </c>
      <c r="C210" s="66">
        <f>B210/B209-1</f>
        <v/>
      </c>
      <c r="D210" s="66">
        <f>(Table16[[#This Row],[Index]]-B198)/B198</f>
        <v/>
      </c>
    </row>
    <row r="211">
      <c r="A211" s="17" t="n">
        <v>32509</v>
      </c>
      <c r="B211" s="58">
        <f>VLOOKUP(Table16[[#This Row],[Date]],database!A:H,4,)</f>
        <v/>
      </c>
      <c r="C211" s="66">
        <f>B211/B210-1</f>
        <v/>
      </c>
      <c r="D211" s="66">
        <f>(Table16[[#This Row],[Index]]-B199)/B199</f>
        <v/>
      </c>
    </row>
    <row r="212">
      <c r="A212" s="17" t="n">
        <v>32540</v>
      </c>
      <c r="B212" s="58">
        <f>VLOOKUP(Table16[[#This Row],[Date]],database!A:H,4,)</f>
        <v/>
      </c>
      <c r="C212" s="66">
        <f>B212/B211-1</f>
        <v/>
      </c>
      <c r="D212" s="66">
        <f>(Table16[[#This Row],[Index]]-B200)/B200</f>
        <v/>
      </c>
    </row>
    <row r="213">
      <c r="A213" s="17" t="n">
        <v>32568</v>
      </c>
      <c r="B213" s="58">
        <f>VLOOKUP(Table16[[#This Row],[Date]],database!A:H,4,)</f>
        <v/>
      </c>
      <c r="C213" s="66">
        <f>B213/B212-1</f>
        <v/>
      </c>
      <c r="D213" s="66">
        <f>(Table16[[#This Row],[Index]]-B201)/B201</f>
        <v/>
      </c>
    </row>
    <row r="214">
      <c r="A214" s="17" t="n">
        <v>32599</v>
      </c>
      <c r="B214" s="58">
        <f>VLOOKUP(Table16[[#This Row],[Date]],database!A:H,4,)</f>
        <v/>
      </c>
      <c r="C214" s="66">
        <f>B214/B213-1</f>
        <v/>
      </c>
      <c r="D214" s="66">
        <f>(Table16[[#This Row],[Index]]-B202)/B202</f>
        <v/>
      </c>
    </row>
    <row r="215">
      <c r="A215" s="17" t="n">
        <v>32629</v>
      </c>
      <c r="B215" s="58">
        <f>VLOOKUP(Table16[[#This Row],[Date]],database!A:H,4,)</f>
        <v/>
      </c>
      <c r="C215" s="66">
        <f>B215/B214-1</f>
        <v/>
      </c>
      <c r="D215" s="66">
        <f>(Table16[[#This Row],[Index]]-B203)/B203</f>
        <v/>
      </c>
    </row>
    <row r="216">
      <c r="A216" s="17" t="n">
        <v>32660</v>
      </c>
      <c r="B216" s="58">
        <f>VLOOKUP(Table16[[#This Row],[Date]],database!A:H,4,)</f>
        <v/>
      </c>
      <c r="C216" s="66">
        <f>B216/B215-1</f>
        <v/>
      </c>
      <c r="D216" s="66">
        <f>(Table16[[#This Row],[Index]]-B204)/B204</f>
        <v/>
      </c>
    </row>
    <row r="217">
      <c r="A217" s="17" t="n">
        <v>32690</v>
      </c>
      <c r="B217" s="58">
        <f>VLOOKUP(Table16[[#This Row],[Date]],database!A:H,4,)</f>
        <v/>
      </c>
      <c r="C217" s="66">
        <f>B217/B216-1</f>
        <v/>
      </c>
      <c r="D217" s="66">
        <f>(Table16[[#This Row],[Index]]-B205)/B205</f>
        <v/>
      </c>
    </row>
    <row r="218">
      <c r="A218" s="17" t="n">
        <v>32721</v>
      </c>
      <c r="B218" s="58">
        <f>VLOOKUP(Table16[[#This Row],[Date]],database!A:H,4,)</f>
        <v/>
      </c>
      <c r="C218" s="66">
        <f>B218/B217-1</f>
        <v/>
      </c>
      <c r="D218" s="66">
        <f>(Table16[[#This Row],[Index]]-B206)/B206</f>
        <v/>
      </c>
    </row>
    <row r="219">
      <c r="A219" s="17" t="n">
        <v>32752</v>
      </c>
      <c r="B219" s="58">
        <f>VLOOKUP(Table16[[#This Row],[Date]],database!A:H,4,)</f>
        <v/>
      </c>
      <c r="C219" s="66">
        <f>B219/B218-1</f>
        <v/>
      </c>
      <c r="D219" s="66">
        <f>(Table16[[#This Row],[Index]]-B207)/B207</f>
        <v/>
      </c>
    </row>
    <row r="220">
      <c r="A220" s="17" t="n">
        <v>32782</v>
      </c>
      <c r="B220" s="58">
        <f>VLOOKUP(Table16[[#This Row],[Date]],database!A:H,4,)</f>
        <v/>
      </c>
      <c r="C220" s="66">
        <f>B220/B219-1</f>
        <v/>
      </c>
      <c r="D220" s="66">
        <f>(Table16[[#This Row],[Index]]-B208)/B208</f>
        <v/>
      </c>
    </row>
    <row r="221">
      <c r="A221" s="17" t="n">
        <v>32813</v>
      </c>
      <c r="B221" s="58">
        <f>VLOOKUP(Table16[[#This Row],[Date]],database!A:H,4,)</f>
        <v/>
      </c>
      <c r="C221" s="66">
        <f>B221/B220-1</f>
        <v/>
      </c>
      <c r="D221" s="66">
        <f>(Table16[[#This Row],[Index]]-B209)/B209</f>
        <v/>
      </c>
    </row>
    <row r="222">
      <c r="A222" s="17" t="n">
        <v>32843</v>
      </c>
      <c r="B222" s="58">
        <f>VLOOKUP(Table16[[#This Row],[Date]],database!A:H,4,)</f>
        <v/>
      </c>
      <c r="C222" s="66">
        <f>B222/B221-1</f>
        <v/>
      </c>
      <c r="D222" s="66">
        <f>(Table16[[#This Row],[Index]]-B210)/B210</f>
        <v/>
      </c>
    </row>
    <row r="223">
      <c r="A223" s="17" t="n">
        <v>32874</v>
      </c>
      <c r="B223" s="58">
        <f>VLOOKUP(Table16[[#This Row],[Date]],database!A:H,4,)</f>
        <v/>
      </c>
      <c r="C223" s="66">
        <f>B223/B222-1</f>
        <v/>
      </c>
      <c r="D223" s="66">
        <f>(Table16[[#This Row],[Index]]-B211)/B211</f>
        <v/>
      </c>
    </row>
    <row r="224">
      <c r="A224" s="17" t="n">
        <v>32905</v>
      </c>
      <c r="B224" s="58">
        <f>VLOOKUP(Table16[[#This Row],[Date]],database!A:H,4,)</f>
        <v/>
      </c>
      <c r="C224" s="66">
        <f>B224/B223-1</f>
        <v/>
      </c>
      <c r="D224" s="66">
        <f>(Table16[[#This Row],[Index]]-B212)/B212</f>
        <v/>
      </c>
    </row>
    <row r="225">
      <c r="A225" s="17" t="n">
        <v>32933</v>
      </c>
      <c r="B225" s="58">
        <f>VLOOKUP(Table16[[#This Row],[Date]],database!A:H,4,)</f>
        <v/>
      </c>
      <c r="C225" s="66">
        <f>B225/B224-1</f>
        <v/>
      </c>
      <c r="D225" s="66">
        <f>(Table16[[#This Row],[Index]]-B213)/B213</f>
        <v/>
      </c>
    </row>
    <row r="226">
      <c r="A226" s="17" t="n">
        <v>32964</v>
      </c>
      <c r="B226" s="58">
        <f>VLOOKUP(Table16[[#This Row],[Date]],database!A:H,4,)</f>
        <v/>
      </c>
      <c r="C226" s="66">
        <f>B226/B225-1</f>
        <v/>
      </c>
      <c r="D226" s="66">
        <f>(Table16[[#This Row],[Index]]-B214)/B214</f>
        <v/>
      </c>
    </row>
    <row r="227">
      <c r="A227" s="17" t="n">
        <v>32994</v>
      </c>
      <c r="B227" s="58">
        <f>VLOOKUP(Table16[[#This Row],[Date]],database!A:H,4,)</f>
        <v/>
      </c>
      <c r="C227" s="66">
        <f>B227/B226-1</f>
        <v/>
      </c>
      <c r="D227" s="66">
        <f>(Table16[[#This Row],[Index]]-B215)/B215</f>
        <v/>
      </c>
    </row>
    <row r="228">
      <c r="A228" s="17" t="n">
        <v>33025</v>
      </c>
      <c r="B228" s="58">
        <f>VLOOKUP(Table16[[#This Row],[Date]],database!A:H,4,)</f>
        <v/>
      </c>
      <c r="C228" s="66">
        <f>B228/B227-1</f>
        <v/>
      </c>
      <c r="D228" s="66">
        <f>(Table16[[#This Row],[Index]]-B216)/B216</f>
        <v/>
      </c>
    </row>
    <row r="229">
      <c r="A229" s="17" t="n">
        <v>33055</v>
      </c>
      <c r="B229" s="58">
        <f>VLOOKUP(Table16[[#This Row],[Date]],database!A:H,4,)</f>
        <v/>
      </c>
      <c r="C229" s="66">
        <f>B229/B228-1</f>
        <v/>
      </c>
      <c r="D229" s="66">
        <f>(Table16[[#This Row],[Index]]-B217)/B217</f>
        <v/>
      </c>
    </row>
    <row r="230">
      <c r="A230" s="17" t="n">
        <v>33086</v>
      </c>
      <c r="B230" s="58">
        <f>VLOOKUP(Table16[[#This Row],[Date]],database!A:H,4,)</f>
        <v/>
      </c>
      <c r="C230" s="66">
        <f>B230/B229-1</f>
        <v/>
      </c>
      <c r="D230" s="66">
        <f>(Table16[[#This Row],[Index]]-B218)/B218</f>
        <v/>
      </c>
    </row>
    <row r="231">
      <c r="A231" s="17" t="n">
        <v>33117</v>
      </c>
      <c r="B231" s="58">
        <f>VLOOKUP(Table16[[#This Row],[Date]],database!A:H,4,)</f>
        <v/>
      </c>
      <c r="C231" s="66">
        <f>B231/B230-1</f>
        <v/>
      </c>
      <c r="D231" s="66">
        <f>(Table16[[#This Row],[Index]]-B219)/B219</f>
        <v/>
      </c>
    </row>
    <row r="232">
      <c r="A232" s="17" t="n">
        <v>33147</v>
      </c>
      <c r="B232" s="58">
        <f>VLOOKUP(Table16[[#This Row],[Date]],database!A:H,4,)</f>
        <v/>
      </c>
      <c r="C232" s="66">
        <f>B232/B231-1</f>
        <v/>
      </c>
      <c r="D232" s="66">
        <f>(Table16[[#This Row],[Index]]-B220)/B220</f>
        <v/>
      </c>
    </row>
    <row r="233">
      <c r="A233" s="17" t="n">
        <v>33178</v>
      </c>
      <c r="B233" s="58">
        <f>VLOOKUP(Table16[[#This Row],[Date]],database!A:H,4,)</f>
        <v/>
      </c>
      <c r="C233" s="66">
        <f>B233/B232-1</f>
        <v/>
      </c>
      <c r="D233" s="66">
        <f>(Table16[[#This Row],[Index]]-B221)/B221</f>
        <v/>
      </c>
    </row>
    <row r="234">
      <c r="A234" s="17" t="n">
        <v>33208</v>
      </c>
      <c r="B234" s="58">
        <f>VLOOKUP(Table16[[#This Row],[Date]],database!A:H,4,)</f>
        <v/>
      </c>
      <c r="C234" s="66">
        <f>B234/B233-1</f>
        <v/>
      </c>
      <c r="D234" s="66">
        <f>(Table16[[#This Row],[Index]]-B222)/B222</f>
        <v/>
      </c>
    </row>
    <row r="235">
      <c r="A235" s="17" t="n">
        <v>33239</v>
      </c>
      <c r="B235" s="58">
        <f>VLOOKUP(Table16[[#This Row],[Date]],database!A:H,4,)</f>
        <v/>
      </c>
      <c r="C235" s="66">
        <f>B235/B234-1</f>
        <v/>
      </c>
      <c r="D235" s="66">
        <f>(Table16[[#This Row],[Index]]-B223)/B223</f>
        <v/>
      </c>
    </row>
    <row r="236">
      <c r="A236" s="17" t="n">
        <v>33270</v>
      </c>
      <c r="B236" s="58">
        <f>VLOOKUP(Table16[[#This Row],[Date]],database!A:H,4,)</f>
        <v/>
      </c>
      <c r="C236" s="66">
        <f>B236/B235-1</f>
        <v/>
      </c>
      <c r="D236" s="66">
        <f>(Table16[[#This Row],[Index]]-B224)/B224</f>
        <v/>
      </c>
    </row>
    <row r="237">
      <c r="A237" s="17" t="n">
        <v>33298</v>
      </c>
      <c r="B237" s="58">
        <f>VLOOKUP(Table16[[#This Row],[Date]],database!A:H,4,)</f>
        <v/>
      </c>
      <c r="C237" s="66">
        <f>B237/B236-1</f>
        <v/>
      </c>
      <c r="D237" s="66">
        <f>(Table16[[#This Row],[Index]]-B225)/B225</f>
        <v/>
      </c>
    </row>
    <row r="238">
      <c r="A238" s="17" t="n">
        <v>33329</v>
      </c>
      <c r="B238" s="58">
        <f>VLOOKUP(Table16[[#This Row],[Date]],database!A:H,4,)</f>
        <v/>
      </c>
      <c r="C238" s="66">
        <f>B238/B237-1</f>
        <v/>
      </c>
      <c r="D238" s="66">
        <f>(Table16[[#This Row],[Index]]-B226)/B226</f>
        <v/>
      </c>
    </row>
    <row r="239">
      <c r="A239" s="17" t="n">
        <v>33359</v>
      </c>
      <c r="B239" s="58">
        <f>VLOOKUP(Table16[[#This Row],[Date]],database!A:H,4,)</f>
        <v/>
      </c>
      <c r="C239" s="66">
        <f>B239/B238-1</f>
        <v/>
      </c>
      <c r="D239" s="66">
        <f>(Table16[[#This Row],[Index]]-B227)/B227</f>
        <v/>
      </c>
    </row>
    <row r="240">
      <c r="A240" s="17" t="n">
        <v>33390</v>
      </c>
      <c r="B240" s="58">
        <f>VLOOKUP(Table16[[#This Row],[Date]],database!A:H,4,)</f>
        <v/>
      </c>
      <c r="C240" s="66">
        <f>B240/B239-1</f>
        <v/>
      </c>
      <c r="D240" s="66">
        <f>(Table16[[#This Row],[Index]]-B228)/B228</f>
        <v/>
      </c>
    </row>
    <row r="241">
      <c r="A241" s="17" t="n">
        <v>33420</v>
      </c>
      <c r="B241" s="58">
        <f>VLOOKUP(Table16[[#This Row],[Date]],database!A:H,4,)</f>
        <v/>
      </c>
      <c r="C241" s="66">
        <f>B241/B240-1</f>
        <v/>
      </c>
      <c r="D241" s="66">
        <f>(Table16[[#This Row],[Index]]-B229)/B229</f>
        <v/>
      </c>
    </row>
    <row r="242">
      <c r="A242" s="17" t="n">
        <v>33451</v>
      </c>
      <c r="B242" s="58">
        <f>VLOOKUP(Table16[[#This Row],[Date]],database!A:H,4,)</f>
        <v/>
      </c>
      <c r="C242" s="66">
        <f>B242/B241-1</f>
        <v/>
      </c>
      <c r="D242" s="66">
        <f>(Table16[[#This Row],[Index]]-B230)/B230</f>
        <v/>
      </c>
    </row>
    <row r="243">
      <c r="A243" s="17" t="n">
        <v>33482</v>
      </c>
      <c r="B243" s="58">
        <f>VLOOKUP(Table16[[#This Row],[Date]],database!A:H,4,)</f>
        <v/>
      </c>
      <c r="C243" s="66">
        <f>B243/B242-1</f>
        <v/>
      </c>
      <c r="D243" s="66">
        <f>(Table16[[#This Row],[Index]]-B231)/B231</f>
        <v/>
      </c>
    </row>
    <row r="244">
      <c r="A244" s="17" t="n">
        <v>33512</v>
      </c>
      <c r="B244" s="58">
        <f>VLOOKUP(Table16[[#This Row],[Date]],database!A:H,4,)</f>
        <v/>
      </c>
      <c r="C244" s="66">
        <f>B244/B243-1</f>
        <v/>
      </c>
      <c r="D244" s="66">
        <f>(Table16[[#This Row],[Index]]-B232)/B232</f>
        <v/>
      </c>
    </row>
    <row r="245">
      <c r="A245" s="17" t="n">
        <v>33543</v>
      </c>
      <c r="B245" s="58">
        <f>VLOOKUP(Table16[[#This Row],[Date]],database!A:H,4,)</f>
        <v/>
      </c>
      <c r="C245" s="66">
        <f>B245/B244-1</f>
        <v/>
      </c>
      <c r="D245" s="66">
        <f>(Table16[[#This Row],[Index]]-B233)/B233</f>
        <v/>
      </c>
    </row>
    <row r="246">
      <c r="A246" s="17" t="n">
        <v>33573</v>
      </c>
      <c r="B246" s="58">
        <f>VLOOKUP(Table16[[#This Row],[Date]],database!A:H,4,)</f>
        <v/>
      </c>
      <c r="C246" s="66">
        <f>B246/B245-1</f>
        <v/>
      </c>
      <c r="D246" s="66">
        <f>(Table16[[#This Row],[Index]]-B234)/B234</f>
        <v/>
      </c>
    </row>
    <row r="247">
      <c r="A247" s="17" t="n">
        <v>33604</v>
      </c>
      <c r="B247" s="58">
        <f>VLOOKUP(Table16[[#This Row],[Date]],database!A:H,4,)</f>
        <v/>
      </c>
      <c r="C247" s="66">
        <f>B247/B246-1</f>
        <v/>
      </c>
      <c r="D247" s="66">
        <f>(Table16[[#This Row],[Index]]-B235)/B235</f>
        <v/>
      </c>
    </row>
    <row r="248">
      <c r="A248" s="17" t="n">
        <v>33635</v>
      </c>
      <c r="B248" s="58">
        <f>VLOOKUP(Table16[[#This Row],[Date]],database!A:H,4,)</f>
        <v/>
      </c>
      <c r="C248" s="66">
        <f>B248/B247-1</f>
        <v/>
      </c>
      <c r="D248" s="66">
        <f>(Table16[[#This Row],[Index]]-B236)/B236</f>
        <v/>
      </c>
    </row>
    <row r="249">
      <c r="A249" s="17" t="n">
        <v>33664</v>
      </c>
      <c r="B249" s="58">
        <f>VLOOKUP(Table16[[#This Row],[Date]],database!A:H,4,)</f>
        <v/>
      </c>
      <c r="C249" s="66">
        <f>B249/B248-1</f>
        <v/>
      </c>
      <c r="D249" s="66">
        <f>(Table16[[#This Row],[Index]]-B237)/B237</f>
        <v/>
      </c>
    </row>
    <row r="250">
      <c r="A250" s="17" t="n">
        <v>33695</v>
      </c>
      <c r="B250" s="58">
        <f>VLOOKUP(Table16[[#This Row],[Date]],database!A:H,4,)</f>
        <v/>
      </c>
      <c r="C250" s="66">
        <f>B250/B249-1</f>
        <v/>
      </c>
      <c r="D250" s="66">
        <f>(Table16[[#This Row],[Index]]-B238)/B238</f>
        <v/>
      </c>
    </row>
    <row r="251">
      <c r="A251" s="17" t="n">
        <v>33725</v>
      </c>
      <c r="B251" s="58">
        <f>VLOOKUP(Table16[[#This Row],[Date]],database!A:H,4,)</f>
        <v/>
      </c>
      <c r="C251" s="66">
        <f>B251/B250-1</f>
        <v/>
      </c>
      <c r="D251" s="66">
        <f>(Table16[[#This Row],[Index]]-B239)/B239</f>
        <v/>
      </c>
    </row>
    <row r="252">
      <c r="A252" s="17" t="n">
        <v>33756</v>
      </c>
      <c r="B252" s="58">
        <f>VLOOKUP(Table16[[#This Row],[Date]],database!A:H,4,)</f>
        <v/>
      </c>
      <c r="C252" s="66">
        <f>B252/B251-1</f>
        <v/>
      </c>
      <c r="D252" s="66">
        <f>(Table16[[#This Row],[Index]]-B240)/B240</f>
        <v/>
      </c>
    </row>
    <row r="253">
      <c r="A253" s="17" t="n">
        <v>33786</v>
      </c>
      <c r="B253" s="58">
        <f>VLOOKUP(Table16[[#This Row],[Date]],database!A:H,4,)</f>
        <v/>
      </c>
      <c r="C253" s="66">
        <f>B253/B252-1</f>
        <v/>
      </c>
      <c r="D253" s="66">
        <f>(Table16[[#This Row],[Index]]-B241)/B241</f>
        <v/>
      </c>
    </row>
    <row r="254">
      <c r="A254" s="17" t="n">
        <v>33817</v>
      </c>
      <c r="B254" s="58">
        <f>VLOOKUP(Table16[[#This Row],[Date]],database!A:H,4,)</f>
        <v/>
      </c>
      <c r="C254" s="66">
        <f>B254/B253-1</f>
        <v/>
      </c>
      <c r="D254" s="66">
        <f>(Table16[[#This Row],[Index]]-B242)/B242</f>
        <v/>
      </c>
    </row>
    <row r="255">
      <c r="A255" s="17" t="n">
        <v>33848</v>
      </c>
      <c r="B255" s="58">
        <f>VLOOKUP(Table16[[#This Row],[Date]],database!A:H,4,)</f>
        <v/>
      </c>
      <c r="C255" s="66">
        <f>B255/B254-1</f>
        <v/>
      </c>
      <c r="D255" s="66">
        <f>(Table16[[#This Row],[Index]]-B243)/B243</f>
        <v/>
      </c>
    </row>
    <row r="256">
      <c r="A256" s="17" t="n">
        <v>33878</v>
      </c>
      <c r="B256" s="58">
        <f>VLOOKUP(Table16[[#This Row],[Date]],database!A:H,4,)</f>
        <v/>
      </c>
      <c r="C256" s="66">
        <f>B256/B255-1</f>
        <v/>
      </c>
      <c r="D256" s="66">
        <f>(Table16[[#This Row],[Index]]-B244)/B244</f>
        <v/>
      </c>
    </row>
    <row r="257">
      <c r="A257" s="17" t="n">
        <v>33909</v>
      </c>
      <c r="B257" s="58">
        <f>VLOOKUP(Table16[[#This Row],[Date]],database!A:H,4,)</f>
        <v/>
      </c>
      <c r="C257" s="66">
        <f>B257/B256-1</f>
        <v/>
      </c>
      <c r="D257" s="66">
        <f>(Table16[[#This Row],[Index]]-B245)/B245</f>
        <v/>
      </c>
    </row>
    <row r="258">
      <c r="A258" s="17" t="n">
        <v>33939</v>
      </c>
      <c r="B258" s="58">
        <f>VLOOKUP(Table16[[#This Row],[Date]],database!A:H,4,)</f>
        <v/>
      </c>
      <c r="C258" s="66">
        <f>B258/B257-1</f>
        <v/>
      </c>
      <c r="D258" s="66">
        <f>(Table16[[#This Row],[Index]]-B246)/B246</f>
        <v/>
      </c>
    </row>
    <row r="259">
      <c r="A259" s="17" t="n">
        <v>33970</v>
      </c>
      <c r="B259" s="58">
        <f>VLOOKUP(Table16[[#This Row],[Date]],database!A:H,4,)</f>
        <v/>
      </c>
      <c r="C259" s="66">
        <f>B259/B258-1</f>
        <v/>
      </c>
      <c r="D259" s="66">
        <f>(Table16[[#This Row],[Index]]-B247)/B247</f>
        <v/>
      </c>
    </row>
    <row r="260">
      <c r="A260" s="17" t="n">
        <v>34001</v>
      </c>
      <c r="B260" s="58">
        <f>VLOOKUP(Table16[[#This Row],[Date]],database!A:H,4,)</f>
        <v/>
      </c>
      <c r="C260" s="66">
        <f>B260/B259-1</f>
        <v/>
      </c>
      <c r="D260" s="66">
        <f>(Table16[[#This Row],[Index]]-B248)/B248</f>
        <v/>
      </c>
    </row>
    <row r="261">
      <c r="A261" s="17" t="n">
        <v>34029</v>
      </c>
      <c r="B261" s="58">
        <f>VLOOKUP(Table16[[#This Row],[Date]],database!A:H,4,)</f>
        <v/>
      </c>
      <c r="C261" s="66">
        <f>B261/B260-1</f>
        <v/>
      </c>
      <c r="D261" s="66">
        <f>(Table16[[#This Row],[Index]]-B249)/B249</f>
        <v/>
      </c>
    </row>
    <row r="262">
      <c r="A262" s="17" t="n">
        <v>34060</v>
      </c>
      <c r="B262" s="58">
        <f>VLOOKUP(Table16[[#This Row],[Date]],database!A:H,4,)</f>
        <v/>
      </c>
      <c r="C262" s="66">
        <f>B262/B261-1</f>
        <v/>
      </c>
      <c r="D262" s="66">
        <f>(Table16[[#This Row],[Index]]-B250)/B250</f>
        <v/>
      </c>
    </row>
    <row r="263">
      <c r="A263" s="17" t="n">
        <v>34090</v>
      </c>
      <c r="B263" s="58">
        <f>VLOOKUP(Table16[[#This Row],[Date]],database!A:H,4,)</f>
        <v/>
      </c>
      <c r="C263" s="66">
        <f>B263/B262-1</f>
        <v/>
      </c>
      <c r="D263" s="66">
        <f>(Table16[[#This Row],[Index]]-B251)/B251</f>
        <v/>
      </c>
    </row>
    <row r="264">
      <c r="A264" s="17" t="n">
        <v>34121</v>
      </c>
      <c r="B264" s="58">
        <f>VLOOKUP(Table16[[#This Row],[Date]],database!A:H,4,)</f>
        <v/>
      </c>
      <c r="C264" s="66">
        <f>B264/B263-1</f>
        <v/>
      </c>
      <c r="D264" s="66">
        <f>(Table16[[#This Row],[Index]]-B252)/B252</f>
        <v/>
      </c>
    </row>
    <row r="265">
      <c r="A265" s="17" t="n">
        <v>34151</v>
      </c>
      <c r="B265" s="58">
        <f>VLOOKUP(Table16[[#This Row],[Date]],database!A:H,4,)</f>
        <v/>
      </c>
      <c r="C265" s="66">
        <f>B265/B264-1</f>
        <v/>
      </c>
      <c r="D265" s="66">
        <f>(Table16[[#This Row],[Index]]-B253)/B253</f>
        <v/>
      </c>
    </row>
    <row r="266">
      <c r="A266" s="17" t="n">
        <v>34182</v>
      </c>
      <c r="B266" s="58">
        <f>VLOOKUP(Table16[[#This Row],[Date]],database!A:H,4,)</f>
        <v/>
      </c>
      <c r="C266" s="66">
        <f>B266/B265-1</f>
        <v/>
      </c>
      <c r="D266" s="66">
        <f>(Table16[[#This Row],[Index]]-B254)/B254</f>
        <v/>
      </c>
    </row>
    <row r="267">
      <c r="A267" s="17" t="n">
        <v>34213</v>
      </c>
      <c r="B267" s="58">
        <f>VLOOKUP(Table16[[#This Row],[Date]],database!A:H,4,)</f>
        <v/>
      </c>
      <c r="C267" s="66">
        <f>B267/B266-1</f>
        <v/>
      </c>
      <c r="D267" s="66">
        <f>(Table16[[#This Row],[Index]]-B255)/B255</f>
        <v/>
      </c>
    </row>
    <row r="268">
      <c r="A268" s="17" t="n">
        <v>34243</v>
      </c>
      <c r="B268" s="58">
        <f>VLOOKUP(Table16[[#This Row],[Date]],database!A:H,4,)</f>
        <v/>
      </c>
      <c r="C268" s="66">
        <f>B268/B267-1</f>
        <v/>
      </c>
      <c r="D268" s="66">
        <f>(Table16[[#This Row],[Index]]-B256)/B256</f>
        <v/>
      </c>
    </row>
    <row r="269">
      <c r="A269" s="17" t="n">
        <v>34274</v>
      </c>
      <c r="B269" s="58">
        <f>VLOOKUP(Table16[[#This Row],[Date]],database!A:H,4,)</f>
        <v/>
      </c>
      <c r="C269" s="66">
        <f>B269/B268-1</f>
        <v/>
      </c>
      <c r="D269" s="66">
        <f>(Table16[[#This Row],[Index]]-B257)/B257</f>
        <v/>
      </c>
    </row>
    <row r="270">
      <c r="A270" s="17" t="n">
        <v>34304</v>
      </c>
      <c r="B270" s="58">
        <f>VLOOKUP(Table16[[#This Row],[Date]],database!A:H,4,)</f>
        <v/>
      </c>
      <c r="C270" s="66">
        <f>B270/B269-1</f>
        <v/>
      </c>
      <c r="D270" s="66">
        <f>(Table16[[#This Row],[Index]]-B258)/B258</f>
        <v/>
      </c>
    </row>
    <row r="271">
      <c r="A271" s="17" t="n">
        <v>34335</v>
      </c>
      <c r="B271" s="58">
        <f>VLOOKUP(Table16[[#This Row],[Date]],database!A:H,4,)</f>
        <v/>
      </c>
      <c r="C271" s="66">
        <f>B271/B270-1</f>
        <v/>
      </c>
      <c r="D271" s="66">
        <f>(Table16[[#This Row],[Index]]-B259)/B259</f>
        <v/>
      </c>
    </row>
    <row r="272">
      <c r="A272" s="17" t="n">
        <v>34366</v>
      </c>
      <c r="B272" s="58">
        <f>VLOOKUP(Table16[[#This Row],[Date]],database!A:H,4,)</f>
        <v/>
      </c>
      <c r="C272" s="66">
        <f>B272/B271-1</f>
        <v/>
      </c>
      <c r="D272" s="66">
        <f>(Table16[[#This Row],[Index]]-B260)/B260</f>
        <v/>
      </c>
    </row>
    <row r="273">
      <c r="A273" s="17" t="n">
        <v>34394</v>
      </c>
      <c r="B273" s="58">
        <f>VLOOKUP(Table16[[#This Row],[Date]],database!A:H,4,)</f>
        <v/>
      </c>
      <c r="C273" s="66">
        <f>B273/B272-1</f>
        <v/>
      </c>
      <c r="D273" s="66">
        <f>(Table16[[#This Row],[Index]]-B261)/B261</f>
        <v/>
      </c>
    </row>
    <row r="274">
      <c r="A274" s="17" t="n">
        <v>34425</v>
      </c>
      <c r="B274" s="58">
        <f>VLOOKUP(Table16[[#This Row],[Date]],database!A:H,4,)</f>
        <v/>
      </c>
      <c r="C274" s="66">
        <f>B274/B273-1</f>
        <v/>
      </c>
      <c r="D274" s="66">
        <f>(Table16[[#This Row],[Index]]-B262)/B262</f>
        <v/>
      </c>
    </row>
    <row r="275">
      <c r="A275" s="17" t="n">
        <v>34455</v>
      </c>
      <c r="B275" s="58">
        <f>VLOOKUP(Table16[[#This Row],[Date]],database!A:H,4,)</f>
        <v/>
      </c>
      <c r="C275" s="66">
        <f>B275/B274-1</f>
        <v/>
      </c>
      <c r="D275" s="66">
        <f>(Table16[[#This Row],[Index]]-B263)/B263</f>
        <v/>
      </c>
    </row>
    <row r="276">
      <c r="A276" s="17" t="n">
        <v>34486</v>
      </c>
      <c r="B276" s="58">
        <f>VLOOKUP(Table16[[#This Row],[Date]],database!A:H,4,)</f>
        <v/>
      </c>
      <c r="C276" s="66">
        <f>B276/B275-1</f>
        <v/>
      </c>
      <c r="D276" s="66">
        <f>(Table16[[#This Row],[Index]]-B264)/B264</f>
        <v/>
      </c>
    </row>
    <row r="277">
      <c r="A277" s="17" t="n">
        <v>34516</v>
      </c>
      <c r="B277" s="58">
        <f>VLOOKUP(Table16[[#This Row],[Date]],database!A:H,4,)</f>
        <v/>
      </c>
      <c r="C277" s="66">
        <f>B277/B276-1</f>
        <v/>
      </c>
      <c r="D277" s="66">
        <f>(Table16[[#This Row],[Index]]-B265)/B265</f>
        <v/>
      </c>
    </row>
    <row r="278">
      <c r="A278" s="17" t="n">
        <v>34547</v>
      </c>
      <c r="B278" s="58">
        <f>VLOOKUP(Table16[[#This Row],[Date]],database!A:H,4,)</f>
        <v/>
      </c>
      <c r="C278" s="66">
        <f>B278/B277-1</f>
        <v/>
      </c>
      <c r="D278" s="66">
        <f>(Table16[[#This Row],[Index]]-B266)/B266</f>
        <v/>
      </c>
    </row>
    <row r="279">
      <c r="A279" s="17" t="n">
        <v>34578</v>
      </c>
      <c r="B279" s="58">
        <f>VLOOKUP(Table16[[#This Row],[Date]],database!A:H,4,)</f>
        <v/>
      </c>
      <c r="C279" s="66">
        <f>B279/B278-1</f>
        <v/>
      </c>
      <c r="D279" s="66">
        <f>(Table16[[#This Row],[Index]]-B267)/B267</f>
        <v/>
      </c>
    </row>
    <row r="280">
      <c r="A280" s="17" t="n">
        <v>34608</v>
      </c>
      <c r="B280" s="58">
        <f>VLOOKUP(Table16[[#This Row],[Date]],database!A:H,4,)</f>
        <v/>
      </c>
      <c r="C280" s="66">
        <f>B280/B279-1</f>
        <v/>
      </c>
      <c r="D280" s="66">
        <f>(Table16[[#This Row],[Index]]-B268)/B268</f>
        <v/>
      </c>
    </row>
    <row r="281">
      <c r="A281" s="17" t="n">
        <v>34639</v>
      </c>
      <c r="B281" s="58">
        <f>VLOOKUP(Table16[[#This Row],[Date]],database!A:H,4,)</f>
        <v/>
      </c>
      <c r="C281" s="66">
        <f>B281/B280-1</f>
        <v/>
      </c>
      <c r="D281" s="66">
        <f>(Table16[[#This Row],[Index]]-B269)/B269</f>
        <v/>
      </c>
    </row>
    <row r="282">
      <c r="A282" s="17" t="n">
        <v>34669</v>
      </c>
      <c r="B282" s="58">
        <f>VLOOKUP(Table16[[#This Row],[Date]],database!A:H,4,)</f>
        <v/>
      </c>
      <c r="C282" s="66">
        <f>B282/B281-1</f>
        <v/>
      </c>
      <c r="D282" s="66">
        <f>(Table16[[#This Row],[Index]]-B270)/B270</f>
        <v/>
      </c>
    </row>
    <row r="283">
      <c r="A283" s="17" t="n">
        <v>34700</v>
      </c>
      <c r="B283" s="58">
        <f>VLOOKUP(Table16[[#This Row],[Date]],database!A:H,4,)</f>
        <v/>
      </c>
      <c r="C283" s="66">
        <f>B283/B282-1</f>
        <v/>
      </c>
      <c r="D283" s="66">
        <f>(Table16[[#This Row],[Index]]-B271)/B271</f>
        <v/>
      </c>
    </row>
    <row r="284">
      <c r="A284" s="17" t="n">
        <v>34731</v>
      </c>
      <c r="B284" s="58">
        <f>VLOOKUP(Table16[[#This Row],[Date]],database!A:H,4,)</f>
        <v/>
      </c>
      <c r="C284" s="66">
        <f>B284/B283-1</f>
        <v/>
      </c>
      <c r="D284" s="66">
        <f>(Table16[[#This Row],[Index]]-B272)/B272</f>
        <v/>
      </c>
    </row>
    <row r="285">
      <c r="A285" s="17" t="n">
        <v>34759</v>
      </c>
      <c r="B285" s="58">
        <f>VLOOKUP(Table16[[#This Row],[Date]],database!A:H,4,)</f>
        <v/>
      </c>
      <c r="C285" s="66">
        <f>B285/B284-1</f>
        <v/>
      </c>
      <c r="D285" s="66">
        <f>(Table16[[#This Row],[Index]]-B273)/B273</f>
        <v/>
      </c>
    </row>
    <row r="286">
      <c r="A286" s="17" t="n">
        <v>34790</v>
      </c>
      <c r="B286" s="58">
        <f>VLOOKUP(Table16[[#This Row],[Date]],database!A:H,4,)</f>
        <v/>
      </c>
      <c r="C286" s="66">
        <f>B286/B285-1</f>
        <v/>
      </c>
      <c r="D286" s="66">
        <f>(Table16[[#This Row],[Index]]-B274)/B274</f>
        <v/>
      </c>
    </row>
    <row r="287">
      <c r="A287" s="17" t="n">
        <v>34820</v>
      </c>
      <c r="B287" s="58">
        <f>VLOOKUP(Table16[[#This Row],[Date]],database!A:H,4,)</f>
        <v/>
      </c>
      <c r="C287" s="66">
        <f>B287/B286-1</f>
        <v/>
      </c>
      <c r="D287" s="66">
        <f>(Table16[[#This Row],[Index]]-B275)/B275</f>
        <v/>
      </c>
    </row>
    <row r="288">
      <c r="A288" s="17" t="n">
        <v>34851</v>
      </c>
      <c r="B288" s="58">
        <f>VLOOKUP(Table16[[#This Row],[Date]],database!A:H,4,)</f>
        <v/>
      </c>
      <c r="C288" s="66">
        <f>B288/B287-1</f>
        <v/>
      </c>
      <c r="D288" s="66">
        <f>(Table16[[#This Row],[Index]]-B276)/B276</f>
        <v/>
      </c>
    </row>
    <row r="289">
      <c r="A289" s="17" t="n">
        <v>34881</v>
      </c>
      <c r="B289" s="58">
        <f>VLOOKUP(Table16[[#This Row],[Date]],database!A:H,4,)</f>
        <v/>
      </c>
      <c r="C289" s="66">
        <f>B289/B288-1</f>
        <v/>
      </c>
      <c r="D289" s="66">
        <f>(Table16[[#This Row],[Index]]-B277)/B277</f>
        <v/>
      </c>
    </row>
    <row r="290">
      <c r="A290" s="17" t="n">
        <v>34912</v>
      </c>
      <c r="B290" s="58">
        <f>VLOOKUP(Table16[[#This Row],[Date]],database!A:H,4,)</f>
        <v/>
      </c>
      <c r="C290" s="66">
        <f>B290/B289-1</f>
        <v/>
      </c>
      <c r="D290" s="66">
        <f>(Table16[[#This Row],[Index]]-B278)/B278</f>
        <v/>
      </c>
    </row>
    <row r="291">
      <c r="A291" s="17" t="n">
        <v>34943</v>
      </c>
      <c r="B291" s="58">
        <f>VLOOKUP(Table16[[#This Row],[Date]],database!A:H,4,)</f>
        <v/>
      </c>
      <c r="C291" s="66">
        <f>B291/B290-1</f>
        <v/>
      </c>
      <c r="D291" s="66">
        <f>(Table16[[#This Row],[Index]]-B279)/B279</f>
        <v/>
      </c>
    </row>
    <row r="292">
      <c r="A292" s="17" t="n">
        <v>34973</v>
      </c>
      <c r="B292" s="58">
        <f>VLOOKUP(Table16[[#This Row],[Date]],database!A:H,4,)</f>
        <v/>
      </c>
      <c r="C292" s="66">
        <f>B292/B291-1</f>
        <v/>
      </c>
      <c r="D292" s="66">
        <f>(Table16[[#This Row],[Index]]-B280)/B280</f>
        <v/>
      </c>
    </row>
    <row r="293">
      <c r="A293" s="17" t="n">
        <v>35004</v>
      </c>
      <c r="B293" s="58">
        <f>VLOOKUP(Table16[[#This Row],[Date]],database!A:H,4,)</f>
        <v/>
      </c>
      <c r="C293" s="66">
        <f>B293/B292-1</f>
        <v/>
      </c>
      <c r="D293" s="66">
        <f>(Table16[[#This Row],[Index]]-B281)/B281</f>
        <v/>
      </c>
    </row>
    <row r="294">
      <c r="A294" s="17" t="n">
        <v>35034</v>
      </c>
      <c r="B294" s="58">
        <f>VLOOKUP(Table16[[#This Row],[Date]],database!A:H,4,)</f>
        <v/>
      </c>
      <c r="C294" s="66">
        <f>B294/B293-1</f>
        <v/>
      </c>
      <c r="D294" s="66">
        <f>(Table16[[#This Row],[Index]]-B282)/B282</f>
        <v/>
      </c>
    </row>
    <row r="295">
      <c r="A295" s="17" t="n">
        <v>35065</v>
      </c>
      <c r="B295" s="58">
        <f>VLOOKUP(Table16[[#This Row],[Date]],database!A:H,4,)</f>
        <v/>
      </c>
      <c r="C295" s="66">
        <f>B295/B294-1</f>
        <v/>
      </c>
      <c r="D295" s="66">
        <f>(Table16[[#This Row],[Index]]-B283)/B283</f>
        <v/>
      </c>
    </row>
    <row r="296">
      <c r="A296" s="17" t="n">
        <v>35096</v>
      </c>
      <c r="B296" s="58">
        <f>VLOOKUP(Table16[[#This Row],[Date]],database!A:H,4,)</f>
        <v/>
      </c>
      <c r="C296" s="66">
        <f>B296/B295-1</f>
        <v/>
      </c>
      <c r="D296" s="66">
        <f>(Table16[[#This Row],[Index]]-B284)/B284</f>
        <v/>
      </c>
    </row>
    <row r="297">
      <c r="A297" s="17" t="n">
        <v>35125</v>
      </c>
      <c r="B297" s="58">
        <f>VLOOKUP(Table16[[#This Row],[Date]],database!A:H,4,)</f>
        <v/>
      </c>
      <c r="C297" s="66">
        <f>B297/B296-1</f>
        <v/>
      </c>
      <c r="D297" s="66">
        <f>(Table16[[#This Row],[Index]]-B285)/B285</f>
        <v/>
      </c>
    </row>
    <row r="298">
      <c r="A298" s="17" t="n">
        <v>35156</v>
      </c>
      <c r="B298" s="58">
        <f>VLOOKUP(Table16[[#This Row],[Date]],database!A:H,4,)</f>
        <v/>
      </c>
      <c r="C298" s="66">
        <f>B298/B297-1</f>
        <v/>
      </c>
      <c r="D298" s="66">
        <f>(Table16[[#This Row],[Index]]-B286)/B286</f>
        <v/>
      </c>
    </row>
    <row r="299">
      <c r="A299" s="17" t="n">
        <v>35186</v>
      </c>
      <c r="B299" s="58">
        <f>VLOOKUP(Table16[[#This Row],[Date]],database!A:H,4,)</f>
        <v/>
      </c>
      <c r="C299" s="66">
        <f>B299/B298-1</f>
        <v/>
      </c>
      <c r="D299" s="66">
        <f>(Table16[[#This Row],[Index]]-B287)/B287</f>
        <v/>
      </c>
    </row>
    <row r="300">
      <c r="A300" s="17" t="n">
        <v>35217</v>
      </c>
      <c r="B300" s="58">
        <f>VLOOKUP(Table16[[#This Row],[Date]],database!A:H,4,)</f>
        <v/>
      </c>
      <c r="C300" s="66">
        <f>B300/B299-1</f>
        <v/>
      </c>
      <c r="D300" s="66">
        <f>(Table16[[#This Row],[Index]]-B288)/B288</f>
        <v/>
      </c>
    </row>
    <row r="301">
      <c r="A301" s="17" t="n">
        <v>35247</v>
      </c>
      <c r="B301" s="58">
        <f>VLOOKUP(Table16[[#This Row],[Date]],database!A:H,4,)</f>
        <v/>
      </c>
      <c r="C301" s="66">
        <f>B301/B300-1</f>
        <v/>
      </c>
      <c r="D301" s="66">
        <f>(Table16[[#This Row],[Index]]-B289)/B289</f>
        <v/>
      </c>
    </row>
    <row r="302">
      <c r="A302" s="17" t="n">
        <v>35278</v>
      </c>
      <c r="B302" s="58">
        <f>VLOOKUP(Table16[[#This Row],[Date]],database!A:H,4,)</f>
        <v/>
      </c>
      <c r="C302" s="66">
        <f>B302/B301-1</f>
        <v/>
      </c>
      <c r="D302" s="66">
        <f>(Table16[[#This Row],[Index]]-B290)/B290</f>
        <v/>
      </c>
    </row>
    <row r="303">
      <c r="A303" s="17" t="n">
        <v>35309</v>
      </c>
      <c r="B303" s="58">
        <f>VLOOKUP(Table16[[#This Row],[Date]],database!A:H,4,)</f>
        <v/>
      </c>
      <c r="C303" s="66">
        <f>B303/B302-1</f>
        <v/>
      </c>
      <c r="D303" s="66">
        <f>(Table16[[#This Row],[Index]]-B291)/B291</f>
        <v/>
      </c>
    </row>
    <row r="304">
      <c r="A304" s="17" t="n">
        <v>35339</v>
      </c>
      <c r="B304" s="58">
        <f>VLOOKUP(Table16[[#This Row],[Date]],database!A:H,4,)</f>
        <v/>
      </c>
      <c r="C304" s="66">
        <f>B304/B303-1</f>
        <v/>
      </c>
      <c r="D304" s="66">
        <f>(Table16[[#This Row],[Index]]-B292)/B292</f>
        <v/>
      </c>
    </row>
    <row r="305">
      <c r="A305" s="17" t="n">
        <v>35370</v>
      </c>
      <c r="B305" s="58">
        <f>VLOOKUP(Table16[[#This Row],[Date]],database!A:H,4,)</f>
        <v/>
      </c>
      <c r="C305" s="66">
        <f>B305/B304-1</f>
        <v/>
      </c>
      <c r="D305" s="66">
        <f>(Table16[[#This Row],[Index]]-B293)/B293</f>
        <v/>
      </c>
    </row>
    <row r="306">
      <c r="A306" s="17" t="n">
        <v>35400</v>
      </c>
      <c r="B306" s="58">
        <f>VLOOKUP(Table16[[#This Row],[Date]],database!A:H,4,)</f>
        <v/>
      </c>
      <c r="C306" s="66">
        <f>B306/B305-1</f>
        <v/>
      </c>
      <c r="D306" s="66">
        <f>(Table16[[#This Row],[Index]]-B294)/B294</f>
        <v/>
      </c>
    </row>
    <row r="307">
      <c r="A307" s="17" t="n">
        <v>35431</v>
      </c>
      <c r="B307" s="58">
        <f>VLOOKUP(Table16[[#This Row],[Date]],database!A:H,4,)</f>
        <v/>
      </c>
      <c r="C307" s="66">
        <f>B307/B306-1</f>
        <v/>
      </c>
      <c r="D307" s="66">
        <f>(Table16[[#This Row],[Index]]-B295)/B295</f>
        <v/>
      </c>
    </row>
    <row r="308">
      <c r="A308" s="17" t="n">
        <v>35462</v>
      </c>
      <c r="B308" s="58">
        <f>VLOOKUP(Table16[[#This Row],[Date]],database!A:H,4,)</f>
        <v/>
      </c>
      <c r="C308" s="66">
        <f>B308/B307-1</f>
        <v/>
      </c>
      <c r="D308" s="66">
        <f>(Table16[[#This Row],[Index]]-B296)/B296</f>
        <v/>
      </c>
    </row>
    <row r="309">
      <c r="A309" s="17" t="n">
        <v>35490</v>
      </c>
      <c r="B309" s="58">
        <f>VLOOKUP(Table16[[#This Row],[Date]],database!A:H,4,)</f>
        <v/>
      </c>
      <c r="C309" s="66">
        <f>B309/B308-1</f>
        <v/>
      </c>
      <c r="D309" s="66">
        <f>(Table16[[#This Row],[Index]]-B297)/B297</f>
        <v/>
      </c>
    </row>
    <row r="310">
      <c r="A310" s="17" t="n">
        <v>35521</v>
      </c>
      <c r="B310" s="58">
        <f>VLOOKUP(Table16[[#This Row],[Date]],database!A:H,4,)</f>
        <v/>
      </c>
      <c r="C310" s="66">
        <f>B310/B309-1</f>
        <v/>
      </c>
      <c r="D310" s="66">
        <f>(Table16[[#This Row],[Index]]-B298)/B298</f>
        <v/>
      </c>
    </row>
    <row r="311">
      <c r="A311" s="17" t="n">
        <v>35551</v>
      </c>
      <c r="B311" s="58">
        <f>VLOOKUP(Table16[[#This Row],[Date]],database!A:H,4,)</f>
        <v/>
      </c>
      <c r="C311" s="66">
        <f>B311/B310-1</f>
        <v/>
      </c>
      <c r="D311" s="66">
        <f>(Table16[[#This Row],[Index]]-B299)/B299</f>
        <v/>
      </c>
    </row>
    <row r="312">
      <c r="A312" s="17" t="n">
        <v>35582</v>
      </c>
      <c r="B312" s="58">
        <f>VLOOKUP(Table16[[#This Row],[Date]],database!A:H,4,)</f>
        <v/>
      </c>
      <c r="C312" s="66">
        <f>B312/B311-1</f>
        <v/>
      </c>
      <c r="D312" s="66">
        <f>(Table16[[#This Row],[Index]]-B300)/B300</f>
        <v/>
      </c>
    </row>
    <row r="313">
      <c r="A313" s="17" t="n">
        <v>35612</v>
      </c>
      <c r="B313" s="58">
        <f>VLOOKUP(Table16[[#This Row],[Date]],database!A:H,4,)</f>
        <v/>
      </c>
      <c r="C313" s="66">
        <f>B313/B312-1</f>
        <v/>
      </c>
      <c r="D313" s="66">
        <f>(Table16[[#This Row],[Index]]-B301)/B301</f>
        <v/>
      </c>
    </row>
    <row r="314">
      <c r="A314" s="17" t="n">
        <v>35643</v>
      </c>
      <c r="B314" s="58">
        <f>VLOOKUP(Table16[[#This Row],[Date]],database!A:H,4,)</f>
        <v/>
      </c>
      <c r="C314" s="66">
        <f>B314/B313-1</f>
        <v/>
      </c>
      <c r="D314" s="66">
        <f>(Table16[[#This Row],[Index]]-B302)/B302</f>
        <v/>
      </c>
    </row>
    <row r="315">
      <c r="A315" s="17" t="n">
        <v>35674</v>
      </c>
      <c r="B315" s="58">
        <f>VLOOKUP(Table16[[#This Row],[Date]],database!A:H,4,)</f>
        <v/>
      </c>
      <c r="C315" s="66">
        <f>B315/B314-1</f>
        <v/>
      </c>
      <c r="D315" s="66">
        <f>(Table16[[#This Row],[Index]]-B303)/B303</f>
        <v/>
      </c>
    </row>
    <row r="316">
      <c r="A316" s="17" t="n">
        <v>35704</v>
      </c>
      <c r="B316" s="58">
        <f>VLOOKUP(Table16[[#This Row],[Date]],database!A:H,4,)</f>
        <v/>
      </c>
      <c r="C316" s="66">
        <f>B316/B315-1</f>
        <v/>
      </c>
      <c r="D316" s="66">
        <f>(Table16[[#This Row],[Index]]-B304)/B304</f>
        <v/>
      </c>
    </row>
    <row r="317">
      <c r="A317" s="17" t="n">
        <v>35735</v>
      </c>
      <c r="B317" s="58">
        <f>VLOOKUP(Table16[[#This Row],[Date]],database!A:H,4,)</f>
        <v/>
      </c>
      <c r="C317" s="66">
        <f>B317/B316-1</f>
        <v/>
      </c>
      <c r="D317" s="66">
        <f>(Table16[[#This Row],[Index]]-B305)/B305</f>
        <v/>
      </c>
    </row>
    <row r="318">
      <c r="A318" s="17" t="n">
        <v>35765</v>
      </c>
      <c r="B318" s="58">
        <f>VLOOKUP(Table16[[#This Row],[Date]],database!A:H,4,)</f>
        <v/>
      </c>
      <c r="C318" s="66">
        <f>B318/B317-1</f>
        <v/>
      </c>
      <c r="D318" s="66">
        <f>(Table16[[#This Row],[Index]]-B306)/B306</f>
        <v/>
      </c>
    </row>
    <row r="319">
      <c r="A319" s="17" t="n">
        <v>35796</v>
      </c>
      <c r="B319" s="58">
        <f>VLOOKUP(Table16[[#This Row],[Date]],database!A:H,4,)</f>
        <v/>
      </c>
      <c r="C319" s="66">
        <f>B319/B318-1</f>
        <v/>
      </c>
      <c r="D319" s="66">
        <f>(Table16[[#This Row],[Index]]-B307)/B307</f>
        <v/>
      </c>
    </row>
    <row r="320">
      <c r="A320" s="17" t="n">
        <v>35827</v>
      </c>
      <c r="B320" s="58">
        <f>VLOOKUP(Table16[[#This Row],[Date]],database!A:H,4,)</f>
        <v/>
      </c>
      <c r="C320" s="66">
        <f>B320/B319-1</f>
        <v/>
      </c>
      <c r="D320" s="66">
        <f>(Table16[[#This Row],[Index]]-B308)/B308</f>
        <v/>
      </c>
    </row>
    <row r="321">
      <c r="A321" s="17" t="n">
        <v>35855</v>
      </c>
      <c r="B321" s="58">
        <f>VLOOKUP(Table16[[#This Row],[Date]],database!A:H,4,)</f>
        <v/>
      </c>
      <c r="C321" s="66">
        <f>B321/B320-1</f>
        <v/>
      </c>
      <c r="D321" s="66">
        <f>(Table16[[#This Row],[Index]]-B309)/B309</f>
        <v/>
      </c>
    </row>
    <row r="322">
      <c r="A322" s="17" t="n">
        <v>35886</v>
      </c>
      <c r="B322" s="58">
        <f>VLOOKUP(Table16[[#This Row],[Date]],database!A:H,4,)</f>
        <v/>
      </c>
      <c r="C322" s="66">
        <f>B322/B321-1</f>
        <v/>
      </c>
      <c r="D322" s="66">
        <f>(Table16[[#This Row],[Index]]-B310)/B310</f>
        <v/>
      </c>
    </row>
    <row r="323">
      <c r="A323" s="17" t="n">
        <v>35916</v>
      </c>
      <c r="B323" s="58">
        <f>VLOOKUP(Table16[[#This Row],[Date]],database!A:H,4,)</f>
        <v/>
      </c>
      <c r="C323" s="66">
        <f>B323/B322-1</f>
        <v/>
      </c>
      <c r="D323" s="66">
        <f>(Table16[[#This Row],[Index]]-B311)/B311</f>
        <v/>
      </c>
    </row>
    <row r="324">
      <c r="A324" s="17" t="n">
        <v>35947</v>
      </c>
      <c r="B324" s="58">
        <f>VLOOKUP(Table16[[#This Row],[Date]],database!A:H,4,)</f>
        <v/>
      </c>
      <c r="C324" s="66">
        <f>B324/B323-1</f>
        <v/>
      </c>
      <c r="D324" s="66">
        <f>(Table16[[#This Row],[Index]]-B312)/B312</f>
        <v/>
      </c>
    </row>
    <row r="325">
      <c r="A325" s="17" t="n">
        <v>35977</v>
      </c>
      <c r="B325" s="58">
        <f>VLOOKUP(Table16[[#This Row],[Date]],database!A:H,4,)</f>
        <v/>
      </c>
      <c r="C325" s="66">
        <f>B325/B324-1</f>
        <v/>
      </c>
      <c r="D325" s="66">
        <f>(Table16[[#This Row],[Index]]-B313)/B313</f>
        <v/>
      </c>
    </row>
    <row r="326">
      <c r="A326" s="17" t="n">
        <v>36008</v>
      </c>
      <c r="B326" s="58">
        <f>VLOOKUP(Table16[[#This Row],[Date]],database!A:H,4,)</f>
        <v/>
      </c>
      <c r="C326" s="66">
        <f>B326/B325-1</f>
        <v/>
      </c>
      <c r="D326" s="66">
        <f>(Table16[[#This Row],[Index]]-B314)/B314</f>
        <v/>
      </c>
    </row>
    <row r="327">
      <c r="A327" s="17" t="n">
        <v>36039</v>
      </c>
      <c r="B327" s="58">
        <f>VLOOKUP(Table16[[#This Row],[Date]],database!A:H,4,)</f>
        <v/>
      </c>
      <c r="C327" s="66">
        <f>B327/B326-1</f>
        <v/>
      </c>
      <c r="D327" s="66">
        <f>(Table16[[#This Row],[Index]]-B315)/B315</f>
        <v/>
      </c>
    </row>
    <row r="328">
      <c r="A328" s="17" t="n">
        <v>36069</v>
      </c>
      <c r="B328" s="58">
        <f>VLOOKUP(Table16[[#This Row],[Date]],database!A:H,4,)</f>
        <v/>
      </c>
      <c r="C328" s="66">
        <f>B328/B327-1</f>
        <v/>
      </c>
      <c r="D328" s="66">
        <f>(Table16[[#This Row],[Index]]-B316)/B316</f>
        <v/>
      </c>
    </row>
    <row r="329">
      <c r="A329" s="17" t="n">
        <v>36100</v>
      </c>
      <c r="B329" s="58">
        <f>VLOOKUP(Table16[[#This Row],[Date]],database!A:H,4,)</f>
        <v/>
      </c>
      <c r="C329" s="66">
        <f>B329/B328-1</f>
        <v/>
      </c>
      <c r="D329" s="66">
        <f>(Table16[[#This Row],[Index]]-B317)/B317</f>
        <v/>
      </c>
    </row>
    <row r="330">
      <c r="A330" s="17" t="n">
        <v>36130</v>
      </c>
      <c r="B330" s="58">
        <f>VLOOKUP(Table16[[#This Row],[Date]],database!A:H,4,)</f>
        <v/>
      </c>
      <c r="C330" s="66">
        <f>B330/B329-1</f>
        <v/>
      </c>
      <c r="D330" s="66">
        <f>(Table16[[#This Row],[Index]]-B318)/B318</f>
        <v/>
      </c>
    </row>
    <row r="331">
      <c r="A331" s="17" t="n">
        <v>36161</v>
      </c>
      <c r="B331" s="58">
        <f>VLOOKUP(Table16[[#This Row],[Date]],database!A:H,4,)</f>
        <v/>
      </c>
      <c r="C331" s="66">
        <f>B331/B330-1</f>
        <v/>
      </c>
      <c r="D331" s="66">
        <f>(Table16[[#This Row],[Index]]-B319)/B319</f>
        <v/>
      </c>
    </row>
    <row r="332">
      <c r="A332" s="17" t="n">
        <v>36192</v>
      </c>
      <c r="B332" s="58">
        <f>VLOOKUP(Table16[[#This Row],[Date]],database!A:H,4,)</f>
        <v/>
      </c>
      <c r="C332" s="66">
        <f>B332/B331-1</f>
        <v/>
      </c>
      <c r="D332" s="66">
        <f>(Table16[[#This Row],[Index]]-B320)/B320</f>
        <v/>
      </c>
    </row>
    <row r="333">
      <c r="A333" s="17" t="n">
        <v>36220</v>
      </c>
      <c r="B333" s="58">
        <f>VLOOKUP(Table16[[#This Row],[Date]],database!A:H,4,)</f>
        <v/>
      </c>
      <c r="C333" s="66">
        <f>B333/B332-1</f>
        <v/>
      </c>
      <c r="D333" s="66">
        <f>(Table16[[#This Row],[Index]]-B321)/B321</f>
        <v/>
      </c>
    </row>
    <row r="334">
      <c r="A334" s="17" t="n">
        <v>36251</v>
      </c>
      <c r="B334" s="58">
        <f>VLOOKUP(Table16[[#This Row],[Date]],database!A:H,4,)</f>
        <v/>
      </c>
      <c r="C334" s="66">
        <f>B334/B333-1</f>
        <v/>
      </c>
      <c r="D334" s="66">
        <f>(Table16[[#This Row],[Index]]-B322)/B322</f>
        <v/>
      </c>
    </row>
    <row r="335">
      <c r="A335" s="17" t="n">
        <v>36281</v>
      </c>
      <c r="B335" s="58">
        <f>VLOOKUP(Table16[[#This Row],[Date]],database!A:H,4,)</f>
        <v/>
      </c>
      <c r="C335" s="66">
        <f>B335/B334-1</f>
        <v/>
      </c>
      <c r="D335" s="66">
        <f>(Table16[[#This Row],[Index]]-B323)/B323</f>
        <v/>
      </c>
    </row>
    <row r="336">
      <c r="A336" s="17" t="n">
        <v>36312</v>
      </c>
      <c r="B336" s="58">
        <f>VLOOKUP(Table16[[#This Row],[Date]],database!A:H,4,)</f>
        <v/>
      </c>
      <c r="C336" s="66">
        <f>B336/B335-1</f>
        <v/>
      </c>
      <c r="D336" s="66">
        <f>(Table16[[#This Row],[Index]]-B324)/B324</f>
        <v/>
      </c>
    </row>
    <row r="337">
      <c r="A337" s="17" t="n">
        <v>36342</v>
      </c>
      <c r="B337" s="58">
        <f>VLOOKUP(Table16[[#This Row],[Date]],database!A:H,4,)</f>
        <v/>
      </c>
      <c r="C337" s="66">
        <f>B337/B336-1</f>
        <v/>
      </c>
      <c r="D337" s="66">
        <f>(Table16[[#This Row],[Index]]-B325)/B325</f>
        <v/>
      </c>
    </row>
    <row r="338">
      <c r="A338" s="17" t="n">
        <v>36373</v>
      </c>
      <c r="B338" s="58">
        <f>VLOOKUP(Table16[[#This Row],[Date]],database!A:H,4,)</f>
        <v/>
      </c>
      <c r="C338" s="66">
        <f>B338/B337-1</f>
        <v/>
      </c>
      <c r="D338" s="66">
        <f>(Table16[[#This Row],[Index]]-B326)/B326</f>
        <v/>
      </c>
    </row>
    <row r="339">
      <c r="A339" s="17" t="n">
        <v>36404</v>
      </c>
      <c r="B339" s="58">
        <f>VLOOKUP(Table16[[#This Row],[Date]],database!A:H,4,)</f>
        <v/>
      </c>
      <c r="C339" s="66">
        <f>B339/B338-1</f>
        <v/>
      </c>
      <c r="D339" s="66">
        <f>(Table16[[#This Row],[Index]]-B327)/B327</f>
        <v/>
      </c>
    </row>
    <row r="340">
      <c r="A340" s="17" t="n">
        <v>36434</v>
      </c>
      <c r="B340" s="58">
        <f>VLOOKUP(Table16[[#This Row],[Date]],database!A:H,4,)</f>
        <v/>
      </c>
      <c r="C340" s="66">
        <f>B340/B339-1</f>
        <v/>
      </c>
      <c r="D340" s="66">
        <f>(Table16[[#This Row],[Index]]-B328)/B328</f>
        <v/>
      </c>
    </row>
    <row r="341">
      <c r="A341" s="17" t="n">
        <v>36465</v>
      </c>
      <c r="B341" s="58">
        <f>VLOOKUP(Table16[[#This Row],[Date]],database!A:H,4,)</f>
        <v/>
      </c>
      <c r="C341" s="66">
        <f>B341/B340-1</f>
        <v/>
      </c>
      <c r="D341" s="66">
        <f>(Table16[[#This Row],[Index]]-B329)/B329</f>
        <v/>
      </c>
    </row>
    <row r="342">
      <c r="A342" s="17" t="n">
        <v>36495</v>
      </c>
      <c r="B342" s="58">
        <f>VLOOKUP(Table16[[#This Row],[Date]],database!A:H,4,)</f>
        <v/>
      </c>
      <c r="C342" s="66">
        <f>B342/B341-1</f>
        <v/>
      </c>
      <c r="D342" s="66">
        <f>(Table16[[#This Row],[Index]]-B330)/B330</f>
        <v/>
      </c>
    </row>
    <row r="343">
      <c r="A343" s="17" t="n">
        <v>36526</v>
      </c>
      <c r="B343" s="58">
        <f>VLOOKUP(Table16[[#This Row],[Date]],database!A:H,4,)</f>
        <v/>
      </c>
      <c r="C343" s="66">
        <f>B343/B342-1</f>
        <v/>
      </c>
      <c r="D343" s="66">
        <f>(Table16[[#This Row],[Index]]-B331)/B331</f>
        <v/>
      </c>
    </row>
    <row r="344">
      <c r="A344" s="17" t="n">
        <v>36557</v>
      </c>
      <c r="B344" s="58">
        <f>VLOOKUP(Table16[[#This Row],[Date]],database!A:H,4,)</f>
        <v/>
      </c>
      <c r="C344" s="66">
        <f>B344/B343-1</f>
        <v/>
      </c>
      <c r="D344" s="66">
        <f>(Table16[[#This Row],[Index]]-B332)/B332</f>
        <v/>
      </c>
    </row>
    <row r="345">
      <c r="A345" s="17" t="n">
        <v>36586</v>
      </c>
      <c r="B345" s="58">
        <f>VLOOKUP(Table16[[#This Row],[Date]],database!A:H,4,)</f>
        <v/>
      </c>
      <c r="C345" s="66">
        <f>B345/B344-1</f>
        <v/>
      </c>
      <c r="D345" s="66">
        <f>(Table16[[#This Row],[Index]]-B333)/B333</f>
        <v/>
      </c>
    </row>
    <row r="346">
      <c r="A346" s="17" t="n">
        <v>36617</v>
      </c>
      <c r="B346" s="58">
        <f>VLOOKUP(Table16[[#This Row],[Date]],database!A:H,4,)</f>
        <v/>
      </c>
      <c r="C346" s="66">
        <f>B346/B345-1</f>
        <v/>
      </c>
      <c r="D346" s="66">
        <f>(Table16[[#This Row],[Index]]-B334)/B334</f>
        <v/>
      </c>
    </row>
    <row r="347">
      <c r="A347" s="17" t="n">
        <v>36647</v>
      </c>
      <c r="B347" s="58">
        <f>VLOOKUP(Table16[[#This Row],[Date]],database!A:H,4,)</f>
        <v/>
      </c>
      <c r="C347" s="66">
        <f>B347/B346-1</f>
        <v/>
      </c>
      <c r="D347" s="66">
        <f>(Table16[[#This Row],[Index]]-B335)/B335</f>
        <v/>
      </c>
    </row>
    <row r="348">
      <c r="A348" s="17" t="n">
        <v>36678</v>
      </c>
      <c r="B348" s="58">
        <f>VLOOKUP(Table16[[#This Row],[Date]],database!A:H,4,)</f>
        <v/>
      </c>
      <c r="C348" s="66">
        <f>B348/B347-1</f>
        <v/>
      </c>
      <c r="D348" s="66">
        <f>(Table16[[#This Row],[Index]]-B336)/B336</f>
        <v/>
      </c>
    </row>
    <row r="349">
      <c r="A349" s="17" t="n">
        <v>36708</v>
      </c>
      <c r="B349" s="58">
        <f>VLOOKUP(Table16[[#This Row],[Date]],database!A:H,4,)</f>
        <v/>
      </c>
      <c r="C349" s="66">
        <f>B349/B348-1</f>
        <v/>
      </c>
      <c r="D349" s="66">
        <f>(Table16[[#This Row],[Index]]-B337)/B337</f>
        <v/>
      </c>
    </row>
    <row r="350">
      <c r="A350" s="17" t="n">
        <v>36739</v>
      </c>
      <c r="B350" s="58">
        <f>VLOOKUP(Table16[[#This Row],[Date]],database!A:H,4,)</f>
        <v/>
      </c>
      <c r="C350" s="66">
        <f>B350/B349-1</f>
        <v/>
      </c>
      <c r="D350" s="66">
        <f>(Table16[[#This Row],[Index]]-B338)/B338</f>
        <v/>
      </c>
    </row>
    <row r="351">
      <c r="A351" s="17" t="n">
        <v>36770</v>
      </c>
      <c r="B351" s="58">
        <f>VLOOKUP(Table16[[#This Row],[Date]],database!A:H,4,)</f>
        <v/>
      </c>
      <c r="C351" s="66">
        <f>B351/B350-1</f>
        <v/>
      </c>
      <c r="D351" s="66">
        <f>(Table16[[#This Row],[Index]]-B339)/B339</f>
        <v/>
      </c>
    </row>
    <row r="352">
      <c r="A352" s="17" t="n">
        <v>36800</v>
      </c>
      <c r="B352" s="58">
        <f>VLOOKUP(Table16[[#This Row],[Date]],database!A:H,4,)</f>
        <v/>
      </c>
      <c r="C352" s="66">
        <f>B352/B351-1</f>
        <v/>
      </c>
      <c r="D352" s="66">
        <f>(Table16[[#This Row],[Index]]-B340)/B340</f>
        <v/>
      </c>
    </row>
    <row r="353">
      <c r="A353" s="17" t="n">
        <v>36831</v>
      </c>
      <c r="B353" s="58">
        <f>VLOOKUP(Table16[[#This Row],[Date]],database!A:H,4,)</f>
        <v/>
      </c>
      <c r="C353" s="66">
        <f>B353/B352-1</f>
        <v/>
      </c>
      <c r="D353" s="66">
        <f>(Table16[[#This Row],[Index]]-B341)/B341</f>
        <v/>
      </c>
    </row>
    <row r="354">
      <c r="A354" s="17" t="n">
        <v>36861</v>
      </c>
      <c r="B354" s="58">
        <f>VLOOKUP(Table16[[#This Row],[Date]],database!A:H,4,)</f>
        <v/>
      </c>
      <c r="C354" s="66">
        <f>B354/B353-1</f>
        <v/>
      </c>
      <c r="D354" s="66">
        <f>(Table16[[#This Row],[Index]]-B342)/B342</f>
        <v/>
      </c>
    </row>
    <row r="355">
      <c r="A355" s="17" t="n">
        <v>36892</v>
      </c>
      <c r="B355" s="58">
        <f>VLOOKUP(Table16[[#This Row],[Date]],database!A:H,4,)</f>
        <v/>
      </c>
      <c r="C355" s="66">
        <f>B355/B354-1</f>
        <v/>
      </c>
      <c r="D355" s="66">
        <f>(Table16[[#This Row],[Index]]-B343)/B343</f>
        <v/>
      </c>
    </row>
    <row r="356">
      <c r="A356" s="17" t="n">
        <v>36923</v>
      </c>
      <c r="B356" s="58">
        <f>VLOOKUP(Table16[[#This Row],[Date]],database!A:H,4,)</f>
        <v/>
      </c>
      <c r="C356" s="66">
        <f>B356/B355-1</f>
        <v/>
      </c>
      <c r="D356" s="66">
        <f>(Table16[[#This Row],[Index]]-B344)/B344</f>
        <v/>
      </c>
    </row>
    <row r="357">
      <c r="A357" s="17" t="n">
        <v>36951</v>
      </c>
      <c r="B357" s="58">
        <f>VLOOKUP(Table16[[#This Row],[Date]],database!A:H,4,)</f>
        <v/>
      </c>
      <c r="C357" s="66">
        <f>B357/B356-1</f>
        <v/>
      </c>
      <c r="D357" s="66">
        <f>(Table16[[#This Row],[Index]]-B345)/B345</f>
        <v/>
      </c>
    </row>
    <row r="358">
      <c r="A358" s="17" t="n">
        <v>36982</v>
      </c>
      <c r="B358" s="58">
        <f>VLOOKUP(Table16[[#This Row],[Date]],database!A:H,4,)</f>
        <v/>
      </c>
      <c r="C358" s="66">
        <f>B358/B357-1</f>
        <v/>
      </c>
      <c r="D358" s="66">
        <f>(Table16[[#This Row],[Index]]-B346)/B346</f>
        <v/>
      </c>
    </row>
    <row r="359">
      <c r="A359" s="17" t="n">
        <v>37012</v>
      </c>
      <c r="B359" s="58">
        <f>VLOOKUP(Table16[[#This Row],[Date]],database!A:H,4,)</f>
        <v/>
      </c>
      <c r="C359" s="66">
        <f>B359/B358-1</f>
        <v/>
      </c>
      <c r="D359" s="66">
        <f>(Table16[[#This Row],[Index]]-B347)/B347</f>
        <v/>
      </c>
    </row>
    <row r="360">
      <c r="A360" s="17" t="n">
        <v>37043</v>
      </c>
      <c r="B360" s="58">
        <f>VLOOKUP(Table16[[#This Row],[Date]],database!A:H,4,)</f>
        <v/>
      </c>
      <c r="C360" s="66">
        <f>B360/B359-1</f>
        <v/>
      </c>
      <c r="D360" s="66">
        <f>(Table16[[#This Row],[Index]]-B348)/B348</f>
        <v/>
      </c>
    </row>
    <row r="361">
      <c r="A361" s="17" t="n">
        <v>37073</v>
      </c>
      <c r="B361" s="58">
        <f>VLOOKUP(Table16[[#This Row],[Date]],database!A:H,4,)</f>
        <v/>
      </c>
      <c r="C361" s="66">
        <f>B361/B360-1</f>
        <v/>
      </c>
      <c r="D361" s="66">
        <f>(Table16[[#This Row],[Index]]-B349)/B349</f>
        <v/>
      </c>
    </row>
    <row r="362">
      <c r="A362" s="17" t="n">
        <v>37104</v>
      </c>
      <c r="B362" s="58">
        <f>VLOOKUP(Table16[[#This Row],[Date]],database!A:H,4,)</f>
        <v/>
      </c>
      <c r="C362" s="66">
        <f>B362/B361-1</f>
        <v/>
      </c>
      <c r="D362" s="66">
        <f>(Table16[[#This Row],[Index]]-B350)/B350</f>
        <v/>
      </c>
    </row>
    <row r="363">
      <c r="A363" s="17" t="n">
        <v>37135</v>
      </c>
      <c r="B363" s="58">
        <f>VLOOKUP(Table16[[#This Row],[Date]],database!A:H,4,)</f>
        <v/>
      </c>
      <c r="C363" s="66">
        <f>B363/B362-1</f>
        <v/>
      </c>
      <c r="D363" s="66">
        <f>(Table16[[#This Row],[Index]]-B351)/B351</f>
        <v/>
      </c>
    </row>
    <row r="364">
      <c r="A364" s="17" t="n">
        <v>37165</v>
      </c>
      <c r="B364" s="58">
        <f>VLOOKUP(Table16[[#This Row],[Date]],database!A:H,4,)</f>
        <v/>
      </c>
      <c r="C364" s="66">
        <f>B364/B363-1</f>
        <v/>
      </c>
      <c r="D364" s="66">
        <f>(Table16[[#This Row],[Index]]-B352)/B352</f>
        <v/>
      </c>
    </row>
    <row r="365">
      <c r="A365" s="17" t="n">
        <v>37196</v>
      </c>
      <c r="B365" s="58">
        <f>VLOOKUP(Table16[[#This Row],[Date]],database!A:H,4,)</f>
        <v/>
      </c>
      <c r="C365" s="66">
        <f>B365/B364-1</f>
        <v/>
      </c>
      <c r="D365" s="66">
        <f>(Table16[[#This Row],[Index]]-B353)/B353</f>
        <v/>
      </c>
    </row>
    <row r="366">
      <c r="A366" s="17" t="n">
        <v>37226</v>
      </c>
      <c r="B366" s="58">
        <f>VLOOKUP(Table16[[#This Row],[Date]],database!A:H,4,)</f>
        <v/>
      </c>
      <c r="C366" s="66">
        <f>B366/B365-1</f>
        <v/>
      </c>
      <c r="D366" s="66">
        <f>(Table16[[#This Row],[Index]]-B354)/B354</f>
        <v/>
      </c>
    </row>
    <row r="367">
      <c r="A367" s="17" t="n">
        <v>37257</v>
      </c>
      <c r="B367" s="58">
        <f>VLOOKUP(Table16[[#This Row],[Date]],database!A:H,4,)</f>
        <v/>
      </c>
      <c r="C367" s="66">
        <f>B367/B366-1</f>
        <v/>
      </c>
      <c r="D367" s="66">
        <f>(Table16[[#This Row],[Index]]-B355)/B355</f>
        <v/>
      </c>
    </row>
    <row r="368">
      <c r="A368" s="17" t="n">
        <v>37288</v>
      </c>
      <c r="B368" s="58">
        <f>VLOOKUP(Table16[[#This Row],[Date]],database!A:H,4,)</f>
        <v/>
      </c>
      <c r="C368" s="66">
        <f>B368/B367-1</f>
        <v/>
      </c>
      <c r="D368" s="66">
        <f>(Table16[[#This Row],[Index]]-B356)/B356</f>
        <v/>
      </c>
    </row>
    <row r="369">
      <c r="A369" s="17" t="n">
        <v>37316</v>
      </c>
      <c r="B369" s="58">
        <f>VLOOKUP(Table16[[#This Row],[Date]],database!A:H,4,)</f>
        <v/>
      </c>
      <c r="C369" s="66">
        <f>B369/B368-1</f>
        <v/>
      </c>
      <c r="D369" s="66">
        <f>(Table16[[#This Row],[Index]]-B357)/B357</f>
        <v/>
      </c>
    </row>
    <row r="370">
      <c r="A370" s="17" t="n">
        <v>37347</v>
      </c>
      <c r="B370" s="58">
        <f>VLOOKUP(Table16[[#This Row],[Date]],database!A:H,4,)</f>
        <v/>
      </c>
      <c r="C370" s="66">
        <f>B370/B369-1</f>
        <v/>
      </c>
      <c r="D370" s="66">
        <f>(Table16[[#This Row],[Index]]-B358)/B358</f>
        <v/>
      </c>
    </row>
    <row r="371">
      <c r="A371" s="17" t="n">
        <v>37377</v>
      </c>
      <c r="B371" s="58">
        <f>VLOOKUP(Table16[[#This Row],[Date]],database!A:H,4,)</f>
        <v/>
      </c>
      <c r="C371" s="66">
        <f>B371/B370-1</f>
        <v/>
      </c>
      <c r="D371" s="66">
        <f>(Table16[[#This Row],[Index]]-B359)/B359</f>
        <v/>
      </c>
    </row>
    <row r="372">
      <c r="A372" s="17" t="n">
        <v>37408</v>
      </c>
      <c r="B372" s="58">
        <f>VLOOKUP(Table16[[#This Row],[Date]],database!A:H,4,)</f>
        <v/>
      </c>
      <c r="C372" s="66">
        <f>B372/B371-1</f>
        <v/>
      </c>
      <c r="D372" s="66">
        <f>(Table16[[#This Row],[Index]]-B360)/B360</f>
        <v/>
      </c>
    </row>
    <row r="373">
      <c r="A373" s="17" t="n">
        <v>37438</v>
      </c>
      <c r="B373" s="58">
        <f>VLOOKUP(Table16[[#This Row],[Date]],database!A:H,4,)</f>
        <v/>
      </c>
      <c r="C373" s="66">
        <f>B373/B372-1</f>
        <v/>
      </c>
      <c r="D373" s="66">
        <f>(Table16[[#This Row],[Index]]-B361)/B361</f>
        <v/>
      </c>
    </row>
    <row r="374">
      <c r="A374" s="17" t="n">
        <v>37469</v>
      </c>
      <c r="B374" s="58">
        <f>VLOOKUP(Table16[[#This Row],[Date]],database!A:H,4,)</f>
        <v/>
      </c>
      <c r="C374" s="66">
        <f>B374/B373-1</f>
        <v/>
      </c>
      <c r="D374" s="66">
        <f>(Table16[[#This Row],[Index]]-B362)/B362</f>
        <v/>
      </c>
    </row>
    <row r="375">
      <c r="A375" s="17" t="n">
        <v>37500</v>
      </c>
      <c r="B375" s="58">
        <f>VLOOKUP(Table16[[#This Row],[Date]],database!A:H,4,)</f>
        <v/>
      </c>
      <c r="C375" s="66">
        <f>B375/B374-1</f>
        <v/>
      </c>
      <c r="D375" s="66">
        <f>(Table16[[#This Row],[Index]]-B363)/B363</f>
        <v/>
      </c>
    </row>
    <row r="376">
      <c r="A376" s="17" t="n">
        <v>37530</v>
      </c>
      <c r="B376" s="58">
        <f>VLOOKUP(Table16[[#This Row],[Date]],database!A:H,4,)</f>
        <v/>
      </c>
      <c r="C376" s="66">
        <f>B376/B375-1</f>
        <v/>
      </c>
      <c r="D376" s="66">
        <f>(Table16[[#This Row],[Index]]-B364)/B364</f>
        <v/>
      </c>
    </row>
    <row r="377">
      <c r="A377" s="17" t="n">
        <v>37561</v>
      </c>
      <c r="B377" s="58">
        <f>VLOOKUP(Table16[[#This Row],[Date]],database!A:H,4,)</f>
        <v/>
      </c>
      <c r="C377" s="66">
        <f>B377/B376-1</f>
        <v/>
      </c>
      <c r="D377" s="66">
        <f>(Table16[[#This Row],[Index]]-B365)/B365</f>
        <v/>
      </c>
    </row>
    <row r="378">
      <c r="A378" s="17" t="n">
        <v>37591</v>
      </c>
      <c r="B378" s="58">
        <f>VLOOKUP(Table16[[#This Row],[Date]],database!A:H,4,)</f>
        <v/>
      </c>
      <c r="C378" s="66">
        <f>B378/B377-1</f>
        <v/>
      </c>
      <c r="D378" s="66">
        <f>(Table16[[#This Row],[Index]]-B366)/B366</f>
        <v/>
      </c>
    </row>
    <row r="379">
      <c r="A379" s="17" t="n">
        <v>37622</v>
      </c>
      <c r="B379" s="58">
        <f>VLOOKUP(Table16[[#This Row],[Date]],database!A:H,4,)</f>
        <v/>
      </c>
      <c r="C379" s="66">
        <f>B379/B378-1</f>
        <v/>
      </c>
      <c r="D379" s="66">
        <f>(Table16[[#This Row],[Index]]-B367)/B367</f>
        <v/>
      </c>
    </row>
    <row r="380">
      <c r="A380" s="17" t="n">
        <v>37653</v>
      </c>
      <c r="B380" s="58">
        <f>VLOOKUP(Table16[[#This Row],[Date]],database!A:H,4,)</f>
        <v/>
      </c>
      <c r="C380" s="66">
        <f>B380/B379-1</f>
        <v/>
      </c>
      <c r="D380" s="66">
        <f>(Table16[[#This Row],[Index]]-B368)/B368</f>
        <v/>
      </c>
    </row>
    <row r="381">
      <c r="A381" s="17" t="n">
        <v>37681</v>
      </c>
      <c r="B381" s="58">
        <f>VLOOKUP(Table16[[#This Row],[Date]],database!A:H,4,)</f>
        <v/>
      </c>
      <c r="C381" s="66">
        <f>B381/B380-1</f>
        <v/>
      </c>
      <c r="D381" s="66">
        <f>(Table16[[#This Row],[Index]]-B369)/B369</f>
        <v/>
      </c>
    </row>
    <row r="382">
      <c r="A382" s="17" t="n">
        <v>37712</v>
      </c>
      <c r="B382" s="58">
        <f>VLOOKUP(Table16[[#This Row],[Date]],database!A:H,4,)</f>
        <v/>
      </c>
      <c r="C382" s="66">
        <f>B382/B381-1</f>
        <v/>
      </c>
      <c r="D382" s="66">
        <f>(Table16[[#This Row],[Index]]-B370)/B370</f>
        <v/>
      </c>
    </row>
    <row r="383">
      <c r="A383" s="17" t="n">
        <v>37742</v>
      </c>
      <c r="B383" s="58">
        <f>VLOOKUP(Table16[[#This Row],[Date]],database!A:H,4,)</f>
        <v/>
      </c>
      <c r="C383" s="66">
        <f>B383/B382-1</f>
        <v/>
      </c>
      <c r="D383" s="66">
        <f>(Table16[[#This Row],[Index]]-B371)/B371</f>
        <v/>
      </c>
    </row>
    <row r="384">
      <c r="A384" s="17" t="n">
        <v>37773</v>
      </c>
      <c r="B384" s="58">
        <f>VLOOKUP(Table16[[#This Row],[Date]],database!A:H,4,)</f>
        <v/>
      </c>
      <c r="C384" s="66">
        <f>B384/B383-1</f>
        <v/>
      </c>
      <c r="D384" s="66">
        <f>(Table16[[#This Row],[Index]]-B372)/B372</f>
        <v/>
      </c>
    </row>
    <row r="385">
      <c r="A385" s="17" t="n">
        <v>37803</v>
      </c>
      <c r="B385" s="58">
        <f>VLOOKUP(Table16[[#This Row],[Date]],database!A:H,4,)</f>
        <v/>
      </c>
      <c r="C385" s="66">
        <f>B385/B384-1</f>
        <v/>
      </c>
      <c r="D385" s="66">
        <f>(Table16[[#This Row],[Index]]-B373)/B373</f>
        <v/>
      </c>
    </row>
    <row r="386">
      <c r="A386" s="17" t="n">
        <v>37834</v>
      </c>
      <c r="B386" s="58">
        <f>VLOOKUP(Table16[[#This Row],[Date]],database!A:H,4,)</f>
        <v/>
      </c>
      <c r="C386" s="66">
        <f>B386/B385-1</f>
        <v/>
      </c>
      <c r="D386" s="66">
        <f>(Table16[[#This Row],[Index]]-B374)/B374</f>
        <v/>
      </c>
    </row>
    <row r="387">
      <c r="A387" s="17" t="n">
        <v>37865</v>
      </c>
      <c r="B387" s="58">
        <f>VLOOKUP(Table16[[#This Row],[Date]],database!A:H,4,)</f>
        <v/>
      </c>
      <c r="C387" s="66">
        <f>B387/B386-1</f>
        <v/>
      </c>
      <c r="D387" s="66">
        <f>(Table16[[#This Row],[Index]]-B375)/B375</f>
        <v/>
      </c>
    </row>
    <row r="388">
      <c r="A388" s="17" t="n">
        <v>37895</v>
      </c>
      <c r="B388" s="58">
        <f>VLOOKUP(Table16[[#This Row],[Date]],database!A:H,4,)</f>
        <v/>
      </c>
      <c r="C388" s="66">
        <f>B388/B387-1</f>
        <v/>
      </c>
      <c r="D388" s="66">
        <f>(Table16[[#This Row],[Index]]-B376)/B376</f>
        <v/>
      </c>
    </row>
    <row r="389">
      <c r="A389" s="17" t="n">
        <v>37926</v>
      </c>
      <c r="B389" s="58">
        <f>VLOOKUP(Table16[[#This Row],[Date]],database!A:H,4,)</f>
        <v/>
      </c>
      <c r="C389" s="66">
        <f>B389/B388-1</f>
        <v/>
      </c>
      <c r="D389" s="66">
        <f>(Table16[[#This Row],[Index]]-B377)/B377</f>
        <v/>
      </c>
    </row>
    <row r="390">
      <c r="A390" s="17" t="n">
        <v>37956</v>
      </c>
      <c r="B390" s="58">
        <f>VLOOKUP(Table16[[#This Row],[Date]],database!A:H,4,)</f>
        <v/>
      </c>
      <c r="C390" s="66">
        <f>B390/B389-1</f>
        <v/>
      </c>
      <c r="D390" s="66">
        <f>(Table16[[#This Row],[Index]]-B378)/B378</f>
        <v/>
      </c>
    </row>
    <row r="391">
      <c r="A391" s="17" t="n">
        <v>37987</v>
      </c>
      <c r="B391" s="58">
        <f>VLOOKUP(Table16[[#This Row],[Date]],database!A:H,4,)</f>
        <v/>
      </c>
      <c r="C391" s="66">
        <f>B391/B390-1</f>
        <v/>
      </c>
      <c r="D391" s="66">
        <f>(Table16[[#This Row],[Index]]-B379)/B379</f>
        <v/>
      </c>
    </row>
    <row r="392">
      <c r="A392" s="17" t="n">
        <v>38018</v>
      </c>
      <c r="B392" s="58">
        <f>VLOOKUP(Table16[[#This Row],[Date]],database!A:H,4,)</f>
        <v/>
      </c>
      <c r="C392" s="66">
        <f>B392/B391-1</f>
        <v/>
      </c>
      <c r="D392" s="66">
        <f>(Table16[[#This Row],[Index]]-B380)/B380</f>
        <v/>
      </c>
    </row>
    <row r="393">
      <c r="A393" s="17" t="n">
        <v>38047</v>
      </c>
      <c r="B393" s="58">
        <f>VLOOKUP(Table16[[#This Row],[Date]],database!A:H,4,)</f>
        <v/>
      </c>
      <c r="C393" s="66">
        <f>B393/B392-1</f>
        <v/>
      </c>
      <c r="D393" s="66">
        <f>(Table16[[#This Row],[Index]]-B381)/B381</f>
        <v/>
      </c>
    </row>
    <row r="394">
      <c r="A394" s="17" t="n">
        <v>38078</v>
      </c>
      <c r="B394" s="58">
        <f>VLOOKUP(Table16[[#This Row],[Date]],database!A:H,4,)</f>
        <v/>
      </c>
      <c r="C394" s="66">
        <f>B394/B393-1</f>
        <v/>
      </c>
      <c r="D394" s="66">
        <f>(Table16[[#This Row],[Index]]-B382)/B382</f>
        <v/>
      </c>
    </row>
    <row r="395">
      <c r="A395" s="17" t="n">
        <v>38108</v>
      </c>
      <c r="B395" s="58">
        <f>VLOOKUP(Table16[[#This Row],[Date]],database!A:H,4,)</f>
        <v/>
      </c>
      <c r="C395" s="66">
        <f>B395/B394-1</f>
        <v/>
      </c>
      <c r="D395" s="66">
        <f>(Table16[[#This Row],[Index]]-B383)/B383</f>
        <v/>
      </c>
    </row>
    <row r="396">
      <c r="A396" s="17" t="n">
        <v>38139</v>
      </c>
      <c r="B396" s="58">
        <f>VLOOKUP(Table16[[#This Row],[Date]],database!A:H,4,)</f>
        <v/>
      </c>
      <c r="C396" s="66">
        <f>B396/B395-1</f>
        <v/>
      </c>
      <c r="D396" s="66">
        <f>(Table16[[#This Row],[Index]]-B384)/B384</f>
        <v/>
      </c>
    </row>
    <row r="397">
      <c r="A397" s="17" t="n">
        <v>38169</v>
      </c>
      <c r="B397" s="58">
        <f>VLOOKUP(Table16[[#This Row],[Date]],database!A:H,4,)</f>
        <v/>
      </c>
      <c r="C397" s="66">
        <f>B397/B396-1</f>
        <v/>
      </c>
      <c r="D397" s="66">
        <f>(Table16[[#This Row],[Index]]-B385)/B385</f>
        <v/>
      </c>
    </row>
    <row r="398">
      <c r="A398" s="17" t="n">
        <v>38200</v>
      </c>
      <c r="B398" s="58">
        <f>VLOOKUP(Table16[[#This Row],[Date]],database!A:H,4,)</f>
        <v/>
      </c>
      <c r="C398" s="66">
        <f>B398/B397-1</f>
        <v/>
      </c>
      <c r="D398" s="66">
        <f>(Table16[[#This Row],[Index]]-B386)/B386</f>
        <v/>
      </c>
    </row>
    <row r="399">
      <c r="A399" s="17" t="n">
        <v>38231</v>
      </c>
      <c r="B399" s="58">
        <f>VLOOKUP(Table16[[#This Row],[Date]],database!A:H,4,)</f>
        <v/>
      </c>
      <c r="C399" s="66">
        <f>B399/B398-1</f>
        <v/>
      </c>
      <c r="D399" s="66">
        <f>(Table16[[#This Row],[Index]]-B387)/B387</f>
        <v/>
      </c>
    </row>
    <row r="400">
      <c r="A400" s="17" t="n">
        <v>38261</v>
      </c>
      <c r="B400" s="58">
        <f>VLOOKUP(Table16[[#This Row],[Date]],database!A:H,4,)</f>
        <v/>
      </c>
      <c r="C400" s="66">
        <f>B400/B399-1</f>
        <v/>
      </c>
      <c r="D400" s="66">
        <f>(Table16[[#This Row],[Index]]-B388)/B388</f>
        <v/>
      </c>
    </row>
    <row r="401">
      <c r="A401" s="17" t="n">
        <v>38292</v>
      </c>
      <c r="B401" s="58">
        <f>VLOOKUP(Table16[[#This Row],[Date]],database!A:H,4,)</f>
        <v/>
      </c>
      <c r="C401" s="66">
        <f>B401/B400-1</f>
        <v/>
      </c>
      <c r="D401" s="66">
        <f>(Table16[[#This Row],[Index]]-B389)/B389</f>
        <v/>
      </c>
    </row>
    <row r="402">
      <c r="A402" s="17" t="n">
        <v>38322</v>
      </c>
      <c r="B402" s="58">
        <f>VLOOKUP(Table16[[#This Row],[Date]],database!A:H,4,)</f>
        <v/>
      </c>
      <c r="C402" s="66">
        <f>B402/B401-1</f>
        <v/>
      </c>
      <c r="D402" s="66">
        <f>(Table16[[#This Row],[Index]]-B390)/B390</f>
        <v/>
      </c>
    </row>
    <row r="403">
      <c r="A403" s="17" t="n">
        <v>38353</v>
      </c>
      <c r="B403" s="58">
        <f>VLOOKUP(Table16[[#This Row],[Date]],database!A:H,4,)</f>
        <v/>
      </c>
      <c r="C403" s="66">
        <f>B403/B402-1</f>
        <v/>
      </c>
      <c r="D403" s="66">
        <f>(Table16[[#This Row],[Index]]-B391)/B391</f>
        <v/>
      </c>
    </row>
    <row r="404">
      <c r="A404" s="17" t="n">
        <v>38384</v>
      </c>
      <c r="B404" s="58">
        <f>VLOOKUP(Table16[[#This Row],[Date]],database!A:H,4,)</f>
        <v/>
      </c>
      <c r="C404" s="66">
        <f>B404/B403-1</f>
        <v/>
      </c>
      <c r="D404" s="66">
        <f>(Table16[[#This Row],[Index]]-B392)/B392</f>
        <v/>
      </c>
    </row>
    <row r="405">
      <c r="A405" s="17" t="n">
        <v>38412</v>
      </c>
      <c r="B405" s="58">
        <f>VLOOKUP(Table16[[#This Row],[Date]],database!A:H,4,)</f>
        <v/>
      </c>
      <c r="C405" s="66">
        <f>B405/B404-1</f>
        <v/>
      </c>
      <c r="D405" s="66">
        <f>(Table16[[#This Row],[Index]]-B393)/B393</f>
        <v/>
      </c>
    </row>
    <row r="406">
      <c r="A406" s="17" t="n">
        <v>38443</v>
      </c>
      <c r="B406" s="58">
        <f>VLOOKUP(Table16[[#This Row],[Date]],database!A:H,4,)</f>
        <v/>
      </c>
      <c r="C406" s="66">
        <f>B406/B405-1</f>
        <v/>
      </c>
      <c r="D406" s="66">
        <f>(Table16[[#This Row],[Index]]-B394)/B394</f>
        <v/>
      </c>
    </row>
    <row r="407">
      <c r="A407" s="17" t="n">
        <v>38473</v>
      </c>
      <c r="B407" s="58">
        <f>VLOOKUP(Table16[[#This Row],[Date]],database!A:H,4,)</f>
        <v/>
      </c>
      <c r="C407" s="66">
        <f>B407/B406-1</f>
        <v/>
      </c>
      <c r="D407" s="66">
        <f>(Table16[[#This Row],[Index]]-B395)/B395</f>
        <v/>
      </c>
    </row>
    <row r="408">
      <c r="A408" s="17" t="n">
        <v>38504</v>
      </c>
      <c r="B408" s="58">
        <f>VLOOKUP(Table16[[#This Row],[Date]],database!A:H,4,)</f>
        <v/>
      </c>
      <c r="C408" s="66">
        <f>B408/B407-1</f>
        <v/>
      </c>
      <c r="D408" s="66">
        <f>(Table16[[#This Row],[Index]]-B396)/B396</f>
        <v/>
      </c>
    </row>
    <row r="409">
      <c r="A409" s="17" t="n">
        <v>38534</v>
      </c>
      <c r="B409" s="58">
        <f>VLOOKUP(Table16[[#This Row],[Date]],database!A:H,4,)</f>
        <v/>
      </c>
      <c r="C409" s="66">
        <f>B409/B408-1</f>
        <v/>
      </c>
      <c r="D409" s="66">
        <f>(Table16[[#This Row],[Index]]-B397)/B397</f>
        <v/>
      </c>
    </row>
    <row r="410">
      <c r="A410" s="17" t="n">
        <v>38565</v>
      </c>
      <c r="B410" s="58">
        <f>VLOOKUP(Table16[[#This Row],[Date]],database!A:H,4,)</f>
        <v/>
      </c>
      <c r="C410" s="66">
        <f>B410/B409-1</f>
        <v/>
      </c>
      <c r="D410" s="66">
        <f>(Table16[[#This Row],[Index]]-B398)/B398</f>
        <v/>
      </c>
    </row>
    <row r="411">
      <c r="A411" s="17" t="n">
        <v>38596</v>
      </c>
      <c r="B411" s="58">
        <f>VLOOKUP(Table16[[#This Row],[Date]],database!A:H,4,)</f>
        <v/>
      </c>
      <c r="C411" s="66">
        <f>B411/B410-1</f>
        <v/>
      </c>
      <c r="D411" s="66">
        <f>(Table16[[#This Row],[Index]]-B399)/B399</f>
        <v/>
      </c>
    </row>
    <row r="412">
      <c r="A412" s="17" t="n">
        <v>38626</v>
      </c>
      <c r="B412" s="58">
        <f>VLOOKUP(Table16[[#This Row],[Date]],database!A:H,4,)</f>
        <v/>
      </c>
      <c r="C412" s="66">
        <f>B412/B411-1</f>
        <v/>
      </c>
      <c r="D412" s="66">
        <f>(Table16[[#This Row],[Index]]-B400)/B400</f>
        <v/>
      </c>
    </row>
    <row r="413">
      <c r="A413" s="17" t="n">
        <v>38657</v>
      </c>
      <c r="B413" s="58">
        <f>VLOOKUP(Table16[[#This Row],[Date]],database!A:H,4,)</f>
        <v/>
      </c>
      <c r="C413" s="66">
        <f>B413/B412-1</f>
        <v/>
      </c>
      <c r="D413" s="66">
        <f>(Table16[[#This Row],[Index]]-B401)/B401</f>
        <v/>
      </c>
    </row>
    <row r="414">
      <c r="A414" s="17" t="n">
        <v>38687</v>
      </c>
      <c r="B414" s="58">
        <f>VLOOKUP(Table16[[#This Row],[Date]],database!A:H,4,)</f>
        <v/>
      </c>
      <c r="C414" s="66">
        <f>B414/B413-1</f>
        <v/>
      </c>
      <c r="D414" s="66">
        <f>(Table16[[#This Row],[Index]]-B402)/B402</f>
        <v/>
      </c>
    </row>
    <row r="415">
      <c r="A415" s="17" t="n">
        <v>38718</v>
      </c>
      <c r="B415" s="58">
        <f>VLOOKUP(Table16[[#This Row],[Date]],database!A:H,4,)</f>
        <v/>
      </c>
      <c r="C415" s="66">
        <f>B415/B414-1</f>
        <v/>
      </c>
      <c r="D415" s="66">
        <f>(Table16[[#This Row],[Index]]-B403)/B403</f>
        <v/>
      </c>
    </row>
    <row r="416">
      <c r="A416" s="17" t="n">
        <v>38749</v>
      </c>
      <c r="B416" s="58">
        <f>VLOOKUP(Table16[[#This Row],[Date]],database!A:H,4,)</f>
        <v/>
      </c>
      <c r="C416" s="66">
        <f>B416/B415-1</f>
        <v/>
      </c>
      <c r="D416" s="66">
        <f>(Table16[[#This Row],[Index]]-B404)/B404</f>
        <v/>
      </c>
    </row>
    <row r="417">
      <c r="A417" s="17" t="n">
        <v>38777</v>
      </c>
      <c r="B417" s="58">
        <f>VLOOKUP(Table16[[#This Row],[Date]],database!A:H,4,)</f>
        <v/>
      </c>
      <c r="C417" s="66">
        <f>B417/B416-1</f>
        <v/>
      </c>
      <c r="D417" s="66">
        <f>(Table16[[#This Row],[Index]]-B405)/B405</f>
        <v/>
      </c>
    </row>
    <row r="418">
      <c r="A418" s="17" t="n">
        <v>38808</v>
      </c>
      <c r="B418" s="58">
        <f>VLOOKUP(Table16[[#This Row],[Date]],database!A:H,4,)</f>
        <v/>
      </c>
      <c r="C418" s="66">
        <f>B418/B417-1</f>
        <v/>
      </c>
      <c r="D418" s="66">
        <f>(Table16[[#This Row],[Index]]-B406)/B406</f>
        <v/>
      </c>
    </row>
    <row r="419">
      <c r="A419" s="17" t="n">
        <v>38838</v>
      </c>
      <c r="B419" s="58">
        <f>VLOOKUP(Table16[[#This Row],[Date]],database!A:H,4,)</f>
        <v/>
      </c>
      <c r="C419" s="66">
        <f>B419/B418-1</f>
        <v/>
      </c>
      <c r="D419" s="66">
        <f>(Table16[[#This Row],[Index]]-B407)/B407</f>
        <v/>
      </c>
    </row>
    <row r="420">
      <c r="A420" s="17" t="n">
        <v>38869</v>
      </c>
      <c r="B420" s="58">
        <f>VLOOKUP(Table16[[#This Row],[Date]],database!A:H,4,)</f>
        <v/>
      </c>
      <c r="C420" s="66">
        <f>B420/B419-1</f>
        <v/>
      </c>
      <c r="D420" s="66">
        <f>(Table16[[#This Row],[Index]]-B408)/B408</f>
        <v/>
      </c>
    </row>
    <row r="421">
      <c r="A421" s="17" t="n">
        <v>38899</v>
      </c>
      <c r="B421" s="58">
        <f>VLOOKUP(Table16[[#This Row],[Date]],database!A:H,4,)</f>
        <v/>
      </c>
      <c r="C421" s="66">
        <f>B421/B420-1</f>
        <v/>
      </c>
      <c r="D421" s="66">
        <f>(Table16[[#This Row],[Index]]-B409)/B409</f>
        <v/>
      </c>
    </row>
    <row r="422">
      <c r="A422" s="17" t="n">
        <v>38930</v>
      </c>
      <c r="B422" s="58">
        <f>VLOOKUP(Table16[[#This Row],[Date]],database!A:H,4,)</f>
        <v/>
      </c>
      <c r="C422" s="66">
        <f>B422/B421-1</f>
        <v/>
      </c>
      <c r="D422" s="66">
        <f>(Table16[[#This Row],[Index]]-B410)/B410</f>
        <v/>
      </c>
    </row>
    <row r="423">
      <c r="A423" s="17" t="n">
        <v>38961</v>
      </c>
      <c r="B423" s="58">
        <f>VLOOKUP(Table16[[#This Row],[Date]],database!A:H,4,)</f>
        <v/>
      </c>
      <c r="C423" s="66">
        <f>B423/B422-1</f>
        <v/>
      </c>
      <c r="D423" s="66">
        <f>(Table16[[#This Row],[Index]]-B411)/B411</f>
        <v/>
      </c>
    </row>
    <row r="424">
      <c r="A424" s="17" t="n">
        <v>38991</v>
      </c>
      <c r="B424" s="58">
        <f>VLOOKUP(Table16[[#This Row],[Date]],database!A:H,4,)</f>
        <v/>
      </c>
      <c r="C424" s="66">
        <f>B424/B423-1</f>
        <v/>
      </c>
      <c r="D424" s="66">
        <f>(Table16[[#This Row],[Index]]-B412)/B412</f>
        <v/>
      </c>
    </row>
    <row r="425">
      <c r="A425" s="17" t="n">
        <v>39022</v>
      </c>
      <c r="B425" s="58">
        <f>VLOOKUP(Table16[[#This Row],[Date]],database!A:H,4,)</f>
        <v/>
      </c>
      <c r="C425" s="66">
        <f>B425/B424-1</f>
        <v/>
      </c>
      <c r="D425" s="66">
        <f>(Table16[[#This Row],[Index]]-B413)/B413</f>
        <v/>
      </c>
    </row>
    <row r="426">
      <c r="A426" s="17" t="n">
        <v>39052</v>
      </c>
      <c r="B426" s="58">
        <f>VLOOKUP(Table16[[#This Row],[Date]],database!A:H,4,)</f>
        <v/>
      </c>
      <c r="C426" s="66">
        <f>B426/B425-1</f>
        <v/>
      </c>
      <c r="D426" s="66">
        <f>(Table16[[#This Row],[Index]]-B414)/B414</f>
        <v/>
      </c>
    </row>
    <row r="427">
      <c r="A427" s="17" t="n">
        <v>39083</v>
      </c>
      <c r="B427" s="58">
        <f>VLOOKUP(Table16[[#This Row],[Date]],database!A:H,4,)</f>
        <v/>
      </c>
      <c r="C427" s="66">
        <f>B427/B426-1</f>
        <v/>
      </c>
      <c r="D427" s="66">
        <f>(Table16[[#This Row],[Index]]-B415)/B415</f>
        <v/>
      </c>
    </row>
    <row r="428">
      <c r="A428" s="17" t="n">
        <v>39114</v>
      </c>
      <c r="B428" s="58">
        <f>VLOOKUP(Table16[[#This Row],[Date]],database!A:H,4,)</f>
        <v/>
      </c>
      <c r="C428" s="66">
        <f>B428/B427-1</f>
        <v/>
      </c>
      <c r="D428" s="66">
        <f>(Table16[[#This Row],[Index]]-B416)/B416</f>
        <v/>
      </c>
    </row>
    <row r="429">
      <c r="A429" s="17" t="n">
        <v>39142</v>
      </c>
      <c r="B429" s="58">
        <f>VLOOKUP(Table16[[#This Row],[Date]],database!A:H,4,)</f>
        <v/>
      </c>
      <c r="C429" s="66">
        <f>B429/B428-1</f>
        <v/>
      </c>
      <c r="D429" s="66">
        <f>(Table16[[#This Row],[Index]]-B417)/B417</f>
        <v/>
      </c>
    </row>
    <row r="430">
      <c r="A430" s="17" t="n">
        <v>39173</v>
      </c>
      <c r="B430" s="58">
        <f>VLOOKUP(Table16[[#This Row],[Date]],database!A:H,4,)</f>
        <v/>
      </c>
      <c r="C430" s="66">
        <f>B430/B429-1</f>
        <v/>
      </c>
      <c r="D430" s="66">
        <f>(Table16[[#This Row],[Index]]-B418)/B418</f>
        <v/>
      </c>
    </row>
    <row r="431">
      <c r="A431" s="17" t="n">
        <v>39203</v>
      </c>
      <c r="B431" s="58">
        <f>VLOOKUP(Table16[[#This Row],[Date]],database!A:H,4,)</f>
        <v/>
      </c>
      <c r="C431" s="66">
        <f>B431/B430-1</f>
        <v/>
      </c>
      <c r="D431" s="66">
        <f>(Table16[[#This Row],[Index]]-B419)/B419</f>
        <v/>
      </c>
    </row>
    <row r="432">
      <c r="A432" s="17" t="n">
        <v>39234</v>
      </c>
      <c r="B432" s="58">
        <f>VLOOKUP(Table16[[#This Row],[Date]],database!A:H,4,)</f>
        <v/>
      </c>
      <c r="C432" s="66">
        <f>B432/B431-1</f>
        <v/>
      </c>
      <c r="D432" s="66">
        <f>(Table16[[#This Row],[Index]]-B420)/B420</f>
        <v/>
      </c>
    </row>
    <row r="433">
      <c r="A433" s="17" t="n">
        <v>39264</v>
      </c>
      <c r="B433" s="58">
        <f>VLOOKUP(Table16[[#This Row],[Date]],database!A:H,4,)</f>
        <v/>
      </c>
      <c r="C433" s="66">
        <f>B433/B432-1</f>
        <v/>
      </c>
      <c r="D433" s="66">
        <f>(Table16[[#This Row],[Index]]-B421)/B421</f>
        <v/>
      </c>
    </row>
    <row r="434">
      <c r="A434" s="17" t="n">
        <v>39295</v>
      </c>
      <c r="B434" s="58">
        <f>VLOOKUP(Table16[[#This Row],[Date]],database!A:H,4,)</f>
        <v/>
      </c>
      <c r="C434" s="66">
        <f>B434/B433-1</f>
        <v/>
      </c>
      <c r="D434" s="66">
        <f>(Table16[[#This Row],[Index]]-B422)/B422</f>
        <v/>
      </c>
    </row>
    <row r="435">
      <c r="A435" s="17" t="n">
        <v>39326</v>
      </c>
      <c r="B435" s="58">
        <f>VLOOKUP(Table16[[#This Row],[Date]],database!A:H,4,)</f>
        <v/>
      </c>
      <c r="C435" s="66">
        <f>B435/B434-1</f>
        <v/>
      </c>
      <c r="D435" s="66">
        <f>(Table16[[#This Row],[Index]]-B423)/B423</f>
        <v/>
      </c>
    </row>
    <row r="436">
      <c r="A436" s="17" t="n">
        <v>39356</v>
      </c>
      <c r="B436" s="58">
        <f>VLOOKUP(Table16[[#This Row],[Date]],database!A:H,4,)</f>
        <v/>
      </c>
      <c r="C436" s="66">
        <f>B436/B435-1</f>
        <v/>
      </c>
      <c r="D436" s="66">
        <f>(Table16[[#This Row],[Index]]-B424)/B424</f>
        <v/>
      </c>
    </row>
    <row r="437">
      <c r="A437" s="17" t="n">
        <v>39387</v>
      </c>
      <c r="B437" s="58">
        <f>VLOOKUP(Table16[[#This Row],[Date]],database!A:H,4,)</f>
        <v/>
      </c>
      <c r="C437" s="66">
        <f>B437/B436-1</f>
        <v/>
      </c>
      <c r="D437" s="66">
        <f>(Table16[[#This Row],[Index]]-B425)/B425</f>
        <v/>
      </c>
    </row>
    <row r="438">
      <c r="A438" s="17" t="n">
        <v>39417</v>
      </c>
      <c r="B438" s="58">
        <f>VLOOKUP(Table16[[#This Row],[Date]],database!A:H,4,)</f>
        <v/>
      </c>
      <c r="C438" s="66">
        <f>B438/B437-1</f>
        <v/>
      </c>
      <c r="D438" s="66">
        <f>(Table16[[#This Row],[Index]]-B426)/B426</f>
        <v/>
      </c>
    </row>
    <row r="439">
      <c r="A439" s="17" t="n">
        <v>39448</v>
      </c>
      <c r="B439" s="58">
        <f>VLOOKUP(Table16[[#This Row],[Date]],database!A:H,4,)</f>
        <v/>
      </c>
      <c r="C439" s="66">
        <f>B439/B438-1</f>
        <v/>
      </c>
      <c r="D439" s="66">
        <f>(Table16[[#This Row],[Index]]-B427)/B427</f>
        <v/>
      </c>
    </row>
    <row r="440">
      <c r="A440" s="17" t="n">
        <v>39479</v>
      </c>
      <c r="B440" s="58">
        <f>VLOOKUP(Table16[[#This Row],[Date]],database!A:H,4,)</f>
        <v/>
      </c>
      <c r="C440" s="66">
        <f>B440/B439-1</f>
        <v/>
      </c>
      <c r="D440" s="66">
        <f>(Table16[[#This Row],[Index]]-B428)/B428</f>
        <v/>
      </c>
    </row>
    <row r="441">
      <c r="A441" s="17" t="n">
        <v>39508</v>
      </c>
      <c r="B441" s="58">
        <f>VLOOKUP(Table16[[#This Row],[Date]],database!A:H,4,)</f>
        <v/>
      </c>
      <c r="C441" s="66">
        <f>B441/B440-1</f>
        <v/>
      </c>
      <c r="D441" s="66">
        <f>(Table16[[#This Row],[Index]]-B429)/B429</f>
        <v/>
      </c>
    </row>
    <row r="442">
      <c r="A442" s="17" t="n">
        <v>39539</v>
      </c>
      <c r="B442" s="58">
        <f>VLOOKUP(Table16[[#This Row],[Date]],database!A:H,4,)</f>
        <v/>
      </c>
      <c r="C442" s="66">
        <f>B442/B441-1</f>
        <v/>
      </c>
      <c r="D442" s="66">
        <f>(Table16[[#This Row],[Index]]-B430)/B430</f>
        <v/>
      </c>
    </row>
    <row r="443">
      <c r="A443" s="17" t="n">
        <v>39569</v>
      </c>
      <c r="B443" s="58">
        <f>VLOOKUP(Table16[[#This Row],[Date]],database!A:H,4,)</f>
        <v/>
      </c>
      <c r="C443" s="66">
        <f>B443/B442-1</f>
        <v/>
      </c>
      <c r="D443" s="66">
        <f>(Table16[[#This Row],[Index]]-B431)/B431</f>
        <v/>
      </c>
    </row>
    <row r="444">
      <c r="A444" s="17" t="n">
        <v>39600</v>
      </c>
      <c r="B444" s="58">
        <f>VLOOKUP(Table16[[#This Row],[Date]],database!A:H,4,)</f>
        <v/>
      </c>
      <c r="C444" s="66">
        <f>B444/B443-1</f>
        <v/>
      </c>
      <c r="D444" s="66">
        <f>(Table16[[#This Row],[Index]]-B432)/B432</f>
        <v/>
      </c>
    </row>
    <row r="445">
      <c r="A445" s="17" t="n">
        <v>39630</v>
      </c>
      <c r="B445" s="58">
        <f>VLOOKUP(Table16[[#This Row],[Date]],database!A:H,4,)</f>
        <v/>
      </c>
      <c r="C445" s="66">
        <f>B445/B444-1</f>
        <v/>
      </c>
      <c r="D445" s="66">
        <f>(Table16[[#This Row],[Index]]-B433)/B433</f>
        <v/>
      </c>
    </row>
    <row r="446">
      <c r="A446" s="17" t="n">
        <v>39661</v>
      </c>
      <c r="B446" s="58">
        <f>VLOOKUP(Table16[[#This Row],[Date]],database!A:H,4,)</f>
        <v/>
      </c>
      <c r="C446" s="66">
        <f>B446/B445-1</f>
        <v/>
      </c>
      <c r="D446" s="66">
        <f>(Table16[[#This Row],[Index]]-B434)/B434</f>
        <v/>
      </c>
    </row>
    <row r="447">
      <c r="A447" s="17" t="n">
        <v>39692</v>
      </c>
      <c r="B447" s="58">
        <f>VLOOKUP(Table16[[#This Row],[Date]],database!A:H,4,)</f>
        <v/>
      </c>
      <c r="C447" s="66">
        <f>B447/B446-1</f>
        <v/>
      </c>
      <c r="D447" s="66">
        <f>(Table16[[#This Row],[Index]]-B435)/B435</f>
        <v/>
      </c>
    </row>
    <row r="448">
      <c r="A448" s="17" t="n">
        <v>39722</v>
      </c>
      <c r="B448" s="58">
        <f>VLOOKUP(Table16[[#This Row],[Date]],database!A:H,4,)</f>
        <v/>
      </c>
      <c r="C448" s="66">
        <f>B448/B447-1</f>
        <v/>
      </c>
      <c r="D448" s="66">
        <f>(Table16[[#This Row],[Index]]-B436)/B436</f>
        <v/>
      </c>
    </row>
    <row r="449">
      <c r="A449" s="17" t="n">
        <v>39753</v>
      </c>
      <c r="B449" s="58">
        <f>VLOOKUP(Table16[[#This Row],[Date]],database!A:H,4,)</f>
        <v/>
      </c>
      <c r="C449" s="66">
        <f>B449/B448-1</f>
        <v/>
      </c>
      <c r="D449" s="66">
        <f>(Table16[[#This Row],[Index]]-B437)/B437</f>
        <v/>
      </c>
    </row>
    <row r="450">
      <c r="A450" s="17" t="n">
        <v>39783</v>
      </c>
      <c r="B450" s="58">
        <f>VLOOKUP(Table16[[#This Row],[Date]],database!A:H,4,)</f>
        <v/>
      </c>
      <c r="C450" s="66">
        <f>B450/B449-1</f>
        <v/>
      </c>
      <c r="D450" s="66">
        <f>(Table16[[#This Row],[Index]]-B438)/B438</f>
        <v/>
      </c>
    </row>
    <row r="451">
      <c r="A451" s="17" t="n">
        <v>39814</v>
      </c>
      <c r="B451" s="58">
        <f>VLOOKUP(Table16[[#This Row],[Date]],database!A:H,4,)</f>
        <v/>
      </c>
      <c r="C451" s="66">
        <f>B451/B450-1</f>
        <v/>
      </c>
      <c r="D451" s="66">
        <f>(Table16[[#This Row],[Index]]-B439)/B439</f>
        <v/>
      </c>
    </row>
    <row r="452">
      <c r="A452" s="17" t="n">
        <v>39845</v>
      </c>
      <c r="B452" s="58">
        <f>VLOOKUP(Table16[[#This Row],[Date]],database!A:H,4,)</f>
        <v/>
      </c>
      <c r="C452" s="66">
        <f>B452/B451-1</f>
        <v/>
      </c>
      <c r="D452" s="66">
        <f>(Table16[[#This Row],[Index]]-B440)/B440</f>
        <v/>
      </c>
    </row>
    <row r="453">
      <c r="A453" s="17" t="n">
        <v>39873</v>
      </c>
      <c r="B453" s="58">
        <f>VLOOKUP(Table16[[#This Row],[Date]],database!A:H,4,)</f>
        <v/>
      </c>
      <c r="C453" s="66">
        <f>B453/B452-1</f>
        <v/>
      </c>
      <c r="D453" s="66">
        <f>(Table16[[#This Row],[Index]]-B441)/B441</f>
        <v/>
      </c>
    </row>
    <row r="454">
      <c r="A454" s="17" t="n">
        <v>39904</v>
      </c>
      <c r="B454" s="58">
        <f>VLOOKUP(Table16[[#This Row],[Date]],database!A:H,4,)</f>
        <v/>
      </c>
      <c r="C454" s="66">
        <f>B454/B453-1</f>
        <v/>
      </c>
      <c r="D454" s="66">
        <f>(Table16[[#This Row],[Index]]-B442)/B442</f>
        <v/>
      </c>
    </row>
    <row r="455">
      <c r="A455" s="17" t="n">
        <v>39934</v>
      </c>
      <c r="B455" s="58">
        <f>VLOOKUP(Table16[[#This Row],[Date]],database!A:H,4,)</f>
        <v/>
      </c>
      <c r="C455" s="66">
        <f>B455/B454-1</f>
        <v/>
      </c>
      <c r="D455" s="66">
        <f>(Table16[[#This Row],[Index]]-B443)/B443</f>
        <v/>
      </c>
    </row>
    <row r="456">
      <c r="A456" s="17" t="n">
        <v>39965</v>
      </c>
      <c r="B456" s="58">
        <f>VLOOKUP(Table16[[#This Row],[Date]],database!A:H,4,)</f>
        <v/>
      </c>
      <c r="C456" s="66">
        <f>B456/B455-1</f>
        <v/>
      </c>
      <c r="D456" s="66">
        <f>(Table16[[#This Row],[Index]]-B444)/B444</f>
        <v/>
      </c>
    </row>
    <row r="457">
      <c r="A457" s="17" t="n">
        <v>39995</v>
      </c>
      <c r="B457" s="58">
        <f>VLOOKUP(Table16[[#This Row],[Date]],database!A:H,4,)</f>
        <v/>
      </c>
      <c r="C457" s="66">
        <f>B457/B456-1</f>
        <v/>
      </c>
      <c r="D457" s="66">
        <f>(Table16[[#This Row],[Index]]-B445)/B445</f>
        <v/>
      </c>
    </row>
    <row r="458">
      <c r="A458" s="17" t="n">
        <v>40026</v>
      </c>
      <c r="B458" s="58">
        <f>VLOOKUP(Table16[[#This Row],[Date]],database!A:H,4,)</f>
        <v/>
      </c>
      <c r="C458" s="66">
        <f>B458/B457-1</f>
        <v/>
      </c>
      <c r="D458" s="66">
        <f>(Table16[[#This Row],[Index]]-B446)/B446</f>
        <v/>
      </c>
    </row>
    <row r="459">
      <c r="A459" s="17" t="n">
        <v>40057</v>
      </c>
      <c r="B459" s="58">
        <f>VLOOKUP(Table16[[#This Row],[Date]],database!A:H,4,)</f>
        <v/>
      </c>
      <c r="C459" s="66">
        <f>B459/B458-1</f>
        <v/>
      </c>
      <c r="D459" s="66">
        <f>(Table16[[#This Row],[Index]]-B447)/B447</f>
        <v/>
      </c>
    </row>
    <row r="460">
      <c r="A460" s="17" t="n">
        <v>40087</v>
      </c>
      <c r="B460" s="58">
        <f>VLOOKUP(Table16[[#This Row],[Date]],database!A:H,4,)</f>
        <v/>
      </c>
      <c r="C460" s="66">
        <f>B460/B459-1</f>
        <v/>
      </c>
      <c r="D460" s="66">
        <f>(Table16[[#This Row],[Index]]-B448)/B448</f>
        <v/>
      </c>
    </row>
    <row r="461">
      <c r="A461" s="17" t="n">
        <v>40118</v>
      </c>
      <c r="B461" s="58">
        <f>VLOOKUP(Table16[[#This Row],[Date]],database!A:H,4,)</f>
        <v/>
      </c>
      <c r="C461" s="66">
        <f>B461/B460-1</f>
        <v/>
      </c>
      <c r="D461" s="66">
        <f>(Table16[[#This Row],[Index]]-B449)/B449</f>
        <v/>
      </c>
    </row>
    <row r="462">
      <c r="A462" s="17" t="n">
        <v>40148</v>
      </c>
      <c r="B462" s="58">
        <f>VLOOKUP(Table16[[#This Row],[Date]],database!A:H,4,)</f>
        <v/>
      </c>
      <c r="C462" s="66">
        <f>B462/B461-1</f>
        <v/>
      </c>
      <c r="D462" s="66">
        <f>(Table16[[#This Row],[Index]]-B450)/B450</f>
        <v/>
      </c>
    </row>
    <row r="463">
      <c r="A463" s="17" t="n">
        <v>40179</v>
      </c>
      <c r="B463" s="58">
        <f>VLOOKUP(Table16[[#This Row],[Date]],database!A:H,4,)</f>
        <v/>
      </c>
      <c r="C463" s="66">
        <f>B463/B462-1</f>
        <v/>
      </c>
      <c r="D463" s="66">
        <f>(Table16[[#This Row],[Index]]-B451)/B451</f>
        <v/>
      </c>
    </row>
    <row r="464">
      <c r="A464" s="17" t="n">
        <v>40210</v>
      </c>
      <c r="B464" s="58">
        <f>VLOOKUP(Table16[[#This Row],[Date]],database!A:H,4,)</f>
        <v/>
      </c>
      <c r="C464" s="66">
        <f>B464/B463-1</f>
        <v/>
      </c>
      <c r="D464" s="66">
        <f>(Table16[[#This Row],[Index]]-B452)/B452</f>
        <v/>
      </c>
    </row>
    <row r="465">
      <c r="A465" s="17" t="n">
        <v>40238</v>
      </c>
      <c r="B465" s="58">
        <f>VLOOKUP(Table16[[#This Row],[Date]],database!A:H,4,)</f>
        <v/>
      </c>
      <c r="C465" s="66">
        <f>B465/B464-1</f>
        <v/>
      </c>
      <c r="D465" s="66">
        <f>(Table16[[#This Row],[Index]]-B453)/B453</f>
        <v/>
      </c>
    </row>
    <row r="466">
      <c r="A466" s="17" t="n">
        <v>40269</v>
      </c>
      <c r="B466" s="58">
        <f>VLOOKUP(Table16[[#This Row],[Date]],database!A:H,4,)</f>
        <v/>
      </c>
      <c r="C466" s="66">
        <f>B466/B465-1</f>
        <v/>
      </c>
      <c r="D466" s="66">
        <f>(Table16[[#This Row],[Index]]-B454)/B454</f>
        <v/>
      </c>
    </row>
    <row r="467">
      <c r="A467" s="17" t="n">
        <v>40299</v>
      </c>
      <c r="B467" s="58">
        <f>VLOOKUP(Table16[[#This Row],[Date]],database!A:H,4,)</f>
        <v/>
      </c>
      <c r="C467" s="66">
        <f>B467/B466-1</f>
        <v/>
      </c>
      <c r="D467" s="66">
        <f>(Table16[[#This Row],[Index]]-B455)/B455</f>
        <v/>
      </c>
    </row>
    <row r="468">
      <c r="A468" s="17" t="n">
        <v>40330</v>
      </c>
      <c r="B468" s="58">
        <f>VLOOKUP(Table16[[#This Row],[Date]],database!A:H,4,)</f>
        <v/>
      </c>
      <c r="C468" s="66">
        <f>B468/B467-1</f>
        <v/>
      </c>
      <c r="D468" s="66">
        <f>(Table16[[#This Row],[Index]]-B456)/B456</f>
        <v/>
      </c>
    </row>
    <row r="469">
      <c r="A469" s="17" t="n">
        <v>40360</v>
      </c>
      <c r="B469" s="58">
        <f>VLOOKUP(Table16[[#This Row],[Date]],database!A:H,4,)</f>
        <v/>
      </c>
      <c r="C469" s="66">
        <f>B469/B468-1</f>
        <v/>
      </c>
      <c r="D469" s="66">
        <f>(Table16[[#This Row],[Index]]-B457)/B457</f>
        <v/>
      </c>
    </row>
    <row r="470">
      <c r="A470" s="17" t="n">
        <v>40391</v>
      </c>
      <c r="B470" s="58">
        <f>VLOOKUP(Table16[[#This Row],[Date]],database!A:H,4,)</f>
        <v/>
      </c>
      <c r="C470" s="66">
        <f>B470/B469-1</f>
        <v/>
      </c>
      <c r="D470" s="66">
        <f>(Table16[[#This Row],[Index]]-B458)/B458</f>
        <v/>
      </c>
    </row>
    <row r="471">
      <c r="A471" s="17" t="n">
        <v>40422</v>
      </c>
      <c r="B471" s="58">
        <f>VLOOKUP(Table16[[#This Row],[Date]],database!A:H,4,)</f>
        <v/>
      </c>
      <c r="C471" s="66">
        <f>B471/B470-1</f>
        <v/>
      </c>
      <c r="D471" s="66">
        <f>(Table16[[#This Row],[Index]]-B459)/B459</f>
        <v/>
      </c>
    </row>
    <row r="472">
      <c r="A472" s="17" t="n">
        <v>40452</v>
      </c>
      <c r="B472" s="58">
        <f>VLOOKUP(Table16[[#This Row],[Date]],database!A:H,4,)</f>
        <v/>
      </c>
      <c r="C472" s="66">
        <f>B472/B471-1</f>
        <v/>
      </c>
      <c r="D472" s="66">
        <f>(Table16[[#This Row],[Index]]-B460)/B460</f>
        <v/>
      </c>
    </row>
    <row r="473">
      <c r="A473" s="17" t="n">
        <v>40483</v>
      </c>
      <c r="B473" s="58">
        <f>VLOOKUP(Table16[[#This Row],[Date]],database!A:H,4,)</f>
        <v/>
      </c>
      <c r="C473" s="66">
        <f>B473/B472-1</f>
        <v/>
      </c>
      <c r="D473" s="66">
        <f>(Table16[[#This Row],[Index]]-B461)/B461</f>
        <v/>
      </c>
    </row>
    <row r="474">
      <c r="A474" s="17" t="n">
        <v>40513</v>
      </c>
      <c r="B474" s="58">
        <f>VLOOKUP(Table16[[#This Row],[Date]],database!A:H,4,)</f>
        <v/>
      </c>
      <c r="C474" s="66">
        <f>B474/B473-1</f>
        <v/>
      </c>
      <c r="D474" s="66">
        <f>(Table16[[#This Row],[Index]]-B462)/B462</f>
        <v/>
      </c>
    </row>
    <row r="475">
      <c r="A475" s="17" t="n">
        <v>40544</v>
      </c>
      <c r="B475" s="58">
        <f>VLOOKUP(Table16[[#This Row],[Date]],database!A:H,4,)</f>
        <v/>
      </c>
      <c r="C475" s="66">
        <f>B475/B474-1</f>
        <v/>
      </c>
      <c r="D475" s="66">
        <f>(Table16[[#This Row],[Index]]-B463)/B463</f>
        <v/>
      </c>
    </row>
    <row r="476">
      <c r="A476" s="17" t="n">
        <v>40575</v>
      </c>
      <c r="B476" s="58">
        <f>VLOOKUP(Table16[[#This Row],[Date]],database!A:H,4,)</f>
        <v/>
      </c>
      <c r="C476" s="66">
        <f>B476/B475-1</f>
        <v/>
      </c>
      <c r="D476" s="66">
        <f>(Table16[[#This Row],[Index]]-B464)/B464</f>
        <v/>
      </c>
    </row>
    <row r="477">
      <c r="A477" s="17" t="n">
        <v>40603</v>
      </c>
      <c r="B477" s="58">
        <f>VLOOKUP(Table16[[#This Row],[Date]],database!A:H,4,)</f>
        <v/>
      </c>
      <c r="C477" s="66">
        <f>B477/B476-1</f>
        <v/>
      </c>
      <c r="D477" s="66">
        <f>(Table16[[#This Row],[Index]]-B465)/B465</f>
        <v/>
      </c>
    </row>
    <row r="478">
      <c r="A478" s="17" t="n">
        <v>40634</v>
      </c>
      <c r="B478" s="58">
        <f>VLOOKUP(Table16[[#This Row],[Date]],database!A:H,4,)</f>
        <v/>
      </c>
      <c r="C478" s="67">
        <f>B478/B477-1</f>
        <v/>
      </c>
      <c r="D478" s="66">
        <f>(Table16[[#This Row],[Index]]-B466)/B466</f>
        <v/>
      </c>
    </row>
    <row r="479">
      <c r="A479" s="17" t="n">
        <v>40664</v>
      </c>
      <c r="B479" s="58">
        <f>VLOOKUP(Table16[[#This Row],[Date]],database!A:H,4,)</f>
        <v/>
      </c>
      <c r="C479" s="66">
        <f>B479/B478-1</f>
        <v/>
      </c>
      <c r="D479" s="66">
        <f>(Table16[[#This Row],[Index]]-B467)/B467</f>
        <v/>
      </c>
    </row>
    <row r="480">
      <c r="A480" s="17" t="n">
        <v>40695</v>
      </c>
      <c r="B480" s="58">
        <f>VLOOKUP(Table16[[#This Row],[Date]],database!A:H,4,)</f>
        <v/>
      </c>
      <c r="C480" s="66">
        <f>B480/B479-1</f>
        <v/>
      </c>
      <c r="D480" s="66">
        <f>(Table16[[#This Row],[Index]]-B468)/B468</f>
        <v/>
      </c>
    </row>
    <row r="481">
      <c r="A481" s="17" t="n">
        <v>40725</v>
      </c>
      <c r="B481" s="58">
        <f>VLOOKUP(Table16[[#This Row],[Date]],database!A:H,4,)</f>
        <v/>
      </c>
      <c r="C481" s="66">
        <f>B481/B480-1</f>
        <v/>
      </c>
      <c r="D481" s="66">
        <f>(Table16[[#This Row],[Index]]-B469)/B469</f>
        <v/>
      </c>
    </row>
    <row r="482">
      <c r="A482" s="17" t="n">
        <v>40756</v>
      </c>
      <c r="B482" s="58">
        <f>VLOOKUP(Table16[[#This Row],[Date]],database!A:H,4,)</f>
        <v/>
      </c>
      <c r="C482" s="66">
        <f>B482/B481-1</f>
        <v/>
      </c>
      <c r="D482" s="66">
        <f>(Table16[[#This Row],[Index]]-B470)/B470</f>
        <v/>
      </c>
    </row>
    <row r="483">
      <c r="A483" s="17" t="n">
        <v>40787</v>
      </c>
      <c r="B483" s="58">
        <f>VLOOKUP(Table16[[#This Row],[Date]],database!A:H,4,)</f>
        <v/>
      </c>
      <c r="C483" s="66">
        <f>B483/B482-1</f>
        <v/>
      </c>
      <c r="D483" s="66">
        <f>(Table16[[#This Row],[Index]]-B471)/B471</f>
        <v/>
      </c>
    </row>
    <row r="484">
      <c r="A484" s="17" t="n">
        <v>40817</v>
      </c>
      <c r="B484" s="58">
        <f>VLOOKUP(Table16[[#This Row],[Date]],database!A:H,4,)</f>
        <v/>
      </c>
      <c r="C484" s="66">
        <f>B484/B483-1</f>
        <v/>
      </c>
      <c r="D484" s="66">
        <f>(Table16[[#This Row],[Index]]-B472)/B472</f>
        <v/>
      </c>
    </row>
    <row r="485">
      <c r="A485" s="17" t="n">
        <v>40848</v>
      </c>
      <c r="B485" s="58">
        <f>VLOOKUP(Table16[[#This Row],[Date]],database!A:H,4,)</f>
        <v/>
      </c>
      <c r="C485" s="66">
        <f>B485/B484-1</f>
        <v/>
      </c>
      <c r="D485" s="66">
        <f>(Table16[[#This Row],[Index]]-B473)/B473</f>
        <v/>
      </c>
    </row>
    <row r="486">
      <c r="A486" s="17" t="n">
        <v>40878</v>
      </c>
      <c r="B486" s="58">
        <f>VLOOKUP(Table16[[#This Row],[Date]],database!A:H,4,)</f>
        <v/>
      </c>
      <c r="C486" s="66">
        <f>B486/B485-1</f>
        <v/>
      </c>
      <c r="D486" s="66">
        <f>(Table16[[#This Row],[Index]]-B474)/B474</f>
        <v/>
      </c>
    </row>
    <row r="487">
      <c r="A487" s="17" t="n">
        <v>40909</v>
      </c>
      <c r="B487" s="58">
        <f>VLOOKUP(Table16[[#This Row],[Date]],database!A:H,4,)</f>
        <v/>
      </c>
      <c r="C487" s="66">
        <f>B487/B486-1</f>
        <v/>
      </c>
      <c r="D487" s="66">
        <f>(Table16[[#This Row],[Index]]-B475)/B475</f>
        <v/>
      </c>
    </row>
    <row r="488">
      <c r="A488" s="17" t="n">
        <v>40940</v>
      </c>
      <c r="B488" s="58">
        <f>VLOOKUP(Table16[[#This Row],[Date]],database!A:H,4,)</f>
        <v/>
      </c>
      <c r="C488" s="66">
        <f>B488/B487-1</f>
        <v/>
      </c>
      <c r="D488" s="66">
        <f>(Table16[[#This Row],[Index]]-B476)/B476</f>
        <v/>
      </c>
    </row>
    <row r="489">
      <c r="A489" s="17" t="n">
        <v>40969</v>
      </c>
      <c r="B489" s="58">
        <f>VLOOKUP(Table16[[#This Row],[Date]],database!A:H,4,)</f>
        <v/>
      </c>
      <c r="C489" s="66">
        <f>B489/B488-1</f>
        <v/>
      </c>
      <c r="D489" s="66">
        <f>(Table16[[#This Row],[Index]]-B477)/B477</f>
        <v/>
      </c>
    </row>
    <row r="490">
      <c r="A490" s="17" t="n">
        <v>41000</v>
      </c>
      <c r="B490" s="58">
        <f>VLOOKUP(Table16[[#This Row],[Date]],database!A:H,4,)</f>
        <v/>
      </c>
      <c r="C490" s="66">
        <f>B490/B489-1</f>
        <v/>
      </c>
      <c r="D490" s="66">
        <f>(Table16[[#This Row],[Index]]-B478)/B478</f>
        <v/>
      </c>
    </row>
    <row r="491">
      <c r="A491" s="17" t="n">
        <v>41030</v>
      </c>
      <c r="B491" s="58">
        <f>VLOOKUP(Table16[[#This Row],[Date]],database!A:H,4,)</f>
        <v/>
      </c>
      <c r="C491" s="66">
        <f>B491/B490-1</f>
        <v/>
      </c>
      <c r="D491" s="66">
        <f>(Table16[[#This Row],[Index]]-B479)/B479</f>
        <v/>
      </c>
    </row>
    <row r="492">
      <c r="A492" s="17" t="n">
        <v>41061</v>
      </c>
      <c r="B492" s="58">
        <f>VLOOKUP(Table16[[#This Row],[Date]],database!A:H,4,)</f>
        <v/>
      </c>
      <c r="C492" s="66">
        <f>B492/B491-1</f>
        <v/>
      </c>
      <c r="D492" s="66">
        <f>(Table16[[#This Row],[Index]]-B480)/B480</f>
        <v/>
      </c>
    </row>
    <row r="493">
      <c r="A493" s="17" t="n">
        <v>41091</v>
      </c>
      <c r="B493" s="58">
        <f>VLOOKUP(Table16[[#This Row],[Date]],database!A:H,4,)</f>
        <v/>
      </c>
      <c r="C493" s="66">
        <f>B493/B492-1</f>
        <v/>
      </c>
      <c r="D493" s="66">
        <f>(Table16[[#This Row],[Index]]-B481)/B481</f>
        <v/>
      </c>
    </row>
    <row r="494">
      <c r="A494" s="17" t="n">
        <v>41122</v>
      </c>
      <c r="B494" s="58">
        <f>VLOOKUP(Table16[[#This Row],[Date]],database!A:H,4,)</f>
        <v/>
      </c>
      <c r="C494" s="66">
        <f>B494/B493-1</f>
        <v/>
      </c>
      <c r="D494" s="66">
        <f>(Table16[[#This Row],[Index]]-B482)/B482</f>
        <v/>
      </c>
    </row>
    <row r="495">
      <c r="A495" s="17" t="n">
        <v>41153</v>
      </c>
      <c r="B495" s="58">
        <f>VLOOKUP(Table16[[#This Row],[Date]],database!A:H,4,)</f>
        <v/>
      </c>
      <c r="C495" s="66">
        <f>B495/B494-1</f>
        <v/>
      </c>
      <c r="D495" s="66">
        <f>(Table16[[#This Row],[Index]]-B483)/B483</f>
        <v/>
      </c>
    </row>
    <row r="496">
      <c r="A496" s="17" t="n">
        <v>41183</v>
      </c>
      <c r="B496" s="58">
        <f>VLOOKUP(Table16[[#This Row],[Date]],database!A:H,4,)</f>
        <v/>
      </c>
      <c r="C496" s="66">
        <f>B496/B495-1</f>
        <v/>
      </c>
      <c r="D496" s="66">
        <f>(Table16[[#This Row],[Index]]-B484)/B484</f>
        <v/>
      </c>
    </row>
    <row r="497">
      <c r="A497" s="17" t="n">
        <v>41214</v>
      </c>
      <c r="B497" s="58">
        <f>VLOOKUP(Table16[[#This Row],[Date]],database!A:H,4,)</f>
        <v/>
      </c>
      <c r="C497" s="66">
        <f>B497/B496-1</f>
        <v/>
      </c>
      <c r="D497" s="66">
        <f>(Table16[[#This Row],[Index]]-B485)/B485</f>
        <v/>
      </c>
    </row>
    <row r="498">
      <c r="A498" s="17" t="n">
        <v>41244</v>
      </c>
      <c r="B498" s="58">
        <f>VLOOKUP(Table16[[#This Row],[Date]],database!A:H,4,)</f>
        <v/>
      </c>
      <c r="C498" s="66">
        <f>B498/B497-1</f>
        <v/>
      </c>
      <c r="D498" s="66">
        <f>(Table16[[#This Row],[Index]]-B486)/B486</f>
        <v/>
      </c>
    </row>
    <row r="499">
      <c r="A499" s="17" t="n">
        <v>41275</v>
      </c>
      <c r="B499" s="58">
        <f>VLOOKUP(Table16[[#This Row],[Date]],database!A:H,4,)</f>
        <v/>
      </c>
      <c r="C499" s="66">
        <f>B499/B498-1</f>
        <v/>
      </c>
      <c r="D499" s="66">
        <f>(Table16[[#This Row],[Index]]-B487)/B487</f>
        <v/>
      </c>
    </row>
    <row r="500">
      <c r="A500" s="17" t="n">
        <v>41306</v>
      </c>
      <c r="B500" s="58">
        <f>VLOOKUP(Table16[[#This Row],[Date]],database!A:H,4,)</f>
        <v/>
      </c>
      <c r="C500" s="66">
        <f>B500/B499-1</f>
        <v/>
      </c>
      <c r="D500" s="66">
        <f>(Table16[[#This Row],[Index]]-B488)/B488</f>
        <v/>
      </c>
    </row>
    <row r="501">
      <c r="A501" s="17" t="n">
        <v>41334</v>
      </c>
      <c r="B501" s="58">
        <f>VLOOKUP(Table16[[#This Row],[Date]],database!A:H,4,)</f>
        <v/>
      </c>
      <c r="C501" s="66">
        <f>B501/B500-1</f>
        <v/>
      </c>
      <c r="D501" s="66">
        <f>(Table16[[#This Row],[Index]]-B489)/B489</f>
        <v/>
      </c>
    </row>
    <row r="502">
      <c r="A502" s="17" t="n">
        <v>41365</v>
      </c>
      <c r="B502" s="58">
        <f>VLOOKUP(Table16[[#This Row],[Date]],database!A:H,4,)</f>
        <v/>
      </c>
      <c r="C502" s="66">
        <f>B502/B501-1</f>
        <v/>
      </c>
      <c r="D502" s="66">
        <f>(Table16[[#This Row],[Index]]-B490)/B490</f>
        <v/>
      </c>
    </row>
    <row r="503">
      <c r="A503" s="17" t="n">
        <v>41395</v>
      </c>
      <c r="B503" s="58">
        <f>VLOOKUP(Table16[[#This Row],[Date]],database!A:H,4,)</f>
        <v/>
      </c>
      <c r="C503" s="66">
        <f>B503/B502-1</f>
        <v/>
      </c>
      <c r="D503" s="66">
        <f>(Table16[[#This Row],[Index]]-B491)/B491</f>
        <v/>
      </c>
    </row>
    <row r="504">
      <c r="A504" s="17" t="n">
        <v>41426</v>
      </c>
      <c r="B504" s="58">
        <f>VLOOKUP(Table16[[#This Row],[Date]],database!A:H,4,)</f>
        <v/>
      </c>
      <c r="C504" s="66">
        <f>B504/B503-1</f>
        <v/>
      </c>
      <c r="D504" s="66">
        <f>(Table16[[#This Row],[Index]]-B492)/B492</f>
        <v/>
      </c>
    </row>
    <row r="505">
      <c r="A505" s="17" t="n">
        <v>41456</v>
      </c>
      <c r="B505" s="58">
        <f>VLOOKUP(Table16[[#This Row],[Date]],database!A:H,4,)</f>
        <v/>
      </c>
      <c r="C505" s="66">
        <f>B505/B504-1</f>
        <v/>
      </c>
      <c r="D505" s="66">
        <f>(Table16[[#This Row],[Index]]-B493)/B493</f>
        <v/>
      </c>
    </row>
    <row r="506">
      <c r="A506" s="17" t="n">
        <v>41487</v>
      </c>
      <c r="B506" s="58">
        <f>VLOOKUP(Table16[[#This Row],[Date]],database!A:H,4,)</f>
        <v/>
      </c>
      <c r="C506" s="66">
        <f>B506/B505-1</f>
        <v/>
      </c>
      <c r="D506" s="66">
        <f>(Table16[[#This Row],[Index]]-B494)/B494</f>
        <v/>
      </c>
    </row>
    <row r="507">
      <c r="A507" s="17" t="n">
        <v>41518</v>
      </c>
      <c r="B507" s="58">
        <f>VLOOKUP(Table16[[#This Row],[Date]],database!A:H,4,)</f>
        <v/>
      </c>
      <c r="C507" s="66">
        <f>B507/B506-1</f>
        <v/>
      </c>
      <c r="D507" s="66">
        <f>(Table16[[#This Row],[Index]]-B495)/B495</f>
        <v/>
      </c>
    </row>
    <row r="508">
      <c r="A508" s="17" t="n">
        <v>41548</v>
      </c>
      <c r="B508" s="58">
        <f>VLOOKUP(Table16[[#This Row],[Date]],database!A:H,4,)</f>
        <v/>
      </c>
      <c r="C508" s="66">
        <f>B508/B507-1</f>
        <v/>
      </c>
      <c r="D508" s="66">
        <f>(Table16[[#This Row],[Index]]-B496)/B496</f>
        <v/>
      </c>
    </row>
    <row r="509">
      <c r="A509" s="17" t="n">
        <v>41579</v>
      </c>
      <c r="B509" s="58">
        <f>VLOOKUP(Table16[[#This Row],[Date]],database!A:H,4,)</f>
        <v/>
      </c>
      <c r="C509" s="66">
        <f>B509/B508-1</f>
        <v/>
      </c>
      <c r="D509" s="66">
        <f>(Table16[[#This Row],[Index]]-B497)/B497</f>
        <v/>
      </c>
    </row>
    <row r="510">
      <c r="A510" s="17" t="n">
        <v>41609</v>
      </c>
      <c r="B510" s="58">
        <f>VLOOKUP(Table16[[#This Row],[Date]],database!A:H,4,)</f>
        <v/>
      </c>
      <c r="C510" s="66">
        <f>B510/B509-1</f>
        <v/>
      </c>
      <c r="D510" s="66">
        <f>(Table16[[#This Row],[Index]]-B498)/B498</f>
        <v/>
      </c>
    </row>
    <row r="511">
      <c r="A511" s="17" t="n">
        <v>41640</v>
      </c>
      <c r="B511" s="58">
        <f>VLOOKUP(Table16[[#This Row],[Date]],database!A:H,4,)</f>
        <v/>
      </c>
      <c r="C511" s="66">
        <f>B511/B510-1</f>
        <v/>
      </c>
      <c r="D511" s="66">
        <f>(Table16[[#This Row],[Index]]-B499)/B499</f>
        <v/>
      </c>
    </row>
    <row r="512">
      <c r="A512" s="17" t="n">
        <v>41671</v>
      </c>
      <c r="B512" s="58">
        <f>VLOOKUP(Table16[[#This Row],[Date]],database!A:H,4,)</f>
        <v/>
      </c>
      <c r="C512" s="66">
        <f>B512/B511-1</f>
        <v/>
      </c>
      <c r="D512" s="66">
        <f>(Table16[[#This Row],[Index]]-B500)/B500</f>
        <v/>
      </c>
    </row>
    <row r="513">
      <c r="A513" s="17" t="n">
        <v>41699</v>
      </c>
      <c r="B513" s="58">
        <f>VLOOKUP(Table16[[#This Row],[Date]],database!A:H,4,)</f>
        <v/>
      </c>
      <c r="C513" s="66">
        <f>B513/B512-1</f>
        <v/>
      </c>
      <c r="D513" s="66">
        <f>(Table16[[#This Row],[Index]]-B501)/B501</f>
        <v/>
      </c>
    </row>
    <row r="514">
      <c r="A514" s="17" t="n">
        <v>41730</v>
      </c>
      <c r="B514" s="58">
        <f>VLOOKUP(Table16[[#This Row],[Date]],database!A:H,4,)</f>
        <v/>
      </c>
      <c r="C514" s="66">
        <f>B514/B513-1</f>
        <v/>
      </c>
      <c r="D514" s="66">
        <f>(Table16[[#This Row],[Index]]-B502)/B502</f>
        <v/>
      </c>
    </row>
    <row r="515">
      <c r="A515" s="17" t="n">
        <v>41760</v>
      </c>
      <c r="B515" s="58">
        <f>VLOOKUP(Table16[[#This Row],[Date]],database!A:H,4,)</f>
        <v/>
      </c>
      <c r="C515" s="66">
        <f>B515/B514-1</f>
        <v/>
      </c>
      <c r="D515" s="66">
        <f>(Table16[[#This Row],[Index]]-B503)/B503</f>
        <v/>
      </c>
    </row>
    <row r="516">
      <c r="A516" s="17" t="n">
        <v>41791</v>
      </c>
      <c r="B516" s="58">
        <f>VLOOKUP(Table16[[#This Row],[Date]],database!A:H,4,)</f>
        <v/>
      </c>
      <c r="C516" s="66">
        <f>B516/B515-1</f>
        <v/>
      </c>
      <c r="D516" s="66">
        <f>(Table16[[#This Row],[Index]]-B504)/B504</f>
        <v/>
      </c>
    </row>
    <row r="517">
      <c r="A517" s="17" t="n">
        <v>41821</v>
      </c>
      <c r="B517" s="58">
        <f>VLOOKUP(Table16[[#This Row],[Date]],database!A:H,4,)</f>
        <v/>
      </c>
      <c r="C517" s="66">
        <f>B517/B516-1</f>
        <v/>
      </c>
      <c r="D517" s="66">
        <f>(Table16[[#This Row],[Index]]-B505)/B505</f>
        <v/>
      </c>
    </row>
    <row r="518">
      <c r="A518" s="17" t="n">
        <v>41852</v>
      </c>
      <c r="B518" s="58">
        <f>VLOOKUP(Table16[[#This Row],[Date]],database!A:H,4,)</f>
        <v/>
      </c>
      <c r="C518" s="66">
        <f>B518/B517-1</f>
        <v/>
      </c>
      <c r="D518" s="66">
        <f>(Table16[[#This Row],[Index]]-B506)/B506</f>
        <v/>
      </c>
    </row>
    <row r="519">
      <c r="A519" s="17" t="n">
        <v>41883</v>
      </c>
      <c r="B519" s="58">
        <f>VLOOKUP(Table16[[#This Row],[Date]],database!A:H,4,)</f>
        <v/>
      </c>
      <c r="C519" s="66">
        <f>B519/B518-1</f>
        <v/>
      </c>
      <c r="D519" s="66">
        <f>(Table16[[#This Row],[Index]]-B507)/B507</f>
        <v/>
      </c>
    </row>
    <row r="520">
      <c r="A520" s="17" t="n">
        <v>41913</v>
      </c>
      <c r="B520" s="58">
        <f>VLOOKUP(Table16[[#This Row],[Date]],database!A:H,4,)</f>
        <v/>
      </c>
      <c r="C520" s="66">
        <f>B520/B519-1</f>
        <v/>
      </c>
      <c r="D520" s="66">
        <f>(Table16[[#This Row],[Index]]-B508)/B508</f>
        <v/>
      </c>
    </row>
    <row r="521">
      <c r="A521" s="17" t="n">
        <v>41944</v>
      </c>
      <c r="B521" s="58">
        <f>VLOOKUP(Table16[[#This Row],[Date]],database!A:H,4,)</f>
        <v/>
      </c>
      <c r="C521" s="67">
        <f>B521/B520-1</f>
        <v/>
      </c>
      <c r="D521" s="66">
        <f>(Table16[[#This Row],[Index]]-B509)/B509</f>
        <v/>
      </c>
    </row>
    <row r="522">
      <c r="A522" s="17" t="n">
        <v>41974</v>
      </c>
      <c r="B522" s="58">
        <f>VLOOKUP(Table16[[#This Row],[Date]],database!A:H,4,)</f>
        <v/>
      </c>
      <c r="C522" s="66">
        <f>B522/B521-1</f>
        <v/>
      </c>
      <c r="D522" s="66">
        <f>(Table16[[#This Row],[Index]]-B510)/B510</f>
        <v/>
      </c>
    </row>
    <row r="523">
      <c r="A523" s="17" t="n">
        <v>42005</v>
      </c>
      <c r="B523" s="58">
        <f>VLOOKUP(Table16[[#This Row],[Date]],database!A:H,4,)</f>
        <v/>
      </c>
      <c r="C523" s="67">
        <f>B523/B522-1</f>
        <v/>
      </c>
      <c r="D523" s="66">
        <f>(Table16[[#This Row],[Index]]-B511)/B511</f>
        <v/>
      </c>
    </row>
    <row r="524">
      <c r="A524" s="17" t="n">
        <v>42036</v>
      </c>
      <c r="B524" s="58">
        <f>VLOOKUP(Table16[[#This Row],[Date]],database!A:H,4,)</f>
        <v/>
      </c>
      <c r="C524" s="66">
        <f>B524/B523-1</f>
        <v/>
      </c>
      <c r="D524" s="66">
        <f>(Table16[[#This Row],[Index]]-B512)/B512</f>
        <v/>
      </c>
    </row>
    <row r="525">
      <c r="A525" s="17" t="n">
        <v>42064</v>
      </c>
      <c r="B525" s="58">
        <f>VLOOKUP(Table16[[#This Row],[Date]],database!A:H,4,)</f>
        <v/>
      </c>
      <c r="C525" s="67">
        <f>B525/B524-1</f>
        <v/>
      </c>
      <c r="D525" s="66">
        <f>(Table16[[#This Row],[Index]]-B513)/B513</f>
        <v/>
      </c>
    </row>
    <row r="526">
      <c r="A526" s="17" t="n">
        <v>42095</v>
      </c>
      <c r="B526" s="58">
        <f>VLOOKUP(Table16[[#This Row],[Date]],database!A:H,4,)</f>
        <v/>
      </c>
      <c r="C526" s="66">
        <f>B526/B525-1</f>
        <v/>
      </c>
      <c r="D526" s="66">
        <f>(Table16[[#This Row],[Index]]-B514)/B514</f>
        <v/>
      </c>
    </row>
    <row r="527">
      <c r="A527" s="17" t="n">
        <v>42125</v>
      </c>
      <c r="B527" s="58">
        <f>VLOOKUP(Table16[[#This Row],[Date]],database!A:H,4,)</f>
        <v/>
      </c>
      <c r="C527" s="66">
        <f>B527/B526-1</f>
        <v/>
      </c>
      <c r="D527" s="66">
        <f>(Table16[[#This Row],[Index]]-B515)/B515</f>
        <v/>
      </c>
    </row>
    <row r="528">
      <c r="A528" s="17" t="n">
        <v>42156</v>
      </c>
      <c r="B528" s="58">
        <f>VLOOKUP(Table16[[#This Row],[Date]],database!A:H,4,)</f>
        <v/>
      </c>
      <c r="C528" s="66">
        <f>B528/B527-1</f>
        <v/>
      </c>
      <c r="D528" s="66">
        <f>(Table16[[#This Row],[Index]]-B516)/B516</f>
        <v/>
      </c>
    </row>
    <row r="529">
      <c r="A529" s="17" t="n">
        <v>42186</v>
      </c>
      <c r="B529" s="58">
        <f>VLOOKUP(Table16[[#This Row],[Date]],database!A:H,4,)</f>
        <v/>
      </c>
      <c r="C529" s="66">
        <f>B529/B528-1</f>
        <v/>
      </c>
      <c r="D529" s="66">
        <f>(Table16[[#This Row],[Index]]-B517)/B517</f>
        <v/>
      </c>
    </row>
    <row r="530">
      <c r="A530" s="17" t="n">
        <v>42217</v>
      </c>
      <c r="B530" s="58">
        <f>VLOOKUP(Table16[[#This Row],[Date]],database!A:H,4,)</f>
        <v/>
      </c>
      <c r="C530" s="66">
        <f>B530/B529-1</f>
        <v/>
      </c>
      <c r="D530" s="66">
        <f>(Table16[[#This Row],[Index]]-B518)/B518</f>
        <v/>
      </c>
    </row>
    <row r="531">
      <c r="A531" s="17" t="n">
        <v>42248</v>
      </c>
      <c r="B531" s="58">
        <f>VLOOKUP(Table16[[#This Row],[Date]],database!A:H,4,)</f>
        <v/>
      </c>
      <c r="C531" s="66">
        <f>B531/B530-1</f>
        <v/>
      </c>
      <c r="D531" s="66">
        <f>(Table16[[#This Row],[Index]]-B519)/B519</f>
        <v/>
      </c>
    </row>
    <row r="532">
      <c r="A532" s="17" t="n">
        <v>42278</v>
      </c>
      <c r="B532" s="58">
        <f>VLOOKUP(Table16[[#This Row],[Date]],database!A:H,4,)</f>
        <v/>
      </c>
      <c r="C532" s="66">
        <f>B532/B531-1</f>
        <v/>
      </c>
      <c r="D532" s="66">
        <f>(Table16[[#This Row],[Index]]-B520)/B520</f>
        <v/>
      </c>
    </row>
    <row r="533">
      <c r="A533" s="17" t="n">
        <v>42309</v>
      </c>
      <c r="B533" s="58">
        <f>VLOOKUP(Table16[[#This Row],[Date]],database!A:H,4,)</f>
        <v/>
      </c>
      <c r="C533" s="66">
        <f>B533/B532-1</f>
        <v/>
      </c>
      <c r="D533" s="66">
        <f>(Table16[[#This Row],[Index]]-B521)/B521</f>
        <v/>
      </c>
    </row>
    <row r="534">
      <c r="A534" s="17" t="n">
        <v>42339</v>
      </c>
      <c r="B534" s="58">
        <f>VLOOKUP(Table16[[#This Row],[Date]],database!A:H,4,)</f>
        <v/>
      </c>
      <c r="C534" s="66">
        <f>B534/B533-1</f>
        <v/>
      </c>
      <c r="D534" s="66">
        <f>(Table16[[#This Row],[Index]]-B522)/B522</f>
        <v/>
      </c>
    </row>
    <row r="535">
      <c r="A535" s="17" t="n">
        <v>42370</v>
      </c>
      <c r="B535" s="58">
        <f>VLOOKUP(Table16[[#This Row],[Date]],database!A:H,4,)</f>
        <v/>
      </c>
      <c r="C535" s="66">
        <f>B535/B534-1</f>
        <v/>
      </c>
      <c r="D535" s="66">
        <f>(Table16[[#This Row],[Index]]-B523)/B523</f>
        <v/>
      </c>
    </row>
    <row r="536">
      <c r="A536" s="17" t="n">
        <v>42401</v>
      </c>
      <c r="B536" s="58">
        <f>VLOOKUP(Table16[[#This Row],[Date]],database!A:H,4,)</f>
        <v/>
      </c>
      <c r="C536" s="66">
        <f>B536/B535-1</f>
        <v/>
      </c>
      <c r="D536" s="66">
        <f>(Table16[[#This Row],[Index]]-B524)/B524</f>
        <v/>
      </c>
    </row>
    <row r="537">
      <c r="A537" s="17" t="n">
        <v>42430</v>
      </c>
      <c r="B537" s="58">
        <f>VLOOKUP(Table16[[#This Row],[Date]],database!A:H,4,)</f>
        <v/>
      </c>
      <c r="C537" s="66">
        <f>B537/B536-1</f>
        <v/>
      </c>
      <c r="D537" s="66">
        <f>(Table16[[#This Row],[Index]]-B525)/B525</f>
        <v/>
      </c>
    </row>
    <row r="538">
      <c r="A538" s="17" t="n">
        <v>42461</v>
      </c>
      <c r="B538" s="58">
        <f>VLOOKUP(Table16[[#This Row],[Date]],database!A:H,4,)</f>
        <v/>
      </c>
      <c r="C538" s="66">
        <f>B538/B537-1</f>
        <v/>
      </c>
      <c r="D538" s="66">
        <f>(Table16[[#This Row],[Index]]-B526)/B526</f>
        <v/>
      </c>
    </row>
    <row r="539">
      <c r="A539" s="17" t="n">
        <v>42491</v>
      </c>
      <c r="B539" s="58">
        <f>VLOOKUP(Table16[[#This Row],[Date]],database!A:H,4,)</f>
        <v/>
      </c>
      <c r="C539" s="66">
        <f>B539/B538-1</f>
        <v/>
      </c>
      <c r="D539" s="66">
        <f>(Table16[[#This Row],[Index]]-B527)/B527</f>
        <v/>
      </c>
    </row>
    <row r="540">
      <c r="A540" s="17" t="n">
        <v>42522</v>
      </c>
      <c r="B540" s="58">
        <f>VLOOKUP(Table16[[#This Row],[Date]],database!A:H,4,)</f>
        <v/>
      </c>
      <c r="C540" s="66">
        <f>B540/B539-1</f>
        <v/>
      </c>
      <c r="D540" s="66">
        <f>(Table16[[#This Row],[Index]]-B528)/B528</f>
        <v/>
      </c>
    </row>
    <row r="541">
      <c r="A541" s="17" t="n">
        <v>42552</v>
      </c>
      <c r="B541" s="58">
        <f>VLOOKUP(Table16[[#This Row],[Date]],database!A:H,4,)</f>
        <v/>
      </c>
      <c r="C541" s="66">
        <f>B541/B540-1</f>
        <v/>
      </c>
      <c r="D541" s="66">
        <f>(Table16[[#This Row],[Index]]-B529)/B529</f>
        <v/>
      </c>
    </row>
    <row r="542">
      <c r="A542" s="17" t="n">
        <v>42583</v>
      </c>
      <c r="B542" s="58">
        <f>VLOOKUP(Table16[[#This Row],[Date]],database!A:H,4,)</f>
        <v/>
      </c>
      <c r="C542" s="66">
        <f>B542/B541-1</f>
        <v/>
      </c>
      <c r="D542" s="66">
        <f>(Table16[[#This Row],[Index]]-B530)/B530</f>
        <v/>
      </c>
    </row>
    <row r="543">
      <c r="A543" s="17" t="n">
        <v>42614</v>
      </c>
      <c r="B543" s="58">
        <f>VLOOKUP(Table16[[#This Row],[Date]],database!A:H,4,)</f>
        <v/>
      </c>
      <c r="C543" s="66">
        <f>B543/B542-1</f>
        <v/>
      </c>
      <c r="D543" s="66">
        <f>(Table16[[#This Row],[Index]]-B531)/B531</f>
        <v/>
      </c>
    </row>
    <row r="544">
      <c r="A544" s="17" t="n">
        <v>42644</v>
      </c>
      <c r="B544" s="58">
        <f>VLOOKUP(Table16[[#This Row],[Date]],database!A:H,4,)</f>
        <v/>
      </c>
      <c r="C544" s="66">
        <f>B544/B543-1</f>
        <v/>
      </c>
      <c r="D544" s="66">
        <f>(Table16[[#This Row],[Index]]-B532)/B532</f>
        <v/>
      </c>
    </row>
    <row r="545">
      <c r="A545" s="17" t="n">
        <v>42675</v>
      </c>
      <c r="B545" s="58">
        <f>VLOOKUP(Table16[[#This Row],[Date]],database!A:H,4,)</f>
        <v/>
      </c>
      <c r="C545" s="66">
        <f>B545/B544-1</f>
        <v/>
      </c>
      <c r="D545" s="66">
        <f>(Table16[[#This Row],[Index]]-B533)/B533</f>
        <v/>
      </c>
    </row>
    <row r="546">
      <c r="A546" s="17" t="n">
        <v>42705</v>
      </c>
      <c r="B546" s="58">
        <f>VLOOKUP(Table16[[#This Row],[Date]],database!A:H,4,)</f>
        <v/>
      </c>
      <c r="C546" s="66">
        <f>B546/B545-1</f>
        <v/>
      </c>
      <c r="D546" s="66">
        <f>(Table16[[#This Row],[Index]]-B534)/B534</f>
        <v/>
      </c>
    </row>
    <row r="547">
      <c r="A547" s="17" t="n">
        <v>42736</v>
      </c>
      <c r="B547" s="58">
        <f>VLOOKUP(Table16[[#This Row],[Date]],database!A:H,4,)</f>
        <v/>
      </c>
      <c r="C547" s="66">
        <f>B547/B546-1</f>
        <v/>
      </c>
      <c r="D547" s="66">
        <f>(Table16[[#This Row],[Index]]-B535)/B535</f>
        <v/>
      </c>
    </row>
    <row r="548">
      <c r="A548" s="17" t="n">
        <v>42767</v>
      </c>
      <c r="B548" s="58">
        <f>VLOOKUP(Table16[[#This Row],[Date]],database!A:H,4,)</f>
        <v/>
      </c>
      <c r="C548" s="66">
        <f>B548/B547-1</f>
        <v/>
      </c>
      <c r="D548" s="66">
        <f>(Table16[[#This Row],[Index]]-B536)/B536</f>
        <v/>
      </c>
    </row>
    <row r="549">
      <c r="A549" s="17" t="n">
        <v>42795</v>
      </c>
      <c r="B549" s="58">
        <f>VLOOKUP(Table16[[#This Row],[Date]],database!A:H,4,)</f>
        <v/>
      </c>
      <c r="C549" s="66">
        <f>B549/B548-1</f>
        <v/>
      </c>
      <c r="D549" s="66">
        <f>(Table16[[#This Row],[Index]]-B537)/B537</f>
        <v/>
      </c>
    </row>
    <row r="550">
      <c r="A550" s="17" t="n">
        <v>42826</v>
      </c>
      <c r="B550" s="58">
        <f>VLOOKUP(Table16[[#This Row],[Date]],database!A:H,4,)</f>
        <v/>
      </c>
      <c r="C550" s="66">
        <f>B550/B549-1</f>
        <v/>
      </c>
      <c r="D550" s="66">
        <f>(Table16[[#This Row],[Index]]-B538)/B538</f>
        <v/>
      </c>
    </row>
    <row r="551">
      <c r="A551" s="17" t="n">
        <v>42856</v>
      </c>
      <c r="B551" s="58">
        <f>VLOOKUP(Table16[[#This Row],[Date]],database!A:H,4,)</f>
        <v/>
      </c>
      <c r="C551" s="66">
        <f>B551/B550-1</f>
        <v/>
      </c>
      <c r="D551" s="66">
        <f>(Table16[[#This Row],[Index]]-B539)/B539</f>
        <v/>
      </c>
    </row>
    <row r="552">
      <c r="A552" s="17" t="n">
        <v>42887</v>
      </c>
      <c r="B552" s="58">
        <f>VLOOKUP(Table16[[#This Row],[Date]],database!A:H,4,)</f>
        <v/>
      </c>
      <c r="C552" s="66">
        <f>B552/B551-1</f>
        <v/>
      </c>
      <c r="D552" s="66">
        <f>(Table16[[#This Row],[Index]]-B540)/B540</f>
        <v/>
      </c>
    </row>
    <row r="553">
      <c r="A553" s="17" t="n">
        <v>42917</v>
      </c>
      <c r="B553" s="58">
        <f>VLOOKUP(Table16[[#This Row],[Date]],database!A:H,4,)</f>
        <v/>
      </c>
      <c r="C553" s="66">
        <f>B553/B552-1</f>
        <v/>
      </c>
      <c r="D553" s="66">
        <f>(Table16[[#This Row],[Index]]-B541)/B541</f>
        <v/>
      </c>
    </row>
    <row r="554">
      <c r="A554" s="17" t="n">
        <v>42948</v>
      </c>
      <c r="B554" s="58">
        <f>VLOOKUP(Table16[[#This Row],[Date]],database!A:H,4,)</f>
        <v/>
      </c>
      <c r="C554" s="66">
        <f>B554/B553-1</f>
        <v/>
      </c>
      <c r="D554" s="66">
        <f>(Table16[[#This Row],[Index]]-B542)/B542</f>
        <v/>
      </c>
    </row>
    <row r="555">
      <c r="A555" s="17" t="n">
        <v>42979</v>
      </c>
      <c r="B555" s="58">
        <f>VLOOKUP(Table16[[#This Row],[Date]],database!A:H,4,)</f>
        <v/>
      </c>
      <c r="C555" s="66">
        <f>B555/B554-1</f>
        <v/>
      </c>
      <c r="D555" s="66">
        <f>(Table16[[#This Row],[Index]]-B543)/B543</f>
        <v/>
      </c>
    </row>
    <row r="556">
      <c r="A556" s="17" t="n">
        <v>43009</v>
      </c>
      <c r="B556" s="58">
        <f>VLOOKUP(Table16[[#This Row],[Date]],database!A:H,4,)</f>
        <v/>
      </c>
      <c r="C556" s="66">
        <f>B556/B555-1</f>
        <v/>
      </c>
      <c r="D556" s="66">
        <f>(Table16[[#This Row],[Index]]-B544)/B544</f>
        <v/>
      </c>
    </row>
    <row r="557">
      <c r="A557" s="17" t="n">
        <v>43040</v>
      </c>
      <c r="B557" s="58">
        <f>VLOOKUP(Table16[[#This Row],[Date]],database!A:H,4,)</f>
        <v/>
      </c>
      <c r="C557" s="66">
        <f>B557/B556-1</f>
        <v/>
      </c>
      <c r="D557" s="66">
        <f>(Table16[[#This Row],[Index]]-B545)/B545</f>
        <v/>
      </c>
    </row>
    <row r="558">
      <c r="A558" s="17" t="n">
        <v>43070</v>
      </c>
      <c r="B558" s="58">
        <f>VLOOKUP(Table16[[#This Row],[Date]],database!A:H,4,)</f>
        <v/>
      </c>
      <c r="C558" s="66">
        <f>B558/B557-1</f>
        <v/>
      </c>
      <c r="D558" s="66">
        <f>(Table16[[#This Row],[Index]]-B546)/B546</f>
        <v/>
      </c>
    </row>
    <row r="559">
      <c r="A559" s="17" t="n">
        <v>43101</v>
      </c>
      <c r="B559" s="58">
        <f>VLOOKUP(Table16[[#This Row],[Date]],database!A:H,4,)</f>
        <v/>
      </c>
      <c r="C559" s="66">
        <f>B559/B558-1</f>
        <v/>
      </c>
      <c r="D559" s="66">
        <f>(Table16[[#This Row],[Index]]-B547)/B547</f>
        <v/>
      </c>
    </row>
    <row r="560">
      <c r="A560" s="17" t="n">
        <v>43132</v>
      </c>
      <c r="B560" s="58">
        <f>VLOOKUP(Table16[[#This Row],[Date]],database!A:H,4,)</f>
        <v/>
      </c>
      <c r="C560" s="66">
        <f>B560/B559-1</f>
        <v/>
      </c>
      <c r="D560" s="66">
        <f>(Table16[[#This Row],[Index]]-B548)/B548</f>
        <v/>
      </c>
    </row>
    <row r="561">
      <c r="A561" s="17" t="n">
        <v>43160</v>
      </c>
      <c r="B561" s="58">
        <f>VLOOKUP(Table16[[#This Row],[Date]],database!A:H,4,)</f>
        <v/>
      </c>
      <c r="C561" s="66">
        <f>B561/B560-1</f>
        <v/>
      </c>
      <c r="D561" s="66">
        <f>(Table16[[#This Row],[Index]]-B549)/B549</f>
        <v/>
      </c>
    </row>
    <row r="562">
      <c r="A562" s="17" t="n">
        <v>43191</v>
      </c>
      <c r="B562" s="58">
        <f>VLOOKUP(Table16[[#This Row],[Date]],database!A:H,4,)</f>
        <v/>
      </c>
      <c r="C562" s="66">
        <f>B562/B561-1</f>
        <v/>
      </c>
      <c r="D562" s="66">
        <f>(Table16[[#This Row],[Index]]-B550)/B550</f>
        <v/>
      </c>
    </row>
    <row r="563">
      <c r="A563" s="17" t="n">
        <v>43221</v>
      </c>
      <c r="B563" s="58">
        <f>VLOOKUP(Table16[[#This Row],[Date]],database!A:H,4,)</f>
        <v/>
      </c>
      <c r="C563" s="66">
        <f>B563/B562-1</f>
        <v/>
      </c>
      <c r="D563" s="66">
        <f>(Table16[[#This Row],[Index]]-B551)/B551</f>
        <v/>
      </c>
    </row>
    <row r="564">
      <c r="A564" s="17" t="n">
        <v>43252</v>
      </c>
      <c r="B564" s="58">
        <f>VLOOKUP(Table16[[#This Row],[Date]],database!A:H,4,)</f>
        <v/>
      </c>
      <c r="C564" s="66">
        <f>B564/B563-1</f>
        <v/>
      </c>
      <c r="D564" s="66">
        <f>(Table16[[#This Row],[Index]]-B552)/B552</f>
        <v/>
      </c>
    </row>
    <row r="565">
      <c r="A565" s="17" t="n">
        <v>43282</v>
      </c>
      <c r="B565" s="58">
        <f>VLOOKUP(Table16[[#This Row],[Date]],database!A:H,4,)</f>
        <v/>
      </c>
      <c r="C565" s="66">
        <f>B565/B564-1</f>
        <v/>
      </c>
      <c r="D565" s="66">
        <f>(Table16[[#This Row],[Index]]-B553)/B553</f>
        <v/>
      </c>
    </row>
    <row r="566">
      <c r="A566" s="17" t="n">
        <v>43313</v>
      </c>
      <c r="B566" s="58">
        <f>VLOOKUP(Table16[[#This Row],[Date]],database!A:H,4,)</f>
        <v/>
      </c>
      <c r="C566" s="66">
        <f>B566/B565-1</f>
        <v/>
      </c>
      <c r="D566" s="66">
        <f>(Table16[[#This Row],[Index]]-B554)/B554</f>
        <v/>
      </c>
    </row>
    <row r="567">
      <c r="A567" s="17" t="n">
        <v>43344</v>
      </c>
      <c r="B567" s="58">
        <f>VLOOKUP(Table16[[#This Row],[Date]],database!A:H,4,)</f>
        <v/>
      </c>
      <c r="C567" s="66">
        <f>B567/B566-1</f>
        <v/>
      </c>
      <c r="D567" s="66">
        <f>(Table16[[#This Row],[Index]]-B555)/B555</f>
        <v/>
      </c>
    </row>
    <row r="568">
      <c r="A568" s="17" t="n">
        <v>43374</v>
      </c>
      <c r="B568" s="58">
        <f>VLOOKUP(Table16[[#This Row],[Date]],database!A:H,4,)</f>
        <v/>
      </c>
      <c r="C568" s="66">
        <f>B568/B567-1</f>
        <v/>
      </c>
      <c r="D568" s="66">
        <f>(Table16[[#This Row],[Index]]-B556)/B556</f>
        <v/>
      </c>
    </row>
    <row r="569">
      <c r="A569" s="17" t="n">
        <v>43405</v>
      </c>
      <c r="B569" s="58">
        <f>VLOOKUP(Table16[[#This Row],[Date]],database!A:H,4,)</f>
        <v/>
      </c>
      <c r="C569" s="66">
        <f>B569/B568-1</f>
        <v/>
      </c>
      <c r="D569" s="66">
        <f>(Table16[[#This Row],[Index]]-B557)/B557</f>
        <v/>
      </c>
    </row>
    <row r="570">
      <c r="A570" s="17" t="n">
        <v>43435</v>
      </c>
      <c r="B570" s="58">
        <f>VLOOKUP(Table16[[#This Row],[Date]],database!A:H,4,)</f>
        <v/>
      </c>
      <c r="C570" s="66">
        <f>B570/B569-1</f>
        <v/>
      </c>
      <c r="D570" s="66">
        <f>(Table16[[#This Row],[Index]]-B558)/B558</f>
        <v/>
      </c>
    </row>
    <row r="571">
      <c r="A571" s="17" t="n">
        <v>43466</v>
      </c>
      <c r="B571" s="58">
        <f>VLOOKUP(Table16[[#This Row],[Date]],database!A:H,4,)</f>
        <v/>
      </c>
      <c r="C571" s="66">
        <f>B571/B570-1</f>
        <v/>
      </c>
      <c r="D571" s="66">
        <f>(Table16[[#This Row],[Index]]-B559)/B559</f>
        <v/>
      </c>
    </row>
    <row r="572">
      <c r="A572" s="17" t="n">
        <v>43497</v>
      </c>
      <c r="B572" s="58">
        <f>VLOOKUP(Table16[[#This Row],[Date]],database!A:H,4,)</f>
        <v/>
      </c>
      <c r="C572" s="66">
        <f>B572/B571-1</f>
        <v/>
      </c>
      <c r="D572" s="66">
        <f>(Table16[[#This Row],[Index]]-B560)/B560</f>
        <v/>
      </c>
    </row>
    <row r="573">
      <c r="A573" s="17" t="n">
        <v>43525</v>
      </c>
      <c r="B573" s="58">
        <f>VLOOKUP(Table16[[#This Row],[Date]],database!A:H,4,)</f>
        <v/>
      </c>
      <c r="C573" s="66">
        <f>B573/B572-1</f>
        <v/>
      </c>
      <c r="D573" s="66">
        <f>(Table16[[#This Row],[Index]]-B561)/B561</f>
        <v/>
      </c>
    </row>
    <row r="574">
      <c r="A574" s="17" t="n">
        <v>43556</v>
      </c>
      <c r="B574" s="58">
        <f>VLOOKUP(Table16[[#This Row],[Date]],database!A:H,4,)</f>
        <v/>
      </c>
      <c r="C574" s="66">
        <f>B574/B573-1</f>
        <v/>
      </c>
      <c r="D574" s="66">
        <f>(Table16[[#This Row],[Index]]-B562)/B562</f>
        <v/>
      </c>
    </row>
    <row r="575">
      <c r="A575" s="17" t="n">
        <v>43586</v>
      </c>
      <c r="B575" s="58">
        <f>VLOOKUP(Table16[[#This Row],[Date]],database!A:H,4,)</f>
        <v/>
      </c>
      <c r="C575" s="66">
        <f>B575/B574-1</f>
        <v/>
      </c>
      <c r="D575" s="66">
        <f>(Table16[[#This Row],[Index]]-B563)/B563</f>
        <v/>
      </c>
    </row>
    <row r="576">
      <c r="A576" s="17" t="n">
        <v>43617</v>
      </c>
      <c r="B576" s="58">
        <f>VLOOKUP(Table16[[#This Row],[Date]],database!A:H,4,)</f>
        <v/>
      </c>
      <c r="C576" s="66">
        <f>B576/B575-1</f>
        <v/>
      </c>
      <c r="D576" s="66">
        <f>(Table16[[#This Row],[Index]]-B564)/B564</f>
        <v/>
      </c>
    </row>
    <row r="577">
      <c r="A577" s="17" t="n">
        <v>43647</v>
      </c>
      <c r="B577" s="58">
        <f>VLOOKUP(Table16[[#This Row],[Date]],database!A:H,4,)</f>
        <v/>
      </c>
      <c r="C577" s="66">
        <f>B577/B576-1</f>
        <v/>
      </c>
      <c r="D577" s="66">
        <f>(Table16[[#This Row],[Index]]-B565)/B565</f>
        <v/>
      </c>
    </row>
    <row r="578">
      <c r="A578" s="17" t="n">
        <v>43678</v>
      </c>
      <c r="B578" s="58">
        <f>VLOOKUP(Table16[[#This Row],[Date]],database!A:H,4,)</f>
        <v/>
      </c>
      <c r="C578" s="66">
        <f>B578/B577-1</f>
        <v/>
      </c>
      <c r="D578" s="66">
        <f>(Table16[[#This Row],[Index]]-B566)/B566</f>
        <v/>
      </c>
    </row>
    <row r="579">
      <c r="A579" s="17" t="n">
        <v>43709</v>
      </c>
      <c r="B579" s="58">
        <f>VLOOKUP(Table16[[#This Row],[Date]],database!A:H,4,)</f>
        <v/>
      </c>
      <c r="C579" s="66">
        <f>B579/B578-1</f>
        <v/>
      </c>
      <c r="D579" s="66">
        <f>(Table16[[#This Row],[Index]]-B567)/B567</f>
        <v/>
      </c>
    </row>
    <row r="580">
      <c r="A580" s="17" t="n">
        <v>43739</v>
      </c>
      <c r="B580" s="58">
        <f>VLOOKUP(Table16[[#This Row],[Date]],database!A:H,4,)</f>
        <v/>
      </c>
      <c r="C580" s="66">
        <f>B580/B579-1</f>
        <v/>
      </c>
      <c r="D580" s="66">
        <f>(Table16[[#This Row],[Index]]-B568)/B568</f>
        <v/>
      </c>
    </row>
    <row r="581">
      <c r="A581" s="17" t="n">
        <v>43770</v>
      </c>
      <c r="B581" s="58">
        <f>VLOOKUP(Table16[[#This Row],[Date]],database!A:H,4,)</f>
        <v/>
      </c>
      <c r="C581" s="66">
        <f>B581/B580-1</f>
        <v/>
      </c>
      <c r="D581" s="66">
        <f>(Table16[[#This Row],[Index]]-B569)/B569</f>
        <v/>
      </c>
    </row>
    <row r="582">
      <c r="A582" s="17" t="n">
        <v>43800</v>
      </c>
      <c r="B582" s="58">
        <f>VLOOKUP(Table16[[#This Row],[Date]],database!A:H,4,)</f>
        <v/>
      </c>
      <c r="C582" s="66">
        <f>B582/B581-1</f>
        <v/>
      </c>
      <c r="D582" s="66">
        <f>(Table16[[#This Row],[Index]]-B570)/B570</f>
        <v/>
      </c>
    </row>
    <row r="583">
      <c r="A583" s="17" t="n">
        <v>43831</v>
      </c>
      <c r="B583" s="58">
        <f>VLOOKUP(Table16[[#This Row],[Date]],database!A:H,4,)</f>
        <v/>
      </c>
      <c r="C583" s="66">
        <f>B583/B582-1</f>
        <v/>
      </c>
      <c r="D583" s="66">
        <f>(Table16[[#This Row],[Index]]-B571)/B571</f>
        <v/>
      </c>
    </row>
    <row r="584">
      <c r="A584" s="17" t="n">
        <v>43862</v>
      </c>
      <c r="B584" s="58">
        <f>VLOOKUP(Table16[[#This Row],[Date]],database!A:H,4,)</f>
        <v/>
      </c>
      <c r="C584" s="66">
        <f>B584/B583-1</f>
        <v/>
      </c>
      <c r="D584" s="66">
        <f>(Table16[[#This Row],[Index]]-B572)/B572</f>
        <v/>
      </c>
    </row>
    <row r="585">
      <c r="A585" s="17" t="n">
        <v>43891</v>
      </c>
      <c r="B585" s="58">
        <f>VLOOKUP(Table16[[#This Row],[Date]],database!A:H,4,)</f>
        <v/>
      </c>
      <c r="C585" s="66">
        <f>B585/B584-1</f>
        <v/>
      </c>
      <c r="D585" s="66">
        <f>(Table16[[#This Row],[Index]]-B573)/B573</f>
        <v/>
      </c>
    </row>
    <row r="586">
      <c r="A586" s="17" t="n">
        <v>43922</v>
      </c>
      <c r="B586" s="58">
        <f>VLOOKUP(Table16[[#This Row],[Date]],database!A:H,4,)</f>
        <v/>
      </c>
      <c r="C586" s="66">
        <f>B586/B585-1</f>
        <v/>
      </c>
      <c r="D586" s="66">
        <f>(Table16[[#This Row],[Index]]-B574)/B574</f>
        <v/>
      </c>
    </row>
    <row r="587">
      <c r="A587" s="17" t="n">
        <v>43952</v>
      </c>
      <c r="B587" s="58">
        <f>VLOOKUP(Table16[[#This Row],[Date]],database!A:H,4,)</f>
        <v/>
      </c>
      <c r="C587" s="66">
        <f>B587/B586-1</f>
        <v/>
      </c>
      <c r="D587" s="66">
        <f>(Table16[[#This Row],[Index]]-B575)/B575</f>
        <v/>
      </c>
    </row>
    <row r="588">
      <c r="A588" s="17" t="n">
        <v>43983</v>
      </c>
      <c r="B588" s="58">
        <f>VLOOKUP(Table16[[#This Row],[Date]],database!A:H,4,)</f>
        <v/>
      </c>
      <c r="C588" s="66">
        <f>B588/B587-1</f>
        <v/>
      </c>
      <c r="D588" s="66">
        <f>(Table16[[#This Row],[Index]]-B576)/B576</f>
        <v/>
      </c>
    </row>
    <row r="589">
      <c r="A589" s="17" t="n">
        <v>44013</v>
      </c>
      <c r="B589" s="58">
        <f>VLOOKUP(Table16[[#This Row],[Date]],database!A:H,4,)</f>
        <v/>
      </c>
      <c r="C589" s="66">
        <f>B589/B588-1</f>
        <v/>
      </c>
      <c r="D589" s="66">
        <f>(Table16[[#This Row],[Index]]-B577)/B577</f>
        <v/>
      </c>
    </row>
    <row r="590">
      <c r="A590" s="17" t="n">
        <v>44044</v>
      </c>
      <c r="B590" s="58">
        <f>VLOOKUP(Table16[[#This Row],[Date]],database!A:H,4,)</f>
        <v/>
      </c>
      <c r="C590" s="66">
        <f>B590/B589-1</f>
        <v/>
      </c>
      <c r="D590" s="66">
        <f>(Table16[[#This Row],[Index]]-B578)/B578</f>
        <v/>
      </c>
    </row>
    <row r="591">
      <c r="A591" s="17" t="n">
        <v>44075</v>
      </c>
      <c r="B591" s="58">
        <f>VLOOKUP(Table16[[#This Row],[Date]],database!A:H,4,)</f>
        <v/>
      </c>
      <c r="C591" s="66">
        <f>B591/B590-1</f>
        <v/>
      </c>
      <c r="D591" s="66">
        <f>(Table16[[#This Row],[Index]]-B579)/B579</f>
        <v/>
      </c>
    </row>
    <row r="592">
      <c r="A592" s="17" t="n">
        <v>44105</v>
      </c>
      <c r="B592" s="58">
        <f>VLOOKUP(Table16[[#This Row],[Date]],database!A:H,4,)</f>
        <v/>
      </c>
      <c r="C592" s="66">
        <f>B592/B591-1</f>
        <v/>
      </c>
      <c r="D592" s="66">
        <f>(Table16[[#This Row],[Index]]-B580)/B580</f>
        <v/>
      </c>
    </row>
    <row r="593">
      <c r="A593" s="17" t="n">
        <v>44136</v>
      </c>
      <c r="B593" s="58">
        <f>VLOOKUP(Table16[[#This Row],[Date]],database!A:H,4,)</f>
        <v/>
      </c>
      <c r="C593" s="66">
        <f>B593/B592-1</f>
        <v/>
      </c>
      <c r="D593" s="66">
        <f>(Table16[[#This Row],[Index]]-B581)/B581</f>
        <v/>
      </c>
    </row>
    <row r="594">
      <c r="A594" s="17" t="n">
        <v>44166</v>
      </c>
      <c r="B594" s="58">
        <f>VLOOKUP(Table16[[#This Row],[Date]],database!A:H,4,)</f>
        <v/>
      </c>
      <c r="C594" s="66">
        <f>B594/B593-1</f>
        <v/>
      </c>
      <c r="D594" s="66">
        <f>(Table16[[#This Row],[Index]]-B582)/B582</f>
        <v/>
      </c>
    </row>
    <row r="595">
      <c r="A595" s="17" t="n">
        <v>44197</v>
      </c>
      <c r="B595" s="58">
        <f>VLOOKUP(Table16[[#This Row],[Date]],database!A:H,4,)</f>
        <v/>
      </c>
      <c r="C595" s="66">
        <f>B595/B594-1</f>
        <v/>
      </c>
      <c r="D595" s="66">
        <f>(Table16[[#This Row],[Index]]-B583)/B583</f>
        <v/>
      </c>
    </row>
    <row r="596">
      <c r="A596" s="17" t="n">
        <v>44228</v>
      </c>
      <c r="B596" s="58">
        <f>VLOOKUP(Table16[[#This Row],[Date]],database!A:H,4,)</f>
        <v/>
      </c>
      <c r="C596" s="66">
        <f>B596/B595-1</f>
        <v/>
      </c>
      <c r="D596" s="66">
        <f>(Table16[[#This Row],[Index]]-B584)/B584</f>
        <v/>
      </c>
    </row>
    <row r="597">
      <c r="A597" s="17" t="n">
        <v>44256</v>
      </c>
      <c r="B597" s="58">
        <f>VLOOKUP(Table16[[#This Row],[Date]],database!A:H,4,)</f>
        <v/>
      </c>
      <c r="C597" s="66">
        <f>B597/B596-1</f>
        <v/>
      </c>
      <c r="D597" s="66">
        <f>(Table16[[#This Row],[Index]]-B585)/B585</f>
        <v/>
      </c>
    </row>
    <row r="598">
      <c r="A598" s="17" t="n">
        <v>44287</v>
      </c>
      <c r="B598" s="58">
        <f>VLOOKUP(Table16[[#This Row],[Date]],database!A:H,4,)</f>
        <v/>
      </c>
      <c r="C598" s="66">
        <f>B598/B597-1</f>
        <v/>
      </c>
      <c r="D598" s="66">
        <f>(Table16[[#This Row],[Index]]-B586)/B586</f>
        <v/>
      </c>
    </row>
    <row r="599">
      <c r="A599" s="17" t="n">
        <v>44317</v>
      </c>
      <c r="B599" s="58">
        <f>VLOOKUP(Table16[[#This Row],[Date]],database!A:H,4,)</f>
        <v/>
      </c>
      <c r="C599" s="66">
        <f>B599/B598-1</f>
        <v/>
      </c>
      <c r="D599" s="66">
        <f>(Table16[[#This Row],[Index]]-B587)/B587</f>
        <v/>
      </c>
    </row>
    <row r="600">
      <c r="A600" s="17" t="n">
        <v>44348</v>
      </c>
      <c r="B600" s="58">
        <f>VLOOKUP(Table16[[#This Row],[Date]],database!A:H,4,)</f>
        <v/>
      </c>
      <c r="C600" s="66">
        <f>B600/B599-1</f>
        <v/>
      </c>
      <c r="D600" s="66">
        <f>(Table16[[#This Row],[Index]]-B588)/B588</f>
        <v/>
      </c>
    </row>
    <row r="601">
      <c r="A601" s="17" t="n">
        <v>44378</v>
      </c>
      <c r="B601" s="58">
        <f>VLOOKUP(Table16[[#This Row],[Date]],database!A:H,4,)</f>
        <v/>
      </c>
      <c r="C601" s="66">
        <f>B601/B600-1</f>
        <v/>
      </c>
      <c r="D601" s="66">
        <f>(Table16[[#This Row],[Index]]-B589)/B589</f>
        <v/>
      </c>
    </row>
    <row r="602">
      <c r="A602" s="17" t="n">
        <v>44409</v>
      </c>
      <c r="B602" s="58">
        <f>VLOOKUP(Table16[[#This Row],[Date]],database!A:H,4,)</f>
        <v/>
      </c>
      <c r="C602" s="66">
        <f>B602/B601-1</f>
        <v/>
      </c>
      <c r="D602" s="66">
        <f>(Table16[[#This Row],[Index]]-B590)/B590</f>
        <v/>
      </c>
    </row>
    <row r="603">
      <c r="A603" s="17" t="n">
        <v>44440</v>
      </c>
      <c r="B603" s="58">
        <f>VLOOKUP(Table16[[#This Row],[Date]],database!A:H,4,)</f>
        <v/>
      </c>
      <c r="C603" s="66">
        <f>B603/B602-1</f>
        <v/>
      </c>
      <c r="D603" s="66">
        <f>(Table16[[#This Row],[Index]]-B591)/B591</f>
        <v/>
      </c>
    </row>
    <row r="604">
      <c r="A604" s="17" t="n">
        <v>44470</v>
      </c>
      <c r="B604" s="58">
        <f>VLOOKUP(Table16[[#This Row],[Date]],database!A:H,4,)</f>
        <v/>
      </c>
      <c r="C604" s="66">
        <f>B604/B603-1</f>
        <v/>
      </c>
      <c r="D604" s="66">
        <f>(Table16[[#This Row],[Index]]-B592)/B592</f>
        <v/>
      </c>
    </row>
    <row r="605">
      <c r="A605" s="17" t="n">
        <v>44501</v>
      </c>
      <c r="B605" s="58">
        <f>VLOOKUP(Table16[[#This Row],[Date]],database!A:H,4,)</f>
        <v/>
      </c>
      <c r="C605" s="66">
        <f>B605/B604-1</f>
        <v/>
      </c>
      <c r="D605" s="66">
        <f>(Table16[[#This Row],[Index]]-B593)/B593</f>
        <v/>
      </c>
    </row>
    <row r="606">
      <c r="A606" s="17" t="n">
        <v>44531</v>
      </c>
      <c r="B606" s="58">
        <f>VLOOKUP(Table16[[#This Row],[Date]],database!A:H,4,)</f>
        <v/>
      </c>
      <c r="C606" s="66">
        <f>B606/B605-1</f>
        <v/>
      </c>
      <c r="D606" s="66">
        <f>(Table16[[#This Row],[Index]]-B594)/B594</f>
        <v/>
      </c>
    </row>
    <row r="607">
      <c r="A607" s="17" t="n">
        <v>44562</v>
      </c>
      <c r="B607" s="58">
        <f>VLOOKUP(Table16[[#This Row],[Date]],database!A:H,4,)</f>
        <v/>
      </c>
      <c r="C607" s="66">
        <f>B607/B606-1</f>
        <v/>
      </c>
      <c r="D607" s="66">
        <f>(Table16[[#This Row],[Index]]-B595)/B595</f>
        <v/>
      </c>
    </row>
    <row r="608">
      <c r="A608" s="17" t="n">
        <v>44593</v>
      </c>
      <c r="B608" s="58">
        <f>VLOOKUP(Table16[[#This Row],[Date]],database!A:H,4,)</f>
        <v/>
      </c>
      <c r="C608" s="66">
        <f>B608/B607-1</f>
        <v/>
      </c>
      <c r="D608" s="66">
        <f>(Table16[[#This Row],[Index]]-B596)/B596</f>
        <v/>
      </c>
    </row>
    <row r="609">
      <c r="A609" s="17" t="n">
        <v>44621</v>
      </c>
      <c r="B609" s="58">
        <f>VLOOKUP(Table16[[#This Row],[Date]],database!A:H,4,)</f>
        <v/>
      </c>
      <c r="C609" s="66">
        <f>B609/B608-1</f>
        <v/>
      </c>
      <c r="D609" s="66">
        <f>(Table16[[#This Row],[Index]]-B597)/B597</f>
        <v/>
      </c>
    </row>
    <row r="610">
      <c r="A610" s="17" t="n">
        <v>44652</v>
      </c>
      <c r="B610" s="58">
        <f>VLOOKUP(Table16[[#This Row],[Date]],database!A:H,4,)</f>
        <v/>
      </c>
      <c r="C610" s="66">
        <f>B610/B609-1</f>
        <v/>
      </c>
      <c r="D610" s="66">
        <f>(Table16[[#This Row],[Index]]-B598)/B598</f>
        <v/>
      </c>
    </row>
    <row r="611">
      <c r="A611" s="17" t="n">
        <v>44682</v>
      </c>
      <c r="B611" s="58">
        <f>VLOOKUP(Table16[[#This Row],[Date]],database!A:H,4,)</f>
        <v/>
      </c>
      <c r="C611" s="66">
        <f>B611/B610-1</f>
        <v/>
      </c>
      <c r="D611" s="66">
        <f>(Table16[[#This Row],[Index]]-B599)/B599</f>
        <v/>
      </c>
    </row>
    <row r="612">
      <c r="A612" s="17" t="n">
        <v>44713</v>
      </c>
      <c r="B612" s="58">
        <f>VLOOKUP(Table16[[#This Row],[Date]],database!A:H,4,)</f>
        <v/>
      </c>
      <c r="C612" s="66">
        <f>B612/B611-1</f>
        <v/>
      </c>
      <c r="D612" s="66">
        <f>(Table16[[#This Row],[Index]]-B600)/B600</f>
        <v/>
      </c>
    </row>
    <row r="613">
      <c r="A613" s="17" t="n">
        <v>44743</v>
      </c>
      <c r="B613" s="58">
        <f>VLOOKUP(Table16[[#This Row],[Date]],database!A:H,4,)</f>
        <v/>
      </c>
      <c r="C613" s="66">
        <f>B613/B612-1</f>
        <v/>
      </c>
      <c r="D613" s="66">
        <f>(Table16[[#This Row],[Index]]-B601)/B601</f>
        <v/>
      </c>
    </row>
    <row r="614">
      <c r="A614" s="17" t="n">
        <v>44774</v>
      </c>
      <c r="B614" s="58">
        <f>VLOOKUP(Table16[[#This Row],[Date]],database!A:H,4,)</f>
        <v/>
      </c>
      <c r="C614" s="66">
        <f>B614/B613-1</f>
        <v/>
      </c>
      <c r="D614" s="66">
        <f>(Table16[[#This Row],[Index]]-B602)/B602</f>
        <v/>
      </c>
    </row>
    <row r="615">
      <c r="A615" s="17" t="n">
        <v>44805</v>
      </c>
      <c r="B615" s="58">
        <f>VLOOKUP(Table16[[#This Row],[Date]],database!A:H,4,)</f>
        <v/>
      </c>
      <c r="C615" s="66">
        <f>B615/B614-1</f>
        <v/>
      </c>
      <c r="D615" s="66">
        <f>(Table16[[#This Row],[Index]]-B603)/B603</f>
        <v/>
      </c>
    </row>
    <row r="616">
      <c r="A616" s="17" t="n">
        <v>44835</v>
      </c>
      <c r="B616" s="58">
        <f>VLOOKUP(Table16[[#This Row],[Date]],database!A:H,4,)</f>
        <v/>
      </c>
      <c r="C616" s="66">
        <f>B616/B615-1</f>
        <v/>
      </c>
      <c r="D616" s="66">
        <f>(Table16[[#This Row],[Index]]-B604)/B604</f>
        <v/>
      </c>
    </row>
    <row r="617">
      <c r="A617" s="17" t="n">
        <v>44866</v>
      </c>
      <c r="B617" s="58">
        <f>VLOOKUP(Table16[[#This Row],[Date]],database!A:H,4,)</f>
        <v/>
      </c>
      <c r="C617" s="66">
        <f>B617/B616-1</f>
        <v/>
      </c>
      <c r="D617" s="66">
        <f>(Table16[[#This Row],[Index]]-B605)/B605</f>
        <v/>
      </c>
    </row>
    <row r="618">
      <c r="A618" s="17" t="n">
        <v>44896</v>
      </c>
      <c r="B618" s="58">
        <f>VLOOKUP(Table16[[#This Row],[Date]],database!A:H,4,)</f>
        <v/>
      </c>
      <c r="C618" s="66">
        <f>B618/B617-1</f>
        <v/>
      </c>
      <c r="D618" s="66">
        <f>(Table16[[#This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8"/>
  <sheetViews>
    <sheetView zoomScale="120" zoomScaleNormal="120" workbookViewId="0">
      <pane ySplit="6" topLeftCell="A588" activePane="bottomLeft" state="frozen"/>
      <selection pane="bottomLeft" activeCell="A610" sqref="A610: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INDPRO</t>
        </is>
      </c>
      <c r="B1" s="79" t="n"/>
      <c r="C1" s="79" t="n"/>
      <c r="U1" s="79" t="inlineStr">
        <is>
          <t>Industrial Production: Construction supplies</t>
        </is>
      </c>
      <c r="V1" s="79" t="inlineStr">
        <is>
          <t xml:space="preserve"> since 2010 </t>
        </is>
      </c>
      <c r="W1" s="79">
        <f>U1&amp;V1</f>
        <v/>
      </c>
      <c r="AA1" s="79">
        <f>W2&amp; V1</f>
        <v/>
      </c>
    </row>
    <row r="2">
      <c r="A2" s="16" t="n"/>
      <c r="B2" s="79" t="n"/>
      <c r="C2" s="79" t="n"/>
      <c r="W2" s="79">
        <f>U1&amp;Table110[[#Headers],[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VLOOKUP(Table110[[#This Row],[Date]],database!A:H,3,)</f>
        <v/>
      </c>
      <c r="C7" s="66" t="n"/>
      <c r="D7" s="66" t="n"/>
    </row>
    <row r="8">
      <c r="A8" s="17" t="n">
        <v>26330</v>
      </c>
      <c r="B8" s="58">
        <f>VLOOKUP(Table110[[#This Row],[Date]],database!A:H,3,)</f>
        <v/>
      </c>
      <c r="C8" s="66">
        <f>B8/B7-1</f>
        <v/>
      </c>
      <c r="D8" s="66" t="n"/>
    </row>
    <row r="9">
      <c r="A9" s="17" t="n">
        <v>26359</v>
      </c>
      <c r="B9" s="58">
        <f>VLOOKUP(Table110[[#This Row],[Date]],database!A:H,3,)</f>
        <v/>
      </c>
      <c r="C9" s="66">
        <f>B9/B8-1</f>
        <v/>
      </c>
      <c r="D9" s="66" t="n"/>
    </row>
    <row r="10">
      <c r="A10" s="17" t="n">
        <v>26390</v>
      </c>
      <c r="B10" s="58">
        <f>VLOOKUP(Table110[[#This Row],[Date]],database!A:H,3,)</f>
        <v/>
      </c>
      <c r="C10" s="66">
        <f>B10/B9-1</f>
        <v/>
      </c>
      <c r="D10" s="66" t="n"/>
    </row>
    <row r="11">
      <c r="A11" s="17" t="n">
        <v>26420</v>
      </c>
      <c r="B11" s="58">
        <f>VLOOKUP(Table110[[#This Row],[Date]],database!A:H,3,)</f>
        <v/>
      </c>
      <c r="C11" s="66">
        <f>B11/B10-1</f>
        <v/>
      </c>
      <c r="D11" s="66" t="n"/>
    </row>
    <row r="12">
      <c r="A12" s="17" t="n">
        <v>26451</v>
      </c>
      <c r="B12" s="58">
        <f>VLOOKUP(Table110[[#This Row],[Date]],database!A:H,3,)</f>
        <v/>
      </c>
      <c r="C12" s="66">
        <f>B12/B11-1</f>
        <v/>
      </c>
      <c r="D12" s="66" t="n"/>
    </row>
    <row r="13">
      <c r="A13" s="17" t="n">
        <v>26481</v>
      </c>
      <c r="B13" s="58">
        <f>VLOOKUP(Table110[[#This Row],[Date]],database!A:H,3,)</f>
        <v/>
      </c>
      <c r="C13" s="66">
        <f>B13/B12-1</f>
        <v/>
      </c>
      <c r="D13" s="66" t="n"/>
    </row>
    <row r="14">
      <c r="A14" s="17" t="n">
        <v>26512</v>
      </c>
      <c r="B14" s="58">
        <f>VLOOKUP(Table110[[#This Row],[Date]],database!A:H,3,)</f>
        <v/>
      </c>
      <c r="C14" s="66">
        <f>B14/B13-1</f>
        <v/>
      </c>
      <c r="D14" s="66" t="n"/>
    </row>
    <row r="15">
      <c r="A15" s="17" t="n">
        <v>26543</v>
      </c>
      <c r="B15" s="58">
        <f>VLOOKUP(Table110[[#This Row],[Date]],database!A:H,3,)</f>
        <v/>
      </c>
      <c r="C15" s="66">
        <f>B15/B14-1</f>
        <v/>
      </c>
      <c r="D15" s="66" t="n"/>
    </row>
    <row r="16">
      <c r="A16" s="17" t="n">
        <v>26573</v>
      </c>
      <c r="B16" s="58">
        <f>VLOOKUP(Table110[[#This Row],[Date]],database!A:H,3,)</f>
        <v/>
      </c>
      <c r="C16" s="66">
        <f>B16/B15-1</f>
        <v/>
      </c>
      <c r="D16" s="66" t="n"/>
    </row>
    <row r="17">
      <c r="A17" s="17" t="n">
        <v>26604</v>
      </c>
      <c r="B17" s="58">
        <f>VLOOKUP(Table110[[#This Row],[Date]],database!A:H,3,)</f>
        <v/>
      </c>
      <c r="C17" s="66">
        <f>B17/B16-1</f>
        <v/>
      </c>
      <c r="D17" s="66" t="n"/>
    </row>
    <row r="18">
      <c r="A18" s="17" t="n">
        <v>26634</v>
      </c>
      <c r="B18" s="58">
        <f>VLOOKUP(Table110[[#This Row],[Date]],database!A:H,3,)</f>
        <v/>
      </c>
      <c r="C18" s="66">
        <f>B18/B17-1</f>
        <v/>
      </c>
      <c r="D18" s="66" t="n"/>
    </row>
    <row r="19">
      <c r="A19" s="17" t="n">
        <v>26665</v>
      </c>
      <c r="B19" s="58">
        <f>VLOOKUP(Table110[[#This Row],[Date]],database!A:H,3,)</f>
        <v/>
      </c>
      <c r="C19" s="66">
        <f>B19/B18-1</f>
        <v/>
      </c>
      <c r="D19" s="66" t="n"/>
    </row>
    <row r="20">
      <c r="A20" s="17" t="n">
        <v>26696</v>
      </c>
      <c r="B20" s="58">
        <f>VLOOKUP(Table110[[#This Row],[Date]],database!A:H,3,)</f>
        <v/>
      </c>
      <c r="C20" s="66">
        <f>B20/B19-1</f>
        <v/>
      </c>
      <c r="D20" s="66">
        <f>(Table110[[#This Row],[Index]]-B8)/B8</f>
        <v/>
      </c>
    </row>
    <row r="21">
      <c r="A21" s="17" t="n">
        <v>26724</v>
      </c>
      <c r="B21" s="58">
        <f>VLOOKUP(Table110[[#This Row],[Date]],database!A:H,3,)</f>
        <v/>
      </c>
      <c r="C21" s="66">
        <f>B21/B20-1</f>
        <v/>
      </c>
      <c r="D21" s="66">
        <f>(Table110[[#This Row],[Index]]-B9)/B9</f>
        <v/>
      </c>
    </row>
    <row r="22">
      <c r="A22" s="17" t="n">
        <v>26755</v>
      </c>
      <c r="B22" s="58">
        <f>VLOOKUP(Table110[[#This Row],[Date]],database!A:H,3,)</f>
        <v/>
      </c>
      <c r="C22" s="66">
        <f>B22/B21-1</f>
        <v/>
      </c>
      <c r="D22" s="66">
        <f>(Table110[[#This Row],[Index]]-B10)/B10</f>
        <v/>
      </c>
    </row>
    <row r="23">
      <c r="A23" s="17" t="n">
        <v>26785</v>
      </c>
      <c r="B23" s="58">
        <f>VLOOKUP(Table110[[#This Row],[Date]],database!A:H,3,)</f>
        <v/>
      </c>
      <c r="C23" s="66">
        <f>B23/B22-1</f>
        <v/>
      </c>
      <c r="D23" s="66">
        <f>(Table110[[#This Row],[Index]]-B11)/B11</f>
        <v/>
      </c>
    </row>
    <row r="24">
      <c r="A24" s="17" t="n">
        <v>26816</v>
      </c>
      <c r="B24" s="58">
        <f>VLOOKUP(Table110[[#This Row],[Date]],database!A:H,3,)</f>
        <v/>
      </c>
      <c r="C24" s="66">
        <f>B24/B23-1</f>
        <v/>
      </c>
      <c r="D24" s="66">
        <f>(Table110[[#This Row],[Index]]-B12)/B12</f>
        <v/>
      </c>
    </row>
    <row r="25">
      <c r="A25" s="17" t="n">
        <v>26846</v>
      </c>
      <c r="B25" s="58">
        <f>VLOOKUP(Table110[[#This Row],[Date]],database!A:H,3,)</f>
        <v/>
      </c>
      <c r="C25" s="66">
        <f>B25/B24-1</f>
        <v/>
      </c>
      <c r="D25" s="66">
        <f>(Table110[[#This Row],[Index]]-B13)/B13</f>
        <v/>
      </c>
    </row>
    <row r="26">
      <c r="A26" s="17" t="n">
        <v>26877</v>
      </c>
      <c r="B26" s="58">
        <f>VLOOKUP(Table110[[#This Row],[Date]],database!A:H,3,)</f>
        <v/>
      </c>
      <c r="C26" s="66">
        <f>B26/B25-1</f>
        <v/>
      </c>
      <c r="D26" s="66">
        <f>(Table110[[#This Row],[Index]]-B14)/B14</f>
        <v/>
      </c>
    </row>
    <row r="27">
      <c r="A27" s="17" t="n">
        <v>26908</v>
      </c>
      <c r="B27" s="58">
        <f>VLOOKUP(Table110[[#This Row],[Date]],database!A:H,3,)</f>
        <v/>
      </c>
      <c r="C27" s="66">
        <f>B27/B26-1</f>
        <v/>
      </c>
      <c r="D27" s="66">
        <f>(Table110[[#This Row],[Index]]-B15)/B15</f>
        <v/>
      </c>
    </row>
    <row r="28">
      <c r="A28" s="17" t="n">
        <v>26938</v>
      </c>
      <c r="B28" s="58">
        <f>VLOOKUP(Table110[[#This Row],[Date]],database!A:H,3,)</f>
        <v/>
      </c>
      <c r="C28" s="66">
        <f>B28/B27-1</f>
        <v/>
      </c>
      <c r="D28" s="66">
        <f>(Table110[[#This Row],[Index]]-B16)/B16</f>
        <v/>
      </c>
    </row>
    <row r="29">
      <c r="A29" s="17" t="n">
        <v>26969</v>
      </c>
      <c r="B29" s="58">
        <f>VLOOKUP(Table110[[#This Row],[Date]],database!A:H,3,)</f>
        <v/>
      </c>
      <c r="C29" s="66">
        <f>B29/B28-1</f>
        <v/>
      </c>
      <c r="D29" s="66">
        <f>(Table110[[#This Row],[Index]]-B17)/B17</f>
        <v/>
      </c>
    </row>
    <row r="30">
      <c r="A30" s="17" t="n">
        <v>26999</v>
      </c>
      <c r="B30" s="58">
        <f>VLOOKUP(Table110[[#This Row],[Date]],database!A:H,3,)</f>
        <v/>
      </c>
      <c r="C30" s="66">
        <f>B30/B29-1</f>
        <v/>
      </c>
      <c r="D30" s="66">
        <f>(Table110[[#This Row],[Index]]-B18)/B18</f>
        <v/>
      </c>
    </row>
    <row r="31">
      <c r="A31" s="17" t="n">
        <v>27030</v>
      </c>
      <c r="B31" s="58">
        <f>VLOOKUP(Table110[[#This Row],[Date]],database!A:H,3,)</f>
        <v/>
      </c>
      <c r="C31" s="66">
        <f>B31/B30-1</f>
        <v/>
      </c>
      <c r="D31" s="66">
        <f>(Table110[[#This Row],[Index]]-B19)/B19</f>
        <v/>
      </c>
    </row>
    <row r="32">
      <c r="A32" s="17" t="n">
        <v>27061</v>
      </c>
      <c r="B32" s="58">
        <f>VLOOKUP(Table110[[#This Row],[Date]],database!A:H,3,)</f>
        <v/>
      </c>
      <c r="C32" s="66">
        <f>B32/B31-1</f>
        <v/>
      </c>
      <c r="D32" s="66">
        <f>(Table110[[#This Row],[Index]]-B20)/B20</f>
        <v/>
      </c>
    </row>
    <row r="33">
      <c r="A33" s="17" t="n">
        <v>27089</v>
      </c>
      <c r="B33" s="58">
        <f>VLOOKUP(Table110[[#This Row],[Date]],database!A:H,3,)</f>
        <v/>
      </c>
      <c r="C33" s="66">
        <f>B33/B32-1</f>
        <v/>
      </c>
      <c r="D33" s="66">
        <f>(Table110[[#This Row],[Index]]-B21)/B21</f>
        <v/>
      </c>
    </row>
    <row r="34">
      <c r="A34" s="17" t="n">
        <v>27120</v>
      </c>
      <c r="B34" s="58">
        <f>VLOOKUP(Table110[[#This Row],[Date]],database!A:H,3,)</f>
        <v/>
      </c>
      <c r="C34" s="66">
        <f>B34/B33-1</f>
        <v/>
      </c>
      <c r="D34" s="66">
        <f>(Table110[[#This Row],[Index]]-B22)/B22</f>
        <v/>
      </c>
    </row>
    <row r="35">
      <c r="A35" s="17" t="n">
        <v>27150</v>
      </c>
      <c r="B35" s="58">
        <f>VLOOKUP(Table110[[#This Row],[Date]],database!A:H,3,)</f>
        <v/>
      </c>
      <c r="C35" s="66">
        <f>B35/B34-1</f>
        <v/>
      </c>
      <c r="D35" s="66">
        <f>(Table110[[#This Row],[Index]]-B23)/B23</f>
        <v/>
      </c>
    </row>
    <row r="36">
      <c r="A36" s="17" t="n">
        <v>27181</v>
      </c>
      <c r="B36" s="58">
        <f>VLOOKUP(Table110[[#This Row],[Date]],database!A:H,3,)</f>
        <v/>
      </c>
      <c r="C36" s="66">
        <f>B36/B35-1</f>
        <v/>
      </c>
      <c r="D36" s="66">
        <f>(Table110[[#This Row],[Index]]-B24)/B24</f>
        <v/>
      </c>
    </row>
    <row r="37">
      <c r="A37" s="17" t="n">
        <v>27211</v>
      </c>
      <c r="B37" s="58">
        <f>VLOOKUP(Table110[[#This Row],[Date]],database!A:H,3,)</f>
        <v/>
      </c>
      <c r="C37" s="66">
        <f>B37/B36-1</f>
        <v/>
      </c>
      <c r="D37" s="66">
        <f>(Table110[[#This Row],[Index]]-B25)/B25</f>
        <v/>
      </c>
    </row>
    <row r="38">
      <c r="A38" s="17" t="n">
        <v>27242</v>
      </c>
      <c r="B38" s="58">
        <f>VLOOKUP(Table110[[#This Row],[Date]],database!A:H,3,)</f>
        <v/>
      </c>
      <c r="C38" s="66">
        <f>B38/B37-1</f>
        <v/>
      </c>
      <c r="D38" s="66">
        <f>(Table110[[#This Row],[Index]]-B26)/B26</f>
        <v/>
      </c>
    </row>
    <row r="39">
      <c r="A39" s="17" t="n">
        <v>27273</v>
      </c>
      <c r="B39" s="58">
        <f>VLOOKUP(Table110[[#This Row],[Date]],database!A:H,3,)</f>
        <v/>
      </c>
      <c r="C39" s="66">
        <f>B39/B38-1</f>
        <v/>
      </c>
      <c r="D39" s="66">
        <f>(Table110[[#This Row],[Index]]-B27)/B27</f>
        <v/>
      </c>
    </row>
    <row r="40">
      <c r="A40" s="17" t="n">
        <v>27303</v>
      </c>
      <c r="B40" s="58">
        <f>VLOOKUP(Table110[[#This Row],[Date]],database!A:H,3,)</f>
        <v/>
      </c>
      <c r="C40" s="66">
        <f>B40/B39-1</f>
        <v/>
      </c>
      <c r="D40" s="66">
        <f>(Table110[[#This Row],[Index]]-B28)/B28</f>
        <v/>
      </c>
    </row>
    <row r="41">
      <c r="A41" s="17" t="n">
        <v>27334</v>
      </c>
      <c r="B41" s="58">
        <f>VLOOKUP(Table110[[#This Row],[Date]],database!A:H,3,)</f>
        <v/>
      </c>
      <c r="C41" s="66">
        <f>B41/B40-1</f>
        <v/>
      </c>
      <c r="D41" s="66">
        <f>(Table110[[#This Row],[Index]]-B29)/B29</f>
        <v/>
      </c>
    </row>
    <row r="42">
      <c r="A42" s="17" t="n">
        <v>27364</v>
      </c>
      <c r="B42" s="58">
        <f>VLOOKUP(Table110[[#This Row],[Date]],database!A:H,3,)</f>
        <v/>
      </c>
      <c r="C42" s="66">
        <f>B42/B41-1</f>
        <v/>
      </c>
      <c r="D42" s="66">
        <f>(Table110[[#This Row],[Index]]-B30)/B30</f>
        <v/>
      </c>
    </row>
    <row r="43">
      <c r="A43" s="17" t="n">
        <v>27395</v>
      </c>
      <c r="B43" s="58">
        <f>VLOOKUP(Table110[[#This Row],[Date]],database!A:H,3,)</f>
        <v/>
      </c>
      <c r="C43" s="66">
        <f>B43/B42-1</f>
        <v/>
      </c>
      <c r="D43" s="66">
        <f>(Table110[[#This Row],[Index]]-B31)/B31</f>
        <v/>
      </c>
    </row>
    <row r="44">
      <c r="A44" s="17" t="n">
        <v>27426</v>
      </c>
      <c r="B44" s="58">
        <f>VLOOKUP(Table110[[#This Row],[Date]],database!A:H,3,)</f>
        <v/>
      </c>
      <c r="C44" s="66">
        <f>B44/B43-1</f>
        <v/>
      </c>
      <c r="D44" s="66">
        <f>(Table110[[#This Row],[Index]]-B32)/B32</f>
        <v/>
      </c>
    </row>
    <row r="45">
      <c r="A45" s="17" t="n">
        <v>27454</v>
      </c>
      <c r="B45" s="58">
        <f>VLOOKUP(Table110[[#This Row],[Date]],database!A:H,3,)</f>
        <v/>
      </c>
      <c r="C45" s="66">
        <f>B45/B44-1</f>
        <v/>
      </c>
      <c r="D45" s="66">
        <f>(Table110[[#This Row],[Index]]-B33)/B33</f>
        <v/>
      </c>
    </row>
    <row r="46">
      <c r="A46" s="17" t="n">
        <v>27485</v>
      </c>
      <c r="B46" s="58">
        <f>VLOOKUP(Table110[[#This Row],[Date]],database!A:H,3,)</f>
        <v/>
      </c>
      <c r="C46" s="66">
        <f>B46/B45-1</f>
        <v/>
      </c>
      <c r="D46" s="66">
        <f>(Table110[[#This Row],[Index]]-B34)/B34</f>
        <v/>
      </c>
    </row>
    <row r="47">
      <c r="A47" s="17" t="n">
        <v>27515</v>
      </c>
      <c r="B47" s="58">
        <f>VLOOKUP(Table110[[#This Row],[Date]],database!A:H,3,)</f>
        <v/>
      </c>
      <c r="C47" s="66">
        <f>B47/B46-1</f>
        <v/>
      </c>
      <c r="D47" s="66">
        <f>(Table110[[#This Row],[Index]]-B35)/B35</f>
        <v/>
      </c>
    </row>
    <row r="48">
      <c r="A48" s="17" t="n">
        <v>27546</v>
      </c>
      <c r="B48" s="58">
        <f>VLOOKUP(Table110[[#This Row],[Date]],database!A:H,3,)</f>
        <v/>
      </c>
      <c r="C48" s="66">
        <f>B48/B47-1</f>
        <v/>
      </c>
      <c r="D48" s="66">
        <f>(Table110[[#This Row],[Index]]-B36)/B36</f>
        <v/>
      </c>
    </row>
    <row r="49">
      <c r="A49" s="17" t="n">
        <v>27576</v>
      </c>
      <c r="B49" s="58">
        <f>VLOOKUP(Table110[[#This Row],[Date]],database!A:H,3,)</f>
        <v/>
      </c>
      <c r="C49" s="66">
        <f>B49/B48-1</f>
        <v/>
      </c>
      <c r="D49" s="66">
        <f>(Table110[[#This Row],[Index]]-B37)/B37</f>
        <v/>
      </c>
    </row>
    <row r="50">
      <c r="A50" s="17" t="n">
        <v>27607</v>
      </c>
      <c r="B50" s="58">
        <f>VLOOKUP(Table110[[#This Row],[Date]],database!A:H,3,)</f>
        <v/>
      </c>
      <c r="C50" s="66">
        <f>B50/B49-1</f>
        <v/>
      </c>
      <c r="D50" s="66">
        <f>(Table110[[#This Row],[Index]]-B38)/B38</f>
        <v/>
      </c>
    </row>
    <row r="51">
      <c r="A51" s="17" t="n">
        <v>27638</v>
      </c>
      <c r="B51" s="58">
        <f>VLOOKUP(Table110[[#This Row],[Date]],database!A:H,3,)</f>
        <v/>
      </c>
      <c r="C51" s="66">
        <f>B51/B50-1</f>
        <v/>
      </c>
      <c r="D51" s="66">
        <f>(Table110[[#This Row],[Index]]-B39)/B39</f>
        <v/>
      </c>
    </row>
    <row r="52">
      <c r="A52" s="17" t="n">
        <v>27668</v>
      </c>
      <c r="B52" s="58">
        <f>VLOOKUP(Table110[[#This Row],[Date]],database!A:H,3,)</f>
        <v/>
      </c>
      <c r="C52" s="66">
        <f>B52/B51-1</f>
        <v/>
      </c>
      <c r="D52" s="66">
        <f>(Table110[[#This Row],[Index]]-B40)/B40</f>
        <v/>
      </c>
    </row>
    <row r="53">
      <c r="A53" s="17" t="n">
        <v>27699</v>
      </c>
      <c r="B53" s="58">
        <f>VLOOKUP(Table110[[#This Row],[Date]],database!A:H,3,)</f>
        <v/>
      </c>
      <c r="C53" s="66">
        <f>B53/B52-1</f>
        <v/>
      </c>
      <c r="D53" s="66">
        <f>(Table110[[#This Row],[Index]]-B41)/B41</f>
        <v/>
      </c>
    </row>
    <row r="54">
      <c r="A54" s="17" t="n">
        <v>27729</v>
      </c>
      <c r="B54" s="58">
        <f>VLOOKUP(Table110[[#This Row],[Date]],database!A:H,3,)</f>
        <v/>
      </c>
      <c r="C54" s="66">
        <f>B54/B53-1</f>
        <v/>
      </c>
      <c r="D54" s="66">
        <f>(Table110[[#This Row],[Index]]-B42)/B42</f>
        <v/>
      </c>
    </row>
    <row r="55">
      <c r="A55" s="17" t="n">
        <v>27760</v>
      </c>
      <c r="B55" s="58">
        <f>VLOOKUP(Table110[[#This Row],[Date]],database!A:H,3,)</f>
        <v/>
      </c>
      <c r="C55" s="66">
        <f>B55/B54-1</f>
        <v/>
      </c>
      <c r="D55" s="66">
        <f>(Table110[[#This Row],[Index]]-B43)/B43</f>
        <v/>
      </c>
    </row>
    <row r="56">
      <c r="A56" s="17" t="n">
        <v>27791</v>
      </c>
      <c r="B56" s="58">
        <f>VLOOKUP(Table110[[#This Row],[Date]],database!A:H,3,)</f>
        <v/>
      </c>
      <c r="C56" s="66">
        <f>B56/B55-1</f>
        <v/>
      </c>
      <c r="D56" s="66">
        <f>(Table110[[#This Row],[Index]]-B44)/B44</f>
        <v/>
      </c>
    </row>
    <row r="57">
      <c r="A57" s="17" t="n">
        <v>27820</v>
      </c>
      <c r="B57" s="58">
        <f>VLOOKUP(Table110[[#This Row],[Date]],database!A:H,3,)</f>
        <v/>
      </c>
      <c r="C57" s="66">
        <f>B57/B56-1</f>
        <v/>
      </c>
      <c r="D57" s="66">
        <f>(Table110[[#This Row],[Index]]-B45)/B45</f>
        <v/>
      </c>
    </row>
    <row r="58">
      <c r="A58" s="17" t="n">
        <v>27851</v>
      </c>
      <c r="B58" s="58">
        <f>VLOOKUP(Table110[[#This Row],[Date]],database!A:H,3,)</f>
        <v/>
      </c>
      <c r="C58" s="66">
        <f>B58/B57-1</f>
        <v/>
      </c>
      <c r="D58" s="66">
        <f>(Table110[[#This Row],[Index]]-B46)/B46</f>
        <v/>
      </c>
    </row>
    <row r="59">
      <c r="A59" s="17" t="n">
        <v>27881</v>
      </c>
      <c r="B59" s="58">
        <f>VLOOKUP(Table110[[#This Row],[Date]],database!A:H,3,)</f>
        <v/>
      </c>
      <c r="C59" s="66">
        <f>B59/B58-1</f>
        <v/>
      </c>
      <c r="D59" s="66">
        <f>(Table110[[#This Row],[Index]]-B47)/B47</f>
        <v/>
      </c>
    </row>
    <row r="60">
      <c r="A60" s="17" t="n">
        <v>27912</v>
      </c>
      <c r="B60" s="58">
        <f>VLOOKUP(Table110[[#This Row],[Date]],database!A:H,3,)</f>
        <v/>
      </c>
      <c r="C60" s="66">
        <f>B60/B59-1</f>
        <v/>
      </c>
      <c r="D60" s="66">
        <f>(Table110[[#This Row],[Index]]-B48)/B48</f>
        <v/>
      </c>
    </row>
    <row r="61">
      <c r="A61" s="17" t="n">
        <v>27942</v>
      </c>
      <c r="B61" s="58">
        <f>VLOOKUP(Table110[[#This Row],[Date]],database!A:H,3,)</f>
        <v/>
      </c>
      <c r="C61" s="66">
        <f>B61/B60-1</f>
        <v/>
      </c>
      <c r="D61" s="66">
        <f>(Table110[[#This Row],[Index]]-B49)/B49</f>
        <v/>
      </c>
    </row>
    <row r="62">
      <c r="A62" s="17" t="n">
        <v>27973</v>
      </c>
      <c r="B62" s="58">
        <f>VLOOKUP(Table110[[#This Row],[Date]],database!A:H,3,)</f>
        <v/>
      </c>
      <c r="C62" s="66">
        <f>B62/B61-1</f>
        <v/>
      </c>
      <c r="D62" s="66">
        <f>(Table110[[#This Row],[Index]]-B50)/B50</f>
        <v/>
      </c>
    </row>
    <row r="63">
      <c r="A63" s="17" t="n">
        <v>28004</v>
      </c>
      <c r="B63" s="58">
        <f>VLOOKUP(Table110[[#This Row],[Date]],database!A:H,3,)</f>
        <v/>
      </c>
      <c r="C63" s="66">
        <f>B63/B62-1</f>
        <v/>
      </c>
      <c r="D63" s="66">
        <f>(Table110[[#This Row],[Index]]-B51)/B51</f>
        <v/>
      </c>
    </row>
    <row r="64">
      <c r="A64" s="17" t="n">
        <v>28034</v>
      </c>
      <c r="B64" s="58">
        <f>VLOOKUP(Table110[[#This Row],[Date]],database!A:H,3,)</f>
        <v/>
      </c>
      <c r="C64" s="66">
        <f>B64/B63-1</f>
        <v/>
      </c>
      <c r="D64" s="66">
        <f>(Table110[[#This Row],[Index]]-B52)/B52</f>
        <v/>
      </c>
    </row>
    <row r="65">
      <c r="A65" s="17" t="n">
        <v>28065</v>
      </c>
      <c r="B65" s="58">
        <f>VLOOKUP(Table110[[#This Row],[Date]],database!A:H,3,)</f>
        <v/>
      </c>
      <c r="C65" s="66">
        <f>B65/B64-1</f>
        <v/>
      </c>
      <c r="D65" s="66">
        <f>(Table110[[#This Row],[Index]]-B53)/B53</f>
        <v/>
      </c>
    </row>
    <row r="66">
      <c r="A66" s="17" t="n">
        <v>28095</v>
      </c>
      <c r="B66" s="58">
        <f>VLOOKUP(Table110[[#This Row],[Date]],database!A:H,3,)</f>
        <v/>
      </c>
      <c r="C66" s="66">
        <f>B66/B65-1</f>
        <v/>
      </c>
      <c r="D66" s="66">
        <f>(Table110[[#This Row],[Index]]-B54)/B54</f>
        <v/>
      </c>
    </row>
    <row r="67">
      <c r="A67" s="17" t="n">
        <v>28126</v>
      </c>
      <c r="B67" s="58">
        <f>VLOOKUP(Table110[[#This Row],[Date]],database!A:H,3,)</f>
        <v/>
      </c>
      <c r="C67" s="66">
        <f>B67/B66-1</f>
        <v/>
      </c>
      <c r="D67" s="66">
        <f>(Table110[[#This Row],[Index]]-B55)/B55</f>
        <v/>
      </c>
    </row>
    <row r="68">
      <c r="A68" s="17" t="n">
        <v>28157</v>
      </c>
      <c r="B68" s="58">
        <f>VLOOKUP(Table110[[#This Row],[Date]],database!A:H,3,)</f>
        <v/>
      </c>
      <c r="C68" s="66">
        <f>B68/B67-1</f>
        <v/>
      </c>
      <c r="D68" s="66">
        <f>(Table110[[#This Row],[Index]]-B56)/B56</f>
        <v/>
      </c>
    </row>
    <row r="69">
      <c r="A69" s="17" t="n">
        <v>28185</v>
      </c>
      <c r="B69" s="58">
        <f>VLOOKUP(Table110[[#This Row],[Date]],database!A:H,3,)</f>
        <v/>
      </c>
      <c r="C69" s="66">
        <f>B69/B68-1</f>
        <v/>
      </c>
      <c r="D69" s="66">
        <f>(Table110[[#This Row],[Index]]-B57)/B57</f>
        <v/>
      </c>
    </row>
    <row r="70">
      <c r="A70" s="17" t="n">
        <v>28216</v>
      </c>
      <c r="B70" s="58">
        <f>VLOOKUP(Table110[[#This Row],[Date]],database!A:H,3,)</f>
        <v/>
      </c>
      <c r="C70" s="66">
        <f>B70/B69-1</f>
        <v/>
      </c>
      <c r="D70" s="66">
        <f>(Table110[[#This Row],[Index]]-B58)/B58</f>
        <v/>
      </c>
    </row>
    <row r="71">
      <c r="A71" s="17" t="n">
        <v>28246</v>
      </c>
      <c r="B71" s="58">
        <f>VLOOKUP(Table110[[#This Row],[Date]],database!A:H,3,)</f>
        <v/>
      </c>
      <c r="C71" s="66">
        <f>B71/B70-1</f>
        <v/>
      </c>
      <c r="D71" s="66">
        <f>(Table110[[#This Row],[Index]]-B59)/B59</f>
        <v/>
      </c>
    </row>
    <row r="72">
      <c r="A72" s="17" t="n">
        <v>28277</v>
      </c>
      <c r="B72" s="58">
        <f>VLOOKUP(Table110[[#This Row],[Date]],database!A:H,3,)</f>
        <v/>
      </c>
      <c r="C72" s="66">
        <f>B72/B71-1</f>
        <v/>
      </c>
      <c r="D72" s="66">
        <f>(Table110[[#This Row],[Index]]-B60)/B60</f>
        <v/>
      </c>
    </row>
    <row r="73">
      <c r="A73" s="17" t="n">
        <v>28307</v>
      </c>
      <c r="B73" s="58">
        <f>VLOOKUP(Table110[[#This Row],[Date]],database!A:H,3,)</f>
        <v/>
      </c>
      <c r="C73" s="66">
        <f>B73/B72-1</f>
        <v/>
      </c>
      <c r="D73" s="66">
        <f>(Table110[[#This Row],[Index]]-B61)/B61</f>
        <v/>
      </c>
    </row>
    <row r="74">
      <c r="A74" s="17" t="n">
        <v>28338</v>
      </c>
      <c r="B74" s="58">
        <f>VLOOKUP(Table110[[#This Row],[Date]],database!A:H,3,)</f>
        <v/>
      </c>
      <c r="C74" s="66">
        <f>B74/B73-1</f>
        <v/>
      </c>
      <c r="D74" s="66">
        <f>(Table110[[#This Row],[Index]]-B62)/B62</f>
        <v/>
      </c>
    </row>
    <row r="75">
      <c r="A75" s="17" t="n">
        <v>28369</v>
      </c>
      <c r="B75" s="58">
        <f>VLOOKUP(Table110[[#This Row],[Date]],database!A:H,3,)</f>
        <v/>
      </c>
      <c r="C75" s="66">
        <f>B75/B74-1</f>
        <v/>
      </c>
      <c r="D75" s="66">
        <f>(Table110[[#This Row],[Index]]-B63)/B63</f>
        <v/>
      </c>
    </row>
    <row r="76">
      <c r="A76" s="17" t="n">
        <v>28399</v>
      </c>
      <c r="B76" s="58">
        <f>VLOOKUP(Table110[[#This Row],[Date]],database!A:H,3,)</f>
        <v/>
      </c>
      <c r="C76" s="66">
        <f>B76/B75-1</f>
        <v/>
      </c>
      <c r="D76" s="66">
        <f>(Table110[[#This Row],[Index]]-B64)/B64</f>
        <v/>
      </c>
    </row>
    <row r="77">
      <c r="A77" s="17" t="n">
        <v>28430</v>
      </c>
      <c r="B77" s="58">
        <f>VLOOKUP(Table110[[#This Row],[Date]],database!A:H,3,)</f>
        <v/>
      </c>
      <c r="C77" s="66">
        <f>B77/B76-1</f>
        <v/>
      </c>
      <c r="D77" s="66">
        <f>(Table110[[#This Row],[Index]]-B65)/B65</f>
        <v/>
      </c>
    </row>
    <row r="78">
      <c r="A78" s="17" t="n">
        <v>28460</v>
      </c>
      <c r="B78" s="58">
        <f>VLOOKUP(Table110[[#This Row],[Date]],database!A:H,3,)</f>
        <v/>
      </c>
      <c r="C78" s="66">
        <f>B78/B77-1</f>
        <v/>
      </c>
      <c r="D78" s="66">
        <f>(Table110[[#This Row],[Index]]-B66)/B66</f>
        <v/>
      </c>
    </row>
    <row r="79">
      <c r="A79" s="17" t="n">
        <v>28491</v>
      </c>
      <c r="B79" s="58">
        <f>VLOOKUP(Table110[[#This Row],[Date]],database!A:H,3,)</f>
        <v/>
      </c>
      <c r="C79" s="66">
        <f>B79/B78-1</f>
        <v/>
      </c>
      <c r="D79" s="66">
        <f>(Table110[[#This Row],[Index]]-B67)/B67</f>
        <v/>
      </c>
    </row>
    <row r="80">
      <c r="A80" s="17" t="n">
        <v>28522</v>
      </c>
      <c r="B80" s="58">
        <f>VLOOKUP(Table110[[#This Row],[Date]],database!A:H,3,)</f>
        <v/>
      </c>
      <c r="C80" s="66">
        <f>B80/B79-1</f>
        <v/>
      </c>
      <c r="D80" s="66">
        <f>(Table110[[#This Row],[Index]]-B68)/B68</f>
        <v/>
      </c>
    </row>
    <row r="81">
      <c r="A81" s="17" t="n">
        <v>28550</v>
      </c>
      <c r="B81" s="58">
        <f>VLOOKUP(Table110[[#This Row],[Date]],database!A:H,3,)</f>
        <v/>
      </c>
      <c r="C81" s="66">
        <f>B81/B80-1</f>
        <v/>
      </c>
      <c r="D81" s="66">
        <f>(Table110[[#This Row],[Index]]-B69)/B69</f>
        <v/>
      </c>
    </row>
    <row r="82">
      <c r="A82" s="17" t="n">
        <v>28581</v>
      </c>
      <c r="B82" s="58">
        <f>VLOOKUP(Table110[[#This Row],[Date]],database!A:H,3,)</f>
        <v/>
      </c>
      <c r="C82" s="66">
        <f>B82/B81-1</f>
        <v/>
      </c>
      <c r="D82" s="66">
        <f>(Table110[[#This Row],[Index]]-B70)/B70</f>
        <v/>
      </c>
    </row>
    <row r="83">
      <c r="A83" s="17" t="n">
        <v>28611</v>
      </c>
      <c r="B83" s="58">
        <f>VLOOKUP(Table110[[#This Row],[Date]],database!A:H,3,)</f>
        <v/>
      </c>
      <c r="C83" s="66">
        <f>B83/B82-1</f>
        <v/>
      </c>
      <c r="D83" s="66">
        <f>(Table110[[#This Row],[Index]]-B71)/B71</f>
        <v/>
      </c>
    </row>
    <row r="84">
      <c r="A84" s="17" t="n">
        <v>28642</v>
      </c>
      <c r="B84" s="58">
        <f>VLOOKUP(Table110[[#This Row],[Date]],database!A:H,3,)</f>
        <v/>
      </c>
      <c r="C84" s="66">
        <f>B84/B83-1</f>
        <v/>
      </c>
      <c r="D84" s="66">
        <f>(Table110[[#This Row],[Index]]-B72)/B72</f>
        <v/>
      </c>
    </row>
    <row r="85">
      <c r="A85" s="17" t="n">
        <v>28672</v>
      </c>
      <c r="B85" s="58">
        <f>VLOOKUP(Table110[[#This Row],[Date]],database!A:H,3,)</f>
        <v/>
      </c>
      <c r="C85" s="66">
        <f>B85/B84-1</f>
        <v/>
      </c>
      <c r="D85" s="66">
        <f>(Table110[[#This Row],[Index]]-B73)/B73</f>
        <v/>
      </c>
    </row>
    <row r="86">
      <c r="A86" s="17" t="n">
        <v>28703</v>
      </c>
      <c r="B86" s="58">
        <f>VLOOKUP(Table110[[#This Row],[Date]],database!A:H,3,)</f>
        <v/>
      </c>
      <c r="C86" s="66">
        <f>B86/B85-1</f>
        <v/>
      </c>
      <c r="D86" s="66">
        <f>(Table110[[#This Row],[Index]]-B74)/B74</f>
        <v/>
      </c>
    </row>
    <row r="87">
      <c r="A87" s="17" t="n">
        <v>28734</v>
      </c>
      <c r="B87" s="58">
        <f>VLOOKUP(Table110[[#This Row],[Date]],database!A:H,3,)</f>
        <v/>
      </c>
      <c r="C87" s="66">
        <f>B87/B86-1</f>
        <v/>
      </c>
      <c r="D87" s="66">
        <f>(Table110[[#This Row],[Index]]-B75)/B75</f>
        <v/>
      </c>
    </row>
    <row r="88">
      <c r="A88" s="17" t="n">
        <v>28764</v>
      </c>
      <c r="B88" s="58">
        <f>VLOOKUP(Table110[[#This Row],[Date]],database!A:H,3,)</f>
        <v/>
      </c>
      <c r="C88" s="66">
        <f>B88/B87-1</f>
        <v/>
      </c>
      <c r="D88" s="66">
        <f>(Table110[[#This Row],[Index]]-B76)/B76</f>
        <v/>
      </c>
    </row>
    <row r="89">
      <c r="A89" s="17" t="n">
        <v>28795</v>
      </c>
      <c r="B89" s="58">
        <f>VLOOKUP(Table110[[#This Row],[Date]],database!A:H,3,)</f>
        <v/>
      </c>
      <c r="C89" s="66">
        <f>B89/B88-1</f>
        <v/>
      </c>
      <c r="D89" s="66">
        <f>(Table110[[#This Row],[Index]]-B77)/B77</f>
        <v/>
      </c>
    </row>
    <row r="90">
      <c r="A90" s="17" t="n">
        <v>28825</v>
      </c>
      <c r="B90" s="58">
        <f>VLOOKUP(Table110[[#This Row],[Date]],database!A:H,3,)</f>
        <v/>
      </c>
      <c r="C90" s="66">
        <f>B90/B89-1</f>
        <v/>
      </c>
      <c r="D90" s="66">
        <f>(Table110[[#This Row],[Index]]-B78)/B78</f>
        <v/>
      </c>
    </row>
    <row r="91">
      <c r="A91" s="17" t="n">
        <v>28856</v>
      </c>
      <c r="B91" s="58">
        <f>VLOOKUP(Table110[[#This Row],[Date]],database!A:H,3,)</f>
        <v/>
      </c>
      <c r="C91" s="66">
        <f>B91/B90-1</f>
        <v/>
      </c>
      <c r="D91" s="66">
        <f>(Table110[[#This Row],[Index]]-B79)/B79</f>
        <v/>
      </c>
    </row>
    <row r="92">
      <c r="A92" s="17" t="n">
        <v>28887</v>
      </c>
      <c r="B92" s="58">
        <f>VLOOKUP(Table110[[#This Row],[Date]],database!A:H,3,)</f>
        <v/>
      </c>
      <c r="C92" s="66">
        <f>B92/B91-1</f>
        <v/>
      </c>
      <c r="D92" s="66">
        <f>(Table110[[#This Row],[Index]]-B80)/B80</f>
        <v/>
      </c>
    </row>
    <row r="93">
      <c r="A93" s="17" t="n">
        <v>28915</v>
      </c>
      <c r="B93" s="58">
        <f>VLOOKUP(Table110[[#This Row],[Date]],database!A:H,3,)</f>
        <v/>
      </c>
      <c r="C93" s="66">
        <f>B93/B92-1</f>
        <v/>
      </c>
      <c r="D93" s="66">
        <f>(Table110[[#This Row],[Index]]-B81)/B81</f>
        <v/>
      </c>
    </row>
    <row r="94">
      <c r="A94" s="17" t="n">
        <v>28946</v>
      </c>
      <c r="B94" s="58">
        <f>VLOOKUP(Table110[[#This Row],[Date]],database!A:H,3,)</f>
        <v/>
      </c>
      <c r="C94" s="66">
        <f>B94/B93-1</f>
        <v/>
      </c>
      <c r="D94" s="66">
        <f>(Table110[[#This Row],[Index]]-B82)/B82</f>
        <v/>
      </c>
    </row>
    <row r="95">
      <c r="A95" s="17" t="n">
        <v>28976</v>
      </c>
      <c r="B95" s="58">
        <f>VLOOKUP(Table110[[#This Row],[Date]],database!A:H,3,)</f>
        <v/>
      </c>
      <c r="C95" s="66">
        <f>B95/B94-1</f>
        <v/>
      </c>
      <c r="D95" s="66">
        <f>(Table110[[#This Row],[Index]]-B83)/B83</f>
        <v/>
      </c>
    </row>
    <row r="96">
      <c r="A96" s="17" t="n">
        <v>29007</v>
      </c>
      <c r="B96" s="58">
        <f>VLOOKUP(Table110[[#This Row],[Date]],database!A:H,3,)</f>
        <v/>
      </c>
      <c r="C96" s="66">
        <f>B96/B95-1</f>
        <v/>
      </c>
      <c r="D96" s="66">
        <f>(Table110[[#This Row],[Index]]-B84)/B84</f>
        <v/>
      </c>
    </row>
    <row r="97">
      <c r="A97" s="17" t="n">
        <v>29037</v>
      </c>
      <c r="B97" s="58">
        <f>VLOOKUP(Table110[[#This Row],[Date]],database!A:H,3,)</f>
        <v/>
      </c>
      <c r="C97" s="66">
        <f>B97/B96-1</f>
        <v/>
      </c>
      <c r="D97" s="66">
        <f>(Table110[[#This Row],[Index]]-B85)/B85</f>
        <v/>
      </c>
    </row>
    <row r="98">
      <c r="A98" s="17" t="n">
        <v>29068</v>
      </c>
      <c r="B98" s="58">
        <f>VLOOKUP(Table110[[#This Row],[Date]],database!A:H,3,)</f>
        <v/>
      </c>
      <c r="C98" s="66">
        <f>B98/B97-1</f>
        <v/>
      </c>
      <c r="D98" s="66">
        <f>(Table110[[#This Row],[Index]]-B86)/B86</f>
        <v/>
      </c>
    </row>
    <row r="99">
      <c r="A99" s="17" t="n">
        <v>29099</v>
      </c>
      <c r="B99" s="58">
        <f>VLOOKUP(Table110[[#This Row],[Date]],database!A:H,3,)</f>
        <v/>
      </c>
      <c r="C99" s="66">
        <f>B99/B98-1</f>
        <v/>
      </c>
      <c r="D99" s="66">
        <f>(Table110[[#This Row],[Index]]-B87)/B87</f>
        <v/>
      </c>
    </row>
    <row r="100">
      <c r="A100" s="17" t="n">
        <v>29129</v>
      </c>
      <c r="B100" s="58">
        <f>VLOOKUP(Table110[[#This Row],[Date]],database!A:H,3,)</f>
        <v/>
      </c>
      <c r="C100" s="66">
        <f>B100/B99-1</f>
        <v/>
      </c>
      <c r="D100" s="66">
        <f>(Table110[[#This Row],[Index]]-B88)/B88</f>
        <v/>
      </c>
    </row>
    <row r="101">
      <c r="A101" s="17" t="n">
        <v>29160</v>
      </c>
      <c r="B101" s="58">
        <f>VLOOKUP(Table110[[#This Row],[Date]],database!A:H,3,)</f>
        <v/>
      </c>
      <c r="C101" s="66">
        <f>B101/B100-1</f>
        <v/>
      </c>
      <c r="D101" s="66">
        <f>(Table110[[#This Row],[Index]]-B89)/B89</f>
        <v/>
      </c>
    </row>
    <row r="102">
      <c r="A102" s="17" t="n">
        <v>29190</v>
      </c>
      <c r="B102" s="58">
        <f>VLOOKUP(Table110[[#This Row],[Date]],database!A:H,3,)</f>
        <v/>
      </c>
      <c r="C102" s="66">
        <f>B102/B101-1</f>
        <v/>
      </c>
      <c r="D102" s="66">
        <f>(Table110[[#This Row],[Index]]-B90)/B90</f>
        <v/>
      </c>
    </row>
    <row r="103">
      <c r="A103" s="17" t="n">
        <v>29221</v>
      </c>
      <c r="B103" s="58">
        <f>VLOOKUP(Table110[[#This Row],[Date]],database!A:H,3,)</f>
        <v/>
      </c>
      <c r="C103" s="66">
        <f>B103/B102-1</f>
        <v/>
      </c>
      <c r="D103" s="66">
        <f>(Table110[[#This Row],[Index]]-B91)/B91</f>
        <v/>
      </c>
    </row>
    <row r="104">
      <c r="A104" s="17" t="n">
        <v>29252</v>
      </c>
      <c r="B104" s="58">
        <f>VLOOKUP(Table110[[#This Row],[Date]],database!A:H,3,)</f>
        <v/>
      </c>
      <c r="C104" s="66">
        <f>B104/B103-1</f>
        <v/>
      </c>
      <c r="D104" s="66">
        <f>(Table110[[#This Row],[Index]]-B92)/B92</f>
        <v/>
      </c>
    </row>
    <row r="105">
      <c r="A105" s="17" t="n">
        <v>29281</v>
      </c>
      <c r="B105" s="58">
        <f>VLOOKUP(Table110[[#This Row],[Date]],database!A:H,3,)</f>
        <v/>
      </c>
      <c r="C105" s="66">
        <f>B105/B104-1</f>
        <v/>
      </c>
      <c r="D105" s="66">
        <f>(Table110[[#This Row],[Index]]-B93)/B93</f>
        <v/>
      </c>
    </row>
    <row r="106">
      <c r="A106" s="17" t="n">
        <v>29312</v>
      </c>
      <c r="B106" s="58">
        <f>VLOOKUP(Table110[[#This Row],[Date]],database!A:H,3,)</f>
        <v/>
      </c>
      <c r="C106" s="66">
        <f>B106/B105-1</f>
        <v/>
      </c>
      <c r="D106" s="66">
        <f>(Table110[[#This Row],[Index]]-B94)/B94</f>
        <v/>
      </c>
    </row>
    <row r="107">
      <c r="A107" s="17" t="n">
        <v>29342</v>
      </c>
      <c r="B107" s="58">
        <f>VLOOKUP(Table110[[#This Row],[Date]],database!A:H,3,)</f>
        <v/>
      </c>
      <c r="C107" s="66">
        <f>B107/B106-1</f>
        <v/>
      </c>
      <c r="D107" s="66">
        <f>(Table110[[#This Row],[Index]]-B95)/B95</f>
        <v/>
      </c>
    </row>
    <row r="108">
      <c r="A108" s="17" t="n">
        <v>29373</v>
      </c>
      <c r="B108" s="58">
        <f>VLOOKUP(Table110[[#This Row],[Date]],database!A:H,3,)</f>
        <v/>
      </c>
      <c r="C108" s="66">
        <f>B108/B107-1</f>
        <v/>
      </c>
      <c r="D108" s="66">
        <f>(Table110[[#This Row],[Index]]-B96)/B96</f>
        <v/>
      </c>
    </row>
    <row r="109">
      <c r="A109" s="17" t="n">
        <v>29403</v>
      </c>
      <c r="B109" s="58">
        <f>VLOOKUP(Table110[[#This Row],[Date]],database!A:H,3,)</f>
        <v/>
      </c>
      <c r="C109" s="66">
        <f>B109/B108-1</f>
        <v/>
      </c>
      <c r="D109" s="66">
        <f>(Table110[[#This Row],[Index]]-B97)/B97</f>
        <v/>
      </c>
    </row>
    <row r="110">
      <c r="A110" s="17" t="n">
        <v>29434</v>
      </c>
      <c r="B110" s="58">
        <f>VLOOKUP(Table110[[#This Row],[Date]],database!A:H,3,)</f>
        <v/>
      </c>
      <c r="C110" s="66">
        <f>B110/B109-1</f>
        <v/>
      </c>
      <c r="D110" s="66">
        <f>(Table110[[#This Row],[Index]]-B98)/B98</f>
        <v/>
      </c>
    </row>
    <row r="111">
      <c r="A111" s="17" t="n">
        <v>29465</v>
      </c>
      <c r="B111" s="58">
        <f>VLOOKUP(Table110[[#This Row],[Date]],database!A:H,3,)</f>
        <v/>
      </c>
      <c r="C111" s="66">
        <f>B111/B110-1</f>
        <v/>
      </c>
      <c r="D111" s="66">
        <f>(Table110[[#This Row],[Index]]-B99)/B99</f>
        <v/>
      </c>
    </row>
    <row r="112">
      <c r="A112" s="17" t="n">
        <v>29495</v>
      </c>
      <c r="B112" s="58">
        <f>VLOOKUP(Table110[[#This Row],[Date]],database!A:H,3,)</f>
        <v/>
      </c>
      <c r="C112" s="66">
        <f>B112/B111-1</f>
        <v/>
      </c>
      <c r="D112" s="66">
        <f>(Table110[[#This Row],[Index]]-B100)/B100</f>
        <v/>
      </c>
    </row>
    <row r="113">
      <c r="A113" s="17" t="n">
        <v>29526</v>
      </c>
      <c r="B113" s="58">
        <f>VLOOKUP(Table110[[#This Row],[Date]],database!A:H,3,)</f>
        <v/>
      </c>
      <c r="C113" s="66">
        <f>B113/B112-1</f>
        <v/>
      </c>
      <c r="D113" s="66">
        <f>(Table110[[#This Row],[Index]]-B101)/B101</f>
        <v/>
      </c>
    </row>
    <row r="114">
      <c r="A114" s="17" t="n">
        <v>29556</v>
      </c>
      <c r="B114" s="58">
        <f>VLOOKUP(Table110[[#This Row],[Date]],database!A:H,3,)</f>
        <v/>
      </c>
      <c r="C114" s="66">
        <f>B114/B113-1</f>
        <v/>
      </c>
      <c r="D114" s="66">
        <f>(Table110[[#This Row],[Index]]-B102)/B102</f>
        <v/>
      </c>
    </row>
    <row r="115">
      <c r="A115" s="17" t="n">
        <v>29587</v>
      </c>
      <c r="B115" s="58">
        <f>VLOOKUP(Table110[[#This Row],[Date]],database!A:H,3,)</f>
        <v/>
      </c>
      <c r="C115" s="66">
        <f>B115/B114-1</f>
        <v/>
      </c>
      <c r="D115" s="66">
        <f>(Table110[[#This Row],[Index]]-B103)/B103</f>
        <v/>
      </c>
    </row>
    <row r="116">
      <c r="A116" s="17" t="n">
        <v>29618</v>
      </c>
      <c r="B116" s="58">
        <f>VLOOKUP(Table110[[#This Row],[Date]],database!A:H,3,)</f>
        <v/>
      </c>
      <c r="C116" s="66">
        <f>B116/B115-1</f>
        <v/>
      </c>
      <c r="D116" s="66">
        <f>(Table110[[#This Row],[Index]]-B104)/B104</f>
        <v/>
      </c>
    </row>
    <row r="117">
      <c r="A117" s="17" t="n">
        <v>29646</v>
      </c>
      <c r="B117" s="58">
        <f>VLOOKUP(Table110[[#This Row],[Date]],database!A:H,3,)</f>
        <v/>
      </c>
      <c r="C117" s="66">
        <f>B117/B116-1</f>
        <v/>
      </c>
      <c r="D117" s="66">
        <f>(Table110[[#This Row],[Index]]-B105)/B105</f>
        <v/>
      </c>
    </row>
    <row r="118">
      <c r="A118" s="17" t="n">
        <v>29677</v>
      </c>
      <c r="B118" s="58">
        <f>VLOOKUP(Table110[[#This Row],[Date]],database!A:H,3,)</f>
        <v/>
      </c>
      <c r="C118" s="66">
        <f>B118/B117-1</f>
        <v/>
      </c>
      <c r="D118" s="66">
        <f>(Table110[[#This Row],[Index]]-B106)/B106</f>
        <v/>
      </c>
    </row>
    <row r="119">
      <c r="A119" s="17" t="n">
        <v>29707</v>
      </c>
      <c r="B119" s="58">
        <f>VLOOKUP(Table110[[#This Row],[Date]],database!A:H,3,)</f>
        <v/>
      </c>
      <c r="C119" s="66">
        <f>B119/B118-1</f>
        <v/>
      </c>
      <c r="D119" s="66">
        <f>(Table110[[#This Row],[Index]]-B107)/B107</f>
        <v/>
      </c>
    </row>
    <row r="120">
      <c r="A120" s="17" t="n">
        <v>29738</v>
      </c>
      <c r="B120" s="58">
        <f>VLOOKUP(Table110[[#This Row],[Date]],database!A:H,3,)</f>
        <v/>
      </c>
      <c r="C120" s="66">
        <f>B120/B119-1</f>
        <v/>
      </c>
      <c r="D120" s="66">
        <f>(Table110[[#This Row],[Index]]-B108)/B108</f>
        <v/>
      </c>
    </row>
    <row r="121">
      <c r="A121" s="17" t="n">
        <v>29768</v>
      </c>
      <c r="B121" s="58">
        <f>VLOOKUP(Table110[[#This Row],[Date]],database!A:H,3,)</f>
        <v/>
      </c>
      <c r="C121" s="66">
        <f>B121/B120-1</f>
        <v/>
      </c>
      <c r="D121" s="66">
        <f>(Table110[[#This Row],[Index]]-B109)/B109</f>
        <v/>
      </c>
    </row>
    <row r="122">
      <c r="A122" s="17" t="n">
        <v>29799</v>
      </c>
      <c r="B122" s="58">
        <f>VLOOKUP(Table110[[#This Row],[Date]],database!A:H,3,)</f>
        <v/>
      </c>
      <c r="C122" s="66">
        <f>B122/B121-1</f>
        <v/>
      </c>
      <c r="D122" s="66">
        <f>(Table110[[#This Row],[Index]]-B110)/B110</f>
        <v/>
      </c>
    </row>
    <row r="123">
      <c r="A123" s="17" t="n">
        <v>29830</v>
      </c>
      <c r="B123" s="58">
        <f>VLOOKUP(Table110[[#This Row],[Date]],database!A:H,3,)</f>
        <v/>
      </c>
      <c r="C123" s="66">
        <f>B123/B122-1</f>
        <v/>
      </c>
      <c r="D123" s="66">
        <f>(Table110[[#This Row],[Index]]-B111)/B111</f>
        <v/>
      </c>
    </row>
    <row r="124">
      <c r="A124" s="17" t="n">
        <v>29860</v>
      </c>
      <c r="B124" s="58">
        <f>VLOOKUP(Table110[[#This Row],[Date]],database!A:H,3,)</f>
        <v/>
      </c>
      <c r="C124" s="66">
        <f>B124/B123-1</f>
        <v/>
      </c>
      <c r="D124" s="66">
        <f>(Table110[[#This Row],[Index]]-B112)/B112</f>
        <v/>
      </c>
    </row>
    <row r="125">
      <c r="A125" s="17" t="n">
        <v>29891</v>
      </c>
      <c r="B125" s="58">
        <f>VLOOKUP(Table110[[#This Row],[Date]],database!A:H,3,)</f>
        <v/>
      </c>
      <c r="C125" s="66">
        <f>B125/B124-1</f>
        <v/>
      </c>
      <c r="D125" s="66">
        <f>(Table110[[#This Row],[Index]]-B113)/B113</f>
        <v/>
      </c>
    </row>
    <row r="126">
      <c r="A126" s="17" t="n">
        <v>29921</v>
      </c>
      <c r="B126" s="58">
        <f>VLOOKUP(Table110[[#This Row],[Date]],database!A:H,3,)</f>
        <v/>
      </c>
      <c r="C126" s="66">
        <f>B126/B125-1</f>
        <v/>
      </c>
      <c r="D126" s="66">
        <f>(Table110[[#This Row],[Index]]-B114)/B114</f>
        <v/>
      </c>
    </row>
    <row r="127">
      <c r="A127" s="17" t="n">
        <v>29952</v>
      </c>
      <c r="B127" s="58">
        <f>VLOOKUP(Table110[[#This Row],[Date]],database!A:H,3,)</f>
        <v/>
      </c>
      <c r="C127" s="66">
        <f>B127/B126-1</f>
        <v/>
      </c>
      <c r="D127" s="66">
        <f>(Table110[[#This Row],[Index]]-B115)/B115</f>
        <v/>
      </c>
    </row>
    <row r="128">
      <c r="A128" s="17" t="n">
        <v>29983</v>
      </c>
      <c r="B128" s="58">
        <f>VLOOKUP(Table110[[#This Row],[Date]],database!A:H,3,)</f>
        <v/>
      </c>
      <c r="C128" s="66">
        <f>B128/B127-1</f>
        <v/>
      </c>
      <c r="D128" s="66">
        <f>(Table110[[#This Row],[Index]]-B116)/B116</f>
        <v/>
      </c>
    </row>
    <row r="129">
      <c r="A129" s="17" t="n">
        <v>30011</v>
      </c>
      <c r="B129" s="58">
        <f>VLOOKUP(Table110[[#This Row],[Date]],database!A:H,3,)</f>
        <v/>
      </c>
      <c r="C129" s="66">
        <f>B129/B128-1</f>
        <v/>
      </c>
      <c r="D129" s="66">
        <f>(Table110[[#This Row],[Index]]-B117)/B117</f>
        <v/>
      </c>
    </row>
    <row r="130">
      <c r="A130" s="17" t="n">
        <v>30042</v>
      </c>
      <c r="B130" s="58">
        <f>VLOOKUP(Table110[[#This Row],[Date]],database!A:H,3,)</f>
        <v/>
      </c>
      <c r="C130" s="66">
        <f>B130/B129-1</f>
        <v/>
      </c>
      <c r="D130" s="66">
        <f>(Table110[[#This Row],[Index]]-B118)/B118</f>
        <v/>
      </c>
    </row>
    <row r="131">
      <c r="A131" s="17" t="n">
        <v>30072</v>
      </c>
      <c r="B131" s="58">
        <f>VLOOKUP(Table110[[#This Row],[Date]],database!A:H,3,)</f>
        <v/>
      </c>
      <c r="C131" s="66">
        <f>B131/B130-1</f>
        <v/>
      </c>
      <c r="D131" s="66">
        <f>(Table110[[#This Row],[Index]]-B119)/B119</f>
        <v/>
      </c>
    </row>
    <row r="132">
      <c r="A132" s="17" t="n">
        <v>30103</v>
      </c>
      <c r="B132" s="58">
        <f>VLOOKUP(Table110[[#This Row],[Date]],database!A:H,3,)</f>
        <v/>
      </c>
      <c r="C132" s="66">
        <f>B132/B131-1</f>
        <v/>
      </c>
      <c r="D132" s="66">
        <f>(Table110[[#This Row],[Index]]-B120)/B120</f>
        <v/>
      </c>
    </row>
    <row r="133">
      <c r="A133" s="17" t="n">
        <v>30133</v>
      </c>
      <c r="B133" s="58">
        <f>VLOOKUP(Table110[[#This Row],[Date]],database!A:H,3,)</f>
        <v/>
      </c>
      <c r="C133" s="66">
        <f>B133/B132-1</f>
        <v/>
      </c>
      <c r="D133" s="66">
        <f>(Table110[[#This Row],[Index]]-B121)/B121</f>
        <v/>
      </c>
    </row>
    <row r="134">
      <c r="A134" s="17" t="n">
        <v>30164</v>
      </c>
      <c r="B134" s="58">
        <f>VLOOKUP(Table110[[#This Row],[Date]],database!A:H,3,)</f>
        <v/>
      </c>
      <c r="C134" s="66">
        <f>B134/B133-1</f>
        <v/>
      </c>
      <c r="D134" s="66">
        <f>(Table110[[#This Row],[Index]]-B122)/B122</f>
        <v/>
      </c>
    </row>
    <row r="135">
      <c r="A135" s="17" t="n">
        <v>30195</v>
      </c>
      <c r="B135" s="58">
        <f>VLOOKUP(Table110[[#This Row],[Date]],database!A:H,3,)</f>
        <v/>
      </c>
      <c r="C135" s="66">
        <f>B135/B134-1</f>
        <v/>
      </c>
      <c r="D135" s="66">
        <f>(Table110[[#This Row],[Index]]-B123)/B123</f>
        <v/>
      </c>
    </row>
    <row r="136">
      <c r="A136" s="17" t="n">
        <v>30225</v>
      </c>
      <c r="B136" s="58">
        <f>VLOOKUP(Table110[[#This Row],[Date]],database!A:H,3,)</f>
        <v/>
      </c>
      <c r="C136" s="66">
        <f>B136/B135-1</f>
        <v/>
      </c>
      <c r="D136" s="66">
        <f>(Table110[[#This Row],[Index]]-B124)/B124</f>
        <v/>
      </c>
    </row>
    <row r="137">
      <c r="A137" s="17" t="n">
        <v>30256</v>
      </c>
      <c r="B137" s="58">
        <f>VLOOKUP(Table110[[#This Row],[Date]],database!A:H,3,)</f>
        <v/>
      </c>
      <c r="C137" s="66">
        <f>B137/B136-1</f>
        <v/>
      </c>
      <c r="D137" s="66">
        <f>(Table110[[#This Row],[Index]]-B125)/B125</f>
        <v/>
      </c>
    </row>
    <row r="138">
      <c r="A138" s="17" t="n">
        <v>30286</v>
      </c>
      <c r="B138" s="58">
        <f>VLOOKUP(Table110[[#This Row],[Date]],database!A:H,3,)</f>
        <v/>
      </c>
      <c r="C138" s="66">
        <f>B138/B137-1</f>
        <v/>
      </c>
      <c r="D138" s="66">
        <f>(Table110[[#This Row],[Index]]-B126)/B126</f>
        <v/>
      </c>
    </row>
    <row r="139">
      <c r="A139" s="17" t="n">
        <v>30317</v>
      </c>
      <c r="B139" s="58">
        <f>VLOOKUP(Table110[[#This Row],[Date]],database!A:H,3,)</f>
        <v/>
      </c>
      <c r="C139" s="66">
        <f>B139/B138-1</f>
        <v/>
      </c>
      <c r="D139" s="66">
        <f>(Table110[[#This Row],[Index]]-B127)/B127</f>
        <v/>
      </c>
    </row>
    <row r="140">
      <c r="A140" s="17" t="n">
        <v>30348</v>
      </c>
      <c r="B140" s="58">
        <f>VLOOKUP(Table110[[#This Row],[Date]],database!A:H,3,)</f>
        <v/>
      </c>
      <c r="C140" s="66">
        <f>B140/B139-1</f>
        <v/>
      </c>
      <c r="D140" s="66">
        <f>(Table110[[#This Row],[Index]]-B128)/B128</f>
        <v/>
      </c>
    </row>
    <row r="141">
      <c r="A141" s="17" t="n">
        <v>30376</v>
      </c>
      <c r="B141" s="58">
        <f>VLOOKUP(Table110[[#This Row],[Date]],database!A:H,3,)</f>
        <v/>
      </c>
      <c r="C141" s="66">
        <f>B141/B140-1</f>
        <v/>
      </c>
      <c r="D141" s="66">
        <f>(Table110[[#This Row],[Index]]-B129)/B129</f>
        <v/>
      </c>
    </row>
    <row r="142">
      <c r="A142" s="17" t="n">
        <v>30407</v>
      </c>
      <c r="B142" s="58">
        <f>VLOOKUP(Table110[[#This Row],[Date]],database!A:H,3,)</f>
        <v/>
      </c>
      <c r="C142" s="66">
        <f>B142/B141-1</f>
        <v/>
      </c>
      <c r="D142" s="66">
        <f>(Table110[[#This Row],[Index]]-B130)/B130</f>
        <v/>
      </c>
    </row>
    <row r="143">
      <c r="A143" s="17" t="n">
        <v>30437</v>
      </c>
      <c r="B143" s="58">
        <f>VLOOKUP(Table110[[#This Row],[Date]],database!A:H,3,)</f>
        <v/>
      </c>
      <c r="C143" s="66">
        <f>B143/B142-1</f>
        <v/>
      </c>
      <c r="D143" s="66">
        <f>(Table110[[#This Row],[Index]]-B131)/B131</f>
        <v/>
      </c>
    </row>
    <row r="144">
      <c r="A144" s="17" t="n">
        <v>30468</v>
      </c>
      <c r="B144" s="58">
        <f>VLOOKUP(Table110[[#This Row],[Date]],database!A:H,3,)</f>
        <v/>
      </c>
      <c r="C144" s="66">
        <f>B144/B143-1</f>
        <v/>
      </c>
      <c r="D144" s="66">
        <f>(Table110[[#This Row],[Index]]-B132)/B132</f>
        <v/>
      </c>
    </row>
    <row r="145">
      <c r="A145" s="17" t="n">
        <v>30498</v>
      </c>
      <c r="B145" s="58">
        <f>VLOOKUP(Table110[[#This Row],[Date]],database!A:H,3,)</f>
        <v/>
      </c>
      <c r="C145" s="66">
        <f>B145/B144-1</f>
        <v/>
      </c>
      <c r="D145" s="66">
        <f>(Table110[[#This Row],[Index]]-B133)/B133</f>
        <v/>
      </c>
    </row>
    <row r="146">
      <c r="A146" s="17" t="n">
        <v>30529</v>
      </c>
      <c r="B146" s="58">
        <f>VLOOKUP(Table110[[#This Row],[Date]],database!A:H,3,)</f>
        <v/>
      </c>
      <c r="C146" s="66">
        <f>B146/B145-1</f>
        <v/>
      </c>
      <c r="D146" s="66">
        <f>(Table110[[#This Row],[Index]]-B134)/B134</f>
        <v/>
      </c>
    </row>
    <row r="147">
      <c r="A147" s="17" t="n">
        <v>30560</v>
      </c>
      <c r="B147" s="58">
        <f>VLOOKUP(Table110[[#This Row],[Date]],database!A:H,3,)</f>
        <v/>
      </c>
      <c r="C147" s="66">
        <f>B147/B146-1</f>
        <v/>
      </c>
      <c r="D147" s="66">
        <f>(Table110[[#This Row],[Index]]-B135)/B135</f>
        <v/>
      </c>
    </row>
    <row r="148">
      <c r="A148" s="17" t="n">
        <v>30590</v>
      </c>
      <c r="B148" s="58">
        <f>VLOOKUP(Table110[[#This Row],[Date]],database!A:H,3,)</f>
        <v/>
      </c>
      <c r="C148" s="66">
        <f>B148/B147-1</f>
        <v/>
      </c>
      <c r="D148" s="66">
        <f>(Table110[[#This Row],[Index]]-B136)/B136</f>
        <v/>
      </c>
    </row>
    <row r="149">
      <c r="A149" s="17" t="n">
        <v>30621</v>
      </c>
      <c r="B149" s="58">
        <f>VLOOKUP(Table110[[#This Row],[Date]],database!A:H,3,)</f>
        <v/>
      </c>
      <c r="C149" s="66">
        <f>B149/B148-1</f>
        <v/>
      </c>
      <c r="D149" s="66">
        <f>(Table110[[#This Row],[Index]]-B137)/B137</f>
        <v/>
      </c>
    </row>
    <row r="150">
      <c r="A150" s="17" t="n">
        <v>30651</v>
      </c>
      <c r="B150" s="58">
        <f>VLOOKUP(Table110[[#This Row],[Date]],database!A:H,3,)</f>
        <v/>
      </c>
      <c r="C150" s="66">
        <f>B150/B149-1</f>
        <v/>
      </c>
      <c r="D150" s="66">
        <f>(Table110[[#This Row],[Index]]-B138)/B138</f>
        <v/>
      </c>
    </row>
    <row r="151">
      <c r="A151" s="17" t="n">
        <v>30682</v>
      </c>
      <c r="B151" s="58">
        <f>VLOOKUP(Table110[[#This Row],[Date]],database!A:H,3,)</f>
        <v/>
      </c>
      <c r="C151" s="66">
        <f>B151/B150-1</f>
        <v/>
      </c>
      <c r="D151" s="66">
        <f>(Table110[[#This Row],[Index]]-B139)/B139</f>
        <v/>
      </c>
    </row>
    <row r="152">
      <c r="A152" s="17" t="n">
        <v>30713</v>
      </c>
      <c r="B152" s="58">
        <f>VLOOKUP(Table110[[#This Row],[Date]],database!A:H,3,)</f>
        <v/>
      </c>
      <c r="C152" s="66">
        <f>B152/B151-1</f>
        <v/>
      </c>
      <c r="D152" s="66">
        <f>(Table110[[#This Row],[Index]]-B140)/B140</f>
        <v/>
      </c>
    </row>
    <row r="153">
      <c r="A153" s="17" t="n">
        <v>30742</v>
      </c>
      <c r="B153" s="58">
        <f>VLOOKUP(Table110[[#This Row],[Date]],database!A:H,3,)</f>
        <v/>
      </c>
      <c r="C153" s="66">
        <f>B153/B152-1</f>
        <v/>
      </c>
      <c r="D153" s="66">
        <f>(Table110[[#This Row],[Index]]-B141)/B141</f>
        <v/>
      </c>
    </row>
    <row r="154">
      <c r="A154" s="17" t="n">
        <v>30773</v>
      </c>
      <c r="B154" s="58">
        <f>VLOOKUP(Table110[[#This Row],[Date]],database!A:H,3,)</f>
        <v/>
      </c>
      <c r="C154" s="66">
        <f>B154/B153-1</f>
        <v/>
      </c>
      <c r="D154" s="66">
        <f>(Table110[[#This Row],[Index]]-B142)/B142</f>
        <v/>
      </c>
    </row>
    <row r="155">
      <c r="A155" s="17" t="n">
        <v>30803</v>
      </c>
      <c r="B155" s="58">
        <f>VLOOKUP(Table110[[#This Row],[Date]],database!A:H,3,)</f>
        <v/>
      </c>
      <c r="C155" s="66">
        <f>B155/B154-1</f>
        <v/>
      </c>
      <c r="D155" s="66">
        <f>(Table110[[#This Row],[Index]]-B143)/B143</f>
        <v/>
      </c>
    </row>
    <row r="156">
      <c r="A156" s="17" t="n">
        <v>30834</v>
      </c>
      <c r="B156" s="58">
        <f>VLOOKUP(Table110[[#This Row],[Date]],database!A:H,3,)</f>
        <v/>
      </c>
      <c r="C156" s="66">
        <f>B156/B155-1</f>
        <v/>
      </c>
      <c r="D156" s="66">
        <f>(Table110[[#This Row],[Index]]-B144)/B144</f>
        <v/>
      </c>
    </row>
    <row r="157">
      <c r="A157" s="17" t="n">
        <v>30864</v>
      </c>
      <c r="B157" s="58">
        <f>VLOOKUP(Table110[[#This Row],[Date]],database!A:H,3,)</f>
        <v/>
      </c>
      <c r="C157" s="66">
        <f>B157/B156-1</f>
        <v/>
      </c>
      <c r="D157" s="66">
        <f>(Table110[[#This Row],[Index]]-B145)/B145</f>
        <v/>
      </c>
    </row>
    <row r="158">
      <c r="A158" s="17" t="n">
        <v>30895</v>
      </c>
      <c r="B158" s="58">
        <f>VLOOKUP(Table110[[#This Row],[Date]],database!A:H,3,)</f>
        <v/>
      </c>
      <c r="C158" s="66">
        <f>B158/B157-1</f>
        <v/>
      </c>
      <c r="D158" s="66">
        <f>(Table110[[#This Row],[Index]]-B146)/B146</f>
        <v/>
      </c>
    </row>
    <row r="159">
      <c r="A159" s="17" t="n">
        <v>30926</v>
      </c>
      <c r="B159" s="58">
        <f>VLOOKUP(Table110[[#This Row],[Date]],database!A:H,3,)</f>
        <v/>
      </c>
      <c r="C159" s="66">
        <f>B159/B158-1</f>
        <v/>
      </c>
      <c r="D159" s="66">
        <f>(Table110[[#This Row],[Index]]-B147)/B147</f>
        <v/>
      </c>
    </row>
    <row r="160">
      <c r="A160" s="17" t="n">
        <v>30956</v>
      </c>
      <c r="B160" s="58">
        <f>VLOOKUP(Table110[[#This Row],[Date]],database!A:H,3,)</f>
        <v/>
      </c>
      <c r="C160" s="66">
        <f>B160/B159-1</f>
        <v/>
      </c>
      <c r="D160" s="66">
        <f>(Table110[[#This Row],[Index]]-B148)/B148</f>
        <v/>
      </c>
    </row>
    <row r="161">
      <c r="A161" s="17" t="n">
        <v>30987</v>
      </c>
      <c r="B161" s="58">
        <f>VLOOKUP(Table110[[#This Row],[Date]],database!A:H,3,)</f>
        <v/>
      </c>
      <c r="C161" s="66">
        <f>B161/B160-1</f>
        <v/>
      </c>
      <c r="D161" s="66">
        <f>(Table110[[#This Row],[Index]]-B149)/B149</f>
        <v/>
      </c>
    </row>
    <row r="162">
      <c r="A162" s="17" t="n">
        <v>31017</v>
      </c>
      <c r="B162" s="58">
        <f>VLOOKUP(Table110[[#This Row],[Date]],database!A:H,3,)</f>
        <v/>
      </c>
      <c r="C162" s="66">
        <f>B162/B161-1</f>
        <v/>
      </c>
      <c r="D162" s="66">
        <f>(Table110[[#This Row],[Index]]-B150)/B150</f>
        <v/>
      </c>
    </row>
    <row r="163">
      <c r="A163" s="17" t="n">
        <v>31048</v>
      </c>
      <c r="B163" s="58">
        <f>VLOOKUP(Table110[[#This Row],[Date]],database!A:H,3,)</f>
        <v/>
      </c>
      <c r="C163" s="66">
        <f>B163/B162-1</f>
        <v/>
      </c>
      <c r="D163" s="66">
        <f>(Table110[[#This Row],[Index]]-B151)/B151</f>
        <v/>
      </c>
    </row>
    <row r="164">
      <c r="A164" s="17" t="n">
        <v>31079</v>
      </c>
      <c r="B164" s="58">
        <f>VLOOKUP(Table110[[#This Row],[Date]],database!A:H,3,)</f>
        <v/>
      </c>
      <c r="C164" s="66">
        <f>B164/B163-1</f>
        <v/>
      </c>
      <c r="D164" s="66">
        <f>(Table110[[#This Row],[Index]]-B152)/B152</f>
        <v/>
      </c>
    </row>
    <row r="165">
      <c r="A165" s="17" t="n">
        <v>31107</v>
      </c>
      <c r="B165" s="58">
        <f>VLOOKUP(Table110[[#This Row],[Date]],database!A:H,3,)</f>
        <v/>
      </c>
      <c r="C165" s="66">
        <f>B165/B164-1</f>
        <v/>
      </c>
      <c r="D165" s="66">
        <f>(Table110[[#This Row],[Index]]-B153)/B153</f>
        <v/>
      </c>
    </row>
    <row r="166">
      <c r="A166" s="17" t="n">
        <v>31138</v>
      </c>
      <c r="B166" s="58">
        <f>VLOOKUP(Table110[[#This Row],[Date]],database!A:H,3,)</f>
        <v/>
      </c>
      <c r="C166" s="66">
        <f>B166/B165-1</f>
        <v/>
      </c>
      <c r="D166" s="66">
        <f>(Table110[[#This Row],[Index]]-B154)/B154</f>
        <v/>
      </c>
    </row>
    <row r="167">
      <c r="A167" s="17" t="n">
        <v>31168</v>
      </c>
      <c r="B167" s="58">
        <f>VLOOKUP(Table110[[#This Row],[Date]],database!A:H,3,)</f>
        <v/>
      </c>
      <c r="C167" s="66">
        <f>B167/B166-1</f>
        <v/>
      </c>
      <c r="D167" s="66">
        <f>(Table110[[#This Row],[Index]]-B155)/B155</f>
        <v/>
      </c>
    </row>
    <row r="168">
      <c r="A168" s="17" t="n">
        <v>31199</v>
      </c>
      <c r="B168" s="58">
        <f>VLOOKUP(Table110[[#This Row],[Date]],database!A:H,3,)</f>
        <v/>
      </c>
      <c r="C168" s="66">
        <f>B168/B167-1</f>
        <v/>
      </c>
      <c r="D168" s="66">
        <f>(Table110[[#This Row],[Index]]-B156)/B156</f>
        <v/>
      </c>
    </row>
    <row r="169">
      <c r="A169" s="17" t="n">
        <v>31229</v>
      </c>
      <c r="B169" s="58">
        <f>VLOOKUP(Table110[[#This Row],[Date]],database!A:H,3,)</f>
        <v/>
      </c>
      <c r="C169" s="66">
        <f>B169/B168-1</f>
        <v/>
      </c>
      <c r="D169" s="66">
        <f>(Table110[[#This Row],[Index]]-B157)/B157</f>
        <v/>
      </c>
    </row>
    <row r="170">
      <c r="A170" s="17" t="n">
        <v>31260</v>
      </c>
      <c r="B170" s="58">
        <f>VLOOKUP(Table110[[#This Row],[Date]],database!A:H,3,)</f>
        <v/>
      </c>
      <c r="C170" s="66">
        <f>B170/B169-1</f>
        <v/>
      </c>
      <c r="D170" s="66">
        <f>(Table110[[#This Row],[Index]]-B158)/B158</f>
        <v/>
      </c>
    </row>
    <row r="171">
      <c r="A171" s="17" t="n">
        <v>31291</v>
      </c>
      <c r="B171" s="58">
        <f>VLOOKUP(Table110[[#This Row],[Date]],database!A:H,3,)</f>
        <v/>
      </c>
      <c r="C171" s="66">
        <f>B171/B170-1</f>
        <v/>
      </c>
      <c r="D171" s="66">
        <f>(Table110[[#This Row],[Index]]-B159)/B159</f>
        <v/>
      </c>
    </row>
    <row r="172">
      <c r="A172" s="17" t="n">
        <v>31321</v>
      </c>
      <c r="B172" s="58">
        <f>VLOOKUP(Table110[[#This Row],[Date]],database!A:H,3,)</f>
        <v/>
      </c>
      <c r="C172" s="66">
        <f>B172/B171-1</f>
        <v/>
      </c>
      <c r="D172" s="66">
        <f>(Table110[[#This Row],[Index]]-B160)/B160</f>
        <v/>
      </c>
    </row>
    <row r="173">
      <c r="A173" s="17" t="n">
        <v>31352</v>
      </c>
      <c r="B173" s="58">
        <f>VLOOKUP(Table110[[#This Row],[Date]],database!A:H,3,)</f>
        <v/>
      </c>
      <c r="C173" s="66">
        <f>B173/B172-1</f>
        <v/>
      </c>
      <c r="D173" s="66">
        <f>(Table110[[#This Row],[Index]]-B161)/B161</f>
        <v/>
      </c>
    </row>
    <row r="174">
      <c r="A174" s="17" t="n">
        <v>31382</v>
      </c>
      <c r="B174" s="58">
        <f>VLOOKUP(Table110[[#This Row],[Date]],database!A:H,3,)</f>
        <v/>
      </c>
      <c r="C174" s="66">
        <f>B174/B173-1</f>
        <v/>
      </c>
      <c r="D174" s="66">
        <f>(Table110[[#This Row],[Index]]-B162)/B162</f>
        <v/>
      </c>
    </row>
    <row r="175">
      <c r="A175" s="17" t="n">
        <v>31413</v>
      </c>
      <c r="B175" s="58">
        <f>VLOOKUP(Table110[[#This Row],[Date]],database!A:H,3,)</f>
        <v/>
      </c>
      <c r="C175" s="66">
        <f>B175/B174-1</f>
        <v/>
      </c>
      <c r="D175" s="66">
        <f>(Table110[[#This Row],[Index]]-B163)/B163</f>
        <v/>
      </c>
    </row>
    <row r="176">
      <c r="A176" s="17" t="n">
        <v>31444</v>
      </c>
      <c r="B176" s="58">
        <f>VLOOKUP(Table110[[#This Row],[Date]],database!A:H,3,)</f>
        <v/>
      </c>
      <c r="C176" s="66">
        <f>B176/B175-1</f>
        <v/>
      </c>
      <c r="D176" s="66">
        <f>(Table110[[#This Row],[Index]]-B164)/B164</f>
        <v/>
      </c>
    </row>
    <row r="177">
      <c r="A177" s="17" t="n">
        <v>31472</v>
      </c>
      <c r="B177" s="58">
        <f>VLOOKUP(Table110[[#This Row],[Date]],database!A:H,3,)</f>
        <v/>
      </c>
      <c r="C177" s="66">
        <f>B177/B176-1</f>
        <v/>
      </c>
      <c r="D177" s="66">
        <f>(Table110[[#This Row],[Index]]-B165)/B165</f>
        <v/>
      </c>
    </row>
    <row r="178">
      <c r="A178" s="17" t="n">
        <v>31503</v>
      </c>
      <c r="B178" s="58">
        <f>VLOOKUP(Table110[[#This Row],[Date]],database!A:H,3,)</f>
        <v/>
      </c>
      <c r="C178" s="66">
        <f>B178/B177-1</f>
        <v/>
      </c>
      <c r="D178" s="66">
        <f>(Table110[[#This Row],[Index]]-B166)/B166</f>
        <v/>
      </c>
    </row>
    <row r="179">
      <c r="A179" s="17" t="n">
        <v>31533</v>
      </c>
      <c r="B179" s="58">
        <f>VLOOKUP(Table110[[#This Row],[Date]],database!A:H,3,)</f>
        <v/>
      </c>
      <c r="C179" s="66">
        <f>B179/B178-1</f>
        <v/>
      </c>
      <c r="D179" s="66">
        <f>(Table110[[#This Row],[Index]]-B167)/B167</f>
        <v/>
      </c>
    </row>
    <row r="180">
      <c r="A180" s="17" t="n">
        <v>31564</v>
      </c>
      <c r="B180" s="58">
        <f>VLOOKUP(Table110[[#This Row],[Date]],database!A:H,3,)</f>
        <v/>
      </c>
      <c r="C180" s="66">
        <f>B180/B179-1</f>
        <v/>
      </c>
      <c r="D180" s="66">
        <f>(Table110[[#This Row],[Index]]-B168)/B168</f>
        <v/>
      </c>
    </row>
    <row r="181">
      <c r="A181" s="17" t="n">
        <v>31594</v>
      </c>
      <c r="B181" s="58">
        <f>VLOOKUP(Table110[[#This Row],[Date]],database!A:H,3,)</f>
        <v/>
      </c>
      <c r="C181" s="66">
        <f>B181/B180-1</f>
        <v/>
      </c>
      <c r="D181" s="66">
        <f>(Table110[[#This Row],[Index]]-B169)/B169</f>
        <v/>
      </c>
    </row>
    <row r="182">
      <c r="A182" s="17" t="n">
        <v>31625</v>
      </c>
      <c r="B182" s="58">
        <f>VLOOKUP(Table110[[#This Row],[Date]],database!A:H,3,)</f>
        <v/>
      </c>
      <c r="C182" s="66">
        <f>B182/B181-1</f>
        <v/>
      </c>
      <c r="D182" s="66">
        <f>(Table110[[#This Row],[Index]]-B170)/B170</f>
        <v/>
      </c>
    </row>
    <row r="183">
      <c r="A183" s="17" t="n">
        <v>31656</v>
      </c>
      <c r="B183" s="58">
        <f>VLOOKUP(Table110[[#This Row],[Date]],database!A:H,3,)</f>
        <v/>
      </c>
      <c r="C183" s="66">
        <f>B183/B182-1</f>
        <v/>
      </c>
      <c r="D183" s="66">
        <f>(Table110[[#This Row],[Index]]-B171)/B171</f>
        <v/>
      </c>
    </row>
    <row r="184">
      <c r="A184" s="17" t="n">
        <v>31686</v>
      </c>
      <c r="B184" s="58">
        <f>VLOOKUP(Table110[[#This Row],[Date]],database!A:H,3,)</f>
        <v/>
      </c>
      <c r="C184" s="66">
        <f>B184/B183-1</f>
        <v/>
      </c>
      <c r="D184" s="66">
        <f>(Table110[[#This Row],[Index]]-B172)/B172</f>
        <v/>
      </c>
    </row>
    <row r="185">
      <c r="A185" s="17" t="n">
        <v>31717</v>
      </c>
      <c r="B185" s="58">
        <f>VLOOKUP(Table110[[#This Row],[Date]],database!A:H,3,)</f>
        <v/>
      </c>
      <c r="C185" s="66">
        <f>B185/B184-1</f>
        <v/>
      </c>
      <c r="D185" s="66">
        <f>(Table110[[#This Row],[Index]]-B173)/B173</f>
        <v/>
      </c>
    </row>
    <row r="186">
      <c r="A186" s="17" t="n">
        <v>31747</v>
      </c>
      <c r="B186" s="58">
        <f>VLOOKUP(Table110[[#This Row],[Date]],database!A:H,3,)</f>
        <v/>
      </c>
      <c r="C186" s="66">
        <f>B186/B185-1</f>
        <v/>
      </c>
      <c r="D186" s="66">
        <f>(Table110[[#This Row],[Index]]-B174)/B174</f>
        <v/>
      </c>
    </row>
    <row r="187">
      <c r="A187" s="17" t="n">
        <v>31778</v>
      </c>
      <c r="B187" s="58">
        <f>VLOOKUP(Table110[[#This Row],[Date]],database!A:H,3,)</f>
        <v/>
      </c>
      <c r="C187" s="66">
        <f>B187/B186-1</f>
        <v/>
      </c>
      <c r="D187" s="66">
        <f>(Table110[[#This Row],[Index]]-B175)/B175</f>
        <v/>
      </c>
    </row>
    <row r="188">
      <c r="A188" s="17" t="n">
        <v>31809</v>
      </c>
      <c r="B188" s="58">
        <f>VLOOKUP(Table110[[#This Row],[Date]],database!A:H,3,)</f>
        <v/>
      </c>
      <c r="C188" s="66">
        <f>B188/B187-1</f>
        <v/>
      </c>
      <c r="D188" s="66">
        <f>(Table110[[#This Row],[Index]]-B176)/B176</f>
        <v/>
      </c>
    </row>
    <row r="189">
      <c r="A189" s="17" t="n">
        <v>31837</v>
      </c>
      <c r="B189" s="58">
        <f>VLOOKUP(Table110[[#This Row],[Date]],database!A:H,3,)</f>
        <v/>
      </c>
      <c r="C189" s="66">
        <f>B189/B188-1</f>
        <v/>
      </c>
      <c r="D189" s="66">
        <f>(Table110[[#This Row],[Index]]-B177)/B177</f>
        <v/>
      </c>
    </row>
    <row r="190">
      <c r="A190" s="17" t="n">
        <v>31868</v>
      </c>
      <c r="B190" s="58">
        <f>VLOOKUP(Table110[[#This Row],[Date]],database!A:H,3,)</f>
        <v/>
      </c>
      <c r="C190" s="66">
        <f>B190/B189-1</f>
        <v/>
      </c>
      <c r="D190" s="66">
        <f>(Table110[[#This Row],[Index]]-B178)/B178</f>
        <v/>
      </c>
    </row>
    <row r="191">
      <c r="A191" s="17" t="n">
        <v>31898</v>
      </c>
      <c r="B191" s="58">
        <f>VLOOKUP(Table110[[#This Row],[Date]],database!A:H,3,)</f>
        <v/>
      </c>
      <c r="C191" s="66">
        <f>B191/B190-1</f>
        <v/>
      </c>
      <c r="D191" s="66">
        <f>(Table110[[#This Row],[Index]]-B179)/B179</f>
        <v/>
      </c>
    </row>
    <row r="192">
      <c r="A192" s="17" t="n">
        <v>31929</v>
      </c>
      <c r="B192" s="58">
        <f>VLOOKUP(Table110[[#This Row],[Date]],database!A:H,3,)</f>
        <v/>
      </c>
      <c r="C192" s="66">
        <f>B192/B191-1</f>
        <v/>
      </c>
      <c r="D192" s="66">
        <f>(Table110[[#This Row],[Index]]-B180)/B180</f>
        <v/>
      </c>
    </row>
    <row r="193">
      <c r="A193" s="17" t="n">
        <v>31959</v>
      </c>
      <c r="B193" s="58">
        <f>VLOOKUP(Table110[[#This Row],[Date]],database!A:H,3,)</f>
        <v/>
      </c>
      <c r="C193" s="66">
        <f>B193/B192-1</f>
        <v/>
      </c>
      <c r="D193" s="66">
        <f>(Table110[[#This Row],[Index]]-B181)/B181</f>
        <v/>
      </c>
    </row>
    <row r="194">
      <c r="A194" s="17" t="n">
        <v>31990</v>
      </c>
      <c r="B194" s="58">
        <f>VLOOKUP(Table110[[#This Row],[Date]],database!A:H,3,)</f>
        <v/>
      </c>
      <c r="C194" s="66">
        <f>B194/B193-1</f>
        <v/>
      </c>
      <c r="D194" s="66">
        <f>(Table110[[#This Row],[Index]]-B182)/B182</f>
        <v/>
      </c>
    </row>
    <row r="195">
      <c r="A195" s="17" t="n">
        <v>32021</v>
      </c>
      <c r="B195" s="58">
        <f>VLOOKUP(Table110[[#This Row],[Date]],database!A:H,3,)</f>
        <v/>
      </c>
      <c r="C195" s="66">
        <f>B195/B194-1</f>
        <v/>
      </c>
      <c r="D195" s="66">
        <f>(Table110[[#This Row],[Index]]-B183)/B183</f>
        <v/>
      </c>
    </row>
    <row r="196">
      <c r="A196" s="17" t="n">
        <v>32051</v>
      </c>
      <c r="B196" s="58">
        <f>VLOOKUP(Table110[[#This Row],[Date]],database!A:H,3,)</f>
        <v/>
      </c>
      <c r="C196" s="66">
        <f>B196/B195-1</f>
        <v/>
      </c>
      <c r="D196" s="66">
        <f>(Table110[[#This Row],[Index]]-B184)/B184</f>
        <v/>
      </c>
    </row>
    <row r="197">
      <c r="A197" s="17" t="n">
        <v>32082</v>
      </c>
      <c r="B197" s="58">
        <f>VLOOKUP(Table110[[#This Row],[Date]],database!A:H,3,)</f>
        <v/>
      </c>
      <c r="C197" s="66">
        <f>B197/B196-1</f>
        <v/>
      </c>
      <c r="D197" s="66">
        <f>(Table110[[#This Row],[Index]]-B185)/B185</f>
        <v/>
      </c>
    </row>
    <row r="198">
      <c r="A198" s="17" t="n">
        <v>32112</v>
      </c>
      <c r="B198" s="58">
        <f>VLOOKUP(Table110[[#This Row],[Date]],database!A:H,3,)</f>
        <v/>
      </c>
      <c r="C198" s="66">
        <f>B198/B197-1</f>
        <v/>
      </c>
      <c r="D198" s="66">
        <f>(Table110[[#This Row],[Index]]-B186)/B186</f>
        <v/>
      </c>
    </row>
    <row r="199">
      <c r="A199" s="17" t="n">
        <v>32143</v>
      </c>
      <c r="B199" s="58">
        <f>VLOOKUP(Table110[[#This Row],[Date]],database!A:H,3,)</f>
        <v/>
      </c>
      <c r="C199" s="66">
        <f>B199/B198-1</f>
        <v/>
      </c>
      <c r="D199" s="66">
        <f>(Table110[[#This Row],[Index]]-B187)/B187</f>
        <v/>
      </c>
    </row>
    <row r="200">
      <c r="A200" s="17" t="n">
        <v>32174</v>
      </c>
      <c r="B200" s="58">
        <f>VLOOKUP(Table110[[#This Row],[Date]],database!A:H,3,)</f>
        <v/>
      </c>
      <c r="C200" s="66">
        <f>B200/B199-1</f>
        <v/>
      </c>
      <c r="D200" s="66">
        <f>(Table110[[#This Row],[Index]]-B188)/B188</f>
        <v/>
      </c>
    </row>
    <row r="201">
      <c r="A201" s="17" t="n">
        <v>32203</v>
      </c>
      <c r="B201" s="58">
        <f>VLOOKUP(Table110[[#This Row],[Date]],database!A:H,3,)</f>
        <v/>
      </c>
      <c r="C201" s="66">
        <f>B201/B200-1</f>
        <v/>
      </c>
      <c r="D201" s="66">
        <f>(Table110[[#This Row],[Index]]-B189)/B189</f>
        <v/>
      </c>
    </row>
    <row r="202">
      <c r="A202" s="17" t="n">
        <v>32234</v>
      </c>
      <c r="B202" s="58">
        <f>VLOOKUP(Table110[[#This Row],[Date]],database!A:H,3,)</f>
        <v/>
      </c>
      <c r="C202" s="66">
        <f>B202/B201-1</f>
        <v/>
      </c>
      <c r="D202" s="66">
        <f>(Table110[[#This Row],[Index]]-B190)/B190</f>
        <v/>
      </c>
    </row>
    <row r="203">
      <c r="A203" s="17" t="n">
        <v>32264</v>
      </c>
      <c r="B203" s="58">
        <f>VLOOKUP(Table110[[#This Row],[Date]],database!A:H,3,)</f>
        <v/>
      </c>
      <c r="C203" s="66">
        <f>B203/B202-1</f>
        <v/>
      </c>
      <c r="D203" s="66">
        <f>(Table110[[#This Row],[Index]]-B191)/B191</f>
        <v/>
      </c>
    </row>
    <row r="204">
      <c r="A204" s="17" t="n">
        <v>32295</v>
      </c>
      <c r="B204" s="58">
        <f>VLOOKUP(Table110[[#This Row],[Date]],database!A:H,3,)</f>
        <v/>
      </c>
      <c r="C204" s="66">
        <f>B204/B203-1</f>
        <v/>
      </c>
      <c r="D204" s="66">
        <f>(Table110[[#This Row],[Index]]-B192)/B192</f>
        <v/>
      </c>
    </row>
    <row r="205">
      <c r="A205" s="17" t="n">
        <v>32325</v>
      </c>
      <c r="B205" s="58">
        <f>VLOOKUP(Table110[[#This Row],[Date]],database!A:H,3,)</f>
        <v/>
      </c>
      <c r="C205" s="66">
        <f>B205/B204-1</f>
        <v/>
      </c>
      <c r="D205" s="66">
        <f>(Table110[[#This Row],[Index]]-B193)/B193</f>
        <v/>
      </c>
    </row>
    <row r="206">
      <c r="A206" s="17" t="n">
        <v>32356</v>
      </c>
      <c r="B206" s="58">
        <f>VLOOKUP(Table110[[#This Row],[Date]],database!A:H,3,)</f>
        <v/>
      </c>
      <c r="C206" s="66">
        <f>B206/B205-1</f>
        <v/>
      </c>
      <c r="D206" s="66">
        <f>(Table110[[#This Row],[Index]]-B194)/B194</f>
        <v/>
      </c>
    </row>
    <row r="207">
      <c r="A207" s="17" t="n">
        <v>32387</v>
      </c>
      <c r="B207" s="58">
        <f>VLOOKUP(Table110[[#This Row],[Date]],database!A:H,3,)</f>
        <v/>
      </c>
      <c r="C207" s="66">
        <f>B207/B206-1</f>
        <v/>
      </c>
      <c r="D207" s="66">
        <f>(Table110[[#This Row],[Index]]-B195)/B195</f>
        <v/>
      </c>
    </row>
    <row r="208">
      <c r="A208" s="17" t="n">
        <v>32417</v>
      </c>
      <c r="B208" s="58">
        <f>VLOOKUP(Table110[[#This Row],[Date]],database!A:H,3,)</f>
        <v/>
      </c>
      <c r="C208" s="66">
        <f>B208/B207-1</f>
        <v/>
      </c>
      <c r="D208" s="66">
        <f>(Table110[[#This Row],[Index]]-B196)/B196</f>
        <v/>
      </c>
    </row>
    <row r="209">
      <c r="A209" s="17" t="n">
        <v>32448</v>
      </c>
      <c r="B209" s="58">
        <f>VLOOKUP(Table110[[#This Row],[Date]],database!A:H,3,)</f>
        <v/>
      </c>
      <c r="C209" s="66">
        <f>B209/B208-1</f>
        <v/>
      </c>
      <c r="D209" s="66">
        <f>(Table110[[#This Row],[Index]]-B197)/B197</f>
        <v/>
      </c>
    </row>
    <row r="210">
      <c r="A210" s="17" t="n">
        <v>32478</v>
      </c>
      <c r="B210" s="58">
        <f>VLOOKUP(Table110[[#This Row],[Date]],database!A:H,3,)</f>
        <v/>
      </c>
      <c r="C210" s="66">
        <f>B210/B209-1</f>
        <v/>
      </c>
      <c r="D210" s="66">
        <f>(Table110[[#This Row],[Index]]-B198)/B198</f>
        <v/>
      </c>
    </row>
    <row r="211">
      <c r="A211" s="17" t="n">
        <v>32509</v>
      </c>
      <c r="B211" s="58">
        <f>VLOOKUP(Table110[[#This Row],[Date]],database!A:H,3,)</f>
        <v/>
      </c>
      <c r="C211" s="66">
        <f>B211/B210-1</f>
        <v/>
      </c>
      <c r="D211" s="66">
        <f>(Table110[[#This Row],[Index]]-B199)/B199</f>
        <v/>
      </c>
    </row>
    <row r="212">
      <c r="A212" s="17" t="n">
        <v>32540</v>
      </c>
      <c r="B212" s="58">
        <f>VLOOKUP(Table110[[#This Row],[Date]],database!A:H,3,)</f>
        <v/>
      </c>
      <c r="C212" s="66">
        <f>B212/B211-1</f>
        <v/>
      </c>
      <c r="D212" s="66">
        <f>(Table110[[#This Row],[Index]]-B200)/B200</f>
        <v/>
      </c>
    </row>
    <row r="213">
      <c r="A213" s="17" t="n">
        <v>32568</v>
      </c>
      <c r="B213" s="58">
        <f>VLOOKUP(Table110[[#This Row],[Date]],database!A:H,3,)</f>
        <v/>
      </c>
      <c r="C213" s="66">
        <f>B213/B212-1</f>
        <v/>
      </c>
      <c r="D213" s="66">
        <f>(Table110[[#This Row],[Index]]-B201)/B201</f>
        <v/>
      </c>
    </row>
    <row r="214">
      <c r="A214" s="17" t="n">
        <v>32599</v>
      </c>
      <c r="B214" s="58">
        <f>VLOOKUP(Table110[[#This Row],[Date]],database!A:H,3,)</f>
        <v/>
      </c>
      <c r="C214" s="66">
        <f>B214/B213-1</f>
        <v/>
      </c>
      <c r="D214" s="66">
        <f>(Table110[[#This Row],[Index]]-B202)/B202</f>
        <v/>
      </c>
    </row>
    <row r="215">
      <c r="A215" s="17" t="n">
        <v>32629</v>
      </c>
      <c r="B215" s="58">
        <f>VLOOKUP(Table110[[#This Row],[Date]],database!A:H,3,)</f>
        <v/>
      </c>
      <c r="C215" s="66">
        <f>B215/B214-1</f>
        <v/>
      </c>
      <c r="D215" s="66">
        <f>(Table110[[#This Row],[Index]]-B203)/B203</f>
        <v/>
      </c>
    </row>
    <row r="216">
      <c r="A216" s="17" t="n">
        <v>32660</v>
      </c>
      <c r="B216" s="58">
        <f>VLOOKUP(Table110[[#This Row],[Date]],database!A:H,3,)</f>
        <v/>
      </c>
      <c r="C216" s="66">
        <f>B216/B215-1</f>
        <v/>
      </c>
      <c r="D216" s="66">
        <f>(Table110[[#This Row],[Index]]-B204)/B204</f>
        <v/>
      </c>
    </row>
    <row r="217">
      <c r="A217" s="17" t="n">
        <v>32690</v>
      </c>
      <c r="B217" s="58">
        <f>VLOOKUP(Table110[[#This Row],[Date]],database!A:H,3,)</f>
        <v/>
      </c>
      <c r="C217" s="66">
        <f>B217/B216-1</f>
        <v/>
      </c>
      <c r="D217" s="66">
        <f>(Table110[[#This Row],[Index]]-B205)/B205</f>
        <v/>
      </c>
    </row>
    <row r="218">
      <c r="A218" s="17" t="n">
        <v>32721</v>
      </c>
      <c r="B218" s="58">
        <f>VLOOKUP(Table110[[#This Row],[Date]],database!A:H,3,)</f>
        <v/>
      </c>
      <c r="C218" s="66">
        <f>B218/B217-1</f>
        <v/>
      </c>
      <c r="D218" s="66">
        <f>(Table110[[#This Row],[Index]]-B206)/B206</f>
        <v/>
      </c>
    </row>
    <row r="219">
      <c r="A219" s="17" t="n">
        <v>32752</v>
      </c>
      <c r="B219" s="58">
        <f>VLOOKUP(Table110[[#This Row],[Date]],database!A:H,3,)</f>
        <v/>
      </c>
      <c r="C219" s="66">
        <f>B219/B218-1</f>
        <v/>
      </c>
      <c r="D219" s="66">
        <f>(Table110[[#This Row],[Index]]-B207)/B207</f>
        <v/>
      </c>
    </row>
    <row r="220">
      <c r="A220" s="17" t="n">
        <v>32782</v>
      </c>
      <c r="B220" s="58">
        <f>VLOOKUP(Table110[[#This Row],[Date]],database!A:H,3,)</f>
        <v/>
      </c>
      <c r="C220" s="66">
        <f>B220/B219-1</f>
        <v/>
      </c>
      <c r="D220" s="66">
        <f>(Table110[[#This Row],[Index]]-B208)/B208</f>
        <v/>
      </c>
    </row>
    <row r="221">
      <c r="A221" s="17" t="n">
        <v>32813</v>
      </c>
      <c r="B221" s="58">
        <f>VLOOKUP(Table110[[#This Row],[Date]],database!A:H,3,)</f>
        <v/>
      </c>
      <c r="C221" s="66">
        <f>B221/B220-1</f>
        <v/>
      </c>
      <c r="D221" s="66">
        <f>(Table110[[#This Row],[Index]]-B209)/B209</f>
        <v/>
      </c>
    </row>
    <row r="222">
      <c r="A222" s="17" t="n">
        <v>32843</v>
      </c>
      <c r="B222" s="58">
        <f>VLOOKUP(Table110[[#This Row],[Date]],database!A:H,3,)</f>
        <v/>
      </c>
      <c r="C222" s="66">
        <f>B222/B221-1</f>
        <v/>
      </c>
      <c r="D222" s="66">
        <f>(Table110[[#This Row],[Index]]-B210)/B210</f>
        <v/>
      </c>
    </row>
    <row r="223">
      <c r="A223" s="17" t="n">
        <v>32874</v>
      </c>
      <c r="B223" s="58">
        <f>VLOOKUP(Table110[[#This Row],[Date]],database!A:H,3,)</f>
        <v/>
      </c>
      <c r="C223" s="66">
        <f>B223/B222-1</f>
        <v/>
      </c>
      <c r="D223" s="66">
        <f>(Table110[[#This Row],[Index]]-B211)/B211</f>
        <v/>
      </c>
    </row>
    <row r="224">
      <c r="A224" s="17" t="n">
        <v>32905</v>
      </c>
      <c r="B224" s="58">
        <f>VLOOKUP(Table110[[#This Row],[Date]],database!A:H,3,)</f>
        <v/>
      </c>
      <c r="C224" s="66">
        <f>B224/B223-1</f>
        <v/>
      </c>
      <c r="D224" s="66">
        <f>(Table110[[#This Row],[Index]]-B212)/B212</f>
        <v/>
      </c>
    </row>
    <row r="225">
      <c r="A225" s="17" t="n">
        <v>32933</v>
      </c>
      <c r="B225" s="58">
        <f>VLOOKUP(Table110[[#This Row],[Date]],database!A:H,3,)</f>
        <v/>
      </c>
      <c r="C225" s="66">
        <f>B225/B224-1</f>
        <v/>
      </c>
      <c r="D225" s="66">
        <f>(Table110[[#This Row],[Index]]-B213)/B213</f>
        <v/>
      </c>
    </row>
    <row r="226">
      <c r="A226" s="17" t="n">
        <v>32964</v>
      </c>
      <c r="B226" s="58">
        <f>VLOOKUP(Table110[[#This Row],[Date]],database!A:H,3,)</f>
        <v/>
      </c>
      <c r="C226" s="66">
        <f>B226/B225-1</f>
        <v/>
      </c>
      <c r="D226" s="66">
        <f>(Table110[[#This Row],[Index]]-B214)/B214</f>
        <v/>
      </c>
    </row>
    <row r="227">
      <c r="A227" s="17" t="n">
        <v>32994</v>
      </c>
      <c r="B227" s="58">
        <f>VLOOKUP(Table110[[#This Row],[Date]],database!A:H,3,)</f>
        <v/>
      </c>
      <c r="C227" s="66">
        <f>B227/B226-1</f>
        <v/>
      </c>
      <c r="D227" s="66">
        <f>(Table110[[#This Row],[Index]]-B215)/B215</f>
        <v/>
      </c>
    </row>
    <row r="228">
      <c r="A228" s="17" t="n">
        <v>33025</v>
      </c>
      <c r="B228" s="58">
        <f>VLOOKUP(Table110[[#This Row],[Date]],database!A:H,3,)</f>
        <v/>
      </c>
      <c r="C228" s="66">
        <f>B228/B227-1</f>
        <v/>
      </c>
      <c r="D228" s="66">
        <f>(Table110[[#This Row],[Index]]-B216)/B216</f>
        <v/>
      </c>
    </row>
    <row r="229">
      <c r="A229" s="17" t="n">
        <v>33055</v>
      </c>
      <c r="B229" s="58">
        <f>VLOOKUP(Table110[[#This Row],[Date]],database!A:H,3,)</f>
        <v/>
      </c>
      <c r="C229" s="66">
        <f>B229/B228-1</f>
        <v/>
      </c>
      <c r="D229" s="66">
        <f>(Table110[[#This Row],[Index]]-B217)/B217</f>
        <v/>
      </c>
    </row>
    <row r="230">
      <c r="A230" s="17" t="n">
        <v>33086</v>
      </c>
      <c r="B230" s="58">
        <f>VLOOKUP(Table110[[#This Row],[Date]],database!A:H,3,)</f>
        <v/>
      </c>
      <c r="C230" s="66">
        <f>B230/B229-1</f>
        <v/>
      </c>
      <c r="D230" s="66">
        <f>(Table110[[#This Row],[Index]]-B218)/B218</f>
        <v/>
      </c>
    </row>
    <row r="231">
      <c r="A231" s="17" t="n">
        <v>33117</v>
      </c>
      <c r="B231" s="58">
        <f>VLOOKUP(Table110[[#This Row],[Date]],database!A:H,3,)</f>
        <v/>
      </c>
      <c r="C231" s="66">
        <f>B231/B230-1</f>
        <v/>
      </c>
      <c r="D231" s="66">
        <f>(Table110[[#This Row],[Index]]-B219)/B219</f>
        <v/>
      </c>
    </row>
    <row r="232">
      <c r="A232" s="17" t="n">
        <v>33147</v>
      </c>
      <c r="B232" s="58">
        <f>VLOOKUP(Table110[[#This Row],[Date]],database!A:H,3,)</f>
        <v/>
      </c>
      <c r="C232" s="66">
        <f>B232/B231-1</f>
        <v/>
      </c>
      <c r="D232" s="66">
        <f>(Table110[[#This Row],[Index]]-B220)/B220</f>
        <v/>
      </c>
    </row>
    <row r="233">
      <c r="A233" s="17" t="n">
        <v>33178</v>
      </c>
      <c r="B233" s="58">
        <f>VLOOKUP(Table110[[#This Row],[Date]],database!A:H,3,)</f>
        <v/>
      </c>
      <c r="C233" s="66">
        <f>B233/B232-1</f>
        <v/>
      </c>
      <c r="D233" s="66">
        <f>(Table110[[#This Row],[Index]]-B221)/B221</f>
        <v/>
      </c>
    </row>
    <row r="234">
      <c r="A234" s="17" t="n">
        <v>33208</v>
      </c>
      <c r="B234" s="58">
        <f>VLOOKUP(Table110[[#This Row],[Date]],database!A:H,3,)</f>
        <v/>
      </c>
      <c r="C234" s="66">
        <f>B234/B233-1</f>
        <v/>
      </c>
      <c r="D234" s="66">
        <f>(Table110[[#This Row],[Index]]-B222)/B222</f>
        <v/>
      </c>
    </row>
    <row r="235">
      <c r="A235" s="17" t="n">
        <v>33239</v>
      </c>
      <c r="B235" s="58">
        <f>VLOOKUP(Table110[[#This Row],[Date]],database!A:H,3,)</f>
        <v/>
      </c>
      <c r="C235" s="66">
        <f>B235/B234-1</f>
        <v/>
      </c>
      <c r="D235" s="66">
        <f>(Table110[[#This Row],[Index]]-B223)/B223</f>
        <v/>
      </c>
    </row>
    <row r="236">
      <c r="A236" s="17" t="n">
        <v>33270</v>
      </c>
      <c r="B236" s="58">
        <f>VLOOKUP(Table110[[#This Row],[Date]],database!A:H,3,)</f>
        <v/>
      </c>
      <c r="C236" s="66">
        <f>B236/B235-1</f>
        <v/>
      </c>
      <c r="D236" s="66">
        <f>(Table110[[#This Row],[Index]]-B224)/B224</f>
        <v/>
      </c>
    </row>
    <row r="237">
      <c r="A237" s="17" t="n">
        <v>33298</v>
      </c>
      <c r="B237" s="58">
        <f>VLOOKUP(Table110[[#This Row],[Date]],database!A:H,3,)</f>
        <v/>
      </c>
      <c r="C237" s="66">
        <f>B237/B236-1</f>
        <v/>
      </c>
      <c r="D237" s="66">
        <f>(Table110[[#This Row],[Index]]-B225)/B225</f>
        <v/>
      </c>
    </row>
    <row r="238">
      <c r="A238" s="17" t="n">
        <v>33329</v>
      </c>
      <c r="B238" s="58">
        <f>VLOOKUP(Table110[[#This Row],[Date]],database!A:H,3,)</f>
        <v/>
      </c>
      <c r="C238" s="66">
        <f>B238/B237-1</f>
        <v/>
      </c>
      <c r="D238" s="66">
        <f>(Table110[[#This Row],[Index]]-B226)/B226</f>
        <v/>
      </c>
    </row>
    <row r="239">
      <c r="A239" s="17" t="n">
        <v>33359</v>
      </c>
      <c r="B239" s="58">
        <f>VLOOKUP(Table110[[#This Row],[Date]],database!A:H,3,)</f>
        <v/>
      </c>
      <c r="C239" s="66">
        <f>B239/B238-1</f>
        <v/>
      </c>
      <c r="D239" s="66">
        <f>(Table110[[#This Row],[Index]]-B227)/B227</f>
        <v/>
      </c>
    </row>
    <row r="240">
      <c r="A240" s="17" t="n">
        <v>33390</v>
      </c>
      <c r="B240" s="58">
        <f>VLOOKUP(Table110[[#This Row],[Date]],database!A:H,3,)</f>
        <v/>
      </c>
      <c r="C240" s="66">
        <f>B240/B239-1</f>
        <v/>
      </c>
      <c r="D240" s="66">
        <f>(Table110[[#This Row],[Index]]-B228)/B228</f>
        <v/>
      </c>
    </row>
    <row r="241">
      <c r="A241" s="17" t="n">
        <v>33420</v>
      </c>
      <c r="B241" s="58">
        <f>VLOOKUP(Table110[[#This Row],[Date]],database!A:H,3,)</f>
        <v/>
      </c>
      <c r="C241" s="66">
        <f>B241/B240-1</f>
        <v/>
      </c>
      <c r="D241" s="66">
        <f>(Table110[[#This Row],[Index]]-B229)/B229</f>
        <v/>
      </c>
    </row>
    <row r="242">
      <c r="A242" s="17" t="n">
        <v>33451</v>
      </c>
      <c r="B242" s="58">
        <f>VLOOKUP(Table110[[#This Row],[Date]],database!A:H,3,)</f>
        <v/>
      </c>
      <c r="C242" s="66">
        <f>B242/B241-1</f>
        <v/>
      </c>
      <c r="D242" s="66">
        <f>(Table110[[#This Row],[Index]]-B230)/B230</f>
        <v/>
      </c>
    </row>
    <row r="243">
      <c r="A243" s="17" t="n">
        <v>33482</v>
      </c>
      <c r="B243" s="58">
        <f>VLOOKUP(Table110[[#This Row],[Date]],database!A:H,3,)</f>
        <v/>
      </c>
      <c r="C243" s="66">
        <f>B243/B242-1</f>
        <v/>
      </c>
      <c r="D243" s="66">
        <f>(Table110[[#This Row],[Index]]-B231)/B231</f>
        <v/>
      </c>
    </row>
    <row r="244">
      <c r="A244" s="17" t="n">
        <v>33512</v>
      </c>
      <c r="B244" s="58">
        <f>VLOOKUP(Table110[[#This Row],[Date]],database!A:H,3,)</f>
        <v/>
      </c>
      <c r="C244" s="66">
        <f>B244/B243-1</f>
        <v/>
      </c>
      <c r="D244" s="66">
        <f>(Table110[[#This Row],[Index]]-B232)/B232</f>
        <v/>
      </c>
    </row>
    <row r="245">
      <c r="A245" s="17" t="n">
        <v>33543</v>
      </c>
      <c r="B245" s="58">
        <f>VLOOKUP(Table110[[#This Row],[Date]],database!A:H,3,)</f>
        <v/>
      </c>
      <c r="C245" s="66">
        <f>B245/B244-1</f>
        <v/>
      </c>
      <c r="D245" s="66">
        <f>(Table110[[#This Row],[Index]]-B233)/B233</f>
        <v/>
      </c>
    </row>
    <row r="246">
      <c r="A246" s="17" t="n">
        <v>33573</v>
      </c>
      <c r="B246" s="58">
        <f>VLOOKUP(Table110[[#This Row],[Date]],database!A:H,3,)</f>
        <v/>
      </c>
      <c r="C246" s="66">
        <f>B246/B245-1</f>
        <v/>
      </c>
      <c r="D246" s="66">
        <f>(Table110[[#This Row],[Index]]-B234)/B234</f>
        <v/>
      </c>
    </row>
    <row r="247">
      <c r="A247" s="17" t="n">
        <v>33604</v>
      </c>
      <c r="B247" s="58">
        <f>VLOOKUP(Table110[[#This Row],[Date]],database!A:H,3,)</f>
        <v/>
      </c>
      <c r="C247" s="66">
        <f>B247/B246-1</f>
        <v/>
      </c>
      <c r="D247" s="66">
        <f>(Table110[[#This Row],[Index]]-B235)/B235</f>
        <v/>
      </c>
    </row>
    <row r="248">
      <c r="A248" s="17" t="n">
        <v>33635</v>
      </c>
      <c r="B248" s="58">
        <f>VLOOKUP(Table110[[#This Row],[Date]],database!A:H,3,)</f>
        <v/>
      </c>
      <c r="C248" s="66">
        <f>B248/B247-1</f>
        <v/>
      </c>
      <c r="D248" s="66">
        <f>(Table110[[#This Row],[Index]]-B236)/B236</f>
        <v/>
      </c>
    </row>
    <row r="249">
      <c r="A249" s="17" t="n">
        <v>33664</v>
      </c>
      <c r="B249" s="58">
        <f>VLOOKUP(Table110[[#This Row],[Date]],database!A:H,3,)</f>
        <v/>
      </c>
      <c r="C249" s="66">
        <f>B249/B248-1</f>
        <v/>
      </c>
      <c r="D249" s="66">
        <f>(Table110[[#This Row],[Index]]-B237)/B237</f>
        <v/>
      </c>
    </row>
    <row r="250">
      <c r="A250" s="17" t="n">
        <v>33695</v>
      </c>
      <c r="B250" s="58">
        <f>VLOOKUP(Table110[[#This Row],[Date]],database!A:H,3,)</f>
        <v/>
      </c>
      <c r="C250" s="66">
        <f>B250/B249-1</f>
        <v/>
      </c>
      <c r="D250" s="66">
        <f>(Table110[[#This Row],[Index]]-B238)/B238</f>
        <v/>
      </c>
    </row>
    <row r="251">
      <c r="A251" s="17" t="n">
        <v>33725</v>
      </c>
      <c r="B251" s="58">
        <f>VLOOKUP(Table110[[#This Row],[Date]],database!A:H,3,)</f>
        <v/>
      </c>
      <c r="C251" s="66">
        <f>B251/B250-1</f>
        <v/>
      </c>
      <c r="D251" s="66">
        <f>(Table110[[#This Row],[Index]]-B239)/B239</f>
        <v/>
      </c>
    </row>
    <row r="252">
      <c r="A252" s="17" t="n">
        <v>33756</v>
      </c>
      <c r="B252" s="58">
        <f>VLOOKUP(Table110[[#This Row],[Date]],database!A:H,3,)</f>
        <v/>
      </c>
      <c r="C252" s="66">
        <f>B252/B251-1</f>
        <v/>
      </c>
      <c r="D252" s="66">
        <f>(Table110[[#This Row],[Index]]-B240)/B240</f>
        <v/>
      </c>
    </row>
    <row r="253">
      <c r="A253" s="17" t="n">
        <v>33786</v>
      </c>
      <c r="B253" s="58">
        <f>VLOOKUP(Table110[[#This Row],[Date]],database!A:H,3,)</f>
        <v/>
      </c>
      <c r="C253" s="66">
        <f>B253/B252-1</f>
        <v/>
      </c>
      <c r="D253" s="66">
        <f>(Table110[[#This Row],[Index]]-B241)/B241</f>
        <v/>
      </c>
    </row>
    <row r="254">
      <c r="A254" s="17" t="n">
        <v>33817</v>
      </c>
      <c r="B254" s="58">
        <f>VLOOKUP(Table110[[#This Row],[Date]],database!A:H,3,)</f>
        <v/>
      </c>
      <c r="C254" s="66">
        <f>B254/B253-1</f>
        <v/>
      </c>
      <c r="D254" s="66">
        <f>(Table110[[#This Row],[Index]]-B242)/B242</f>
        <v/>
      </c>
    </row>
    <row r="255">
      <c r="A255" s="17" t="n">
        <v>33848</v>
      </c>
      <c r="B255" s="58">
        <f>VLOOKUP(Table110[[#This Row],[Date]],database!A:H,3,)</f>
        <v/>
      </c>
      <c r="C255" s="66">
        <f>B255/B254-1</f>
        <v/>
      </c>
      <c r="D255" s="66">
        <f>(Table110[[#This Row],[Index]]-B243)/B243</f>
        <v/>
      </c>
    </row>
    <row r="256">
      <c r="A256" s="17" t="n">
        <v>33878</v>
      </c>
      <c r="B256" s="58">
        <f>VLOOKUP(Table110[[#This Row],[Date]],database!A:H,3,)</f>
        <v/>
      </c>
      <c r="C256" s="66">
        <f>B256/B255-1</f>
        <v/>
      </c>
      <c r="D256" s="66">
        <f>(Table110[[#This Row],[Index]]-B244)/B244</f>
        <v/>
      </c>
    </row>
    <row r="257">
      <c r="A257" s="17" t="n">
        <v>33909</v>
      </c>
      <c r="B257" s="58">
        <f>VLOOKUP(Table110[[#This Row],[Date]],database!A:H,3,)</f>
        <v/>
      </c>
      <c r="C257" s="66">
        <f>B257/B256-1</f>
        <v/>
      </c>
      <c r="D257" s="66">
        <f>(Table110[[#This Row],[Index]]-B245)/B245</f>
        <v/>
      </c>
    </row>
    <row r="258">
      <c r="A258" s="17" t="n">
        <v>33939</v>
      </c>
      <c r="B258" s="58">
        <f>VLOOKUP(Table110[[#This Row],[Date]],database!A:H,3,)</f>
        <v/>
      </c>
      <c r="C258" s="66">
        <f>B258/B257-1</f>
        <v/>
      </c>
      <c r="D258" s="66">
        <f>(Table110[[#This Row],[Index]]-B246)/B246</f>
        <v/>
      </c>
    </row>
    <row r="259">
      <c r="A259" s="17" t="n">
        <v>33970</v>
      </c>
      <c r="B259" s="58">
        <f>VLOOKUP(Table110[[#This Row],[Date]],database!A:H,3,)</f>
        <v/>
      </c>
      <c r="C259" s="66">
        <f>B259/B258-1</f>
        <v/>
      </c>
      <c r="D259" s="66">
        <f>(Table110[[#This Row],[Index]]-B247)/B247</f>
        <v/>
      </c>
    </row>
    <row r="260">
      <c r="A260" s="17" t="n">
        <v>34001</v>
      </c>
      <c r="B260" s="58">
        <f>VLOOKUP(Table110[[#This Row],[Date]],database!A:H,3,)</f>
        <v/>
      </c>
      <c r="C260" s="66">
        <f>B260/B259-1</f>
        <v/>
      </c>
      <c r="D260" s="66">
        <f>(Table110[[#This Row],[Index]]-B248)/B248</f>
        <v/>
      </c>
    </row>
    <row r="261">
      <c r="A261" s="17" t="n">
        <v>34029</v>
      </c>
      <c r="B261" s="58">
        <f>VLOOKUP(Table110[[#This Row],[Date]],database!A:H,3,)</f>
        <v/>
      </c>
      <c r="C261" s="66">
        <f>B261/B260-1</f>
        <v/>
      </c>
      <c r="D261" s="66">
        <f>(Table110[[#This Row],[Index]]-B249)/B249</f>
        <v/>
      </c>
    </row>
    <row r="262">
      <c r="A262" s="17" t="n">
        <v>34060</v>
      </c>
      <c r="B262" s="58">
        <f>VLOOKUP(Table110[[#This Row],[Date]],database!A:H,3,)</f>
        <v/>
      </c>
      <c r="C262" s="66">
        <f>B262/B261-1</f>
        <v/>
      </c>
      <c r="D262" s="66">
        <f>(Table110[[#This Row],[Index]]-B250)/B250</f>
        <v/>
      </c>
    </row>
    <row r="263">
      <c r="A263" s="17" t="n">
        <v>34090</v>
      </c>
      <c r="B263" s="58">
        <f>VLOOKUP(Table110[[#This Row],[Date]],database!A:H,3,)</f>
        <v/>
      </c>
      <c r="C263" s="66">
        <f>B263/B262-1</f>
        <v/>
      </c>
      <c r="D263" s="66">
        <f>(Table110[[#This Row],[Index]]-B251)/B251</f>
        <v/>
      </c>
    </row>
    <row r="264">
      <c r="A264" s="17" t="n">
        <v>34121</v>
      </c>
      <c r="B264" s="58">
        <f>VLOOKUP(Table110[[#This Row],[Date]],database!A:H,3,)</f>
        <v/>
      </c>
      <c r="C264" s="66">
        <f>B264/B263-1</f>
        <v/>
      </c>
      <c r="D264" s="66">
        <f>(Table110[[#This Row],[Index]]-B252)/B252</f>
        <v/>
      </c>
    </row>
    <row r="265">
      <c r="A265" s="17" t="n">
        <v>34151</v>
      </c>
      <c r="B265" s="58">
        <f>VLOOKUP(Table110[[#This Row],[Date]],database!A:H,3,)</f>
        <v/>
      </c>
      <c r="C265" s="66">
        <f>B265/B264-1</f>
        <v/>
      </c>
      <c r="D265" s="66">
        <f>(Table110[[#This Row],[Index]]-B253)/B253</f>
        <v/>
      </c>
    </row>
    <row r="266">
      <c r="A266" s="17" t="n">
        <v>34182</v>
      </c>
      <c r="B266" s="58">
        <f>VLOOKUP(Table110[[#This Row],[Date]],database!A:H,3,)</f>
        <v/>
      </c>
      <c r="C266" s="66">
        <f>B266/B265-1</f>
        <v/>
      </c>
      <c r="D266" s="66">
        <f>(Table110[[#This Row],[Index]]-B254)/B254</f>
        <v/>
      </c>
    </row>
    <row r="267">
      <c r="A267" s="17" t="n">
        <v>34213</v>
      </c>
      <c r="B267" s="58">
        <f>VLOOKUP(Table110[[#This Row],[Date]],database!A:H,3,)</f>
        <v/>
      </c>
      <c r="C267" s="66">
        <f>B267/B266-1</f>
        <v/>
      </c>
      <c r="D267" s="66">
        <f>(Table110[[#This Row],[Index]]-B255)/B255</f>
        <v/>
      </c>
    </row>
    <row r="268">
      <c r="A268" s="17" t="n">
        <v>34243</v>
      </c>
      <c r="B268" s="58">
        <f>VLOOKUP(Table110[[#This Row],[Date]],database!A:H,3,)</f>
        <v/>
      </c>
      <c r="C268" s="66">
        <f>B268/B267-1</f>
        <v/>
      </c>
      <c r="D268" s="66">
        <f>(Table110[[#This Row],[Index]]-B256)/B256</f>
        <v/>
      </c>
    </row>
    <row r="269">
      <c r="A269" s="17" t="n">
        <v>34274</v>
      </c>
      <c r="B269" s="58">
        <f>VLOOKUP(Table110[[#This Row],[Date]],database!A:H,3,)</f>
        <v/>
      </c>
      <c r="C269" s="66">
        <f>B269/B268-1</f>
        <v/>
      </c>
      <c r="D269" s="66">
        <f>(Table110[[#This Row],[Index]]-B257)/B257</f>
        <v/>
      </c>
    </row>
    <row r="270">
      <c r="A270" s="17" t="n">
        <v>34304</v>
      </c>
      <c r="B270" s="58">
        <f>VLOOKUP(Table110[[#This Row],[Date]],database!A:H,3,)</f>
        <v/>
      </c>
      <c r="C270" s="66">
        <f>B270/B269-1</f>
        <v/>
      </c>
      <c r="D270" s="66">
        <f>(Table110[[#This Row],[Index]]-B258)/B258</f>
        <v/>
      </c>
    </row>
    <row r="271">
      <c r="A271" s="17" t="n">
        <v>34335</v>
      </c>
      <c r="B271" s="58">
        <f>VLOOKUP(Table110[[#This Row],[Date]],database!A:H,3,)</f>
        <v/>
      </c>
      <c r="C271" s="66">
        <f>B271/B270-1</f>
        <v/>
      </c>
      <c r="D271" s="66">
        <f>(Table110[[#This Row],[Index]]-B259)/B259</f>
        <v/>
      </c>
    </row>
    <row r="272">
      <c r="A272" s="17" t="n">
        <v>34366</v>
      </c>
      <c r="B272" s="58">
        <f>VLOOKUP(Table110[[#This Row],[Date]],database!A:H,3,)</f>
        <v/>
      </c>
      <c r="C272" s="66">
        <f>B272/B271-1</f>
        <v/>
      </c>
      <c r="D272" s="66">
        <f>(Table110[[#This Row],[Index]]-B260)/B260</f>
        <v/>
      </c>
    </row>
    <row r="273">
      <c r="A273" s="17" t="n">
        <v>34394</v>
      </c>
      <c r="B273" s="58">
        <f>VLOOKUP(Table110[[#This Row],[Date]],database!A:H,3,)</f>
        <v/>
      </c>
      <c r="C273" s="66">
        <f>B273/B272-1</f>
        <v/>
      </c>
      <c r="D273" s="66">
        <f>(Table110[[#This Row],[Index]]-B261)/B261</f>
        <v/>
      </c>
    </row>
    <row r="274">
      <c r="A274" s="17" t="n">
        <v>34425</v>
      </c>
      <c r="B274" s="58">
        <f>VLOOKUP(Table110[[#This Row],[Date]],database!A:H,3,)</f>
        <v/>
      </c>
      <c r="C274" s="66">
        <f>B274/B273-1</f>
        <v/>
      </c>
      <c r="D274" s="66">
        <f>(Table110[[#This Row],[Index]]-B262)/B262</f>
        <v/>
      </c>
    </row>
    <row r="275">
      <c r="A275" s="17" t="n">
        <v>34455</v>
      </c>
      <c r="B275" s="58">
        <f>VLOOKUP(Table110[[#This Row],[Date]],database!A:H,3,)</f>
        <v/>
      </c>
      <c r="C275" s="66">
        <f>B275/B274-1</f>
        <v/>
      </c>
      <c r="D275" s="66">
        <f>(Table110[[#This Row],[Index]]-B263)/B263</f>
        <v/>
      </c>
    </row>
    <row r="276">
      <c r="A276" s="17" t="n">
        <v>34486</v>
      </c>
      <c r="B276" s="58">
        <f>VLOOKUP(Table110[[#This Row],[Date]],database!A:H,3,)</f>
        <v/>
      </c>
      <c r="C276" s="66">
        <f>B276/B275-1</f>
        <v/>
      </c>
      <c r="D276" s="66">
        <f>(Table110[[#This Row],[Index]]-B264)/B264</f>
        <v/>
      </c>
    </row>
    <row r="277">
      <c r="A277" s="17" t="n">
        <v>34516</v>
      </c>
      <c r="B277" s="58">
        <f>VLOOKUP(Table110[[#This Row],[Date]],database!A:H,3,)</f>
        <v/>
      </c>
      <c r="C277" s="66">
        <f>B277/B276-1</f>
        <v/>
      </c>
      <c r="D277" s="66">
        <f>(Table110[[#This Row],[Index]]-B265)/B265</f>
        <v/>
      </c>
    </row>
    <row r="278">
      <c r="A278" s="17" t="n">
        <v>34547</v>
      </c>
      <c r="B278" s="58">
        <f>VLOOKUP(Table110[[#This Row],[Date]],database!A:H,3,)</f>
        <v/>
      </c>
      <c r="C278" s="66">
        <f>B278/B277-1</f>
        <v/>
      </c>
      <c r="D278" s="66">
        <f>(Table110[[#This Row],[Index]]-B266)/B266</f>
        <v/>
      </c>
    </row>
    <row r="279">
      <c r="A279" s="17" t="n">
        <v>34578</v>
      </c>
      <c r="B279" s="58">
        <f>VLOOKUP(Table110[[#This Row],[Date]],database!A:H,3,)</f>
        <v/>
      </c>
      <c r="C279" s="66">
        <f>B279/B278-1</f>
        <v/>
      </c>
      <c r="D279" s="66">
        <f>(Table110[[#This Row],[Index]]-B267)/B267</f>
        <v/>
      </c>
    </row>
    <row r="280">
      <c r="A280" s="17" t="n">
        <v>34608</v>
      </c>
      <c r="B280" s="58">
        <f>VLOOKUP(Table110[[#This Row],[Date]],database!A:H,3,)</f>
        <v/>
      </c>
      <c r="C280" s="66">
        <f>B280/B279-1</f>
        <v/>
      </c>
      <c r="D280" s="66">
        <f>(Table110[[#This Row],[Index]]-B268)/B268</f>
        <v/>
      </c>
    </row>
    <row r="281">
      <c r="A281" s="17" t="n">
        <v>34639</v>
      </c>
      <c r="B281" s="58">
        <f>VLOOKUP(Table110[[#This Row],[Date]],database!A:H,3,)</f>
        <v/>
      </c>
      <c r="C281" s="66">
        <f>B281/B280-1</f>
        <v/>
      </c>
      <c r="D281" s="66">
        <f>(Table110[[#This Row],[Index]]-B269)/B269</f>
        <v/>
      </c>
    </row>
    <row r="282">
      <c r="A282" s="17" t="n">
        <v>34669</v>
      </c>
      <c r="B282" s="58">
        <f>VLOOKUP(Table110[[#This Row],[Date]],database!A:H,3,)</f>
        <v/>
      </c>
      <c r="C282" s="66">
        <f>B282/B281-1</f>
        <v/>
      </c>
      <c r="D282" s="66">
        <f>(Table110[[#This Row],[Index]]-B270)/B270</f>
        <v/>
      </c>
    </row>
    <row r="283">
      <c r="A283" s="17" t="n">
        <v>34700</v>
      </c>
      <c r="B283" s="58">
        <f>VLOOKUP(Table110[[#This Row],[Date]],database!A:H,3,)</f>
        <v/>
      </c>
      <c r="C283" s="66">
        <f>B283/B282-1</f>
        <v/>
      </c>
      <c r="D283" s="66">
        <f>(Table110[[#This Row],[Index]]-B271)/B271</f>
        <v/>
      </c>
    </row>
    <row r="284">
      <c r="A284" s="17" t="n">
        <v>34731</v>
      </c>
      <c r="B284" s="58">
        <f>VLOOKUP(Table110[[#This Row],[Date]],database!A:H,3,)</f>
        <v/>
      </c>
      <c r="C284" s="66">
        <f>B284/B283-1</f>
        <v/>
      </c>
      <c r="D284" s="66">
        <f>(Table110[[#This Row],[Index]]-B272)/B272</f>
        <v/>
      </c>
    </row>
    <row r="285">
      <c r="A285" s="17" t="n">
        <v>34759</v>
      </c>
      <c r="B285" s="58">
        <f>VLOOKUP(Table110[[#This Row],[Date]],database!A:H,3,)</f>
        <v/>
      </c>
      <c r="C285" s="66">
        <f>B285/B284-1</f>
        <v/>
      </c>
      <c r="D285" s="66">
        <f>(Table110[[#This Row],[Index]]-B273)/B273</f>
        <v/>
      </c>
    </row>
    <row r="286">
      <c r="A286" s="17" t="n">
        <v>34790</v>
      </c>
      <c r="B286" s="58">
        <f>VLOOKUP(Table110[[#This Row],[Date]],database!A:H,3,)</f>
        <v/>
      </c>
      <c r="C286" s="66">
        <f>B286/B285-1</f>
        <v/>
      </c>
      <c r="D286" s="66">
        <f>(Table110[[#This Row],[Index]]-B274)/B274</f>
        <v/>
      </c>
    </row>
    <row r="287">
      <c r="A287" s="17" t="n">
        <v>34820</v>
      </c>
      <c r="B287" s="58">
        <f>VLOOKUP(Table110[[#This Row],[Date]],database!A:H,3,)</f>
        <v/>
      </c>
      <c r="C287" s="66">
        <f>B287/B286-1</f>
        <v/>
      </c>
      <c r="D287" s="66">
        <f>(Table110[[#This Row],[Index]]-B275)/B275</f>
        <v/>
      </c>
    </row>
    <row r="288">
      <c r="A288" s="17" t="n">
        <v>34851</v>
      </c>
      <c r="B288" s="58">
        <f>VLOOKUP(Table110[[#This Row],[Date]],database!A:H,3,)</f>
        <v/>
      </c>
      <c r="C288" s="66">
        <f>B288/B287-1</f>
        <v/>
      </c>
      <c r="D288" s="66">
        <f>(Table110[[#This Row],[Index]]-B276)/B276</f>
        <v/>
      </c>
    </row>
    <row r="289">
      <c r="A289" s="17" t="n">
        <v>34881</v>
      </c>
      <c r="B289" s="58">
        <f>VLOOKUP(Table110[[#This Row],[Date]],database!A:H,3,)</f>
        <v/>
      </c>
      <c r="C289" s="66">
        <f>B289/B288-1</f>
        <v/>
      </c>
      <c r="D289" s="66">
        <f>(Table110[[#This Row],[Index]]-B277)/B277</f>
        <v/>
      </c>
    </row>
    <row r="290">
      <c r="A290" s="17" t="n">
        <v>34912</v>
      </c>
      <c r="B290" s="58">
        <f>VLOOKUP(Table110[[#This Row],[Date]],database!A:H,3,)</f>
        <v/>
      </c>
      <c r="C290" s="66">
        <f>B290/B289-1</f>
        <v/>
      </c>
      <c r="D290" s="66">
        <f>(Table110[[#This Row],[Index]]-B278)/B278</f>
        <v/>
      </c>
    </row>
    <row r="291">
      <c r="A291" s="17" t="n">
        <v>34943</v>
      </c>
      <c r="B291" s="58">
        <f>VLOOKUP(Table110[[#This Row],[Date]],database!A:H,3,)</f>
        <v/>
      </c>
      <c r="C291" s="66">
        <f>B291/B290-1</f>
        <v/>
      </c>
      <c r="D291" s="66">
        <f>(Table110[[#This Row],[Index]]-B279)/B279</f>
        <v/>
      </c>
    </row>
    <row r="292">
      <c r="A292" s="17" t="n">
        <v>34973</v>
      </c>
      <c r="B292" s="58">
        <f>VLOOKUP(Table110[[#This Row],[Date]],database!A:H,3,)</f>
        <v/>
      </c>
      <c r="C292" s="66">
        <f>B292/B291-1</f>
        <v/>
      </c>
      <c r="D292" s="66">
        <f>(Table110[[#This Row],[Index]]-B280)/B280</f>
        <v/>
      </c>
    </row>
    <row r="293">
      <c r="A293" s="17" t="n">
        <v>35004</v>
      </c>
      <c r="B293" s="58">
        <f>VLOOKUP(Table110[[#This Row],[Date]],database!A:H,3,)</f>
        <v/>
      </c>
      <c r="C293" s="66">
        <f>B293/B292-1</f>
        <v/>
      </c>
      <c r="D293" s="66">
        <f>(Table110[[#This Row],[Index]]-B281)/B281</f>
        <v/>
      </c>
    </row>
    <row r="294">
      <c r="A294" s="17" t="n">
        <v>35034</v>
      </c>
      <c r="B294" s="58">
        <f>VLOOKUP(Table110[[#This Row],[Date]],database!A:H,3,)</f>
        <v/>
      </c>
      <c r="C294" s="66">
        <f>B294/B293-1</f>
        <v/>
      </c>
      <c r="D294" s="66">
        <f>(Table110[[#This Row],[Index]]-B282)/B282</f>
        <v/>
      </c>
    </row>
    <row r="295">
      <c r="A295" s="17" t="n">
        <v>35065</v>
      </c>
      <c r="B295" s="58">
        <f>VLOOKUP(Table110[[#This Row],[Date]],database!A:H,3,)</f>
        <v/>
      </c>
      <c r="C295" s="66">
        <f>B295/B294-1</f>
        <v/>
      </c>
      <c r="D295" s="66">
        <f>(Table110[[#This Row],[Index]]-B283)/B283</f>
        <v/>
      </c>
    </row>
    <row r="296">
      <c r="A296" s="17" t="n">
        <v>35096</v>
      </c>
      <c r="B296" s="58">
        <f>VLOOKUP(Table110[[#This Row],[Date]],database!A:H,3,)</f>
        <v/>
      </c>
      <c r="C296" s="66">
        <f>B296/B295-1</f>
        <v/>
      </c>
      <c r="D296" s="66">
        <f>(Table110[[#This Row],[Index]]-B284)/B284</f>
        <v/>
      </c>
    </row>
    <row r="297">
      <c r="A297" s="17" t="n">
        <v>35125</v>
      </c>
      <c r="B297" s="58">
        <f>VLOOKUP(Table110[[#This Row],[Date]],database!A:H,3,)</f>
        <v/>
      </c>
      <c r="C297" s="66">
        <f>B297/B296-1</f>
        <v/>
      </c>
      <c r="D297" s="66">
        <f>(Table110[[#This Row],[Index]]-B285)/B285</f>
        <v/>
      </c>
    </row>
    <row r="298">
      <c r="A298" s="17" t="n">
        <v>35156</v>
      </c>
      <c r="B298" s="58">
        <f>VLOOKUP(Table110[[#This Row],[Date]],database!A:H,3,)</f>
        <v/>
      </c>
      <c r="C298" s="66">
        <f>B298/B297-1</f>
        <v/>
      </c>
      <c r="D298" s="66">
        <f>(Table110[[#This Row],[Index]]-B286)/B286</f>
        <v/>
      </c>
    </row>
    <row r="299">
      <c r="A299" s="17" t="n">
        <v>35186</v>
      </c>
      <c r="B299" s="58">
        <f>VLOOKUP(Table110[[#This Row],[Date]],database!A:H,3,)</f>
        <v/>
      </c>
      <c r="C299" s="66">
        <f>B299/B298-1</f>
        <v/>
      </c>
      <c r="D299" s="66">
        <f>(Table110[[#This Row],[Index]]-B287)/B287</f>
        <v/>
      </c>
    </row>
    <row r="300">
      <c r="A300" s="17" t="n">
        <v>35217</v>
      </c>
      <c r="B300" s="58">
        <f>VLOOKUP(Table110[[#This Row],[Date]],database!A:H,3,)</f>
        <v/>
      </c>
      <c r="C300" s="66">
        <f>B300/B299-1</f>
        <v/>
      </c>
      <c r="D300" s="66">
        <f>(Table110[[#This Row],[Index]]-B288)/B288</f>
        <v/>
      </c>
    </row>
    <row r="301">
      <c r="A301" s="17" t="n">
        <v>35247</v>
      </c>
      <c r="B301" s="58">
        <f>VLOOKUP(Table110[[#This Row],[Date]],database!A:H,3,)</f>
        <v/>
      </c>
      <c r="C301" s="66">
        <f>B301/B300-1</f>
        <v/>
      </c>
      <c r="D301" s="66">
        <f>(Table110[[#This Row],[Index]]-B289)/B289</f>
        <v/>
      </c>
    </row>
    <row r="302">
      <c r="A302" s="17" t="n">
        <v>35278</v>
      </c>
      <c r="B302" s="58">
        <f>VLOOKUP(Table110[[#This Row],[Date]],database!A:H,3,)</f>
        <v/>
      </c>
      <c r="C302" s="66">
        <f>B302/B301-1</f>
        <v/>
      </c>
      <c r="D302" s="66">
        <f>(Table110[[#This Row],[Index]]-B290)/B290</f>
        <v/>
      </c>
    </row>
    <row r="303">
      <c r="A303" s="17" t="n">
        <v>35309</v>
      </c>
      <c r="B303" s="58">
        <f>VLOOKUP(Table110[[#This Row],[Date]],database!A:H,3,)</f>
        <v/>
      </c>
      <c r="C303" s="66">
        <f>B303/B302-1</f>
        <v/>
      </c>
      <c r="D303" s="66">
        <f>(Table110[[#This Row],[Index]]-B291)/B291</f>
        <v/>
      </c>
    </row>
    <row r="304">
      <c r="A304" s="17" t="n">
        <v>35339</v>
      </c>
      <c r="B304" s="58">
        <f>VLOOKUP(Table110[[#This Row],[Date]],database!A:H,3,)</f>
        <v/>
      </c>
      <c r="C304" s="66">
        <f>B304/B303-1</f>
        <v/>
      </c>
      <c r="D304" s="66">
        <f>(Table110[[#This Row],[Index]]-B292)/B292</f>
        <v/>
      </c>
    </row>
    <row r="305">
      <c r="A305" s="17" t="n">
        <v>35370</v>
      </c>
      <c r="B305" s="58">
        <f>VLOOKUP(Table110[[#This Row],[Date]],database!A:H,3,)</f>
        <v/>
      </c>
      <c r="C305" s="66">
        <f>B305/B304-1</f>
        <v/>
      </c>
      <c r="D305" s="66">
        <f>(Table110[[#This Row],[Index]]-B293)/B293</f>
        <v/>
      </c>
    </row>
    <row r="306">
      <c r="A306" s="17" t="n">
        <v>35400</v>
      </c>
      <c r="B306" s="58">
        <f>VLOOKUP(Table110[[#This Row],[Date]],database!A:H,3,)</f>
        <v/>
      </c>
      <c r="C306" s="66">
        <f>B306/B305-1</f>
        <v/>
      </c>
      <c r="D306" s="66">
        <f>(Table110[[#This Row],[Index]]-B294)/B294</f>
        <v/>
      </c>
    </row>
    <row r="307">
      <c r="A307" s="17" t="n">
        <v>35431</v>
      </c>
      <c r="B307" s="58">
        <f>VLOOKUP(Table110[[#This Row],[Date]],database!A:H,3,)</f>
        <v/>
      </c>
      <c r="C307" s="66">
        <f>B307/B306-1</f>
        <v/>
      </c>
      <c r="D307" s="66">
        <f>(Table110[[#This Row],[Index]]-B295)/B295</f>
        <v/>
      </c>
    </row>
    <row r="308">
      <c r="A308" s="17" t="n">
        <v>35462</v>
      </c>
      <c r="B308" s="58">
        <f>VLOOKUP(Table110[[#This Row],[Date]],database!A:H,3,)</f>
        <v/>
      </c>
      <c r="C308" s="66">
        <f>B308/B307-1</f>
        <v/>
      </c>
      <c r="D308" s="66">
        <f>(Table110[[#This Row],[Index]]-B296)/B296</f>
        <v/>
      </c>
    </row>
    <row r="309">
      <c r="A309" s="17" t="n">
        <v>35490</v>
      </c>
      <c r="B309" s="58">
        <f>VLOOKUP(Table110[[#This Row],[Date]],database!A:H,3,)</f>
        <v/>
      </c>
      <c r="C309" s="66">
        <f>B309/B308-1</f>
        <v/>
      </c>
      <c r="D309" s="66">
        <f>(Table110[[#This Row],[Index]]-B297)/B297</f>
        <v/>
      </c>
    </row>
    <row r="310">
      <c r="A310" s="17" t="n">
        <v>35521</v>
      </c>
      <c r="B310" s="58">
        <f>VLOOKUP(Table110[[#This Row],[Date]],database!A:H,3,)</f>
        <v/>
      </c>
      <c r="C310" s="66">
        <f>B310/B309-1</f>
        <v/>
      </c>
      <c r="D310" s="66">
        <f>(Table110[[#This Row],[Index]]-B298)/B298</f>
        <v/>
      </c>
    </row>
    <row r="311">
      <c r="A311" s="17" t="n">
        <v>35551</v>
      </c>
      <c r="B311" s="58">
        <f>VLOOKUP(Table110[[#This Row],[Date]],database!A:H,3,)</f>
        <v/>
      </c>
      <c r="C311" s="66">
        <f>B311/B310-1</f>
        <v/>
      </c>
      <c r="D311" s="66">
        <f>(Table110[[#This Row],[Index]]-B299)/B299</f>
        <v/>
      </c>
    </row>
    <row r="312">
      <c r="A312" s="17" t="n">
        <v>35582</v>
      </c>
      <c r="B312" s="58">
        <f>VLOOKUP(Table110[[#This Row],[Date]],database!A:H,3,)</f>
        <v/>
      </c>
      <c r="C312" s="66">
        <f>B312/B311-1</f>
        <v/>
      </c>
      <c r="D312" s="66">
        <f>(Table110[[#This Row],[Index]]-B300)/B300</f>
        <v/>
      </c>
    </row>
    <row r="313">
      <c r="A313" s="17" t="n">
        <v>35612</v>
      </c>
      <c r="B313" s="58">
        <f>VLOOKUP(Table110[[#This Row],[Date]],database!A:H,3,)</f>
        <v/>
      </c>
      <c r="C313" s="66">
        <f>B313/B312-1</f>
        <v/>
      </c>
      <c r="D313" s="66">
        <f>(Table110[[#This Row],[Index]]-B301)/B301</f>
        <v/>
      </c>
    </row>
    <row r="314">
      <c r="A314" s="17" t="n">
        <v>35643</v>
      </c>
      <c r="B314" s="58">
        <f>VLOOKUP(Table110[[#This Row],[Date]],database!A:H,3,)</f>
        <v/>
      </c>
      <c r="C314" s="66">
        <f>B314/B313-1</f>
        <v/>
      </c>
      <c r="D314" s="66">
        <f>(Table110[[#This Row],[Index]]-B302)/B302</f>
        <v/>
      </c>
    </row>
    <row r="315">
      <c r="A315" s="17" t="n">
        <v>35674</v>
      </c>
      <c r="B315" s="58">
        <f>VLOOKUP(Table110[[#This Row],[Date]],database!A:H,3,)</f>
        <v/>
      </c>
      <c r="C315" s="66">
        <f>B315/B314-1</f>
        <v/>
      </c>
      <c r="D315" s="66">
        <f>(Table110[[#This Row],[Index]]-B303)/B303</f>
        <v/>
      </c>
    </row>
    <row r="316">
      <c r="A316" s="17" t="n">
        <v>35704</v>
      </c>
      <c r="B316" s="58">
        <f>VLOOKUP(Table110[[#This Row],[Date]],database!A:H,3,)</f>
        <v/>
      </c>
      <c r="C316" s="66">
        <f>B316/B315-1</f>
        <v/>
      </c>
      <c r="D316" s="66">
        <f>(Table110[[#This Row],[Index]]-B304)/B304</f>
        <v/>
      </c>
    </row>
    <row r="317">
      <c r="A317" s="17" t="n">
        <v>35735</v>
      </c>
      <c r="B317" s="58">
        <f>VLOOKUP(Table110[[#This Row],[Date]],database!A:H,3,)</f>
        <v/>
      </c>
      <c r="C317" s="66">
        <f>B317/B316-1</f>
        <v/>
      </c>
      <c r="D317" s="66">
        <f>(Table110[[#This Row],[Index]]-B305)/B305</f>
        <v/>
      </c>
    </row>
    <row r="318">
      <c r="A318" s="17" t="n">
        <v>35765</v>
      </c>
      <c r="B318" s="58">
        <f>VLOOKUP(Table110[[#This Row],[Date]],database!A:H,3,)</f>
        <v/>
      </c>
      <c r="C318" s="66">
        <f>B318/B317-1</f>
        <v/>
      </c>
      <c r="D318" s="66">
        <f>(Table110[[#This Row],[Index]]-B306)/B306</f>
        <v/>
      </c>
    </row>
    <row r="319">
      <c r="A319" s="17" t="n">
        <v>35796</v>
      </c>
      <c r="B319" s="58">
        <f>VLOOKUP(Table110[[#This Row],[Date]],database!A:H,3,)</f>
        <v/>
      </c>
      <c r="C319" s="66">
        <f>B319/B318-1</f>
        <v/>
      </c>
      <c r="D319" s="66">
        <f>(Table110[[#This Row],[Index]]-B307)/B307</f>
        <v/>
      </c>
    </row>
    <row r="320">
      <c r="A320" s="17" t="n">
        <v>35827</v>
      </c>
      <c r="B320" s="58">
        <f>VLOOKUP(Table110[[#This Row],[Date]],database!A:H,3,)</f>
        <v/>
      </c>
      <c r="C320" s="66">
        <f>B320/B319-1</f>
        <v/>
      </c>
      <c r="D320" s="66">
        <f>(Table110[[#This Row],[Index]]-B308)/B308</f>
        <v/>
      </c>
    </row>
    <row r="321">
      <c r="A321" s="17" t="n">
        <v>35855</v>
      </c>
      <c r="B321" s="58">
        <f>VLOOKUP(Table110[[#This Row],[Date]],database!A:H,3,)</f>
        <v/>
      </c>
      <c r="C321" s="66">
        <f>B321/B320-1</f>
        <v/>
      </c>
      <c r="D321" s="66">
        <f>(Table110[[#This Row],[Index]]-B309)/B309</f>
        <v/>
      </c>
    </row>
    <row r="322">
      <c r="A322" s="17" t="n">
        <v>35886</v>
      </c>
      <c r="B322" s="58">
        <f>VLOOKUP(Table110[[#This Row],[Date]],database!A:H,3,)</f>
        <v/>
      </c>
      <c r="C322" s="66">
        <f>B322/B321-1</f>
        <v/>
      </c>
      <c r="D322" s="66">
        <f>(Table110[[#This Row],[Index]]-B310)/B310</f>
        <v/>
      </c>
    </row>
    <row r="323">
      <c r="A323" s="17" t="n">
        <v>35916</v>
      </c>
      <c r="B323" s="58">
        <f>VLOOKUP(Table110[[#This Row],[Date]],database!A:H,3,)</f>
        <v/>
      </c>
      <c r="C323" s="66">
        <f>B323/B322-1</f>
        <v/>
      </c>
      <c r="D323" s="66">
        <f>(Table110[[#This Row],[Index]]-B311)/B311</f>
        <v/>
      </c>
    </row>
    <row r="324">
      <c r="A324" s="17" t="n">
        <v>35947</v>
      </c>
      <c r="B324" s="58">
        <f>VLOOKUP(Table110[[#This Row],[Date]],database!A:H,3,)</f>
        <v/>
      </c>
      <c r="C324" s="66">
        <f>B324/B323-1</f>
        <v/>
      </c>
      <c r="D324" s="66">
        <f>(Table110[[#This Row],[Index]]-B312)/B312</f>
        <v/>
      </c>
    </row>
    <row r="325">
      <c r="A325" s="17" t="n">
        <v>35977</v>
      </c>
      <c r="B325" s="58">
        <f>VLOOKUP(Table110[[#This Row],[Date]],database!A:H,3,)</f>
        <v/>
      </c>
      <c r="C325" s="66">
        <f>B325/B324-1</f>
        <v/>
      </c>
      <c r="D325" s="66">
        <f>(Table110[[#This Row],[Index]]-B313)/B313</f>
        <v/>
      </c>
    </row>
    <row r="326">
      <c r="A326" s="17" t="n">
        <v>36008</v>
      </c>
      <c r="B326" s="58">
        <f>VLOOKUP(Table110[[#This Row],[Date]],database!A:H,3,)</f>
        <v/>
      </c>
      <c r="C326" s="66">
        <f>B326/B325-1</f>
        <v/>
      </c>
      <c r="D326" s="66">
        <f>(Table110[[#This Row],[Index]]-B314)/B314</f>
        <v/>
      </c>
    </row>
    <row r="327">
      <c r="A327" s="17" t="n">
        <v>36039</v>
      </c>
      <c r="B327" s="58">
        <f>VLOOKUP(Table110[[#This Row],[Date]],database!A:H,3,)</f>
        <v/>
      </c>
      <c r="C327" s="66">
        <f>B327/B326-1</f>
        <v/>
      </c>
      <c r="D327" s="66">
        <f>(Table110[[#This Row],[Index]]-B315)/B315</f>
        <v/>
      </c>
    </row>
    <row r="328">
      <c r="A328" s="17" t="n">
        <v>36069</v>
      </c>
      <c r="B328" s="58">
        <f>VLOOKUP(Table110[[#This Row],[Date]],database!A:H,3,)</f>
        <v/>
      </c>
      <c r="C328" s="66">
        <f>B328/B327-1</f>
        <v/>
      </c>
      <c r="D328" s="66">
        <f>(Table110[[#This Row],[Index]]-B316)/B316</f>
        <v/>
      </c>
    </row>
    <row r="329">
      <c r="A329" s="17" t="n">
        <v>36100</v>
      </c>
      <c r="B329" s="58">
        <f>VLOOKUP(Table110[[#This Row],[Date]],database!A:H,3,)</f>
        <v/>
      </c>
      <c r="C329" s="66">
        <f>B329/B328-1</f>
        <v/>
      </c>
      <c r="D329" s="66">
        <f>(Table110[[#This Row],[Index]]-B317)/B317</f>
        <v/>
      </c>
    </row>
    <row r="330">
      <c r="A330" s="17" t="n">
        <v>36130</v>
      </c>
      <c r="B330" s="58">
        <f>VLOOKUP(Table110[[#This Row],[Date]],database!A:H,3,)</f>
        <v/>
      </c>
      <c r="C330" s="66">
        <f>B330/B329-1</f>
        <v/>
      </c>
      <c r="D330" s="66">
        <f>(Table110[[#This Row],[Index]]-B318)/B318</f>
        <v/>
      </c>
    </row>
    <row r="331">
      <c r="A331" s="17" t="n">
        <v>36161</v>
      </c>
      <c r="B331" s="58">
        <f>VLOOKUP(Table110[[#This Row],[Date]],database!A:H,3,)</f>
        <v/>
      </c>
      <c r="C331" s="66">
        <f>B331/B330-1</f>
        <v/>
      </c>
      <c r="D331" s="66">
        <f>(Table110[[#This Row],[Index]]-B319)/B319</f>
        <v/>
      </c>
    </row>
    <row r="332">
      <c r="A332" s="17" t="n">
        <v>36192</v>
      </c>
      <c r="B332" s="58">
        <f>VLOOKUP(Table110[[#This Row],[Date]],database!A:H,3,)</f>
        <v/>
      </c>
      <c r="C332" s="66">
        <f>B332/B331-1</f>
        <v/>
      </c>
      <c r="D332" s="66">
        <f>(Table110[[#This Row],[Index]]-B320)/B320</f>
        <v/>
      </c>
    </row>
    <row r="333">
      <c r="A333" s="17" t="n">
        <v>36220</v>
      </c>
      <c r="B333" s="58">
        <f>VLOOKUP(Table110[[#This Row],[Date]],database!A:H,3,)</f>
        <v/>
      </c>
      <c r="C333" s="66">
        <f>B333/B332-1</f>
        <v/>
      </c>
      <c r="D333" s="66">
        <f>(Table110[[#This Row],[Index]]-B321)/B321</f>
        <v/>
      </c>
    </row>
    <row r="334">
      <c r="A334" s="17" t="n">
        <v>36251</v>
      </c>
      <c r="B334" s="58">
        <f>VLOOKUP(Table110[[#This Row],[Date]],database!A:H,3,)</f>
        <v/>
      </c>
      <c r="C334" s="66">
        <f>B334/B333-1</f>
        <v/>
      </c>
      <c r="D334" s="66">
        <f>(Table110[[#This Row],[Index]]-B322)/B322</f>
        <v/>
      </c>
    </row>
    <row r="335">
      <c r="A335" s="17" t="n">
        <v>36281</v>
      </c>
      <c r="B335" s="58">
        <f>VLOOKUP(Table110[[#This Row],[Date]],database!A:H,3,)</f>
        <v/>
      </c>
      <c r="C335" s="66">
        <f>B335/B334-1</f>
        <v/>
      </c>
      <c r="D335" s="66">
        <f>(Table110[[#This Row],[Index]]-B323)/B323</f>
        <v/>
      </c>
    </row>
    <row r="336">
      <c r="A336" s="17" t="n">
        <v>36312</v>
      </c>
      <c r="B336" s="58">
        <f>VLOOKUP(Table110[[#This Row],[Date]],database!A:H,3,)</f>
        <v/>
      </c>
      <c r="C336" s="66">
        <f>B336/B335-1</f>
        <v/>
      </c>
      <c r="D336" s="66">
        <f>(Table110[[#This Row],[Index]]-B324)/B324</f>
        <v/>
      </c>
    </row>
    <row r="337">
      <c r="A337" s="17" t="n">
        <v>36342</v>
      </c>
      <c r="B337" s="58">
        <f>VLOOKUP(Table110[[#This Row],[Date]],database!A:H,3,)</f>
        <v/>
      </c>
      <c r="C337" s="66">
        <f>B337/B336-1</f>
        <v/>
      </c>
      <c r="D337" s="66">
        <f>(Table110[[#This Row],[Index]]-B325)/B325</f>
        <v/>
      </c>
    </row>
    <row r="338">
      <c r="A338" s="17" t="n">
        <v>36373</v>
      </c>
      <c r="B338" s="58">
        <f>VLOOKUP(Table110[[#This Row],[Date]],database!A:H,3,)</f>
        <v/>
      </c>
      <c r="C338" s="66">
        <f>B338/B337-1</f>
        <v/>
      </c>
      <c r="D338" s="66">
        <f>(Table110[[#This Row],[Index]]-B326)/B326</f>
        <v/>
      </c>
    </row>
    <row r="339">
      <c r="A339" s="17" t="n">
        <v>36404</v>
      </c>
      <c r="B339" s="58">
        <f>VLOOKUP(Table110[[#This Row],[Date]],database!A:H,3,)</f>
        <v/>
      </c>
      <c r="C339" s="66">
        <f>B339/B338-1</f>
        <v/>
      </c>
      <c r="D339" s="66">
        <f>(Table110[[#This Row],[Index]]-B327)/B327</f>
        <v/>
      </c>
    </row>
    <row r="340">
      <c r="A340" s="17" t="n">
        <v>36434</v>
      </c>
      <c r="B340" s="58">
        <f>VLOOKUP(Table110[[#This Row],[Date]],database!A:H,3,)</f>
        <v/>
      </c>
      <c r="C340" s="66">
        <f>B340/B339-1</f>
        <v/>
      </c>
      <c r="D340" s="66">
        <f>(Table110[[#This Row],[Index]]-B328)/B328</f>
        <v/>
      </c>
    </row>
    <row r="341">
      <c r="A341" s="17" t="n">
        <v>36465</v>
      </c>
      <c r="B341" s="58">
        <f>VLOOKUP(Table110[[#This Row],[Date]],database!A:H,3,)</f>
        <v/>
      </c>
      <c r="C341" s="66">
        <f>B341/B340-1</f>
        <v/>
      </c>
      <c r="D341" s="66">
        <f>(Table110[[#This Row],[Index]]-B329)/B329</f>
        <v/>
      </c>
    </row>
    <row r="342">
      <c r="A342" s="17" t="n">
        <v>36495</v>
      </c>
      <c r="B342" s="58">
        <f>VLOOKUP(Table110[[#This Row],[Date]],database!A:H,3,)</f>
        <v/>
      </c>
      <c r="C342" s="66">
        <f>B342/B341-1</f>
        <v/>
      </c>
      <c r="D342" s="66">
        <f>(Table110[[#This Row],[Index]]-B330)/B330</f>
        <v/>
      </c>
    </row>
    <row r="343">
      <c r="A343" s="17" t="n">
        <v>36526</v>
      </c>
      <c r="B343" s="58">
        <f>VLOOKUP(Table110[[#This Row],[Date]],database!A:H,3,)</f>
        <v/>
      </c>
      <c r="C343" s="66">
        <f>B343/B342-1</f>
        <v/>
      </c>
      <c r="D343" s="66">
        <f>(Table110[[#This Row],[Index]]-B331)/B331</f>
        <v/>
      </c>
    </row>
    <row r="344">
      <c r="A344" s="17" t="n">
        <v>36557</v>
      </c>
      <c r="B344" s="58">
        <f>VLOOKUP(Table110[[#This Row],[Date]],database!A:H,3,)</f>
        <v/>
      </c>
      <c r="C344" s="66">
        <f>B344/B343-1</f>
        <v/>
      </c>
      <c r="D344" s="66">
        <f>(Table110[[#This Row],[Index]]-B332)/B332</f>
        <v/>
      </c>
    </row>
    <row r="345">
      <c r="A345" s="17" t="n">
        <v>36586</v>
      </c>
      <c r="B345" s="58">
        <f>VLOOKUP(Table110[[#This Row],[Date]],database!A:H,3,)</f>
        <v/>
      </c>
      <c r="C345" s="66">
        <f>B345/B344-1</f>
        <v/>
      </c>
      <c r="D345" s="66">
        <f>(Table110[[#This Row],[Index]]-B333)/B333</f>
        <v/>
      </c>
    </row>
    <row r="346">
      <c r="A346" s="17" t="n">
        <v>36617</v>
      </c>
      <c r="B346" s="58">
        <f>VLOOKUP(Table110[[#This Row],[Date]],database!A:H,3,)</f>
        <v/>
      </c>
      <c r="C346" s="66">
        <f>B346/B345-1</f>
        <v/>
      </c>
      <c r="D346" s="66">
        <f>(Table110[[#This Row],[Index]]-B334)/B334</f>
        <v/>
      </c>
    </row>
    <row r="347">
      <c r="A347" s="17" t="n">
        <v>36647</v>
      </c>
      <c r="B347" s="58">
        <f>VLOOKUP(Table110[[#This Row],[Date]],database!A:H,3,)</f>
        <v/>
      </c>
      <c r="C347" s="66">
        <f>B347/B346-1</f>
        <v/>
      </c>
      <c r="D347" s="66">
        <f>(Table110[[#This Row],[Index]]-B335)/B335</f>
        <v/>
      </c>
    </row>
    <row r="348">
      <c r="A348" s="17" t="n">
        <v>36678</v>
      </c>
      <c r="B348" s="58">
        <f>VLOOKUP(Table110[[#This Row],[Date]],database!A:H,3,)</f>
        <v/>
      </c>
      <c r="C348" s="66">
        <f>B348/B347-1</f>
        <v/>
      </c>
      <c r="D348" s="66">
        <f>(Table110[[#This Row],[Index]]-B336)/B336</f>
        <v/>
      </c>
    </row>
    <row r="349">
      <c r="A349" s="17" t="n">
        <v>36708</v>
      </c>
      <c r="B349" s="58">
        <f>VLOOKUP(Table110[[#This Row],[Date]],database!A:H,3,)</f>
        <v/>
      </c>
      <c r="C349" s="66">
        <f>B349/B348-1</f>
        <v/>
      </c>
      <c r="D349" s="66">
        <f>(Table110[[#This Row],[Index]]-B337)/B337</f>
        <v/>
      </c>
    </row>
    <row r="350">
      <c r="A350" s="17" t="n">
        <v>36739</v>
      </c>
      <c r="B350" s="58">
        <f>VLOOKUP(Table110[[#This Row],[Date]],database!A:H,3,)</f>
        <v/>
      </c>
      <c r="C350" s="66">
        <f>B350/B349-1</f>
        <v/>
      </c>
      <c r="D350" s="66">
        <f>(Table110[[#This Row],[Index]]-B338)/B338</f>
        <v/>
      </c>
    </row>
    <row r="351">
      <c r="A351" s="17" t="n">
        <v>36770</v>
      </c>
      <c r="B351" s="58">
        <f>VLOOKUP(Table110[[#This Row],[Date]],database!A:H,3,)</f>
        <v/>
      </c>
      <c r="C351" s="66">
        <f>B351/B350-1</f>
        <v/>
      </c>
      <c r="D351" s="66">
        <f>(Table110[[#This Row],[Index]]-B339)/B339</f>
        <v/>
      </c>
    </row>
    <row r="352">
      <c r="A352" s="17" t="n">
        <v>36800</v>
      </c>
      <c r="B352" s="58">
        <f>VLOOKUP(Table110[[#This Row],[Date]],database!A:H,3,)</f>
        <v/>
      </c>
      <c r="C352" s="66">
        <f>B352/B351-1</f>
        <v/>
      </c>
      <c r="D352" s="66">
        <f>(Table110[[#This Row],[Index]]-B340)/B340</f>
        <v/>
      </c>
    </row>
    <row r="353">
      <c r="A353" s="17" t="n">
        <v>36831</v>
      </c>
      <c r="B353" s="58">
        <f>VLOOKUP(Table110[[#This Row],[Date]],database!A:H,3,)</f>
        <v/>
      </c>
      <c r="C353" s="66">
        <f>B353/B352-1</f>
        <v/>
      </c>
      <c r="D353" s="66">
        <f>(Table110[[#This Row],[Index]]-B341)/B341</f>
        <v/>
      </c>
    </row>
    <row r="354">
      <c r="A354" s="17" t="n">
        <v>36861</v>
      </c>
      <c r="B354" s="58">
        <f>VLOOKUP(Table110[[#This Row],[Date]],database!A:H,3,)</f>
        <v/>
      </c>
      <c r="C354" s="66">
        <f>B354/B353-1</f>
        <v/>
      </c>
      <c r="D354" s="66">
        <f>(Table110[[#This Row],[Index]]-B342)/B342</f>
        <v/>
      </c>
    </row>
    <row r="355">
      <c r="A355" s="17" t="n">
        <v>36892</v>
      </c>
      <c r="B355" s="58">
        <f>VLOOKUP(Table110[[#This Row],[Date]],database!A:H,3,)</f>
        <v/>
      </c>
      <c r="C355" s="66">
        <f>B355/B354-1</f>
        <v/>
      </c>
      <c r="D355" s="66">
        <f>(Table110[[#This Row],[Index]]-B343)/B343</f>
        <v/>
      </c>
    </row>
    <row r="356">
      <c r="A356" s="17" t="n">
        <v>36923</v>
      </c>
      <c r="B356" s="58">
        <f>VLOOKUP(Table110[[#This Row],[Date]],database!A:H,3,)</f>
        <v/>
      </c>
      <c r="C356" s="66">
        <f>B356/B355-1</f>
        <v/>
      </c>
      <c r="D356" s="66">
        <f>(Table110[[#This Row],[Index]]-B344)/B344</f>
        <v/>
      </c>
    </row>
    <row r="357">
      <c r="A357" s="17" t="n">
        <v>36951</v>
      </c>
      <c r="B357" s="58">
        <f>VLOOKUP(Table110[[#This Row],[Date]],database!A:H,3,)</f>
        <v/>
      </c>
      <c r="C357" s="66">
        <f>B357/B356-1</f>
        <v/>
      </c>
      <c r="D357" s="66">
        <f>(Table110[[#This Row],[Index]]-B345)/B345</f>
        <v/>
      </c>
    </row>
    <row r="358">
      <c r="A358" s="17" t="n">
        <v>36982</v>
      </c>
      <c r="B358" s="58">
        <f>VLOOKUP(Table110[[#This Row],[Date]],database!A:H,3,)</f>
        <v/>
      </c>
      <c r="C358" s="66">
        <f>B358/B357-1</f>
        <v/>
      </c>
      <c r="D358" s="66">
        <f>(Table110[[#This Row],[Index]]-B346)/B346</f>
        <v/>
      </c>
    </row>
    <row r="359">
      <c r="A359" s="17" t="n">
        <v>37012</v>
      </c>
      <c r="B359" s="58">
        <f>VLOOKUP(Table110[[#This Row],[Date]],database!A:H,3,)</f>
        <v/>
      </c>
      <c r="C359" s="66">
        <f>B359/B358-1</f>
        <v/>
      </c>
      <c r="D359" s="66">
        <f>(Table110[[#This Row],[Index]]-B347)/B347</f>
        <v/>
      </c>
    </row>
    <row r="360">
      <c r="A360" s="17" t="n">
        <v>37043</v>
      </c>
      <c r="B360" s="58">
        <f>VLOOKUP(Table110[[#This Row],[Date]],database!A:H,3,)</f>
        <v/>
      </c>
      <c r="C360" s="66">
        <f>B360/B359-1</f>
        <v/>
      </c>
      <c r="D360" s="66">
        <f>(Table110[[#This Row],[Index]]-B348)/B348</f>
        <v/>
      </c>
    </row>
    <row r="361">
      <c r="A361" s="17" t="n">
        <v>37073</v>
      </c>
      <c r="B361" s="58">
        <f>VLOOKUP(Table110[[#This Row],[Date]],database!A:H,3,)</f>
        <v/>
      </c>
      <c r="C361" s="66">
        <f>B361/B360-1</f>
        <v/>
      </c>
      <c r="D361" s="66">
        <f>(Table110[[#This Row],[Index]]-B349)/B349</f>
        <v/>
      </c>
    </row>
    <row r="362">
      <c r="A362" s="17" t="n">
        <v>37104</v>
      </c>
      <c r="B362" s="58">
        <f>VLOOKUP(Table110[[#This Row],[Date]],database!A:H,3,)</f>
        <v/>
      </c>
      <c r="C362" s="66">
        <f>B362/B361-1</f>
        <v/>
      </c>
      <c r="D362" s="66">
        <f>(Table110[[#This Row],[Index]]-B350)/B350</f>
        <v/>
      </c>
    </row>
    <row r="363">
      <c r="A363" s="17" t="n">
        <v>37135</v>
      </c>
      <c r="B363" s="58">
        <f>VLOOKUP(Table110[[#This Row],[Date]],database!A:H,3,)</f>
        <v/>
      </c>
      <c r="C363" s="66">
        <f>B363/B362-1</f>
        <v/>
      </c>
      <c r="D363" s="66">
        <f>(Table110[[#This Row],[Index]]-B351)/B351</f>
        <v/>
      </c>
    </row>
    <row r="364">
      <c r="A364" s="17" t="n">
        <v>37165</v>
      </c>
      <c r="B364" s="58">
        <f>VLOOKUP(Table110[[#This Row],[Date]],database!A:H,3,)</f>
        <v/>
      </c>
      <c r="C364" s="66">
        <f>B364/B363-1</f>
        <v/>
      </c>
      <c r="D364" s="66">
        <f>(Table110[[#This Row],[Index]]-B352)/B352</f>
        <v/>
      </c>
    </row>
    <row r="365">
      <c r="A365" s="17" t="n">
        <v>37196</v>
      </c>
      <c r="B365" s="58">
        <f>VLOOKUP(Table110[[#This Row],[Date]],database!A:H,3,)</f>
        <v/>
      </c>
      <c r="C365" s="66">
        <f>B365/B364-1</f>
        <v/>
      </c>
      <c r="D365" s="66">
        <f>(Table110[[#This Row],[Index]]-B353)/B353</f>
        <v/>
      </c>
    </row>
    <row r="366">
      <c r="A366" s="17" t="n">
        <v>37226</v>
      </c>
      <c r="B366" s="58">
        <f>VLOOKUP(Table110[[#This Row],[Date]],database!A:H,3,)</f>
        <v/>
      </c>
      <c r="C366" s="66">
        <f>B366/B365-1</f>
        <v/>
      </c>
      <c r="D366" s="66">
        <f>(Table110[[#This Row],[Index]]-B354)/B354</f>
        <v/>
      </c>
    </row>
    <row r="367">
      <c r="A367" s="17" t="n">
        <v>37257</v>
      </c>
      <c r="B367" s="58">
        <f>VLOOKUP(Table110[[#This Row],[Date]],database!A:H,3,)</f>
        <v/>
      </c>
      <c r="C367" s="66">
        <f>B367/B366-1</f>
        <v/>
      </c>
      <c r="D367" s="66">
        <f>(Table110[[#This Row],[Index]]-B355)/B355</f>
        <v/>
      </c>
    </row>
    <row r="368">
      <c r="A368" s="17" t="n">
        <v>37288</v>
      </c>
      <c r="B368" s="58">
        <f>VLOOKUP(Table110[[#This Row],[Date]],database!A:H,3,)</f>
        <v/>
      </c>
      <c r="C368" s="66">
        <f>B368/B367-1</f>
        <v/>
      </c>
      <c r="D368" s="66">
        <f>(Table110[[#This Row],[Index]]-B356)/B356</f>
        <v/>
      </c>
    </row>
    <row r="369">
      <c r="A369" s="17" t="n">
        <v>37316</v>
      </c>
      <c r="B369" s="58">
        <f>VLOOKUP(Table110[[#This Row],[Date]],database!A:H,3,)</f>
        <v/>
      </c>
      <c r="C369" s="66">
        <f>B369/B368-1</f>
        <v/>
      </c>
      <c r="D369" s="66">
        <f>(Table110[[#This Row],[Index]]-B357)/B357</f>
        <v/>
      </c>
    </row>
    <row r="370">
      <c r="A370" s="17" t="n">
        <v>37347</v>
      </c>
      <c r="B370" s="58">
        <f>VLOOKUP(Table110[[#This Row],[Date]],database!A:H,3,)</f>
        <v/>
      </c>
      <c r="C370" s="66">
        <f>B370/B369-1</f>
        <v/>
      </c>
      <c r="D370" s="66">
        <f>(Table110[[#This Row],[Index]]-B358)/B358</f>
        <v/>
      </c>
    </row>
    <row r="371">
      <c r="A371" s="17" t="n">
        <v>37377</v>
      </c>
      <c r="B371" s="58">
        <f>VLOOKUP(Table110[[#This Row],[Date]],database!A:H,3,)</f>
        <v/>
      </c>
      <c r="C371" s="66">
        <f>B371/B370-1</f>
        <v/>
      </c>
      <c r="D371" s="66">
        <f>(Table110[[#This Row],[Index]]-B359)/B359</f>
        <v/>
      </c>
    </row>
    <row r="372">
      <c r="A372" s="17" t="n">
        <v>37408</v>
      </c>
      <c r="B372" s="58">
        <f>VLOOKUP(Table110[[#This Row],[Date]],database!A:H,3,)</f>
        <v/>
      </c>
      <c r="C372" s="66">
        <f>B372/B371-1</f>
        <v/>
      </c>
      <c r="D372" s="66">
        <f>(Table110[[#This Row],[Index]]-B360)/B360</f>
        <v/>
      </c>
    </row>
    <row r="373">
      <c r="A373" s="17" t="n">
        <v>37438</v>
      </c>
      <c r="B373" s="58">
        <f>VLOOKUP(Table110[[#This Row],[Date]],database!A:H,3,)</f>
        <v/>
      </c>
      <c r="C373" s="66">
        <f>B373/B372-1</f>
        <v/>
      </c>
      <c r="D373" s="66">
        <f>(Table110[[#This Row],[Index]]-B361)/B361</f>
        <v/>
      </c>
    </row>
    <row r="374">
      <c r="A374" s="17" t="n">
        <v>37469</v>
      </c>
      <c r="B374" s="58">
        <f>VLOOKUP(Table110[[#This Row],[Date]],database!A:H,3,)</f>
        <v/>
      </c>
      <c r="C374" s="66">
        <f>B374/B373-1</f>
        <v/>
      </c>
      <c r="D374" s="66">
        <f>(Table110[[#This Row],[Index]]-B362)/B362</f>
        <v/>
      </c>
    </row>
    <row r="375">
      <c r="A375" s="17" t="n">
        <v>37500</v>
      </c>
      <c r="B375" s="58">
        <f>VLOOKUP(Table110[[#This Row],[Date]],database!A:H,3,)</f>
        <v/>
      </c>
      <c r="C375" s="66">
        <f>B375/B374-1</f>
        <v/>
      </c>
      <c r="D375" s="66">
        <f>(Table110[[#This Row],[Index]]-B363)/B363</f>
        <v/>
      </c>
    </row>
    <row r="376">
      <c r="A376" s="17" t="n">
        <v>37530</v>
      </c>
      <c r="B376" s="58">
        <f>VLOOKUP(Table110[[#This Row],[Date]],database!A:H,3,)</f>
        <v/>
      </c>
      <c r="C376" s="66">
        <f>B376/B375-1</f>
        <v/>
      </c>
      <c r="D376" s="66">
        <f>(Table110[[#This Row],[Index]]-B364)/B364</f>
        <v/>
      </c>
    </row>
    <row r="377">
      <c r="A377" s="17" t="n">
        <v>37561</v>
      </c>
      <c r="B377" s="58">
        <f>VLOOKUP(Table110[[#This Row],[Date]],database!A:H,3,)</f>
        <v/>
      </c>
      <c r="C377" s="66">
        <f>B377/B376-1</f>
        <v/>
      </c>
      <c r="D377" s="66">
        <f>(Table110[[#This Row],[Index]]-B365)/B365</f>
        <v/>
      </c>
    </row>
    <row r="378">
      <c r="A378" s="17" t="n">
        <v>37591</v>
      </c>
      <c r="B378" s="58">
        <f>VLOOKUP(Table110[[#This Row],[Date]],database!A:H,3,)</f>
        <v/>
      </c>
      <c r="C378" s="66">
        <f>B378/B377-1</f>
        <v/>
      </c>
      <c r="D378" s="66">
        <f>(Table110[[#This Row],[Index]]-B366)/B366</f>
        <v/>
      </c>
    </row>
    <row r="379">
      <c r="A379" s="17" t="n">
        <v>37622</v>
      </c>
      <c r="B379" s="58">
        <f>VLOOKUP(Table110[[#This Row],[Date]],database!A:H,3,)</f>
        <v/>
      </c>
      <c r="C379" s="66">
        <f>B379/B378-1</f>
        <v/>
      </c>
      <c r="D379" s="66">
        <f>(Table110[[#This Row],[Index]]-B367)/B367</f>
        <v/>
      </c>
    </row>
    <row r="380">
      <c r="A380" s="17" t="n">
        <v>37653</v>
      </c>
      <c r="B380" s="58">
        <f>VLOOKUP(Table110[[#This Row],[Date]],database!A:H,3,)</f>
        <v/>
      </c>
      <c r="C380" s="66">
        <f>B380/B379-1</f>
        <v/>
      </c>
      <c r="D380" s="66">
        <f>(Table110[[#This Row],[Index]]-B368)/B368</f>
        <v/>
      </c>
    </row>
    <row r="381">
      <c r="A381" s="17" t="n">
        <v>37681</v>
      </c>
      <c r="B381" s="58">
        <f>VLOOKUP(Table110[[#This Row],[Date]],database!A:H,3,)</f>
        <v/>
      </c>
      <c r="C381" s="66">
        <f>B381/B380-1</f>
        <v/>
      </c>
      <c r="D381" s="66">
        <f>(Table110[[#This Row],[Index]]-B369)/B369</f>
        <v/>
      </c>
    </row>
    <row r="382">
      <c r="A382" s="17" t="n">
        <v>37712</v>
      </c>
      <c r="B382" s="58">
        <f>VLOOKUP(Table110[[#This Row],[Date]],database!A:H,3,)</f>
        <v/>
      </c>
      <c r="C382" s="66">
        <f>B382/B381-1</f>
        <v/>
      </c>
      <c r="D382" s="66">
        <f>(Table110[[#This Row],[Index]]-B370)/B370</f>
        <v/>
      </c>
    </row>
    <row r="383">
      <c r="A383" s="17" t="n">
        <v>37742</v>
      </c>
      <c r="B383" s="58">
        <f>VLOOKUP(Table110[[#This Row],[Date]],database!A:H,3,)</f>
        <v/>
      </c>
      <c r="C383" s="66">
        <f>B383/B382-1</f>
        <v/>
      </c>
      <c r="D383" s="66">
        <f>(Table110[[#This Row],[Index]]-B371)/B371</f>
        <v/>
      </c>
    </row>
    <row r="384">
      <c r="A384" s="17" t="n">
        <v>37773</v>
      </c>
      <c r="B384" s="58">
        <f>VLOOKUP(Table110[[#This Row],[Date]],database!A:H,3,)</f>
        <v/>
      </c>
      <c r="C384" s="66">
        <f>B384/B383-1</f>
        <v/>
      </c>
      <c r="D384" s="66">
        <f>(Table110[[#This Row],[Index]]-B372)/B372</f>
        <v/>
      </c>
    </row>
    <row r="385">
      <c r="A385" s="17" t="n">
        <v>37803</v>
      </c>
      <c r="B385" s="58">
        <f>VLOOKUP(Table110[[#This Row],[Date]],database!A:H,3,)</f>
        <v/>
      </c>
      <c r="C385" s="66">
        <f>B385/B384-1</f>
        <v/>
      </c>
      <c r="D385" s="66">
        <f>(Table110[[#This Row],[Index]]-B373)/B373</f>
        <v/>
      </c>
    </row>
    <row r="386">
      <c r="A386" s="17" t="n">
        <v>37834</v>
      </c>
      <c r="B386" s="58">
        <f>VLOOKUP(Table110[[#This Row],[Date]],database!A:H,3,)</f>
        <v/>
      </c>
      <c r="C386" s="66">
        <f>B386/B385-1</f>
        <v/>
      </c>
      <c r="D386" s="66">
        <f>(Table110[[#This Row],[Index]]-B374)/B374</f>
        <v/>
      </c>
    </row>
    <row r="387">
      <c r="A387" s="17" t="n">
        <v>37865</v>
      </c>
      <c r="B387" s="58">
        <f>VLOOKUP(Table110[[#This Row],[Date]],database!A:H,3,)</f>
        <v/>
      </c>
      <c r="C387" s="66">
        <f>B387/B386-1</f>
        <v/>
      </c>
      <c r="D387" s="66">
        <f>(Table110[[#This Row],[Index]]-B375)/B375</f>
        <v/>
      </c>
    </row>
    <row r="388">
      <c r="A388" s="17" t="n">
        <v>37895</v>
      </c>
      <c r="B388" s="58">
        <f>VLOOKUP(Table110[[#This Row],[Date]],database!A:H,3,)</f>
        <v/>
      </c>
      <c r="C388" s="66">
        <f>B388/B387-1</f>
        <v/>
      </c>
      <c r="D388" s="66">
        <f>(Table110[[#This Row],[Index]]-B376)/B376</f>
        <v/>
      </c>
    </row>
    <row r="389">
      <c r="A389" s="17" t="n">
        <v>37926</v>
      </c>
      <c r="B389" s="58">
        <f>VLOOKUP(Table110[[#This Row],[Date]],database!A:H,3,)</f>
        <v/>
      </c>
      <c r="C389" s="66">
        <f>B389/B388-1</f>
        <v/>
      </c>
      <c r="D389" s="66">
        <f>(Table110[[#This Row],[Index]]-B377)/B377</f>
        <v/>
      </c>
    </row>
    <row r="390">
      <c r="A390" s="17" t="n">
        <v>37956</v>
      </c>
      <c r="B390" s="58">
        <f>VLOOKUP(Table110[[#This Row],[Date]],database!A:H,3,)</f>
        <v/>
      </c>
      <c r="C390" s="66">
        <f>B390/B389-1</f>
        <v/>
      </c>
      <c r="D390" s="66">
        <f>(Table110[[#This Row],[Index]]-B378)/B378</f>
        <v/>
      </c>
    </row>
    <row r="391">
      <c r="A391" s="17" t="n">
        <v>37987</v>
      </c>
      <c r="B391" s="58">
        <f>VLOOKUP(Table110[[#This Row],[Date]],database!A:H,3,)</f>
        <v/>
      </c>
      <c r="C391" s="66">
        <f>B391/B390-1</f>
        <v/>
      </c>
      <c r="D391" s="66">
        <f>(Table110[[#This Row],[Index]]-B379)/B379</f>
        <v/>
      </c>
    </row>
    <row r="392">
      <c r="A392" s="17" t="n">
        <v>38018</v>
      </c>
      <c r="B392" s="58">
        <f>VLOOKUP(Table110[[#This Row],[Date]],database!A:H,3,)</f>
        <v/>
      </c>
      <c r="C392" s="66">
        <f>B392/B391-1</f>
        <v/>
      </c>
      <c r="D392" s="66">
        <f>(Table110[[#This Row],[Index]]-B380)/B380</f>
        <v/>
      </c>
    </row>
    <row r="393">
      <c r="A393" s="17" t="n">
        <v>38047</v>
      </c>
      <c r="B393" s="58">
        <f>VLOOKUP(Table110[[#This Row],[Date]],database!A:H,3,)</f>
        <v/>
      </c>
      <c r="C393" s="66">
        <f>B393/B392-1</f>
        <v/>
      </c>
      <c r="D393" s="66">
        <f>(Table110[[#This Row],[Index]]-B381)/B381</f>
        <v/>
      </c>
    </row>
    <row r="394">
      <c r="A394" s="17" t="n">
        <v>38078</v>
      </c>
      <c r="B394" s="58">
        <f>VLOOKUP(Table110[[#This Row],[Date]],database!A:H,3,)</f>
        <v/>
      </c>
      <c r="C394" s="66">
        <f>B394/B393-1</f>
        <v/>
      </c>
      <c r="D394" s="66">
        <f>(Table110[[#This Row],[Index]]-B382)/B382</f>
        <v/>
      </c>
    </row>
    <row r="395">
      <c r="A395" s="17" t="n">
        <v>38108</v>
      </c>
      <c r="B395" s="58">
        <f>VLOOKUP(Table110[[#This Row],[Date]],database!A:H,3,)</f>
        <v/>
      </c>
      <c r="C395" s="66">
        <f>B395/B394-1</f>
        <v/>
      </c>
      <c r="D395" s="66">
        <f>(Table110[[#This Row],[Index]]-B383)/B383</f>
        <v/>
      </c>
    </row>
    <row r="396">
      <c r="A396" s="17" t="n">
        <v>38139</v>
      </c>
      <c r="B396" s="58">
        <f>VLOOKUP(Table110[[#This Row],[Date]],database!A:H,3,)</f>
        <v/>
      </c>
      <c r="C396" s="66">
        <f>B396/B395-1</f>
        <v/>
      </c>
      <c r="D396" s="66">
        <f>(Table110[[#This Row],[Index]]-B384)/B384</f>
        <v/>
      </c>
    </row>
    <row r="397">
      <c r="A397" s="17" t="n">
        <v>38169</v>
      </c>
      <c r="B397" s="58">
        <f>VLOOKUP(Table110[[#This Row],[Date]],database!A:H,3,)</f>
        <v/>
      </c>
      <c r="C397" s="66">
        <f>B397/B396-1</f>
        <v/>
      </c>
      <c r="D397" s="66">
        <f>(Table110[[#This Row],[Index]]-B385)/B385</f>
        <v/>
      </c>
    </row>
    <row r="398">
      <c r="A398" s="17" t="n">
        <v>38200</v>
      </c>
      <c r="B398" s="58">
        <f>VLOOKUP(Table110[[#This Row],[Date]],database!A:H,3,)</f>
        <v/>
      </c>
      <c r="C398" s="66">
        <f>B398/B397-1</f>
        <v/>
      </c>
      <c r="D398" s="66">
        <f>(Table110[[#This Row],[Index]]-B386)/B386</f>
        <v/>
      </c>
    </row>
    <row r="399">
      <c r="A399" s="17" t="n">
        <v>38231</v>
      </c>
      <c r="B399" s="58">
        <f>VLOOKUP(Table110[[#This Row],[Date]],database!A:H,3,)</f>
        <v/>
      </c>
      <c r="C399" s="66">
        <f>B399/B398-1</f>
        <v/>
      </c>
      <c r="D399" s="66">
        <f>(Table110[[#This Row],[Index]]-B387)/B387</f>
        <v/>
      </c>
    </row>
    <row r="400">
      <c r="A400" s="17" t="n">
        <v>38261</v>
      </c>
      <c r="B400" s="58">
        <f>VLOOKUP(Table110[[#This Row],[Date]],database!A:H,3,)</f>
        <v/>
      </c>
      <c r="C400" s="66">
        <f>B400/B399-1</f>
        <v/>
      </c>
      <c r="D400" s="66">
        <f>(Table110[[#This Row],[Index]]-B388)/B388</f>
        <v/>
      </c>
    </row>
    <row r="401">
      <c r="A401" s="17" t="n">
        <v>38292</v>
      </c>
      <c r="B401" s="58">
        <f>VLOOKUP(Table110[[#This Row],[Date]],database!A:H,3,)</f>
        <v/>
      </c>
      <c r="C401" s="66">
        <f>B401/B400-1</f>
        <v/>
      </c>
      <c r="D401" s="66">
        <f>(Table110[[#This Row],[Index]]-B389)/B389</f>
        <v/>
      </c>
    </row>
    <row r="402">
      <c r="A402" s="17" t="n">
        <v>38322</v>
      </c>
      <c r="B402" s="58">
        <f>VLOOKUP(Table110[[#This Row],[Date]],database!A:H,3,)</f>
        <v/>
      </c>
      <c r="C402" s="66">
        <f>B402/B401-1</f>
        <v/>
      </c>
      <c r="D402" s="66">
        <f>(Table110[[#This Row],[Index]]-B390)/B390</f>
        <v/>
      </c>
    </row>
    <row r="403">
      <c r="A403" s="17" t="n">
        <v>38353</v>
      </c>
      <c r="B403" s="58">
        <f>VLOOKUP(Table110[[#This Row],[Date]],database!A:H,3,)</f>
        <v/>
      </c>
      <c r="C403" s="66">
        <f>B403/B402-1</f>
        <v/>
      </c>
      <c r="D403" s="66">
        <f>(Table110[[#This Row],[Index]]-B391)/B391</f>
        <v/>
      </c>
    </row>
    <row r="404">
      <c r="A404" s="17" t="n">
        <v>38384</v>
      </c>
      <c r="B404" s="58">
        <f>VLOOKUP(Table110[[#This Row],[Date]],database!A:H,3,)</f>
        <v/>
      </c>
      <c r="C404" s="66">
        <f>B404/B403-1</f>
        <v/>
      </c>
      <c r="D404" s="66">
        <f>(Table110[[#This Row],[Index]]-B392)/B392</f>
        <v/>
      </c>
    </row>
    <row r="405">
      <c r="A405" s="17" t="n">
        <v>38412</v>
      </c>
      <c r="B405" s="58">
        <f>VLOOKUP(Table110[[#This Row],[Date]],database!A:H,3,)</f>
        <v/>
      </c>
      <c r="C405" s="66">
        <f>B405/B404-1</f>
        <v/>
      </c>
      <c r="D405" s="66">
        <f>(Table110[[#This Row],[Index]]-B393)/B393</f>
        <v/>
      </c>
    </row>
    <row r="406">
      <c r="A406" s="17" t="n">
        <v>38443</v>
      </c>
      <c r="B406" s="58">
        <f>VLOOKUP(Table110[[#This Row],[Date]],database!A:H,3,)</f>
        <v/>
      </c>
      <c r="C406" s="66">
        <f>B406/B405-1</f>
        <v/>
      </c>
      <c r="D406" s="66">
        <f>(Table110[[#This Row],[Index]]-B394)/B394</f>
        <v/>
      </c>
    </row>
    <row r="407">
      <c r="A407" s="17" t="n">
        <v>38473</v>
      </c>
      <c r="B407" s="58">
        <f>VLOOKUP(Table110[[#This Row],[Date]],database!A:H,3,)</f>
        <v/>
      </c>
      <c r="C407" s="66">
        <f>B407/B406-1</f>
        <v/>
      </c>
      <c r="D407" s="66">
        <f>(Table110[[#This Row],[Index]]-B395)/B395</f>
        <v/>
      </c>
    </row>
    <row r="408">
      <c r="A408" s="17" t="n">
        <v>38504</v>
      </c>
      <c r="B408" s="58">
        <f>VLOOKUP(Table110[[#This Row],[Date]],database!A:H,3,)</f>
        <v/>
      </c>
      <c r="C408" s="66">
        <f>B408/B407-1</f>
        <v/>
      </c>
      <c r="D408" s="66">
        <f>(Table110[[#This Row],[Index]]-B396)/B396</f>
        <v/>
      </c>
    </row>
    <row r="409">
      <c r="A409" s="17" t="n">
        <v>38534</v>
      </c>
      <c r="B409" s="58">
        <f>VLOOKUP(Table110[[#This Row],[Date]],database!A:H,3,)</f>
        <v/>
      </c>
      <c r="C409" s="66">
        <f>B409/B408-1</f>
        <v/>
      </c>
      <c r="D409" s="66">
        <f>(Table110[[#This Row],[Index]]-B397)/B397</f>
        <v/>
      </c>
    </row>
    <row r="410">
      <c r="A410" s="17" t="n">
        <v>38565</v>
      </c>
      <c r="B410" s="58">
        <f>VLOOKUP(Table110[[#This Row],[Date]],database!A:H,3,)</f>
        <v/>
      </c>
      <c r="C410" s="66">
        <f>B410/B409-1</f>
        <v/>
      </c>
      <c r="D410" s="66">
        <f>(Table110[[#This Row],[Index]]-B398)/B398</f>
        <v/>
      </c>
    </row>
    <row r="411">
      <c r="A411" s="17" t="n">
        <v>38596</v>
      </c>
      <c r="B411" s="58">
        <f>VLOOKUP(Table110[[#This Row],[Date]],database!A:H,3,)</f>
        <v/>
      </c>
      <c r="C411" s="66">
        <f>B411/B410-1</f>
        <v/>
      </c>
      <c r="D411" s="66">
        <f>(Table110[[#This Row],[Index]]-B399)/B399</f>
        <v/>
      </c>
    </row>
    <row r="412">
      <c r="A412" s="17" t="n">
        <v>38626</v>
      </c>
      <c r="B412" s="58">
        <f>VLOOKUP(Table110[[#This Row],[Date]],database!A:H,3,)</f>
        <v/>
      </c>
      <c r="C412" s="66">
        <f>B412/B411-1</f>
        <v/>
      </c>
      <c r="D412" s="66">
        <f>(Table110[[#This Row],[Index]]-B400)/B400</f>
        <v/>
      </c>
    </row>
    <row r="413">
      <c r="A413" s="17" t="n">
        <v>38657</v>
      </c>
      <c r="B413" s="58">
        <f>VLOOKUP(Table110[[#This Row],[Date]],database!A:H,3,)</f>
        <v/>
      </c>
      <c r="C413" s="66">
        <f>B413/B412-1</f>
        <v/>
      </c>
      <c r="D413" s="66">
        <f>(Table110[[#This Row],[Index]]-B401)/B401</f>
        <v/>
      </c>
    </row>
    <row r="414">
      <c r="A414" s="17" t="n">
        <v>38687</v>
      </c>
      <c r="B414" s="58">
        <f>VLOOKUP(Table110[[#This Row],[Date]],database!A:H,3,)</f>
        <v/>
      </c>
      <c r="C414" s="66">
        <f>B414/B413-1</f>
        <v/>
      </c>
      <c r="D414" s="66">
        <f>(Table110[[#This Row],[Index]]-B402)/B402</f>
        <v/>
      </c>
    </row>
    <row r="415">
      <c r="A415" s="17" t="n">
        <v>38718</v>
      </c>
      <c r="B415" s="58">
        <f>VLOOKUP(Table110[[#This Row],[Date]],database!A:H,3,)</f>
        <v/>
      </c>
      <c r="C415" s="66">
        <f>B415/B414-1</f>
        <v/>
      </c>
      <c r="D415" s="66">
        <f>(Table110[[#This Row],[Index]]-B403)/B403</f>
        <v/>
      </c>
    </row>
    <row r="416">
      <c r="A416" s="17" t="n">
        <v>38749</v>
      </c>
      <c r="B416" s="58">
        <f>VLOOKUP(Table110[[#This Row],[Date]],database!A:H,3,)</f>
        <v/>
      </c>
      <c r="C416" s="66">
        <f>B416/B415-1</f>
        <v/>
      </c>
      <c r="D416" s="66">
        <f>(Table110[[#This Row],[Index]]-B404)/B404</f>
        <v/>
      </c>
    </row>
    <row r="417">
      <c r="A417" s="17" t="n">
        <v>38777</v>
      </c>
      <c r="B417" s="58">
        <f>VLOOKUP(Table110[[#This Row],[Date]],database!A:H,3,)</f>
        <v/>
      </c>
      <c r="C417" s="66">
        <f>B417/B416-1</f>
        <v/>
      </c>
      <c r="D417" s="66">
        <f>(Table110[[#This Row],[Index]]-B405)/B405</f>
        <v/>
      </c>
    </row>
    <row r="418">
      <c r="A418" s="17" t="n">
        <v>38808</v>
      </c>
      <c r="B418" s="58">
        <f>VLOOKUP(Table110[[#This Row],[Date]],database!A:H,3,)</f>
        <v/>
      </c>
      <c r="C418" s="66">
        <f>B418/B417-1</f>
        <v/>
      </c>
      <c r="D418" s="66">
        <f>(Table110[[#This Row],[Index]]-B406)/B406</f>
        <v/>
      </c>
    </row>
    <row r="419">
      <c r="A419" s="17" t="n">
        <v>38838</v>
      </c>
      <c r="B419" s="58">
        <f>VLOOKUP(Table110[[#This Row],[Date]],database!A:H,3,)</f>
        <v/>
      </c>
      <c r="C419" s="66">
        <f>B419/B418-1</f>
        <v/>
      </c>
      <c r="D419" s="66">
        <f>(Table110[[#This Row],[Index]]-B407)/B407</f>
        <v/>
      </c>
    </row>
    <row r="420">
      <c r="A420" s="17" t="n">
        <v>38869</v>
      </c>
      <c r="B420" s="58">
        <f>VLOOKUP(Table110[[#This Row],[Date]],database!A:H,3,)</f>
        <v/>
      </c>
      <c r="C420" s="66">
        <f>B420/B419-1</f>
        <v/>
      </c>
      <c r="D420" s="66">
        <f>(Table110[[#This Row],[Index]]-B408)/B408</f>
        <v/>
      </c>
    </row>
    <row r="421">
      <c r="A421" s="17" t="n">
        <v>38899</v>
      </c>
      <c r="B421" s="58">
        <f>VLOOKUP(Table110[[#This Row],[Date]],database!A:H,3,)</f>
        <v/>
      </c>
      <c r="C421" s="66">
        <f>B421/B420-1</f>
        <v/>
      </c>
      <c r="D421" s="66">
        <f>(Table110[[#This Row],[Index]]-B409)/B409</f>
        <v/>
      </c>
    </row>
    <row r="422">
      <c r="A422" s="17" t="n">
        <v>38930</v>
      </c>
      <c r="B422" s="58">
        <f>VLOOKUP(Table110[[#This Row],[Date]],database!A:H,3,)</f>
        <v/>
      </c>
      <c r="C422" s="66">
        <f>B422/B421-1</f>
        <v/>
      </c>
      <c r="D422" s="66">
        <f>(Table110[[#This Row],[Index]]-B410)/B410</f>
        <v/>
      </c>
    </row>
    <row r="423">
      <c r="A423" s="17" t="n">
        <v>38961</v>
      </c>
      <c r="B423" s="58">
        <f>VLOOKUP(Table110[[#This Row],[Date]],database!A:H,3,)</f>
        <v/>
      </c>
      <c r="C423" s="66">
        <f>B423/B422-1</f>
        <v/>
      </c>
      <c r="D423" s="66">
        <f>(Table110[[#This Row],[Index]]-B411)/B411</f>
        <v/>
      </c>
    </row>
    <row r="424">
      <c r="A424" s="17" t="n">
        <v>38991</v>
      </c>
      <c r="B424" s="58">
        <f>VLOOKUP(Table110[[#This Row],[Date]],database!A:H,3,)</f>
        <v/>
      </c>
      <c r="C424" s="66">
        <f>B424/B423-1</f>
        <v/>
      </c>
      <c r="D424" s="66">
        <f>(Table110[[#This Row],[Index]]-B412)/B412</f>
        <v/>
      </c>
    </row>
    <row r="425">
      <c r="A425" s="17" t="n">
        <v>39022</v>
      </c>
      <c r="B425" s="58">
        <f>VLOOKUP(Table110[[#This Row],[Date]],database!A:H,3,)</f>
        <v/>
      </c>
      <c r="C425" s="66">
        <f>B425/B424-1</f>
        <v/>
      </c>
      <c r="D425" s="66">
        <f>(Table110[[#This Row],[Index]]-B413)/B413</f>
        <v/>
      </c>
    </row>
    <row r="426">
      <c r="A426" s="17" t="n">
        <v>39052</v>
      </c>
      <c r="B426" s="58">
        <f>VLOOKUP(Table110[[#This Row],[Date]],database!A:H,3,)</f>
        <v/>
      </c>
      <c r="C426" s="66">
        <f>B426/B425-1</f>
        <v/>
      </c>
      <c r="D426" s="66">
        <f>(Table110[[#This Row],[Index]]-B414)/B414</f>
        <v/>
      </c>
    </row>
    <row r="427">
      <c r="A427" s="17" t="n">
        <v>39083</v>
      </c>
      <c r="B427" s="58">
        <f>VLOOKUP(Table110[[#This Row],[Date]],database!A:H,3,)</f>
        <v/>
      </c>
      <c r="C427" s="66">
        <f>B427/B426-1</f>
        <v/>
      </c>
      <c r="D427" s="66">
        <f>(Table110[[#This Row],[Index]]-B415)/B415</f>
        <v/>
      </c>
    </row>
    <row r="428">
      <c r="A428" s="17" t="n">
        <v>39114</v>
      </c>
      <c r="B428" s="58">
        <f>VLOOKUP(Table110[[#This Row],[Date]],database!A:H,3,)</f>
        <v/>
      </c>
      <c r="C428" s="66">
        <f>B428/B427-1</f>
        <v/>
      </c>
      <c r="D428" s="66">
        <f>(Table110[[#This Row],[Index]]-B416)/B416</f>
        <v/>
      </c>
    </row>
    <row r="429">
      <c r="A429" s="17" t="n">
        <v>39142</v>
      </c>
      <c r="B429" s="58">
        <f>VLOOKUP(Table110[[#This Row],[Date]],database!A:H,3,)</f>
        <v/>
      </c>
      <c r="C429" s="66">
        <f>B429/B428-1</f>
        <v/>
      </c>
      <c r="D429" s="66">
        <f>(Table110[[#This Row],[Index]]-B417)/B417</f>
        <v/>
      </c>
    </row>
    <row r="430">
      <c r="A430" s="17" t="n">
        <v>39173</v>
      </c>
      <c r="B430" s="58">
        <f>VLOOKUP(Table110[[#This Row],[Date]],database!A:H,3,)</f>
        <v/>
      </c>
      <c r="C430" s="66">
        <f>B430/B429-1</f>
        <v/>
      </c>
      <c r="D430" s="66">
        <f>(Table110[[#This Row],[Index]]-B418)/B418</f>
        <v/>
      </c>
    </row>
    <row r="431">
      <c r="A431" s="17" t="n">
        <v>39203</v>
      </c>
      <c r="B431" s="58">
        <f>VLOOKUP(Table110[[#This Row],[Date]],database!A:H,3,)</f>
        <v/>
      </c>
      <c r="C431" s="66">
        <f>B431/B430-1</f>
        <v/>
      </c>
      <c r="D431" s="66">
        <f>(Table110[[#This Row],[Index]]-B419)/B419</f>
        <v/>
      </c>
    </row>
    <row r="432">
      <c r="A432" s="17" t="n">
        <v>39234</v>
      </c>
      <c r="B432" s="58">
        <f>VLOOKUP(Table110[[#This Row],[Date]],database!A:H,3,)</f>
        <v/>
      </c>
      <c r="C432" s="66">
        <f>B432/B431-1</f>
        <v/>
      </c>
      <c r="D432" s="66">
        <f>(Table110[[#This Row],[Index]]-B420)/B420</f>
        <v/>
      </c>
    </row>
    <row r="433">
      <c r="A433" s="17" t="n">
        <v>39264</v>
      </c>
      <c r="B433" s="58">
        <f>VLOOKUP(Table110[[#This Row],[Date]],database!A:H,3,)</f>
        <v/>
      </c>
      <c r="C433" s="66">
        <f>B433/B432-1</f>
        <v/>
      </c>
      <c r="D433" s="66">
        <f>(Table110[[#This Row],[Index]]-B421)/B421</f>
        <v/>
      </c>
    </row>
    <row r="434">
      <c r="A434" s="17" t="n">
        <v>39295</v>
      </c>
      <c r="B434" s="58">
        <f>VLOOKUP(Table110[[#This Row],[Date]],database!A:H,3,)</f>
        <v/>
      </c>
      <c r="C434" s="66">
        <f>B434/B433-1</f>
        <v/>
      </c>
      <c r="D434" s="66">
        <f>(Table110[[#This Row],[Index]]-B422)/B422</f>
        <v/>
      </c>
    </row>
    <row r="435">
      <c r="A435" s="17" t="n">
        <v>39326</v>
      </c>
      <c r="B435" s="58">
        <f>VLOOKUP(Table110[[#This Row],[Date]],database!A:H,3,)</f>
        <v/>
      </c>
      <c r="C435" s="66">
        <f>B435/B434-1</f>
        <v/>
      </c>
      <c r="D435" s="66">
        <f>(Table110[[#This Row],[Index]]-B423)/B423</f>
        <v/>
      </c>
    </row>
    <row r="436">
      <c r="A436" s="17" t="n">
        <v>39356</v>
      </c>
      <c r="B436" s="58">
        <f>VLOOKUP(Table110[[#This Row],[Date]],database!A:H,3,)</f>
        <v/>
      </c>
      <c r="C436" s="66">
        <f>B436/B435-1</f>
        <v/>
      </c>
      <c r="D436" s="66">
        <f>(Table110[[#This Row],[Index]]-B424)/B424</f>
        <v/>
      </c>
    </row>
    <row r="437">
      <c r="A437" s="17" t="n">
        <v>39387</v>
      </c>
      <c r="B437" s="58">
        <f>VLOOKUP(Table110[[#This Row],[Date]],database!A:H,3,)</f>
        <v/>
      </c>
      <c r="C437" s="66">
        <f>B437/B436-1</f>
        <v/>
      </c>
      <c r="D437" s="66">
        <f>(Table110[[#This Row],[Index]]-B425)/B425</f>
        <v/>
      </c>
    </row>
    <row r="438">
      <c r="A438" s="17" t="n">
        <v>39417</v>
      </c>
      <c r="B438" s="58">
        <f>VLOOKUP(Table110[[#This Row],[Date]],database!A:H,3,)</f>
        <v/>
      </c>
      <c r="C438" s="66">
        <f>B438/B437-1</f>
        <v/>
      </c>
      <c r="D438" s="66">
        <f>(Table110[[#This Row],[Index]]-B426)/B426</f>
        <v/>
      </c>
    </row>
    <row r="439">
      <c r="A439" s="17" t="n">
        <v>39448</v>
      </c>
      <c r="B439" s="58">
        <f>VLOOKUP(Table110[[#This Row],[Date]],database!A:H,3,)</f>
        <v/>
      </c>
      <c r="C439" s="66">
        <f>B439/B438-1</f>
        <v/>
      </c>
      <c r="D439" s="66">
        <f>(Table110[[#This Row],[Index]]-B427)/B427</f>
        <v/>
      </c>
    </row>
    <row r="440">
      <c r="A440" s="17" t="n">
        <v>39479</v>
      </c>
      <c r="B440" s="58">
        <f>VLOOKUP(Table110[[#This Row],[Date]],database!A:H,3,)</f>
        <v/>
      </c>
      <c r="C440" s="66">
        <f>B440/B439-1</f>
        <v/>
      </c>
      <c r="D440" s="66">
        <f>(Table110[[#This Row],[Index]]-B428)/B428</f>
        <v/>
      </c>
    </row>
    <row r="441">
      <c r="A441" s="17" t="n">
        <v>39508</v>
      </c>
      <c r="B441" s="58">
        <f>VLOOKUP(Table110[[#This Row],[Date]],database!A:H,3,)</f>
        <v/>
      </c>
      <c r="C441" s="66">
        <f>B441/B440-1</f>
        <v/>
      </c>
      <c r="D441" s="66">
        <f>(Table110[[#This Row],[Index]]-B429)/B429</f>
        <v/>
      </c>
    </row>
    <row r="442">
      <c r="A442" s="17" t="n">
        <v>39539</v>
      </c>
      <c r="B442" s="58">
        <f>VLOOKUP(Table110[[#This Row],[Date]],database!A:H,3,)</f>
        <v/>
      </c>
      <c r="C442" s="66">
        <f>B442/B441-1</f>
        <v/>
      </c>
      <c r="D442" s="66">
        <f>(Table110[[#This Row],[Index]]-B430)/B430</f>
        <v/>
      </c>
    </row>
    <row r="443">
      <c r="A443" s="17" t="n">
        <v>39569</v>
      </c>
      <c r="B443" s="58">
        <f>VLOOKUP(Table110[[#This Row],[Date]],database!A:H,3,)</f>
        <v/>
      </c>
      <c r="C443" s="66">
        <f>B443/B442-1</f>
        <v/>
      </c>
      <c r="D443" s="66">
        <f>(Table110[[#This Row],[Index]]-B431)/B431</f>
        <v/>
      </c>
    </row>
    <row r="444">
      <c r="A444" s="17" t="n">
        <v>39600</v>
      </c>
      <c r="B444" s="58">
        <f>VLOOKUP(Table110[[#This Row],[Date]],database!A:H,3,)</f>
        <v/>
      </c>
      <c r="C444" s="66">
        <f>B444/B443-1</f>
        <v/>
      </c>
      <c r="D444" s="66">
        <f>(Table110[[#This Row],[Index]]-B432)/B432</f>
        <v/>
      </c>
    </row>
    <row r="445">
      <c r="A445" s="17" t="n">
        <v>39630</v>
      </c>
      <c r="B445" s="58">
        <f>VLOOKUP(Table110[[#This Row],[Date]],database!A:H,3,)</f>
        <v/>
      </c>
      <c r="C445" s="66">
        <f>B445/B444-1</f>
        <v/>
      </c>
      <c r="D445" s="66">
        <f>(Table110[[#This Row],[Index]]-B433)/B433</f>
        <v/>
      </c>
    </row>
    <row r="446">
      <c r="A446" s="17" t="n">
        <v>39661</v>
      </c>
      <c r="B446" s="58">
        <f>VLOOKUP(Table110[[#This Row],[Date]],database!A:H,3,)</f>
        <v/>
      </c>
      <c r="C446" s="66">
        <f>B446/B445-1</f>
        <v/>
      </c>
      <c r="D446" s="66">
        <f>(Table110[[#This Row],[Index]]-B434)/B434</f>
        <v/>
      </c>
    </row>
    <row r="447">
      <c r="A447" s="17" t="n">
        <v>39692</v>
      </c>
      <c r="B447" s="58">
        <f>VLOOKUP(Table110[[#This Row],[Date]],database!A:H,3,)</f>
        <v/>
      </c>
      <c r="C447" s="66">
        <f>B447/B446-1</f>
        <v/>
      </c>
      <c r="D447" s="66">
        <f>(Table110[[#This Row],[Index]]-B435)/B435</f>
        <v/>
      </c>
    </row>
    <row r="448">
      <c r="A448" s="17" t="n">
        <v>39722</v>
      </c>
      <c r="B448" s="58">
        <f>VLOOKUP(Table110[[#This Row],[Date]],database!A:H,3,)</f>
        <v/>
      </c>
      <c r="C448" s="66">
        <f>B448/B447-1</f>
        <v/>
      </c>
      <c r="D448" s="66">
        <f>(Table110[[#This Row],[Index]]-B436)/B436</f>
        <v/>
      </c>
    </row>
    <row r="449">
      <c r="A449" s="17" t="n">
        <v>39753</v>
      </c>
      <c r="B449" s="58">
        <f>VLOOKUP(Table110[[#This Row],[Date]],database!A:H,3,)</f>
        <v/>
      </c>
      <c r="C449" s="66">
        <f>B449/B448-1</f>
        <v/>
      </c>
      <c r="D449" s="66">
        <f>(Table110[[#This Row],[Index]]-B437)/B437</f>
        <v/>
      </c>
    </row>
    <row r="450">
      <c r="A450" s="17" t="n">
        <v>39783</v>
      </c>
      <c r="B450" s="58">
        <f>VLOOKUP(Table110[[#This Row],[Date]],database!A:H,3,)</f>
        <v/>
      </c>
      <c r="C450" s="66">
        <f>B450/B449-1</f>
        <v/>
      </c>
      <c r="D450" s="66">
        <f>(Table110[[#This Row],[Index]]-B438)/B438</f>
        <v/>
      </c>
    </row>
    <row r="451">
      <c r="A451" s="17" t="n">
        <v>39814</v>
      </c>
      <c r="B451" s="58">
        <f>VLOOKUP(Table110[[#This Row],[Date]],database!A:H,3,)</f>
        <v/>
      </c>
      <c r="C451" s="66">
        <f>B451/B450-1</f>
        <v/>
      </c>
      <c r="D451" s="66">
        <f>(Table110[[#This Row],[Index]]-B439)/B439</f>
        <v/>
      </c>
    </row>
    <row r="452">
      <c r="A452" s="17" t="n">
        <v>39845</v>
      </c>
      <c r="B452" s="58">
        <f>VLOOKUP(Table110[[#This Row],[Date]],database!A:H,3,)</f>
        <v/>
      </c>
      <c r="C452" s="66">
        <f>B452/B451-1</f>
        <v/>
      </c>
      <c r="D452" s="66">
        <f>(Table110[[#This Row],[Index]]-B440)/B440</f>
        <v/>
      </c>
    </row>
    <row r="453">
      <c r="A453" s="17" t="n">
        <v>39873</v>
      </c>
      <c r="B453" s="58">
        <f>VLOOKUP(Table110[[#This Row],[Date]],database!A:H,3,)</f>
        <v/>
      </c>
      <c r="C453" s="66">
        <f>B453/B452-1</f>
        <v/>
      </c>
      <c r="D453" s="66">
        <f>(Table110[[#This Row],[Index]]-B441)/B441</f>
        <v/>
      </c>
    </row>
    <row r="454">
      <c r="A454" s="17" t="n">
        <v>39904</v>
      </c>
      <c r="B454" s="58">
        <f>VLOOKUP(Table110[[#This Row],[Date]],database!A:H,3,)</f>
        <v/>
      </c>
      <c r="C454" s="66">
        <f>B454/B453-1</f>
        <v/>
      </c>
      <c r="D454" s="66">
        <f>(Table110[[#This Row],[Index]]-B442)/B442</f>
        <v/>
      </c>
    </row>
    <row r="455">
      <c r="A455" s="17" t="n">
        <v>39934</v>
      </c>
      <c r="B455" s="58">
        <f>VLOOKUP(Table110[[#This Row],[Date]],database!A:H,3,)</f>
        <v/>
      </c>
      <c r="C455" s="66">
        <f>B455/B454-1</f>
        <v/>
      </c>
      <c r="D455" s="66">
        <f>(Table110[[#This Row],[Index]]-B443)/B443</f>
        <v/>
      </c>
    </row>
    <row r="456">
      <c r="A456" s="17" t="n">
        <v>39965</v>
      </c>
      <c r="B456" s="58">
        <f>VLOOKUP(Table110[[#This Row],[Date]],database!A:H,3,)</f>
        <v/>
      </c>
      <c r="C456" s="66">
        <f>B456/B455-1</f>
        <v/>
      </c>
      <c r="D456" s="66">
        <f>(Table110[[#This Row],[Index]]-B444)/B444</f>
        <v/>
      </c>
    </row>
    <row r="457">
      <c r="A457" s="17" t="n">
        <v>39995</v>
      </c>
      <c r="B457" s="58">
        <f>VLOOKUP(Table110[[#This Row],[Date]],database!A:H,3,)</f>
        <v/>
      </c>
      <c r="C457" s="66">
        <f>B457/B456-1</f>
        <v/>
      </c>
      <c r="D457" s="66">
        <f>(Table110[[#This Row],[Index]]-B445)/B445</f>
        <v/>
      </c>
    </row>
    <row r="458">
      <c r="A458" s="17" t="n">
        <v>40026</v>
      </c>
      <c r="B458" s="58">
        <f>VLOOKUP(Table110[[#This Row],[Date]],database!A:H,3,)</f>
        <v/>
      </c>
      <c r="C458" s="66">
        <f>B458/B457-1</f>
        <v/>
      </c>
      <c r="D458" s="66">
        <f>(Table110[[#This Row],[Index]]-B446)/B446</f>
        <v/>
      </c>
    </row>
    <row r="459">
      <c r="A459" s="17" t="n">
        <v>40057</v>
      </c>
      <c r="B459" s="58">
        <f>VLOOKUP(Table110[[#This Row],[Date]],database!A:H,3,)</f>
        <v/>
      </c>
      <c r="C459" s="66">
        <f>B459/B458-1</f>
        <v/>
      </c>
      <c r="D459" s="66">
        <f>(Table110[[#This Row],[Index]]-B447)/B447</f>
        <v/>
      </c>
    </row>
    <row r="460">
      <c r="A460" s="17" t="n">
        <v>40087</v>
      </c>
      <c r="B460" s="58">
        <f>VLOOKUP(Table110[[#This Row],[Date]],database!A:H,3,)</f>
        <v/>
      </c>
      <c r="C460" s="66">
        <f>B460/B459-1</f>
        <v/>
      </c>
      <c r="D460" s="66">
        <f>(Table110[[#This Row],[Index]]-B448)/B448</f>
        <v/>
      </c>
    </row>
    <row r="461">
      <c r="A461" s="17" t="n">
        <v>40118</v>
      </c>
      <c r="B461" s="58">
        <f>VLOOKUP(Table110[[#This Row],[Date]],database!A:H,3,)</f>
        <v/>
      </c>
      <c r="C461" s="66">
        <f>B461/B460-1</f>
        <v/>
      </c>
      <c r="D461" s="66">
        <f>(Table110[[#This Row],[Index]]-B449)/B449</f>
        <v/>
      </c>
    </row>
    <row r="462">
      <c r="A462" s="17" t="n">
        <v>40148</v>
      </c>
      <c r="B462" s="58">
        <f>VLOOKUP(Table110[[#This Row],[Date]],database!A:H,3,)</f>
        <v/>
      </c>
      <c r="C462" s="66">
        <f>B462/B461-1</f>
        <v/>
      </c>
      <c r="D462" s="66">
        <f>(Table110[[#This Row],[Index]]-B450)/B450</f>
        <v/>
      </c>
    </row>
    <row r="463">
      <c r="A463" s="17" t="n">
        <v>40179</v>
      </c>
      <c r="B463" s="58">
        <f>VLOOKUP(Table110[[#This Row],[Date]],database!A:H,3,)</f>
        <v/>
      </c>
      <c r="C463" s="66">
        <f>B463/B462-1</f>
        <v/>
      </c>
      <c r="D463" s="66">
        <f>(Table110[[#This Row],[Index]]-B451)/B451</f>
        <v/>
      </c>
    </row>
    <row r="464">
      <c r="A464" s="17" t="n">
        <v>40210</v>
      </c>
      <c r="B464" s="58">
        <f>VLOOKUP(Table110[[#This Row],[Date]],database!A:H,3,)</f>
        <v/>
      </c>
      <c r="C464" s="66">
        <f>B464/B463-1</f>
        <v/>
      </c>
      <c r="D464" s="66">
        <f>(Table110[[#This Row],[Index]]-B452)/B452</f>
        <v/>
      </c>
    </row>
    <row r="465">
      <c r="A465" s="17" t="n">
        <v>40238</v>
      </c>
      <c r="B465" s="58">
        <f>VLOOKUP(Table110[[#This Row],[Date]],database!A:H,3,)</f>
        <v/>
      </c>
      <c r="C465" s="66">
        <f>B465/B464-1</f>
        <v/>
      </c>
      <c r="D465" s="66">
        <f>(Table110[[#This Row],[Index]]-B453)/B453</f>
        <v/>
      </c>
    </row>
    <row r="466">
      <c r="A466" s="17" t="n">
        <v>40269</v>
      </c>
      <c r="B466" s="58">
        <f>VLOOKUP(Table110[[#This Row],[Date]],database!A:H,3,)</f>
        <v/>
      </c>
      <c r="C466" s="66">
        <f>B466/B465-1</f>
        <v/>
      </c>
      <c r="D466" s="66">
        <f>(Table110[[#This Row],[Index]]-B454)/B454</f>
        <v/>
      </c>
    </row>
    <row r="467">
      <c r="A467" s="17" t="n">
        <v>40299</v>
      </c>
      <c r="B467" s="58">
        <f>VLOOKUP(Table110[[#This Row],[Date]],database!A:H,3,)</f>
        <v/>
      </c>
      <c r="C467" s="66">
        <f>B467/B466-1</f>
        <v/>
      </c>
      <c r="D467" s="66">
        <f>(Table110[[#This Row],[Index]]-B455)/B455</f>
        <v/>
      </c>
    </row>
    <row r="468">
      <c r="A468" s="17" t="n">
        <v>40330</v>
      </c>
      <c r="B468" s="58">
        <f>VLOOKUP(Table110[[#This Row],[Date]],database!A:H,3,)</f>
        <v/>
      </c>
      <c r="C468" s="66">
        <f>B468/B467-1</f>
        <v/>
      </c>
      <c r="D468" s="66">
        <f>(Table110[[#This Row],[Index]]-B456)/B456</f>
        <v/>
      </c>
    </row>
    <row r="469">
      <c r="A469" s="17" t="n">
        <v>40360</v>
      </c>
      <c r="B469" s="58">
        <f>VLOOKUP(Table110[[#This Row],[Date]],database!A:H,3,)</f>
        <v/>
      </c>
      <c r="C469" s="66">
        <f>B469/B468-1</f>
        <v/>
      </c>
      <c r="D469" s="66">
        <f>(Table110[[#This Row],[Index]]-B457)/B457</f>
        <v/>
      </c>
    </row>
    <row r="470">
      <c r="A470" s="17" t="n">
        <v>40391</v>
      </c>
      <c r="B470" s="58">
        <f>VLOOKUP(Table110[[#This Row],[Date]],database!A:H,3,)</f>
        <v/>
      </c>
      <c r="C470" s="66">
        <f>B470/B469-1</f>
        <v/>
      </c>
      <c r="D470" s="66">
        <f>(Table110[[#This Row],[Index]]-B458)/B458</f>
        <v/>
      </c>
    </row>
    <row r="471">
      <c r="A471" s="17" t="n">
        <v>40422</v>
      </c>
      <c r="B471" s="58">
        <f>VLOOKUP(Table110[[#This Row],[Date]],database!A:H,3,)</f>
        <v/>
      </c>
      <c r="C471" s="66">
        <f>B471/B470-1</f>
        <v/>
      </c>
      <c r="D471" s="66">
        <f>(Table110[[#This Row],[Index]]-B459)/B459</f>
        <v/>
      </c>
    </row>
    <row r="472">
      <c r="A472" s="17" t="n">
        <v>40452</v>
      </c>
      <c r="B472" s="58">
        <f>VLOOKUP(Table110[[#This Row],[Date]],database!A:H,3,)</f>
        <v/>
      </c>
      <c r="C472" s="66">
        <f>B472/B471-1</f>
        <v/>
      </c>
      <c r="D472" s="66">
        <f>(Table110[[#This Row],[Index]]-B460)/B460</f>
        <v/>
      </c>
    </row>
    <row r="473">
      <c r="A473" s="17" t="n">
        <v>40483</v>
      </c>
      <c r="B473" s="58">
        <f>VLOOKUP(Table110[[#This Row],[Date]],database!A:H,3,)</f>
        <v/>
      </c>
      <c r="C473" s="66">
        <f>B473/B472-1</f>
        <v/>
      </c>
      <c r="D473" s="66">
        <f>(Table110[[#This Row],[Index]]-B461)/B461</f>
        <v/>
      </c>
    </row>
    <row r="474">
      <c r="A474" s="17" t="n">
        <v>40513</v>
      </c>
      <c r="B474" s="58">
        <f>VLOOKUP(Table110[[#This Row],[Date]],database!A:H,3,)</f>
        <v/>
      </c>
      <c r="C474" s="66">
        <f>B474/B473-1</f>
        <v/>
      </c>
      <c r="D474" s="66">
        <f>(Table110[[#This Row],[Index]]-B462)/B462</f>
        <v/>
      </c>
    </row>
    <row r="475">
      <c r="A475" s="17" t="n">
        <v>40544</v>
      </c>
      <c r="B475" s="58">
        <f>VLOOKUP(Table110[[#This Row],[Date]],database!A:H,3,)</f>
        <v/>
      </c>
      <c r="C475" s="66">
        <f>B475/B474-1</f>
        <v/>
      </c>
      <c r="D475" s="66">
        <f>(Table110[[#This Row],[Index]]-B463)/B463</f>
        <v/>
      </c>
    </row>
    <row r="476">
      <c r="A476" s="17" t="n">
        <v>40575</v>
      </c>
      <c r="B476" s="58">
        <f>VLOOKUP(Table110[[#This Row],[Date]],database!A:H,3,)</f>
        <v/>
      </c>
      <c r="C476" s="66">
        <f>B476/B475-1</f>
        <v/>
      </c>
      <c r="D476" s="66">
        <f>(Table110[[#This Row],[Index]]-B464)/B464</f>
        <v/>
      </c>
    </row>
    <row r="477">
      <c r="A477" s="17" t="n">
        <v>40603</v>
      </c>
      <c r="B477" s="58">
        <f>VLOOKUP(Table110[[#This Row],[Date]],database!A:H,3,)</f>
        <v/>
      </c>
      <c r="C477" s="66">
        <f>B477/B476-1</f>
        <v/>
      </c>
      <c r="D477" s="66">
        <f>(Table110[[#This Row],[Index]]-B465)/B465</f>
        <v/>
      </c>
    </row>
    <row r="478">
      <c r="A478" s="17" t="n">
        <v>40634</v>
      </c>
      <c r="B478" s="58">
        <f>VLOOKUP(Table110[[#This Row],[Date]],database!A:H,3,)</f>
        <v/>
      </c>
      <c r="C478" s="67">
        <f>B478/B477-1</f>
        <v/>
      </c>
      <c r="D478" s="66">
        <f>(Table110[[#This Row],[Index]]-B466)/B466</f>
        <v/>
      </c>
    </row>
    <row r="479">
      <c r="A479" s="17" t="n">
        <v>40664</v>
      </c>
      <c r="B479" s="58">
        <f>VLOOKUP(Table110[[#This Row],[Date]],database!A:H,3,)</f>
        <v/>
      </c>
      <c r="C479" s="66">
        <f>B479/B478-1</f>
        <v/>
      </c>
      <c r="D479" s="66">
        <f>(Table110[[#This Row],[Index]]-B467)/B467</f>
        <v/>
      </c>
    </row>
    <row r="480">
      <c r="A480" s="17" t="n">
        <v>40695</v>
      </c>
      <c r="B480" s="58">
        <f>VLOOKUP(Table110[[#This Row],[Date]],database!A:H,3,)</f>
        <v/>
      </c>
      <c r="C480" s="66">
        <f>B480/B479-1</f>
        <v/>
      </c>
      <c r="D480" s="66">
        <f>(Table110[[#This Row],[Index]]-B468)/B468</f>
        <v/>
      </c>
    </row>
    <row r="481">
      <c r="A481" s="17" t="n">
        <v>40725</v>
      </c>
      <c r="B481" s="58">
        <f>VLOOKUP(Table110[[#This Row],[Date]],database!A:H,3,)</f>
        <v/>
      </c>
      <c r="C481" s="66">
        <f>B481/B480-1</f>
        <v/>
      </c>
      <c r="D481" s="66">
        <f>(Table110[[#This Row],[Index]]-B469)/B469</f>
        <v/>
      </c>
    </row>
    <row r="482">
      <c r="A482" s="17" t="n">
        <v>40756</v>
      </c>
      <c r="B482" s="58">
        <f>VLOOKUP(Table110[[#This Row],[Date]],database!A:H,3,)</f>
        <v/>
      </c>
      <c r="C482" s="66">
        <f>B482/B481-1</f>
        <v/>
      </c>
      <c r="D482" s="66">
        <f>(Table110[[#This Row],[Index]]-B470)/B470</f>
        <v/>
      </c>
    </row>
    <row r="483">
      <c r="A483" s="17" t="n">
        <v>40787</v>
      </c>
      <c r="B483" s="58">
        <f>VLOOKUP(Table110[[#This Row],[Date]],database!A:H,3,)</f>
        <v/>
      </c>
      <c r="C483" s="66">
        <f>B483/B482-1</f>
        <v/>
      </c>
      <c r="D483" s="66">
        <f>(Table110[[#This Row],[Index]]-B471)/B471</f>
        <v/>
      </c>
    </row>
    <row r="484">
      <c r="A484" s="17" t="n">
        <v>40817</v>
      </c>
      <c r="B484" s="58">
        <f>VLOOKUP(Table110[[#This Row],[Date]],database!A:H,3,)</f>
        <v/>
      </c>
      <c r="C484" s="66">
        <f>B484/B483-1</f>
        <v/>
      </c>
      <c r="D484" s="66">
        <f>(Table110[[#This Row],[Index]]-B472)/B472</f>
        <v/>
      </c>
    </row>
    <row r="485">
      <c r="A485" s="17" t="n">
        <v>40848</v>
      </c>
      <c r="B485" s="58">
        <f>VLOOKUP(Table110[[#This Row],[Date]],database!A:H,3,)</f>
        <v/>
      </c>
      <c r="C485" s="66">
        <f>B485/B484-1</f>
        <v/>
      </c>
      <c r="D485" s="66">
        <f>(Table110[[#This Row],[Index]]-B473)/B473</f>
        <v/>
      </c>
    </row>
    <row r="486">
      <c r="A486" s="17" t="n">
        <v>40878</v>
      </c>
      <c r="B486" s="58">
        <f>VLOOKUP(Table110[[#This Row],[Date]],database!A:H,3,)</f>
        <v/>
      </c>
      <c r="C486" s="66">
        <f>B486/B485-1</f>
        <v/>
      </c>
      <c r="D486" s="66">
        <f>(Table110[[#This Row],[Index]]-B474)/B474</f>
        <v/>
      </c>
    </row>
    <row r="487">
      <c r="A487" s="17" t="n">
        <v>40909</v>
      </c>
      <c r="B487" s="58">
        <f>VLOOKUP(Table110[[#This Row],[Date]],database!A:H,3,)</f>
        <v/>
      </c>
      <c r="C487" s="66">
        <f>B487/B486-1</f>
        <v/>
      </c>
      <c r="D487" s="66">
        <f>(Table110[[#This Row],[Index]]-B475)/B475</f>
        <v/>
      </c>
    </row>
    <row r="488">
      <c r="A488" s="17" t="n">
        <v>40940</v>
      </c>
      <c r="B488" s="58">
        <f>VLOOKUP(Table110[[#This Row],[Date]],database!A:H,3,)</f>
        <v/>
      </c>
      <c r="C488" s="66">
        <f>B488/B487-1</f>
        <v/>
      </c>
      <c r="D488" s="66">
        <f>(Table110[[#This Row],[Index]]-B476)/B476</f>
        <v/>
      </c>
    </row>
    <row r="489">
      <c r="A489" s="17" t="n">
        <v>40969</v>
      </c>
      <c r="B489" s="58">
        <f>VLOOKUP(Table110[[#This Row],[Date]],database!A:H,3,)</f>
        <v/>
      </c>
      <c r="C489" s="66">
        <f>B489/B488-1</f>
        <v/>
      </c>
      <c r="D489" s="66">
        <f>(Table110[[#This Row],[Index]]-B477)/B477</f>
        <v/>
      </c>
    </row>
    <row r="490">
      <c r="A490" s="17" t="n">
        <v>41000</v>
      </c>
      <c r="B490" s="58">
        <f>VLOOKUP(Table110[[#This Row],[Date]],database!A:H,3,)</f>
        <v/>
      </c>
      <c r="C490" s="66">
        <f>B490/B489-1</f>
        <v/>
      </c>
      <c r="D490" s="66">
        <f>(Table110[[#This Row],[Index]]-B478)/B478</f>
        <v/>
      </c>
    </row>
    <row r="491">
      <c r="A491" s="17" t="n">
        <v>41030</v>
      </c>
      <c r="B491" s="58">
        <f>VLOOKUP(Table110[[#This Row],[Date]],database!A:H,3,)</f>
        <v/>
      </c>
      <c r="C491" s="66">
        <f>B491/B490-1</f>
        <v/>
      </c>
      <c r="D491" s="66">
        <f>(Table110[[#This Row],[Index]]-B479)/B479</f>
        <v/>
      </c>
    </row>
    <row r="492">
      <c r="A492" s="17" t="n">
        <v>41061</v>
      </c>
      <c r="B492" s="58">
        <f>VLOOKUP(Table110[[#This Row],[Date]],database!A:H,3,)</f>
        <v/>
      </c>
      <c r="C492" s="66">
        <f>B492/B491-1</f>
        <v/>
      </c>
      <c r="D492" s="66">
        <f>(Table110[[#This Row],[Index]]-B480)/B480</f>
        <v/>
      </c>
    </row>
    <row r="493">
      <c r="A493" s="17" t="n">
        <v>41091</v>
      </c>
      <c r="B493" s="58">
        <f>VLOOKUP(Table110[[#This Row],[Date]],database!A:H,3,)</f>
        <v/>
      </c>
      <c r="C493" s="66">
        <f>B493/B492-1</f>
        <v/>
      </c>
      <c r="D493" s="66">
        <f>(Table110[[#This Row],[Index]]-B481)/B481</f>
        <v/>
      </c>
    </row>
    <row r="494">
      <c r="A494" s="17" t="n">
        <v>41122</v>
      </c>
      <c r="B494" s="58">
        <f>VLOOKUP(Table110[[#This Row],[Date]],database!A:H,3,)</f>
        <v/>
      </c>
      <c r="C494" s="66">
        <f>B494/B493-1</f>
        <v/>
      </c>
      <c r="D494" s="66">
        <f>(Table110[[#This Row],[Index]]-B482)/B482</f>
        <v/>
      </c>
    </row>
    <row r="495">
      <c r="A495" s="17" t="n">
        <v>41153</v>
      </c>
      <c r="B495" s="58">
        <f>VLOOKUP(Table110[[#This Row],[Date]],database!A:H,3,)</f>
        <v/>
      </c>
      <c r="C495" s="66">
        <f>B495/B494-1</f>
        <v/>
      </c>
      <c r="D495" s="66">
        <f>(Table110[[#This Row],[Index]]-B483)/B483</f>
        <v/>
      </c>
    </row>
    <row r="496">
      <c r="A496" s="17" t="n">
        <v>41183</v>
      </c>
      <c r="B496" s="58">
        <f>VLOOKUP(Table110[[#This Row],[Date]],database!A:H,3,)</f>
        <v/>
      </c>
      <c r="C496" s="66">
        <f>B496/B495-1</f>
        <v/>
      </c>
      <c r="D496" s="66">
        <f>(Table110[[#This Row],[Index]]-B484)/B484</f>
        <v/>
      </c>
    </row>
    <row r="497">
      <c r="A497" s="17" t="n">
        <v>41214</v>
      </c>
      <c r="B497" s="58">
        <f>VLOOKUP(Table110[[#This Row],[Date]],database!A:H,3,)</f>
        <v/>
      </c>
      <c r="C497" s="66">
        <f>B497/B496-1</f>
        <v/>
      </c>
      <c r="D497" s="66">
        <f>(Table110[[#This Row],[Index]]-B485)/B485</f>
        <v/>
      </c>
    </row>
    <row r="498">
      <c r="A498" s="17" t="n">
        <v>41244</v>
      </c>
      <c r="B498" s="58">
        <f>VLOOKUP(Table110[[#This Row],[Date]],database!A:H,3,)</f>
        <v/>
      </c>
      <c r="C498" s="66">
        <f>B498/B497-1</f>
        <v/>
      </c>
      <c r="D498" s="66">
        <f>(Table110[[#This Row],[Index]]-B486)/B486</f>
        <v/>
      </c>
    </row>
    <row r="499">
      <c r="A499" s="17" t="n">
        <v>41275</v>
      </c>
      <c r="B499" s="58">
        <f>VLOOKUP(Table110[[#This Row],[Date]],database!A:H,3,)</f>
        <v/>
      </c>
      <c r="C499" s="66">
        <f>B499/B498-1</f>
        <v/>
      </c>
      <c r="D499" s="66">
        <f>(Table110[[#This Row],[Index]]-B487)/B487</f>
        <v/>
      </c>
    </row>
    <row r="500">
      <c r="A500" s="17" t="n">
        <v>41306</v>
      </c>
      <c r="B500" s="58">
        <f>VLOOKUP(Table110[[#This Row],[Date]],database!A:H,3,)</f>
        <v/>
      </c>
      <c r="C500" s="66">
        <f>B500/B499-1</f>
        <v/>
      </c>
      <c r="D500" s="66">
        <f>(Table110[[#This Row],[Index]]-B488)/B488</f>
        <v/>
      </c>
    </row>
    <row r="501">
      <c r="A501" s="17" t="n">
        <v>41334</v>
      </c>
      <c r="B501" s="58">
        <f>VLOOKUP(Table110[[#This Row],[Date]],database!A:H,3,)</f>
        <v/>
      </c>
      <c r="C501" s="66">
        <f>B501/B500-1</f>
        <v/>
      </c>
      <c r="D501" s="66">
        <f>(Table110[[#This Row],[Index]]-B489)/B489</f>
        <v/>
      </c>
    </row>
    <row r="502">
      <c r="A502" s="17" t="n">
        <v>41365</v>
      </c>
      <c r="B502" s="58">
        <f>VLOOKUP(Table110[[#This Row],[Date]],database!A:H,3,)</f>
        <v/>
      </c>
      <c r="C502" s="66">
        <f>B502/B501-1</f>
        <v/>
      </c>
      <c r="D502" s="66">
        <f>(Table110[[#This Row],[Index]]-B490)/B490</f>
        <v/>
      </c>
    </row>
    <row r="503">
      <c r="A503" s="17" t="n">
        <v>41395</v>
      </c>
      <c r="B503" s="58">
        <f>VLOOKUP(Table110[[#This Row],[Date]],database!A:H,3,)</f>
        <v/>
      </c>
      <c r="C503" s="66">
        <f>B503/B502-1</f>
        <v/>
      </c>
      <c r="D503" s="66">
        <f>(Table110[[#This Row],[Index]]-B491)/B491</f>
        <v/>
      </c>
    </row>
    <row r="504">
      <c r="A504" s="17" t="n">
        <v>41426</v>
      </c>
      <c r="B504" s="58">
        <f>VLOOKUP(Table110[[#This Row],[Date]],database!A:H,3,)</f>
        <v/>
      </c>
      <c r="C504" s="66">
        <f>B504/B503-1</f>
        <v/>
      </c>
      <c r="D504" s="66">
        <f>(Table110[[#This Row],[Index]]-B492)/B492</f>
        <v/>
      </c>
    </row>
    <row r="505">
      <c r="A505" s="17" t="n">
        <v>41456</v>
      </c>
      <c r="B505" s="58">
        <f>VLOOKUP(Table110[[#This Row],[Date]],database!A:H,3,)</f>
        <v/>
      </c>
      <c r="C505" s="66">
        <f>B505/B504-1</f>
        <v/>
      </c>
      <c r="D505" s="66">
        <f>(Table110[[#This Row],[Index]]-B493)/B493</f>
        <v/>
      </c>
    </row>
    <row r="506">
      <c r="A506" s="17" t="n">
        <v>41487</v>
      </c>
      <c r="B506" s="58">
        <f>VLOOKUP(Table110[[#This Row],[Date]],database!A:H,3,)</f>
        <v/>
      </c>
      <c r="C506" s="66">
        <f>B506/B505-1</f>
        <v/>
      </c>
      <c r="D506" s="66">
        <f>(Table110[[#This Row],[Index]]-B494)/B494</f>
        <v/>
      </c>
    </row>
    <row r="507">
      <c r="A507" s="17" t="n">
        <v>41518</v>
      </c>
      <c r="B507" s="58">
        <f>VLOOKUP(Table110[[#This Row],[Date]],database!A:H,3,)</f>
        <v/>
      </c>
      <c r="C507" s="66">
        <f>B507/B506-1</f>
        <v/>
      </c>
      <c r="D507" s="66">
        <f>(Table110[[#This Row],[Index]]-B495)/B495</f>
        <v/>
      </c>
    </row>
    <row r="508">
      <c r="A508" s="17" t="n">
        <v>41548</v>
      </c>
      <c r="B508" s="58">
        <f>VLOOKUP(Table110[[#This Row],[Date]],database!A:H,3,)</f>
        <v/>
      </c>
      <c r="C508" s="66">
        <f>B508/B507-1</f>
        <v/>
      </c>
      <c r="D508" s="66">
        <f>(Table110[[#This Row],[Index]]-B496)/B496</f>
        <v/>
      </c>
    </row>
    <row r="509">
      <c r="A509" s="17" t="n">
        <v>41579</v>
      </c>
      <c r="B509" s="58">
        <f>VLOOKUP(Table110[[#This Row],[Date]],database!A:H,3,)</f>
        <v/>
      </c>
      <c r="C509" s="66">
        <f>B509/B508-1</f>
        <v/>
      </c>
      <c r="D509" s="66">
        <f>(Table110[[#This Row],[Index]]-B497)/B497</f>
        <v/>
      </c>
    </row>
    <row r="510">
      <c r="A510" s="17" t="n">
        <v>41609</v>
      </c>
      <c r="B510" s="58">
        <f>VLOOKUP(Table110[[#This Row],[Date]],database!A:H,3,)</f>
        <v/>
      </c>
      <c r="C510" s="66">
        <f>B510/B509-1</f>
        <v/>
      </c>
      <c r="D510" s="66">
        <f>(Table110[[#This Row],[Index]]-B498)/B498</f>
        <v/>
      </c>
    </row>
    <row r="511">
      <c r="A511" s="17" t="n">
        <v>41640</v>
      </c>
      <c r="B511" s="58">
        <f>VLOOKUP(Table110[[#This Row],[Date]],database!A:H,3,)</f>
        <v/>
      </c>
      <c r="C511" s="66">
        <f>B511/B510-1</f>
        <v/>
      </c>
      <c r="D511" s="66">
        <f>(Table110[[#This Row],[Index]]-B499)/B499</f>
        <v/>
      </c>
    </row>
    <row r="512">
      <c r="A512" s="17" t="n">
        <v>41671</v>
      </c>
      <c r="B512" s="58">
        <f>VLOOKUP(Table110[[#This Row],[Date]],database!A:H,3,)</f>
        <v/>
      </c>
      <c r="C512" s="66">
        <f>B512/B511-1</f>
        <v/>
      </c>
      <c r="D512" s="66">
        <f>(Table110[[#This Row],[Index]]-B500)/B500</f>
        <v/>
      </c>
    </row>
    <row r="513">
      <c r="A513" s="17" t="n">
        <v>41699</v>
      </c>
      <c r="B513" s="58">
        <f>VLOOKUP(Table110[[#This Row],[Date]],database!A:H,3,)</f>
        <v/>
      </c>
      <c r="C513" s="66">
        <f>B513/B512-1</f>
        <v/>
      </c>
      <c r="D513" s="66">
        <f>(Table110[[#This Row],[Index]]-B501)/B501</f>
        <v/>
      </c>
    </row>
    <row r="514">
      <c r="A514" s="17" t="n">
        <v>41730</v>
      </c>
      <c r="B514" s="58">
        <f>VLOOKUP(Table110[[#This Row],[Date]],database!A:H,3,)</f>
        <v/>
      </c>
      <c r="C514" s="66">
        <f>B514/B513-1</f>
        <v/>
      </c>
      <c r="D514" s="66">
        <f>(Table110[[#This Row],[Index]]-B502)/B502</f>
        <v/>
      </c>
    </row>
    <row r="515">
      <c r="A515" s="17" t="n">
        <v>41760</v>
      </c>
      <c r="B515" s="58">
        <f>VLOOKUP(Table110[[#This Row],[Date]],database!A:H,3,)</f>
        <v/>
      </c>
      <c r="C515" s="66">
        <f>B515/B514-1</f>
        <v/>
      </c>
      <c r="D515" s="66">
        <f>(Table110[[#This Row],[Index]]-B503)/B503</f>
        <v/>
      </c>
    </row>
    <row r="516">
      <c r="A516" s="17" t="n">
        <v>41791</v>
      </c>
      <c r="B516" s="58">
        <f>VLOOKUP(Table110[[#This Row],[Date]],database!A:H,3,)</f>
        <v/>
      </c>
      <c r="C516" s="66">
        <f>B516/B515-1</f>
        <v/>
      </c>
      <c r="D516" s="66">
        <f>(Table110[[#This Row],[Index]]-B504)/B504</f>
        <v/>
      </c>
    </row>
    <row r="517">
      <c r="A517" s="17" t="n">
        <v>41821</v>
      </c>
      <c r="B517" s="58">
        <f>VLOOKUP(Table110[[#This Row],[Date]],database!A:H,3,)</f>
        <v/>
      </c>
      <c r="C517" s="66">
        <f>B517/B516-1</f>
        <v/>
      </c>
      <c r="D517" s="66">
        <f>(Table110[[#This Row],[Index]]-B505)/B505</f>
        <v/>
      </c>
    </row>
    <row r="518">
      <c r="A518" s="17" t="n">
        <v>41852</v>
      </c>
      <c r="B518" s="58">
        <f>VLOOKUP(Table110[[#This Row],[Date]],database!A:H,3,)</f>
        <v/>
      </c>
      <c r="C518" s="66">
        <f>B518/B517-1</f>
        <v/>
      </c>
      <c r="D518" s="66">
        <f>(Table110[[#This Row],[Index]]-B506)/B506</f>
        <v/>
      </c>
    </row>
    <row r="519">
      <c r="A519" s="17" t="n">
        <v>41883</v>
      </c>
      <c r="B519" s="58">
        <f>VLOOKUP(Table110[[#This Row],[Date]],database!A:H,3,)</f>
        <v/>
      </c>
      <c r="C519" s="66">
        <f>B519/B518-1</f>
        <v/>
      </c>
      <c r="D519" s="66">
        <f>(Table110[[#This Row],[Index]]-B507)/B507</f>
        <v/>
      </c>
    </row>
    <row r="520">
      <c r="A520" s="17" t="n">
        <v>41913</v>
      </c>
      <c r="B520" s="58">
        <f>VLOOKUP(Table110[[#This Row],[Date]],database!A:H,3,)</f>
        <v/>
      </c>
      <c r="C520" s="66">
        <f>B520/B519-1</f>
        <v/>
      </c>
      <c r="D520" s="66">
        <f>(Table110[[#This Row],[Index]]-B508)/B508</f>
        <v/>
      </c>
    </row>
    <row r="521">
      <c r="A521" s="17" t="n">
        <v>41944</v>
      </c>
      <c r="B521" s="58">
        <f>VLOOKUP(Table110[[#This Row],[Date]],database!A:H,3,)</f>
        <v/>
      </c>
      <c r="C521" s="67">
        <f>B521/B520-1</f>
        <v/>
      </c>
      <c r="D521" s="66">
        <f>(Table110[[#This Row],[Index]]-B509)/B509</f>
        <v/>
      </c>
    </row>
    <row r="522">
      <c r="A522" s="17" t="n">
        <v>41974</v>
      </c>
      <c r="B522" s="58">
        <f>VLOOKUP(Table110[[#This Row],[Date]],database!A:H,3,)</f>
        <v/>
      </c>
      <c r="C522" s="66">
        <f>B522/B521-1</f>
        <v/>
      </c>
      <c r="D522" s="66">
        <f>(Table110[[#This Row],[Index]]-B510)/B510</f>
        <v/>
      </c>
    </row>
    <row r="523">
      <c r="A523" s="17" t="n">
        <v>42005</v>
      </c>
      <c r="B523" s="58">
        <f>VLOOKUP(Table110[[#This Row],[Date]],database!A:H,3,)</f>
        <v/>
      </c>
      <c r="C523" s="67">
        <f>B523/B522-1</f>
        <v/>
      </c>
      <c r="D523" s="66">
        <f>(Table110[[#This Row],[Index]]-B511)/B511</f>
        <v/>
      </c>
    </row>
    <row r="524">
      <c r="A524" s="17" t="n">
        <v>42036</v>
      </c>
      <c r="B524" s="58">
        <f>VLOOKUP(Table110[[#This Row],[Date]],database!A:H,3,)</f>
        <v/>
      </c>
      <c r="C524" s="66">
        <f>B524/B523-1</f>
        <v/>
      </c>
      <c r="D524" s="66">
        <f>(Table110[[#This Row],[Index]]-B512)/B512</f>
        <v/>
      </c>
    </row>
    <row r="525">
      <c r="A525" s="17" t="n">
        <v>42064</v>
      </c>
      <c r="B525" s="58">
        <f>VLOOKUP(Table110[[#This Row],[Date]],database!A:H,3,)</f>
        <v/>
      </c>
      <c r="C525" s="67">
        <f>B525/B524-1</f>
        <v/>
      </c>
      <c r="D525" s="66">
        <f>(Table110[[#This Row],[Index]]-B513)/B513</f>
        <v/>
      </c>
    </row>
    <row r="526">
      <c r="A526" s="17" t="n">
        <v>42095</v>
      </c>
      <c r="B526" s="58">
        <f>VLOOKUP(Table110[[#This Row],[Date]],database!A:H,3,)</f>
        <v/>
      </c>
      <c r="C526" s="66">
        <f>B526/B525-1</f>
        <v/>
      </c>
      <c r="D526" s="66">
        <f>(Table110[[#This Row],[Index]]-B514)/B514</f>
        <v/>
      </c>
    </row>
    <row r="527">
      <c r="A527" s="17" t="n">
        <v>42125</v>
      </c>
      <c r="B527" s="58">
        <f>VLOOKUP(Table110[[#This Row],[Date]],database!A:H,3,)</f>
        <v/>
      </c>
      <c r="C527" s="66">
        <f>B527/B526-1</f>
        <v/>
      </c>
      <c r="D527" s="66">
        <f>(Table110[[#This Row],[Index]]-B515)/B515</f>
        <v/>
      </c>
    </row>
    <row r="528">
      <c r="A528" s="17" t="n">
        <v>42156</v>
      </c>
      <c r="B528" s="58">
        <f>VLOOKUP(Table110[[#This Row],[Date]],database!A:H,3,)</f>
        <v/>
      </c>
      <c r="C528" s="66">
        <f>B528/B527-1</f>
        <v/>
      </c>
      <c r="D528" s="66">
        <f>(Table110[[#This Row],[Index]]-B516)/B516</f>
        <v/>
      </c>
    </row>
    <row r="529">
      <c r="A529" s="17" t="n">
        <v>42186</v>
      </c>
      <c r="B529" s="58">
        <f>VLOOKUP(Table110[[#This Row],[Date]],database!A:H,3,)</f>
        <v/>
      </c>
      <c r="C529" s="66">
        <f>B529/B528-1</f>
        <v/>
      </c>
      <c r="D529" s="66">
        <f>(Table110[[#This Row],[Index]]-B517)/B517</f>
        <v/>
      </c>
    </row>
    <row r="530">
      <c r="A530" s="17" t="n">
        <v>42217</v>
      </c>
      <c r="B530" s="58">
        <f>VLOOKUP(Table110[[#This Row],[Date]],database!A:H,3,)</f>
        <v/>
      </c>
      <c r="C530" s="66">
        <f>B530/B529-1</f>
        <v/>
      </c>
      <c r="D530" s="66">
        <f>(Table110[[#This Row],[Index]]-B518)/B518</f>
        <v/>
      </c>
    </row>
    <row r="531">
      <c r="A531" s="17" t="n">
        <v>42248</v>
      </c>
      <c r="B531" s="58">
        <f>VLOOKUP(Table110[[#This Row],[Date]],database!A:H,3,)</f>
        <v/>
      </c>
      <c r="C531" s="66">
        <f>B531/B530-1</f>
        <v/>
      </c>
      <c r="D531" s="66">
        <f>(Table110[[#This Row],[Index]]-B519)/B519</f>
        <v/>
      </c>
    </row>
    <row r="532">
      <c r="A532" s="17" t="n">
        <v>42278</v>
      </c>
      <c r="B532" s="58">
        <f>VLOOKUP(Table110[[#This Row],[Date]],database!A:H,3,)</f>
        <v/>
      </c>
      <c r="C532" s="66">
        <f>B532/B531-1</f>
        <v/>
      </c>
      <c r="D532" s="66">
        <f>(Table110[[#This Row],[Index]]-B520)/B520</f>
        <v/>
      </c>
    </row>
    <row r="533">
      <c r="A533" s="17" t="n">
        <v>42309</v>
      </c>
      <c r="B533" s="58">
        <f>VLOOKUP(Table110[[#This Row],[Date]],database!A:H,3,)</f>
        <v/>
      </c>
      <c r="C533" s="66">
        <f>B533/B532-1</f>
        <v/>
      </c>
      <c r="D533" s="66">
        <f>(Table110[[#This Row],[Index]]-B521)/B521</f>
        <v/>
      </c>
    </row>
    <row r="534">
      <c r="A534" s="17" t="n">
        <v>42339</v>
      </c>
      <c r="B534" s="58">
        <f>VLOOKUP(Table110[[#This Row],[Date]],database!A:H,3,)</f>
        <v/>
      </c>
      <c r="C534" s="66">
        <f>B534/B533-1</f>
        <v/>
      </c>
      <c r="D534" s="66">
        <f>(Table110[[#This Row],[Index]]-B522)/B522</f>
        <v/>
      </c>
    </row>
    <row r="535">
      <c r="A535" s="17" t="n">
        <v>42370</v>
      </c>
      <c r="B535" s="58">
        <f>VLOOKUP(Table110[[#This Row],[Date]],database!A:H,3,)</f>
        <v/>
      </c>
      <c r="C535" s="66">
        <f>B535/B534-1</f>
        <v/>
      </c>
      <c r="D535" s="66">
        <f>(Table110[[#This Row],[Index]]-B523)/B523</f>
        <v/>
      </c>
    </row>
    <row r="536">
      <c r="A536" s="17" t="n">
        <v>42401</v>
      </c>
      <c r="B536" s="58">
        <f>VLOOKUP(Table110[[#This Row],[Date]],database!A:H,3,)</f>
        <v/>
      </c>
      <c r="C536" s="66">
        <f>B536/B535-1</f>
        <v/>
      </c>
      <c r="D536" s="66">
        <f>(Table110[[#This Row],[Index]]-B524)/B524</f>
        <v/>
      </c>
    </row>
    <row r="537">
      <c r="A537" s="17" t="n">
        <v>42430</v>
      </c>
      <c r="B537" s="58">
        <f>VLOOKUP(Table110[[#This Row],[Date]],database!A:H,3,)</f>
        <v/>
      </c>
      <c r="C537" s="66">
        <f>B537/B536-1</f>
        <v/>
      </c>
      <c r="D537" s="66">
        <f>(Table110[[#This Row],[Index]]-B525)/B525</f>
        <v/>
      </c>
    </row>
    <row r="538">
      <c r="A538" s="17" t="n">
        <v>42461</v>
      </c>
      <c r="B538" s="58">
        <f>VLOOKUP(Table110[[#This Row],[Date]],database!A:H,3,)</f>
        <v/>
      </c>
      <c r="C538" s="66">
        <f>B538/B537-1</f>
        <v/>
      </c>
      <c r="D538" s="66">
        <f>(Table110[[#This Row],[Index]]-B526)/B526</f>
        <v/>
      </c>
    </row>
    <row r="539">
      <c r="A539" s="17" t="n">
        <v>42491</v>
      </c>
      <c r="B539" s="58">
        <f>VLOOKUP(Table110[[#This Row],[Date]],database!A:H,3,)</f>
        <v/>
      </c>
      <c r="C539" s="66">
        <f>B539/B538-1</f>
        <v/>
      </c>
      <c r="D539" s="66">
        <f>(Table110[[#This Row],[Index]]-B527)/B527</f>
        <v/>
      </c>
    </row>
    <row r="540">
      <c r="A540" s="17" t="n">
        <v>42522</v>
      </c>
      <c r="B540" s="58">
        <f>VLOOKUP(Table110[[#This Row],[Date]],database!A:H,3,)</f>
        <v/>
      </c>
      <c r="C540" s="66">
        <f>B540/B539-1</f>
        <v/>
      </c>
      <c r="D540" s="66">
        <f>(Table110[[#This Row],[Index]]-B528)/B528</f>
        <v/>
      </c>
    </row>
    <row r="541">
      <c r="A541" s="17" t="n">
        <v>42552</v>
      </c>
      <c r="B541" s="58">
        <f>VLOOKUP(Table110[[#This Row],[Date]],database!A:H,3,)</f>
        <v/>
      </c>
      <c r="C541" s="66">
        <f>B541/B540-1</f>
        <v/>
      </c>
      <c r="D541" s="66">
        <f>(Table110[[#This Row],[Index]]-B529)/B529</f>
        <v/>
      </c>
    </row>
    <row r="542">
      <c r="A542" s="17" t="n">
        <v>42583</v>
      </c>
      <c r="B542" s="58">
        <f>VLOOKUP(Table110[[#This Row],[Date]],database!A:H,3,)</f>
        <v/>
      </c>
      <c r="C542" s="66">
        <f>B542/B541-1</f>
        <v/>
      </c>
      <c r="D542" s="66">
        <f>(Table110[[#This Row],[Index]]-B530)/B530</f>
        <v/>
      </c>
    </row>
    <row r="543">
      <c r="A543" s="17" t="n">
        <v>42614</v>
      </c>
      <c r="B543" s="58">
        <f>VLOOKUP(Table110[[#This Row],[Date]],database!A:H,3,)</f>
        <v/>
      </c>
      <c r="C543" s="66">
        <f>B543/B542-1</f>
        <v/>
      </c>
      <c r="D543" s="66">
        <f>(Table110[[#This Row],[Index]]-B531)/B531</f>
        <v/>
      </c>
    </row>
    <row r="544">
      <c r="A544" s="17" t="n">
        <v>42644</v>
      </c>
      <c r="B544" s="58">
        <f>VLOOKUP(Table110[[#This Row],[Date]],database!A:H,3,)</f>
        <v/>
      </c>
      <c r="C544" s="66">
        <f>B544/B543-1</f>
        <v/>
      </c>
      <c r="D544" s="66">
        <f>(Table110[[#This Row],[Index]]-B532)/B532</f>
        <v/>
      </c>
    </row>
    <row r="545">
      <c r="A545" s="17" t="n">
        <v>42675</v>
      </c>
      <c r="B545" s="58">
        <f>VLOOKUP(Table110[[#This Row],[Date]],database!A:H,3,)</f>
        <v/>
      </c>
      <c r="C545" s="66">
        <f>B545/B544-1</f>
        <v/>
      </c>
      <c r="D545" s="66">
        <f>(Table110[[#This Row],[Index]]-B533)/B533</f>
        <v/>
      </c>
    </row>
    <row r="546">
      <c r="A546" s="17" t="n">
        <v>42705</v>
      </c>
      <c r="B546" s="58">
        <f>VLOOKUP(Table110[[#This Row],[Date]],database!A:H,3,)</f>
        <v/>
      </c>
      <c r="C546" s="66">
        <f>B546/B545-1</f>
        <v/>
      </c>
      <c r="D546" s="66">
        <f>(Table110[[#This Row],[Index]]-B534)/B534</f>
        <v/>
      </c>
    </row>
    <row r="547">
      <c r="A547" s="17" t="n">
        <v>42736</v>
      </c>
      <c r="B547" s="58">
        <f>VLOOKUP(Table110[[#This Row],[Date]],database!A:H,3,)</f>
        <v/>
      </c>
      <c r="C547" s="66">
        <f>B547/B546-1</f>
        <v/>
      </c>
      <c r="D547" s="66">
        <f>(Table110[[#This Row],[Index]]-B535)/B535</f>
        <v/>
      </c>
    </row>
    <row r="548">
      <c r="A548" s="17" t="n">
        <v>42767</v>
      </c>
      <c r="B548" s="58">
        <f>VLOOKUP(Table110[[#This Row],[Date]],database!A:H,3,)</f>
        <v/>
      </c>
      <c r="C548" s="66">
        <f>B548/B547-1</f>
        <v/>
      </c>
      <c r="D548" s="66">
        <f>(Table110[[#This Row],[Index]]-B536)/B536</f>
        <v/>
      </c>
    </row>
    <row r="549">
      <c r="A549" s="17" t="n">
        <v>42795</v>
      </c>
      <c r="B549" s="58">
        <f>VLOOKUP(Table110[[#This Row],[Date]],database!A:H,3,)</f>
        <v/>
      </c>
      <c r="C549" s="66">
        <f>B549/B548-1</f>
        <v/>
      </c>
      <c r="D549" s="66">
        <f>(Table110[[#This Row],[Index]]-B537)/B537</f>
        <v/>
      </c>
    </row>
    <row r="550">
      <c r="A550" s="17" t="n">
        <v>42826</v>
      </c>
      <c r="B550" s="58">
        <f>VLOOKUP(Table110[[#This Row],[Date]],database!A:H,3,)</f>
        <v/>
      </c>
      <c r="C550" s="66">
        <f>B550/B549-1</f>
        <v/>
      </c>
      <c r="D550" s="66">
        <f>(Table110[[#This Row],[Index]]-B538)/B538</f>
        <v/>
      </c>
    </row>
    <row r="551">
      <c r="A551" s="17" t="n">
        <v>42856</v>
      </c>
      <c r="B551" s="58">
        <f>VLOOKUP(Table110[[#This Row],[Date]],database!A:H,3,)</f>
        <v/>
      </c>
      <c r="C551" s="66">
        <f>B551/B550-1</f>
        <v/>
      </c>
      <c r="D551" s="66">
        <f>(Table110[[#This Row],[Index]]-B539)/B539</f>
        <v/>
      </c>
    </row>
    <row r="552">
      <c r="A552" s="17" t="n">
        <v>42887</v>
      </c>
      <c r="B552" s="58">
        <f>VLOOKUP(Table110[[#This Row],[Date]],database!A:H,3,)</f>
        <v/>
      </c>
      <c r="C552" s="66">
        <f>B552/B551-1</f>
        <v/>
      </c>
      <c r="D552" s="66">
        <f>(Table110[[#This Row],[Index]]-B540)/B540</f>
        <v/>
      </c>
    </row>
    <row r="553">
      <c r="A553" s="17" t="n">
        <v>42917</v>
      </c>
      <c r="B553" s="58">
        <f>VLOOKUP(Table110[[#This Row],[Date]],database!A:H,3,)</f>
        <v/>
      </c>
      <c r="C553" s="66">
        <f>B553/B552-1</f>
        <v/>
      </c>
      <c r="D553" s="66">
        <f>(Table110[[#This Row],[Index]]-B541)/B541</f>
        <v/>
      </c>
    </row>
    <row r="554">
      <c r="A554" s="17" t="n">
        <v>42948</v>
      </c>
      <c r="B554" s="58">
        <f>VLOOKUP(Table110[[#This Row],[Date]],database!A:H,3,)</f>
        <v/>
      </c>
      <c r="C554" s="66">
        <f>B554/B553-1</f>
        <v/>
      </c>
      <c r="D554" s="66">
        <f>(Table110[[#This Row],[Index]]-B542)/B542</f>
        <v/>
      </c>
    </row>
    <row r="555">
      <c r="A555" s="17" t="n">
        <v>42979</v>
      </c>
      <c r="B555" s="58">
        <f>VLOOKUP(Table110[[#This Row],[Date]],database!A:H,3,)</f>
        <v/>
      </c>
      <c r="C555" s="66">
        <f>B555/B554-1</f>
        <v/>
      </c>
      <c r="D555" s="66">
        <f>(Table110[[#This Row],[Index]]-B543)/B543</f>
        <v/>
      </c>
    </row>
    <row r="556">
      <c r="A556" s="17" t="n">
        <v>43009</v>
      </c>
      <c r="B556" s="58">
        <f>VLOOKUP(Table110[[#This Row],[Date]],database!A:H,3,)</f>
        <v/>
      </c>
      <c r="C556" s="66">
        <f>B556/B555-1</f>
        <v/>
      </c>
      <c r="D556" s="66">
        <f>(Table110[[#This Row],[Index]]-B544)/B544</f>
        <v/>
      </c>
    </row>
    <row r="557">
      <c r="A557" s="17" t="n">
        <v>43040</v>
      </c>
      <c r="B557" s="58">
        <f>VLOOKUP(Table110[[#This Row],[Date]],database!A:H,3,)</f>
        <v/>
      </c>
      <c r="C557" s="66">
        <f>B557/B556-1</f>
        <v/>
      </c>
      <c r="D557" s="66">
        <f>(Table110[[#This Row],[Index]]-B545)/B545</f>
        <v/>
      </c>
    </row>
    <row r="558">
      <c r="A558" s="17" t="n">
        <v>43070</v>
      </c>
      <c r="B558" s="58">
        <f>VLOOKUP(Table110[[#This Row],[Date]],database!A:H,3,)</f>
        <v/>
      </c>
      <c r="C558" s="66">
        <f>B558/B557-1</f>
        <v/>
      </c>
      <c r="D558" s="66">
        <f>(Table110[[#This Row],[Index]]-B546)/B546</f>
        <v/>
      </c>
    </row>
    <row r="559">
      <c r="A559" s="17" t="n">
        <v>43101</v>
      </c>
      <c r="B559" s="58">
        <f>VLOOKUP(Table110[[#This Row],[Date]],database!A:H,3,)</f>
        <v/>
      </c>
      <c r="C559" s="66">
        <f>B559/B558-1</f>
        <v/>
      </c>
      <c r="D559" s="66">
        <f>(Table110[[#This Row],[Index]]-B547)/B547</f>
        <v/>
      </c>
    </row>
    <row r="560">
      <c r="A560" s="17" t="n">
        <v>43132</v>
      </c>
      <c r="B560" s="58">
        <f>VLOOKUP(Table110[[#This Row],[Date]],database!A:H,3,)</f>
        <v/>
      </c>
      <c r="C560" s="66">
        <f>B560/B559-1</f>
        <v/>
      </c>
      <c r="D560" s="66">
        <f>(Table110[[#This Row],[Index]]-B548)/B548</f>
        <v/>
      </c>
    </row>
    <row r="561">
      <c r="A561" s="17" t="n">
        <v>43160</v>
      </c>
      <c r="B561" s="58">
        <f>VLOOKUP(Table110[[#This Row],[Date]],database!A:H,3,)</f>
        <v/>
      </c>
      <c r="C561" s="66">
        <f>B561/B560-1</f>
        <v/>
      </c>
      <c r="D561" s="66">
        <f>(Table110[[#This Row],[Index]]-B549)/B549</f>
        <v/>
      </c>
    </row>
    <row r="562">
      <c r="A562" s="17" t="n">
        <v>43191</v>
      </c>
      <c r="B562" s="58">
        <f>VLOOKUP(Table110[[#This Row],[Date]],database!A:H,3,)</f>
        <v/>
      </c>
      <c r="C562" s="66">
        <f>B562/B561-1</f>
        <v/>
      </c>
      <c r="D562" s="66">
        <f>(Table110[[#This Row],[Index]]-B550)/B550</f>
        <v/>
      </c>
    </row>
    <row r="563">
      <c r="A563" s="17" t="n">
        <v>43221</v>
      </c>
      <c r="B563" s="58">
        <f>VLOOKUP(Table110[[#This Row],[Date]],database!A:H,3,)</f>
        <v/>
      </c>
      <c r="C563" s="66">
        <f>B563/B562-1</f>
        <v/>
      </c>
      <c r="D563" s="66">
        <f>(Table110[[#This Row],[Index]]-B551)/B551</f>
        <v/>
      </c>
    </row>
    <row r="564">
      <c r="A564" s="17" t="n">
        <v>43252</v>
      </c>
      <c r="B564" s="58">
        <f>VLOOKUP(Table110[[#This Row],[Date]],database!A:H,3,)</f>
        <v/>
      </c>
      <c r="C564" s="66">
        <f>B564/B563-1</f>
        <v/>
      </c>
      <c r="D564" s="66">
        <f>(Table110[[#This Row],[Index]]-B552)/B552</f>
        <v/>
      </c>
    </row>
    <row r="565">
      <c r="A565" s="17" t="n">
        <v>43282</v>
      </c>
      <c r="B565" s="58">
        <f>VLOOKUP(Table110[[#This Row],[Date]],database!A:H,3,)</f>
        <v/>
      </c>
      <c r="C565" s="66">
        <f>B565/B564-1</f>
        <v/>
      </c>
      <c r="D565" s="66">
        <f>(Table110[[#This Row],[Index]]-B553)/B553</f>
        <v/>
      </c>
    </row>
    <row r="566">
      <c r="A566" s="17" t="n">
        <v>43313</v>
      </c>
      <c r="B566" s="58">
        <f>VLOOKUP(Table110[[#This Row],[Date]],database!A:H,3,)</f>
        <v/>
      </c>
      <c r="C566" s="66">
        <f>B566/B565-1</f>
        <v/>
      </c>
      <c r="D566" s="66">
        <f>(Table110[[#This Row],[Index]]-B554)/B554</f>
        <v/>
      </c>
    </row>
    <row r="567">
      <c r="A567" s="17" t="n">
        <v>43344</v>
      </c>
      <c r="B567" s="58">
        <f>VLOOKUP(Table110[[#This Row],[Date]],database!A:H,3,)</f>
        <v/>
      </c>
      <c r="C567" s="66">
        <f>B567/B566-1</f>
        <v/>
      </c>
      <c r="D567" s="66">
        <f>(Table110[[#This Row],[Index]]-B555)/B555</f>
        <v/>
      </c>
    </row>
    <row r="568">
      <c r="A568" s="17" t="n">
        <v>43374</v>
      </c>
      <c r="B568" s="58">
        <f>VLOOKUP(Table110[[#This Row],[Date]],database!A:H,3,)</f>
        <v/>
      </c>
      <c r="C568" s="66">
        <f>B568/B567-1</f>
        <v/>
      </c>
      <c r="D568" s="66">
        <f>(Table110[[#This Row],[Index]]-B556)/B556</f>
        <v/>
      </c>
    </row>
    <row r="569">
      <c r="A569" s="17" t="n">
        <v>43405</v>
      </c>
      <c r="B569" s="58">
        <f>VLOOKUP(Table110[[#This Row],[Date]],database!A:H,3,)</f>
        <v/>
      </c>
      <c r="C569" s="66">
        <f>B569/B568-1</f>
        <v/>
      </c>
      <c r="D569" s="66">
        <f>(Table110[[#This Row],[Index]]-B557)/B557</f>
        <v/>
      </c>
    </row>
    <row r="570">
      <c r="A570" s="17" t="n">
        <v>43435</v>
      </c>
      <c r="B570" s="58">
        <f>VLOOKUP(Table110[[#This Row],[Date]],database!A:H,3,)</f>
        <v/>
      </c>
      <c r="C570" s="66">
        <f>B570/B569-1</f>
        <v/>
      </c>
      <c r="D570" s="66">
        <f>(Table110[[#This Row],[Index]]-B558)/B558</f>
        <v/>
      </c>
    </row>
    <row r="571">
      <c r="A571" s="17" t="n">
        <v>43466</v>
      </c>
      <c r="B571" s="58">
        <f>VLOOKUP(Table110[[#This Row],[Date]],database!A:H,3,)</f>
        <v/>
      </c>
      <c r="C571" s="66">
        <f>B571/B570-1</f>
        <v/>
      </c>
      <c r="D571" s="66">
        <f>(Table110[[#This Row],[Index]]-B559)/B559</f>
        <v/>
      </c>
    </row>
    <row r="572">
      <c r="A572" s="17" t="n">
        <v>43497</v>
      </c>
      <c r="B572" s="58">
        <f>VLOOKUP(Table110[[#This Row],[Date]],database!A:H,3,)</f>
        <v/>
      </c>
      <c r="C572" s="66">
        <f>B572/B571-1</f>
        <v/>
      </c>
      <c r="D572" s="66">
        <f>(Table110[[#This Row],[Index]]-B560)/B560</f>
        <v/>
      </c>
    </row>
    <row r="573">
      <c r="A573" s="17" t="n">
        <v>43525</v>
      </c>
      <c r="B573" s="58">
        <f>VLOOKUP(Table110[[#This Row],[Date]],database!A:H,3,)</f>
        <v/>
      </c>
      <c r="C573" s="66">
        <f>B573/B572-1</f>
        <v/>
      </c>
      <c r="D573" s="66">
        <f>(Table110[[#This Row],[Index]]-B561)/B561</f>
        <v/>
      </c>
    </row>
    <row r="574">
      <c r="A574" s="17" t="n">
        <v>43556</v>
      </c>
      <c r="B574" s="58">
        <f>VLOOKUP(Table110[[#This Row],[Date]],database!A:H,3,)</f>
        <v/>
      </c>
      <c r="C574" s="66">
        <f>B574/B573-1</f>
        <v/>
      </c>
      <c r="D574" s="66">
        <f>(Table110[[#This Row],[Index]]-B562)/B562</f>
        <v/>
      </c>
    </row>
    <row r="575">
      <c r="A575" s="17" t="n">
        <v>43586</v>
      </c>
      <c r="B575" s="58">
        <f>VLOOKUP(Table110[[#This Row],[Date]],database!A:H,3,)</f>
        <v/>
      </c>
      <c r="C575" s="66">
        <f>B575/B574-1</f>
        <v/>
      </c>
      <c r="D575" s="66">
        <f>(Table110[[#This Row],[Index]]-B563)/B563</f>
        <v/>
      </c>
    </row>
    <row r="576">
      <c r="A576" s="17" t="n">
        <v>43617</v>
      </c>
      <c r="B576" s="58">
        <f>VLOOKUP(Table110[[#This Row],[Date]],database!A:H,3,)</f>
        <v/>
      </c>
      <c r="C576" s="66">
        <f>B576/B575-1</f>
        <v/>
      </c>
      <c r="D576" s="66">
        <f>(Table110[[#This Row],[Index]]-B564)/B564</f>
        <v/>
      </c>
    </row>
    <row r="577">
      <c r="A577" s="17" t="n">
        <v>43647</v>
      </c>
      <c r="B577" s="58">
        <f>VLOOKUP(Table110[[#This Row],[Date]],database!A:H,3,)</f>
        <v/>
      </c>
      <c r="C577" s="66">
        <f>B577/B576-1</f>
        <v/>
      </c>
      <c r="D577" s="66">
        <f>(Table110[[#This Row],[Index]]-B565)/B565</f>
        <v/>
      </c>
    </row>
    <row r="578">
      <c r="A578" s="17" t="n">
        <v>43678</v>
      </c>
      <c r="B578" s="58">
        <f>VLOOKUP(Table110[[#This Row],[Date]],database!A:H,3,)</f>
        <v/>
      </c>
      <c r="C578" s="66">
        <f>B578/B577-1</f>
        <v/>
      </c>
      <c r="D578" s="66">
        <f>(Table110[[#This Row],[Index]]-B566)/B566</f>
        <v/>
      </c>
    </row>
    <row r="579">
      <c r="A579" s="17" t="n">
        <v>43709</v>
      </c>
      <c r="B579" s="58">
        <f>VLOOKUP(Table110[[#This Row],[Date]],database!A:H,3,)</f>
        <v/>
      </c>
      <c r="C579" s="66">
        <f>B579/B578-1</f>
        <v/>
      </c>
      <c r="D579" s="66">
        <f>(Table110[[#This Row],[Index]]-B567)/B567</f>
        <v/>
      </c>
    </row>
    <row r="580">
      <c r="A580" s="17" t="n">
        <v>43739</v>
      </c>
      <c r="B580" s="58">
        <f>VLOOKUP(Table110[[#This Row],[Date]],database!A:H,3,)</f>
        <v/>
      </c>
      <c r="C580" s="66">
        <f>B580/B579-1</f>
        <v/>
      </c>
      <c r="D580" s="66">
        <f>(Table110[[#This Row],[Index]]-B568)/B568</f>
        <v/>
      </c>
    </row>
    <row r="581">
      <c r="A581" s="17" t="n">
        <v>43770</v>
      </c>
      <c r="B581" s="58">
        <f>VLOOKUP(Table110[[#This Row],[Date]],database!A:H,3,)</f>
        <v/>
      </c>
      <c r="C581" s="66">
        <f>B581/B580-1</f>
        <v/>
      </c>
      <c r="D581" s="66">
        <f>(Table110[[#This Row],[Index]]-B569)/B569</f>
        <v/>
      </c>
    </row>
    <row r="582">
      <c r="A582" s="17" t="n">
        <v>43800</v>
      </c>
      <c r="B582" s="58">
        <f>VLOOKUP(Table110[[#This Row],[Date]],database!A:H,3,)</f>
        <v/>
      </c>
      <c r="C582" s="66">
        <f>B582/B581-1</f>
        <v/>
      </c>
      <c r="D582" s="66">
        <f>(Table110[[#This Row],[Index]]-B570)/B570</f>
        <v/>
      </c>
    </row>
    <row r="583">
      <c r="A583" s="17" t="n">
        <v>43831</v>
      </c>
      <c r="B583" s="58">
        <f>VLOOKUP(Table110[[#This Row],[Date]],database!A:H,3,)</f>
        <v/>
      </c>
      <c r="C583" s="66">
        <f>B583/B582-1</f>
        <v/>
      </c>
      <c r="D583" s="66">
        <f>(Table110[[#This Row],[Index]]-B571)/B571</f>
        <v/>
      </c>
    </row>
    <row r="584">
      <c r="A584" s="17" t="n">
        <v>43862</v>
      </c>
      <c r="B584" s="58">
        <f>VLOOKUP(Table110[[#This Row],[Date]],database!A:H,3,)</f>
        <v/>
      </c>
      <c r="C584" s="66">
        <f>B584/B583-1</f>
        <v/>
      </c>
      <c r="D584" s="66">
        <f>(Table110[[#This Row],[Index]]-B572)/B572</f>
        <v/>
      </c>
    </row>
    <row r="585">
      <c r="A585" s="17" t="n">
        <v>43891</v>
      </c>
      <c r="B585" s="58">
        <f>VLOOKUP(Table110[[#This Row],[Date]],database!A:H,3,)</f>
        <v/>
      </c>
      <c r="C585" s="66">
        <f>B585/B584-1</f>
        <v/>
      </c>
      <c r="D585" s="66">
        <f>(Table110[[#This Row],[Index]]-B573)/B573</f>
        <v/>
      </c>
    </row>
    <row r="586">
      <c r="A586" s="17" t="n">
        <v>43922</v>
      </c>
      <c r="B586" s="58">
        <f>VLOOKUP(Table110[[#This Row],[Date]],database!A:H,3,)</f>
        <v/>
      </c>
      <c r="C586" s="66">
        <f>B586/B585-1</f>
        <v/>
      </c>
      <c r="D586" s="66">
        <f>(Table110[[#This Row],[Index]]-B574)/B574</f>
        <v/>
      </c>
    </row>
    <row r="587">
      <c r="A587" s="17" t="n">
        <v>43952</v>
      </c>
      <c r="B587" s="58">
        <f>VLOOKUP(Table110[[#This Row],[Date]],database!A:H,3,)</f>
        <v/>
      </c>
      <c r="C587" s="66">
        <f>B587/B586-1</f>
        <v/>
      </c>
      <c r="D587" s="66">
        <f>(Table110[[#This Row],[Index]]-B575)/B575</f>
        <v/>
      </c>
    </row>
    <row r="588">
      <c r="A588" s="17" t="n">
        <v>43983</v>
      </c>
      <c r="B588" s="58">
        <f>VLOOKUP(Table110[[#This Row],[Date]],database!A:H,3,)</f>
        <v/>
      </c>
      <c r="C588" s="66">
        <f>B588/B587-1</f>
        <v/>
      </c>
      <c r="D588" s="66">
        <f>(Table110[[#This Row],[Index]]-B576)/B576</f>
        <v/>
      </c>
    </row>
    <row r="589">
      <c r="A589" s="17" t="n">
        <v>44013</v>
      </c>
      <c r="B589" s="58">
        <f>VLOOKUP(Table110[[#This Row],[Date]],database!A:H,3,)</f>
        <v/>
      </c>
      <c r="C589" s="66">
        <f>B589/B588-1</f>
        <v/>
      </c>
      <c r="D589" s="66">
        <f>(Table110[[#This Row],[Index]]-B577)/B577</f>
        <v/>
      </c>
    </row>
    <row r="590">
      <c r="A590" s="17" t="n">
        <v>44044</v>
      </c>
      <c r="B590" s="58">
        <f>VLOOKUP(Table110[[#This Row],[Date]],database!A:H,3,)</f>
        <v/>
      </c>
      <c r="C590" s="66">
        <f>B590/B589-1</f>
        <v/>
      </c>
      <c r="D590" s="66">
        <f>(Table110[[#This Row],[Index]]-B578)/B578</f>
        <v/>
      </c>
    </row>
    <row r="591">
      <c r="A591" s="17" t="n">
        <v>44075</v>
      </c>
      <c r="B591" s="58">
        <f>VLOOKUP(Table110[[#This Row],[Date]],database!A:H,3,)</f>
        <v/>
      </c>
      <c r="C591" s="66">
        <f>B591/B590-1</f>
        <v/>
      </c>
      <c r="D591" s="66">
        <f>(Table110[[#This Row],[Index]]-B579)/B579</f>
        <v/>
      </c>
    </row>
    <row r="592">
      <c r="A592" s="17" t="n">
        <v>44105</v>
      </c>
      <c r="B592" s="58">
        <f>VLOOKUP(Table110[[#This Row],[Date]],database!A:H,3,)</f>
        <v/>
      </c>
      <c r="C592" s="66">
        <f>B592/B591-1</f>
        <v/>
      </c>
      <c r="D592" s="66">
        <f>(Table110[[#This Row],[Index]]-B580)/B580</f>
        <v/>
      </c>
    </row>
    <row r="593">
      <c r="A593" s="17" t="n">
        <v>44136</v>
      </c>
      <c r="B593" s="58">
        <f>VLOOKUP(Table110[[#This Row],[Date]],database!A:H,3,)</f>
        <v/>
      </c>
      <c r="C593" s="66">
        <f>B593/B592-1</f>
        <v/>
      </c>
      <c r="D593" s="66">
        <f>(Table110[[#This Row],[Index]]-B581)/B581</f>
        <v/>
      </c>
    </row>
    <row r="594">
      <c r="A594" s="17" t="n">
        <v>44166</v>
      </c>
      <c r="B594" s="58">
        <f>VLOOKUP(Table110[[#This Row],[Date]],database!A:H,3,)</f>
        <v/>
      </c>
      <c r="C594" s="66">
        <f>B594/B593-1</f>
        <v/>
      </c>
      <c r="D594" s="66">
        <f>(Table110[[#This Row],[Index]]-B582)/B582</f>
        <v/>
      </c>
    </row>
    <row r="595">
      <c r="A595" s="17" t="n">
        <v>44197</v>
      </c>
      <c r="B595" s="58">
        <f>VLOOKUP(Table110[[#This Row],[Date]],database!A:H,3,)</f>
        <v/>
      </c>
      <c r="C595" s="66">
        <f>B595/B594-1</f>
        <v/>
      </c>
      <c r="D595" s="66">
        <f>(Table110[[#This Row],[Index]]-B583)/B583</f>
        <v/>
      </c>
    </row>
    <row r="596">
      <c r="A596" s="17" t="n">
        <v>44228</v>
      </c>
      <c r="B596" s="58">
        <f>VLOOKUP(Table110[[#This Row],[Date]],database!A:H,3,)</f>
        <v/>
      </c>
      <c r="C596" s="66">
        <f>B596/B595-1</f>
        <v/>
      </c>
      <c r="D596" s="66">
        <f>(Table110[[#This Row],[Index]]-B584)/B584</f>
        <v/>
      </c>
    </row>
    <row r="597">
      <c r="A597" s="17" t="n">
        <v>44256</v>
      </c>
      <c r="B597" s="58">
        <f>VLOOKUP(Table110[[#This Row],[Date]],database!A:H,3,)</f>
        <v/>
      </c>
      <c r="C597" s="66">
        <f>B597/B596-1</f>
        <v/>
      </c>
      <c r="D597" s="66">
        <f>(Table110[[#This Row],[Index]]-B585)/B585</f>
        <v/>
      </c>
    </row>
    <row r="598">
      <c r="A598" s="17" t="n">
        <v>44287</v>
      </c>
      <c r="B598" s="58">
        <f>VLOOKUP(Table110[[#This Row],[Date]],database!A:H,3,)</f>
        <v/>
      </c>
      <c r="C598" s="66">
        <f>B598/B597-1</f>
        <v/>
      </c>
      <c r="D598" s="66">
        <f>(Table110[[#This Row],[Index]]-B586)/B586</f>
        <v/>
      </c>
    </row>
    <row r="599">
      <c r="A599" s="17" t="n">
        <v>44317</v>
      </c>
      <c r="B599" s="58">
        <f>VLOOKUP(Table110[[#This Row],[Date]],database!A:H,3,)</f>
        <v/>
      </c>
      <c r="C599" s="66">
        <f>B599/B598-1</f>
        <v/>
      </c>
      <c r="D599" s="66">
        <f>(Table110[[#This Row],[Index]]-B587)/B587</f>
        <v/>
      </c>
    </row>
    <row r="600">
      <c r="A600" s="17" t="n">
        <v>44348</v>
      </c>
      <c r="B600" s="58">
        <f>VLOOKUP(Table110[[#This Row],[Date]],database!A:H,3,)</f>
        <v/>
      </c>
      <c r="C600" s="66">
        <f>B600/B599-1</f>
        <v/>
      </c>
      <c r="D600" s="66">
        <f>(Table110[[#This Row],[Index]]-B588)/B588</f>
        <v/>
      </c>
    </row>
    <row r="601">
      <c r="A601" s="17" t="n">
        <v>44378</v>
      </c>
      <c r="B601" s="58">
        <f>VLOOKUP(Table110[[#This Row],[Date]],database!A:H,3,)</f>
        <v/>
      </c>
      <c r="C601" s="66">
        <f>B601/B600-1</f>
        <v/>
      </c>
      <c r="D601" s="66">
        <f>(Table110[[#This Row],[Index]]-B589)/B589</f>
        <v/>
      </c>
    </row>
    <row r="602">
      <c r="A602" s="17" t="n">
        <v>44409</v>
      </c>
      <c r="B602" s="58">
        <f>VLOOKUP(Table110[[#This Row],[Date]],database!A:H,3,)</f>
        <v/>
      </c>
      <c r="C602" s="66">
        <f>B602/B601-1</f>
        <v/>
      </c>
      <c r="D602" s="66">
        <f>(Table110[[#This Row],[Index]]-B590)/B590</f>
        <v/>
      </c>
    </row>
    <row r="603">
      <c r="A603" s="17" t="n">
        <v>44440</v>
      </c>
      <c r="B603" s="58">
        <f>VLOOKUP(Table110[[#This Row],[Date]],database!A:H,3,)</f>
        <v/>
      </c>
      <c r="C603" s="66">
        <f>B603/B602-1</f>
        <v/>
      </c>
      <c r="D603" s="66">
        <f>(Table110[[#This Row],[Index]]-B591)/B591</f>
        <v/>
      </c>
    </row>
    <row r="604">
      <c r="A604" s="17" t="n">
        <v>44470</v>
      </c>
      <c r="B604" s="58">
        <f>VLOOKUP(Table110[[#This Row],[Date]],database!A:H,3,)</f>
        <v/>
      </c>
      <c r="C604" s="66">
        <f>B604/B603-1</f>
        <v/>
      </c>
      <c r="D604" s="66">
        <f>(Table110[[#This Row],[Index]]-B592)/B592</f>
        <v/>
      </c>
    </row>
    <row r="605">
      <c r="A605" s="17" t="n">
        <v>44501</v>
      </c>
      <c r="B605" s="58">
        <f>VLOOKUP(Table110[[#This Row],[Date]],database!A:H,3,)</f>
        <v/>
      </c>
      <c r="C605" s="66">
        <f>B605/B604-1</f>
        <v/>
      </c>
      <c r="D605" s="66">
        <f>(Table110[[#This Row],[Index]]-B593)/B593</f>
        <v/>
      </c>
    </row>
    <row r="606">
      <c r="A606" s="17" t="n">
        <v>44531</v>
      </c>
      <c r="B606" s="58">
        <f>VLOOKUP(Table110[[#This Row],[Date]],database!A:H,3,)</f>
        <v/>
      </c>
      <c r="C606" s="66">
        <f>B606/B605-1</f>
        <v/>
      </c>
      <c r="D606" s="66">
        <f>(Table110[[#This Row],[Index]]-B594)/B594</f>
        <v/>
      </c>
    </row>
    <row r="607">
      <c r="A607" s="17" t="n">
        <v>44562</v>
      </c>
      <c r="B607" s="58">
        <f>VLOOKUP(Table110[[#This Row],[Date]],database!A:H,3,)</f>
        <v/>
      </c>
      <c r="C607" s="66">
        <f>B607/B606-1</f>
        <v/>
      </c>
      <c r="D607" s="66">
        <f>(Table110[[#This Row],[Index]]-B595)/B595</f>
        <v/>
      </c>
    </row>
    <row r="608">
      <c r="A608" s="17" t="n">
        <v>44593</v>
      </c>
      <c r="B608" s="58">
        <f>VLOOKUP(Table110[[#This Row],[Date]],database!A:H,3,)</f>
        <v/>
      </c>
      <c r="C608" s="66">
        <f>B608/B607-1</f>
        <v/>
      </c>
      <c r="D608" s="66">
        <f>(Table110[[#This Row],[Index]]-B596)/B596</f>
        <v/>
      </c>
    </row>
    <row r="609">
      <c r="A609" s="17" t="n">
        <v>44621</v>
      </c>
      <c r="B609" s="58">
        <f>VLOOKUP(Table110[[#This Row],[Date]],database!A:H,3,)</f>
        <v/>
      </c>
      <c r="C609" s="66">
        <f>B609/B608-1</f>
        <v/>
      </c>
      <c r="D609" s="66">
        <f>(Table110[[#This Row],[Index]]-B597)/B597</f>
        <v/>
      </c>
    </row>
    <row r="610">
      <c r="A610" s="17" t="n">
        <v>44652</v>
      </c>
      <c r="B610" s="58">
        <f>VLOOKUP(Table110[[#This Row],[Date]],database!A:H,3,)</f>
        <v/>
      </c>
      <c r="C610" s="66">
        <f>B610/B609-1</f>
        <v/>
      </c>
      <c r="D610" s="66">
        <f>(Table110[[#This Row],[Index]]-B598)/B598</f>
        <v/>
      </c>
    </row>
    <row r="611">
      <c r="A611" s="17" t="n">
        <v>44682</v>
      </c>
      <c r="B611" s="58">
        <f>VLOOKUP(Table110[[#This Row],[Date]],database!A:H,3,)</f>
        <v/>
      </c>
      <c r="C611" s="66">
        <f>B611/B610-1</f>
        <v/>
      </c>
      <c r="D611" s="66">
        <f>(Table110[[#This Row],[Index]]-B599)/B599</f>
        <v/>
      </c>
    </row>
    <row r="612">
      <c r="A612" s="17" t="n">
        <v>44713</v>
      </c>
      <c r="B612" s="58">
        <f>VLOOKUP(Table110[[#This Row],[Date]],database!A:H,3,)</f>
        <v/>
      </c>
      <c r="C612" s="66">
        <f>B612/B611-1</f>
        <v/>
      </c>
      <c r="D612" s="66">
        <f>(Table110[[#This Row],[Index]]-B600)/B600</f>
        <v/>
      </c>
    </row>
    <row r="613">
      <c r="A613" s="17" t="n">
        <v>44743</v>
      </c>
      <c r="B613" s="58">
        <f>VLOOKUP(Table110[[#This Row],[Date]],database!A:H,3,)</f>
        <v/>
      </c>
      <c r="C613" s="66">
        <f>B613/B612-1</f>
        <v/>
      </c>
      <c r="D613" s="66">
        <f>(Table110[[#This Row],[Index]]-B601)/B601</f>
        <v/>
      </c>
    </row>
    <row r="614">
      <c r="A614" s="17" t="n">
        <v>44774</v>
      </c>
      <c r="B614" s="58">
        <f>VLOOKUP(Table110[[#This Row],[Date]],database!A:H,3,)</f>
        <v/>
      </c>
      <c r="C614" s="66">
        <f>B614/B613-1</f>
        <v/>
      </c>
      <c r="D614" s="66">
        <f>(Table110[[#This Row],[Index]]-B602)/B602</f>
        <v/>
      </c>
    </row>
    <row r="615">
      <c r="A615" s="17" t="n">
        <v>44805</v>
      </c>
      <c r="B615" s="58">
        <f>VLOOKUP(Table110[[#This Row],[Date]],database!A:H,3,)</f>
        <v/>
      </c>
      <c r="C615" s="66">
        <f>B615/B614-1</f>
        <v/>
      </c>
      <c r="D615" s="66">
        <f>(Table110[[#This Row],[Index]]-B603)/B603</f>
        <v/>
      </c>
    </row>
    <row r="616">
      <c r="A616" s="17" t="n">
        <v>44835</v>
      </c>
      <c r="B616" s="58">
        <f>VLOOKUP(Table110[[#This Row],[Date]],database!A:H,3,)</f>
        <v/>
      </c>
      <c r="C616" s="66">
        <f>B616/B615-1</f>
        <v/>
      </c>
      <c r="D616" s="66">
        <f>(Table110[[#This Row],[Index]]-B604)/B604</f>
        <v/>
      </c>
    </row>
    <row r="617">
      <c r="A617" s="17" t="n">
        <v>44866</v>
      </c>
      <c r="B617" s="58">
        <f>VLOOKUP(Table110[[#This Row],[Date]],database!A:H,3,)</f>
        <v/>
      </c>
      <c r="C617" s="66">
        <f>B617/B616-1</f>
        <v/>
      </c>
      <c r="D617" s="66">
        <f>(Table110[[#This Row],[Index]]-B605)/B605</f>
        <v/>
      </c>
    </row>
    <row r="618">
      <c r="A618" s="17" t="n">
        <v>44896</v>
      </c>
      <c r="B618" s="58">
        <f>VLOOKUP(Table110[[#This Row],[Date]],database!A:H,3,)</f>
        <v/>
      </c>
      <c r="C618" s="66">
        <f>B618/B617-1</f>
        <v/>
      </c>
      <c r="D618" s="66">
        <f>(Table110[[#This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8"/>
  <sheetViews>
    <sheetView zoomScale="120" zoomScaleNormal="120" workbookViewId="0">
      <pane ySplit="6" topLeftCell="A593" activePane="bottomLeft" state="frozen"/>
      <selection activeCell="J582" sqref="J582"/>
      <selection pane="bottomLeft" activeCell="A612" sqref="A612: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IPMAN</t>
        </is>
      </c>
      <c r="B1" s="79" t="n"/>
      <c r="C1" s="79" t="n"/>
      <c r="S1" s="79" t="inlineStr">
        <is>
          <t>Industrial Production: Manufacturing (NAICS)</t>
        </is>
      </c>
      <c r="T1" s="79" t="inlineStr">
        <is>
          <t xml:space="preserve"> since 2010</t>
        </is>
      </c>
      <c r="U1" s="79">
        <f>S1&amp;T1</f>
        <v/>
      </c>
      <c r="Y1" s="79">
        <f>U2&amp; T1</f>
        <v/>
      </c>
    </row>
    <row r="2">
      <c r="A2" s="16" t="n"/>
      <c r="B2" s="79" t="n"/>
      <c r="C2" s="79" t="n"/>
      <c r="U2" s="79">
        <f>S1&amp;Table13[[#Headers],[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VLOOKUP(Table13[[#This Row],[Date]],database!A:F,6,)</f>
        <v/>
      </c>
      <c r="C7" s="66" t="n"/>
      <c r="D7" s="66" t="n"/>
    </row>
    <row r="8">
      <c r="A8" s="17" t="n">
        <v>26330</v>
      </c>
      <c r="B8" s="58">
        <f>VLOOKUP(Table13[[#This Row],[Date]],database!A:F,6,)</f>
        <v/>
      </c>
      <c r="C8" s="66">
        <f>B8/B7-1</f>
        <v/>
      </c>
      <c r="D8" s="66" t="n"/>
    </row>
    <row r="9">
      <c r="A9" s="17" t="n">
        <v>26359</v>
      </c>
      <c r="B9" s="58">
        <f>VLOOKUP(Table13[[#This Row],[Date]],database!A:F,6,)</f>
        <v/>
      </c>
      <c r="C9" s="66">
        <f>B9/B8-1</f>
        <v/>
      </c>
      <c r="D9" s="66" t="n"/>
    </row>
    <row r="10">
      <c r="A10" s="17" t="n">
        <v>26390</v>
      </c>
      <c r="B10" s="58">
        <f>VLOOKUP(Table13[[#This Row],[Date]],database!A:F,6,)</f>
        <v/>
      </c>
      <c r="C10" s="66">
        <f>B10/B9-1</f>
        <v/>
      </c>
      <c r="D10" s="66" t="n"/>
    </row>
    <row r="11">
      <c r="A11" s="17" t="n">
        <v>26420</v>
      </c>
      <c r="B11" s="58">
        <f>VLOOKUP(Table13[[#This Row],[Date]],database!A:F,6,)</f>
        <v/>
      </c>
      <c r="C11" s="66">
        <f>B11/B10-1</f>
        <v/>
      </c>
      <c r="D11" s="66" t="n"/>
    </row>
    <row r="12">
      <c r="A12" s="17" t="n">
        <v>26451</v>
      </c>
      <c r="B12" s="58">
        <f>VLOOKUP(Table13[[#This Row],[Date]],database!A:F,6,)</f>
        <v/>
      </c>
      <c r="C12" s="66">
        <f>B12/B11-1</f>
        <v/>
      </c>
      <c r="D12" s="66" t="n"/>
    </row>
    <row r="13">
      <c r="A13" s="17" t="n">
        <v>26481</v>
      </c>
      <c r="B13" s="58">
        <f>VLOOKUP(Table13[[#This Row],[Date]],database!A:F,6,)</f>
        <v/>
      </c>
      <c r="C13" s="66">
        <f>B13/B12-1</f>
        <v/>
      </c>
      <c r="D13" s="66" t="n"/>
    </row>
    <row r="14">
      <c r="A14" s="17" t="n">
        <v>26512</v>
      </c>
      <c r="B14" s="58">
        <f>VLOOKUP(Table13[[#This Row],[Date]],database!A:F,6,)</f>
        <v/>
      </c>
      <c r="C14" s="66">
        <f>B14/B13-1</f>
        <v/>
      </c>
      <c r="D14" s="66" t="n"/>
    </row>
    <row r="15">
      <c r="A15" s="17" t="n">
        <v>26543</v>
      </c>
      <c r="B15" s="58">
        <f>VLOOKUP(Table13[[#This Row],[Date]],database!A:F,6,)</f>
        <v/>
      </c>
      <c r="C15" s="66">
        <f>B15/B14-1</f>
        <v/>
      </c>
      <c r="D15" s="66" t="n"/>
    </row>
    <row r="16">
      <c r="A16" s="17" t="n">
        <v>26573</v>
      </c>
      <c r="B16" s="58">
        <f>VLOOKUP(Table13[[#This Row],[Date]],database!A:F,6,)</f>
        <v/>
      </c>
      <c r="C16" s="66">
        <f>B16/B15-1</f>
        <v/>
      </c>
      <c r="D16" s="66" t="n"/>
    </row>
    <row r="17">
      <c r="A17" s="17" t="n">
        <v>26604</v>
      </c>
      <c r="B17" s="58">
        <f>VLOOKUP(Table13[[#This Row],[Date]],database!A:F,6,)</f>
        <v/>
      </c>
      <c r="C17" s="66">
        <f>B17/B16-1</f>
        <v/>
      </c>
      <c r="D17" s="66" t="n"/>
    </row>
    <row r="18">
      <c r="A18" s="17" t="n">
        <v>26634</v>
      </c>
      <c r="B18" s="58">
        <f>VLOOKUP(Table13[[#This Row],[Date]],database!A:F,6,)</f>
        <v/>
      </c>
      <c r="C18" s="66">
        <f>B18/B17-1</f>
        <v/>
      </c>
      <c r="D18" s="66" t="n"/>
    </row>
    <row r="19">
      <c r="A19" s="17" t="n">
        <v>26665</v>
      </c>
      <c r="B19" s="58">
        <f>VLOOKUP(Table13[[#This Row],[Date]],database!A:F,6,)</f>
        <v/>
      </c>
      <c r="C19" s="66">
        <f>B19/B18-1</f>
        <v/>
      </c>
      <c r="D19" s="66" t="n"/>
    </row>
    <row r="20">
      <c r="A20" s="17" t="n">
        <v>26696</v>
      </c>
      <c r="B20" s="58">
        <f>VLOOKUP(Table13[[#This Row],[Date]],database!A:F,6,)</f>
        <v/>
      </c>
      <c r="C20" s="66">
        <f>B20/B19-1</f>
        <v/>
      </c>
      <c r="D20" s="66">
        <f>(Table13[[#This Row],[Index]]-B8)/B8</f>
        <v/>
      </c>
    </row>
    <row r="21">
      <c r="A21" s="17" t="n">
        <v>26724</v>
      </c>
      <c r="B21" s="58">
        <f>VLOOKUP(Table13[[#This Row],[Date]],database!A:F,6,)</f>
        <v/>
      </c>
      <c r="C21" s="66">
        <f>B21/B20-1</f>
        <v/>
      </c>
      <c r="D21" s="66">
        <f>(Table13[[#This Row],[Index]]-B9)/B9</f>
        <v/>
      </c>
    </row>
    <row r="22">
      <c r="A22" s="17" t="n">
        <v>26755</v>
      </c>
      <c r="B22" s="58">
        <f>VLOOKUP(Table13[[#This Row],[Date]],database!A:F,6,)</f>
        <v/>
      </c>
      <c r="C22" s="66">
        <f>B22/B21-1</f>
        <v/>
      </c>
      <c r="D22" s="66">
        <f>(Table13[[#This Row],[Index]]-B10)/B10</f>
        <v/>
      </c>
    </row>
    <row r="23">
      <c r="A23" s="17" t="n">
        <v>26785</v>
      </c>
      <c r="B23" s="58">
        <f>VLOOKUP(Table13[[#This Row],[Date]],database!A:F,6,)</f>
        <v/>
      </c>
      <c r="C23" s="66">
        <f>B23/B22-1</f>
        <v/>
      </c>
      <c r="D23" s="66">
        <f>(Table13[[#This Row],[Index]]-B11)/B11</f>
        <v/>
      </c>
    </row>
    <row r="24">
      <c r="A24" s="17" t="n">
        <v>26816</v>
      </c>
      <c r="B24" s="58">
        <f>VLOOKUP(Table13[[#This Row],[Date]],database!A:F,6,)</f>
        <v/>
      </c>
      <c r="C24" s="66">
        <f>B24/B23-1</f>
        <v/>
      </c>
      <c r="D24" s="66">
        <f>(Table13[[#This Row],[Index]]-B12)/B12</f>
        <v/>
      </c>
    </row>
    <row r="25">
      <c r="A25" s="17" t="n">
        <v>26846</v>
      </c>
      <c r="B25" s="58">
        <f>VLOOKUP(Table13[[#This Row],[Date]],database!A:F,6,)</f>
        <v/>
      </c>
      <c r="C25" s="66">
        <f>B25/B24-1</f>
        <v/>
      </c>
      <c r="D25" s="66">
        <f>(Table13[[#This Row],[Index]]-B13)/B13</f>
        <v/>
      </c>
    </row>
    <row r="26">
      <c r="A26" s="17" t="n">
        <v>26877</v>
      </c>
      <c r="B26" s="58">
        <f>VLOOKUP(Table13[[#This Row],[Date]],database!A:F,6,)</f>
        <v/>
      </c>
      <c r="C26" s="66">
        <f>B26/B25-1</f>
        <v/>
      </c>
      <c r="D26" s="66">
        <f>(Table13[[#This Row],[Index]]-B14)/B14</f>
        <v/>
      </c>
    </row>
    <row r="27">
      <c r="A27" s="17" t="n">
        <v>26908</v>
      </c>
      <c r="B27" s="58">
        <f>VLOOKUP(Table13[[#This Row],[Date]],database!A:F,6,)</f>
        <v/>
      </c>
      <c r="C27" s="66">
        <f>B27/B26-1</f>
        <v/>
      </c>
      <c r="D27" s="66">
        <f>(Table13[[#This Row],[Index]]-B15)/B15</f>
        <v/>
      </c>
    </row>
    <row r="28">
      <c r="A28" s="17" t="n">
        <v>26938</v>
      </c>
      <c r="B28" s="58">
        <f>VLOOKUP(Table13[[#This Row],[Date]],database!A:F,6,)</f>
        <v/>
      </c>
      <c r="C28" s="66">
        <f>B28/B27-1</f>
        <v/>
      </c>
      <c r="D28" s="66">
        <f>(Table13[[#This Row],[Index]]-B16)/B16</f>
        <v/>
      </c>
    </row>
    <row r="29">
      <c r="A29" s="17" t="n">
        <v>26969</v>
      </c>
      <c r="B29" s="58">
        <f>VLOOKUP(Table13[[#This Row],[Date]],database!A:F,6,)</f>
        <v/>
      </c>
      <c r="C29" s="66">
        <f>B29/B28-1</f>
        <v/>
      </c>
      <c r="D29" s="66">
        <f>(Table13[[#This Row],[Index]]-B17)/B17</f>
        <v/>
      </c>
    </row>
    <row r="30">
      <c r="A30" s="17" t="n">
        <v>26999</v>
      </c>
      <c r="B30" s="58">
        <f>VLOOKUP(Table13[[#This Row],[Date]],database!A:F,6,)</f>
        <v/>
      </c>
      <c r="C30" s="66">
        <f>B30/B29-1</f>
        <v/>
      </c>
      <c r="D30" s="66">
        <f>(Table13[[#This Row],[Index]]-B18)/B18</f>
        <v/>
      </c>
    </row>
    <row r="31">
      <c r="A31" s="17" t="n">
        <v>27030</v>
      </c>
      <c r="B31" s="58">
        <f>VLOOKUP(Table13[[#This Row],[Date]],database!A:F,6,)</f>
        <v/>
      </c>
      <c r="C31" s="66">
        <f>B31/B30-1</f>
        <v/>
      </c>
      <c r="D31" s="66">
        <f>(Table13[[#This Row],[Index]]-B19)/B19</f>
        <v/>
      </c>
    </row>
    <row r="32">
      <c r="A32" s="17" t="n">
        <v>27061</v>
      </c>
      <c r="B32" s="58">
        <f>VLOOKUP(Table13[[#This Row],[Date]],database!A:F,6,)</f>
        <v/>
      </c>
      <c r="C32" s="66">
        <f>B32/B31-1</f>
        <v/>
      </c>
      <c r="D32" s="66">
        <f>(Table13[[#This Row],[Index]]-B20)/B20</f>
        <v/>
      </c>
    </row>
    <row r="33">
      <c r="A33" s="17" t="n">
        <v>27089</v>
      </c>
      <c r="B33" s="58">
        <f>VLOOKUP(Table13[[#This Row],[Date]],database!A:F,6,)</f>
        <v/>
      </c>
      <c r="C33" s="66">
        <f>B33/B32-1</f>
        <v/>
      </c>
      <c r="D33" s="66">
        <f>(Table13[[#This Row],[Index]]-B21)/B21</f>
        <v/>
      </c>
    </row>
    <row r="34">
      <c r="A34" s="17" t="n">
        <v>27120</v>
      </c>
      <c r="B34" s="58">
        <f>VLOOKUP(Table13[[#This Row],[Date]],database!A:F,6,)</f>
        <v/>
      </c>
      <c r="C34" s="66">
        <f>B34/B33-1</f>
        <v/>
      </c>
      <c r="D34" s="66">
        <f>(Table13[[#This Row],[Index]]-B22)/B22</f>
        <v/>
      </c>
    </row>
    <row r="35">
      <c r="A35" s="17" t="n">
        <v>27150</v>
      </c>
      <c r="B35" s="58">
        <f>VLOOKUP(Table13[[#This Row],[Date]],database!A:F,6,)</f>
        <v/>
      </c>
      <c r="C35" s="66">
        <f>B35/B34-1</f>
        <v/>
      </c>
      <c r="D35" s="66">
        <f>(Table13[[#This Row],[Index]]-B23)/B23</f>
        <v/>
      </c>
    </row>
    <row r="36">
      <c r="A36" s="17" t="n">
        <v>27181</v>
      </c>
      <c r="B36" s="58">
        <f>VLOOKUP(Table13[[#This Row],[Date]],database!A:F,6,)</f>
        <v/>
      </c>
      <c r="C36" s="66">
        <f>B36/B35-1</f>
        <v/>
      </c>
      <c r="D36" s="66">
        <f>(Table13[[#This Row],[Index]]-B24)/B24</f>
        <v/>
      </c>
    </row>
    <row r="37">
      <c r="A37" s="17" t="n">
        <v>27211</v>
      </c>
      <c r="B37" s="58">
        <f>VLOOKUP(Table13[[#This Row],[Date]],database!A:F,6,)</f>
        <v/>
      </c>
      <c r="C37" s="66">
        <f>B37/B36-1</f>
        <v/>
      </c>
      <c r="D37" s="66">
        <f>(Table13[[#This Row],[Index]]-B25)/B25</f>
        <v/>
      </c>
    </row>
    <row r="38">
      <c r="A38" s="17" t="n">
        <v>27242</v>
      </c>
      <c r="B38" s="58">
        <f>VLOOKUP(Table13[[#This Row],[Date]],database!A:F,6,)</f>
        <v/>
      </c>
      <c r="C38" s="66">
        <f>B38/B37-1</f>
        <v/>
      </c>
      <c r="D38" s="66">
        <f>(Table13[[#This Row],[Index]]-B26)/B26</f>
        <v/>
      </c>
    </row>
    <row r="39">
      <c r="A39" s="17" t="n">
        <v>27273</v>
      </c>
      <c r="B39" s="58">
        <f>VLOOKUP(Table13[[#This Row],[Date]],database!A:F,6,)</f>
        <v/>
      </c>
      <c r="C39" s="66">
        <f>B39/B38-1</f>
        <v/>
      </c>
      <c r="D39" s="66">
        <f>(Table13[[#This Row],[Index]]-B27)/B27</f>
        <v/>
      </c>
    </row>
    <row r="40">
      <c r="A40" s="17" t="n">
        <v>27303</v>
      </c>
      <c r="B40" s="58">
        <f>VLOOKUP(Table13[[#This Row],[Date]],database!A:F,6,)</f>
        <v/>
      </c>
      <c r="C40" s="66">
        <f>B40/B39-1</f>
        <v/>
      </c>
      <c r="D40" s="66">
        <f>(Table13[[#This Row],[Index]]-B28)/B28</f>
        <v/>
      </c>
    </row>
    <row r="41">
      <c r="A41" s="17" t="n">
        <v>27334</v>
      </c>
      <c r="B41" s="58">
        <f>VLOOKUP(Table13[[#This Row],[Date]],database!A:F,6,)</f>
        <v/>
      </c>
      <c r="C41" s="66">
        <f>B41/B40-1</f>
        <v/>
      </c>
      <c r="D41" s="66">
        <f>(Table13[[#This Row],[Index]]-B29)/B29</f>
        <v/>
      </c>
    </row>
    <row r="42">
      <c r="A42" s="17" t="n">
        <v>27364</v>
      </c>
      <c r="B42" s="58">
        <f>VLOOKUP(Table13[[#This Row],[Date]],database!A:F,6,)</f>
        <v/>
      </c>
      <c r="C42" s="66">
        <f>B42/B41-1</f>
        <v/>
      </c>
      <c r="D42" s="66">
        <f>(Table13[[#This Row],[Index]]-B30)/B30</f>
        <v/>
      </c>
    </row>
    <row r="43">
      <c r="A43" s="17" t="n">
        <v>27395</v>
      </c>
      <c r="B43" s="58">
        <f>VLOOKUP(Table13[[#This Row],[Date]],database!A:F,6,)</f>
        <v/>
      </c>
      <c r="C43" s="66">
        <f>B43/B42-1</f>
        <v/>
      </c>
      <c r="D43" s="66">
        <f>(Table13[[#This Row],[Index]]-B31)/B31</f>
        <v/>
      </c>
    </row>
    <row r="44">
      <c r="A44" s="17" t="n">
        <v>27426</v>
      </c>
      <c r="B44" s="58">
        <f>VLOOKUP(Table13[[#This Row],[Date]],database!A:F,6,)</f>
        <v/>
      </c>
      <c r="C44" s="66">
        <f>B44/B43-1</f>
        <v/>
      </c>
      <c r="D44" s="66">
        <f>(Table13[[#This Row],[Index]]-B32)/B32</f>
        <v/>
      </c>
    </row>
    <row r="45">
      <c r="A45" s="17" t="n">
        <v>27454</v>
      </c>
      <c r="B45" s="58">
        <f>VLOOKUP(Table13[[#This Row],[Date]],database!A:F,6,)</f>
        <v/>
      </c>
      <c r="C45" s="66">
        <f>B45/B44-1</f>
        <v/>
      </c>
      <c r="D45" s="66">
        <f>(Table13[[#This Row],[Index]]-B33)/B33</f>
        <v/>
      </c>
    </row>
    <row r="46">
      <c r="A46" s="17" t="n">
        <v>27485</v>
      </c>
      <c r="B46" s="58">
        <f>VLOOKUP(Table13[[#This Row],[Date]],database!A:F,6,)</f>
        <v/>
      </c>
      <c r="C46" s="66">
        <f>B46/B45-1</f>
        <v/>
      </c>
      <c r="D46" s="66">
        <f>(Table13[[#This Row],[Index]]-B34)/B34</f>
        <v/>
      </c>
    </row>
    <row r="47">
      <c r="A47" s="17" t="n">
        <v>27515</v>
      </c>
      <c r="B47" s="58">
        <f>VLOOKUP(Table13[[#This Row],[Date]],database!A:F,6,)</f>
        <v/>
      </c>
      <c r="C47" s="66">
        <f>B47/B46-1</f>
        <v/>
      </c>
      <c r="D47" s="66">
        <f>(Table13[[#This Row],[Index]]-B35)/B35</f>
        <v/>
      </c>
    </row>
    <row r="48">
      <c r="A48" s="17" t="n">
        <v>27546</v>
      </c>
      <c r="B48" s="58">
        <f>VLOOKUP(Table13[[#This Row],[Date]],database!A:F,6,)</f>
        <v/>
      </c>
      <c r="C48" s="66">
        <f>B48/B47-1</f>
        <v/>
      </c>
      <c r="D48" s="66">
        <f>(Table13[[#This Row],[Index]]-B36)/B36</f>
        <v/>
      </c>
    </row>
    <row r="49">
      <c r="A49" s="17" t="n">
        <v>27576</v>
      </c>
      <c r="B49" s="58">
        <f>VLOOKUP(Table13[[#This Row],[Date]],database!A:F,6,)</f>
        <v/>
      </c>
      <c r="C49" s="66">
        <f>B49/B48-1</f>
        <v/>
      </c>
      <c r="D49" s="66">
        <f>(Table13[[#This Row],[Index]]-B37)/B37</f>
        <v/>
      </c>
    </row>
    <row r="50">
      <c r="A50" s="17" t="n">
        <v>27607</v>
      </c>
      <c r="B50" s="58">
        <f>VLOOKUP(Table13[[#This Row],[Date]],database!A:F,6,)</f>
        <v/>
      </c>
      <c r="C50" s="66">
        <f>B50/B49-1</f>
        <v/>
      </c>
      <c r="D50" s="66">
        <f>(Table13[[#This Row],[Index]]-B38)/B38</f>
        <v/>
      </c>
    </row>
    <row r="51">
      <c r="A51" s="17" t="n">
        <v>27638</v>
      </c>
      <c r="B51" s="58">
        <f>VLOOKUP(Table13[[#This Row],[Date]],database!A:F,6,)</f>
        <v/>
      </c>
      <c r="C51" s="66">
        <f>B51/B50-1</f>
        <v/>
      </c>
      <c r="D51" s="66">
        <f>(Table13[[#This Row],[Index]]-B39)/B39</f>
        <v/>
      </c>
    </row>
    <row r="52">
      <c r="A52" s="17" t="n">
        <v>27668</v>
      </c>
      <c r="B52" s="58">
        <f>VLOOKUP(Table13[[#This Row],[Date]],database!A:F,6,)</f>
        <v/>
      </c>
      <c r="C52" s="66">
        <f>B52/B51-1</f>
        <v/>
      </c>
      <c r="D52" s="66">
        <f>(Table13[[#This Row],[Index]]-B40)/B40</f>
        <v/>
      </c>
    </row>
    <row r="53">
      <c r="A53" s="17" t="n">
        <v>27699</v>
      </c>
      <c r="B53" s="58">
        <f>VLOOKUP(Table13[[#This Row],[Date]],database!A:F,6,)</f>
        <v/>
      </c>
      <c r="C53" s="66">
        <f>B53/B52-1</f>
        <v/>
      </c>
      <c r="D53" s="66">
        <f>(Table13[[#This Row],[Index]]-B41)/B41</f>
        <v/>
      </c>
    </row>
    <row r="54">
      <c r="A54" s="17" t="n">
        <v>27729</v>
      </c>
      <c r="B54" s="58">
        <f>VLOOKUP(Table13[[#This Row],[Date]],database!A:F,6,)</f>
        <v/>
      </c>
      <c r="C54" s="66">
        <f>B54/B53-1</f>
        <v/>
      </c>
      <c r="D54" s="66">
        <f>(Table13[[#This Row],[Index]]-B42)/B42</f>
        <v/>
      </c>
    </row>
    <row r="55">
      <c r="A55" s="17" t="n">
        <v>27760</v>
      </c>
      <c r="B55" s="58">
        <f>VLOOKUP(Table13[[#This Row],[Date]],database!A:F,6,)</f>
        <v/>
      </c>
      <c r="C55" s="66">
        <f>B55/B54-1</f>
        <v/>
      </c>
      <c r="D55" s="66">
        <f>(Table13[[#This Row],[Index]]-B43)/B43</f>
        <v/>
      </c>
    </row>
    <row r="56">
      <c r="A56" s="17" t="n">
        <v>27791</v>
      </c>
      <c r="B56" s="58">
        <f>VLOOKUP(Table13[[#This Row],[Date]],database!A:F,6,)</f>
        <v/>
      </c>
      <c r="C56" s="66">
        <f>B56/B55-1</f>
        <v/>
      </c>
      <c r="D56" s="66">
        <f>(Table13[[#This Row],[Index]]-B44)/B44</f>
        <v/>
      </c>
    </row>
    <row r="57">
      <c r="A57" s="17" t="n">
        <v>27820</v>
      </c>
      <c r="B57" s="58">
        <f>VLOOKUP(Table13[[#This Row],[Date]],database!A:F,6,)</f>
        <v/>
      </c>
      <c r="C57" s="66">
        <f>B57/B56-1</f>
        <v/>
      </c>
      <c r="D57" s="66">
        <f>(Table13[[#This Row],[Index]]-B45)/B45</f>
        <v/>
      </c>
    </row>
    <row r="58">
      <c r="A58" s="17" t="n">
        <v>27851</v>
      </c>
      <c r="B58" s="58">
        <f>VLOOKUP(Table13[[#This Row],[Date]],database!A:F,6,)</f>
        <v/>
      </c>
      <c r="C58" s="66">
        <f>B58/B57-1</f>
        <v/>
      </c>
      <c r="D58" s="66">
        <f>(Table13[[#This Row],[Index]]-B46)/B46</f>
        <v/>
      </c>
    </row>
    <row r="59">
      <c r="A59" s="17" t="n">
        <v>27881</v>
      </c>
      <c r="B59" s="58">
        <f>VLOOKUP(Table13[[#This Row],[Date]],database!A:F,6,)</f>
        <v/>
      </c>
      <c r="C59" s="66">
        <f>B59/B58-1</f>
        <v/>
      </c>
      <c r="D59" s="66">
        <f>(Table13[[#This Row],[Index]]-B47)/B47</f>
        <v/>
      </c>
    </row>
    <row r="60">
      <c r="A60" s="17" t="n">
        <v>27912</v>
      </c>
      <c r="B60" s="58">
        <f>VLOOKUP(Table13[[#This Row],[Date]],database!A:F,6,)</f>
        <v/>
      </c>
      <c r="C60" s="66">
        <f>B60/B59-1</f>
        <v/>
      </c>
      <c r="D60" s="66">
        <f>(Table13[[#This Row],[Index]]-B48)/B48</f>
        <v/>
      </c>
    </row>
    <row r="61">
      <c r="A61" s="17" t="n">
        <v>27942</v>
      </c>
      <c r="B61" s="58">
        <f>VLOOKUP(Table13[[#This Row],[Date]],database!A:F,6,)</f>
        <v/>
      </c>
      <c r="C61" s="66">
        <f>B61/B60-1</f>
        <v/>
      </c>
      <c r="D61" s="66">
        <f>(Table13[[#This Row],[Index]]-B49)/B49</f>
        <v/>
      </c>
    </row>
    <row r="62">
      <c r="A62" s="17" t="n">
        <v>27973</v>
      </c>
      <c r="B62" s="58">
        <f>VLOOKUP(Table13[[#This Row],[Date]],database!A:F,6,)</f>
        <v/>
      </c>
      <c r="C62" s="66">
        <f>B62/B61-1</f>
        <v/>
      </c>
      <c r="D62" s="66">
        <f>(Table13[[#This Row],[Index]]-B50)/B50</f>
        <v/>
      </c>
    </row>
    <row r="63">
      <c r="A63" s="17" t="n">
        <v>28004</v>
      </c>
      <c r="B63" s="58">
        <f>VLOOKUP(Table13[[#This Row],[Date]],database!A:F,6,)</f>
        <v/>
      </c>
      <c r="C63" s="66">
        <f>B63/B62-1</f>
        <v/>
      </c>
      <c r="D63" s="66">
        <f>(Table13[[#This Row],[Index]]-B51)/B51</f>
        <v/>
      </c>
    </row>
    <row r="64">
      <c r="A64" s="17" t="n">
        <v>28034</v>
      </c>
      <c r="B64" s="58">
        <f>VLOOKUP(Table13[[#This Row],[Date]],database!A:F,6,)</f>
        <v/>
      </c>
      <c r="C64" s="66">
        <f>B64/B63-1</f>
        <v/>
      </c>
      <c r="D64" s="66">
        <f>(Table13[[#This Row],[Index]]-B52)/B52</f>
        <v/>
      </c>
    </row>
    <row r="65">
      <c r="A65" s="17" t="n">
        <v>28065</v>
      </c>
      <c r="B65" s="58">
        <f>VLOOKUP(Table13[[#This Row],[Date]],database!A:F,6,)</f>
        <v/>
      </c>
      <c r="C65" s="66">
        <f>B65/B64-1</f>
        <v/>
      </c>
      <c r="D65" s="66">
        <f>(Table13[[#This Row],[Index]]-B53)/B53</f>
        <v/>
      </c>
    </row>
    <row r="66">
      <c r="A66" s="17" t="n">
        <v>28095</v>
      </c>
      <c r="B66" s="58">
        <f>VLOOKUP(Table13[[#This Row],[Date]],database!A:F,6,)</f>
        <v/>
      </c>
      <c r="C66" s="66">
        <f>B66/B65-1</f>
        <v/>
      </c>
      <c r="D66" s="66">
        <f>(Table13[[#This Row],[Index]]-B54)/B54</f>
        <v/>
      </c>
    </row>
    <row r="67">
      <c r="A67" s="17" t="n">
        <v>28126</v>
      </c>
      <c r="B67" s="58">
        <f>VLOOKUP(Table13[[#This Row],[Date]],database!A:F,6,)</f>
        <v/>
      </c>
      <c r="C67" s="66">
        <f>B67/B66-1</f>
        <v/>
      </c>
      <c r="D67" s="66">
        <f>(Table13[[#This Row],[Index]]-B55)/B55</f>
        <v/>
      </c>
    </row>
    <row r="68">
      <c r="A68" s="17" t="n">
        <v>28157</v>
      </c>
      <c r="B68" s="58">
        <f>VLOOKUP(Table13[[#This Row],[Date]],database!A:F,6,)</f>
        <v/>
      </c>
      <c r="C68" s="66">
        <f>B68/B67-1</f>
        <v/>
      </c>
      <c r="D68" s="66">
        <f>(Table13[[#This Row],[Index]]-B56)/B56</f>
        <v/>
      </c>
    </row>
    <row r="69">
      <c r="A69" s="17" t="n">
        <v>28185</v>
      </c>
      <c r="B69" s="58">
        <f>VLOOKUP(Table13[[#This Row],[Date]],database!A:F,6,)</f>
        <v/>
      </c>
      <c r="C69" s="66">
        <f>B69/B68-1</f>
        <v/>
      </c>
      <c r="D69" s="66">
        <f>(Table13[[#This Row],[Index]]-B57)/B57</f>
        <v/>
      </c>
    </row>
    <row r="70">
      <c r="A70" s="17" t="n">
        <v>28216</v>
      </c>
      <c r="B70" s="58">
        <f>VLOOKUP(Table13[[#This Row],[Date]],database!A:F,6,)</f>
        <v/>
      </c>
      <c r="C70" s="66">
        <f>B70/B69-1</f>
        <v/>
      </c>
      <c r="D70" s="66">
        <f>(Table13[[#This Row],[Index]]-B58)/B58</f>
        <v/>
      </c>
    </row>
    <row r="71">
      <c r="A71" s="17" t="n">
        <v>28246</v>
      </c>
      <c r="B71" s="58">
        <f>VLOOKUP(Table13[[#This Row],[Date]],database!A:F,6,)</f>
        <v/>
      </c>
      <c r="C71" s="66">
        <f>B71/B70-1</f>
        <v/>
      </c>
      <c r="D71" s="66">
        <f>(Table13[[#This Row],[Index]]-B59)/B59</f>
        <v/>
      </c>
    </row>
    <row r="72">
      <c r="A72" s="17" t="n">
        <v>28277</v>
      </c>
      <c r="B72" s="58">
        <f>VLOOKUP(Table13[[#This Row],[Date]],database!A:F,6,)</f>
        <v/>
      </c>
      <c r="C72" s="66">
        <f>B72/B71-1</f>
        <v/>
      </c>
      <c r="D72" s="66">
        <f>(Table13[[#This Row],[Index]]-B60)/B60</f>
        <v/>
      </c>
    </row>
    <row r="73">
      <c r="A73" s="17" t="n">
        <v>28307</v>
      </c>
      <c r="B73" s="58">
        <f>VLOOKUP(Table13[[#This Row],[Date]],database!A:F,6,)</f>
        <v/>
      </c>
      <c r="C73" s="66">
        <f>B73/B72-1</f>
        <v/>
      </c>
      <c r="D73" s="66">
        <f>(Table13[[#This Row],[Index]]-B61)/B61</f>
        <v/>
      </c>
    </row>
    <row r="74">
      <c r="A74" s="17" t="n">
        <v>28338</v>
      </c>
      <c r="B74" s="58">
        <f>VLOOKUP(Table13[[#This Row],[Date]],database!A:F,6,)</f>
        <v/>
      </c>
      <c r="C74" s="66">
        <f>B74/B73-1</f>
        <v/>
      </c>
      <c r="D74" s="66">
        <f>(Table13[[#This Row],[Index]]-B62)/B62</f>
        <v/>
      </c>
    </row>
    <row r="75">
      <c r="A75" s="17" t="n">
        <v>28369</v>
      </c>
      <c r="B75" s="58">
        <f>VLOOKUP(Table13[[#This Row],[Date]],database!A:F,6,)</f>
        <v/>
      </c>
      <c r="C75" s="66">
        <f>B75/B74-1</f>
        <v/>
      </c>
      <c r="D75" s="66">
        <f>(Table13[[#This Row],[Index]]-B63)/B63</f>
        <v/>
      </c>
    </row>
    <row r="76">
      <c r="A76" s="17" t="n">
        <v>28399</v>
      </c>
      <c r="B76" s="58">
        <f>VLOOKUP(Table13[[#This Row],[Date]],database!A:F,6,)</f>
        <v/>
      </c>
      <c r="C76" s="66">
        <f>B76/B75-1</f>
        <v/>
      </c>
      <c r="D76" s="66">
        <f>(Table13[[#This Row],[Index]]-B64)/B64</f>
        <v/>
      </c>
    </row>
    <row r="77">
      <c r="A77" s="17" t="n">
        <v>28430</v>
      </c>
      <c r="B77" s="58">
        <f>VLOOKUP(Table13[[#This Row],[Date]],database!A:F,6,)</f>
        <v/>
      </c>
      <c r="C77" s="66">
        <f>B77/B76-1</f>
        <v/>
      </c>
      <c r="D77" s="66">
        <f>(Table13[[#This Row],[Index]]-B65)/B65</f>
        <v/>
      </c>
    </row>
    <row r="78">
      <c r="A78" s="17" t="n">
        <v>28460</v>
      </c>
      <c r="B78" s="58">
        <f>VLOOKUP(Table13[[#This Row],[Date]],database!A:F,6,)</f>
        <v/>
      </c>
      <c r="C78" s="66">
        <f>B78/B77-1</f>
        <v/>
      </c>
      <c r="D78" s="66">
        <f>(Table13[[#This Row],[Index]]-B66)/B66</f>
        <v/>
      </c>
    </row>
    <row r="79">
      <c r="A79" s="17" t="n">
        <v>28491</v>
      </c>
      <c r="B79" s="58">
        <f>VLOOKUP(Table13[[#This Row],[Date]],database!A:F,6,)</f>
        <v/>
      </c>
      <c r="C79" s="66">
        <f>B79/B78-1</f>
        <v/>
      </c>
      <c r="D79" s="66">
        <f>(Table13[[#This Row],[Index]]-B67)/B67</f>
        <v/>
      </c>
    </row>
    <row r="80">
      <c r="A80" s="17" t="n">
        <v>28522</v>
      </c>
      <c r="B80" s="58">
        <f>VLOOKUP(Table13[[#This Row],[Date]],database!A:F,6,)</f>
        <v/>
      </c>
      <c r="C80" s="66">
        <f>B80/B79-1</f>
        <v/>
      </c>
      <c r="D80" s="66">
        <f>(Table13[[#This Row],[Index]]-B68)/B68</f>
        <v/>
      </c>
    </row>
    <row r="81">
      <c r="A81" s="17" t="n">
        <v>28550</v>
      </c>
      <c r="B81" s="58">
        <f>VLOOKUP(Table13[[#This Row],[Date]],database!A:F,6,)</f>
        <v/>
      </c>
      <c r="C81" s="66">
        <f>B81/B80-1</f>
        <v/>
      </c>
      <c r="D81" s="66">
        <f>(Table13[[#This Row],[Index]]-B69)/B69</f>
        <v/>
      </c>
    </row>
    <row r="82">
      <c r="A82" s="17" t="n">
        <v>28581</v>
      </c>
      <c r="B82" s="58">
        <f>VLOOKUP(Table13[[#This Row],[Date]],database!A:F,6,)</f>
        <v/>
      </c>
      <c r="C82" s="66">
        <f>B82/B81-1</f>
        <v/>
      </c>
      <c r="D82" s="66">
        <f>(Table13[[#This Row],[Index]]-B70)/B70</f>
        <v/>
      </c>
    </row>
    <row r="83">
      <c r="A83" s="17" t="n">
        <v>28611</v>
      </c>
      <c r="B83" s="58">
        <f>VLOOKUP(Table13[[#This Row],[Date]],database!A:F,6,)</f>
        <v/>
      </c>
      <c r="C83" s="66">
        <f>B83/B82-1</f>
        <v/>
      </c>
      <c r="D83" s="66">
        <f>(Table13[[#This Row],[Index]]-B71)/B71</f>
        <v/>
      </c>
    </row>
    <row r="84">
      <c r="A84" s="17" t="n">
        <v>28642</v>
      </c>
      <c r="B84" s="58">
        <f>VLOOKUP(Table13[[#This Row],[Date]],database!A:F,6,)</f>
        <v/>
      </c>
      <c r="C84" s="66">
        <f>B84/B83-1</f>
        <v/>
      </c>
      <c r="D84" s="66">
        <f>(Table13[[#This Row],[Index]]-B72)/B72</f>
        <v/>
      </c>
    </row>
    <row r="85">
      <c r="A85" s="17" t="n">
        <v>28672</v>
      </c>
      <c r="B85" s="58">
        <f>VLOOKUP(Table13[[#This Row],[Date]],database!A:F,6,)</f>
        <v/>
      </c>
      <c r="C85" s="66">
        <f>B85/B84-1</f>
        <v/>
      </c>
      <c r="D85" s="66">
        <f>(Table13[[#This Row],[Index]]-B73)/B73</f>
        <v/>
      </c>
    </row>
    <row r="86">
      <c r="A86" s="17" t="n">
        <v>28703</v>
      </c>
      <c r="B86" s="58">
        <f>VLOOKUP(Table13[[#This Row],[Date]],database!A:F,6,)</f>
        <v/>
      </c>
      <c r="C86" s="66">
        <f>B86/B85-1</f>
        <v/>
      </c>
      <c r="D86" s="66">
        <f>(Table13[[#This Row],[Index]]-B74)/B74</f>
        <v/>
      </c>
    </row>
    <row r="87">
      <c r="A87" s="17" t="n">
        <v>28734</v>
      </c>
      <c r="B87" s="58">
        <f>VLOOKUP(Table13[[#This Row],[Date]],database!A:F,6,)</f>
        <v/>
      </c>
      <c r="C87" s="66">
        <f>B87/B86-1</f>
        <v/>
      </c>
      <c r="D87" s="66">
        <f>(Table13[[#This Row],[Index]]-B75)/B75</f>
        <v/>
      </c>
    </row>
    <row r="88">
      <c r="A88" s="17" t="n">
        <v>28764</v>
      </c>
      <c r="B88" s="58">
        <f>VLOOKUP(Table13[[#This Row],[Date]],database!A:F,6,)</f>
        <v/>
      </c>
      <c r="C88" s="66">
        <f>B88/B87-1</f>
        <v/>
      </c>
      <c r="D88" s="66">
        <f>(Table13[[#This Row],[Index]]-B76)/B76</f>
        <v/>
      </c>
    </row>
    <row r="89">
      <c r="A89" s="17" t="n">
        <v>28795</v>
      </c>
      <c r="B89" s="58">
        <f>VLOOKUP(Table13[[#This Row],[Date]],database!A:F,6,)</f>
        <v/>
      </c>
      <c r="C89" s="66">
        <f>B89/B88-1</f>
        <v/>
      </c>
      <c r="D89" s="66">
        <f>(Table13[[#This Row],[Index]]-B77)/B77</f>
        <v/>
      </c>
    </row>
    <row r="90">
      <c r="A90" s="17" t="n">
        <v>28825</v>
      </c>
      <c r="B90" s="58">
        <f>VLOOKUP(Table13[[#This Row],[Date]],database!A:F,6,)</f>
        <v/>
      </c>
      <c r="C90" s="66">
        <f>B90/B89-1</f>
        <v/>
      </c>
      <c r="D90" s="66">
        <f>(Table13[[#This Row],[Index]]-B78)/B78</f>
        <v/>
      </c>
    </row>
    <row r="91">
      <c r="A91" s="17" t="n">
        <v>28856</v>
      </c>
      <c r="B91" s="58">
        <f>VLOOKUP(Table13[[#This Row],[Date]],database!A:F,6,)</f>
        <v/>
      </c>
      <c r="C91" s="66">
        <f>B91/B90-1</f>
        <v/>
      </c>
      <c r="D91" s="66">
        <f>(Table13[[#This Row],[Index]]-B79)/B79</f>
        <v/>
      </c>
    </row>
    <row r="92">
      <c r="A92" s="17" t="n">
        <v>28887</v>
      </c>
      <c r="B92" s="58">
        <f>VLOOKUP(Table13[[#This Row],[Date]],database!A:F,6,)</f>
        <v/>
      </c>
      <c r="C92" s="66">
        <f>B92/B91-1</f>
        <v/>
      </c>
      <c r="D92" s="66">
        <f>(Table13[[#This Row],[Index]]-B80)/B80</f>
        <v/>
      </c>
    </row>
    <row r="93">
      <c r="A93" s="17" t="n">
        <v>28915</v>
      </c>
      <c r="B93" s="58">
        <f>VLOOKUP(Table13[[#This Row],[Date]],database!A:F,6,)</f>
        <v/>
      </c>
      <c r="C93" s="66">
        <f>B93/B92-1</f>
        <v/>
      </c>
      <c r="D93" s="66">
        <f>(Table13[[#This Row],[Index]]-B81)/B81</f>
        <v/>
      </c>
    </row>
    <row r="94">
      <c r="A94" s="17" t="n">
        <v>28946</v>
      </c>
      <c r="B94" s="58">
        <f>VLOOKUP(Table13[[#This Row],[Date]],database!A:F,6,)</f>
        <v/>
      </c>
      <c r="C94" s="66">
        <f>B94/B93-1</f>
        <v/>
      </c>
      <c r="D94" s="66">
        <f>(Table13[[#This Row],[Index]]-B82)/B82</f>
        <v/>
      </c>
    </row>
    <row r="95">
      <c r="A95" s="17" t="n">
        <v>28976</v>
      </c>
      <c r="B95" s="58">
        <f>VLOOKUP(Table13[[#This Row],[Date]],database!A:F,6,)</f>
        <v/>
      </c>
      <c r="C95" s="66">
        <f>B95/B94-1</f>
        <v/>
      </c>
      <c r="D95" s="66">
        <f>(Table13[[#This Row],[Index]]-B83)/B83</f>
        <v/>
      </c>
    </row>
    <row r="96">
      <c r="A96" s="17" t="n">
        <v>29007</v>
      </c>
      <c r="B96" s="58">
        <f>VLOOKUP(Table13[[#This Row],[Date]],database!A:F,6,)</f>
        <v/>
      </c>
      <c r="C96" s="66">
        <f>B96/B95-1</f>
        <v/>
      </c>
      <c r="D96" s="66">
        <f>(Table13[[#This Row],[Index]]-B84)/B84</f>
        <v/>
      </c>
    </row>
    <row r="97">
      <c r="A97" s="17" t="n">
        <v>29037</v>
      </c>
      <c r="B97" s="58">
        <f>VLOOKUP(Table13[[#This Row],[Date]],database!A:F,6,)</f>
        <v/>
      </c>
      <c r="C97" s="66">
        <f>B97/B96-1</f>
        <v/>
      </c>
      <c r="D97" s="66">
        <f>(Table13[[#This Row],[Index]]-B85)/B85</f>
        <v/>
      </c>
    </row>
    <row r="98">
      <c r="A98" s="17" t="n">
        <v>29068</v>
      </c>
      <c r="B98" s="58">
        <f>VLOOKUP(Table13[[#This Row],[Date]],database!A:F,6,)</f>
        <v/>
      </c>
      <c r="C98" s="66">
        <f>B98/B97-1</f>
        <v/>
      </c>
      <c r="D98" s="66">
        <f>(Table13[[#This Row],[Index]]-B86)/B86</f>
        <v/>
      </c>
    </row>
    <row r="99">
      <c r="A99" s="17" t="n">
        <v>29099</v>
      </c>
      <c r="B99" s="58">
        <f>VLOOKUP(Table13[[#This Row],[Date]],database!A:F,6,)</f>
        <v/>
      </c>
      <c r="C99" s="66">
        <f>B99/B98-1</f>
        <v/>
      </c>
      <c r="D99" s="66">
        <f>(Table13[[#This Row],[Index]]-B87)/B87</f>
        <v/>
      </c>
    </row>
    <row r="100">
      <c r="A100" s="17" t="n">
        <v>29129</v>
      </c>
      <c r="B100" s="58">
        <f>VLOOKUP(Table13[[#This Row],[Date]],database!A:F,6,)</f>
        <v/>
      </c>
      <c r="C100" s="66">
        <f>B100/B99-1</f>
        <v/>
      </c>
      <c r="D100" s="66">
        <f>(Table13[[#This Row],[Index]]-B88)/B88</f>
        <v/>
      </c>
    </row>
    <row r="101">
      <c r="A101" s="17" t="n">
        <v>29160</v>
      </c>
      <c r="B101" s="58">
        <f>VLOOKUP(Table13[[#This Row],[Date]],database!A:F,6,)</f>
        <v/>
      </c>
      <c r="C101" s="66">
        <f>B101/B100-1</f>
        <v/>
      </c>
      <c r="D101" s="66">
        <f>(Table13[[#This Row],[Index]]-B89)/B89</f>
        <v/>
      </c>
    </row>
    <row r="102">
      <c r="A102" s="17" t="n">
        <v>29190</v>
      </c>
      <c r="B102" s="58">
        <f>VLOOKUP(Table13[[#This Row],[Date]],database!A:F,6,)</f>
        <v/>
      </c>
      <c r="C102" s="66">
        <f>B102/B101-1</f>
        <v/>
      </c>
      <c r="D102" s="66">
        <f>(Table13[[#This Row],[Index]]-B90)/B90</f>
        <v/>
      </c>
    </row>
    <row r="103">
      <c r="A103" s="17" t="n">
        <v>29221</v>
      </c>
      <c r="B103" s="58">
        <f>VLOOKUP(Table13[[#This Row],[Date]],database!A:F,6,)</f>
        <v/>
      </c>
      <c r="C103" s="66">
        <f>B103/B102-1</f>
        <v/>
      </c>
      <c r="D103" s="66">
        <f>(Table13[[#This Row],[Index]]-B91)/B91</f>
        <v/>
      </c>
    </row>
    <row r="104">
      <c r="A104" s="17" t="n">
        <v>29252</v>
      </c>
      <c r="B104" s="58">
        <f>VLOOKUP(Table13[[#This Row],[Date]],database!A:F,6,)</f>
        <v/>
      </c>
      <c r="C104" s="66">
        <f>B104/B103-1</f>
        <v/>
      </c>
      <c r="D104" s="66">
        <f>(Table13[[#This Row],[Index]]-B92)/B92</f>
        <v/>
      </c>
    </row>
    <row r="105">
      <c r="A105" s="17" t="n">
        <v>29281</v>
      </c>
      <c r="B105" s="58">
        <f>VLOOKUP(Table13[[#This Row],[Date]],database!A:F,6,)</f>
        <v/>
      </c>
      <c r="C105" s="66">
        <f>B105/B104-1</f>
        <v/>
      </c>
      <c r="D105" s="66">
        <f>(Table13[[#This Row],[Index]]-B93)/B93</f>
        <v/>
      </c>
    </row>
    <row r="106">
      <c r="A106" s="17" t="n">
        <v>29312</v>
      </c>
      <c r="B106" s="58">
        <f>VLOOKUP(Table13[[#This Row],[Date]],database!A:F,6,)</f>
        <v/>
      </c>
      <c r="C106" s="66">
        <f>B106/B105-1</f>
        <v/>
      </c>
      <c r="D106" s="66">
        <f>(Table13[[#This Row],[Index]]-B94)/B94</f>
        <v/>
      </c>
    </row>
    <row r="107">
      <c r="A107" s="17" t="n">
        <v>29342</v>
      </c>
      <c r="B107" s="58">
        <f>VLOOKUP(Table13[[#This Row],[Date]],database!A:F,6,)</f>
        <v/>
      </c>
      <c r="C107" s="66">
        <f>B107/B106-1</f>
        <v/>
      </c>
      <c r="D107" s="66">
        <f>(Table13[[#This Row],[Index]]-B95)/B95</f>
        <v/>
      </c>
    </row>
    <row r="108">
      <c r="A108" s="17" t="n">
        <v>29373</v>
      </c>
      <c r="B108" s="58">
        <f>VLOOKUP(Table13[[#This Row],[Date]],database!A:F,6,)</f>
        <v/>
      </c>
      <c r="C108" s="66">
        <f>B108/B107-1</f>
        <v/>
      </c>
      <c r="D108" s="66">
        <f>(Table13[[#This Row],[Index]]-B96)/B96</f>
        <v/>
      </c>
    </row>
    <row r="109">
      <c r="A109" s="17" t="n">
        <v>29403</v>
      </c>
      <c r="B109" s="58">
        <f>VLOOKUP(Table13[[#This Row],[Date]],database!A:F,6,)</f>
        <v/>
      </c>
      <c r="C109" s="66">
        <f>B109/B108-1</f>
        <v/>
      </c>
      <c r="D109" s="66">
        <f>(Table13[[#This Row],[Index]]-B97)/B97</f>
        <v/>
      </c>
    </row>
    <row r="110">
      <c r="A110" s="17" t="n">
        <v>29434</v>
      </c>
      <c r="B110" s="58">
        <f>VLOOKUP(Table13[[#This Row],[Date]],database!A:F,6,)</f>
        <v/>
      </c>
      <c r="C110" s="66">
        <f>B110/B109-1</f>
        <v/>
      </c>
      <c r="D110" s="66">
        <f>(Table13[[#This Row],[Index]]-B98)/B98</f>
        <v/>
      </c>
    </row>
    <row r="111">
      <c r="A111" s="17" t="n">
        <v>29465</v>
      </c>
      <c r="B111" s="58">
        <f>VLOOKUP(Table13[[#This Row],[Date]],database!A:F,6,)</f>
        <v/>
      </c>
      <c r="C111" s="66">
        <f>B111/B110-1</f>
        <v/>
      </c>
      <c r="D111" s="66">
        <f>(Table13[[#This Row],[Index]]-B99)/B99</f>
        <v/>
      </c>
    </row>
    <row r="112">
      <c r="A112" s="17" t="n">
        <v>29495</v>
      </c>
      <c r="B112" s="58">
        <f>VLOOKUP(Table13[[#This Row],[Date]],database!A:F,6,)</f>
        <v/>
      </c>
      <c r="C112" s="66">
        <f>B112/B111-1</f>
        <v/>
      </c>
      <c r="D112" s="66">
        <f>(Table13[[#This Row],[Index]]-B100)/B100</f>
        <v/>
      </c>
    </row>
    <row r="113">
      <c r="A113" s="17" t="n">
        <v>29526</v>
      </c>
      <c r="B113" s="58">
        <f>VLOOKUP(Table13[[#This Row],[Date]],database!A:F,6,)</f>
        <v/>
      </c>
      <c r="C113" s="66">
        <f>B113/B112-1</f>
        <v/>
      </c>
      <c r="D113" s="66">
        <f>(Table13[[#This Row],[Index]]-B101)/B101</f>
        <v/>
      </c>
    </row>
    <row r="114">
      <c r="A114" s="17" t="n">
        <v>29556</v>
      </c>
      <c r="B114" s="58">
        <f>VLOOKUP(Table13[[#This Row],[Date]],database!A:F,6,)</f>
        <v/>
      </c>
      <c r="C114" s="66">
        <f>B114/B113-1</f>
        <v/>
      </c>
      <c r="D114" s="66">
        <f>(Table13[[#This Row],[Index]]-B102)/B102</f>
        <v/>
      </c>
    </row>
    <row r="115">
      <c r="A115" s="17" t="n">
        <v>29587</v>
      </c>
      <c r="B115" s="58">
        <f>VLOOKUP(Table13[[#This Row],[Date]],database!A:F,6,)</f>
        <v/>
      </c>
      <c r="C115" s="66">
        <f>B115/B114-1</f>
        <v/>
      </c>
      <c r="D115" s="66">
        <f>(Table13[[#This Row],[Index]]-B103)/B103</f>
        <v/>
      </c>
    </row>
    <row r="116">
      <c r="A116" s="17" t="n">
        <v>29618</v>
      </c>
      <c r="B116" s="58">
        <f>VLOOKUP(Table13[[#This Row],[Date]],database!A:F,6,)</f>
        <v/>
      </c>
      <c r="C116" s="66">
        <f>B116/B115-1</f>
        <v/>
      </c>
      <c r="D116" s="66">
        <f>(Table13[[#This Row],[Index]]-B104)/B104</f>
        <v/>
      </c>
    </row>
    <row r="117">
      <c r="A117" s="17" t="n">
        <v>29646</v>
      </c>
      <c r="B117" s="58">
        <f>VLOOKUP(Table13[[#This Row],[Date]],database!A:F,6,)</f>
        <v/>
      </c>
      <c r="C117" s="66">
        <f>B117/B116-1</f>
        <v/>
      </c>
      <c r="D117" s="66">
        <f>(Table13[[#This Row],[Index]]-B105)/B105</f>
        <v/>
      </c>
    </row>
    <row r="118">
      <c r="A118" s="17" t="n">
        <v>29677</v>
      </c>
      <c r="B118" s="58">
        <f>VLOOKUP(Table13[[#This Row],[Date]],database!A:F,6,)</f>
        <v/>
      </c>
      <c r="C118" s="66">
        <f>B118/B117-1</f>
        <v/>
      </c>
      <c r="D118" s="66">
        <f>(Table13[[#This Row],[Index]]-B106)/B106</f>
        <v/>
      </c>
    </row>
    <row r="119">
      <c r="A119" s="17" t="n">
        <v>29707</v>
      </c>
      <c r="B119" s="58">
        <f>VLOOKUP(Table13[[#This Row],[Date]],database!A:F,6,)</f>
        <v/>
      </c>
      <c r="C119" s="66">
        <f>B119/B118-1</f>
        <v/>
      </c>
      <c r="D119" s="66">
        <f>(Table13[[#This Row],[Index]]-B107)/B107</f>
        <v/>
      </c>
    </row>
    <row r="120">
      <c r="A120" s="17" t="n">
        <v>29738</v>
      </c>
      <c r="B120" s="58">
        <f>VLOOKUP(Table13[[#This Row],[Date]],database!A:F,6,)</f>
        <v/>
      </c>
      <c r="C120" s="66">
        <f>B120/B119-1</f>
        <v/>
      </c>
      <c r="D120" s="66">
        <f>(Table13[[#This Row],[Index]]-B108)/B108</f>
        <v/>
      </c>
    </row>
    <row r="121">
      <c r="A121" s="17" t="n">
        <v>29768</v>
      </c>
      <c r="B121" s="58">
        <f>VLOOKUP(Table13[[#This Row],[Date]],database!A:F,6,)</f>
        <v/>
      </c>
      <c r="C121" s="66">
        <f>B121/B120-1</f>
        <v/>
      </c>
      <c r="D121" s="66">
        <f>(Table13[[#This Row],[Index]]-B109)/B109</f>
        <v/>
      </c>
    </row>
    <row r="122">
      <c r="A122" s="17" t="n">
        <v>29799</v>
      </c>
      <c r="B122" s="58">
        <f>VLOOKUP(Table13[[#This Row],[Date]],database!A:F,6,)</f>
        <v/>
      </c>
      <c r="C122" s="66">
        <f>B122/B121-1</f>
        <v/>
      </c>
      <c r="D122" s="66">
        <f>(Table13[[#This Row],[Index]]-B110)/B110</f>
        <v/>
      </c>
    </row>
    <row r="123">
      <c r="A123" s="17" t="n">
        <v>29830</v>
      </c>
      <c r="B123" s="58">
        <f>VLOOKUP(Table13[[#This Row],[Date]],database!A:F,6,)</f>
        <v/>
      </c>
      <c r="C123" s="66">
        <f>B123/B122-1</f>
        <v/>
      </c>
      <c r="D123" s="66">
        <f>(Table13[[#This Row],[Index]]-B111)/B111</f>
        <v/>
      </c>
    </row>
    <row r="124">
      <c r="A124" s="17" t="n">
        <v>29860</v>
      </c>
      <c r="B124" s="58">
        <f>VLOOKUP(Table13[[#This Row],[Date]],database!A:F,6,)</f>
        <v/>
      </c>
      <c r="C124" s="66">
        <f>B124/B123-1</f>
        <v/>
      </c>
      <c r="D124" s="66">
        <f>(Table13[[#This Row],[Index]]-B112)/B112</f>
        <v/>
      </c>
    </row>
    <row r="125">
      <c r="A125" s="17" t="n">
        <v>29891</v>
      </c>
      <c r="B125" s="58">
        <f>VLOOKUP(Table13[[#This Row],[Date]],database!A:F,6,)</f>
        <v/>
      </c>
      <c r="C125" s="66">
        <f>B125/B124-1</f>
        <v/>
      </c>
      <c r="D125" s="66">
        <f>(Table13[[#This Row],[Index]]-B113)/B113</f>
        <v/>
      </c>
    </row>
    <row r="126">
      <c r="A126" s="17" t="n">
        <v>29921</v>
      </c>
      <c r="B126" s="58">
        <f>VLOOKUP(Table13[[#This Row],[Date]],database!A:F,6,)</f>
        <v/>
      </c>
      <c r="C126" s="66">
        <f>B126/B125-1</f>
        <v/>
      </c>
      <c r="D126" s="66">
        <f>(Table13[[#This Row],[Index]]-B114)/B114</f>
        <v/>
      </c>
    </row>
    <row r="127">
      <c r="A127" s="17" t="n">
        <v>29952</v>
      </c>
      <c r="B127" s="58">
        <f>VLOOKUP(Table13[[#This Row],[Date]],database!A:F,6,)</f>
        <v/>
      </c>
      <c r="C127" s="66">
        <f>B127/B126-1</f>
        <v/>
      </c>
      <c r="D127" s="66">
        <f>(Table13[[#This Row],[Index]]-B115)/B115</f>
        <v/>
      </c>
    </row>
    <row r="128">
      <c r="A128" s="17" t="n">
        <v>29983</v>
      </c>
      <c r="B128" s="58">
        <f>VLOOKUP(Table13[[#This Row],[Date]],database!A:F,6,)</f>
        <v/>
      </c>
      <c r="C128" s="66">
        <f>B128/B127-1</f>
        <v/>
      </c>
      <c r="D128" s="66">
        <f>(Table13[[#This Row],[Index]]-B116)/B116</f>
        <v/>
      </c>
    </row>
    <row r="129">
      <c r="A129" s="17" t="n">
        <v>30011</v>
      </c>
      <c r="B129" s="58">
        <f>VLOOKUP(Table13[[#This Row],[Date]],database!A:F,6,)</f>
        <v/>
      </c>
      <c r="C129" s="66">
        <f>B129/B128-1</f>
        <v/>
      </c>
      <c r="D129" s="66">
        <f>(Table13[[#This Row],[Index]]-B117)/B117</f>
        <v/>
      </c>
    </row>
    <row r="130">
      <c r="A130" s="17" t="n">
        <v>30042</v>
      </c>
      <c r="B130" s="58">
        <f>VLOOKUP(Table13[[#This Row],[Date]],database!A:F,6,)</f>
        <v/>
      </c>
      <c r="C130" s="66">
        <f>B130/B129-1</f>
        <v/>
      </c>
      <c r="D130" s="66">
        <f>(Table13[[#This Row],[Index]]-B118)/B118</f>
        <v/>
      </c>
    </row>
    <row r="131">
      <c r="A131" s="17" t="n">
        <v>30072</v>
      </c>
      <c r="B131" s="58">
        <f>VLOOKUP(Table13[[#This Row],[Date]],database!A:F,6,)</f>
        <v/>
      </c>
      <c r="C131" s="66">
        <f>B131/B130-1</f>
        <v/>
      </c>
      <c r="D131" s="66">
        <f>(Table13[[#This Row],[Index]]-B119)/B119</f>
        <v/>
      </c>
    </row>
    <row r="132">
      <c r="A132" s="17" t="n">
        <v>30103</v>
      </c>
      <c r="B132" s="58">
        <f>VLOOKUP(Table13[[#This Row],[Date]],database!A:F,6,)</f>
        <v/>
      </c>
      <c r="C132" s="66">
        <f>B132/B131-1</f>
        <v/>
      </c>
      <c r="D132" s="66">
        <f>(Table13[[#This Row],[Index]]-B120)/B120</f>
        <v/>
      </c>
    </row>
    <row r="133">
      <c r="A133" s="17" t="n">
        <v>30133</v>
      </c>
      <c r="B133" s="58">
        <f>VLOOKUP(Table13[[#This Row],[Date]],database!A:F,6,)</f>
        <v/>
      </c>
      <c r="C133" s="66">
        <f>B133/B132-1</f>
        <v/>
      </c>
      <c r="D133" s="66">
        <f>(Table13[[#This Row],[Index]]-B121)/B121</f>
        <v/>
      </c>
    </row>
    <row r="134">
      <c r="A134" s="17" t="n">
        <v>30164</v>
      </c>
      <c r="B134" s="58">
        <f>VLOOKUP(Table13[[#This Row],[Date]],database!A:F,6,)</f>
        <v/>
      </c>
      <c r="C134" s="66">
        <f>B134/B133-1</f>
        <v/>
      </c>
      <c r="D134" s="66">
        <f>(Table13[[#This Row],[Index]]-B122)/B122</f>
        <v/>
      </c>
    </row>
    <row r="135">
      <c r="A135" s="17" t="n">
        <v>30195</v>
      </c>
      <c r="B135" s="58">
        <f>VLOOKUP(Table13[[#This Row],[Date]],database!A:F,6,)</f>
        <v/>
      </c>
      <c r="C135" s="66">
        <f>B135/B134-1</f>
        <v/>
      </c>
      <c r="D135" s="66">
        <f>(Table13[[#This Row],[Index]]-B123)/B123</f>
        <v/>
      </c>
    </row>
    <row r="136">
      <c r="A136" s="17" t="n">
        <v>30225</v>
      </c>
      <c r="B136" s="58">
        <f>VLOOKUP(Table13[[#This Row],[Date]],database!A:F,6,)</f>
        <v/>
      </c>
      <c r="C136" s="66">
        <f>B136/B135-1</f>
        <v/>
      </c>
      <c r="D136" s="66">
        <f>(Table13[[#This Row],[Index]]-B124)/B124</f>
        <v/>
      </c>
    </row>
    <row r="137">
      <c r="A137" s="17" t="n">
        <v>30256</v>
      </c>
      <c r="B137" s="58">
        <f>VLOOKUP(Table13[[#This Row],[Date]],database!A:F,6,)</f>
        <v/>
      </c>
      <c r="C137" s="66">
        <f>B137/B136-1</f>
        <v/>
      </c>
      <c r="D137" s="66">
        <f>(Table13[[#This Row],[Index]]-B125)/B125</f>
        <v/>
      </c>
    </row>
    <row r="138">
      <c r="A138" s="17" t="n">
        <v>30286</v>
      </c>
      <c r="B138" s="58">
        <f>VLOOKUP(Table13[[#This Row],[Date]],database!A:F,6,)</f>
        <v/>
      </c>
      <c r="C138" s="66">
        <f>B138/B137-1</f>
        <v/>
      </c>
      <c r="D138" s="66">
        <f>(Table13[[#This Row],[Index]]-B126)/B126</f>
        <v/>
      </c>
    </row>
    <row r="139">
      <c r="A139" s="17" t="n">
        <v>30317</v>
      </c>
      <c r="B139" s="58">
        <f>VLOOKUP(Table13[[#This Row],[Date]],database!A:F,6,)</f>
        <v/>
      </c>
      <c r="C139" s="66">
        <f>B139/B138-1</f>
        <v/>
      </c>
      <c r="D139" s="66">
        <f>(Table13[[#This Row],[Index]]-B127)/B127</f>
        <v/>
      </c>
    </row>
    <row r="140">
      <c r="A140" s="17" t="n">
        <v>30348</v>
      </c>
      <c r="B140" s="58">
        <f>VLOOKUP(Table13[[#This Row],[Date]],database!A:F,6,)</f>
        <v/>
      </c>
      <c r="C140" s="66">
        <f>B140/B139-1</f>
        <v/>
      </c>
      <c r="D140" s="66">
        <f>(Table13[[#This Row],[Index]]-B128)/B128</f>
        <v/>
      </c>
    </row>
    <row r="141">
      <c r="A141" s="17" t="n">
        <v>30376</v>
      </c>
      <c r="B141" s="58">
        <f>VLOOKUP(Table13[[#This Row],[Date]],database!A:F,6,)</f>
        <v/>
      </c>
      <c r="C141" s="66">
        <f>B141/B140-1</f>
        <v/>
      </c>
      <c r="D141" s="66">
        <f>(Table13[[#This Row],[Index]]-B129)/B129</f>
        <v/>
      </c>
    </row>
    <row r="142">
      <c r="A142" s="17" t="n">
        <v>30407</v>
      </c>
      <c r="B142" s="58">
        <f>VLOOKUP(Table13[[#This Row],[Date]],database!A:F,6,)</f>
        <v/>
      </c>
      <c r="C142" s="66">
        <f>B142/B141-1</f>
        <v/>
      </c>
      <c r="D142" s="66">
        <f>(Table13[[#This Row],[Index]]-B130)/B130</f>
        <v/>
      </c>
    </row>
    <row r="143">
      <c r="A143" s="17" t="n">
        <v>30437</v>
      </c>
      <c r="B143" s="58">
        <f>VLOOKUP(Table13[[#This Row],[Date]],database!A:F,6,)</f>
        <v/>
      </c>
      <c r="C143" s="66">
        <f>B143/B142-1</f>
        <v/>
      </c>
      <c r="D143" s="66">
        <f>(Table13[[#This Row],[Index]]-B131)/B131</f>
        <v/>
      </c>
    </row>
    <row r="144">
      <c r="A144" s="17" t="n">
        <v>30468</v>
      </c>
      <c r="B144" s="58">
        <f>VLOOKUP(Table13[[#This Row],[Date]],database!A:F,6,)</f>
        <v/>
      </c>
      <c r="C144" s="66">
        <f>B144/B143-1</f>
        <v/>
      </c>
      <c r="D144" s="66">
        <f>(Table13[[#This Row],[Index]]-B132)/B132</f>
        <v/>
      </c>
    </row>
    <row r="145">
      <c r="A145" s="17" t="n">
        <v>30498</v>
      </c>
      <c r="B145" s="58">
        <f>VLOOKUP(Table13[[#This Row],[Date]],database!A:F,6,)</f>
        <v/>
      </c>
      <c r="C145" s="66">
        <f>B145/B144-1</f>
        <v/>
      </c>
      <c r="D145" s="66">
        <f>(Table13[[#This Row],[Index]]-B133)/B133</f>
        <v/>
      </c>
    </row>
    <row r="146">
      <c r="A146" s="17" t="n">
        <v>30529</v>
      </c>
      <c r="B146" s="58">
        <f>VLOOKUP(Table13[[#This Row],[Date]],database!A:F,6,)</f>
        <v/>
      </c>
      <c r="C146" s="66">
        <f>B146/B145-1</f>
        <v/>
      </c>
      <c r="D146" s="66">
        <f>(Table13[[#This Row],[Index]]-B134)/B134</f>
        <v/>
      </c>
    </row>
    <row r="147">
      <c r="A147" s="17" t="n">
        <v>30560</v>
      </c>
      <c r="B147" s="58">
        <f>VLOOKUP(Table13[[#This Row],[Date]],database!A:F,6,)</f>
        <v/>
      </c>
      <c r="C147" s="66">
        <f>B147/B146-1</f>
        <v/>
      </c>
      <c r="D147" s="66">
        <f>(Table13[[#This Row],[Index]]-B135)/B135</f>
        <v/>
      </c>
    </row>
    <row r="148">
      <c r="A148" s="17" t="n">
        <v>30590</v>
      </c>
      <c r="B148" s="58">
        <f>VLOOKUP(Table13[[#This Row],[Date]],database!A:F,6,)</f>
        <v/>
      </c>
      <c r="C148" s="66">
        <f>B148/B147-1</f>
        <v/>
      </c>
      <c r="D148" s="66">
        <f>(Table13[[#This Row],[Index]]-B136)/B136</f>
        <v/>
      </c>
    </row>
    <row r="149">
      <c r="A149" s="17" t="n">
        <v>30621</v>
      </c>
      <c r="B149" s="58">
        <f>VLOOKUP(Table13[[#This Row],[Date]],database!A:F,6,)</f>
        <v/>
      </c>
      <c r="C149" s="66">
        <f>B149/B148-1</f>
        <v/>
      </c>
      <c r="D149" s="66">
        <f>(Table13[[#This Row],[Index]]-B137)/B137</f>
        <v/>
      </c>
    </row>
    <row r="150">
      <c r="A150" s="17" t="n">
        <v>30651</v>
      </c>
      <c r="B150" s="58">
        <f>VLOOKUP(Table13[[#This Row],[Date]],database!A:F,6,)</f>
        <v/>
      </c>
      <c r="C150" s="66">
        <f>B150/B149-1</f>
        <v/>
      </c>
      <c r="D150" s="66">
        <f>(Table13[[#This Row],[Index]]-B138)/B138</f>
        <v/>
      </c>
    </row>
    <row r="151">
      <c r="A151" s="17" t="n">
        <v>30682</v>
      </c>
      <c r="B151" s="58">
        <f>VLOOKUP(Table13[[#This Row],[Date]],database!A:F,6,)</f>
        <v/>
      </c>
      <c r="C151" s="66">
        <f>B151/B150-1</f>
        <v/>
      </c>
      <c r="D151" s="66">
        <f>(Table13[[#This Row],[Index]]-B139)/B139</f>
        <v/>
      </c>
    </row>
    <row r="152">
      <c r="A152" s="17" t="n">
        <v>30713</v>
      </c>
      <c r="B152" s="58">
        <f>VLOOKUP(Table13[[#This Row],[Date]],database!A:F,6,)</f>
        <v/>
      </c>
      <c r="C152" s="66">
        <f>B152/B151-1</f>
        <v/>
      </c>
      <c r="D152" s="66">
        <f>(Table13[[#This Row],[Index]]-B140)/B140</f>
        <v/>
      </c>
    </row>
    <row r="153">
      <c r="A153" s="17" t="n">
        <v>30742</v>
      </c>
      <c r="B153" s="58">
        <f>VLOOKUP(Table13[[#This Row],[Date]],database!A:F,6,)</f>
        <v/>
      </c>
      <c r="C153" s="66">
        <f>B153/B152-1</f>
        <v/>
      </c>
      <c r="D153" s="66">
        <f>(Table13[[#This Row],[Index]]-B141)/B141</f>
        <v/>
      </c>
    </row>
    <row r="154">
      <c r="A154" s="17" t="n">
        <v>30773</v>
      </c>
      <c r="B154" s="58">
        <f>VLOOKUP(Table13[[#This Row],[Date]],database!A:F,6,)</f>
        <v/>
      </c>
      <c r="C154" s="66">
        <f>B154/B153-1</f>
        <v/>
      </c>
      <c r="D154" s="66">
        <f>(Table13[[#This Row],[Index]]-B142)/B142</f>
        <v/>
      </c>
    </row>
    <row r="155">
      <c r="A155" s="17" t="n">
        <v>30803</v>
      </c>
      <c r="B155" s="58">
        <f>VLOOKUP(Table13[[#This Row],[Date]],database!A:F,6,)</f>
        <v/>
      </c>
      <c r="C155" s="66">
        <f>B155/B154-1</f>
        <v/>
      </c>
      <c r="D155" s="66">
        <f>(Table13[[#This Row],[Index]]-B143)/B143</f>
        <v/>
      </c>
    </row>
    <row r="156">
      <c r="A156" s="17" t="n">
        <v>30834</v>
      </c>
      <c r="B156" s="58">
        <f>VLOOKUP(Table13[[#This Row],[Date]],database!A:F,6,)</f>
        <v/>
      </c>
      <c r="C156" s="66">
        <f>B156/B155-1</f>
        <v/>
      </c>
      <c r="D156" s="66">
        <f>(Table13[[#This Row],[Index]]-B144)/B144</f>
        <v/>
      </c>
    </row>
    <row r="157">
      <c r="A157" s="17" t="n">
        <v>30864</v>
      </c>
      <c r="B157" s="58">
        <f>VLOOKUP(Table13[[#This Row],[Date]],database!A:F,6,)</f>
        <v/>
      </c>
      <c r="C157" s="66">
        <f>B157/B156-1</f>
        <v/>
      </c>
      <c r="D157" s="66">
        <f>(Table13[[#This Row],[Index]]-B145)/B145</f>
        <v/>
      </c>
    </row>
    <row r="158">
      <c r="A158" s="17" t="n">
        <v>30895</v>
      </c>
      <c r="B158" s="58">
        <f>VLOOKUP(Table13[[#This Row],[Date]],database!A:F,6,)</f>
        <v/>
      </c>
      <c r="C158" s="66">
        <f>B158/B157-1</f>
        <v/>
      </c>
      <c r="D158" s="66">
        <f>(Table13[[#This Row],[Index]]-B146)/B146</f>
        <v/>
      </c>
    </row>
    <row r="159">
      <c r="A159" s="17" t="n">
        <v>30926</v>
      </c>
      <c r="B159" s="58">
        <f>VLOOKUP(Table13[[#This Row],[Date]],database!A:F,6,)</f>
        <v/>
      </c>
      <c r="C159" s="66">
        <f>B159/B158-1</f>
        <v/>
      </c>
      <c r="D159" s="66">
        <f>(Table13[[#This Row],[Index]]-B147)/B147</f>
        <v/>
      </c>
    </row>
    <row r="160">
      <c r="A160" s="17" t="n">
        <v>30956</v>
      </c>
      <c r="B160" s="58">
        <f>VLOOKUP(Table13[[#This Row],[Date]],database!A:F,6,)</f>
        <v/>
      </c>
      <c r="C160" s="66">
        <f>B160/B159-1</f>
        <v/>
      </c>
      <c r="D160" s="66">
        <f>(Table13[[#This Row],[Index]]-B148)/B148</f>
        <v/>
      </c>
    </row>
    <row r="161">
      <c r="A161" s="17" t="n">
        <v>30987</v>
      </c>
      <c r="B161" s="58">
        <f>VLOOKUP(Table13[[#This Row],[Date]],database!A:F,6,)</f>
        <v/>
      </c>
      <c r="C161" s="66">
        <f>B161/B160-1</f>
        <v/>
      </c>
      <c r="D161" s="66">
        <f>(Table13[[#This Row],[Index]]-B149)/B149</f>
        <v/>
      </c>
    </row>
    <row r="162">
      <c r="A162" s="17" t="n">
        <v>31017</v>
      </c>
      <c r="B162" s="58">
        <f>VLOOKUP(Table13[[#This Row],[Date]],database!A:F,6,)</f>
        <v/>
      </c>
      <c r="C162" s="66">
        <f>B162/B161-1</f>
        <v/>
      </c>
      <c r="D162" s="66">
        <f>(Table13[[#This Row],[Index]]-B150)/B150</f>
        <v/>
      </c>
    </row>
    <row r="163">
      <c r="A163" s="17" t="n">
        <v>31048</v>
      </c>
      <c r="B163" s="58">
        <f>VLOOKUP(Table13[[#This Row],[Date]],database!A:F,6,)</f>
        <v/>
      </c>
      <c r="C163" s="66">
        <f>B163/B162-1</f>
        <v/>
      </c>
      <c r="D163" s="66">
        <f>(Table13[[#This Row],[Index]]-B151)/B151</f>
        <v/>
      </c>
    </row>
    <row r="164">
      <c r="A164" s="17" t="n">
        <v>31079</v>
      </c>
      <c r="B164" s="58">
        <f>VLOOKUP(Table13[[#This Row],[Date]],database!A:F,6,)</f>
        <v/>
      </c>
      <c r="C164" s="66">
        <f>B164/B163-1</f>
        <v/>
      </c>
      <c r="D164" s="66">
        <f>(Table13[[#This Row],[Index]]-B152)/B152</f>
        <v/>
      </c>
    </row>
    <row r="165">
      <c r="A165" s="17" t="n">
        <v>31107</v>
      </c>
      <c r="B165" s="58">
        <f>VLOOKUP(Table13[[#This Row],[Date]],database!A:F,6,)</f>
        <v/>
      </c>
      <c r="C165" s="66">
        <f>B165/B164-1</f>
        <v/>
      </c>
      <c r="D165" s="66">
        <f>(Table13[[#This Row],[Index]]-B153)/B153</f>
        <v/>
      </c>
    </row>
    <row r="166">
      <c r="A166" s="17" t="n">
        <v>31138</v>
      </c>
      <c r="B166" s="58">
        <f>VLOOKUP(Table13[[#This Row],[Date]],database!A:F,6,)</f>
        <v/>
      </c>
      <c r="C166" s="66">
        <f>B166/B165-1</f>
        <v/>
      </c>
      <c r="D166" s="66">
        <f>(Table13[[#This Row],[Index]]-B154)/B154</f>
        <v/>
      </c>
    </row>
    <row r="167">
      <c r="A167" s="17" t="n">
        <v>31168</v>
      </c>
      <c r="B167" s="58">
        <f>VLOOKUP(Table13[[#This Row],[Date]],database!A:F,6,)</f>
        <v/>
      </c>
      <c r="C167" s="66">
        <f>B167/B166-1</f>
        <v/>
      </c>
      <c r="D167" s="66">
        <f>(Table13[[#This Row],[Index]]-B155)/B155</f>
        <v/>
      </c>
    </row>
    <row r="168">
      <c r="A168" s="17" t="n">
        <v>31199</v>
      </c>
      <c r="B168" s="58">
        <f>VLOOKUP(Table13[[#This Row],[Date]],database!A:F,6,)</f>
        <v/>
      </c>
      <c r="C168" s="66">
        <f>B168/B167-1</f>
        <v/>
      </c>
      <c r="D168" s="66">
        <f>(Table13[[#This Row],[Index]]-B156)/B156</f>
        <v/>
      </c>
    </row>
    <row r="169">
      <c r="A169" s="17" t="n">
        <v>31229</v>
      </c>
      <c r="B169" s="58">
        <f>VLOOKUP(Table13[[#This Row],[Date]],database!A:F,6,)</f>
        <v/>
      </c>
      <c r="C169" s="66">
        <f>B169/B168-1</f>
        <v/>
      </c>
      <c r="D169" s="66">
        <f>(Table13[[#This Row],[Index]]-B157)/B157</f>
        <v/>
      </c>
    </row>
    <row r="170">
      <c r="A170" s="17" t="n">
        <v>31260</v>
      </c>
      <c r="B170" s="58">
        <f>VLOOKUP(Table13[[#This Row],[Date]],database!A:F,6,)</f>
        <v/>
      </c>
      <c r="C170" s="66">
        <f>B170/B169-1</f>
        <v/>
      </c>
      <c r="D170" s="66">
        <f>(Table13[[#This Row],[Index]]-B158)/B158</f>
        <v/>
      </c>
    </row>
    <row r="171">
      <c r="A171" s="17" t="n">
        <v>31291</v>
      </c>
      <c r="B171" s="58">
        <f>VLOOKUP(Table13[[#This Row],[Date]],database!A:F,6,)</f>
        <v/>
      </c>
      <c r="C171" s="66">
        <f>B171/B170-1</f>
        <v/>
      </c>
      <c r="D171" s="66">
        <f>(Table13[[#This Row],[Index]]-B159)/B159</f>
        <v/>
      </c>
    </row>
    <row r="172">
      <c r="A172" s="17" t="n">
        <v>31321</v>
      </c>
      <c r="B172" s="58">
        <f>VLOOKUP(Table13[[#This Row],[Date]],database!A:F,6,)</f>
        <v/>
      </c>
      <c r="C172" s="66">
        <f>B172/B171-1</f>
        <v/>
      </c>
      <c r="D172" s="66">
        <f>(Table13[[#This Row],[Index]]-B160)/B160</f>
        <v/>
      </c>
    </row>
    <row r="173">
      <c r="A173" s="17" t="n">
        <v>31352</v>
      </c>
      <c r="B173" s="58">
        <f>VLOOKUP(Table13[[#This Row],[Date]],database!A:F,6,)</f>
        <v/>
      </c>
      <c r="C173" s="66">
        <f>B173/B172-1</f>
        <v/>
      </c>
      <c r="D173" s="66">
        <f>(Table13[[#This Row],[Index]]-B161)/B161</f>
        <v/>
      </c>
    </row>
    <row r="174">
      <c r="A174" s="17" t="n">
        <v>31382</v>
      </c>
      <c r="B174" s="58">
        <f>VLOOKUP(Table13[[#This Row],[Date]],database!A:F,6,)</f>
        <v/>
      </c>
      <c r="C174" s="66">
        <f>B174/B173-1</f>
        <v/>
      </c>
      <c r="D174" s="66">
        <f>(Table13[[#This Row],[Index]]-B162)/B162</f>
        <v/>
      </c>
    </row>
    <row r="175">
      <c r="A175" s="17" t="n">
        <v>31413</v>
      </c>
      <c r="B175" s="58">
        <f>VLOOKUP(Table13[[#This Row],[Date]],database!A:F,6,)</f>
        <v/>
      </c>
      <c r="C175" s="66">
        <f>B175/B174-1</f>
        <v/>
      </c>
      <c r="D175" s="66">
        <f>(Table13[[#This Row],[Index]]-B163)/B163</f>
        <v/>
      </c>
    </row>
    <row r="176">
      <c r="A176" s="17" t="n">
        <v>31444</v>
      </c>
      <c r="B176" s="58">
        <f>VLOOKUP(Table13[[#This Row],[Date]],database!A:F,6,)</f>
        <v/>
      </c>
      <c r="C176" s="66">
        <f>B176/B175-1</f>
        <v/>
      </c>
      <c r="D176" s="66">
        <f>(Table13[[#This Row],[Index]]-B164)/B164</f>
        <v/>
      </c>
    </row>
    <row r="177">
      <c r="A177" s="17" t="n">
        <v>31472</v>
      </c>
      <c r="B177" s="58">
        <f>VLOOKUP(Table13[[#This Row],[Date]],database!A:F,6,)</f>
        <v/>
      </c>
      <c r="C177" s="66">
        <f>B177/B176-1</f>
        <v/>
      </c>
      <c r="D177" s="66">
        <f>(Table13[[#This Row],[Index]]-B165)/B165</f>
        <v/>
      </c>
    </row>
    <row r="178">
      <c r="A178" s="17" t="n">
        <v>31503</v>
      </c>
      <c r="B178" s="58">
        <f>VLOOKUP(Table13[[#This Row],[Date]],database!A:F,6,)</f>
        <v/>
      </c>
      <c r="C178" s="66">
        <f>B178/B177-1</f>
        <v/>
      </c>
      <c r="D178" s="66">
        <f>(Table13[[#This Row],[Index]]-B166)/B166</f>
        <v/>
      </c>
    </row>
    <row r="179">
      <c r="A179" s="17" t="n">
        <v>31533</v>
      </c>
      <c r="B179" s="58">
        <f>VLOOKUP(Table13[[#This Row],[Date]],database!A:F,6,)</f>
        <v/>
      </c>
      <c r="C179" s="66">
        <f>B179/B178-1</f>
        <v/>
      </c>
      <c r="D179" s="66">
        <f>(Table13[[#This Row],[Index]]-B167)/B167</f>
        <v/>
      </c>
    </row>
    <row r="180">
      <c r="A180" s="17" t="n">
        <v>31564</v>
      </c>
      <c r="B180" s="58">
        <f>VLOOKUP(Table13[[#This Row],[Date]],database!A:F,6,)</f>
        <v/>
      </c>
      <c r="C180" s="66">
        <f>B180/B179-1</f>
        <v/>
      </c>
      <c r="D180" s="66">
        <f>(Table13[[#This Row],[Index]]-B168)/B168</f>
        <v/>
      </c>
    </row>
    <row r="181">
      <c r="A181" s="17" t="n">
        <v>31594</v>
      </c>
      <c r="B181" s="58">
        <f>VLOOKUP(Table13[[#This Row],[Date]],database!A:F,6,)</f>
        <v/>
      </c>
      <c r="C181" s="66">
        <f>B181/B180-1</f>
        <v/>
      </c>
      <c r="D181" s="66">
        <f>(Table13[[#This Row],[Index]]-B169)/B169</f>
        <v/>
      </c>
    </row>
    <row r="182">
      <c r="A182" s="17" t="n">
        <v>31625</v>
      </c>
      <c r="B182" s="58">
        <f>VLOOKUP(Table13[[#This Row],[Date]],database!A:F,6,)</f>
        <v/>
      </c>
      <c r="C182" s="66">
        <f>B182/B181-1</f>
        <v/>
      </c>
      <c r="D182" s="66">
        <f>(Table13[[#This Row],[Index]]-B170)/B170</f>
        <v/>
      </c>
    </row>
    <row r="183">
      <c r="A183" s="17" t="n">
        <v>31656</v>
      </c>
      <c r="B183" s="58">
        <f>VLOOKUP(Table13[[#This Row],[Date]],database!A:F,6,)</f>
        <v/>
      </c>
      <c r="C183" s="66">
        <f>B183/B182-1</f>
        <v/>
      </c>
      <c r="D183" s="66">
        <f>(Table13[[#This Row],[Index]]-B171)/B171</f>
        <v/>
      </c>
    </row>
    <row r="184">
      <c r="A184" s="17" t="n">
        <v>31686</v>
      </c>
      <c r="B184" s="58">
        <f>VLOOKUP(Table13[[#This Row],[Date]],database!A:F,6,)</f>
        <v/>
      </c>
      <c r="C184" s="66">
        <f>B184/B183-1</f>
        <v/>
      </c>
      <c r="D184" s="66">
        <f>(Table13[[#This Row],[Index]]-B172)/B172</f>
        <v/>
      </c>
    </row>
    <row r="185">
      <c r="A185" s="17" t="n">
        <v>31717</v>
      </c>
      <c r="B185" s="58">
        <f>VLOOKUP(Table13[[#This Row],[Date]],database!A:F,6,)</f>
        <v/>
      </c>
      <c r="C185" s="66">
        <f>B185/B184-1</f>
        <v/>
      </c>
      <c r="D185" s="66">
        <f>(Table13[[#This Row],[Index]]-B173)/B173</f>
        <v/>
      </c>
    </row>
    <row r="186">
      <c r="A186" s="17" t="n">
        <v>31747</v>
      </c>
      <c r="B186" s="58">
        <f>VLOOKUP(Table13[[#This Row],[Date]],database!A:F,6,)</f>
        <v/>
      </c>
      <c r="C186" s="66">
        <f>B186/B185-1</f>
        <v/>
      </c>
      <c r="D186" s="66">
        <f>(Table13[[#This Row],[Index]]-B174)/B174</f>
        <v/>
      </c>
    </row>
    <row r="187">
      <c r="A187" s="17" t="n">
        <v>31778</v>
      </c>
      <c r="B187" s="58">
        <f>VLOOKUP(Table13[[#This Row],[Date]],database!A:F,6,)</f>
        <v/>
      </c>
      <c r="C187" s="66">
        <f>B187/B186-1</f>
        <v/>
      </c>
      <c r="D187" s="66">
        <f>(Table13[[#This Row],[Index]]-B175)/B175</f>
        <v/>
      </c>
    </row>
    <row r="188">
      <c r="A188" s="17" t="n">
        <v>31809</v>
      </c>
      <c r="B188" s="58">
        <f>VLOOKUP(Table13[[#This Row],[Date]],database!A:F,6,)</f>
        <v/>
      </c>
      <c r="C188" s="66">
        <f>B188/B187-1</f>
        <v/>
      </c>
      <c r="D188" s="66">
        <f>(Table13[[#This Row],[Index]]-B176)/B176</f>
        <v/>
      </c>
    </row>
    <row r="189">
      <c r="A189" s="17" t="n">
        <v>31837</v>
      </c>
      <c r="B189" s="58">
        <f>VLOOKUP(Table13[[#This Row],[Date]],database!A:F,6,)</f>
        <v/>
      </c>
      <c r="C189" s="66">
        <f>B189/B188-1</f>
        <v/>
      </c>
      <c r="D189" s="66">
        <f>(Table13[[#This Row],[Index]]-B177)/B177</f>
        <v/>
      </c>
    </row>
    <row r="190">
      <c r="A190" s="17" t="n">
        <v>31868</v>
      </c>
      <c r="B190" s="58">
        <f>VLOOKUP(Table13[[#This Row],[Date]],database!A:F,6,)</f>
        <v/>
      </c>
      <c r="C190" s="66">
        <f>B190/B189-1</f>
        <v/>
      </c>
      <c r="D190" s="66">
        <f>(Table13[[#This Row],[Index]]-B178)/B178</f>
        <v/>
      </c>
    </row>
    <row r="191">
      <c r="A191" s="17" t="n">
        <v>31898</v>
      </c>
      <c r="B191" s="58">
        <f>VLOOKUP(Table13[[#This Row],[Date]],database!A:F,6,)</f>
        <v/>
      </c>
      <c r="C191" s="66">
        <f>B191/B190-1</f>
        <v/>
      </c>
      <c r="D191" s="66">
        <f>(Table13[[#This Row],[Index]]-B179)/B179</f>
        <v/>
      </c>
    </row>
    <row r="192">
      <c r="A192" s="17" t="n">
        <v>31929</v>
      </c>
      <c r="B192" s="58">
        <f>VLOOKUP(Table13[[#This Row],[Date]],database!A:F,6,)</f>
        <v/>
      </c>
      <c r="C192" s="66">
        <f>B192/B191-1</f>
        <v/>
      </c>
      <c r="D192" s="66">
        <f>(Table13[[#This Row],[Index]]-B180)/B180</f>
        <v/>
      </c>
    </row>
    <row r="193">
      <c r="A193" s="17" t="n">
        <v>31959</v>
      </c>
      <c r="B193" s="58">
        <f>VLOOKUP(Table13[[#This Row],[Date]],database!A:F,6,)</f>
        <v/>
      </c>
      <c r="C193" s="66">
        <f>B193/B192-1</f>
        <v/>
      </c>
      <c r="D193" s="66">
        <f>(Table13[[#This Row],[Index]]-B181)/B181</f>
        <v/>
      </c>
    </row>
    <row r="194">
      <c r="A194" s="17" t="n">
        <v>31990</v>
      </c>
      <c r="B194" s="58">
        <f>VLOOKUP(Table13[[#This Row],[Date]],database!A:F,6,)</f>
        <v/>
      </c>
      <c r="C194" s="66">
        <f>B194/B193-1</f>
        <v/>
      </c>
      <c r="D194" s="66">
        <f>(Table13[[#This Row],[Index]]-B182)/B182</f>
        <v/>
      </c>
    </row>
    <row r="195">
      <c r="A195" s="17" t="n">
        <v>32021</v>
      </c>
      <c r="B195" s="58">
        <f>VLOOKUP(Table13[[#This Row],[Date]],database!A:F,6,)</f>
        <v/>
      </c>
      <c r="C195" s="66">
        <f>B195/B194-1</f>
        <v/>
      </c>
      <c r="D195" s="66">
        <f>(Table13[[#This Row],[Index]]-B183)/B183</f>
        <v/>
      </c>
    </row>
    <row r="196">
      <c r="A196" s="17" t="n">
        <v>32051</v>
      </c>
      <c r="B196" s="58">
        <f>VLOOKUP(Table13[[#This Row],[Date]],database!A:F,6,)</f>
        <v/>
      </c>
      <c r="C196" s="66">
        <f>B196/B195-1</f>
        <v/>
      </c>
      <c r="D196" s="66">
        <f>(Table13[[#This Row],[Index]]-B184)/B184</f>
        <v/>
      </c>
    </row>
    <row r="197">
      <c r="A197" s="17" t="n">
        <v>32082</v>
      </c>
      <c r="B197" s="58">
        <f>VLOOKUP(Table13[[#This Row],[Date]],database!A:F,6,)</f>
        <v/>
      </c>
      <c r="C197" s="66">
        <f>B197/B196-1</f>
        <v/>
      </c>
      <c r="D197" s="66">
        <f>(Table13[[#This Row],[Index]]-B185)/B185</f>
        <v/>
      </c>
    </row>
    <row r="198">
      <c r="A198" s="17" t="n">
        <v>32112</v>
      </c>
      <c r="B198" s="58">
        <f>VLOOKUP(Table13[[#This Row],[Date]],database!A:F,6,)</f>
        <v/>
      </c>
      <c r="C198" s="66">
        <f>B198/B197-1</f>
        <v/>
      </c>
      <c r="D198" s="66">
        <f>(Table13[[#This Row],[Index]]-B186)/B186</f>
        <v/>
      </c>
    </row>
    <row r="199">
      <c r="A199" s="17" t="n">
        <v>32143</v>
      </c>
      <c r="B199" s="58">
        <f>VLOOKUP(Table13[[#This Row],[Date]],database!A:F,6,)</f>
        <v/>
      </c>
      <c r="C199" s="66">
        <f>B199/B198-1</f>
        <v/>
      </c>
      <c r="D199" s="66">
        <f>(Table13[[#This Row],[Index]]-B187)/B187</f>
        <v/>
      </c>
    </row>
    <row r="200">
      <c r="A200" s="17" t="n">
        <v>32174</v>
      </c>
      <c r="B200" s="58">
        <f>VLOOKUP(Table13[[#This Row],[Date]],database!A:F,6,)</f>
        <v/>
      </c>
      <c r="C200" s="66">
        <f>B200/B199-1</f>
        <v/>
      </c>
      <c r="D200" s="66">
        <f>(Table13[[#This Row],[Index]]-B188)/B188</f>
        <v/>
      </c>
    </row>
    <row r="201">
      <c r="A201" s="17" t="n">
        <v>32203</v>
      </c>
      <c r="B201" s="58">
        <f>VLOOKUP(Table13[[#This Row],[Date]],database!A:F,6,)</f>
        <v/>
      </c>
      <c r="C201" s="66">
        <f>B201/B200-1</f>
        <v/>
      </c>
      <c r="D201" s="66">
        <f>(Table13[[#This Row],[Index]]-B189)/B189</f>
        <v/>
      </c>
    </row>
    <row r="202">
      <c r="A202" s="17" t="n">
        <v>32234</v>
      </c>
      <c r="B202" s="58">
        <f>VLOOKUP(Table13[[#This Row],[Date]],database!A:F,6,)</f>
        <v/>
      </c>
      <c r="C202" s="66">
        <f>B202/B201-1</f>
        <v/>
      </c>
      <c r="D202" s="66">
        <f>(Table13[[#This Row],[Index]]-B190)/B190</f>
        <v/>
      </c>
    </row>
    <row r="203">
      <c r="A203" s="17" t="n">
        <v>32264</v>
      </c>
      <c r="B203" s="58">
        <f>VLOOKUP(Table13[[#This Row],[Date]],database!A:F,6,)</f>
        <v/>
      </c>
      <c r="C203" s="66">
        <f>B203/B202-1</f>
        <v/>
      </c>
      <c r="D203" s="66">
        <f>(Table13[[#This Row],[Index]]-B191)/B191</f>
        <v/>
      </c>
    </row>
    <row r="204">
      <c r="A204" s="17" t="n">
        <v>32295</v>
      </c>
      <c r="B204" s="58">
        <f>VLOOKUP(Table13[[#This Row],[Date]],database!A:F,6,)</f>
        <v/>
      </c>
      <c r="C204" s="66">
        <f>B204/B203-1</f>
        <v/>
      </c>
      <c r="D204" s="66">
        <f>(Table13[[#This Row],[Index]]-B192)/B192</f>
        <v/>
      </c>
    </row>
    <row r="205">
      <c r="A205" s="17" t="n">
        <v>32325</v>
      </c>
      <c r="B205" s="58">
        <f>VLOOKUP(Table13[[#This Row],[Date]],database!A:F,6,)</f>
        <v/>
      </c>
      <c r="C205" s="66">
        <f>B205/B204-1</f>
        <v/>
      </c>
      <c r="D205" s="66">
        <f>(Table13[[#This Row],[Index]]-B193)/B193</f>
        <v/>
      </c>
    </row>
    <row r="206">
      <c r="A206" s="17" t="n">
        <v>32356</v>
      </c>
      <c r="B206" s="58">
        <f>VLOOKUP(Table13[[#This Row],[Date]],database!A:F,6,)</f>
        <v/>
      </c>
      <c r="C206" s="66">
        <f>B206/B205-1</f>
        <v/>
      </c>
      <c r="D206" s="66">
        <f>(Table13[[#This Row],[Index]]-B194)/B194</f>
        <v/>
      </c>
    </row>
    <row r="207">
      <c r="A207" s="17" t="n">
        <v>32387</v>
      </c>
      <c r="B207" s="58">
        <f>VLOOKUP(Table13[[#This Row],[Date]],database!A:F,6,)</f>
        <v/>
      </c>
      <c r="C207" s="66">
        <f>B207/B206-1</f>
        <v/>
      </c>
      <c r="D207" s="66">
        <f>(Table13[[#This Row],[Index]]-B195)/B195</f>
        <v/>
      </c>
    </row>
    <row r="208">
      <c r="A208" s="17" t="n">
        <v>32417</v>
      </c>
      <c r="B208" s="58">
        <f>VLOOKUP(Table13[[#This Row],[Date]],database!A:F,6,)</f>
        <v/>
      </c>
      <c r="C208" s="66">
        <f>B208/B207-1</f>
        <v/>
      </c>
      <c r="D208" s="66">
        <f>(Table13[[#This Row],[Index]]-B196)/B196</f>
        <v/>
      </c>
    </row>
    <row r="209">
      <c r="A209" s="17" t="n">
        <v>32448</v>
      </c>
      <c r="B209" s="58">
        <f>VLOOKUP(Table13[[#This Row],[Date]],database!A:F,6,)</f>
        <v/>
      </c>
      <c r="C209" s="66">
        <f>B209/B208-1</f>
        <v/>
      </c>
      <c r="D209" s="66">
        <f>(Table13[[#This Row],[Index]]-B197)/B197</f>
        <v/>
      </c>
    </row>
    <row r="210">
      <c r="A210" s="17" t="n">
        <v>32478</v>
      </c>
      <c r="B210" s="58">
        <f>VLOOKUP(Table13[[#This Row],[Date]],database!A:F,6,)</f>
        <v/>
      </c>
      <c r="C210" s="66">
        <f>B210/B209-1</f>
        <v/>
      </c>
      <c r="D210" s="66">
        <f>(Table13[[#This Row],[Index]]-B198)/B198</f>
        <v/>
      </c>
    </row>
    <row r="211">
      <c r="A211" s="17" t="n">
        <v>32509</v>
      </c>
      <c r="B211" s="58">
        <f>VLOOKUP(Table13[[#This Row],[Date]],database!A:F,6,)</f>
        <v/>
      </c>
      <c r="C211" s="66">
        <f>B211/B210-1</f>
        <v/>
      </c>
      <c r="D211" s="66">
        <f>(Table13[[#This Row],[Index]]-B199)/B199</f>
        <v/>
      </c>
    </row>
    <row r="212">
      <c r="A212" s="17" t="n">
        <v>32540</v>
      </c>
      <c r="B212" s="58">
        <f>VLOOKUP(Table13[[#This Row],[Date]],database!A:F,6,)</f>
        <v/>
      </c>
      <c r="C212" s="66">
        <f>B212/B211-1</f>
        <v/>
      </c>
      <c r="D212" s="66">
        <f>(Table13[[#This Row],[Index]]-B200)/B200</f>
        <v/>
      </c>
    </row>
    <row r="213">
      <c r="A213" s="17" t="n">
        <v>32568</v>
      </c>
      <c r="B213" s="58">
        <f>VLOOKUP(Table13[[#This Row],[Date]],database!A:F,6,)</f>
        <v/>
      </c>
      <c r="C213" s="66">
        <f>B213/B212-1</f>
        <v/>
      </c>
      <c r="D213" s="66">
        <f>(Table13[[#This Row],[Index]]-B201)/B201</f>
        <v/>
      </c>
    </row>
    <row r="214">
      <c r="A214" s="17" t="n">
        <v>32599</v>
      </c>
      <c r="B214" s="58">
        <f>VLOOKUP(Table13[[#This Row],[Date]],database!A:F,6,)</f>
        <v/>
      </c>
      <c r="C214" s="66">
        <f>B214/B213-1</f>
        <v/>
      </c>
      <c r="D214" s="66">
        <f>(Table13[[#This Row],[Index]]-B202)/B202</f>
        <v/>
      </c>
    </row>
    <row r="215">
      <c r="A215" s="17" t="n">
        <v>32629</v>
      </c>
      <c r="B215" s="58">
        <f>VLOOKUP(Table13[[#This Row],[Date]],database!A:F,6,)</f>
        <v/>
      </c>
      <c r="C215" s="66">
        <f>B215/B214-1</f>
        <v/>
      </c>
      <c r="D215" s="66">
        <f>(Table13[[#This Row],[Index]]-B203)/B203</f>
        <v/>
      </c>
    </row>
    <row r="216">
      <c r="A216" s="17" t="n">
        <v>32660</v>
      </c>
      <c r="B216" s="58">
        <f>VLOOKUP(Table13[[#This Row],[Date]],database!A:F,6,)</f>
        <v/>
      </c>
      <c r="C216" s="66">
        <f>B216/B215-1</f>
        <v/>
      </c>
      <c r="D216" s="66">
        <f>(Table13[[#This Row],[Index]]-B204)/B204</f>
        <v/>
      </c>
    </row>
    <row r="217">
      <c r="A217" s="17" t="n">
        <v>32690</v>
      </c>
      <c r="B217" s="58">
        <f>VLOOKUP(Table13[[#This Row],[Date]],database!A:F,6,)</f>
        <v/>
      </c>
      <c r="C217" s="66">
        <f>B217/B216-1</f>
        <v/>
      </c>
      <c r="D217" s="66">
        <f>(Table13[[#This Row],[Index]]-B205)/B205</f>
        <v/>
      </c>
    </row>
    <row r="218">
      <c r="A218" s="17" t="n">
        <v>32721</v>
      </c>
      <c r="B218" s="58">
        <f>VLOOKUP(Table13[[#This Row],[Date]],database!A:F,6,)</f>
        <v/>
      </c>
      <c r="C218" s="66">
        <f>B218/B217-1</f>
        <v/>
      </c>
      <c r="D218" s="66">
        <f>(Table13[[#This Row],[Index]]-B206)/B206</f>
        <v/>
      </c>
    </row>
    <row r="219">
      <c r="A219" s="17" t="n">
        <v>32752</v>
      </c>
      <c r="B219" s="58">
        <f>VLOOKUP(Table13[[#This Row],[Date]],database!A:F,6,)</f>
        <v/>
      </c>
      <c r="C219" s="66">
        <f>B219/B218-1</f>
        <v/>
      </c>
      <c r="D219" s="66">
        <f>(Table13[[#This Row],[Index]]-B207)/B207</f>
        <v/>
      </c>
    </row>
    <row r="220">
      <c r="A220" s="17" t="n">
        <v>32782</v>
      </c>
      <c r="B220" s="58">
        <f>VLOOKUP(Table13[[#This Row],[Date]],database!A:F,6,)</f>
        <v/>
      </c>
      <c r="C220" s="66">
        <f>B220/B219-1</f>
        <v/>
      </c>
      <c r="D220" s="66">
        <f>(Table13[[#This Row],[Index]]-B208)/B208</f>
        <v/>
      </c>
    </row>
    <row r="221">
      <c r="A221" s="17" t="n">
        <v>32813</v>
      </c>
      <c r="B221" s="58">
        <f>VLOOKUP(Table13[[#This Row],[Date]],database!A:F,6,)</f>
        <v/>
      </c>
      <c r="C221" s="66">
        <f>B221/B220-1</f>
        <v/>
      </c>
      <c r="D221" s="66">
        <f>(Table13[[#This Row],[Index]]-B209)/B209</f>
        <v/>
      </c>
    </row>
    <row r="222">
      <c r="A222" s="17" t="n">
        <v>32843</v>
      </c>
      <c r="B222" s="58">
        <f>VLOOKUP(Table13[[#This Row],[Date]],database!A:F,6,)</f>
        <v/>
      </c>
      <c r="C222" s="66">
        <f>B222/B221-1</f>
        <v/>
      </c>
      <c r="D222" s="66">
        <f>(Table13[[#This Row],[Index]]-B210)/B210</f>
        <v/>
      </c>
    </row>
    <row r="223">
      <c r="A223" s="17" t="n">
        <v>32874</v>
      </c>
      <c r="B223" s="58">
        <f>VLOOKUP(Table13[[#This Row],[Date]],database!A:F,6,)</f>
        <v/>
      </c>
      <c r="C223" s="66">
        <f>B223/B222-1</f>
        <v/>
      </c>
      <c r="D223" s="66">
        <f>(Table13[[#This Row],[Index]]-B211)/B211</f>
        <v/>
      </c>
    </row>
    <row r="224">
      <c r="A224" s="17" t="n">
        <v>32905</v>
      </c>
      <c r="B224" s="58">
        <f>VLOOKUP(Table13[[#This Row],[Date]],database!A:F,6,)</f>
        <v/>
      </c>
      <c r="C224" s="66">
        <f>B224/B223-1</f>
        <v/>
      </c>
      <c r="D224" s="66">
        <f>(Table13[[#This Row],[Index]]-B212)/B212</f>
        <v/>
      </c>
    </row>
    <row r="225">
      <c r="A225" s="17" t="n">
        <v>32933</v>
      </c>
      <c r="B225" s="58">
        <f>VLOOKUP(Table13[[#This Row],[Date]],database!A:F,6,)</f>
        <v/>
      </c>
      <c r="C225" s="66">
        <f>B225/B224-1</f>
        <v/>
      </c>
      <c r="D225" s="66">
        <f>(Table13[[#This Row],[Index]]-B213)/B213</f>
        <v/>
      </c>
    </row>
    <row r="226">
      <c r="A226" s="17" t="n">
        <v>32964</v>
      </c>
      <c r="B226" s="58">
        <f>VLOOKUP(Table13[[#This Row],[Date]],database!A:F,6,)</f>
        <v/>
      </c>
      <c r="C226" s="66">
        <f>B226/B225-1</f>
        <v/>
      </c>
      <c r="D226" s="66">
        <f>(Table13[[#This Row],[Index]]-B214)/B214</f>
        <v/>
      </c>
    </row>
    <row r="227">
      <c r="A227" s="17" t="n">
        <v>32994</v>
      </c>
      <c r="B227" s="58">
        <f>VLOOKUP(Table13[[#This Row],[Date]],database!A:F,6,)</f>
        <v/>
      </c>
      <c r="C227" s="66">
        <f>B227/B226-1</f>
        <v/>
      </c>
      <c r="D227" s="66">
        <f>(Table13[[#This Row],[Index]]-B215)/B215</f>
        <v/>
      </c>
    </row>
    <row r="228">
      <c r="A228" s="17" t="n">
        <v>33025</v>
      </c>
      <c r="B228" s="58">
        <f>VLOOKUP(Table13[[#This Row],[Date]],database!A:F,6,)</f>
        <v/>
      </c>
      <c r="C228" s="66">
        <f>B228/B227-1</f>
        <v/>
      </c>
      <c r="D228" s="66">
        <f>(Table13[[#This Row],[Index]]-B216)/B216</f>
        <v/>
      </c>
    </row>
    <row r="229">
      <c r="A229" s="17" t="n">
        <v>33055</v>
      </c>
      <c r="B229" s="58">
        <f>VLOOKUP(Table13[[#This Row],[Date]],database!A:F,6,)</f>
        <v/>
      </c>
      <c r="C229" s="66">
        <f>B229/B228-1</f>
        <v/>
      </c>
      <c r="D229" s="66">
        <f>(Table13[[#This Row],[Index]]-B217)/B217</f>
        <v/>
      </c>
    </row>
    <row r="230">
      <c r="A230" s="17" t="n">
        <v>33086</v>
      </c>
      <c r="B230" s="58">
        <f>VLOOKUP(Table13[[#This Row],[Date]],database!A:F,6,)</f>
        <v/>
      </c>
      <c r="C230" s="66">
        <f>B230/B229-1</f>
        <v/>
      </c>
      <c r="D230" s="66">
        <f>(Table13[[#This Row],[Index]]-B218)/B218</f>
        <v/>
      </c>
    </row>
    <row r="231">
      <c r="A231" s="17" t="n">
        <v>33117</v>
      </c>
      <c r="B231" s="58">
        <f>VLOOKUP(Table13[[#This Row],[Date]],database!A:F,6,)</f>
        <v/>
      </c>
      <c r="C231" s="66">
        <f>B231/B230-1</f>
        <v/>
      </c>
      <c r="D231" s="66">
        <f>(Table13[[#This Row],[Index]]-B219)/B219</f>
        <v/>
      </c>
    </row>
    <row r="232">
      <c r="A232" s="17" t="n">
        <v>33147</v>
      </c>
      <c r="B232" s="58">
        <f>VLOOKUP(Table13[[#This Row],[Date]],database!A:F,6,)</f>
        <v/>
      </c>
      <c r="C232" s="66">
        <f>B232/B231-1</f>
        <v/>
      </c>
      <c r="D232" s="66">
        <f>(Table13[[#This Row],[Index]]-B220)/B220</f>
        <v/>
      </c>
    </row>
    <row r="233">
      <c r="A233" s="17" t="n">
        <v>33178</v>
      </c>
      <c r="B233" s="58">
        <f>VLOOKUP(Table13[[#This Row],[Date]],database!A:F,6,)</f>
        <v/>
      </c>
      <c r="C233" s="66">
        <f>B233/B232-1</f>
        <v/>
      </c>
      <c r="D233" s="66">
        <f>(Table13[[#This Row],[Index]]-B221)/B221</f>
        <v/>
      </c>
    </row>
    <row r="234">
      <c r="A234" s="17" t="n">
        <v>33208</v>
      </c>
      <c r="B234" s="58">
        <f>VLOOKUP(Table13[[#This Row],[Date]],database!A:F,6,)</f>
        <v/>
      </c>
      <c r="C234" s="66">
        <f>B234/B233-1</f>
        <v/>
      </c>
      <c r="D234" s="66">
        <f>(Table13[[#This Row],[Index]]-B222)/B222</f>
        <v/>
      </c>
    </row>
    <row r="235">
      <c r="A235" s="17" t="n">
        <v>33239</v>
      </c>
      <c r="B235" s="58">
        <f>VLOOKUP(Table13[[#This Row],[Date]],database!A:F,6,)</f>
        <v/>
      </c>
      <c r="C235" s="66">
        <f>B235/B234-1</f>
        <v/>
      </c>
      <c r="D235" s="66">
        <f>(Table13[[#This Row],[Index]]-B223)/B223</f>
        <v/>
      </c>
    </row>
    <row r="236">
      <c r="A236" s="17" t="n">
        <v>33270</v>
      </c>
      <c r="B236" s="58">
        <f>VLOOKUP(Table13[[#This Row],[Date]],database!A:F,6,)</f>
        <v/>
      </c>
      <c r="C236" s="66">
        <f>B236/B235-1</f>
        <v/>
      </c>
      <c r="D236" s="66">
        <f>(Table13[[#This Row],[Index]]-B224)/B224</f>
        <v/>
      </c>
    </row>
    <row r="237">
      <c r="A237" s="17" t="n">
        <v>33298</v>
      </c>
      <c r="B237" s="58">
        <f>VLOOKUP(Table13[[#This Row],[Date]],database!A:F,6,)</f>
        <v/>
      </c>
      <c r="C237" s="66">
        <f>B237/B236-1</f>
        <v/>
      </c>
      <c r="D237" s="66">
        <f>(Table13[[#This Row],[Index]]-B225)/B225</f>
        <v/>
      </c>
    </row>
    <row r="238">
      <c r="A238" s="17" t="n">
        <v>33329</v>
      </c>
      <c r="B238" s="58">
        <f>VLOOKUP(Table13[[#This Row],[Date]],database!A:F,6,)</f>
        <v/>
      </c>
      <c r="C238" s="66">
        <f>B238/B237-1</f>
        <v/>
      </c>
      <c r="D238" s="66">
        <f>(Table13[[#This Row],[Index]]-B226)/B226</f>
        <v/>
      </c>
    </row>
    <row r="239">
      <c r="A239" s="17" t="n">
        <v>33359</v>
      </c>
      <c r="B239" s="58">
        <f>VLOOKUP(Table13[[#This Row],[Date]],database!A:F,6,)</f>
        <v/>
      </c>
      <c r="C239" s="66">
        <f>B239/B238-1</f>
        <v/>
      </c>
      <c r="D239" s="66">
        <f>(Table13[[#This Row],[Index]]-B227)/B227</f>
        <v/>
      </c>
    </row>
    <row r="240">
      <c r="A240" s="17" t="n">
        <v>33390</v>
      </c>
      <c r="B240" s="58">
        <f>VLOOKUP(Table13[[#This Row],[Date]],database!A:F,6,)</f>
        <v/>
      </c>
      <c r="C240" s="66">
        <f>B240/B239-1</f>
        <v/>
      </c>
      <c r="D240" s="66">
        <f>(Table13[[#This Row],[Index]]-B228)/B228</f>
        <v/>
      </c>
    </row>
    <row r="241">
      <c r="A241" s="17" t="n">
        <v>33420</v>
      </c>
      <c r="B241" s="58">
        <f>VLOOKUP(Table13[[#This Row],[Date]],database!A:F,6,)</f>
        <v/>
      </c>
      <c r="C241" s="66">
        <f>B241/B240-1</f>
        <v/>
      </c>
      <c r="D241" s="66">
        <f>(Table13[[#This Row],[Index]]-B229)/B229</f>
        <v/>
      </c>
    </row>
    <row r="242">
      <c r="A242" s="17" t="n">
        <v>33451</v>
      </c>
      <c r="B242" s="58">
        <f>VLOOKUP(Table13[[#This Row],[Date]],database!A:F,6,)</f>
        <v/>
      </c>
      <c r="C242" s="66">
        <f>B242/B241-1</f>
        <v/>
      </c>
      <c r="D242" s="66">
        <f>(Table13[[#This Row],[Index]]-B230)/B230</f>
        <v/>
      </c>
    </row>
    <row r="243">
      <c r="A243" s="17" t="n">
        <v>33482</v>
      </c>
      <c r="B243" s="58">
        <f>VLOOKUP(Table13[[#This Row],[Date]],database!A:F,6,)</f>
        <v/>
      </c>
      <c r="C243" s="66">
        <f>B243/B242-1</f>
        <v/>
      </c>
      <c r="D243" s="66">
        <f>(Table13[[#This Row],[Index]]-B231)/B231</f>
        <v/>
      </c>
    </row>
    <row r="244">
      <c r="A244" s="17" t="n">
        <v>33512</v>
      </c>
      <c r="B244" s="58">
        <f>VLOOKUP(Table13[[#This Row],[Date]],database!A:F,6,)</f>
        <v/>
      </c>
      <c r="C244" s="66">
        <f>B244/B243-1</f>
        <v/>
      </c>
      <c r="D244" s="66">
        <f>(Table13[[#This Row],[Index]]-B232)/B232</f>
        <v/>
      </c>
    </row>
    <row r="245">
      <c r="A245" s="17" t="n">
        <v>33543</v>
      </c>
      <c r="B245" s="58">
        <f>VLOOKUP(Table13[[#This Row],[Date]],database!A:F,6,)</f>
        <v/>
      </c>
      <c r="C245" s="66">
        <f>B245/B244-1</f>
        <v/>
      </c>
      <c r="D245" s="66">
        <f>(Table13[[#This Row],[Index]]-B233)/B233</f>
        <v/>
      </c>
    </row>
    <row r="246">
      <c r="A246" s="17" t="n">
        <v>33573</v>
      </c>
      <c r="B246" s="58">
        <f>VLOOKUP(Table13[[#This Row],[Date]],database!A:F,6,)</f>
        <v/>
      </c>
      <c r="C246" s="66">
        <f>B246/B245-1</f>
        <v/>
      </c>
      <c r="D246" s="66">
        <f>(Table13[[#This Row],[Index]]-B234)/B234</f>
        <v/>
      </c>
    </row>
    <row r="247">
      <c r="A247" s="17" t="n">
        <v>33604</v>
      </c>
      <c r="B247" s="58">
        <f>VLOOKUP(Table13[[#This Row],[Date]],database!A:F,6,)</f>
        <v/>
      </c>
      <c r="C247" s="66">
        <f>B247/B246-1</f>
        <v/>
      </c>
      <c r="D247" s="66">
        <f>(Table13[[#This Row],[Index]]-B235)/B235</f>
        <v/>
      </c>
    </row>
    <row r="248">
      <c r="A248" s="17" t="n">
        <v>33635</v>
      </c>
      <c r="B248" s="58">
        <f>VLOOKUP(Table13[[#This Row],[Date]],database!A:F,6,)</f>
        <v/>
      </c>
      <c r="C248" s="66">
        <f>B248/B247-1</f>
        <v/>
      </c>
      <c r="D248" s="66">
        <f>(Table13[[#This Row],[Index]]-B236)/B236</f>
        <v/>
      </c>
    </row>
    <row r="249">
      <c r="A249" s="17" t="n">
        <v>33664</v>
      </c>
      <c r="B249" s="58">
        <f>VLOOKUP(Table13[[#This Row],[Date]],database!A:F,6,)</f>
        <v/>
      </c>
      <c r="C249" s="66">
        <f>B249/B248-1</f>
        <v/>
      </c>
      <c r="D249" s="66">
        <f>(Table13[[#This Row],[Index]]-B237)/B237</f>
        <v/>
      </c>
    </row>
    <row r="250">
      <c r="A250" s="17" t="n">
        <v>33695</v>
      </c>
      <c r="B250" s="58">
        <f>VLOOKUP(Table13[[#This Row],[Date]],database!A:F,6,)</f>
        <v/>
      </c>
      <c r="C250" s="66">
        <f>B250/B249-1</f>
        <v/>
      </c>
      <c r="D250" s="66">
        <f>(Table13[[#This Row],[Index]]-B238)/B238</f>
        <v/>
      </c>
    </row>
    <row r="251">
      <c r="A251" s="17" t="n">
        <v>33725</v>
      </c>
      <c r="B251" s="58">
        <f>VLOOKUP(Table13[[#This Row],[Date]],database!A:F,6,)</f>
        <v/>
      </c>
      <c r="C251" s="66">
        <f>B251/B250-1</f>
        <v/>
      </c>
      <c r="D251" s="66">
        <f>(Table13[[#This Row],[Index]]-B239)/B239</f>
        <v/>
      </c>
    </row>
    <row r="252">
      <c r="A252" s="17" t="n">
        <v>33756</v>
      </c>
      <c r="B252" s="58">
        <f>VLOOKUP(Table13[[#This Row],[Date]],database!A:F,6,)</f>
        <v/>
      </c>
      <c r="C252" s="66">
        <f>B252/B251-1</f>
        <v/>
      </c>
      <c r="D252" s="66">
        <f>(Table13[[#This Row],[Index]]-B240)/B240</f>
        <v/>
      </c>
    </row>
    <row r="253">
      <c r="A253" s="17" t="n">
        <v>33786</v>
      </c>
      <c r="B253" s="58">
        <f>VLOOKUP(Table13[[#This Row],[Date]],database!A:F,6,)</f>
        <v/>
      </c>
      <c r="C253" s="66">
        <f>B253/B252-1</f>
        <v/>
      </c>
      <c r="D253" s="66">
        <f>(Table13[[#This Row],[Index]]-B241)/B241</f>
        <v/>
      </c>
    </row>
    <row r="254">
      <c r="A254" s="17" t="n">
        <v>33817</v>
      </c>
      <c r="B254" s="58">
        <f>VLOOKUP(Table13[[#This Row],[Date]],database!A:F,6,)</f>
        <v/>
      </c>
      <c r="C254" s="66">
        <f>B254/B253-1</f>
        <v/>
      </c>
      <c r="D254" s="66">
        <f>(Table13[[#This Row],[Index]]-B242)/B242</f>
        <v/>
      </c>
    </row>
    <row r="255">
      <c r="A255" s="17" t="n">
        <v>33848</v>
      </c>
      <c r="B255" s="58">
        <f>VLOOKUP(Table13[[#This Row],[Date]],database!A:F,6,)</f>
        <v/>
      </c>
      <c r="C255" s="66">
        <f>B255/B254-1</f>
        <v/>
      </c>
      <c r="D255" s="66">
        <f>(Table13[[#This Row],[Index]]-B243)/B243</f>
        <v/>
      </c>
    </row>
    <row r="256">
      <c r="A256" s="17" t="n">
        <v>33878</v>
      </c>
      <c r="B256" s="58">
        <f>VLOOKUP(Table13[[#This Row],[Date]],database!A:F,6,)</f>
        <v/>
      </c>
      <c r="C256" s="66">
        <f>B256/B255-1</f>
        <v/>
      </c>
      <c r="D256" s="66">
        <f>(Table13[[#This Row],[Index]]-B244)/B244</f>
        <v/>
      </c>
    </row>
    <row r="257">
      <c r="A257" s="17" t="n">
        <v>33909</v>
      </c>
      <c r="B257" s="58">
        <f>VLOOKUP(Table13[[#This Row],[Date]],database!A:F,6,)</f>
        <v/>
      </c>
      <c r="C257" s="66">
        <f>B257/B256-1</f>
        <v/>
      </c>
      <c r="D257" s="66">
        <f>(Table13[[#This Row],[Index]]-B245)/B245</f>
        <v/>
      </c>
    </row>
    <row r="258">
      <c r="A258" s="17" t="n">
        <v>33939</v>
      </c>
      <c r="B258" s="58">
        <f>VLOOKUP(Table13[[#This Row],[Date]],database!A:F,6,)</f>
        <v/>
      </c>
      <c r="C258" s="66">
        <f>B258/B257-1</f>
        <v/>
      </c>
      <c r="D258" s="66">
        <f>(Table13[[#This Row],[Index]]-B246)/B246</f>
        <v/>
      </c>
    </row>
    <row r="259">
      <c r="A259" s="17" t="n">
        <v>33970</v>
      </c>
      <c r="B259" s="58">
        <f>VLOOKUP(Table13[[#This Row],[Date]],database!A:F,6,)</f>
        <v/>
      </c>
      <c r="C259" s="66">
        <f>B259/B258-1</f>
        <v/>
      </c>
      <c r="D259" s="66">
        <f>(Table13[[#This Row],[Index]]-B247)/B247</f>
        <v/>
      </c>
    </row>
    <row r="260">
      <c r="A260" s="17" t="n">
        <v>34001</v>
      </c>
      <c r="B260" s="58">
        <f>VLOOKUP(Table13[[#This Row],[Date]],database!A:F,6,)</f>
        <v/>
      </c>
      <c r="C260" s="66">
        <f>B260/B259-1</f>
        <v/>
      </c>
      <c r="D260" s="66">
        <f>(Table13[[#This Row],[Index]]-B248)/B248</f>
        <v/>
      </c>
    </row>
    <row r="261">
      <c r="A261" s="17" t="n">
        <v>34029</v>
      </c>
      <c r="B261" s="58">
        <f>VLOOKUP(Table13[[#This Row],[Date]],database!A:F,6,)</f>
        <v/>
      </c>
      <c r="C261" s="66">
        <f>B261/B260-1</f>
        <v/>
      </c>
      <c r="D261" s="66">
        <f>(Table13[[#This Row],[Index]]-B249)/B249</f>
        <v/>
      </c>
    </row>
    <row r="262">
      <c r="A262" s="17" t="n">
        <v>34060</v>
      </c>
      <c r="B262" s="58">
        <f>VLOOKUP(Table13[[#This Row],[Date]],database!A:F,6,)</f>
        <v/>
      </c>
      <c r="C262" s="66">
        <f>B262/B261-1</f>
        <v/>
      </c>
      <c r="D262" s="66">
        <f>(Table13[[#This Row],[Index]]-B250)/B250</f>
        <v/>
      </c>
    </row>
    <row r="263">
      <c r="A263" s="17" t="n">
        <v>34090</v>
      </c>
      <c r="B263" s="58">
        <f>VLOOKUP(Table13[[#This Row],[Date]],database!A:F,6,)</f>
        <v/>
      </c>
      <c r="C263" s="66">
        <f>B263/B262-1</f>
        <v/>
      </c>
      <c r="D263" s="66">
        <f>(Table13[[#This Row],[Index]]-B251)/B251</f>
        <v/>
      </c>
    </row>
    <row r="264">
      <c r="A264" s="17" t="n">
        <v>34121</v>
      </c>
      <c r="B264" s="58">
        <f>VLOOKUP(Table13[[#This Row],[Date]],database!A:F,6,)</f>
        <v/>
      </c>
      <c r="C264" s="66">
        <f>B264/B263-1</f>
        <v/>
      </c>
      <c r="D264" s="66">
        <f>(Table13[[#This Row],[Index]]-B252)/B252</f>
        <v/>
      </c>
    </row>
    <row r="265">
      <c r="A265" s="17" t="n">
        <v>34151</v>
      </c>
      <c r="B265" s="58">
        <f>VLOOKUP(Table13[[#This Row],[Date]],database!A:F,6,)</f>
        <v/>
      </c>
      <c r="C265" s="66">
        <f>B265/B264-1</f>
        <v/>
      </c>
      <c r="D265" s="66">
        <f>(Table13[[#This Row],[Index]]-B253)/B253</f>
        <v/>
      </c>
    </row>
    <row r="266">
      <c r="A266" s="17" t="n">
        <v>34182</v>
      </c>
      <c r="B266" s="58">
        <f>VLOOKUP(Table13[[#This Row],[Date]],database!A:F,6,)</f>
        <v/>
      </c>
      <c r="C266" s="66">
        <f>B266/B265-1</f>
        <v/>
      </c>
      <c r="D266" s="66">
        <f>(Table13[[#This Row],[Index]]-B254)/B254</f>
        <v/>
      </c>
    </row>
    <row r="267">
      <c r="A267" s="17" t="n">
        <v>34213</v>
      </c>
      <c r="B267" s="58">
        <f>VLOOKUP(Table13[[#This Row],[Date]],database!A:F,6,)</f>
        <v/>
      </c>
      <c r="C267" s="66">
        <f>B267/B266-1</f>
        <v/>
      </c>
      <c r="D267" s="66">
        <f>(Table13[[#This Row],[Index]]-B255)/B255</f>
        <v/>
      </c>
    </row>
    <row r="268">
      <c r="A268" s="17" t="n">
        <v>34243</v>
      </c>
      <c r="B268" s="58">
        <f>VLOOKUP(Table13[[#This Row],[Date]],database!A:F,6,)</f>
        <v/>
      </c>
      <c r="C268" s="66">
        <f>B268/B267-1</f>
        <v/>
      </c>
      <c r="D268" s="66">
        <f>(Table13[[#This Row],[Index]]-B256)/B256</f>
        <v/>
      </c>
    </row>
    <row r="269">
      <c r="A269" s="17" t="n">
        <v>34274</v>
      </c>
      <c r="B269" s="58">
        <f>VLOOKUP(Table13[[#This Row],[Date]],database!A:F,6,)</f>
        <v/>
      </c>
      <c r="C269" s="66">
        <f>B269/B268-1</f>
        <v/>
      </c>
      <c r="D269" s="66">
        <f>(Table13[[#This Row],[Index]]-B257)/B257</f>
        <v/>
      </c>
    </row>
    <row r="270">
      <c r="A270" s="17" t="n">
        <v>34304</v>
      </c>
      <c r="B270" s="58">
        <f>VLOOKUP(Table13[[#This Row],[Date]],database!A:F,6,)</f>
        <v/>
      </c>
      <c r="C270" s="66">
        <f>B270/B269-1</f>
        <v/>
      </c>
      <c r="D270" s="66">
        <f>(Table13[[#This Row],[Index]]-B258)/B258</f>
        <v/>
      </c>
    </row>
    <row r="271">
      <c r="A271" s="17" t="n">
        <v>34335</v>
      </c>
      <c r="B271" s="58">
        <f>VLOOKUP(Table13[[#This Row],[Date]],database!A:F,6,)</f>
        <v/>
      </c>
      <c r="C271" s="66">
        <f>B271/B270-1</f>
        <v/>
      </c>
      <c r="D271" s="66">
        <f>(Table13[[#This Row],[Index]]-B259)/B259</f>
        <v/>
      </c>
    </row>
    <row r="272">
      <c r="A272" s="17" t="n">
        <v>34366</v>
      </c>
      <c r="B272" s="58">
        <f>VLOOKUP(Table13[[#This Row],[Date]],database!A:F,6,)</f>
        <v/>
      </c>
      <c r="C272" s="66">
        <f>B272/B271-1</f>
        <v/>
      </c>
      <c r="D272" s="66">
        <f>(Table13[[#This Row],[Index]]-B260)/B260</f>
        <v/>
      </c>
    </row>
    <row r="273">
      <c r="A273" s="17" t="n">
        <v>34394</v>
      </c>
      <c r="B273" s="58">
        <f>VLOOKUP(Table13[[#This Row],[Date]],database!A:F,6,)</f>
        <v/>
      </c>
      <c r="C273" s="66">
        <f>B273/B272-1</f>
        <v/>
      </c>
      <c r="D273" s="66">
        <f>(Table13[[#This Row],[Index]]-B261)/B261</f>
        <v/>
      </c>
    </row>
    <row r="274">
      <c r="A274" s="17" t="n">
        <v>34425</v>
      </c>
      <c r="B274" s="58">
        <f>VLOOKUP(Table13[[#This Row],[Date]],database!A:F,6,)</f>
        <v/>
      </c>
      <c r="C274" s="66">
        <f>B274/B273-1</f>
        <v/>
      </c>
      <c r="D274" s="66">
        <f>(Table13[[#This Row],[Index]]-B262)/B262</f>
        <v/>
      </c>
    </row>
    <row r="275">
      <c r="A275" s="17" t="n">
        <v>34455</v>
      </c>
      <c r="B275" s="58">
        <f>VLOOKUP(Table13[[#This Row],[Date]],database!A:F,6,)</f>
        <v/>
      </c>
      <c r="C275" s="66">
        <f>B275/B274-1</f>
        <v/>
      </c>
      <c r="D275" s="66">
        <f>(Table13[[#This Row],[Index]]-B263)/B263</f>
        <v/>
      </c>
    </row>
    <row r="276">
      <c r="A276" s="17" t="n">
        <v>34486</v>
      </c>
      <c r="B276" s="58">
        <f>VLOOKUP(Table13[[#This Row],[Date]],database!A:F,6,)</f>
        <v/>
      </c>
      <c r="C276" s="66">
        <f>B276/B275-1</f>
        <v/>
      </c>
      <c r="D276" s="66">
        <f>(Table13[[#This Row],[Index]]-B264)/B264</f>
        <v/>
      </c>
    </row>
    <row r="277">
      <c r="A277" s="17" t="n">
        <v>34516</v>
      </c>
      <c r="B277" s="58">
        <f>VLOOKUP(Table13[[#This Row],[Date]],database!A:F,6,)</f>
        <v/>
      </c>
      <c r="C277" s="66">
        <f>B277/B276-1</f>
        <v/>
      </c>
      <c r="D277" s="66">
        <f>(Table13[[#This Row],[Index]]-B265)/B265</f>
        <v/>
      </c>
    </row>
    <row r="278">
      <c r="A278" s="17" t="n">
        <v>34547</v>
      </c>
      <c r="B278" s="58">
        <f>VLOOKUP(Table13[[#This Row],[Date]],database!A:F,6,)</f>
        <v/>
      </c>
      <c r="C278" s="66">
        <f>B278/B277-1</f>
        <v/>
      </c>
      <c r="D278" s="66">
        <f>(Table13[[#This Row],[Index]]-B266)/B266</f>
        <v/>
      </c>
    </row>
    <row r="279">
      <c r="A279" s="17" t="n">
        <v>34578</v>
      </c>
      <c r="B279" s="58">
        <f>VLOOKUP(Table13[[#This Row],[Date]],database!A:F,6,)</f>
        <v/>
      </c>
      <c r="C279" s="66">
        <f>B279/B278-1</f>
        <v/>
      </c>
      <c r="D279" s="66">
        <f>(Table13[[#This Row],[Index]]-B267)/B267</f>
        <v/>
      </c>
    </row>
    <row r="280">
      <c r="A280" s="17" t="n">
        <v>34608</v>
      </c>
      <c r="B280" s="58">
        <f>VLOOKUP(Table13[[#This Row],[Date]],database!A:F,6,)</f>
        <v/>
      </c>
      <c r="C280" s="66">
        <f>B280/B279-1</f>
        <v/>
      </c>
      <c r="D280" s="66">
        <f>(Table13[[#This Row],[Index]]-B268)/B268</f>
        <v/>
      </c>
    </row>
    <row r="281">
      <c r="A281" s="17" t="n">
        <v>34639</v>
      </c>
      <c r="B281" s="58">
        <f>VLOOKUP(Table13[[#This Row],[Date]],database!A:F,6,)</f>
        <v/>
      </c>
      <c r="C281" s="66">
        <f>B281/B280-1</f>
        <v/>
      </c>
      <c r="D281" s="66">
        <f>(Table13[[#This Row],[Index]]-B269)/B269</f>
        <v/>
      </c>
    </row>
    <row r="282">
      <c r="A282" s="17" t="n">
        <v>34669</v>
      </c>
      <c r="B282" s="58">
        <f>VLOOKUP(Table13[[#This Row],[Date]],database!A:F,6,)</f>
        <v/>
      </c>
      <c r="C282" s="66">
        <f>B282/B281-1</f>
        <v/>
      </c>
      <c r="D282" s="66">
        <f>(Table13[[#This Row],[Index]]-B270)/B270</f>
        <v/>
      </c>
    </row>
    <row r="283">
      <c r="A283" s="17" t="n">
        <v>34700</v>
      </c>
      <c r="B283" s="58">
        <f>VLOOKUP(Table13[[#This Row],[Date]],database!A:F,6,)</f>
        <v/>
      </c>
      <c r="C283" s="66">
        <f>B283/B282-1</f>
        <v/>
      </c>
      <c r="D283" s="66">
        <f>(Table13[[#This Row],[Index]]-B271)/B271</f>
        <v/>
      </c>
    </row>
    <row r="284">
      <c r="A284" s="17" t="n">
        <v>34731</v>
      </c>
      <c r="B284" s="58">
        <f>VLOOKUP(Table13[[#This Row],[Date]],database!A:F,6,)</f>
        <v/>
      </c>
      <c r="C284" s="66">
        <f>B284/B283-1</f>
        <v/>
      </c>
      <c r="D284" s="66">
        <f>(Table13[[#This Row],[Index]]-B272)/B272</f>
        <v/>
      </c>
    </row>
    <row r="285">
      <c r="A285" s="17" t="n">
        <v>34759</v>
      </c>
      <c r="B285" s="58">
        <f>VLOOKUP(Table13[[#This Row],[Date]],database!A:F,6,)</f>
        <v/>
      </c>
      <c r="C285" s="66">
        <f>B285/B284-1</f>
        <v/>
      </c>
      <c r="D285" s="66">
        <f>(Table13[[#This Row],[Index]]-B273)/B273</f>
        <v/>
      </c>
    </row>
    <row r="286">
      <c r="A286" s="17" t="n">
        <v>34790</v>
      </c>
      <c r="B286" s="58">
        <f>VLOOKUP(Table13[[#This Row],[Date]],database!A:F,6,)</f>
        <v/>
      </c>
      <c r="C286" s="66">
        <f>B286/B285-1</f>
        <v/>
      </c>
      <c r="D286" s="66">
        <f>(Table13[[#This Row],[Index]]-B274)/B274</f>
        <v/>
      </c>
    </row>
    <row r="287">
      <c r="A287" s="17" t="n">
        <v>34820</v>
      </c>
      <c r="B287" s="58">
        <f>VLOOKUP(Table13[[#This Row],[Date]],database!A:F,6,)</f>
        <v/>
      </c>
      <c r="C287" s="66">
        <f>B287/B286-1</f>
        <v/>
      </c>
      <c r="D287" s="66">
        <f>(Table13[[#This Row],[Index]]-B275)/B275</f>
        <v/>
      </c>
    </row>
    <row r="288">
      <c r="A288" s="17" t="n">
        <v>34851</v>
      </c>
      <c r="B288" s="58">
        <f>VLOOKUP(Table13[[#This Row],[Date]],database!A:F,6,)</f>
        <v/>
      </c>
      <c r="C288" s="66">
        <f>B288/B287-1</f>
        <v/>
      </c>
      <c r="D288" s="66">
        <f>(Table13[[#This Row],[Index]]-B276)/B276</f>
        <v/>
      </c>
    </row>
    <row r="289">
      <c r="A289" s="17" t="n">
        <v>34881</v>
      </c>
      <c r="B289" s="58">
        <f>VLOOKUP(Table13[[#This Row],[Date]],database!A:F,6,)</f>
        <v/>
      </c>
      <c r="C289" s="66">
        <f>B289/B288-1</f>
        <v/>
      </c>
      <c r="D289" s="66">
        <f>(Table13[[#This Row],[Index]]-B277)/B277</f>
        <v/>
      </c>
    </row>
    <row r="290">
      <c r="A290" s="17" t="n">
        <v>34912</v>
      </c>
      <c r="B290" s="58">
        <f>VLOOKUP(Table13[[#This Row],[Date]],database!A:F,6,)</f>
        <v/>
      </c>
      <c r="C290" s="66">
        <f>B290/B289-1</f>
        <v/>
      </c>
      <c r="D290" s="66">
        <f>(Table13[[#This Row],[Index]]-B278)/B278</f>
        <v/>
      </c>
    </row>
    <row r="291">
      <c r="A291" s="17" t="n">
        <v>34943</v>
      </c>
      <c r="B291" s="58">
        <f>VLOOKUP(Table13[[#This Row],[Date]],database!A:F,6,)</f>
        <v/>
      </c>
      <c r="C291" s="66">
        <f>B291/B290-1</f>
        <v/>
      </c>
      <c r="D291" s="66">
        <f>(Table13[[#This Row],[Index]]-B279)/B279</f>
        <v/>
      </c>
    </row>
    <row r="292">
      <c r="A292" s="17" t="n">
        <v>34973</v>
      </c>
      <c r="B292" s="58">
        <f>VLOOKUP(Table13[[#This Row],[Date]],database!A:F,6,)</f>
        <v/>
      </c>
      <c r="C292" s="66">
        <f>B292/B291-1</f>
        <v/>
      </c>
      <c r="D292" s="66">
        <f>(Table13[[#This Row],[Index]]-B280)/B280</f>
        <v/>
      </c>
    </row>
    <row r="293">
      <c r="A293" s="17" t="n">
        <v>35004</v>
      </c>
      <c r="B293" s="58">
        <f>VLOOKUP(Table13[[#This Row],[Date]],database!A:F,6,)</f>
        <v/>
      </c>
      <c r="C293" s="66">
        <f>B293/B292-1</f>
        <v/>
      </c>
      <c r="D293" s="66">
        <f>(Table13[[#This Row],[Index]]-B281)/B281</f>
        <v/>
      </c>
    </row>
    <row r="294">
      <c r="A294" s="17" t="n">
        <v>35034</v>
      </c>
      <c r="B294" s="58">
        <f>VLOOKUP(Table13[[#This Row],[Date]],database!A:F,6,)</f>
        <v/>
      </c>
      <c r="C294" s="66">
        <f>B294/B293-1</f>
        <v/>
      </c>
      <c r="D294" s="66">
        <f>(Table13[[#This Row],[Index]]-B282)/B282</f>
        <v/>
      </c>
    </row>
    <row r="295">
      <c r="A295" s="17" t="n">
        <v>35065</v>
      </c>
      <c r="B295" s="58">
        <f>VLOOKUP(Table13[[#This Row],[Date]],database!A:F,6,)</f>
        <v/>
      </c>
      <c r="C295" s="66">
        <f>B295/B294-1</f>
        <v/>
      </c>
      <c r="D295" s="66">
        <f>(Table13[[#This Row],[Index]]-B283)/B283</f>
        <v/>
      </c>
    </row>
    <row r="296">
      <c r="A296" s="17" t="n">
        <v>35096</v>
      </c>
      <c r="B296" s="58">
        <f>VLOOKUP(Table13[[#This Row],[Date]],database!A:F,6,)</f>
        <v/>
      </c>
      <c r="C296" s="66">
        <f>B296/B295-1</f>
        <v/>
      </c>
      <c r="D296" s="66">
        <f>(Table13[[#This Row],[Index]]-B284)/B284</f>
        <v/>
      </c>
    </row>
    <row r="297">
      <c r="A297" s="17" t="n">
        <v>35125</v>
      </c>
      <c r="B297" s="58">
        <f>VLOOKUP(Table13[[#This Row],[Date]],database!A:F,6,)</f>
        <v/>
      </c>
      <c r="C297" s="66">
        <f>B297/B296-1</f>
        <v/>
      </c>
      <c r="D297" s="66">
        <f>(Table13[[#This Row],[Index]]-B285)/B285</f>
        <v/>
      </c>
    </row>
    <row r="298">
      <c r="A298" s="17" t="n">
        <v>35156</v>
      </c>
      <c r="B298" s="58">
        <f>VLOOKUP(Table13[[#This Row],[Date]],database!A:F,6,)</f>
        <v/>
      </c>
      <c r="C298" s="66">
        <f>B298/B297-1</f>
        <v/>
      </c>
      <c r="D298" s="66">
        <f>(Table13[[#This Row],[Index]]-B286)/B286</f>
        <v/>
      </c>
    </row>
    <row r="299">
      <c r="A299" s="17" t="n">
        <v>35186</v>
      </c>
      <c r="B299" s="58">
        <f>VLOOKUP(Table13[[#This Row],[Date]],database!A:F,6,)</f>
        <v/>
      </c>
      <c r="C299" s="66">
        <f>B299/B298-1</f>
        <v/>
      </c>
      <c r="D299" s="66">
        <f>(Table13[[#This Row],[Index]]-B287)/B287</f>
        <v/>
      </c>
    </row>
    <row r="300">
      <c r="A300" s="17" t="n">
        <v>35217</v>
      </c>
      <c r="B300" s="58">
        <f>VLOOKUP(Table13[[#This Row],[Date]],database!A:F,6,)</f>
        <v/>
      </c>
      <c r="C300" s="66">
        <f>B300/B299-1</f>
        <v/>
      </c>
      <c r="D300" s="66">
        <f>(Table13[[#This Row],[Index]]-B288)/B288</f>
        <v/>
      </c>
    </row>
    <row r="301">
      <c r="A301" s="17" t="n">
        <v>35247</v>
      </c>
      <c r="B301" s="58">
        <f>VLOOKUP(Table13[[#This Row],[Date]],database!A:F,6,)</f>
        <v/>
      </c>
      <c r="C301" s="66">
        <f>B301/B300-1</f>
        <v/>
      </c>
      <c r="D301" s="66">
        <f>(Table13[[#This Row],[Index]]-B289)/B289</f>
        <v/>
      </c>
    </row>
    <row r="302">
      <c r="A302" s="17" t="n">
        <v>35278</v>
      </c>
      <c r="B302" s="58">
        <f>VLOOKUP(Table13[[#This Row],[Date]],database!A:F,6,)</f>
        <v/>
      </c>
      <c r="C302" s="66">
        <f>B302/B301-1</f>
        <v/>
      </c>
      <c r="D302" s="66">
        <f>(Table13[[#This Row],[Index]]-B290)/B290</f>
        <v/>
      </c>
    </row>
    <row r="303">
      <c r="A303" s="17" t="n">
        <v>35309</v>
      </c>
      <c r="B303" s="58">
        <f>VLOOKUP(Table13[[#This Row],[Date]],database!A:F,6,)</f>
        <v/>
      </c>
      <c r="C303" s="66">
        <f>B303/B302-1</f>
        <v/>
      </c>
      <c r="D303" s="66">
        <f>(Table13[[#This Row],[Index]]-B291)/B291</f>
        <v/>
      </c>
    </row>
    <row r="304">
      <c r="A304" s="17" t="n">
        <v>35339</v>
      </c>
      <c r="B304" s="58">
        <f>VLOOKUP(Table13[[#This Row],[Date]],database!A:F,6,)</f>
        <v/>
      </c>
      <c r="C304" s="66">
        <f>B304/B303-1</f>
        <v/>
      </c>
      <c r="D304" s="66">
        <f>(Table13[[#This Row],[Index]]-B292)/B292</f>
        <v/>
      </c>
    </row>
    <row r="305">
      <c r="A305" s="17" t="n">
        <v>35370</v>
      </c>
      <c r="B305" s="58">
        <f>VLOOKUP(Table13[[#This Row],[Date]],database!A:F,6,)</f>
        <v/>
      </c>
      <c r="C305" s="66">
        <f>B305/B304-1</f>
        <v/>
      </c>
      <c r="D305" s="66">
        <f>(Table13[[#This Row],[Index]]-B293)/B293</f>
        <v/>
      </c>
    </row>
    <row r="306">
      <c r="A306" s="17" t="n">
        <v>35400</v>
      </c>
      <c r="B306" s="58">
        <f>VLOOKUP(Table13[[#This Row],[Date]],database!A:F,6,)</f>
        <v/>
      </c>
      <c r="C306" s="66">
        <f>B306/B305-1</f>
        <v/>
      </c>
      <c r="D306" s="66">
        <f>(Table13[[#This Row],[Index]]-B294)/B294</f>
        <v/>
      </c>
    </row>
    <row r="307">
      <c r="A307" s="17" t="n">
        <v>35431</v>
      </c>
      <c r="B307" s="58">
        <f>VLOOKUP(Table13[[#This Row],[Date]],database!A:F,6,)</f>
        <v/>
      </c>
      <c r="C307" s="66">
        <f>B307/B306-1</f>
        <v/>
      </c>
      <c r="D307" s="66">
        <f>(Table13[[#This Row],[Index]]-B295)/B295</f>
        <v/>
      </c>
    </row>
    <row r="308">
      <c r="A308" s="17" t="n">
        <v>35462</v>
      </c>
      <c r="B308" s="58">
        <f>VLOOKUP(Table13[[#This Row],[Date]],database!A:F,6,)</f>
        <v/>
      </c>
      <c r="C308" s="66">
        <f>B308/B307-1</f>
        <v/>
      </c>
      <c r="D308" s="66">
        <f>(Table13[[#This Row],[Index]]-B296)/B296</f>
        <v/>
      </c>
    </row>
    <row r="309">
      <c r="A309" s="17" t="n">
        <v>35490</v>
      </c>
      <c r="B309" s="58">
        <f>VLOOKUP(Table13[[#This Row],[Date]],database!A:F,6,)</f>
        <v/>
      </c>
      <c r="C309" s="66">
        <f>B309/B308-1</f>
        <v/>
      </c>
      <c r="D309" s="66">
        <f>(Table13[[#This Row],[Index]]-B297)/B297</f>
        <v/>
      </c>
    </row>
    <row r="310">
      <c r="A310" s="17" t="n">
        <v>35521</v>
      </c>
      <c r="B310" s="58">
        <f>VLOOKUP(Table13[[#This Row],[Date]],database!A:F,6,)</f>
        <v/>
      </c>
      <c r="C310" s="66">
        <f>B310/B309-1</f>
        <v/>
      </c>
      <c r="D310" s="66">
        <f>(Table13[[#This Row],[Index]]-B298)/B298</f>
        <v/>
      </c>
    </row>
    <row r="311">
      <c r="A311" s="17" t="n">
        <v>35551</v>
      </c>
      <c r="B311" s="58">
        <f>VLOOKUP(Table13[[#This Row],[Date]],database!A:F,6,)</f>
        <v/>
      </c>
      <c r="C311" s="66">
        <f>B311/B310-1</f>
        <v/>
      </c>
      <c r="D311" s="66">
        <f>(Table13[[#This Row],[Index]]-B299)/B299</f>
        <v/>
      </c>
    </row>
    <row r="312">
      <c r="A312" s="17" t="n">
        <v>35582</v>
      </c>
      <c r="B312" s="58">
        <f>VLOOKUP(Table13[[#This Row],[Date]],database!A:F,6,)</f>
        <v/>
      </c>
      <c r="C312" s="66">
        <f>B312/B311-1</f>
        <v/>
      </c>
      <c r="D312" s="66">
        <f>(Table13[[#This Row],[Index]]-B300)/B300</f>
        <v/>
      </c>
    </row>
    <row r="313">
      <c r="A313" s="17" t="n">
        <v>35612</v>
      </c>
      <c r="B313" s="58">
        <f>VLOOKUP(Table13[[#This Row],[Date]],database!A:F,6,)</f>
        <v/>
      </c>
      <c r="C313" s="66">
        <f>B313/B312-1</f>
        <v/>
      </c>
      <c r="D313" s="66">
        <f>(Table13[[#This Row],[Index]]-B301)/B301</f>
        <v/>
      </c>
    </row>
    <row r="314">
      <c r="A314" s="17" t="n">
        <v>35643</v>
      </c>
      <c r="B314" s="58">
        <f>VLOOKUP(Table13[[#This Row],[Date]],database!A:F,6,)</f>
        <v/>
      </c>
      <c r="C314" s="66">
        <f>B314/B313-1</f>
        <v/>
      </c>
      <c r="D314" s="66">
        <f>(Table13[[#This Row],[Index]]-B302)/B302</f>
        <v/>
      </c>
    </row>
    <row r="315">
      <c r="A315" s="17" t="n">
        <v>35674</v>
      </c>
      <c r="B315" s="58">
        <f>VLOOKUP(Table13[[#This Row],[Date]],database!A:F,6,)</f>
        <v/>
      </c>
      <c r="C315" s="66">
        <f>B315/B314-1</f>
        <v/>
      </c>
      <c r="D315" s="66">
        <f>(Table13[[#This Row],[Index]]-B303)/B303</f>
        <v/>
      </c>
    </row>
    <row r="316">
      <c r="A316" s="17" t="n">
        <v>35704</v>
      </c>
      <c r="B316" s="58">
        <f>VLOOKUP(Table13[[#This Row],[Date]],database!A:F,6,)</f>
        <v/>
      </c>
      <c r="C316" s="66">
        <f>B316/B315-1</f>
        <v/>
      </c>
      <c r="D316" s="66">
        <f>(Table13[[#This Row],[Index]]-B304)/B304</f>
        <v/>
      </c>
    </row>
    <row r="317">
      <c r="A317" s="17" t="n">
        <v>35735</v>
      </c>
      <c r="B317" s="58">
        <f>VLOOKUP(Table13[[#This Row],[Date]],database!A:F,6,)</f>
        <v/>
      </c>
      <c r="C317" s="66">
        <f>B317/B316-1</f>
        <v/>
      </c>
      <c r="D317" s="66">
        <f>(Table13[[#This Row],[Index]]-B305)/B305</f>
        <v/>
      </c>
    </row>
    <row r="318">
      <c r="A318" s="17" t="n">
        <v>35765</v>
      </c>
      <c r="B318" s="58">
        <f>VLOOKUP(Table13[[#This Row],[Date]],database!A:F,6,)</f>
        <v/>
      </c>
      <c r="C318" s="66">
        <f>B318/B317-1</f>
        <v/>
      </c>
      <c r="D318" s="66">
        <f>(Table13[[#This Row],[Index]]-B306)/B306</f>
        <v/>
      </c>
    </row>
    <row r="319">
      <c r="A319" s="17" t="n">
        <v>35796</v>
      </c>
      <c r="B319" s="58">
        <f>VLOOKUP(Table13[[#This Row],[Date]],database!A:F,6,)</f>
        <v/>
      </c>
      <c r="C319" s="66">
        <f>B319/B318-1</f>
        <v/>
      </c>
      <c r="D319" s="66">
        <f>(Table13[[#This Row],[Index]]-B307)/B307</f>
        <v/>
      </c>
    </row>
    <row r="320">
      <c r="A320" s="17" t="n">
        <v>35827</v>
      </c>
      <c r="B320" s="58">
        <f>VLOOKUP(Table13[[#This Row],[Date]],database!A:F,6,)</f>
        <v/>
      </c>
      <c r="C320" s="66">
        <f>B320/B319-1</f>
        <v/>
      </c>
      <c r="D320" s="66">
        <f>(Table13[[#This Row],[Index]]-B308)/B308</f>
        <v/>
      </c>
    </row>
    <row r="321">
      <c r="A321" s="17" t="n">
        <v>35855</v>
      </c>
      <c r="B321" s="58">
        <f>VLOOKUP(Table13[[#This Row],[Date]],database!A:F,6,)</f>
        <v/>
      </c>
      <c r="C321" s="66">
        <f>B321/B320-1</f>
        <v/>
      </c>
      <c r="D321" s="66">
        <f>(Table13[[#This Row],[Index]]-B309)/B309</f>
        <v/>
      </c>
    </row>
    <row r="322">
      <c r="A322" s="17" t="n">
        <v>35886</v>
      </c>
      <c r="B322" s="58">
        <f>VLOOKUP(Table13[[#This Row],[Date]],database!A:F,6,)</f>
        <v/>
      </c>
      <c r="C322" s="66">
        <f>B322/B321-1</f>
        <v/>
      </c>
      <c r="D322" s="66">
        <f>(Table13[[#This Row],[Index]]-B310)/B310</f>
        <v/>
      </c>
    </row>
    <row r="323">
      <c r="A323" s="17" t="n">
        <v>35916</v>
      </c>
      <c r="B323" s="58">
        <f>VLOOKUP(Table13[[#This Row],[Date]],database!A:F,6,)</f>
        <v/>
      </c>
      <c r="C323" s="66">
        <f>B323/B322-1</f>
        <v/>
      </c>
      <c r="D323" s="66">
        <f>(Table13[[#This Row],[Index]]-B311)/B311</f>
        <v/>
      </c>
    </row>
    <row r="324">
      <c r="A324" s="17" t="n">
        <v>35947</v>
      </c>
      <c r="B324" s="58">
        <f>VLOOKUP(Table13[[#This Row],[Date]],database!A:F,6,)</f>
        <v/>
      </c>
      <c r="C324" s="66">
        <f>B324/B323-1</f>
        <v/>
      </c>
      <c r="D324" s="66">
        <f>(Table13[[#This Row],[Index]]-B312)/B312</f>
        <v/>
      </c>
    </row>
    <row r="325">
      <c r="A325" s="17" t="n">
        <v>35977</v>
      </c>
      <c r="B325" s="58">
        <f>VLOOKUP(Table13[[#This Row],[Date]],database!A:F,6,)</f>
        <v/>
      </c>
      <c r="C325" s="66">
        <f>B325/B324-1</f>
        <v/>
      </c>
      <c r="D325" s="66">
        <f>(Table13[[#This Row],[Index]]-B313)/B313</f>
        <v/>
      </c>
    </row>
    <row r="326">
      <c r="A326" s="17" t="n">
        <v>36008</v>
      </c>
      <c r="B326" s="58">
        <f>VLOOKUP(Table13[[#This Row],[Date]],database!A:F,6,)</f>
        <v/>
      </c>
      <c r="C326" s="66">
        <f>B326/B325-1</f>
        <v/>
      </c>
      <c r="D326" s="66">
        <f>(Table13[[#This Row],[Index]]-B314)/B314</f>
        <v/>
      </c>
    </row>
    <row r="327">
      <c r="A327" s="17" t="n">
        <v>36039</v>
      </c>
      <c r="B327" s="58">
        <f>VLOOKUP(Table13[[#This Row],[Date]],database!A:F,6,)</f>
        <v/>
      </c>
      <c r="C327" s="66">
        <f>B327/B326-1</f>
        <v/>
      </c>
      <c r="D327" s="66">
        <f>(Table13[[#This Row],[Index]]-B315)/B315</f>
        <v/>
      </c>
    </row>
    <row r="328">
      <c r="A328" s="17" t="n">
        <v>36069</v>
      </c>
      <c r="B328" s="58">
        <f>VLOOKUP(Table13[[#This Row],[Date]],database!A:F,6,)</f>
        <v/>
      </c>
      <c r="C328" s="66">
        <f>B328/B327-1</f>
        <v/>
      </c>
      <c r="D328" s="66">
        <f>(Table13[[#This Row],[Index]]-B316)/B316</f>
        <v/>
      </c>
    </row>
    <row r="329">
      <c r="A329" s="17" t="n">
        <v>36100</v>
      </c>
      <c r="B329" s="58">
        <f>VLOOKUP(Table13[[#This Row],[Date]],database!A:F,6,)</f>
        <v/>
      </c>
      <c r="C329" s="66">
        <f>B329/B328-1</f>
        <v/>
      </c>
      <c r="D329" s="66">
        <f>(Table13[[#This Row],[Index]]-B317)/B317</f>
        <v/>
      </c>
    </row>
    <row r="330">
      <c r="A330" s="17" t="n">
        <v>36130</v>
      </c>
      <c r="B330" s="58">
        <f>VLOOKUP(Table13[[#This Row],[Date]],database!A:F,6,)</f>
        <v/>
      </c>
      <c r="C330" s="66">
        <f>B330/B329-1</f>
        <v/>
      </c>
      <c r="D330" s="66">
        <f>(Table13[[#This Row],[Index]]-B318)/B318</f>
        <v/>
      </c>
    </row>
    <row r="331">
      <c r="A331" s="17" t="n">
        <v>36161</v>
      </c>
      <c r="B331" s="58">
        <f>VLOOKUP(Table13[[#This Row],[Date]],database!A:F,6,)</f>
        <v/>
      </c>
      <c r="C331" s="66">
        <f>B331/B330-1</f>
        <v/>
      </c>
      <c r="D331" s="66">
        <f>(Table13[[#This Row],[Index]]-B319)/B319</f>
        <v/>
      </c>
    </row>
    <row r="332">
      <c r="A332" s="17" t="n">
        <v>36192</v>
      </c>
      <c r="B332" s="58">
        <f>VLOOKUP(Table13[[#This Row],[Date]],database!A:F,6,)</f>
        <v/>
      </c>
      <c r="C332" s="66">
        <f>B332/B331-1</f>
        <v/>
      </c>
      <c r="D332" s="66">
        <f>(Table13[[#This Row],[Index]]-B320)/B320</f>
        <v/>
      </c>
    </row>
    <row r="333">
      <c r="A333" s="17" t="n">
        <v>36220</v>
      </c>
      <c r="B333" s="58">
        <f>VLOOKUP(Table13[[#This Row],[Date]],database!A:F,6,)</f>
        <v/>
      </c>
      <c r="C333" s="66">
        <f>B333/B332-1</f>
        <v/>
      </c>
      <c r="D333" s="66">
        <f>(Table13[[#This Row],[Index]]-B321)/B321</f>
        <v/>
      </c>
    </row>
    <row r="334">
      <c r="A334" s="17" t="n">
        <v>36251</v>
      </c>
      <c r="B334" s="58">
        <f>VLOOKUP(Table13[[#This Row],[Date]],database!A:F,6,)</f>
        <v/>
      </c>
      <c r="C334" s="66">
        <f>B334/B333-1</f>
        <v/>
      </c>
      <c r="D334" s="66">
        <f>(Table13[[#This Row],[Index]]-B322)/B322</f>
        <v/>
      </c>
    </row>
    <row r="335">
      <c r="A335" s="17" t="n">
        <v>36281</v>
      </c>
      <c r="B335" s="58">
        <f>VLOOKUP(Table13[[#This Row],[Date]],database!A:F,6,)</f>
        <v/>
      </c>
      <c r="C335" s="66">
        <f>B335/B334-1</f>
        <v/>
      </c>
      <c r="D335" s="66">
        <f>(Table13[[#This Row],[Index]]-B323)/B323</f>
        <v/>
      </c>
    </row>
    <row r="336">
      <c r="A336" s="17" t="n">
        <v>36312</v>
      </c>
      <c r="B336" s="58">
        <f>VLOOKUP(Table13[[#This Row],[Date]],database!A:F,6,)</f>
        <v/>
      </c>
      <c r="C336" s="66">
        <f>B336/B335-1</f>
        <v/>
      </c>
      <c r="D336" s="66">
        <f>(Table13[[#This Row],[Index]]-B324)/B324</f>
        <v/>
      </c>
    </row>
    <row r="337">
      <c r="A337" s="17" t="n">
        <v>36342</v>
      </c>
      <c r="B337" s="58">
        <f>VLOOKUP(Table13[[#This Row],[Date]],database!A:F,6,)</f>
        <v/>
      </c>
      <c r="C337" s="66">
        <f>B337/B336-1</f>
        <v/>
      </c>
      <c r="D337" s="66">
        <f>(Table13[[#This Row],[Index]]-B325)/B325</f>
        <v/>
      </c>
    </row>
    <row r="338">
      <c r="A338" s="17" t="n">
        <v>36373</v>
      </c>
      <c r="B338" s="58">
        <f>VLOOKUP(Table13[[#This Row],[Date]],database!A:F,6,)</f>
        <v/>
      </c>
      <c r="C338" s="66">
        <f>B338/B337-1</f>
        <v/>
      </c>
      <c r="D338" s="66">
        <f>(Table13[[#This Row],[Index]]-B326)/B326</f>
        <v/>
      </c>
    </row>
    <row r="339">
      <c r="A339" s="17" t="n">
        <v>36404</v>
      </c>
      <c r="B339" s="58">
        <f>VLOOKUP(Table13[[#This Row],[Date]],database!A:F,6,)</f>
        <v/>
      </c>
      <c r="C339" s="66">
        <f>B339/B338-1</f>
        <v/>
      </c>
      <c r="D339" s="66">
        <f>(Table13[[#This Row],[Index]]-B327)/B327</f>
        <v/>
      </c>
    </row>
    <row r="340">
      <c r="A340" s="17" t="n">
        <v>36434</v>
      </c>
      <c r="B340" s="58">
        <f>VLOOKUP(Table13[[#This Row],[Date]],database!A:F,6,)</f>
        <v/>
      </c>
      <c r="C340" s="66">
        <f>B340/B339-1</f>
        <v/>
      </c>
      <c r="D340" s="66">
        <f>(Table13[[#This Row],[Index]]-B328)/B328</f>
        <v/>
      </c>
    </row>
    <row r="341">
      <c r="A341" s="17" t="n">
        <v>36465</v>
      </c>
      <c r="B341" s="58">
        <f>VLOOKUP(Table13[[#This Row],[Date]],database!A:F,6,)</f>
        <v/>
      </c>
      <c r="C341" s="66">
        <f>B341/B340-1</f>
        <v/>
      </c>
      <c r="D341" s="66">
        <f>(Table13[[#This Row],[Index]]-B329)/B329</f>
        <v/>
      </c>
    </row>
    <row r="342">
      <c r="A342" s="17" t="n">
        <v>36495</v>
      </c>
      <c r="B342" s="58">
        <f>VLOOKUP(Table13[[#This Row],[Date]],database!A:F,6,)</f>
        <v/>
      </c>
      <c r="C342" s="66">
        <f>B342/B341-1</f>
        <v/>
      </c>
      <c r="D342" s="66">
        <f>(Table13[[#This Row],[Index]]-B330)/B330</f>
        <v/>
      </c>
    </row>
    <row r="343">
      <c r="A343" s="17" t="n">
        <v>36526</v>
      </c>
      <c r="B343" s="58">
        <f>VLOOKUP(Table13[[#This Row],[Date]],database!A:F,6,)</f>
        <v/>
      </c>
      <c r="C343" s="66">
        <f>B343/B342-1</f>
        <v/>
      </c>
      <c r="D343" s="66">
        <f>(Table13[[#This Row],[Index]]-B331)/B331</f>
        <v/>
      </c>
    </row>
    <row r="344">
      <c r="A344" s="17" t="n">
        <v>36557</v>
      </c>
      <c r="B344" s="58">
        <f>VLOOKUP(Table13[[#This Row],[Date]],database!A:F,6,)</f>
        <v/>
      </c>
      <c r="C344" s="66">
        <f>B344/B343-1</f>
        <v/>
      </c>
      <c r="D344" s="66">
        <f>(Table13[[#This Row],[Index]]-B332)/B332</f>
        <v/>
      </c>
    </row>
    <row r="345">
      <c r="A345" s="17" t="n">
        <v>36586</v>
      </c>
      <c r="B345" s="58">
        <f>VLOOKUP(Table13[[#This Row],[Date]],database!A:F,6,)</f>
        <v/>
      </c>
      <c r="C345" s="66">
        <f>B345/B344-1</f>
        <v/>
      </c>
      <c r="D345" s="66">
        <f>(Table13[[#This Row],[Index]]-B333)/B333</f>
        <v/>
      </c>
    </row>
    <row r="346">
      <c r="A346" s="17" t="n">
        <v>36617</v>
      </c>
      <c r="B346" s="58">
        <f>VLOOKUP(Table13[[#This Row],[Date]],database!A:F,6,)</f>
        <v/>
      </c>
      <c r="C346" s="66">
        <f>B346/B345-1</f>
        <v/>
      </c>
      <c r="D346" s="66">
        <f>(Table13[[#This Row],[Index]]-B334)/B334</f>
        <v/>
      </c>
    </row>
    <row r="347">
      <c r="A347" s="17" t="n">
        <v>36647</v>
      </c>
      <c r="B347" s="58">
        <f>VLOOKUP(Table13[[#This Row],[Date]],database!A:F,6,)</f>
        <v/>
      </c>
      <c r="C347" s="66">
        <f>B347/B346-1</f>
        <v/>
      </c>
      <c r="D347" s="66">
        <f>(Table13[[#This Row],[Index]]-B335)/B335</f>
        <v/>
      </c>
    </row>
    <row r="348">
      <c r="A348" s="17" t="n">
        <v>36678</v>
      </c>
      <c r="B348" s="58">
        <f>VLOOKUP(Table13[[#This Row],[Date]],database!A:F,6,)</f>
        <v/>
      </c>
      <c r="C348" s="66">
        <f>B348/B347-1</f>
        <v/>
      </c>
      <c r="D348" s="66">
        <f>(Table13[[#This Row],[Index]]-B336)/B336</f>
        <v/>
      </c>
    </row>
    <row r="349">
      <c r="A349" s="17" t="n">
        <v>36708</v>
      </c>
      <c r="B349" s="58">
        <f>VLOOKUP(Table13[[#This Row],[Date]],database!A:F,6,)</f>
        <v/>
      </c>
      <c r="C349" s="66">
        <f>B349/B348-1</f>
        <v/>
      </c>
      <c r="D349" s="66">
        <f>(Table13[[#This Row],[Index]]-B337)/B337</f>
        <v/>
      </c>
    </row>
    <row r="350">
      <c r="A350" s="17" t="n">
        <v>36739</v>
      </c>
      <c r="B350" s="58">
        <f>VLOOKUP(Table13[[#This Row],[Date]],database!A:F,6,)</f>
        <v/>
      </c>
      <c r="C350" s="66">
        <f>B350/B349-1</f>
        <v/>
      </c>
      <c r="D350" s="66">
        <f>(Table13[[#This Row],[Index]]-B338)/B338</f>
        <v/>
      </c>
    </row>
    <row r="351">
      <c r="A351" s="17" t="n">
        <v>36770</v>
      </c>
      <c r="B351" s="58">
        <f>VLOOKUP(Table13[[#This Row],[Date]],database!A:F,6,)</f>
        <v/>
      </c>
      <c r="C351" s="66">
        <f>B351/B350-1</f>
        <v/>
      </c>
      <c r="D351" s="66">
        <f>(Table13[[#This Row],[Index]]-B339)/B339</f>
        <v/>
      </c>
    </row>
    <row r="352">
      <c r="A352" s="17" t="n">
        <v>36800</v>
      </c>
      <c r="B352" s="58">
        <f>VLOOKUP(Table13[[#This Row],[Date]],database!A:F,6,)</f>
        <v/>
      </c>
      <c r="C352" s="66">
        <f>B352/B351-1</f>
        <v/>
      </c>
      <c r="D352" s="66">
        <f>(Table13[[#This Row],[Index]]-B340)/B340</f>
        <v/>
      </c>
    </row>
    <row r="353">
      <c r="A353" s="17" t="n">
        <v>36831</v>
      </c>
      <c r="B353" s="58">
        <f>VLOOKUP(Table13[[#This Row],[Date]],database!A:F,6,)</f>
        <v/>
      </c>
      <c r="C353" s="66">
        <f>B353/B352-1</f>
        <v/>
      </c>
      <c r="D353" s="66">
        <f>(Table13[[#This Row],[Index]]-B341)/B341</f>
        <v/>
      </c>
    </row>
    <row r="354">
      <c r="A354" s="17" t="n">
        <v>36861</v>
      </c>
      <c r="B354" s="58">
        <f>VLOOKUP(Table13[[#This Row],[Date]],database!A:F,6,)</f>
        <v/>
      </c>
      <c r="C354" s="66">
        <f>B354/B353-1</f>
        <v/>
      </c>
      <c r="D354" s="66">
        <f>(Table13[[#This Row],[Index]]-B342)/B342</f>
        <v/>
      </c>
    </row>
    <row r="355">
      <c r="A355" s="17" t="n">
        <v>36892</v>
      </c>
      <c r="B355" s="58">
        <f>VLOOKUP(Table13[[#This Row],[Date]],database!A:F,6,)</f>
        <v/>
      </c>
      <c r="C355" s="66">
        <f>B355/B354-1</f>
        <v/>
      </c>
      <c r="D355" s="66">
        <f>(Table13[[#This Row],[Index]]-B343)/B343</f>
        <v/>
      </c>
    </row>
    <row r="356">
      <c r="A356" s="17" t="n">
        <v>36923</v>
      </c>
      <c r="B356" s="58">
        <f>VLOOKUP(Table13[[#This Row],[Date]],database!A:F,6,)</f>
        <v/>
      </c>
      <c r="C356" s="66">
        <f>B356/B355-1</f>
        <v/>
      </c>
      <c r="D356" s="66">
        <f>(Table13[[#This Row],[Index]]-B344)/B344</f>
        <v/>
      </c>
    </row>
    <row r="357">
      <c r="A357" s="17" t="n">
        <v>36951</v>
      </c>
      <c r="B357" s="58">
        <f>VLOOKUP(Table13[[#This Row],[Date]],database!A:F,6,)</f>
        <v/>
      </c>
      <c r="C357" s="66">
        <f>B357/B356-1</f>
        <v/>
      </c>
      <c r="D357" s="66">
        <f>(Table13[[#This Row],[Index]]-B345)/B345</f>
        <v/>
      </c>
    </row>
    <row r="358">
      <c r="A358" s="17" t="n">
        <v>36982</v>
      </c>
      <c r="B358" s="58">
        <f>VLOOKUP(Table13[[#This Row],[Date]],database!A:F,6,)</f>
        <v/>
      </c>
      <c r="C358" s="66">
        <f>B358/B357-1</f>
        <v/>
      </c>
      <c r="D358" s="66">
        <f>(Table13[[#This Row],[Index]]-B346)/B346</f>
        <v/>
      </c>
    </row>
    <row r="359">
      <c r="A359" s="17" t="n">
        <v>37012</v>
      </c>
      <c r="B359" s="58">
        <f>VLOOKUP(Table13[[#This Row],[Date]],database!A:F,6,)</f>
        <v/>
      </c>
      <c r="C359" s="66">
        <f>B359/B358-1</f>
        <v/>
      </c>
      <c r="D359" s="66">
        <f>(Table13[[#This Row],[Index]]-B347)/B347</f>
        <v/>
      </c>
    </row>
    <row r="360">
      <c r="A360" s="17" t="n">
        <v>37043</v>
      </c>
      <c r="B360" s="58">
        <f>VLOOKUP(Table13[[#This Row],[Date]],database!A:F,6,)</f>
        <v/>
      </c>
      <c r="C360" s="66">
        <f>B360/B359-1</f>
        <v/>
      </c>
      <c r="D360" s="66">
        <f>(Table13[[#This Row],[Index]]-B348)/B348</f>
        <v/>
      </c>
    </row>
    <row r="361">
      <c r="A361" s="17" t="n">
        <v>37073</v>
      </c>
      <c r="B361" s="58">
        <f>VLOOKUP(Table13[[#This Row],[Date]],database!A:F,6,)</f>
        <v/>
      </c>
      <c r="C361" s="66">
        <f>B361/B360-1</f>
        <v/>
      </c>
      <c r="D361" s="66">
        <f>(Table13[[#This Row],[Index]]-B349)/B349</f>
        <v/>
      </c>
    </row>
    <row r="362">
      <c r="A362" s="17" t="n">
        <v>37104</v>
      </c>
      <c r="B362" s="58">
        <f>VLOOKUP(Table13[[#This Row],[Date]],database!A:F,6,)</f>
        <v/>
      </c>
      <c r="C362" s="66">
        <f>B362/B361-1</f>
        <v/>
      </c>
      <c r="D362" s="66">
        <f>(Table13[[#This Row],[Index]]-B350)/B350</f>
        <v/>
      </c>
    </row>
    <row r="363">
      <c r="A363" s="17" t="n">
        <v>37135</v>
      </c>
      <c r="B363" s="58">
        <f>VLOOKUP(Table13[[#This Row],[Date]],database!A:F,6,)</f>
        <v/>
      </c>
      <c r="C363" s="66">
        <f>B363/B362-1</f>
        <v/>
      </c>
      <c r="D363" s="66">
        <f>(Table13[[#This Row],[Index]]-B351)/B351</f>
        <v/>
      </c>
    </row>
    <row r="364">
      <c r="A364" s="17" t="n">
        <v>37165</v>
      </c>
      <c r="B364" s="58">
        <f>VLOOKUP(Table13[[#This Row],[Date]],database!A:F,6,)</f>
        <v/>
      </c>
      <c r="C364" s="66">
        <f>B364/B363-1</f>
        <v/>
      </c>
      <c r="D364" s="66">
        <f>(Table13[[#This Row],[Index]]-B352)/B352</f>
        <v/>
      </c>
    </row>
    <row r="365">
      <c r="A365" s="17" t="n">
        <v>37196</v>
      </c>
      <c r="B365" s="58">
        <f>VLOOKUP(Table13[[#This Row],[Date]],database!A:F,6,)</f>
        <v/>
      </c>
      <c r="C365" s="66">
        <f>B365/B364-1</f>
        <v/>
      </c>
      <c r="D365" s="66">
        <f>(Table13[[#This Row],[Index]]-B353)/B353</f>
        <v/>
      </c>
    </row>
    <row r="366">
      <c r="A366" s="17" t="n">
        <v>37226</v>
      </c>
      <c r="B366" s="58">
        <f>VLOOKUP(Table13[[#This Row],[Date]],database!A:F,6,)</f>
        <v/>
      </c>
      <c r="C366" s="66">
        <f>B366/B365-1</f>
        <v/>
      </c>
      <c r="D366" s="66">
        <f>(Table13[[#This Row],[Index]]-B354)/B354</f>
        <v/>
      </c>
    </row>
    <row r="367">
      <c r="A367" s="17" t="n">
        <v>37257</v>
      </c>
      <c r="B367" s="58">
        <f>VLOOKUP(Table13[[#This Row],[Date]],database!A:F,6,)</f>
        <v/>
      </c>
      <c r="C367" s="66">
        <f>B367/B366-1</f>
        <v/>
      </c>
      <c r="D367" s="66">
        <f>(Table13[[#This Row],[Index]]-B355)/B355</f>
        <v/>
      </c>
    </row>
    <row r="368">
      <c r="A368" s="17" t="n">
        <v>37288</v>
      </c>
      <c r="B368" s="58">
        <f>VLOOKUP(Table13[[#This Row],[Date]],database!A:F,6,)</f>
        <v/>
      </c>
      <c r="C368" s="66">
        <f>B368/B367-1</f>
        <v/>
      </c>
      <c r="D368" s="66">
        <f>(Table13[[#This Row],[Index]]-B356)/B356</f>
        <v/>
      </c>
    </row>
    <row r="369">
      <c r="A369" s="17" t="n">
        <v>37316</v>
      </c>
      <c r="B369" s="58">
        <f>VLOOKUP(Table13[[#This Row],[Date]],database!A:F,6,)</f>
        <v/>
      </c>
      <c r="C369" s="66">
        <f>B369/B368-1</f>
        <v/>
      </c>
      <c r="D369" s="66">
        <f>(Table13[[#This Row],[Index]]-B357)/B357</f>
        <v/>
      </c>
    </row>
    <row r="370">
      <c r="A370" s="17" t="n">
        <v>37347</v>
      </c>
      <c r="B370" s="58">
        <f>VLOOKUP(Table13[[#This Row],[Date]],database!A:F,6,)</f>
        <v/>
      </c>
      <c r="C370" s="66">
        <f>B370/B369-1</f>
        <v/>
      </c>
      <c r="D370" s="66">
        <f>(Table13[[#This Row],[Index]]-B358)/B358</f>
        <v/>
      </c>
    </row>
    <row r="371">
      <c r="A371" s="17" t="n">
        <v>37377</v>
      </c>
      <c r="B371" s="58">
        <f>VLOOKUP(Table13[[#This Row],[Date]],database!A:F,6,)</f>
        <v/>
      </c>
      <c r="C371" s="66">
        <f>B371/B370-1</f>
        <v/>
      </c>
      <c r="D371" s="66">
        <f>(Table13[[#This Row],[Index]]-B359)/B359</f>
        <v/>
      </c>
    </row>
    <row r="372">
      <c r="A372" s="17" t="n">
        <v>37408</v>
      </c>
      <c r="B372" s="58">
        <f>VLOOKUP(Table13[[#This Row],[Date]],database!A:F,6,)</f>
        <v/>
      </c>
      <c r="C372" s="66">
        <f>B372/B371-1</f>
        <v/>
      </c>
      <c r="D372" s="66">
        <f>(Table13[[#This Row],[Index]]-B360)/B360</f>
        <v/>
      </c>
    </row>
    <row r="373">
      <c r="A373" s="17" t="n">
        <v>37438</v>
      </c>
      <c r="B373" s="58">
        <f>VLOOKUP(Table13[[#This Row],[Date]],database!A:F,6,)</f>
        <v/>
      </c>
      <c r="C373" s="66">
        <f>B373/B372-1</f>
        <v/>
      </c>
      <c r="D373" s="66">
        <f>(Table13[[#This Row],[Index]]-B361)/B361</f>
        <v/>
      </c>
    </row>
    <row r="374">
      <c r="A374" s="17" t="n">
        <v>37469</v>
      </c>
      <c r="B374" s="58">
        <f>VLOOKUP(Table13[[#This Row],[Date]],database!A:F,6,)</f>
        <v/>
      </c>
      <c r="C374" s="66">
        <f>B374/B373-1</f>
        <v/>
      </c>
      <c r="D374" s="66">
        <f>(Table13[[#This Row],[Index]]-B362)/B362</f>
        <v/>
      </c>
    </row>
    <row r="375">
      <c r="A375" s="17" t="n">
        <v>37500</v>
      </c>
      <c r="B375" s="58">
        <f>VLOOKUP(Table13[[#This Row],[Date]],database!A:F,6,)</f>
        <v/>
      </c>
      <c r="C375" s="66">
        <f>B375/B374-1</f>
        <v/>
      </c>
      <c r="D375" s="66">
        <f>(Table13[[#This Row],[Index]]-B363)/B363</f>
        <v/>
      </c>
    </row>
    <row r="376">
      <c r="A376" s="17" t="n">
        <v>37530</v>
      </c>
      <c r="B376" s="58">
        <f>VLOOKUP(Table13[[#This Row],[Date]],database!A:F,6,)</f>
        <v/>
      </c>
      <c r="C376" s="66">
        <f>B376/B375-1</f>
        <v/>
      </c>
      <c r="D376" s="66">
        <f>(Table13[[#This Row],[Index]]-B364)/B364</f>
        <v/>
      </c>
    </row>
    <row r="377">
      <c r="A377" s="17" t="n">
        <v>37561</v>
      </c>
      <c r="B377" s="58">
        <f>VLOOKUP(Table13[[#This Row],[Date]],database!A:F,6,)</f>
        <v/>
      </c>
      <c r="C377" s="66">
        <f>B377/B376-1</f>
        <v/>
      </c>
      <c r="D377" s="66">
        <f>(Table13[[#This Row],[Index]]-B365)/B365</f>
        <v/>
      </c>
    </row>
    <row r="378">
      <c r="A378" s="17" t="n">
        <v>37591</v>
      </c>
      <c r="B378" s="58">
        <f>VLOOKUP(Table13[[#This Row],[Date]],database!A:F,6,)</f>
        <v/>
      </c>
      <c r="C378" s="66">
        <f>B378/B377-1</f>
        <v/>
      </c>
      <c r="D378" s="66">
        <f>(Table13[[#This Row],[Index]]-B366)/B366</f>
        <v/>
      </c>
    </row>
    <row r="379">
      <c r="A379" s="17" t="n">
        <v>37622</v>
      </c>
      <c r="B379" s="58">
        <f>VLOOKUP(Table13[[#This Row],[Date]],database!A:F,6,)</f>
        <v/>
      </c>
      <c r="C379" s="66">
        <f>B379/B378-1</f>
        <v/>
      </c>
      <c r="D379" s="66">
        <f>(Table13[[#This Row],[Index]]-B367)/B367</f>
        <v/>
      </c>
    </row>
    <row r="380">
      <c r="A380" s="17" t="n">
        <v>37653</v>
      </c>
      <c r="B380" s="58">
        <f>VLOOKUP(Table13[[#This Row],[Date]],database!A:F,6,)</f>
        <v/>
      </c>
      <c r="C380" s="66">
        <f>B380/B379-1</f>
        <v/>
      </c>
      <c r="D380" s="66">
        <f>(Table13[[#This Row],[Index]]-B368)/B368</f>
        <v/>
      </c>
    </row>
    <row r="381">
      <c r="A381" s="17" t="n">
        <v>37681</v>
      </c>
      <c r="B381" s="58">
        <f>VLOOKUP(Table13[[#This Row],[Date]],database!A:F,6,)</f>
        <v/>
      </c>
      <c r="C381" s="66">
        <f>B381/B380-1</f>
        <v/>
      </c>
      <c r="D381" s="66">
        <f>(Table13[[#This Row],[Index]]-B369)/B369</f>
        <v/>
      </c>
    </row>
    <row r="382">
      <c r="A382" s="17" t="n">
        <v>37712</v>
      </c>
      <c r="B382" s="58">
        <f>VLOOKUP(Table13[[#This Row],[Date]],database!A:F,6,)</f>
        <v/>
      </c>
      <c r="C382" s="66">
        <f>B382/B381-1</f>
        <v/>
      </c>
      <c r="D382" s="66">
        <f>(Table13[[#This Row],[Index]]-B370)/B370</f>
        <v/>
      </c>
    </row>
    <row r="383">
      <c r="A383" s="17" t="n">
        <v>37742</v>
      </c>
      <c r="B383" s="58">
        <f>VLOOKUP(Table13[[#This Row],[Date]],database!A:F,6,)</f>
        <v/>
      </c>
      <c r="C383" s="66">
        <f>B383/B382-1</f>
        <v/>
      </c>
      <c r="D383" s="66">
        <f>(Table13[[#This Row],[Index]]-B371)/B371</f>
        <v/>
      </c>
    </row>
    <row r="384">
      <c r="A384" s="17" t="n">
        <v>37773</v>
      </c>
      <c r="B384" s="58">
        <f>VLOOKUP(Table13[[#This Row],[Date]],database!A:F,6,)</f>
        <v/>
      </c>
      <c r="C384" s="66">
        <f>B384/B383-1</f>
        <v/>
      </c>
      <c r="D384" s="66">
        <f>(Table13[[#This Row],[Index]]-B372)/B372</f>
        <v/>
      </c>
    </row>
    <row r="385">
      <c r="A385" s="17" t="n">
        <v>37803</v>
      </c>
      <c r="B385" s="58">
        <f>VLOOKUP(Table13[[#This Row],[Date]],database!A:F,6,)</f>
        <v/>
      </c>
      <c r="C385" s="66">
        <f>B385/B384-1</f>
        <v/>
      </c>
      <c r="D385" s="66">
        <f>(Table13[[#This Row],[Index]]-B373)/B373</f>
        <v/>
      </c>
    </row>
    <row r="386">
      <c r="A386" s="17" t="n">
        <v>37834</v>
      </c>
      <c r="B386" s="58">
        <f>VLOOKUP(Table13[[#This Row],[Date]],database!A:F,6,)</f>
        <v/>
      </c>
      <c r="C386" s="66">
        <f>B386/B385-1</f>
        <v/>
      </c>
      <c r="D386" s="66">
        <f>(Table13[[#This Row],[Index]]-B374)/B374</f>
        <v/>
      </c>
    </row>
    <row r="387">
      <c r="A387" s="17" t="n">
        <v>37865</v>
      </c>
      <c r="B387" s="58">
        <f>VLOOKUP(Table13[[#This Row],[Date]],database!A:F,6,)</f>
        <v/>
      </c>
      <c r="C387" s="66">
        <f>B387/B386-1</f>
        <v/>
      </c>
      <c r="D387" s="66">
        <f>(Table13[[#This Row],[Index]]-B375)/B375</f>
        <v/>
      </c>
    </row>
    <row r="388">
      <c r="A388" s="17" t="n">
        <v>37895</v>
      </c>
      <c r="B388" s="58">
        <f>VLOOKUP(Table13[[#This Row],[Date]],database!A:F,6,)</f>
        <v/>
      </c>
      <c r="C388" s="66">
        <f>B388/B387-1</f>
        <v/>
      </c>
      <c r="D388" s="66">
        <f>(Table13[[#This Row],[Index]]-B376)/B376</f>
        <v/>
      </c>
    </row>
    <row r="389">
      <c r="A389" s="17" t="n">
        <v>37926</v>
      </c>
      <c r="B389" s="58">
        <f>VLOOKUP(Table13[[#This Row],[Date]],database!A:F,6,)</f>
        <v/>
      </c>
      <c r="C389" s="66">
        <f>B389/B388-1</f>
        <v/>
      </c>
      <c r="D389" s="66">
        <f>(Table13[[#This Row],[Index]]-B377)/B377</f>
        <v/>
      </c>
    </row>
    <row r="390">
      <c r="A390" s="17" t="n">
        <v>37956</v>
      </c>
      <c r="B390" s="58">
        <f>VLOOKUP(Table13[[#This Row],[Date]],database!A:F,6,)</f>
        <v/>
      </c>
      <c r="C390" s="66">
        <f>B390/B389-1</f>
        <v/>
      </c>
      <c r="D390" s="66">
        <f>(Table13[[#This Row],[Index]]-B378)/B378</f>
        <v/>
      </c>
    </row>
    <row r="391">
      <c r="A391" s="17" t="n">
        <v>37987</v>
      </c>
      <c r="B391" s="58">
        <f>VLOOKUP(Table13[[#This Row],[Date]],database!A:F,6,)</f>
        <v/>
      </c>
      <c r="C391" s="66">
        <f>B391/B390-1</f>
        <v/>
      </c>
      <c r="D391" s="66">
        <f>(Table13[[#This Row],[Index]]-B379)/B379</f>
        <v/>
      </c>
    </row>
    <row r="392">
      <c r="A392" s="17" t="n">
        <v>38018</v>
      </c>
      <c r="B392" s="58">
        <f>VLOOKUP(Table13[[#This Row],[Date]],database!A:F,6,)</f>
        <v/>
      </c>
      <c r="C392" s="66">
        <f>B392/B391-1</f>
        <v/>
      </c>
      <c r="D392" s="66">
        <f>(Table13[[#This Row],[Index]]-B380)/B380</f>
        <v/>
      </c>
    </row>
    <row r="393">
      <c r="A393" s="17" t="n">
        <v>38047</v>
      </c>
      <c r="B393" s="58">
        <f>VLOOKUP(Table13[[#This Row],[Date]],database!A:F,6,)</f>
        <v/>
      </c>
      <c r="C393" s="66">
        <f>B393/B392-1</f>
        <v/>
      </c>
      <c r="D393" s="66">
        <f>(Table13[[#This Row],[Index]]-B381)/B381</f>
        <v/>
      </c>
    </row>
    <row r="394">
      <c r="A394" s="17" t="n">
        <v>38078</v>
      </c>
      <c r="B394" s="58">
        <f>VLOOKUP(Table13[[#This Row],[Date]],database!A:F,6,)</f>
        <v/>
      </c>
      <c r="C394" s="66">
        <f>B394/B393-1</f>
        <v/>
      </c>
      <c r="D394" s="66">
        <f>(Table13[[#This Row],[Index]]-B382)/B382</f>
        <v/>
      </c>
    </row>
    <row r="395">
      <c r="A395" s="17" t="n">
        <v>38108</v>
      </c>
      <c r="B395" s="58">
        <f>VLOOKUP(Table13[[#This Row],[Date]],database!A:F,6,)</f>
        <v/>
      </c>
      <c r="C395" s="66">
        <f>B395/B394-1</f>
        <v/>
      </c>
      <c r="D395" s="66">
        <f>(Table13[[#This Row],[Index]]-B383)/B383</f>
        <v/>
      </c>
    </row>
    <row r="396">
      <c r="A396" s="17" t="n">
        <v>38139</v>
      </c>
      <c r="B396" s="58">
        <f>VLOOKUP(Table13[[#This Row],[Date]],database!A:F,6,)</f>
        <v/>
      </c>
      <c r="C396" s="66">
        <f>B396/B395-1</f>
        <v/>
      </c>
      <c r="D396" s="66">
        <f>(Table13[[#This Row],[Index]]-B384)/B384</f>
        <v/>
      </c>
    </row>
    <row r="397">
      <c r="A397" s="17" t="n">
        <v>38169</v>
      </c>
      <c r="B397" s="58">
        <f>VLOOKUP(Table13[[#This Row],[Date]],database!A:F,6,)</f>
        <v/>
      </c>
      <c r="C397" s="66">
        <f>B397/B396-1</f>
        <v/>
      </c>
      <c r="D397" s="66">
        <f>(Table13[[#This Row],[Index]]-B385)/B385</f>
        <v/>
      </c>
    </row>
    <row r="398">
      <c r="A398" s="17" t="n">
        <v>38200</v>
      </c>
      <c r="B398" s="58">
        <f>VLOOKUP(Table13[[#This Row],[Date]],database!A:F,6,)</f>
        <v/>
      </c>
      <c r="C398" s="66">
        <f>B398/B397-1</f>
        <v/>
      </c>
      <c r="D398" s="66">
        <f>(Table13[[#This Row],[Index]]-B386)/B386</f>
        <v/>
      </c>
    </row>
    <row r="399">
      <c r="A399" s="17" t="n">
        <v>38231</v>
      </c>
      <c r="B399" s="58">
        <f>VLOOKUP(Table13[[#This Row],[Date]],database!A:F,6,)</f>
        <v/>
      </c>
      <c r="C399" s="66">
        <f>B399/B398-1</f>
        <v/>
      </c>
      <c r="D399" s="66">
        <f>(Table13[[#This Row],[Index]]-B387)/B387</f>
        <v/>
      </c>
    </row>
    <row r="400">
      <c r="A400" s="17" t="n">
        <v>38261</v>
      </c>
      <c r="B400" s="58">
        <f>VLOOKUP(Table13[[#This Row],[Date]],database!A:F,6,)</f>
        <v/>
      </c>
      <c r="C400" s="66">
        <f>B400/B399-1</f>
        <v/>
      </c>
      <c r="D400" s="66">
        <f>(Table13[[#This Row],[Index]]-B388)/B388</f>
        <v/>
      </c>
    </row>
    <row r="401">
      <c r="A401" s="17" t="n">
        <v>38292</v>
      </c>
      <c r="B401" s="58">
        <f>VLOOKUP(Table13[[#This Row],[Date]],database!A:F,6,)</f>
        <v/>
      </c>
      <c r="C401" s="66">
        <f>B401/B400-1</f>
        <v/>
      </c>
      <c r="D401" s="66">
        <f>(Table13[[#This Row],[Index]]-B389)/B389</f>
        <v/>
      </c>
    </row>
    <row r="402">
      <c r="A402" s="17" t="n">
        <v>38322</v>
      </c>
      <c r="B402" s="58">
        <f>VLOOKUP(Table13[[#This Row],[Date]],database!A:F,6,)</f>
        <v/>
      </c>
      <c r="C402" s="66">
        <f>B402/B401-1</f>
        <v/>
      </c>
      <c r="D402" s="66">
        <f>(Table13[[#This Row],[Index]]-B390)/B390</f>
        <v/>
      </c>
    </row>
    <row r="403">
      <c r="A403" s="17" t="n">
        <v>38353</v>
      </c>
      <c r="B403" s="58">
        <f>VLOOKUP(Table13[[#This Row],[Date]],database!A:F,6,)</f>
        <v/>
      </c>
      <c r="C403" s="66">
        <f>B403/B402-1</f>
        <v/>
      </c>
      <c r="D403" s="66">
        <f>(Table13[[#This Row],[Index]]-B391)/B391</f>
        <v/>
      </c>
    </row>
    <row r="404">
      <c r="A404" s="17" t="n">
        <v>38384</v>
      </c>
      <c r="B404" s="58">
        <f>VLOOKUP(Table13[[#This Row],[Date]],database!A:F,6,)</f>
        <v/>
      </c>
      <c r="C404" s="66">
        <f>B404/B403-1</f>
        <v/>
      </c>
      <c r="D404" s="66">
        <f>(Table13[[#This Row],[Index]]-B392)/B392</f>
        <v/>
      </c>
    </row>
    <row r="405">
      <c r="A405" s="17" t="n">
        <v>38412</v>
      </c>
      <c r="B405" s="58">
        <f>VLOOKUP(Table13[[#This Row],[Date]],database!A:F,6,)</f>
        <v/>
      </c>
      <c r="C405" s="66">
        <f>B405/B404-1</f>
        <v/>
      </c>
      <c r="D405" s="66">
        <f>(Table13[[#This Row],[Index]]-B393)/B393</f>
        <v/>
      </c>
    </row>
    <row r="406">
      <c r="A406" s="17" t="n">
        <v>38443</v>
      </c>
      <c r="B406" s="58">
        <f>VLOOKUP(Table13[[#This Row],[Date]],database!A:F,6,)</f>
        <v/>
      </c>
      <c r="C406" s="66">
        <f>B406/B405-1</f>
        <v/>
      </c>
      <c r="D406" s="66">
        <f>(Table13[[#This Row],[Index]]-B394)/B394</f>
        <v/>
      </c>
    </row>
    <row r="407">
      <c r="A407" s="17" t="n">
        <v>38473</v>
      </c>
      <c r="B407" s="58">
        <f>VLOOKUP(Table13[[#This Row],[Date]],database!A:F,6,)</f>
        <v/>
      </c>
      <c r="C407" s="66">
        <f>B407/B406-1</f>
        <v/>
      </c>
      <c r="D407" s="66">
        <f>(Table13[[#This Row],[Index]]-B395)/B395</f>
        <v/>
      </c>
    </row>
    <row r="408">
      <c r="A408" s="17" t="n">
        <v>38504</v>
      </c>
      <c r="B408" s="58">
        <f>VLOOKUP(Table13[[#This Row],[Date]],database!A:F,6,)</f>
        <v/>
      </c>
      <c r="C408" s="66">
        <f>B408/B407-1</f>
        <v/>
      </c>
      <c r="D408" s="66">
        <f>(Table13[[#This Row],[Index]]-B396)/B396</f>
        <v/>
      </c>
    </row>
    <row r="409">
      <c r="A409" s="17" t="n">
        <v>38534</v>
      </c>
      <c r="B409" s="58">
        <f>VLOOKUP(Table13[[#This Row],[Date]],database!A:F,6,)</f>
        <v/>
      </c>
      <c r="C409" s="66">
        <f>B409/B408-1</f>
        <v/>
      </c>
      <c r="D409" s="66">
        <f>(Table13[[#This Row],[Index]]-B397)/B397</f>
        <v/>
      </c>
    </row>
    <row r="410">
      <c r="A410" s="17" t="n">
        <v>38565</v>
      </c>
      <c r="B410" s="58">
        <f>VLOOKUP(Table13[[#This Row],[Date]],database!A:F,6,)</f>
        <v/>
      </c>
      <c r="C410" s="66">
        <f>B410/B409-1</f>
        <v/>
      </c>
      <c r="D410" s="66">
        <f>(Table13[[#This Row],[Index]]-B398)/B398</f>
        <v/>
      </c>
    </row>
    <row r="411">
      <c r="A411" s="17" t="n">
        <v>38596</v>
      </c>
      <c r="B411" s="58">
        <f>VLOOKUP(Table13[[#This Row],[Date]],database!A:F,6,)</f>
        <v/>
      </c>
      <c r="C411" s="66">
        <f>B411/B410-1</f>
        <v/>
      </c>
      <c r="D411" s="66">
        <f>(Table13[[#This Row],[Index]]-B399)/B399</f>
        <v/>
      </c>
    </row>
    <row r="412">
      <c r="A412" s="17" t="n">
        <v>38626</v>
      </c>
      <c r="B412" s="58">
        <f>VLOOKUP(Table13[[#This Row],[Date]],database!A:F,6,)</f>
        <v/>
      </c>
      <c r="C412" s="66">
        <f>B412/B411-1</f>
        <v/>
      </c>
      <c r="D412" s="66">
        <f>(Table13[[#This Row],[Index]]-B400)/B400</f>
        <v/>
      </c>
    </row>
    <row r="413">
      <c r="A413" s="17" t="n">
        <v>38657</v>
      </c>
      <c r="B413" s="58">
        <f>VLOOKUP(Table13[[#This Row],[Date]],database!A:F,6,)</f>
        <v/>
      </c>
      <c r="C413" s="66">
        <f>B413/B412-1</f>
        <v/>
      </c>
      <c r="D413" s="66">
        <f>(Table13[[#This Row],[Index]]-B401)/B401</f>
        <v/>
      </c>
    </row>
    <row r="414">
      <c r="A414" s="17" t="n">
        <v>38687</v>
      </c>
      <c r="B414" s="58">
        <f>VLOOKUP(Table13[[#This Row],[Date]],database!A:F,6,)</f>
        <v/>
      </c>
      <c r="C414" s="66">
        <f>B414/B413-1</f>
        <v/>
      </c>
      <c r="D414" s="66">
        <f>(Table13[[#This Row],[Index]]-B402)/B402</f>
        <v/>
      </c>
    </row>
    <row r="415">
      <c r="A415" s="17" t="n">
        <v>38718</v>
      </c>
      <c r="B415" s="58">
        <f>VLOOKUP(Table13[[#This Row],[Date]],database!A:F,6,)</f>
        <v/>
      </c>
      <c r="C415" s="66">
        <f>B415/B414-1</f>
        <v/>
      </c>
      <c r="D415" s="66">
        <f>(Table13[[#This Row],[Index]]-B403)/B403</f>
        <v/>
      </c>
    </row>
    <row r="416">
      <c r="A416" s="17" t="n">
        <v>38749</v>
      </c>
      <c r="B416" s="58">
        <f>VLOOKUP(Table13[[#This Row],[Date]],database!A:F,6,)</f>
        <v/>
      </c>
      <c r="C416" s="66">
        <f>B416/B415-1</f>
        <v/>
      </c>
      <c r="D416" s="66">
        <f>(Table13[[#This Row],[Index]]-B404)/B404</f>
        <v/>
      </c>
    </row>
    <row r="417">
      <c r="A417" s="17" t="n">
        <v>38777</v>
      </c>
      <c r="B417" s="58">
        <f>VLOOKUP(Table13[[#This Row],[Date]],database!A:F,6,)</f>
        <v/>
      </c>
      <c r="C417" s="66">
        <f>B417/B416-1</f>
        <v/>
      </c>
      <c r="D417" s="66">
        <f>(Table13[[#This Row],[Index]]-B405)/B405</f>
        <v/>
      </c>
    </row>
    <row r="418">
      <c r="A418" s="17" t="n">
        <v>38808</v>
      </c>
      <c r="B418" s="58">
        <f>VLOOKUP(Table13[[#This Row],[Date]],database!A:F,6,)</f>
        <v/>
      </c>
      <c r="C418" s="66">
        <f>B418/B417-1</f>
        <v/>
      </c>
      <c r="D418" s="66">
        <f>(Table13[[#This Row],[Index]]-B406)/B406</f>
        <v/>
      </c>
    </row>
    <row r="419">
      <c r="A419" s="17" t="n">
        <v>38838</v>
      </c>
      <c r="B419" s="58">
        <f>VLOOKUP(Table13[[#This Row],[Date]],database!A:F,6,)</f>
        <v/>
      </c>
      <c r="C419" s="66">
        <f>B419/B418-1</f>
        <v/>
      </c>
      <c r="D419" s="66">
        <f>(Table13[[#This Row],[Index]]-B407)/B407</f>
        <v/>
      </c>
    </row>
    <row r="420">
      <c r="A420" s="17" t="n">
        <v>38869</v>
      </c>
      <c r="B420" s="58">
        <f>VLOOKUP(Table13[[#This Row],[Date]],database!A:F,6,)</f>
        <v/>
      </c>
      <c r="C420" s="66">
        <f>B420/B419-1</f>
        <v/>
      </c>
      <c r="D420" s="66">
        <f>(Table13[[#This Row],[Index]]-B408)/B408</f>
        <v/>
      </c>
    </row>
    <row r="421">
      <c r="A421" s="17" t="n">
        <v>38899</v>
      </c>
      <c r="B421" s="58">
        <f>VLOOKUP(Table13[[#This Row],[Date]],database!A:F,6,)</f>
        <v/>
      </c>
      <c r="C421" s="66">
        <f>B421/B420-1</f>
        <v/>
      </c>
      <c r="D421" s="66">
        <f>(Table13[[#This Row],[Index]]-B409)/B409</f>
        <v/>
      </c>
    </row>
    <row r="422">
      <c r="A422" s="17" t="n">
        <v>38930</v>
      </c>
      <c r="B422" s="58">
        <f>VLOOKUP(Table13[[#This Row],[Date]],database!A:F,6,)</f>
        <v/>
      </c>
      <c r="C422" s="66">
        <f>B422/B421-1</f>
        <v/>
      </c>
      <c r="D422" s="66">
        <f>(Table13[[#This Row],[Index]]-B410)/B410</f>
        <v/>
      </c>
    </row>
    <row r="423">
      <c r="A423" s="17" t="n">
        <v>38961</v>
      </c>
      <c r="B423" s="58">
        <f>VLOOKUP(Table13[[#This Row],[Date]],database!A:F,6,)</f>
        <v/>
      </c>
      <c r="C423" s="66">
        <f>B423/B422-1</f>
        <v/>
      </c>
      <c r="D423" s="66">
        <f>(Table13[[#This Row],[Index]]-B411)/B411</f>
        <v/>
      </c>
    </row>
    <row r="424">
      <c r="A424" s="17" t="n">
        <v>38991</v>
      </c>
      <c r="B424" s="58">
        <f>VLOOKUP(Table13[[#This Row],[Date]],database!A:F,6,)</f>
        <v/>
      </c>
      <c r="C424" s="66">
        <f>B424/B423-1</f>
        <v/>
      </c>
      <c r="D424" s="66">
        <f>(Table13[[#This Row],[Index]]-B412)/B412</f>
        <v/>
      </c>
    </row>
    <row r="425">
      <c r="A425" s="17" t="n">
        <v>39022</v>
      </c>
      <c r="B425" s="58">
        <f>VLOOKUP(Table13[[#This Row],[Date]],database!A:F,6,)</f>
        <v/>
      </c>
      <c r="C425" s="66">
        <f>B425/B424-1</f>
        <v/>
      </c>
      <c r="D425" s="66">
        <f>(Table13[[#This Row],[Index]]-B413)/B413</f>
        <v/>
      </c>
    </row>
    <row r="426">
      <c r="A426" s="17" t="n">
        <v>39052</v>
      </c>
      <c r="B426" s="58">
        <f>VLOOKUP(Table13[[#This Row],[Date]],database!A:F,6,)</f>
        <v/>
      </c>
      <c r="C426" s="66">
        <f>B426/B425-1</f>
        <v/>
      </c>
      <c r="D426" s="66">
        <f>(Table13[[#This Row],[Index]]-B414)/B414</f>
        <v/>
      </c>
    </row>
    <row r="427">
      <c r="A427" s="17" t="n">
        <v>39083</v>
      </c>
      <c r="B427" s="58">
        <f>VLOOKUP(Table13[[#This Row],[Date]],database!A:F,6,)</f>
        <v/>
      </c>
      <c r="C427" s="66">
        <f>B427/B426-1</f>
        <v/>
      </c>
      <c r="D427" s="66">
        <f>(Table13[[#This Row],[Index]]-B415)/B415</f>
        <v/>
      </c>
    </row>
    <row r="428">
      <c r="A428" s="17" t="n">
        <v>39114</v>
      </c>
      <c r="B428" s="58">
        <f>VLOOKUP(Table13[[#This Row],[Date]],database!A:F,6,)</f>
        <v/>
      </c>
      <c r="C428" s="66">
        <f>B428/B427-1</f>
        <v/>
      </c>
      <c r="D428" s="66">
        <f>(Table13[[#This Row],[Index]]-B416)/B416</f>
        <v/>
      </c>
    </row>
    <row r="429">
      <c r="A429" s="17" t="n">
        <v>39142</v>
      </c>
      <c r="B429" s="58">
        <f>VLOOKUP(Table13[[#This Row],[Date]],database!A:F,6,)</f>
        <v/>
      </c>
      <c r="C429" s="66">
        <f>B429/B428-1</f>
        <v/>
      </c>
      <c r="D429" s="66">
        <f>(Table13[[#This Row],[Index]]-B417)/B417</f>
        <v/>
      </c>
    </row>
    <row r="430">
      <c r="A430" s="17" t="n">
        <v>39173</v>
      </c>
      <c r="B430" s="58">
        <f>VLOOKUP(Table13[[#This Row],[Date]],database!A:F,6,)</f>
        <v/>
      </c>
      <c r="C430" s="66">
        <f>B430/B429-1</f>
        <v/>
      </c>
      <c r="D430" s="66">
        <f>(Table13[[#This Row],[Index]]-B418)/B418</f>
        <v/>
      </c>
    </row>
    <row r="431">
      <c r="A431" s="17" t="n">
        <v>39203</v>
      </c>
      <c r="B431" s="58">
        <f>VLOOKUP(Table13[[#This Row],[Date]],database!A:F,6,)</f>
        <v/>
      </c>
      <c r="C431" s="66">
        <f>B431/B430-1</f>
        <v/>
      </c>
      <c r="D431" s="66">
        <f>(Table13[[#This Row],[Index]]-B419)/B419</f>
        <v/>
      </c>
    </row>
    <row r="432">
      <c r="A432" s="17" t="n">
        <v>39234</v>
      </c>
      <c r="B432" s="58">
        <f>VLOOKUP(Table13[[#This Row],[Date]],database!A:F,6,)</f>
        <v/>
      </c>
      <c r="C432" s="66">
        <f>B432/B431-1</f>
        <v/>
      </c>
      <c r="D432" s="66">
        <f>(Table13[[#This Row],[Index]]-B420)/B420</f>
        <v/>
      </c>
    </row>
    <row r="433">
      <c r="A433" s="17" t="n">
        <v>39264</v>
      </c>
      <c r="B433" s="58">
        <f>VLOOKUP(Table13[[#This Row],[Date]],database!A:F,6,)</f>
        <v/>
      </c>
      <c r="C433" s="66">
        <f>B433/B432-1</f>
        <v/>
      </c>
      <c r="D433" s="66">
        <f>(Table13[[#This Row],[Index]]-B421)/B421</f>
        <v/>
      </c>
    </row>
    <row r="434">
      <c r="A434" s="17" t="n">
        <v>39295</v>
      </c>
      <c r="B434" s="58">
        <f>VLOOKUP(Table13[[#This Row],[Date]],database!A:F,6,)</f>
        <v/>
      </c>
      <c r="C434" s="66">
        <f>B434/B433-1</f>
        <v/>
      </c>
      <c r="D434" s="66">
        <f>(Table13[[#This Row],[Index]]-B422)/B422</f>
        <v/>
      </c>
    </row>
    <row r="435">
      <c r="A435" s="17" t="n">
        <v>39326</v>
      </c>
      <c r="B435" s="58">
        <f>VLOOKUP(Table13[[#This Row],[Date]],database!A:F,6,)</f>
        <v/>
      </c>
      <c r="C435" s="66">
        <f>B435/B434-1</f>
        <v/>
      </c>
      <c r="D435" s="66">
        <f>(Table13[[#This Row],[Index]]-B423)/B423</f>
        <v/>
      </c>
    </row>
    <row r="436">
      <c r="A436" s="17" t="n">
        <v>39356</v>
      </c>
      <c r="B436" s="58">
        <f>VLOOKUP(Table13[[#This Row],[Date]],database!A:F,6,)</f>
        <v/>
      </c>
      <c r="C436" s="66">
        <f>B436/B435-1</f>
        <v/>
      </c>
      <c r="D436" s="66">
        <f>(Table13[[#This Row],[Index]]-B424)/B424</f>
        <v/>
      </c>
    </row>
    <row r="437">
      <c r="A437" s="17" t="n">
        <v>39387</v>
      </c>
      <c r="B437" s="58">
        <f>VLOOKUP(Table13[[#This Row],[Date]],database!A:F,6,)</f>
        <v/>
      </c>
      <c r="C437" s="66">
        <f>B437/B436-1</f>
        <v/>
      </c>
      <c r="D437" s="66">
        <f>(Table13[[#This Row],[Index]]-B425)/B425</f>
        <v/>
      </c>
    </row>
    <row r="438">
      <c r="A438" s="17" t="n">
        <v>39417</v>
      </c>
      <c r="B438" s="58">
        <f>VLOOKUP(Table13[[#This Row],[Date]],database!A:F,6,)</f>
        <v/>
      </c>
      <c r="C438" s="66">
        <f>B438/B437-1</f>
        <v/>
      </c>
      <c r="D438" s="66">
        <f>(Table13[[#This Row],[Index]]-B426)/B426</f>
        <v/>
      </c>
    </row>
    <row r="439">
      <c r="A439" s="17" t="n">
        <v>39448</v>
      </c>
      <c r="B439" s="58">
        <f>VLOOKUP(Table13[[#This Row],[Date]],database!A:F,6,)</f>
        <v/>
      </c>
      <c r="C439" s="66">
        <f>B439/B438-1</f>
        <v/>
      </c>
      <c r="D439" s="66">
        <f>(Table13[[#This Row],[Index]]-B427)/B427</f>
        <v/>
      </c>
    </row>
    <row r="440">
      <c r="A440" s="17" t="n">
        <v>39479</v>
      </c>
      <c r="B440" s="58">
        <f>VLOOKUP(Table13[[#This Row],[Date]],database!A:F,6,)</f>
        <v/>
      </c>
      <c r="C440" s="66">
        <f>B440/B439-1</f>
        <v/>
      </c>
      <c r="D440" s="66">
        <f>(Table13[[#This Row],[Index]]-B428)/B428</f>
        <v/>
      </c>
    </row>
    <row r="441">
      <c r="A441" s="17" t="n">
        <v>39508</v>
      </c>
      <c r="B441" s="58">
        <f>VLOOKUP(Table13[[#This Row],[Date]],database!A:F,6,)</f>
        <v/>
      </c>
      <c r="C441" s="66">
        <f>B441/B440-1</f>
        <v/>
      </c>
      <c r="D441" s="66">
        <f>(Table13[[#This Row],[Index]]-B429)/B429</f>
        <v/>
      </c>
    </row>
    <row r="442">
      <c r="A442" s="17" t="n">
        <v>39539</v>
      </c>
      <c r="B442" s="58">
        <f>VLOOKUP(Table13[[#This Row],[Date]],database!A:F,6,)</f>
        <v/>
      </c>
      <c r="C442" s="66">
        <f>B442/B441-1</f>
        <v/>
      </c>
      <c r="D442" s="66">
        <f>(Table13[[#This Row],[Index]]-B430)/B430</f>
        <v/>
      </c>
    </row>
    <row r="443">
      <c r="A443" s="17" t="n">
        <v>39569</v>
      </c>
      <c r="B443" s="58">
        <f>VLOOKUP(Table13[[#This Row],[Date]],database!A:F,6,)</f>
        <v/>
      </c>
      <c r="C443" s="66">
        <f>B443/B442-1</f>
        <v/>
      </c>
      <c r="D443" s="66">
        <f>(Table13[[#This Row],[Index]]-B431)/B431</f>
        <v/>
      </c>
    </row>
    <row r="444">
      <c r="A444" s="17" t="n">
        <v>39600</v>
      </c>
      <c r="B444" s="58">
        <f>VLOOKUP(Table13[[#This Row],[Date]],database!A:F,6,)</f>
        <v/>
      </c>
      <c r="C444" s="66">
        <f>B444/B443-1</f>
        <v/>
      </c>
      <c r="D444" s="66">
        <f>(Table13[[#This Row],[Index]]-B432)/B432</f>
        <v/>
      </c>
    </row>
    <row r="445">
      <c r="A445" s="17" t="n">
        <v>39630</v>
      </c>
      <c r="B445" s="58">
        <f>VLOOKUP(Table13[[#This Row],[Date]],database!A:F,6,)</f>
        <v/>
      </c>
      <c r="C445" s="66">
        <f>B445/B444-1</f>
        <v/>
      </c>
      <c r="D445" s="66">
        <f>(Table13[[#This Row],[Index]]-B433)/B433</f>
        <v/>
      </c>
    </row>
    <row r="446">
      <c r="A446" s="17" t="n">
        <v>39661</v>
      </c>
      <c r="B446" s="58">
        <f>VLOOKUP(Table13[[#This Row],[Date]],database!A:F,6,)</f>
        <v/>
      </c>
      <c r="C446" s="66">
        <f>B446/B445-1</f>
        <v/>
      </c>
      <c r="D446" s="66">
        <f>(Table13[[#This Row],[Index]]-B434)/B434</f>
        <v/>
      </c>
    </row>
    <row r="447">
      <c r="A447" s="17" t="n">
        <v>39692</v>
      </c>
      <c r="B447" s="58">
        <f>VLOOKUP(Table13[[#This Row],[Date]],database!A:F,6,)</f>
        <v/>
      </c>
      <c r="C447" s="66">
        <f>B447/B446-1</f>
        <v/>
      </c>
      <c r="D447" s="66">
        <f>(Table13[[#This Row],[Index]]-B435)/B435</f>
        <v/>
      </c>
    </row>
    <row r="448">
      <c r="A448" s="17" t="n">
        <v>39722</v>
      </c>
      <c r="B448" s="58">
        <f>VLOOKUP(Table13[[#This Row],[Date]],database!A:F,6,)</f>
        <v/>
      </c>
      <c r="C448" s="66">
        <f>B448/B447-1</f>
        <v/>
      </c>
      <c r="D448" s="66">
        <f>(Table13[[#This Row],[Index]]-B436)/B436</f>
        <v/>
      </c>
    </row>
    <row r="449">
      <c r="A449" s="17" t="n">
        <v>39753</v>
      </c>
      <c r="B449" s="58">
        <f>VLOOKUP(Table13[[#This Row],[Date]],database!A:F,6,)</f>
        <v/>
      </c>
      <c r="C449" s="66">
        <f>B449/B448-1</f>
        <v/>
      </c>
      <c r="D449" s="66">
        <f>(Table13[[#This Row],[Index]]-B437)/B437</f>
        <v/>
      </c>
    </row>
    <row r="450">
      <c r="A450" s="17" t="n">
        <v>39783</v>
      </c>
      <c r="B450" s="58">
        <f>VLOOKUP(Table13[[#This Row],[Date]],database!A:F,6,)</f>
        <v/>
      </c>
      <c r="C450" s="66">
        <f>B450/B449-1</f>
        <v/>
      </c>
      <c r="D450" s="66">
        <f>(Table13[[#This Row],[Index]]-B438)/B438</f>
        <v/>
      </c>
    </row>
    <row r="451">
      <c r="A451" s="17" t="n">
        <v>39814</v>
      </c>
      <c r="B451" s="58">
        <f>VLOOKUP(Table13[[#This Row],[Date]],database!A:F,6,)</f>
        <v/>
      </c>
      <c r="C451" s="66">
        <f>B451/B450-1</f>
        <v/>
      </c>
      <c r="D451" s="66">
        <f>(Table13[[#This Row],[Index]]-B439)/B439</f>
        <v/>
      </c>
    </row>
    <row r="452">
      <c r="A452" s="17" t="n">
        <v>39845</v>
      </c>
      <c r="B452" s="58">
        <f>VLOOKUP(Table13[[#This Row],[Date]],database!A:F,6,)</f>
        <v/>
      </c>
      <c r="C452" s="66">
        <f>B452/B451-1</f>
        <v/>
      </c>
      <c r="D452" s="66">
        <f>(Table13[[#This Row],[Index]]-B440)/B440</f>
        <v/>
      </c>
    </row>
    <row r="453">
      <c r="A453" s="17" t="n">
        <v>39873</v>
      </c>
      <c r="B453" s="58">
        <f>VLOOKUP(Table13[[#This Row],[Date]],database!A:F,6,)</f>
        <v/>
      </c>
      <c r="C453" s="66">
        <f>B453/B452-1</f>
        <v/>
      </c>
      <c r="D453" s="66">
        <f>(Table13[[#This Row],[Index]]-B441)/B441</f>
        <v/>
      </c>
    </row>
    <row r="454">
      <c r="A454" s="17" t="n">
        <v>39904</v>
      </c>
      <c r="B454" s="58">
        <f>VLOOKUP(Table13[[#This Row],[Date]],database!A:F,6,)</f>
        <v/>
      </c>
      <c r="C454" s="66">
        <f>B454/B453-1</f>
        <v/>
      </c>
      <c r="D454" s="66">
        <f>(Table13[[#This Row],[Index]]-B442)/B442</f>
        <v/>
      </c>
    </row>
    <row r="455">
      <c r="A455" s="17" t="n">
        <v>39934</v>
      </c>
      <c r="B455" s="58">
        <f>VLOOKUP(Table13[[#This Row],[Date]],database!A:F,6,)</f>
        <v/>
      </c>
      <c r="C455" s="66">
        <f>B455/B454-1</f>
        <v/>
      </c>
      <c r="D455" s="66">
        <f>(Table13[[#This Row],[Index]]-B443)/B443</f>
        <v/>
      </c>
    </row>
    <row r="456">
      <c r="A456" s="17" t="n">
        <v>39965</v>
      </c>
      <c r="B456" s="58">
        <f>VLOOKUP(Table13[[#This Row],[Date]],database!A:F,6,)</f>
        <v/>
      </c>
      <c r="C456" s="66">
        <f>B456/B455-1</f>
        <v/>
      </c>
      <c r="D456" s="66">
        <f>(Table13[[#This Row],[Index]]-B444)/B444</f>
        <v/>
      </c>
    </row>
    <row r="457">
      <c r="A457" s="17" t="n">
        <v>39995</v>
      </c>
      <c r="B457" s="58">
        <f>VLOOKUP(Table13[[#This Row],[Date]],database!A:F,6,)</f>
        <v/>
      </c>
      <c r="C457" s="66">
        <f>B457/B456-1</f>
        <v/>
      </c>
      <c r="D457" s="66">
        <f>(Table13[[#This Row],[Index]]-B445)/B445</f>
        <v/>
      </c>
    </row>
    <row r="458">
      <c r="A458" s="17" t="n">
        <v>40026</v>
      </c>
      <c r="B458" s="58">
        <f>VLOOKUP(Table13[[#This Row],[Date]],database!A:F,6,)</f>
        <v/>
      </c>
      <c r="C458" s="66">
        <f>B458/B457-1</f>
        <v/>
      </c>
      <c r="D458" s="66">
        <f>(Table13[[#This Row],[Index]]-B446)/B446</f>
        <v/>
      </c>
    </row>
    <row r="459">
      <c r="A459" s="17" t="n">
        <v>40057</v>
      </c>
      <c r="B459" s="58">
        <f>VLOOKUP(Table13[[#This Row],[Date]],database!A:F,6,)</f>
        <v/>
      </c>
      <c r="C459" s="66">
        <f>B459/B458-1</f>
        <v/>
      </c>
      <c r="D459" s="66">
        <f>(Table13[[#This Row],[Index]]-B447)/B447</f>
        <v/>
      </c>
    </row>
    <row r="460">
      <c r="A460" s="17" t="n">
        <v>40087</v>
      </c>
      <c r="B460" s="58">
        <f>VLOOKUP(Table13[[#This Row],[Date]],database!A:F,6,)</f>
        <v/>
      </c>
      <c r="C460" s="66">
        <f>B460/B459-1</f>
        <v/>
      </c>
      <c r="D460" s="66">
        <f>(Table13[[#This Row],[Index]]-B448)/B448</f>
        <v/>
      </c>
    </row>
    <row r="461">
      <c r="A461" s="17" t="n">
        <v>40118</v>
      </c>
      <c r="B461" s="58">
        <f>VLOOKUP(Table13[[#This Row],[Date]],database!A:F,6,)</f>
        <v/>
      </c>
      <c r="C461" s="66">
        <f>B461/B460-1</f>
        <v/>
      </c>
      <c r="D461" s="66">
        <f>(Table13[[#This Row],[Index]]-B449)/B449</f>
        <v/>
      </c>
    </row>
    <row r="462">
      <c r="A462" s="17" t="n">
        <v>40148</v>
      </c>
      <c r="B462" s="58">
        <f>VLOOKUP(Table13[[#This Row],[Date]],database!A:F,6,)</f>
        <v/>
      </c>
      <c r="C462" s="66">
        <f>B462/B461-1</f>
        <v/>
      </c>
      <c r="D462" s="66">
        <f>(Table13[[#This Row],[Index]]-B450)/B450</f>
        <v/>
      </c>
    </row>
    <row r="463">
      <c r="A463" s="17" t="n">
        <v>40179</v>
      </c>
      <c r="B463" s="58">
        <f>VLOOKUP(Table13[[#This Row],[Date]],database!A:F,6,)</f>
        <v/>
      </c>
      <c r="C463" s="66">
        <f>B463/B462-1</f>
        <v/>
      </c>
      <c r="D463" s="66">
        <f>(Table13[[#This Row],[Index]]-B451)/B451</f>
        <v/>
      </c>
    </row>
    <row r="464">
      <c r="A464" s="17" t="n">
        <v>40210</v>
      </c>
      <c r="B464" s="58">
        <f>VLOOKUP(Table13[[#This Row],[Date]],database!A:F,6,)</f>
        <v/>
      </c>
      <c r="C464" s="66">
        <f>B464/B463-1</f>
        <v/>
      </c>
      <c r="D464" s="66">
        <f>(Table13[[#This Row],[Index]]-B452)/B452</f>
        <v/>
      </c>
    </row>
    <row r="465">
      <c r="A465" s="17" t="n">
        <v>40238</v>
      </c>
      <c r="B465" s="58">
        <f>VLOOKUP(Table13[[#This Row],[Date]],database!A:F,6,)</f>
        <v/>
      </c>
      <c r="C465" s="66">
        <f>B465/B464-1</f>
        <v/>
      </c>
      <c r="D465" s="66">
        <f>(Table13[[#This Row],[Index]]-B453)/B453</f>
        <v/>
      </c>
    </row>
    <row r="466">
      <c r="A466" s="17" t="n">
        <v>40269</v>
      </c>
      <c r="B466" s="58">
        <f>VLOOKUP(Table13[[#This Row],[Date]],database!A:F,6,)</f>
        <v/>
      </c>
      <c r="C466" s="66">
        <f>B466/B465-1</f>
        <v/>
      </c>
      <c r="D466" s="66">
        <f>(Table13[[#This Row],[Index]]-B454)/B454</f>
        <v/>
      </c>
    </row>
    <row r="467">
      <c r="A467" s="17" t="n">
        <v>40299</v>
      </c>
      <c r="B467" s="58">
        <f>VLOOKUP(Table13[[#This Row],[Date]],database!A:F,6,)</f>
        <v/>
      </c>
      <c r="C467" s="66">
        <f>B467/B466-1</f>
        <v/>
      </c>
      <c r="D467" s="66">
        <f>(Table13[[#This Row],[Index]]-B455)/B455</f>
        <v/>
      </c>
    </row>
    <row r="468">
      <c r="A468" s="17" t="n">
        <v>40330</v>
      </c>
      <c r="B468" s="58">
        <f>VLOOKUP(Table13[[#This Row],[Date]],database!A:F,6,)</f>
        <v/>
      </c>
      <c r="C468" s="66">
        <f>B468/B467-1</f>
        <v/>
      </c>
      <c r="D468" s="66">
        <f>(Table13[[#This Row],[Index]]-B456)/B456</f>
        <v/>
      </c>
    </row>
    <row r="469">
      <c r="A469" s="17" t="n">
        <v>40360</v>
      </c>
      <c r="B469" s="58">
        <f>VLOOKUP(Table13[[#This Row],[Date]],database!A:F,6,)</f>
        <v/>
      </c>
      <c r="C469" s="66">
        <f>B469/B468-1</f>
        <v/>
      </c>
      <c r="D469" s="66">
        <f>(Table13[[#This Row],[Index]]-B457)/B457</f>
        <v/>
      </c>
    </row>
    <row r="470">
      <c r="A470" s="17" t="n">
        <v>40391</v>
      </c>
      <c r="B470" s="58">
        <f>VLOOKUP(Table13[[#This Row],[Date]],database!A:F,6,)</f>
        <v/>
      </c>
      <c r="C470" s="66">
        <f>B470/B469-1</f>
        <v/>
      </c>
      <c r="D470" s="66">
        <f>(Table13[[#This Row],[Index]]-B458)/B458</f>
        <v/>
      </c>
    </row>
    <row r="471">
      <c r="A471" s="17" t="n">
        <v>40422</v>
      </c>
      <c r="B471" s="58">
        <f>VLOOKUP(Table13[[#This Row],[Date]],database!A:F,6,)</f>
        <v/>
      </c>
      <c r="C471" s="66">
        <f>B471/B470-1</f>
        <v/>
      </c>
      <c r="D471" s="66">
        <f>(Table13[[#This Row],[Index]]-B459)/B459</f>
        <v/>
      </c>
    </row>
    <row r="472">
      <c r="A472" s="17" t="n">
        <v>40452</v>
      </c>
      <c r="B472" s="58">
        <f>VLOOKUP(Table13[[#This Row],[Date]],database!A:F,6,)</f>
        <v/>
      </c>
      <c r="C472" s="66">
        <f>B472/B471-1</f>
        <v/>
      </c>
      <c r="D472" s="66">
        <f>(Table13[[#This Row],[Index]]-B460)/B460</f>
        <v/>
      </c>
    </row>
    <row r="473">
      <c r="A473" s="17" t="n">
        <v>40483</v>
      </c>
      <c r="B473" s="58">
        <f>VLOOKUP(Table13[[#This Row],[Date]],database!A:F,6,)</f>
        <v/>
      </c>
      <c r="C473" s="66">
        <f>B473/B472-1</f>
        <v/>
      </c>
      <c r="D473" s="66">
        <f>(Table13[[#This Row],[Index]]-B461)/B461</f>
        <v/>
      </c>
    </row>
    <row r="474">
      <c r="A474" s="17" t="n">
        <v>40513</v>
      </c>
      <c r="B474" s="58">
        <f>VLOOKUP(Table13[[#This Row],[Date]],database!A:F,6,)</f>
        <v/>
      </c>
      <c r="C474" s="66">
        <f>B474/B473-1</f>
        <v/>
      </c>
      <c r="D474" s="66">
        <f>(Table13[[#This Row],[Index]]-B462)/B462</f>
        <v/>
      </c>
    </row>
    <row r="475">
      <c r="A475" s="17" t="n">
        <v>40544</v>
      </c>
      <c r="B475" s="58">
        <f>VLOOKUP(Table13[[#This Row],[Date]],database!A:F,6,)</f>
        <v/>
      </c>
      <c r="C475" s="66">
        <f>B475/B474-1</f>
        <v/>
      </c>
      <c r="D475" s="66">
        <f>(Table13[[#This Row],[Index]]-B463)/B463</f>
        <v/>
      </c>
    </row>
    <row r="476">
      <c r="A476" s="17" t="n">
        <v>40575</v>
      </c>
      <c r="B476" s="58">
        <f>VLOOKUP(Table13[[#This Row],[Date]],database!A:F,6,)</f>
        <v/>
      </c>
      <c r="C476" s="66">
        <f>B476/B475-1</f>
        <v/>
      </c>
      <c r="D476" s="66">
        <f>(Table13[[#This Row],[Index]]-B464)/B464</f>
        <v/>
      </c>
    </row>
    <row r="477">
      <c r="A477" s="17" t="n">
        <v>40603</v>
      </c>
      <c r="B477" s="58">
        <f>VLOOKUP(Table13[[#This Row],[Date]],database!A:F,6,)</f>
        <v/>
      </c>
      <c r="C477" s="66">
        <f>B477/B476-1</f>
        <v/>
      </c>
      <c r="D477" s="66">
        <f>(Table13[[#This Row],[Index]]-B465)/B465</f>
        <v/>
      </c>
    </row>
    <row r="478">
      <c r="A478" s="17" t="n">
        <v>40634</v>
      </c>
      <c r="B478" s="58">
        <f>VLOOKUP(Table13[[#This Row],[Date]],database!A:F,6,)</f>
        <v/>
      </c>
      <c r="C478" s="67">
        <f>B478/B477-1</f>
        <v/>
      </c>
      <c r="D478" s="66">
        <f>(Table13[[#This Row],[Index]]-B466)/B466</f>
        <v/>
      </c>
    </row>
    <row r="479">
      <c r="A479" s="17" t="n">
        <v>40664</v>
      </c>
      <c r="B479" s="58">
        <f>VLOOKUP(Table13[[#This Row],[Date]],database!A:F,6,)</f>
        <v/>
      </c>
      <c r="C479" s="66">
        <f>B479/B478-1</f>
        <v/>
      </c>
      <c r="D479" s="66">
        <f>(Table13[[#This Row],[Index]]-B467)/B467</f>
        <v/>
      </c>
    </row>
    <row r="480">
      <c r="A480" s="17" t="n">
        <v>40695</v>
      </c>
      <c r="B480" s="58">
        <f>VLOOKUP(Table13[[#This Row],[Date]],database!A:F,6,)</f>
        <v/>
      </c>
      <c r="C480" s="66">
        <f>B480/B479-1</f>
        <v/>
      </c>
      <c r="D480" s="66">
        <f>(Table13[[#This Row],[Index]]-B468)/B468</f>
        <v/>
      </c>
    </row>
    <row r="481">
      <c r="A481" s="17" t="n">
        <v>40725</v>
      </c>
      <c r="B481" s="58">
        <f>VLOOKUP(Table13[[#This Row],[Date]],database!A:F,6,)</f>
        <v/>
      </c>
      <c r="C481" s="66">
        <f>B481/B480-1</f>
        <v/>
      </c>
      <c r="D481" s="66">
        <f>(Table13[[#This Row],[Index]]-B469)/B469</f>
        <v/>
      </c>
    </row>
    <row r="482">
      <c r="A482" s="17" t="n">
        <v>40756</v>
      </c>
      <c r="B482" s="58">
        <f>VLOOKUP(Table13[[#This Row],[Date]],database!A:F,6,)</f>
        <v/>
      </c>
      <c r="C482" s="66">
        <f>B482/B481-1</f>
        <v/>
      </c>
      <c r="D482" s="66">
        <f>(Table13[[#This Row],[Index]]-B470)/B470</f>
        <v/>
      </c>
    </row>
    <row r="483">
      <c r="A483" s="17" t="n">
        <v>40787</v>
      </c>
      <c r="B483" s="58">
        <f>VLOOKUP(Table13[[#This Row],[Date]],database!A:F,6,)</f>
        <v/>
      </c>
      <c r="C483" s="66">
        <f>B483/B482-1</f>
        <v/>
      </c>
      <c r="D483" s="66">
        <f>(Table13[[#This Row],[Index]]-B471)/B471</f>
        <v/>
      </c>
    </row>
    <row r="484">
      <c r="A484" s="17" t="n">
        <v>40817</v>
      </c>
      <c r="B484" s="58">
        <f>VLOOKUP(Table13[[#This Row],[Date]],database!A:F,6,)</f>
        <v/>
      </c>
      <c r="C484" s="66">
        <f>B484/B483-1</f>
        <v/>
      </c>
      <c r="D484" s="66">
        <f>(Table13[[#This Row],[Index]]-B472)/B472</f>
        <v/>
      </c>
    </row>
    <row r="485">
      <c r="A485" s="17" t="n">
        <v>40848</v>
      </c>
      <c r="B485" s="58">
        <f>VLOOKUP(Table13[[#This Row],[Date]],database!A:F,6,)</f>
        <v/>
      </c>
      <c r="C485" s="66">
        <f>B485/B484-1</f>
        <v/>
      </c>
      <c r="D485" s="66">
        <f>(Table13[[#This Row],[Index]]-B473)/B473</f>
        <v/>
      </c>
    </row>
    <row r="486">
      <c r="A486" s="17" t="n">
        <v>40878</v>
      </c>
      <c r="B486" s="58">
        <f>VLOOKUP(Table13[[#This Row],[Date]],database!A:F,6,)</f>
        <v/>
      </c>
      <c r="C486" s="66">
        <f>B486/B485-1</f>
        <v/>
      </c>
      <c r="D486" s="66">
        <f>(Table13[[#This Row],[Index]]-B474)/B474</f>
        <v/>
      </c>
    </row>
    <row r="487">
      <c r="A487" s="17" t="n">
        <v>40909</v>
      </c>
      <c r="B487" s="58">
        <f>VLOOKUP(Table13[[#This Row],[Date]],database!A:F,6,)</f>
        <v/>
      </c>
      <c r="C487" s="66">
        <f>B487/B486-1</f>
        <v/>
      </c>
      <c r="D487" s="66">
        <f>(Table13[[#This Row],[Index]]-B475)/B475</f>
        <v/>
      </c>
    </row>
    <row r="488">
      <c r="A488" s="17" t="n">
        <v>40940</v>
      </c>
      <c r="B488" s="58">
        <f>VLOOKUP(Table13[[#This Row],[Date]],database!A:F,6,)</f>
        <v/>
      </c>
      <c r="C488" s="66">
        <f>B488/B487-1</f>
        <v/>
      </c>
      <c r="D488" s="66">
        <f>(Table13[[#This Row],[Index]]-B476)/B476</f>
        <v/>
      </c>
    </row>
    <row r="489">
      <c r="A489" s="17" t="n">
        <v>40969</v>
      </c>
      <c r="B489" s="58">
        <f>VLOOKUP(Table13[[#This Row],[Date]],database!A:F,6,)</f>
        <v/>
      </c>
      <c r="C489" s="66">
        <f>B489/B488-1</f>
        <v/>
      </c>
      <c r="D489" s="66">
        <f>(Table13[[#This Row],[Index]]-B477)/B477</f>
        <v/>
      </c>
    </row>
    <row r="490">
      <c r="A490" s="17" t="n">
        <v>41000</v>
      </c>
      <c r="B490" s="58">
        <f>VLOOKUP(Table13[[#This Row],[Date]],database!A:F,6,)</f>
        <v/>
      </c>
      <c r="C490" s="66">
        <f>B490/B489-1</f>
        <v/>
      </c>
      <c r="D490" s="66">
        <f>(Table13[[#This Row],[Index]]-B478)/B478</f>
        <v/>
      </c>
    </row>
    <row r="491">
      <c r="A491" s="17" t="n">
        <v>41030</v>
      </c>
      <c r="B491" s="58">
        <f>VLOOKUP(Table13[[#This Row],[Date]],database!A:F,6,)</f>
        <v/>
      </c>
      <c r="C491" s="66">
        <f>B491/B490-1</f>
        <v/>
      </c>
      <c r="D491" s="66">
        <f>(Table13[[#This Row],[Index]]-B479)/B479</f>
        <v/>
      </c>
    </row>
    <row r="492">
      <c r="A492" s="17" t="n">
        <v>41061</v>
      </c>
      <c r="B492" s="58">
        <f>VLOOKUP(Table13[[#This Row],[Date]],database!A:F,6,)</f>
        <v/>
      </c>
      <c r="C492" s="66">
        <f>B492/B491-1</f>
        <v/>
      </c>
      <c r="D492" s="66">
        <f>(Table13[[#This Row],[Index]]-B480)/B480</f>
        <v/>
      </c>
    </row>
    <row r="493">
      <c r="A493" s="17" t="n">
        <v>41091</v>
      </c>
      <c r="B493" s="58">
        <f>VLOOKUP(Table13[[#This Row],[Date]],database!A:F,6,)</f>
        <v/>
      </c>
      <c r="C493" s="66">
        <f>B493/B492-1</f>
        <v/>
      </c>
      <c r="D493" s="66">
        <f>(Table13[[#This Row],[Index]]-B481)/B481</f>
        <v/>
      </c>
    </row>
    <row r="494">
      <c r="A494" s="17" t="n">
        <v>41122</v>
      </c>
      <c r="B494" s="58">
        <f>VLOOKUP(Table13[[#This Row],[Date]],database!A:F,6,)</f>
        <v/>
      </c>
      <c r="C494" s="66">
        <f>B494/B493-1</f>
        <v/>
      </c>
      <c r="D494" s="66">
        <f>(Table13[[#This Row],[Index]]-B482)/B482</f>
        <v/>
      </c>
    </row>
    <row r="495">
      <c r="A495" s="17" t="n">
        <v>41153</v>
      </c>
      <c r="B495" s="58">
        <f>VLOOKUP(Table13[[#This Row],[Date]],database!A:F,6,)</f>
        <v/>
      </c>
      <c r="C495" s="66">
        <f>B495/B494-1</f>
        <v/>
      </c>
      <c r="D495" s="66">
        <f>(Table13[[#This Row],[Index]]-B483)/B483</f>
        <v/>
      </c>
    </row>
    <row r="496">
      <c r="A496" s="17" t="n">
        <v>41183</v>
      </c>
      <c r="B496" s="58">
        <f>VLOOKUP(Table13[[#This Row],[Date]],database!A:F,6,)</f>
        <v/>
      </c>
      <c r="C496" s="66">
        <f>B496/B495-1</f>
        <v/>
      </c>
      <c r="D496" s="66">
        <f>(Table13[[#This Row],[Index]]-B484)/B484</f>
        <v/>
      </c>
    </row>
    <row r="497">
      <c r="A497" s="17" t="n">
        <v>41214</v>
      </c>
      <c r="B497" s="58">
        <f>VLOOKUP(Table13[[#This Row],[Date]],database!A:F,6,)</f>
        <v/>
      </c>
      <c r="C497" s="66">
        <f>B497/B496-1</f>
        <v/>
      </c>
      <c r="D497" s="66">
        <f>(Table13[[#This Row],[Index]]-B485)/B485</f>
        <v/>
      </c>
    </row>
    <row r="498">
      <c r="A498" s="17" t="n">
        <v>41244</v>
      </c>
      <c r="B498" s="58">
        <f>VLOOKUP(Table13[[#This Row],[Date]],database!A:F,6,)</f>
        <v/>
      </c>
      <c r="C498" s="66">
        <f>B498/B497-1</f>
        <v/>
      </c>
      <c r="D498" s="66">
        <f>(Table13[[#This Row],[Index]]-B486)/B486</f>
        <v/>
      </c>
    </row>
    <row r="499">
      <c r="A499" s="17" t="n">
        <v>41275</v>
      </c>
      <c r="B499" s="58">
        <f>VLOOKUP(Table13[[#This Row],[Date]],database!A:F,6,)</f>
        <v/>
      </c>
      <c r="C499" s="66">
        <f>B499/B498-1</f>
        <v/>
      </c>
      <c r="D499" s="66">
        <f>(Table13[[#This Row],[Index]]-B487)/B487</f>
        <v/>
      </c>
    </row>
    <row r="500">
      <c r="A500" s="17" t="n">
        <v>41306</v>
      </c>
      <c r="B500" s="58">
        <f>VLOOKUP(Table13[[#This Row],[Date]],database!A:F,6,)</f>
        <v/>
      </c>
      <c r="C500" s="66">
        <f>B500/B499-1</f>
        <v/>
      </c>
      <c r="D500" s="66">
        <f>(Table13[[#This Row],[Index]]-B488)/B488</f>
        <v/>
      </c>
    </row>
    <row r="501">
      <c r="A501" s="17" t="n">
        <v>41334</v>
      </c>
      <c r="B501" s="58">
        <f>VLOOKUP(Table13[[#This Row],[Date]],database!A:F,6,)</f>
        <v/>
      </c>
      <c r="C501" s="66">
        <f>B501/B500-1</f>
        <v/>
      </c>
      <c r="D501" s="66">
        <f>(Table13[[#This Row],[Index]]-B489)/B489</f>
        <v/>
      </c>
    </row>
    <row r="502">
      <c r="A502" s="17" t="n">
        <v>41365</v>
      </c>
      <c r="B502" s="58">
        <f>VLOOKUP(Table13[[#This Row],[Date]],database!A:F,6,)</f>
        <v/>
      </c>
      <c r="C502" s="66">
        <f>B502/B501-1</f>
        <v/>
      </c>
      <c r="D502" s="66">
        <f>(Table13[[#This Row],[Index]]-B490)/B490</f>
        <v/>
      </c>
    </row>
    <row r="503">
      <c r="A503" s="17" t="n">
        <v>41395</v>
      </c>
      <c r="B503" s="58">
        <f>VLOOKUP(Table13[[#This Row],[Date]],database!A:F,6,)</f>
        <v/>
      </c>
      <c r="C503" s="66">
        <f>B503/B502-1</f>
        <v/>
      </c>
      <c r="D503" s="66">
        <f>(Table13[[#This Row],[Index]]-B491)/B491</f>
        <v/>
      </c>
    </row>
    <row r="504">
      <c r="A504" s="17" t="n">
        <v>41426</v>
      </c>
      <c r="B504" s="58">
        <f>VLOOKUP(Table13[[#This Row],[Date]],database!A:F,6,)</f>
        <v/>
      </c>
      <c r="C504" s="66">
        <f>B504/B503-1</f>
        <v/>
      </c>
      <c r="D504" s="66">
        <f>(Table13[[#This Row],[Index]]-B492)/B492</f>
        <v/>
      </c>
    </row>
    <row r="505">
      <c r="A505" s="17" t="n">
        <v>41456</v>
      </c>
      <c r="B505" s="58">
        <f>VLOOKUP(Table13[[#This Row],[Date]],database!A:F,6,)</f>
        <v/>
      </c>
      <c r="C505" s="66">
        <f>B505/B504-1</f>
        <v/>
      </c>
      <c r="D505" s="66">
        <f>(Table13[[#This Row],[Index]]-B493)/B493</f>
        <v/>
      </c>
    </row>
    <row r="506">
      <c r="A506" s="17" t="n">
        <v>41487</v>
      </c>
      <c r="B506" s="58">
        <f>VLOOKUP(Table13[[#This Row],[Date]],database!A:F,6,)</f>
        <v/>
      </c>
      <c r="C506" s="66">
        <f>B506/B505-1</f>
        <v/>
      </c>
      <c r="D506" s="66">
        <f>(Table13[[#This Row],[Index]]-B494)/B494</f>
        <v/>
      </c>
    </row>
    <row r="507">
      <c r="A507" s="17" t="n">
        <v>41518</v>
      </c>
      <c r="B507" s="58">
        <f>VLOOKUP(Table13[[#This Row],[Date]],database!A:F,6,)</f>
        <v/>
      </c>
      <c r="C507" s="66">
        <f>B507/B506-1</f>
        <v/>
      </c>
      <c r="D507" s="66">
        <f>(Table13[[#This Row],[Index]]-B495)/B495</f>
        <v/>
      </c>
    </row>
    <row r="508">
      <c r="A508" s="17" t="n">
        <v>41548</v>
      </c>
      <c r="B508" s="58">
        <f>VLOOKUP(Table13[[#This Row],[Date]],database!A:F,6,)</f>
        <v/>
      </c>
      <c r="C508" s="66">
        <f>B508/B507-1</f>
        <v/>
      </c>
      <c r="D508" s="66">
        <f>(Table13[[#This Row],[Index]]-B496)/B496</f>
        <v/>
      </c>
    </row>
    <row r="509">
      <c r="A509" s="17" t="n">
        <v>41579</v>
      </c>
      <c r="B509" s="58">
        <f>VLOOKUP(Table13[[#This Row],[Date]],database!A:F,6,)</f>
        <v/>
      </c>
      <c r="C509" s="66">
        <f>B509/B508-1</f>
        <v/>
      </c>
      <c r="D509" s="66">
        <f>(Table13[[#This Row],[Index]]-B497)/B497</f>
        <v/>
      </c>
    </row>
    <row r="510">
      <c r="A510" s="17" t="n">
        <v>41609</v>
      </c>
      <c r="B510" s="58">
        <f>VLOOKUP(Table13[[#This Row],[Date]],database!A:F,6,)</f>
        <v/>
      </c>
      <c r="C510" s="66">
        <f>B510/B509-1</f>
        <v/>
      </c>
      <c r="D510" s="66">
        <f>(Table13[[#This Row],[Index]]-B498)/B498</f>
        <v/>
      </c>
    </row>
    <row r="511">
      <c r="A511" s="17" t="n">
        <v>41640</v>
      </c>
      <c r="B511" s="58">
        <f>VLOOKUP(Table13[[#This Row],[Date]],database!A:F,6,)</f>
        <v/>
      </c>
      <c r="C511" s="66">
        <f>B511/B510-1</f>
        <v/>
      </c>
      <c r="D511" s="66">
        <f>(Table13[[#This Row],[Index]]-B499)/B499</f>
        <v/>
      </c>
    </row>
    <row r="512">
      <c r="A512" s="17" t="n">
        <v>41671</v>
      </c>
      <c r="B512" s="58">
        <f>VLOOKUP(Table13[[#This Row],[Date]],database!A:F,6,)</f>
        <v/>
      </c>
      <c r="C512" s="66">
        <f>B512/B511-1</f>
        <v/>
      </c>
      <c r="D512" s="66">
        <f>(Table13[[#This Row],[Index]]-B500)/B500</f>
        <v/>
      </c>
    </row>
    <row r="513">
      <c r="A513" s="17" t="n">
        <v>41699</v>
      </c>
      <c r="B513" s="58">
        <f>VLOOKUP(Table13[[#This Row],[Date]],database!A:F,6,)</f>
        <v/>
      </c>
      <c r="C513" s="66">
        <f>B513/B512-1</f>
        <v/>
      </c>
      <c r="D513" s="66">
        <f>(Table13[[#This Row],[Index]]-B501)/B501</f>
        <v/>
      </c>
    </row>
    <row r="514">
      <c r="A514" s="17" t="n">
        <v>41730</v>
      </c>
      <c r="B514" s="58">
        <f>VLOOKUP(Table13[[#This Row],[Date]],database!A:F,6,)</f>
        <v/>
      </c>
      <c r="C514" s="66">
        <f>B514/B513-1</f>
        <v/>
      </c>
      <c r="D514" s="66">
        <f>(Table13[[#This Row],[Index]]-B502)/B502</f>
        <v/>
      </c>
    </row>
    <row r="515">
      <c r="A515" s="17" t="n">
        <v>41760</v>
      </c>
      <c r="B515" s="58">
        <f>VLOOKUP(Table13[[#This Row],[Date]],database!A:F,6,)</f>
        <v/>
      </c>
      <c r="C515" s="66">
        <f>B515/B514-1</f>
        <v/>
      </c>
      <c r="D515" s="66">
        <f>(Table13[[#This Row],[Index]]-B503)/B503</f>
        <v/>
      </c>
    </row>
    <row r="516">
      <c r="A516" s="17" t="n">
        <v>41791</v>
      </c>
      <c r="B516" s="58">
        <f>VLOOKUP(Table13[[#This Row],[Date]],database!A:F,6,)</f>
        <v/>
      </c>
      <c r="C516" s="66">
        <f>B516/B515-1</f>
        <v/>
      </c>
      <c r="D516" s="66">
        <f>(Table13[[#This Row],[Index]]-B504)/B504</f>
        <v/>
      </c>
    </row>
    <row r="517">
      <c r="A517" s="17" t="n">
        <v>41821</v>
      </c>
      <c r="B517" s="58">
        <f>VLOOKUP(Table13[[#This Row],[Date]],database!A:F,6,)</f>
        <v/>
      </c>
      <c r="C517" s="66">
        <f>B517/B516-1</f>
        <v/>
      </c>
      <c r="D517" s="66">
        <f>(Table13[[#This Row],[Index]]-B505)/B505</f>
        <v/>
      </c>
    </row>
    <row r="518">
      <c r="A518" s="17" t="n">
        <v>41852</v>
      </c>
      <c r="B518" s="58">
        <f>VLOOKUP(Table13[[#This Row],[Date]],database!A:F,6,)</f>
        <v/>
      </c>
      <c r="C518" s="66">
        <f>B518/B517-1</f>
        <v/>
      </c>
      <c r="D518" s="66">
        <f>(Table13[[#This Row],[Index]]-B506)/B506</f>
        <v/>
      </c>
    </row>
    <row r="519">
      <c r="A519" s="17" t="n">
        <v>41883</v>
      </c>
      <c r="B519" s="58">
        <f>VLOOKUP(Table13[[#This Row],[Date]],database!A:F,6,)</f>
        <v/>
      </c>
      <c r="C519" s="66">
        <f>B519/B518-1</f>
        <v/>
      </c>
      <c r="D519" s="66">
        <f>(Table13[[#This Row],[Index]]-B507)/B507</f>
        <v/>
      </c>
    </row>
    <row r="520">
      <c r="A520" s="17" t="n">
        <v>41913</v>
      </c>
      <c r="B520" s="58">
        <f>VLOOKUP(Table13[[#This Row],[Date]],database!A:F,6,)</f>
        <v/>
      </c>
      <c r="C520" s="66">
        <f>B520/B519-1</f>
        <v/>
      </c>
      <c r="D520" s="66">
        <f>(Table13[[#This Row],[Index]]-B508)/B508</f>
        <v/>
      </c>
    </row>
    <row r="521">
      <c r="A521" s="17" t="n">
        <v>41944</v>
      </c>
      <c r="B521" s="58">
        <f>VLOOKUP(Table13[[#This Row],[Date]],database!A:F,6,)</f>
        <v/>
      </c>
      <c r="C521" s="67">
        <f>B521/B520-1</f>
        <v/>
      </c>
      <c r="D521" s="66">
        <f>(Table13[[#This Row],[Index]]-B509)/B509</f>
        <v/>
      </c>
    </row>
    <row r="522">
      <c r="A522" s="17" t="n">
        <v>41974</v>
      </c>
      <c r="B522" s="58">
        <f>VLOOKUP(Table13[[#This Row],[Date]],database!A:F,6,)</f>
        <v/>
      </c>
      <c r="C522" s="66">
        <f>B522/B521-1</f>
        <v/>
      </c>
      <c r="D522" s="66">
        <f>(Table13[[#This Row],[Index]]-B510)/B510</f>
        <v/>
      </c>
    </row>
    <row r="523">
      <c r="A523" s="17" t="n">
        <v>42005</v>
      </c>
      <c r="B523" s="58">
        <f>VLOOKUP(Table13[[#This Row],[Date]],database!A:F,6,)</f>
        <v/>
      </c>
      <c r="C523" s="67">
        <f>B523/B522-1</f>
        <v/>
      </c>
      <c r="D523" s="66">
        <f>(Table13[[#This Row],[Index]]-B511)/B511</f>
        <v/>
      </c>
    </row>
    <row r="524">
      <c r="A524" s="17" t="n">
        <v>42036</v>
      </c>
      <c r="B524" s="58">
        <f>VLOOKUP(Table13[[#This Row],[Date]],database!A:F,6,)</f>
        <v/>
      </c>
      <c r="C524" s="66">
        <f>B524/B523-1</f>
        <v/>
      </c>
      <c r="D524" s="66">
        <f>(Table13[[#This Row],[Index]]-B512)/B512</f>
        <v/>
      </c>
    </row>
    <row r="525">
      <c r="A525" s="17" t="n">
        <v>42064</v>
      </c>
      <c r="B525" s="58">
        <f>VLOOKUP(Table13[[#This Row],[Date]],database!A:F,6,)</f>
        <v/>
      </c>
      <c r="C525" s="67">
        <f>B525/B524-1</f>
        <v/>
      </c>
      <c r="D525" s="66">
        <f>(Table13[[#This Row],[Index]]-B513)/B513</f>
        <v/>
      </c>
    </row>
    <row r="526">
      <c r="A526" s="17" t="n">
        <v>42095</v>
      </c>
      <c r="B526" s="58">
        <f>VLOOKUP(Table13[[#This Row],[Date]],database!A:F,6,)</f>
        <v/>
      </c>
      <c r="C526" s="66">
        <f>B526/B525-1</f>
        <v/>
      </c>
      <c r="D526" s="66">
        <f>(Table13[[#This Row],[Index]]-B514)/B514</f>
        <v/>
      </c>
    </row>
    <row r="527">
      <c r="A527" s="17" t="n">
        <v>42125</v>
      </c>
      <c r="B527" s="58">
        <f>VLOOKUP(Table13[[#This Row],[Date]],database!A:F,6,)</f>
        <v/>
      </c>
      <c r="C527" s="66">
        <f>B527/B526-1</f>
        <v/>
      </c>
      <c r="D527" s="66">
        <f>(Table13[[#This Row],[Index]]-B515)/B515</f>
        <v/>
      </c>
    </row>
    <row r="528">
      <c r="A528" s="17" t="n">
        <v>42156</v>
      </c>
      <c r="B528" s="58">
        <f>VLOOKUP(Table13[[#This Row],[Date]],database!A:F,6,)</f>
        <v/>
      </c>
      <c r="C528" s="66">
        <f>B528/B527-1</f>
        <v/>
      </c>
      <c r="D528" s="66">
        <f>(Table13[[#This Row],[Index]]-B516)/B516</f>
        <v/>
      </c>
    </row>
    <row r="529">
      <c r="A529" s="17" t="n">
        <v>42186</v>
      </c>
      <c r="B529" s="58">
        <f>VLOOKUP(Table13[[#This Row],[Date]],database!A:F,6,)</f>
        <v/>
      </c>
      <c r="C529" s="66">
        <f>B529/B528-1</f>
        <v/>
      </c>
      <c r="D529" s="66">
        <f>(Table13[[#This Row],[Index]]-B517)/B517</f>
        <v/>
      </c>
    </row>
    <row r="530">
      <c r="A530" s="17" t="n">
        <v>42217</v>
      </c>
      <c r="B530" s="58">
        <f>VLOOKUP(Table13[[#This Row],[Date]],database!A:F,6,)</f>
        <v/>
      </c>
      <c r="C530" s="66">
        <f>B530/B529-1</f>
        <v/>
      </c>
      <c r="D530" s="66">
        <f>(Table13[[#This Row],[Index]]-B518)/B518</f>
        <v/>
      </c>
    </row>
    <row r="531">
      <c r="A531" s="17" t="n">
        <v>42248</v>
      </c>
      <c r="B531" s="58">
        <f>VLOOKUP(Table13[[#This Row],[Date]],database!A:F,6,)</f>
        <v/>
      </c>
      <c r="C531" s="66">
        <f>B531/B530-1</f>
        <v/>
      </c>
      <c r="D531" s="66">
        <f>(Table13[[#This Row],[Index]]-B519)/B519</f>
        <v/>
      </c>
    </row>
    <row r="532">
      <c r="A532" s="17" t="n">
        <v>42278</v>
      </c>
      <c r="B532" s="58">
        <f>VLOOKUP(Table13[[#This Row],[Date]],database!A:F,6,)</f>
        <v/>
      </c>
      <c r="C532" s="66">
        <f>B532/B531-1</f>
        <v/>
      </c>
      <c r="D532" s="66">
        <f>(Table13[[#This Row],[Index]]-B520)/B520</f>
        <v/>
      </c>
    </row>
    <row r="533">
      <c r="A533" s="17" t="n">
        <v>42309</v>
      </c>
      <c r="B533" s="58">
        <f>VLOOKUP(Table13[[#This Row],[Date]],database!A:F,6,)</f>
        <v/>
      </c>
      <c r="C533" s="66">
        <f>B533/B532-1</f>
        <v/>
      </c>
      <c r="D533" s="66">
        <f>(Table13[[#This Row],[Index]]-B521)/B521</f>
        <v/>
      </c>
    </row>
    <row r="534">
      <c r="A534" s="17" t="n">
        <v>42339</v>
      </c>
      <c r="B534" s="58">
        <f>VLOOKUP(Table13[[#This Row],[Date]],database!A:F,6,)</f>
        <v/>
      </c>
      <c r="C534" s="66">
        <f>B534/B533-1</f>
        <v/>
      </c>
      <c r="D534" s="66">
        <f>(Table13[[#This Row],[Index]]-B522)/B522</f>
        <v/>
      </c>
    </row>
    <row r="535">
      <c r="A535" s="17" t="n">
        <v>42370</v>
      </c>
      <c r="B535" s="58">
        <f>VLOOKUP(Table13[[#This Row],[Date]],database!A:F,6,)</f>
        <v/>
      </c>
      <c r="C535" s="66">
        <f>B535/B534-1</f>
        <v/>
      </c>
      <c r="D535" s="66">
        <f>(Table13[[#This Row],[Index]]-B523)/B523</f>
        <v/>
      </c>
    </row>
    <row r="536">
      <c r="A536" s="17" t="n">
        <v>42401</v>
      </c>
      <c r="B536" s="58">
        <f>VLOOKUP(Table13[[#This Row],[Date]],database!A:F,6,)</f>
        <v/>
      </c>
      <c r="C536" s="66">
        <f>B536/B535-1</f>
        <v/>
      </c>
      <c r="D536" s="66">
        <f>(Table13[[#This Row],[Index]]-B524)/B524</f>
        <v/>
      </c>
    </row>
    <row r="537">
      <c r="A537" s="17" t="n">
        <v>42430</v>
      </c>
      <c r="B537" s="58">
        <f>VLOOKUP(Table13[[#This Row],[Date]],database!A:F,6,)</f>
        <v/>
      </c>
      <c r="C537" s="66">
        <f>B537/B536-1</f>
        <v/>
      </c>
      <c r="D537" s="66">
        <f>(Table13[[#This Row],[Index]]-B525)/B525</f>
        <v/>
      </c>
    </row>
    <row r="538">
      <c r="A538" s="17" t="n">
        <v>42461</v>
      </c>
      <c r="B538" s="58">
        <f>VLOOKUP(Table13[[#This Row],[Date]],database!A:F,6,)</f>
        <v/>
      </c>
      <c r="C538" s="66">
        <f>B538/B537-1</f>
        <v/>
      </c>
      <c r="D538" s="66">
        <f>(Table13[[#This Row],[Index]]-B526)/B526</f>
        <v/>
      </c>
    </row>
    <row r="539">
      <c r="A539" s="17" t="n">
        <v>42491</v>
      </c>
      <c r="B539" s="58">
        <f>VLOOKUP(Table13[[#This Row],[Date]],database!A:F,6,)</f>
        <v/>
      </c>
      <c r="C539" s="66">
        <f>B539/B538-1</f>
        <v/>
      </c>
      <c r="D539" s="66">
        <f>(Table13[[#This Row],[Index]]-B527)/B527</f>
        <v/>
      </c>
    </row>
    <row r="540">
      <c r="A540" s="17" t="n">
        <v>42522</v>
      </c>
      <c r="B540" s="58">
        <f>VLOOKUP(Table13[[#This Row],[Date]],database!A:F,6,)</f>
        <v/>
      </c>
      <c r="C540" s="66">
        <f>B540/B539-1</f>
        <v/>
      </c>
      <c r="D540" s="66">
        <f>(Table13[[#This Row],[Index]]-B528)/B528</f>
        <v/>
      </c>
    </row>
    <row r="541">
      <c r="A541" s="17" t="n">
        <v>42552</v>
      </c>
      <c r="B541" s="58">
        <f>VLOOKUP(Table13[[#This Row],[Date]],database!A:F,6,)</f>
        <v/>
      </c>
      <c r="C541" s="66">
        <f>B541/B540-1</f>
        <v/>
      </c>
      <c r="D541" s="66">
        <f>(Table13[[#This Row],[Index]]-B529)/B529</f>
        <v/>
      </c>
    </row>
    <row r="542">
      <c r="A542" s="17" t="n">
        <v>42583</v>
      </c>
      <c r="B542" s="58">
        <f>VLOOKUP(Table13[[#This Row],[Date]],database!A:F,6,)</f>
        <v/>
      </c>
      <c r="C542" s="66">
        <f>B542/B541-1</f>
        <v/>
      </c>
      <c r="D542" s="66">
        <f>(Table13[[#This Row],[Index]]-B530)/B530</f>
        <v/>
      </c>
    </row>
    <row r="543">
      <c r="A543" s="17" t="n">
        <v>42614</v>
      </c>
      <c r="B543" s="58">
        <f>VLOOKUP(Table13[[#This Row],[Date]],database!A:F,6,)</f>
        <v/>
      </c>
      <c r="C543" s="66">
        <f>B543/B542-1</f>
        <v/>
      </c>
      <c r="D543" s="66">
        <f>(Table13[[#This Row],[Index]]-B531)/B531</f>
        <v/>
      </c>
    </row>
    <row r="544">
      <c r="A544" s="17" t="n">
        <v>42644</v>
      </c>
      <c r="B544" s="58">
        <f>VLOOKUP(Table13[[#This Row],[Date]],database!A:F,6,)</f>
        <v/>
      </c>
      <c r="C544" s="66">
        <f>B544/B543-1</f>
        <v/>
      </c>
      <c r="D544" s="66">
        <f>(Table13[[#This Row],[Index]]-B532)/B532</f>
        <v/>
      </c>
    </row>
    <row r="545">
      <c r="A545" s="17" t="n">
        <v>42675</v>
      </c>
      <c r="B545" s="58">
        <f>VLOOKUP(Table13[[#This Row],[Date]],database!A:F,6,)</f>
        <v/>
      </c>
      <c r="C545" s="66">
        <f>B545/B544-1</f>
        <v/>
      </c>
      <c r="D545" s="66">
        <f>(Table13[[#This Row],[Index]]-B533)/B533</f>
        <v/>
      </c>
    </row>
    <row r="546">
      <c r="A546" s="17" t="n">
        <v>42705</v>
      </c>
      <c r="B546" s="58">
        <f>VLOOKUP(Table13[[#This Row],[Date]],database!A:F,6,)</f>
        <v/>
      </c>
      <c r="C546" s="66">
        <f>B546/B545-1</f>
        <v/>
      </c>
      <c r="D546" s="66">
        <f>(Table13[[#This Row],[Index]]-B534)/B534</f>
        <v/>
      </c>
    </row>
    <row r="547">
      <c r="A547" s="17" t="n">
        <v>42736</v>
      </c>
      <c r="B547" s="58">
        <f>VLOOKUP(Table13[[#This Row],[Date]],database!A:F,6,)</f>
        <v/>
      </c>
      <c r="C547" s="66">
        <f>B547/B546-1</f>
        <v/>
      </c>
      <c r="D547" s="66">
        <f>(Table13[[#This Row],[Index]]-B535)/B535</f>
        <v/>
      </c>
    </row>
    <row r="548">
      <c r="A548" s="17" t="n">
        <v>42767</v>
      </c>
      <c r="B548" s="58">
        <f>VLOOKUP(Table13[[#This Row],[Date]],database!A:F,6,)</f>
        <v/>
      </c>
      <c r="C548" s="66">
        <f>B548/B547-1</f>
        <v/>
      </c>
      <c r="D548" s="66">
        <f>(Table13[[#This Row],[Index]]-B536)/B536</f>
        <v/>
      </c>
    </row>
    <row r="549">
      <c r="A549" s="17" t="n">
        <v>42795</v>
      </c>
      <c r="B549" s="58">
        <f>VLOOKUP(Table13[[#This Row],[Date]],database!A:F,6,)</f>
        <v/>
      </c>
      <c r="C549" s="66">
        <f>B549/B548-1</f>
        <v/>
      </c>
      <c r="D549" s="66">
        <f>(Table13[[#This Row],[Index]]-B537)/B537</f>
        <v/>
      </c>
    </row>
    <row r="550">
      <c r="A550" s="17" t="n">
        <v>42826</v>
      </c>
      <c r="B550" s="58">
        <f>VLOOKUP(Table13[[#This Row],[Date]],database!A:F,6,)</f>
        <v/>
      </c>
      <c r="C550" s="66">
        <f>B550/B549-1</f>
        <v/>
      </c>
      <c r="D550" s="66">
        <f>(Table13[[#This Row],[Index]]-B538)/B538</f>
        <v/>
      </c>
    </row>
    <row r="551">
      <c r="A551" s="17" t="n">
        <v>42856</v>
      </c>
      <c r="B551" s="58">
        <f>VLOOKUP(Table13[[#This Row],[Date]],database!A:F,6,)</f>
        <v/>
      </c>
      <c r="C551" s="66">
        <f>B551/B550-1</f>
        <v/>
      </c>
      <c r="D551" s="66">
        <f>(Table13[[#This Row],[Index]]-B539)/B539</f>
        <v/>
      </c>
    </row>
    <row r="552">
      <c r="A552" s="17" t="n">
        <v>42887</v>
      </c>
      <c r="B552" s="58">
        <f>VLOOKUP(Table13[[#This Row],[Date]],database!A:F,6,)</f>
        <v/>
      </c>
      <c r="C552" s="66">
        <f>B552/B551-1</f>
        <v/>
      </c>
      <c r="D552" s="66">
        <f>(Table13[[#This Row],[Index]]-B540)/B540</f>
        <v/>
      </c>
    </row>
    <row r="553">
      <c r="A553" s="17" t="n">
        <v>42917</v>
      </c>
      <c r="B553" s="58">
        <f>VLOOKUP(Table13[[#This Row],[Date]],database!A:F,6,)</f>
        <v/>
      </c>
      <c r="C553" s="66">
        <f>B553/B552-1</f>
        <v/>
      </c>
      <c r="D553" s="66">
        <f>(Table13[[#This Row],[Index]]-B541)/B541</f>
        <v/>
      </c>
    </row>
    <row r="554">
      <c r="A554" s="17" t="n">
        <v>42948</v>
      </c>
      <c r="B554" s="58">
        <f>VLOOKUP(Table13[[#This Row],[Date]],database!A:F,6,)</f>
        <v/>
      </c>
      <c r="C554" s="66">
        <f>B554/B553-1</f>
        <v/>
      </c>
      <c r="D554" s="66">
        <f>(Table13[[#This Row],[Index]]-B542)/B542</f>
        <v/>
      </c>
    </row>
    <row r="555">
      <c r="A555" s="17" t="n">
        <v>42979</v>
      </c>
      <c r="B555" s="58">
        <f>VLOOKUP(Table13[[#This Row],[Date]],database!A:F,6,)</f>
        <v/>
      </c>
      <c r="C555" s="66">
        <f>B555/B554-1</f>
        <v/>
      </c>
      <c r="D555" s="66">
        <f>(Table13[[#This Row],[Index]]-B543)/B543</f>
        <v/>
      </c>
    </row>
    <row r="556">
      <c r="A556" s="17" t="n">
        <v>43009</v>
      </c>
      <c r="B556" s="58">
        <f>VLOOKUP(Table13[[#This Row],[Date]],database!A:F,6,)</f>
        <v/>
      </c>
      <c r="C556" s="66">
        <f>B556/B555-1</f>
        <v/>
      </c>
      <c r="D556" s="66">
        <f>(Table13[[#This Row],[Index]]-B544)/B544</f>
        <v/>
      </c>
    </row>
    <row r="557">
      <c r="A557" s="17" t="n">
        <v>43040</v>
      </c>
      <c r="B557" s="58">
        <f>VLOOKUP(Table13[[#This Row],[Date]],database!A:F,6,)</f>
        <v/>
      </c>
      <c r="C557" s="66">
        <f>B557/B556-1</f>
        <v/>
      </c>
      <c r="D557" s="66">
        <f>(Table13[[#This Row],[Index]]-B545)/B545</f>
        <v/>
      </c>
    </row>
    <row r="558">
      <c r="A558" s="17" t="n">
        <v>43070</v>
      </c>
      <c r="B558" s="58">
        <f>VLOOKUP(Table13[[#This Row],[Date]],database!A:F,6,)</f>
        <v/>
      </c>
      <c r="C558" s="66">
        <f>B558/B557-1</f>
        <v/>
      </c>
      <c r="D558" s="66">
        <f>(Table13[[#This Row],[Index]]-B546)/B546</f>
        <v/>
      </c>
    </row>
    <row r="559">
      <c r="A559" s="17" t="n">
        <v>43101</v>
      </c>
      <c r="B559" s="58">
        <f>VLOOKUP(Table13[[#This Row],[Date]],database!A:F,6,)</f>
        <v/>
      </c>
      <c r="C559" s="66">
        <f>B559/B558-1</f>
        <v/>
      </c>
      <c r="D559" s="66">
        <f>(Table13[[#This Row],[Index]]-B547)/B547</f>
        <v/>
      </c>
    </row>
    <row r="560">
      <c r="A560" s="17" t="n">
        <v>43132</v>
      </c>
      <c r="B560" s="58">
        <f>VLOOKUP(Table13[[#This Row],[Date]],database!A:F,6,)</f>
        <v/>
      </c>
      <c r="C560" s="66">
        <f>B560/B559-1</f>
        <v/>
      </c>
      <c r="D560" s="66">
        <f>(Table13[[#This Row],[Index]]-B548)/B548</f>
        <v/>
      </c>
    </row>
    <row r="561">
      <c r="A561" s="17" t="n">
        <v>43160</v>
      </c>
      <c r="B561" s="58">
        <f>VLOOKUP(Table13[[#This Row],[Date]],database!A:F,6,)</f>
        <v/>
      </c>
      <c r="C561" s="66">
        <f>B561/B560-1</f>
        <v/>
      </c>
      <c r="D561" s="66">
        <f>(Table13[[#This Row],[Index]]-B549)/B549</f>
        <v/>
      </c>
    </row>
    <row r="562">
      <c r="A562" s="17" t="n">
        <v>43191</v>
      </c>
      <c r="B562" s="58">
        <f>VLOOKUP(Table13[[#This Row],[Date]],database!A:F,6,)</f>
        <v/>
      </c>
      <c r="C562" s="66">
        <f>B562/B561-1</f>
        <v/>
      </c>
      <c r="D562" s="66">
        <f>(Table13[[#This Row],[Index]]-B550)/B550</f>
        <v/>
      </c>
    </row>
    <row r="563">
      <c r="A563" s="17" t="n">
        <v>43221</v>
      </c>
      <c r="B563" s="58">
        <f>VLOOKUP(Table13[[#This Row],[Date]],database!A:F,6,)</f>
        <v/>
      </c>
      <c r="C563" s="66">
        <f>B563/B562-1</f>
        <v/>
      </c>
      <c r="D563" s="66">
        <f>(Table13[[#This Row],[Index]]-B551)/B551</f>
        <v/>
      </c>
    </row>
    <row r="564">
      <c r="A564" s="17" t="n">
        <v>43252</v>
      </c>
      <c r="B564" s="58">
        <f>VLOOKUP(Table13[[#This Row],[Date]],database!A:F,6,)</f>
        <v/>
      </c>
      <c r="C564" s="66">
        <f>B564/B563-1</f>
        <v/>
      </c>
      <c r="D564" s="66">
        <f>(Table13[[#This Row],[Index]]-B552)/B552</f>
        <v/>
      </c>
    </row>
    <row r="565">
      <c r="A565" s="17" t="n">
        <v>43282</v>
      </c>
      <c r="B565" s="58">
        <f>VLOOKUP(Table13[[#This Row],[Date]],database!A:F,6,)</f>
        <v/>
      </c>
      <c r="C565" s="66">
        <f>B565/B564-1</f>
        <v/>
      </c>
      <c r="D565" s="66">
        <f>(Table13[[#This Row],[Index]]-B553)/B553</f>
        <v/>
      </c>
    </row>
    <row r="566">
      <c r="A566" s="17" t="n">
        <v>43313</v>
      </c>
      <c r="B566" s="58">
        <f>VLOOKUP(Table13[[#This Row],[Date]],database!A:F,6,)</f>
        <v/>
      </c>
      <c r="C566" s="66">
        <f>B566/B565-1</f>
        <v/>
      </c>
      <c r="D566" s="66">
        <f>(Table13[[#This Row],[Index]]-B554)/B554</f>
        <v/>
      </c>
    </row>
    <row r="567">
      <c r="A567" s="17" t="n">
        <v>43344</v>
      </c>
      <c r="B567" s="58">
        <f>VLOOKUP(Table13[[#This Row],[Date]],database!A:F,6,)</f>
        <v/>
      </c>
      <c r="C567" s="66">
        <f>B567/B566-1</f>
        <v/>
      </c>
      <c r="D567" s="66">
        <f>(Table13[[#This Row],[Index]]-B555)/B555</f>
        <v/>
      </c>
    </row>
    <row r="568">
      <c r="A568" s="17" t="n">
        <v>43374</v>
      </c>
      <c r="B568" s="58">
        <f>VLOOKUP(Table13[[#This Row],[Date]],database!A:F,6,)</f>
        <v/>
      </c>
      <c r="C568" s="66">
        <f>B568/B567-1</f>
        <v/>
      </c>
      <c r="D568" s="66">
        <f>(Table13[[#This Row],[Index]]-B556)/B556</f>
        <v/>
      </c>
    </row>
    <row r="569">
      <c r="A569" s="17" t="n">
        <v>43405</v>
      </c>
      <c r="B569" s="58">
        <f>VLOOKUP(Table13[[#This Row],[Date]],database!A:F,6,)</f>
        <v/>
      </c>
      <c r="C569" s="66">
        <f>B569/B568-1</f>
        <v/>
      </c>
      <c r="D569" s="66">
        <f>(Table13[[#This Row],[Index]]-B557)/B557</f>
        <v/>
      </c>
    </row>
    <row r="570">
      <c r="A570" s="17" t="n">
        <v>43435</v>
      </c>
      <c r="B570" s="58">
        <f>VLOOKUP(Table13[[#This Row],[Date]],database!A:F,6,)</f>
        <v/>
      </c>
      <c r="C570" s="66">
        <f>B570/B569-1</f>
        <v/>
      </c>
      <c r="D570" s="66">
        <f>(Table13[[#This Row],[Index]]-B558)/B558</f>
        <v/>
      </c>
    </row>
    <row r="571">
      <c r="A571" s="17" t="n">
        <v>43466</v>
      </c>
      <c r="B571" s="58">
        <f>VLOOKUP(Table13[[#This Row],[Date]],database!A:F,6,)</f>
        <v/>
      </c>
      <c r="C571" s="66">
        <f>B571/B570-1</f>
        <v/>
      </c>
      <c r="D571" s="66">
        <f>(Table13[[#This Row],[Index]]-B559)/B559</f>
        <v/>
      </c>
    </row>
    <row r="572">
      <c r="A572" s="17" t="n">
        <v>43497</v>
      </c>
      <c r="B572" s="58">
        <f>VLOOKUP(Table13[[#This Row],[Date]],database!A:F,6,)</f>
        <v/>
      </c>
      <c r="C572" s="66">
        <f>B572/B571-1</f>
        <v/>
      </c>
      <c r="D572" s="66">
        <f>(Table13[[#This Row],[Index]]-B560)/B560</f>
        <v/>
      </c>
    </row>
    <row r="573">
      <c r="A573" s="17" t="n">
        <v>43525</v>
      </c>
      <c r="B573" s="58">
        <f>VLOOKUP(Table13[[#This Row],[Date]],database!A:F,6,)</f>
        <v/>
      </c>
      <c r="C573" s="66">
        <f>B573/B572-1</f>
        <v/>
      </c>
      <c r="D573" s="66">
        <f>(Table13[[#This Row],[Index]]-B561)/B561</f>
        <v/>
      </c>
    </row>
    <row r="574">
      <c r="A574" s="17" t="n">
        <v>43556</v>
      </c>
      <c r="B574" s="58">
        <f>VLOOKUP(Table13[[#This Row],[Date]],database!A:F,6,)</f>
        <v/>
      </c>
      <c r="C574" s="66">
        <f>B574/B573-1</f>
        <v/>
      </c>
      <c r="D574" s="66">
        <f>(Table13[[#This Row],[Index]]-B562)/B562</f>
        <v/>
      </c>
    </row>
    <row r="575">
      <c r="A575" s="17" t="n">
        <v>43586</v>
      </c>
      <c r="B575" s="58">
        <f>VLOOKUP(Table13[[#This Row],[Date]],database!A:F,6,)</f>
        <v/>
      </c>
      <c r="C575" s="66">
        <f>B575/B574-1</f>
        <v/>
      </c>
      <c r="D575" s="66">
        <f>(Table13[[#This Row],[Index]]-B563)/B563</f>
        <v/>
      </c>
    </row>
    <row r="576">
      <c r="A576" s="17" t="n">
        <v>43617</v>
      </c>
      <c r="B576" s="58">
        <f>VLOOKUP(Table13[[#This Row],[Date]],database!A:F,6,)</f>
        <v/>
      </c>
      <c r="C576" s="66">
        <f>B576/B575-1</f>
        <v/>
      </c>
      <c r="D576" s="66">
        <f>(Table13[[#This Row],[Index]]-B564)/B564</f>
        <v/>
      </c>
    </row>
    <row r="577">
      <c r="A577" s="17" t="n">
        <v>43647</v>
      </c>
      <c r="B577" s="58">
        <f>VLOOKUP(Table13[[#This Row],[Date]],database!A:F,6,)</f>
        <v/>
      </c>
      <c r="C577" s="66">
        <f>B577/B576-1</f>
        <v/>
      </c>
      <c r="D577" s="66">
        <f>(Table13[[#This Row],[Index]]-B565)/B565</f>
        <v/>
      </c>
    </row>
    <row r="578">
      <c r="A578" s="17" t="n">
        <v>43678</v>
      </c>
      <c r="B578" s="58">
        <f>VLOOKUP(Table13[[#This Row],[Date]],database!A:F,6,)</f>
        <v/>
      </c>
      <c r="C578" s="66">
        <f>B578/B577-1</f>
        <v/>
      </c>
      <c r="D578" s="66">
        <f>(Table13[[#This Row],[Index]]-B566)/B566</f>
        <v/>
      </c>
    </row>
    <row r="579">
      <c r="A579" s="17" t="n">
        <v>43709</v>
      </c>
      <c r="B579" s="58">
        <f>VLOOKUP(Table13[[#This Row],[Date]],database!A:F,6,)</f>
        <v/>
      </c>
      <c r="C579" s="66">
        <f>B579/B578-1</f>
        <v/>
      </c>
      <c r="D579" s="66">
        <f>(Table13[[#This Row],[Index]]-B567)/B567</f>
        <v/>
      </c>
    </row>
    <row r="580">
      <c r="A580" s="17" t="n">
        <v>43739</v>
      </c>
      <c r="B580" s="58">
        <f>VLOOKUP(Table13[[#This Row],[Date]],database!A:F,6,)</f>
        <v/>
      </c>
      <c r="C580" s="66">
        <f>B580/B579-1</f>
        <v/>
      </c>
      <c r="D580" s="66">
        <f>(Table13[[#This Row],[Index]]-B568)/B568</f>
        <v/>
      </c>
    </row>
    <row r="581">
      <c r="A581" s="17" t="n">
        <v>43770</v>
      </c>
      <c r="B581" s="58">
        <f>VLOOKUP(Table13[[#This Row],[Date]],database!A:F,6,)</f>
        <v/>
      </c>
      <c r="C581" s="66">
        <f>B581/B580-1</f>
        <v/>
      </c>
      <c r="D581" s="66">
        <f>(Table13[[#This Row],[Index]]-B569)/B569</f>
        <v/>
      </c>
    </row>
    <row r="582">
      <c r="A582" s="17" t="n">
        <v>43800</v>
      </c>
      <c r="B582" s="58">
        <f>VLOOKUP(Table13[[#This Row],[Date]],database!A:F,6,)</f>
        <v/>
      </c>
      <c r="C582" s="66">
        <f>B582/B581-1</f>
        <v/>
      </c>
      <c r="D582" s="66">
        <f>(Table13[[#This Row],[Index]]-B570)/B570</f>
        <v/>
      </c>
    </row>
    <row r="583">
      <c r="A583" s="17" t="n">
        <v>43831</v>
      </c>
      <c r="B583" s="58">
        <f>VLOOKUP(Table13[[#This Row],[Date]],database!A:F,6,)</f>
        <v/>
      </c>
      <c r="C583" s="66">
        <f>B583/B582-1</f>
        <v/>
      </c>
      <c r="D583" s="66">
        <f>(Table13[[#This Row],[Index]]-B571)/B571</f>
        <v/>
      </c>
    </row>
    <row r="584">
      <c r="A584" s="17" t="n">
        <v>43862</v>
      </c>
      <c r="B584" s="58">
        <f>VLOOKUP(Table13[[#This Row],[Date]],database!A:F,6,)</f>
        <v/>
      </c>
      <c r="C584" s="66">
        <f>B584/B583-1</f>
        <v/>
      </c>
      <c r="D584" s="66">
        <f>(Table13[[#This Row],[Index]]-B572)/B572</f>
        <v/>
      </c>
    </row>
    <row r="585">
      <c r="A585" s="17" t="n">
        <v>43891</v>
      </c>
      <c r="B585" s="58">
        <f>VLOOKUP(Table13[[#This Row],[Date]],database!A:F,6,)</f>
        <v/>
      </c>
      <c r="C585" s="66">
        <f>B585/B584-1</f>
        <v/>
      </c>
      <c r="D585" s="66">
        <f>(Table13[[#This Row],[Index]]-B573)/B573</f>
        <v/>
      </c>
    </row>
    <row r="586">
      <c r="A586" s="17" t="n">
        <v>43922</v>
      </c>
      <c r="B586" s="58">
        <f>VLOOKUP(Table13[[#This Row],[Date]],database!A:F,6,)</f>
        <v/>
      </c>
      <c r="C586" s="66">
        <f>B586/B585-1</f>
        <v/>
      </c>
      <c r="D586" s="66">
        <f>(Table13[[#This Row],[Index]]-B574)/B574</f>
        <v/>
      </c>
    </row>
    <row r="587">
      <c r="A587" s="17" t="n">
        <v>43952</v>
      </c>
      <c r="B587" s="58">
        <f>VLOOKUP(Table13[[#This Row],[Date]],database!A:F,6,)</f>
        <v/>
      </c>
      <c r="C587" s="66">
        <f>B587/B586-1</f>
        <v/>
      </c>
      <c r="D587" s="66">
        <f>(Table13[[#This Row],[Index]]-B575)/B575</f>
        <v/>
      </c>
    </row>
    <row r="588">
      <c r="A588" s="17" t="n">
        <v>43983</v>
      </c>
      <c r="B588" s="58">
        <f>VLOOKUP(Table13[[#This Row],[Date]],database!A:F,6,)</f>
        <v/>
      </c>
      <c r="C588" s="66">
        <f>B588/B587-1</f>
        <v/>
      </c>
      <c r="D588" s="66">
        <f>(Table13[[#This Row],[Index]]-B576)/B576</f>
        <v/>
      </c>
    </row>
    <row r="589">
      <c r="A589" s="17" t="n">
        <v>44013</v>
      </c>
      <c r="B589" s="58">
        <f>VLOOKUP(Table13[[#This Row],[Date]],database!A:F,6,)</f>
        <v/>
      </c>
      <c r="C589" s="66">
        <f>B589/B588-1</f>
        <v/>
      </c>
      <c r="D589" s="66">
        <f>(Table13[[#This Row],[Index]]-B577)/B577</f>
        <v/>
      </c>
    </row>
    <row r="590">
      <c r="A590" s="17" t="n">
        <v>44044</v>
      </c>
      <c r="B590" s="58">
        <f>VLOOKUP(Table13[[#This Row],[Date]],database!A:F,6,)</f>
        <v/>
      </c>
      <c r="C590" s="66">
        <f>B590/B589-1</f>
        <v/>
      </c>
      <c r="D590" s="66">
        <f>(Table13[[#This Row],[Index]]-B578)/B578</f>
        <v/>
      </c>
    </row>
    <row r="591">
      <c r="A591" s="17" t="n">
        <v>44075</v>
      </c>
      <c r="B591" s="58">
        <f>VLOOKUP(Table13[[#This Row],[Date]],database!A:F,6,)</f>
        <v/>
      </c>
      <c r="C591" s="66">
        <f>B591/B590-1</f>
        <v/>
      </c>
      <c r="D591" s="66">
        <f>(Table13[[#This Row],[Index]]-B579)/B579</f>
        <v/>
      </c>
    </row>
    <row r="592">
      <c r="A592" s="17" t="n">
        <v>44105</v>
      </c>
      <c r="B592" s="58">
        <f>VLOOKUP(Table13[[#This Row],[Date]],database!A:F,6,)</f>
        <v/>
      </c>
      <c r="C592" s="66">
        <f>B592/B591-1</f>
        <v/>
      </c>
      <c r="D592" s="66">
        <f>(Table13[[#This Row],[Index]]-B580)/B580</f>
        <v/>
      </c>
    </row>
    <row r="593">
      <c r="A593" s="17" t="n">
        <v>44136</v>
      </c>
      <c r="B593" s="58">
        <f>VLOOKUP(Table13[[#This Row],[Date]],database!A:F,6,)</f>
        <v/>
      </c>
      <c r="C593" s="66">
        <f>B593/B592-1</f>
        <v/>
      </c>
      <c r="D593" s="66">
        <f>(Table13[[#This Row],[Index]]-B581)/B581</f>
        <v/>
      </c>
    </row>
    <row r="594">
      <c r="A594" s="17" t="n">
        <v>44166</v>
      </c>
      <c r="B594" s="58">
        <f>VLOOKUP(Table13[[#This Row],[Date]],database!A:F,6,)</f>
        <v/>
      </c>
      <c r="C594" s="66">
        <f>B594/B593-1</f>
        <v/>
      </c>
      <c r="D594" s="66">
        <f>(Table13[[#This Row],[Index]]-B582)/B582</f>
        <v/>
      </c>
    </row>
    <row r="595">
      <c r="A595" s="17" t="n">
        <v>44197</v>
      </c>
      <c r="B595" s="58">
        <f>VLOOKUP(Table13[[#This Row],[Date]],database!A:F,6,)</f>
        <v/>
      </c>
      <c r="C595" s="66">
        <f>B595/B594-1</f>
        <v/>
      </c>
      <c r="D595" s="66">
        <f>(Table13[[#This Row],[Index]]-B583)/B583</f>
        <v/>
      </c>
    </row>
    <row r="596">
      <c r="A596" s="17" t="n">
        <v>44228</v>
      </c>
      <c r="B596" s="58">
        <f>VLOOKUP(Table13[[#This Row],[Date]],database!A:F,6,)</f>
        <v/>
      </c>
      <c r="C596" s="66">
        <f>B596/B595-1</f>
        <v/>
      </c>
      <c r="D596" s="66">
        <f>(Table13[[#This Row],[Index]]-B584)/B584</f>
        <v/>
      </c>
    </row>
    <row r="597">
      <c r="A597" s="17" t="n">
        <v>44256</v>
      </c>
      <c r="B597" s="58">
        <f>VLOOKUP(Table13[[#This Row],[Date]],database!A:F,6,)</f>
        <v/>
      </c>
      <c r="C597" s="66">
        <f>B597/B596-1</f>
        <v/>
      </c>
      <c r="D597" s="66">
        <f>(Table13[[#This Row],[Index]]-B585)/B585</f>
        <v/>
      </c>
    </row>
    <row r="598">
      <c r="A598" s="17" t="n">
        <v>44287</v>
      </c>
      <c r="B598" s="58">
        <f>VLOOKUP(Table13[[#This Row],[Date]],database!A:F,6,)</f>
        <v/>
      </c>
      <c r="C598" s="66">
        <f>B598/B597-1</f>
        <v/>
      </c>
      <c r="D598" s="66">
        <f>(Table13[[#This Row],[Index]]-B586)/B586</f>
        <v/>
      </c>
    </row>
    <row r="599">
      <c r="A599" s="17" t="n">
        <v>44317</v>
      </c>
      <c r="B599" s="58">
        <f>VLOOKUP(Table13[[#This Row],[Date]],database!A:F,6,)</f>
        <v/>
      </c>
      <c r="C599" s="66">
        <f>B599/B598-1</f>
        <v/>
      </c>
      <c r="D599" s="66">
        <f>(Table13[[#This Row],[Index]]-B587)/B587</f>
        <v/>
      </c>
    </row>
    <row r="600">
      <c r="A600" s="17" t="n">
        <v>44348</v>
      </c>
      <c r="B600" s="58">
        <f>VLOOKUP(Table13[[#This Row],[Date]],database!A:F,6,)</f>
        <v/>
      </c>
      <c r="C600" s="66">
        <f>B600/B599-1</f>
        <v/>
      </c>
      <c r="D600" s="66">
        <f>(Table13[[#This Row],[Index]]-B588)/B588</f>
        <v/>
      </c>
    </row>
    <row r="601">
      <c r="A601" s="17" t="n">
        <v>44378</v>
      </c>
      <c r="B601" s="58">
        <f>VLOOKUP(Table13[[#This Row],[Date]],database!A:F,6,)</f>
        <v/>
      </c>
      <c r="C601" s="66">
        <f>B601/B600-1</f>
        <v/>
      </c>
      <c r="D601" s="66">
        <f>(Table13[[#This Row],[Index]]-B589)/B589</f>
        <v/>
      </c>
    </row>
    <row r="602">
      <c r="A602" s="17" t="n">
        <v>44409</v>
      </c>
      <c r="B602" s="58">
        <f>VLOOKUP(Table13[[#This Row],[Date]],database!A:F,6,)</f>
        <v/>
      </c>
      <c r="C602" s="66">
        <f>B602/B601-1</f>
        <v/>
      </c>
      <c r="D602" s="66">
        <f>(Table13[[#This Row],[Index]]-B590)/B590</f>
        <v/>
      </c>
    </row>
    <row r="603">
      <c r="A603" s="17" t="n">
        <v>44440</v>
      </c>
      <c r="B603" s="58">
        <f>VLOOKUP(Table13[[#This Row],[Date]],database!A:F,6,)</f>
        <v/>
      </c>
      <c r="C603" s="66">
        <f>B603/B602-1</f>
        <v/>
      </c>
      <c r="D603" s="66">
        <f>(Table13[[#This Row],[Index]]-B591)/B591</f>
        <v/>
      </c>
    </row>
    <row r="604">
      <c r="A604" s="17" t="n">
        <v>44470</v>
      </c>
      <c r="B604" s="58">
        <f>VLOOKUP(Table13[[#This Row],[Date]],database!A:F,6,)</f>
        <v/>
      </c>
      <c r="C604" s="66">
        <f>B604/B603-1</f>
        <v/>
      </c>
      <c r="D604" s="66">
        <f>(Table13[[#This Row],[Index]]-B592)/B592</f>
        <v/>
      </c>
    </row>
    <row r="605">
      <c r="A605" s="17" t="n">
        <v>44501</v>
      </c>
      <c r="B605" s="58">
        <f>VLOOKUP(Table13[[#This Row],[Date]],database!A:F,6,)</f>
        <v/>
      </c>
      <c r="C605" s="66">
        <f>B605/B604-1</f>
        <v/>
      </c>
      <c r="D605" s="66">
        <f>(Table13[[#This Row],[Index]]-B593)/B593</f>
        <v/>
      </c>
    </row>
    <row r="606">
      <c r="A606" s="17" t="n">
        <v>44531</v>
      </c>
      <c r="B606" s="58">
        <f>VLOOKUP(Table13[[#This Row],[Date]],database!A:F,6,)</f>
        <v/>
      </c>
      <c r="C606" s="66">
        <f>B606/B605-1</f>
        <v/>
      </c>
      <c r="D606" s="66">
        <f>(Table13[[#This Row],[Index]]-B594)/B594</f>
        <v/>
      </c>
    </row>
    <row r="607">
      <c r="A607" s="17" t="n">
        <v>44562</v>
      </c>
      <c r="B607" s="58">
        <f>VLOOKUP(Table13[[#This Row],[Date]],database!A:F,6,)</f>
        <v/>
      </c>
      <c r="C607" s="66">
        <f>B607/B606-1</f>
        <v/>
      </c>
      <c r="D607" s="66">
        <f>(Table13[[#This Row],[Index]]-B595)/B595</f>
        <v/>
      </c>
    </row>
    <row r="608">
      <c r="A608" s="17" t="n">
        <v>44593</v>
      </c>
      <c r="B608" s="58">
        <f>VLOOKUP(Table13[[#This Row],[Date]],database!A:F,6,)</f>
        <v/>
      </c>
      <c r="C608" s="66">
        <f>B608/B607-1</f>
        <v/>
      </c>
      <c r="D608" s="66">
        <f>(Table13[[#This Row],[Index]]-B596)/B596</f>
        <v/>
      </c>
    </row>
    <row r="609">
      <c r="A609" s="17" t="n">
        <v>44621</v>
      </c>
      <c r="B609" s="58">
        <f>VLOOKUP(Table13[[#This Row],[Date]],database!A:F,6,)</f>
        <v/>
      </c>
      <c r="C609" s="66">
        <f>B609/B608-1</f>
        <v/>
      </c>
      <c r="D609" s="66">
        <f>(Table13[[#This Row],[Index]]-B597)/B597</f>
        <v/>
      </c>
    </row>
    <row r="610">
      <c r="A610" s="17" t="n">
        <v>44652</v>
      </c>
      <c r="B610" s="58">
        <f>VLOOKUP(Table13[[#This Row],[Date]],database!A:F,6,)</f>
        <v/>
      </c>
      <c r="C610" s="66">
        <f>B610/B609-1</f>
        <v/>
      </c>
      <c r="D610" s="66">
        <f>(Table13[[#This Row],[Index]]-B598)/B598</f>
        <v/>
      </c>
    </row>
    <row r="611">
      <c r="A611" s="17" t="n">
        <v>44682</v>
      </c>
      <c r="B611" s="58">
        <f>VLOOKUP(Table13[[#This Row],[Date]],database!A:F,6,)</f>
        <v/>
      </c>
      <c r="C611" s="66">
        <f>B611/B610-1</f>
        <v/>
      </c>
      <c r="D611" s="66">
        <f>(Table13[[#This Row],[Index]]-B599)/B599</f>
        <v/>
      </c>
    </row>
    <row r="612">
      <c r="A612" s="17" t="n">
        <v>44713</v>
      </c>
      <c r="B612" s="58">
        <f>VLOOKUP(Table13[[#This Row],[Date]],database!A:F,6,)</f>
        <v/>
      </c>
      <c r="C612" s="66">
        <f>B612/B611-1</f>
        <v/>
      </c>
      <c r="D612" s="66">
        <f>(Table13[[#This Row],[Index]]-B600)/B600</f>
        <v/>
      </c>
    </row>
    <row r="613">
      <c r="A613" s="17" t="n">
        <v>44743</v>
      </c>
      <c r="B613" s="58">
        <f>VLOOKUP(Table13[[#This Row],[Date]],database!A:F,6,)</f>
        <v/>
      </c>
      <c r="C613" s="66">
        <f>B613/B612-1</f>
        <v/>
      </c>
      <c r="D613" s="66">
        <f>(Table13[[#This Row],[Index]]-B601)/B601</f>
        <v/>
      </c>
    </row>
    <row r="614">
      <c r="A614" s="17" t="n">
        <v>44774</v>
      </c>
      <c r="B614" s="58">
        <f>VLOOKUP(Table13[[#This Row],[Date]],database!A:F,6,)</f>
        <v/>
      </c>
      <c r="C614" s="66">
        <f>B614/B613-1</f>
        <v/>
      </c>
      <c r="D614" s="66">
        <f>(Table13[[#This Row],[Index]]-B602)/B602</f>
        <v/>
      </c>
    </row>
    <row r="615">
      <c r="A615" s="17" t="n">
        <v>44805</v>
      </c>
      <c r="B615" s="58">
        <f>VLOOKUP(Table13[[#This Row],[Date]],database!A:F,6,)</f>
        <v/>
      </c>
      <c r="C615" s="66">
        <f>B615/B614-1</f>
        <v/>
      </c>
      <c r="D615" s="66">
        <f>(Table13[[#This Row],[Index]]-B603)/B603</f>
        <v/>
      </c>
    </row>
    <row r="616">
      <c r="A616" s="17" t="n">
        <v>44835</v>
      </c>
      <c r="B616" s="58">
        <f>VLOOKUP(Table13[[#This Row],[Date]],database!A:F,6,)</f>
        <v/>
      </c>
      <c r="C616" s="66">
        <f>B616/B615-1</f>
        <v/>
      </c>
      <c r="D616" s="66">
        <f>(Table13[[#This Row],[Index]]-B604)/B604</f>
        <v/>
      </c>
    </row>
    <row r="617">
      <c r="A617" s="17" t="n">
        <v>44866</v>
      </c>
      <c r="B617" s="58">
        <f>VLOOKUP(Table13[[#This Row],[Date]],database!A:F,6,)</f>
        <v/>
      </c>
      <c r="C617" s="66">
        <f>B617/B616-1</f>
        <v/>
      </c>
      <c r="D617" s="66">
        <f>(Table13[[#This Row],[Index]]-B605)/B605</f>
        <v/>
      </c>
    </row>
    <row r="618">
      <c r="A618" s="17" t="n">
        <v>44896</v>
      </c>
      <c r="B618" s="58">
        <f>VLOOKUP(Table13[[#This Row],[Date]],database!A:F,6,)</f>
        <v/>
      </c>
      <c r="C618" s="66">
        <f>B618/B617-1</f>
        <v/>
      </c>
      <c r="D618" s="66">
        <f>(Table13[[#This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8"/>
  <sheetViews>
    <sheetView zoomScale="120" zoomScaleNormal="120" workbookViewId="0">
      <pane ySplit="6" topLeftCell="A590" activePane="bottomLeft" state="frozen"/>
      <selection activeCell="J582" sqref="J582"/>
      <selection pane="bottomLeft" activeCell="A611" sqref="A611: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IPMINE</t>
        </is>
      </c>
      <c r="B1" s="79" t="n"/>
      <c r="C1" s="79" t="n"/>
      <c r="S1" s="20" t="inlineStr">
        <is>
          <t>Industrial Production: Mining</t>
        </is>
      </c>
      <c r="T1" s="62" t="inlineStr">
        <is>
          <t xml:space="preserve"> since 2010 </t>
        </is>
      </c>
      <c r="U1" s="79">
        <f>S1&amp;T1</f>
        <v/>
      </c>
      <c r="Y1" s="60">
        <f>U4&amp; T1</f>
        <v/>
      </c>
    </row>
    <row r="2">
      <c r="A2" s="15" t="n"/>
      <c r="B2" s="79" t="n"/>
      <c r="C2" s="79" t="n"/>
      <c r="S2" s="20" t="n"/>
      <c r="T2" s="62" t="n"/>
      <c r="Y2" s="60" t="n"/>
    </row>
    <row r="3">
      <c r="A3" s="15" t="n"/>
      <c r="B3" s="79" t="n"/>
      <c r="C3" s="79" t="n"/>
      <c r="S3" s="20" t="n"/>
      <c r="T3" s="62" t="n"/>
      <c r="Y3" s="60" t="n"/>
    </row>
    <row r="4">
      <c r="A4" s="16" t="n"/>
      <c r="B4" s="79" t="n"/>
      <c r="C4" s="79" t="n"/>
      <c r="S4" s="55" t="n"/>
      <c r="T4" s="62" t="n"/>
      <c r="U4" s="79">
        <f>S1&amp;Table134[[#Headers],[ yoy]]</f>
        <v/>
      </c>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VLOOKUP(Table134[[#This Row],[Date]],database!A:I,8,)</f>
        <v/>
      </c>
      <c r="C7" s="66" t="n"/>
      <c r="D7" s="66" t="n"/>
    </row>
    <row r="8">
      <c r="A8" s="17" t="n">
        <v>26330</v>
      </c>
      <c r="B8" s="58">
        <f>VLOOKUP(Table134[[#This Row],[Date]],database!A:I,8,)</f>
        <v/>
      </c>
      <c r="C8" s="66">
        <f>B8/B7-1</f>
        <v/>
      </c>
      <c r="D8" s="66" t="n"/>
    </row>
    <row r="9">
      <c r="A9" s="17" t="n">
        <v>26359</v>
      </c>
      <c r="B9" s="58">
        <f>VLOOKUP(Table134[[#This Row],[Date]],database!A:I,8,)</f>
        <v/>
      </c>
      <c r="C9" s="66">
        <f>B9/B8-1</f>
        <v/>
      </c>
      <c r="D9" s="66" t="n"/>
    </row>
    <row r="10">
      <c r="A10" s="17" t="n">
        <v>26390</v>
      </c>
      <c r="B10" s="58">
        <f>VLOOKUP(Table134[[#This Row],[Date]],database!A:I,8,)</f>
        <v/>
      </c>
      <c r="C10" s="66">
        <f>B10/B9-1</f>
        <v/>
      </c>
      <c r="D10" s="66" t="n"/>
    </row>
    <row r="11">
      <c r="A11" s="17" t="n">
        <v>26420</v>
      </c>
      <c r="B11" s="58">
        <f>VLOOKUP(Table134[[#This Row],[Date]],database!A:I,8,)</f>
        <v/>
      </c>
      <c r="C11" s="66">
        <f>B11/B10-1</f>
        <v/>
      </c>
      <c r="D11" s="66" t="n"/>
    </row>
    <row r="12">
      <c r="A12" s="17" t="n">
        <v>26451</v>
      </c>
      <c r="B12" s="58">
        <f>VLOOKUP(Table134[[#This Row],[Date]],database!A:I,8,)</f>
        <v/>
      </c>
      <c r="C12" s="66">
        <f>B12/B11-1</f>
        <v/>
      </c>
      <c r="D12" s="66" t="n"/>
    </row>
    <row r="13">
      <c r="A13" s="17" t="n">
        <v>26481</v>
      </c>
      <c r="B13" s="58">
        <f>VLOOKUP(Table134[[#This Row],[Date]],database!A:I,8,)</f>
        <v/>
      </c>
      <c r="C13" s="66">
        <f>B13/B12-1</f>
        <v/>
      </c>
      <c r="D13" s="66" t="n"/>
    </row>
    <row r="14">
      <c r="A14" s="17" t="n">
        <v>26512</v>
      </c>
      <c r="B14" s="58">
        <f>VLOOKUP(Table134[[#This Row],[Date]],database!A:I,8,)</f>
        <v/>
      </c>
      <c r="C14" s="66">
        <f>B14/B13-1</f>
        <v/>
      </c>
      <c r="D14" s="66" t="n"/>
    </row>
    <row r="15">
      <c r="A15" s="17" t="n">
        <v>26543</v>
      </c>
      <c r="B15" s="58">
        <f>VLOOKUP(Table134[[#This Row],[Date]],database!A:I,8,)</f>
        <v/>
      </c>
      <c r="C15" s="66">
        <f>B15/B14-1</f>
        <v/>
      </c>
      <c r="D15" s="66" t="n"/>
    </row>
    <row r="16">
      <c r="A16" s="17" t="n">
        <v>26573</v>
      </c>
      <c r="B16" s="58">
        <f>VLOOKUP(Table134[[#This Row],[Date]],database!A:I,8,)</f>
        <v/>
      </c>
      <c r="C16" s="66">
        <f>B16/B15-1</f>
        <v/>
      </c>
      <c r="D16" s="66" t="n"/>
    </row>
    <row r="17">
      <c r="A17" s="17" t="n">
        <v>26604</v>
      </c>
      <c r="B17" s="58">
        <f>VLOOKUP(Table134[[#This Row],[Date]],database!A:I,8,)</f>
        <v/>
      </c>
      <c r="C17" s="66">
        <f>B17/B16-1</f>
        <v/>
      </c>
      <c r="D17" s="66" t="n"/>
    </row>
    <row r="18">
      <c r="A18" s="17" t="n">
        <v>26634</v>
      </c>
      <c r="B18" s="58">
        <f>VLOOKUP(Table134[[#This Row],[Date]],database!A:I,8,)</f>
        <v/>
      </c>
      <c r="C18" s="66">
        <f>B18/B17-1</f>
        <v/>
      </c>
      <c r="D18" s="66" t="n"/>
    </row>
    <row r="19">
      <c r="A19" s="17" t="n">
        <v>26665</v>
      </c>
      <c r="B19" s="58">
        <f>VLOOKUP(Table134[[#This Row],[Date]],database!A:I,8,)</f>
        <v/>
      </c>
      <c r="C19" s="66">
        <f>B19/B18-1</f>
        <v/>
      </c>
      <c r="D19" s="66" t="n"/>
    </row>
    <row r="20">
      <c r="A20" s="17" t="n">
        <v>26696</v>
      </c>
      <c r="B20" s="58">
        <f>VLOOKUP(Table134[[#This Row],[Date]],database!A:I,8,)</f>
        <v/>
      </c>
      <c r="C20" s="66">
        <f>B20/B19-1</f>
        <v/>
      </c>
      <c r="D20" s="66">
        <f>(Table134[[#This Row],[Index]]-B8)/B8</f>
        <v/>
      </c>
    </row>
    <row r="21">
      <c r="A21" s="17" t="n">
        <v>26724</v>
      </c>
      <c r="B21" s="58">
        <f>VLOOKUP(Table134[[#This Row],[Date]],database!A:I,8,)</f>
        <v/>
      </c>
      <c r="C21" s="66">
        <f>B21/B20-1</f>
        <v/>
      </c>
      <c r="D21" s="66">
        <f>(Table134[[#This Row],[Index]]-B9)/B9</f>
        <v/>
      </c>
    </row>
    <row r="22">
      <c r="A22" s="17" t="n">
        <v>26755</v>
      </c>
      <c r="B22" s="58">
        <f>VLOOKUP(Table134[[#This Row],[Date]],database!A:I,8,)</f>
        <v/>
      </c>
      <c r="C22" s="66">
        <f>B22/B21-1</f>
        <v/>
      </c>
      <c r="D22" s="66">
        <f>(Table134[[#This Row],[Index]]-B10)/B10</f>
        <v/>
      </c>
    </row>
    <row r="23">
      <c r="A23" s="17" t="n">
        <v>26785</v>
      </c>
      <c r="B23" s="58">
        <f>VLOOKUP(Table134[[#This Row],[Date]],database!A:I,8,)</f>
        <v/>
      </c>
      <c r="C23" s="66">
        <f>B23/B22-1</f>
        <v/>
      </c>
      <c r="D23" s="66">
        <f>(Table134[[#This Row],[Index]]-B11)/B11</f>
        <v/>
      </c>
    </row>
    <row r="24">
      <c r="A24" s="17" t="n">
        <v>26816</v>
      </c>
      <c r="B24" s="58">
        <f>VLOOKUP(Table134[[#This Row],[Date]],database!A:I,8,)</f>
        <v/>
      </c>
      <c r="C24" s="66">
        <f>B24/B23-1</f>
        <v/>
      </c>
      <c r="D24" s="66">
        <f>(Table134[[#This Row],[Index]]-B12)/B12</f>
        <v/>
      </c>
    </row>
    <row r="25">
      <c r="A25" s="17" t="n">
        <v>26846</v>
      </c>
      <c r="B25" s="58">
        <f>VLOOKUP(Table134[[#This Row],[Date]],database!A:I,8,)</f>
        <v/>
      </c>
      <c r="C25" s="66">
        <f>B25/B24-1</f>
        <v/>
      </c>
      <c r="D25" s="66">
        <f>(Table134[[#This Row],[Index]]-B13)/B13</f>
        <v/>
      </c>
    </row>
    <row r="26">
      <c r="A26" s="17" t="n">
        <v>26877</v>
      </c>
      <c r="B26" s="58">
        <f>VLOOKUP(Table134[[#This Row],[Date]],database!A:I,8,)</f>
        <v/>
      </c>
      <c r="C26" s="66">
        <f>B26/B25-1</f>
        <v/>
      </c>
      <c r="D26" s="66">
        <f>(Table134[[#This Row],[Index]]-B14)/B14</f>
        <v/>
      </c>
    </row>
    <row r="27">
      <c r="A27" s="17" t="n">
        <v>26908</v>
      </c>
      <c r="B27" s="58">
        <f>VLOOKUP(Table134[[#This Row],[Date]],database!A:I,8,)</f>
        <v/>
      </c>
      <c r="C27" s="66">
        <f>B27/B26-1</f>
        <v/>
      </c>
      <c r="D27" s="66">
        <f>(Table134[[#This Row],[Index]]-B15)/B15</f>
        <v/>
      </c>
    </row>
    <row r="28">
      <c r="A28" s="17" t="n">
        <v>26938</v>
      </c>
      <c r="B28" s="58">
        <f>VLOOKUP(Table134[[#This Row],[Date]],database!A:I,8,)</f>
        <v/>
      </c>
      <c r="C28" s="66">
        <f>B28/B27-1</f>
        <v/>
      </c>
      <c r="D28" s="66">
        <f>(Table134[[#This Row],[Index]]-B16)/B16</f>
        <v/>
      </c>
    </row>
    <row r="29">
      <c r="A29" s="17" t="n">
        <v>26969</v>
      </c>
      <c r="B29" s="58">
        <f>VLOOKUP(Table134[[#This Row],[Date]],database!A:I,8,)</f>
        <v/>
      </c>
      <c r="C29" s="66">
        <f>B29/B28-1</f>
        <v/>
      </c>
      <c r="D29" s="66">
        <f>(Table134[[#This Row],[Index]]-B17)/B17</f>
        <v/>
      </c>
    </row>
    <row r="30">
      <c r="A30" s="17" t="n">
        <v>26999</v>
      </c>
      <c r="B30" s="58">
        <f>VLOOKUP(Table134[[#This Row],[Date]],database!A:I,8,)</f>
        <v/>
      </c>
      <c r="C30" s="66">
        <f>B30/B29-1</f>
        <v/>
      </c>
      <c r="D30" s="66">
        <f>(Table134[[#This Row],[Index]]-B18)/B18</f>
        <v/>
      </c>
    </row>
    <row r="31">
      <c r="A31" s="17" t="n">
        <v>27030</v>
      </c>
      <c r="B31" s="58">
        <f>VLOOKUP(Table134[[#This Row],[Date]],database!A:I,8,)</f>
        <v/>
      </c>
      <c r="C31" s="66">
        <f>B31/B30-1</f>
        <v/>
      </c>
      <c r="D31" s="66">
        <f>(Table134[[#This Row],[Index]]-B19)/B19</f>
        <v/>
      </c>
    </row>
    <row r="32">
      <c r="A32" s="17" t="n">
        <v>27061</v>
      </c>
      <c r="B32" s="58">
        <f>VLOOKUP(Table134[[#This Row],[Date]],database!A:I,8,)</f>
        <v/>
      </c>
      <c r="C32" s="66">
        <f>B32/B31-1</f>
        <v/>
      </c>
      <c r="D32" s="66">
        <f>(Table134[[#This Row],[Index]]-B20)/B20</f>
        <v/>
      </c>
    </row>
    <row r="33">
      <c r="A33" s="17" t="n">
        <v>27089</v>
      </c>
      <c r="B33" s="58">
        <f>VLOOKUP(Table134[[#This Row],[Date]],database!A:I,8,)</f>
        <v/>
      </c>
      <c r="C33" s="66">
        <f>B33/B32-1</f>
        <v/>
      </c>
      <c r="D33" s="66">
        <f>(Table134[[#This Row],[Index]]-B21)/B21</f>
        <v/>
      </c>
    </row>
    <row r="34">
      <c r="A34" s="17" t="n">
        <v>27120</v>
      </c>
      <c r="B34" s="58">
        <f>VLOOKUP(Table134[[#This Row],[Date]],database!A:I,8,)</f>
        <v/>
      </c>
      <c r="C34" s="66">
        <f>B34/B33-1</f>
        <v/>
      </c>
      <c r="D34" s="66">
        <f>(Table134[[#This Row],[Index]]-B22)/B22</f>
        <v/>
      </c>
    </row>
    <row r="35">
      <c r="A35" s="17" t="n">
        <v>27150</v>
      </c>
      <c r="B35" s="58">
        <f>VLOOKUP(Table134[[#This Row],[Date]],database!A:I,8,)</f>
        <v/>
      </c>
      <c r="C35" s="66">
        <f>B35/B34-1</f>
        <v/>
      </c>
      <c r="D35" s="66">
        <f>(Table134[[#This Row],[Index]]-B23)/B23</f>
        <v/>
      </c>
    </row>
    <row r="36">
      <c r="A36" s="17" t="n">
        <v>27181</v>
      </c>
      <c r="B36" s="58">
        <f>VLOOKUP(Table134[[#This Row],[Date]],database!A:I,8,)</f>
        <v/>
      </c>
      <c r="C36" s="66">
        <f>B36/B35-1</f>
        <v/>
      </c>
      <c r="D36" s="66">
        <f>(Table134[[#This Row],[Index]]-B24)/B24</f>
        <v/>
      </c>
    </row>
    <row r="37">
      <c r="A37" s="17" t="n">
        <v>27211</v>
      </c>
      <c r="B37" s="58">
        <f>VLOOKUP(Table134[[#This Row],[Date]],database!A:I,8,)</f>
        <v/>
      </c>
      <c r="C37" s="66">
        <f>B37/B36-1</f>
        <v/>
      </c>
      <c r="D37" s="66">
        <f>(Table134[[#This Row],[Index]]-B25)/B25</f>
        <v/>
      </c>
    </row>
    <row r="38">
      <c r="A38" s="17" t="n">
        <v>27242</v>
      </c>
      <c r="B38" s="58">
        <f>VLOOKUP(Table134[[#This Row],[Date]],database!A:I,8,)</f>
        <v/>
      </c>
      <c r="C38" s="66">
        <f>B38/B37-1</f>
        <v/>
      </c>
      <c r="D38" s="66">
        <f>(Table134[[#This Row],[Index]]-B26)/B26</f>
        <v/>
      </c>
    </row>
    <row r="39">
      <c r="A39" s="17" t="n">
        <v>27273</v>
      </c>
      <c r="B39" s="58">
        <f>VLOOKUP(Table134[[#This Row],[Date]],database!A:I,8,)</f>
        <v/>
      </c>
      <c r="C39" s="66">
        <f>B39/B38-1</f>
        <v/>
      </c>
      <c r="D39" s="66">
        <f>(Table134[[#This Row],[Index]]-B27)/B27</f>
        <v/>
      </c>
    </row>
    <row r="40">
      <c r="A40" s="17" t="n">
        <v>27303</v>
      </c>
      <c r="B40" s="58">
        <f>VLOOKUP(Table134[[#This Row],[Date]],database!A:I,8,)</f>
        <v/>
      </c>
      <c r="C40" s="66">
        <f>B40/B39-1</f>
        <v/>
      </c>
      <c r="D40" s="66">
        <f>(Table134[[#This Row],[Index]]-B28)/B28</f>
        <v/>
      </c>
    </row>
    <row r="41">
      <c r="A41" s="17" t="n">
        <v>27334</v>
      </c>
      <c r="B41" s="58">
        <f>VLOOKUP(Table134[[#This Row],[Date]],database!A:I,8,)</f>
        <v/>
      </c>
      <c r="C41" s="66">
        <f>B41/B40-1</f>
        <v/>
      </c>
      <c r="D41" s="66">
        <f>(Table134[[#This Row],[Index]]-B29)/B29</f>
        <v/>
      </c>
    </row>
    <row r="42">
      <c r="A42" s="17" t="n">
        <v>27364</v>
      </c>
      <c r="B42" s="58">
        <f>VLOOKUP(Table134[[#This Row],[Date]],database!A:I,8,)</f>
        <v/>
      </c>
      <c r="C42" s="66">
        <f>B42/B41-1</f>
        <v/>
      </c>
      <c r="D42" s="66">
        <f>(Table134[[#This Row],[Index]]-B30)/B30</f>
        <v/>
      </c>
    </row>
    <row r="43">
      <c r="A43" s="17" t="n">
        <v>27395</v>
      </c>
      <c r="B43" s="58">
        <f>VLOOKUP(Table134[[#This Row],[Date]],database!A:I,8,)</f>
        <v/>
      </c>
      <c r="C43" s="66">
        <f>B43/B42-1</f>
        <v/>
      </c>
      <c r="D43" s="66">
        <f>(Table134[[#This Row],[Index]]-B31)/B31</f>
        <v/>
      </c>
    </row>
    <row r="44">
      <c r="A44" s="17" t="n">
        <v>27426</v>
      </c>
      <c r="B44" s="58">
        <f>VLOOKUP(Table134[[#This Row],[Date]],database!A:I,8,)</f>
        <v/>
      </c>
      <c r="C44" s="66">
        <f>B44/B43-1</f>
        <v/>
      </c>
      <c r="D44" s="66">
        <f>(Table134[[#This Row],[Index]]-B32)/B32</f>
        <v/>
      </c>
    </row>
    <row r="45">
      <c r="A45" s="17" t="n">
        <v>27454</v>
      </c>
      <c r="B45" s="58">
        <f>VLOOKUP(Table134[[#This Row],[Date]],database!A:I,8,)</f>
        <v/>
      </c>
      <c r="C45" s="66">
        <f>B45/B44-1</f>
        <v/>
      </c>
      <c r="D45" s="66">
        <f>(Table134[[#This Row],[Index]]-B33)/B33</f>
        <v/>
      </c>
    </row>
    <row r="46">
      <c r="A46" s="17" t="n">
        <v>27485</v>
      </c>
      <c r="B46" s="58">
        <f>VLOOKUP(Table134[[#This Row],[Date]],database!A:I,8,)</f>
        <v/>
      </c>
      <c r="C46" s="66">
        <f>B46/B45-1</f>
        <v/>
      </c>
      <c r="D46" s="66">
        <f>(Table134[[#This Row],[Index]]-B34)/B34</f>
        <v/>
      </c>
    </row>
    <row r="47">
      <c r="A47" s="17" t="n">
        <v>27515</v>
      </c>
      <c r="B47" s="58">
        <f>VLOOKUP(Table134[[#This Row],[Date]],database!A:I,8,)</f>
        <v/>
      </c>
      <c r="C47" s="66">
        <f>B47/B46-1</f>
        <v/>
      </c>
      <c r="D47" s="66">
        <f>(Table134[[#This Row],[Index]]-B35)/B35</f>
        <v/>
      </c>
    </row>
    <row r="48">
      <c r="A48" s="17" t="n">
        <v>27546</v>
      </c>
      <c r="B48" s="58">
        <f>VLOOKUP(Table134[[#This Row],[Date]],database!A:I,8,)</f>
        <v/>
      </c>
      <c r="C48" s="66">
        <f>B48/B47-1</f>
        <v/>
      </c>
      <c r="D48" s="66">
        <f>(Table134[[#This Row],[Index]]-B36)/B36</f>
        <v/>
      </c>
    </row>
    <row r="49">
      <c r="A49" s="17" t="n">
        <v>27576</v>
      </c>
      <c r="B49" s="58">
        <f>VLOOKUP(Table134[[#This Row],[Date]],database!A:I,8,)</f>
        <v/>
      </c>
      <c r="C49" s="66">
        <f>B49/B48-1</f>
        <v/>
      </c>
      <c r="D49" s="66">
        <f>(Table134[[#This Row],[Index]]-B37)/B37</f>
        <v/>
      </c>
    </row>
    <row r="50">
      <c r="A50" s="17" t="n">
        <v>27607</v>
      </c>
      <c r="B50" s="58">
        <f>VLOOKUP(Table134[[#This Row],[Date]],database!A:I,8,)</f>
        <v/>
      </c>
      <c r="C50" s="66">
        <f>B50/B49-1</f>
        <v/>
      </c>
      <c r="D50" s="66">
        <f>(Table134[[#This Row],[Index]]-B38)/B38</f>
        <v/>
      </c>
    </row>
    <row r="51">
      <c r="A51" s="17" t="n">
        <v>27638</v>
      </c>
      <c r="B51" s="58">
        <f>VLOOKUP(Table134[[#This Row],[Date]],database!A:I,8,)</f>
        <v/>
      </c>
      <c r="C51" s="66">
        <f>B51/B50-1</f>
        <v/>
      </c>
      <c r="D51" s="66">
        <f>(Table134[[#This Row],[Index]]-B39)/B39</f>
        <v/>
      </c>
    </row>
    <row r="52">
      <c r="A52" s="17" t="n">
        <v>27668</v>
      </c>
      <c r="B52" s="58">
        <f>VLOOKUP(Table134[[#This Row],[Date]],database!A:I,8,)</f>
        <v/>
      </c>
      <c r="C52" s="66">
        <f>B52/B51-1</f>
        <v/>
      </c>
      <c r="D52" s="66">
        <f>(Table134[[#This Row],[Index]]-B40)/B40</f>
        <v/>
      </c>
    </row>
    <row r="53">
      <c r="A53" s="17" t="n">
        <v>27699</v>
      </c>
      <c r="B53" s="58">
        <f>VLOOKUP(Table134[[#This Row],[Date]],database!A:I,8,)</f>
        <v/>
      </c>
      <c r="C53" s="66">
        <f>B53/B52-1</f>
        <v/>
      </c>
      <c r="D53" s="66">
        <f>(Table134[[#This Row],[Index]]-B41)/B41</f>
        <v/>
      </c>
    </row>
    <row r="54">
      <c r="A54" s="17" t="n">
        <v>27729</v>
      </c>
      <c r="B54" s="58">
        <f>VLOOKUP(Table134[[#This Row],[Date]],database!A:I,8,)</f>
        <v/>
      </c>
      <c r="C54" s="66">
        <f>B54/B53-1</f>
        <v/>
      </c>
      <c r="D54" s="66">
        <f>(Table134[[#This Row],[Index]]-B42)/B42</f>
        <v/>
      </c>
    </row>
    <row r="55">
      <c r="A55" s="17" t="n">
        <v>27760</v>
      </c>
      <c r="B55" s="58">
        <f>VLOOKUP(Table134[[#This Row],[Date]],database!A:I,8,)</f>
        <v/>
      </c>
      <c r="C55" s="66">
        <f>B55/B54-1</f>
        <v/>
      </c>
      <c r="D55" s="66">
        <f>(Table134[[#This Row],[Index]]-B43)/B43</f>
        <v/>
      </c>
    </row>
    <row r="56">
      <c r="A56" s="17" t="n">
        <v>27791</v>
      </c>
      <c r="B56" s="58">
        <f>VLOOKUP(Table134[[#This Row],[Date]],database!A:I,8,)</f>
        <v/>
      </c>
      <c r="C56" s="66">
        <f>B56/B55-1</f>
        <v/>
      </c>
      <c r="D56" s="66">
        <f>(Table134[[#This Row],[Index]]-B44)/B44</f>
        <v/>
      </c>
    </row>
    <row r="57">
      <c r="A57" s="17" t="n">
        <v>27820</v>
      </c>
      <c r="B57" s="58">
        <f>VLOOKUP(Table134[[#This Row],[Date]],database!A:I,8,)</f>
        <v/>
      </c>
      <c r="C57" s="66">
        <f>B57/B56-1</f>
        <v/>
      </c>
      <c r="D57" s="66">
        <f>(Table134[[#This Row],[Index]]-B45)/B45</f>
        <v/>
      </c>
    </row>
    <row r="58">
      <c r="A58" s="17" t="n">
        <v>27851</v>
      </c>
      <c r="B58" s="58">
        <f>VLOOKUP(Table134[[#This Row],[Date]],database!A:I,8,)</f>
        <v/>
      </c>
      <c r="C58" s="66">
        <f>B58/B57-1</f>
        <v/>
      </c>
      <c r="D58" s="66">
        <f>(Table134[[#This Row],[Index]]-B46)/B46</f>
        <v/>
      </c>
    </row>
    <row r="59">
      <c r="A59" s="17" t="n">
        <v>27881</v>
      </c>
      <c r="B59" s="58">
        <f>VLOOKUP(Table134[[#This Row],[Date]],database!A:I,8,)</f>
        <v/>
      </c>
      <c r="C59" s="66">
        <f>B59/B58-1</f>
        <v/>
      </c>
      <c r="D59" s="66">
        <f>(Table134[[#This Row],[Index]]-B47)/B47</f>
        <v/>
      </c>
    </row>
    <row r="60">
      <c r="A60" s="17" t="n">
        <v>27912</v>
      </c>
      <c r="B60" s="58">
        <f>VLOOKUP(Table134[[#This Row],[Date]],database!A:I,8,)</f>
        <v/>
      </c>
      <c r="C60" s="66">
        <f>B60/B59-1</f>
        <v/>
      </c>
      <c r="D60" s="66">
        <f>(Table134[[#This Row],[Index]]-B48)/B48</f>
        <v/>
      </c>
    </row>
    <row r="61">
      <c r="A61" s="17" t="n">
        <v>27942</v>
      </c>
      <c r="B61" s="58">
        <f>VLOOKUP(Table134[[#This Row],[Date]],database!A:I,8,)</f>
        <v/>
      </c>
      <c r="C61" s="66">
        <f>B61/B60-1</f>
        <v/>
      </c>
      <c r="D61" s="66">
        <f>(Table134[[#This Row],[Index]]-B49)/B49</f>
        <v/>
      </c>
    </row>
    <row r="62">
      <c r="A62" s="17" t="n">
        <v>27973</v>
      </c>
      <c r="B62" s="58">
        <f>VLOOKUP(Table134[[#This Row],[Date]],database!A:I,8,)</f>
        <v/>
      </c>
      <c r="C62" s="66">
        <f>B62/B61-1</f>
        <v/>
      </c>
      <c r="D62" s="66">
        <f>(Table134[[#This Row],[Index]]-B50)/B50</f>
        <v/>
      </c>
    </row>
    <row r="63">
      <c r="A63" s="17" t="n">
        <v>28004</v>
      </c>
      <c r="B63" s="58">
        <f>VLOOKUP(Table134[[#This Row],[Date]],database!A:I,8,)</f>
        <v/>
      </c>
      <c r="C63" s="66">
        <f>B63/B62-1</f>
        <v/>
      </c>
      <c r="D63" s="66">
        <f>(Table134[[#This Row],[Index]]-B51)/B51</f>
        <v/>
      </c>
    </row>
    <row r="64">
      <c r="A64" s="17" t="n">
        <v>28034</v>
      </c>
      <c r="B64" s="58">
        <f>VLOOKUP(Table134[[#This Row],[Date]],database!A:I,8,)</f>
        <v/>
      </c>
      <c r="C64" s="66">
        <f>B64/B63-1</f>
        <v/>
      </c>
      <c r="D64" s="66">
        <f>(Table134[[#This Row],[Index]]-B52)/B52</f>
        <v/>
      </c>
    </row>
    <row r="65">
      <c r="A65" s="17" t="n">
        <v>28065</v>
      </c>
      <c r="B65" s="58">
        <f>VLOOKUP(Table134[[#This Row],[Date]],database!A:I,8,)</f>
        <v/>
      </c>
      <c r="C65" s="66">
        <f>B65/B64-1</f>
        <v/>
      </c>
      <c r="D65" s="66">
        <f>(Table134[[#This Row],[Index]]-B53)/B53</f>
        <v/>
      </c>
    </row>
    <row r="66">
      <c r="A66" s="17" t="n">
        <v>28095</v>
      </c>
      <c r="B66" s="58">
        <f>VLOOKUP(Table134[[#This Row],[Date]],database!A:I,8,)</f>
        <v/>
      </c>
      <c r="C66" s="66">
        <f>B66/B65-1</f>
        <v/>
      </c>
      <c r="D66" s="66">
        <f>(Table134[[#This Row],[Index]]-B54)/B54</f>
        <v/>
      </c>
    </row>
    <row r="67">
      <c r="A67" s="17" t="n">
        <v>28126</v>
      </c>
      <c r="B67" s="58">
        <f>VLOOKUP(Table134[[#This Row],[Date]],database!A:I,8,)</f>
        <v/>
      </c>
      <c r="C67" s="66">
        <f>B67/B66-1</f>
        <v/>
      </c>
      <c r="D67" s="66">
        <f>(Table134[[#This Row],[Index]]-B55)/B55</f>
        <v/>
      </c>
    </row>
    <row r="68">
      <c r="A68" s="17" t="n">
        <v>28157</v>
      </c>
      <c r="B68" s="58">
        <f>VLOOKUP(Table134[[#This Row],[Date]],database!A:I,8,)</f>
        <v/>
      </c>
      <c r="C68" s="66">
        <f>B68/B67-1</f>
        <v/>
      </c>
      <c r="D68" s="66">
        <f>(Table134[[#This Row],[Index]]-B56)/B56</f>
        <v/>
      </c>
    </row>
    <row r="69">
      <c r="A69" s="17" t="n">
        <v>28185</v>
      </c>
      <c r="B69" s="58">
        <f>VLOOKUP(Table134[[#This Row],[Date]],database!A:I,8,)</f>
        <v/>
      </c>
      <c r="C69" s="66">
        <f>B69/B68-1</f>
        <v/>
      </c>
      <c r="D69" s="66">
        <f>(Table134[[#This Row],[Index]]-B57)/B57</f>
        <v/>
      </c>
    </row>
    <row r="70">
      <c r="A70" s="17" t="n">
        <v>28216</v>
      </c>
      <c r="B70" s="58">
        <f>VLOOKUP(Table134[[#This Row],[Date]],database!A:I,8,)</f>
        <v/>
      </c>
      <c r="C70" s="66">
        <f>B70/B69-1</f>
        <v/>
      </c>
      <c r="D70" s="66">
        <f>(Table134[[#This Row],[Index]]-B58)/B58</f>
        <v/>
      </c>
    </row>
    <row r="71">
      <c r="A71" s="17" t="n">
        <v>28246</v>
      </c>
      <c r="B71" s="58">
        <f>VLOOKUP(Table134[[#This Row],[Date]],database!A:I,8,)</f>
        <v/>
      </c>
      <c r="C71" s="66">
        <f>B71/B70-1</f>
        <v/>
      </c>
      <c r="D71" s="66">
        <f>(Table134[[#This Row],[Index]]-B59)/B59</f>
        <v/>
      </c>
    </row>
    <row r="72">
      <c r="A72" s="17" t="n">
        <v>28277</v>
      </c>
      <c r="B72" s="58">
        <f>VLOOKUP(Table134[[#This Row],[Date]],database!A:I,8,)</f>
        <v/>
      </c>
      <c r="C72" s="66">
        <f>B72/B71-1</f>
        <v/>
      </c>
      <c r="D72" s="66">
        <f>(Table134[[#This Row],[Index]]-B60)/B60</f>
        <v/>
      </c>
    </row>
    <row r="73">
      <c r="A73" s="17" t="n">
        <v>28307</v>
      </c>
      <c r="B73" s="58">
        <f>VLOOKUP(Table134[[#This Row],[Date]],database!A:I,8,)</f>
        <v/>
      </c>
      <c r="C73" s="66">
        <f>B73/B72-1</f>
        <v/>
      </c>
      <c r="D73" s="66">
        <f>(Table134[[#This Row],[Index]]-B61)/B61</f>
        <v/>
      </c>
    </row>
    <row r="74">
      <c r="A74" s="17" t="n">
        <v>28338</v>
      </c>
      <c r="B74" s="58">
        <f>VLOOKUP(Table134[[#This Row],[Date]],database!A:I,8,)</f>
        <v/>
      </c>
      <c r="C74" s="66">
        <f>B74/B73-1</f>
        <v/>
      </c>
      <c r="D74" s="66">
        <f>(Table134[[#This Row],[Index]]-B62)/B62</f>
        <v/>
      </c>
    </row>
    <row r="75">
      <c r="A75" s="17" t="n">
        <v>28369</v>
      </c>
      <c r="B75" s="58">
        <f>VLOOKUP(Table134[[#This Row],[Date]],database!A:I,8,)</f>
        <v/>
      </c>
      <c r="C75" s="66">
        <f>B75/B74-1</f>
        <v/>
      </c>
      <c r="D75" s="66">
        <f>(Table134[[#This Row],[Index]]-B63)/B63</f>
        <v/>
      </c>
    </row>
    <row r="76">
      <c r="A76" s="17" t="n">
        <v>28399</v>
      </c>
      <c r="B76" s="58">
        <f>VLOOKUP(Table134[[#This Row],[Date]],database!A:I,8,)</f>
        <v/>
      </c>
      <c r="C76" s="66">
        <f>B76/B75-1</f>
        <v/>
      </c>
      <c r="D76" s="66">
        <f>(Table134[[#This Row],[Index]]-B64)/B64</f>
        <v/>
      </c>
    </row>
    <row r="77">
      <c r="A77" s="17" t="n">
        <v>28430</v>
      </c>
      <c r="B77" s="58">
        <f>VLOOKUP(Table134[[#This Row],[Date]],database!A:I,8,)</f>
        <v/>
      </c>
      <c r="C77" s="66">
        <f>B77/B76-1</f>
        <v/>
      </c>
      <c r="D77" s="66">
        <f>(Table134[[#This Row],[Index]]-B65)/B65</f>
        <v/>
      </c>
    </row>
    <row r="78">
      <c r="A78" s="17" t="n">
        <v>28460</v>
      </c>
      <c r="B78" s="58">
        <f>VLOOKUP(Table134[[#This Row],[Date]],database!A:I,8,)</f>
        <v/>
      </c>
      <c r="C78" s="66">
        <f>B78/B77-1</f>
        <v/>
      </c>
      <c r="D78" s="66">
        <f>(Table134[[#This Row],[Index]]-B66)/B66</f>
        <v/>
      </c>
    </row>
    <row r="79">
      <c r="A79" s="17" t="n">
        <v>28491</v>
      </c>
      <c r="B79" s="58">
        <f>VLOOKUP(Table134[[#This Row],[Date]],database!A:I,8,)</f>
        <v/>
      </c>
      <c r="C79" s="66">
        <f>B79/B78-1</f>
        <v/>
      </c>
      <c r="D79" s="66">
        <f>(Table134[[#This Row],[Index]]-B67)/B67</f>
        <v/>
      </c>
    </row>
    <row r="80">
      <c r="A80" s="17" t="n">
        <v>28522</v>
      </c>
      <c r="B80" s="58">
        <f>VLOOKUP(Table134[[#This Row],[Date]],database!A:I,8,)</f>
        <v/>
      </c>
      <c r="C80" s="66">
        <f>B80/B79-1</f>
        <v/>
      </c>
      <c r="D80" s="66">
        <f>(Table134[[#This Row],[Index]]-B68)/B68</f>
        <v/>
      </c>
    </row>
    <row r="81">
      <c r="A81" s="17" t="n">
        <v>28550</v>
      </c>
      <c r="B81" s="58">
        <f>VLOOKUP(Table134[[#This Row],[Date]],database!A:I,8,)</f>
        <v/>
      </c>
      <c r="C81" s="66">
        <f>B81/B80-1</f>
        <v/>
      </c>
      <c r="D81" s="66">
        <f>(Table134[[#This Row],[Index]]-B69)/B69</f>
        <v/>
      </c>
    </row>
    <row r="82">
      <c r="A82" s="17" t="n">
        <v>28581</v>
      </c>
      <c r="B82" s="58">
        <f>VLOOKUP(Table134[[#This Row],[Date]],database!A:I,8,)</f>
        <v/>
      </c>
      <c r="C82" s="66">
        <f>B82/B81-1</f>
        <v/>
      </c>
      <c r="D82" s="66">
        <f>(Table134[[#This Row],[Index]]-B70)/B70</f>
        <v/>
      </c>
    </row>
    <row r="83">
      <c r="A83" s="17" t="n">
        <v>28611</v>
      </c>
      <c r="B83" s="58">
        <f>VLOOKUP(Table134[[#This Row],[Date]],database!A:I,8,)</f>
        <v/>
      </c>
      <c r="C83" s="66">
        <f>B83/B82-1</f>
        <v/>
      </c>
      <c r="D83" s="66">
        <f>(Table134[[#This Row],[Index]]-B71)/B71</f>
        <v/>
      </c>
    </row>
    <row r="84">
      <c r="A84" s="17" t="n">
        <v>28642</v>
      </c>
      <c r="B84" s="58">
        <f>VLOOKUP(Table134[[#This Row],[Date]],database!A:I,8,)</f>
        <v/>
      </c>
      <c r="C84" s="66">
        <f>B84/B83-1</f>
        <v/>
      </c>
      <c r="D84" s="66">
        <f>(Table134[[#This Row],[Index]]-B72)/B72</f>
        <v/>
      </c>
    </row>
    <row r="85">
      <c r="A85" s="17" t="n">
        <v>28672</v>
      </c>
      <c r="B85" s="58">
        <f>VLOOKUP(Table134[[#This Row],[Date]],database!A:I,8,)</f>
        <v/>
      </c>
      <c r="C85" s="66">
        <f>B85/B84-1</f>
        <v/>
      </c>
      <c r="D85" s="66">
        <f>(Table134[[#This Row],[Index]]-B73)/B73</f>
        <v/>
      </c>
    </row>
    <row r="86">
      <c r="A86" s="17" t="n">
        <v>28703</v>
      </c>
      <c r="B86" s="58">
        <f>VLOOKUP(Table134[[#This Row],[Date]],database!A:I,8,)</f>
        <v/>
      </c>
      <c r="C86" s="66">
        <f>B86/B85-1</f>
        <v/>
      </c>
      <c r="D86" s="66">
        <f>(Table134[[#This Row],[Index]]-B74)/B74</f>
        <v/>
      </c>
    </row>
    <row r="87">
      <c r="A87" s="17" t="n">
        <v>28734</v>
      </c>
      <c r="B87" s="58">
        <f>VLOOKUP(Table134[[#This Row],[Date]],database!A:I,8,)</f>
        <v/>
      </c>
      <c r="C87" s="66">
        <f>B87/B86-1</f>
        <v/>
      </c>
      <c r="D87" s="66">
        <f>(Table134[[#This Row],[Index]]-B75)/B75</f>
        <v/>
      </c>
    </row>
    <row r="88">
      <c r="A88" s="17" t="n">
        <v>28764</v>
      </c>
      <c r="B88" s="58">
        <f>VLOOKUP(Table134[[#This Row],[Date]],database!A:I,8,)</f>
        <v/>
      </c>
      <c r="C88" s="66">
        <f>B88/B87-1</f>
        <v/>
      </c>
      <c r="D88" s="66">
        <f>(Table134[[#This Row],[Index]]-B76)/B76</f>
        <v/>
      </c>
    </row>
    <row r="89">
      <c r="A89" s="17" t="n">
        <v>28795</v>
      </c>
      <c r="B89" s="58">
        <f>VLOOKUP(Table134[[#This Row],[Date]],database!A:I,8,)</f>
        <v/>
      </c>
      <c r="C89" s="66">
        <f>B89/B88-1</f>
        <v/>
      </c>
      <c r="D89" s="66">
        <f>(Table134[[#This Row],[Index]]-B77)/B77</f>
        <v/>
      </c>
    </row>
    <row r="90">
      <c r="A90" s="17" t="n">
        <v>28825</v>
      </c>
      <c r="B90" s="58">
        <f>VLOOKUP(Table134[[#This Row],[Date]],database!A:I,8,)</f>
        <v/>
      </c>
      <c r="C90" s="66">
        <f>B90/B89-1</f>
        <v/>
      </c>
      <c r="D90" s="66">
        <f>(Table134[[#This Row],[Index]]-B78)/B78</f>
        <v/>
      </c>
    </row>
    <row r="91">
      <c r="A91" s="17" t="n">
        <v>28856</v>
      </c>
      <c r="B91" s="58">
        <f>VLOOKUP(Table134[[#This Row],[Date]],database!A:I,8,)</f>
        <v/>
      </c>
      <c r="C91" s="66">
        <f>B91/B90-1</f>
        <v/>
      </c>
      <c r="D91" s="66">
        <f>(Table134[[#This Row],[Index]]-B79)/B79</f>
        <v/>
      </c>
    </row>
    <row r="92">
      <c r="A92" s="17" t="n">
        <v>28887</v>
      </c>
      <c r="B92" s="58">
        <f>VLOOKUP(Table134[[#This Row],[Date]],database!A:I,8,)</f>
        <v/>
      </c>
      <c r="C92" s="66">
        <f>B92/B91-1</f>
        <v/>
      </c>
      <c r="D92" s="66">
        <f>(Table134[[#This Row],[Index]]-B80)/B80</f>
        <v/>
      </c>
    </row>
    <row r="93">
      <c r="A93" s="17" t="n">
        <v>28915</v>
      </c>
      <c r="B93" s="58">
        <f>VLOOKUP(Table134[[#This Row],[Date]],database!A:I,8,)</f>
        <v/>
      </c>
      <c r="C93" s="66">
        <f>B93/B92-1</f>
        <v/>
      </c>
      <c r="D93" s="66">
        <f>(Table134[[#This Row],[Index]]-B81)/B81</f>
        <v/>
      </c>
    </row>
    <row r="94">
      <c r="A94" s="17" t="n">
        <v>28946</v>
      </c>
      <c r="B94" s="58">
        <f>VLOOKUP(Table134[[#This Row],[Date]],database!A:I,8,)</f>
        <v/>
      </c>
      <c r="C94" s="66">
        <f>B94/B93-1</f>
        <v/>
      </c>
      <c r="D94" s="66">
        <f>(Table134[[#This Row],[Index]]-B82)/B82</f>
        <v/>
      </c>
    </row>
    <row r="95">
      <c r="A95" s="17" t="n">
        <v>28976</v>
      </c>
      <c r="B95" s="58">
        <f>VLOOKUP(Table134[[#This Row],[Date]],database!A:I,8,)</f>
        <v/>
      </c>
      <c r="C95" s="66">
        <f>B95/B94-1</f>
        <v/>
      </c>
      <c r="D95" s="66">
        <f>(Table134[[#This Row],[Index]]-B83)/B83</f>
        <v/>
      </c>
    </row>
    <row r="96">
      <c r="A96" s="17" t="n">
        <v>29007</v>
      </c>
      <c r="B96" s="58">
        <f>VLOOKUP(Table134[[#This Row],[Date]],database!A:I,8,)</f>
        <v/>
      </c>
      <c r="C96" s="66">
        <f>B96/B95-1</f>
        <v/>
      </c>
      <c r="D96" s="66">
        <f>(Table134[[#This Row],[Index]]-B84)/B84</f>
        <v/>
      </c>
    </row>
    <row r="97">
      <c r="A97" s="17" t="n">
        <v>29037</v>
      </c>
      <c r="B97" s="58">
        <f>VLOOKUP(Table134[[#This Row],[Date]],database!A:I,8,)</f>
        <v/>
      </c>
      <c r="C97" s="66">
        <f>B97/B96-1</f>
        <v/>
      </c>
      <c r="D97" s="66">
        <f>(Table134[[#This Row],[Index]]-B85)/B85</f>
        <v/>
      </c>
    </row>
    <row r="98">
      <c r="A98" s="17" t="n">
        <v>29068</v>
      </c>
      <c r="B98" s="58">
        <f>VLOOKUP(Table134[[#This Row],[Date]],database!A:I,8,)</f>
        <v/>
      </c>
      <c r="C98" s="66">
        <f>B98/B97-1</f>
        <v/>
      </c>
      <c r="D98" s="66">
        <f>(Table134[[#This Row],[Index]]-B86)/B86</f>
        <v/>
      </c>
    </row>
    <row r="99">
      <c r="A99" s="17" t="n">
        <v>29099</v>
      </c>
      <c r="B99" s="58">
        <f>VLOOKUP(Table134[[#This Row],[Date]],database!A:I,8,)</f>
        <v/>
      </c>
      <c r="C99" s="66">
        <f>B99/B98-1</f>
        <v/>
      </c>
      <c r="D99" s="66">
        <f>(Table134[[#This Row],[Index]]-B87)/B87</f>
        <v/>
      </c>
    </row>
    <row r="100">
      <c r="A100" s="17" t="n">
        <v>29129</v>
      </c>
      <c r="B100" s="58">
        <f>VLOOKUP(Table134[[#This Row],[Date]],database!A:I,8,)</f>
        <v/>
      </c>
      <c r="C100" s="66">
        <f>B100/B99-1</f>
        <v/>
      </c>
      <c r="D100" s="66">
        <f>(Table134[[#This Row],[Index]]-B88)/B88</f>
        <v/>
      </c>
    </row>
    <row r="101">
      <c r="A101" s="17" t="n">
        <v>29160</v>
      </c>
      <c r="B101" s="58">
        <f>VLOOKUP(Table134[[#This Row],[Date]],database!A:I,8,)</f>
        <v/>
      </c>
      <c r="C101" s="66">
        <f>B101/B100-1</f>
        <v/>
      </c>
      <c r="D101" s="66">
        <f>(Table134[[#This Row],[Index]]-B89)/B89</f>
        <v/>
      </c>
    </row>
    <row r="102">
      <c r="A102" s="17" t="n">
        <v>29190</v>
      </c>
      <c r="B102" s="58">
        <f>VLOOKUP(Table134[[#This Row],[Date]],database!A:I,8,)</f>
        <v/>
      </c>
      <c r="C102" s="66">
        <f>B102/B101-1</f>
        <v/>
      </c>
      <c r="D102" s="66">
        <f>(Table134[[#This Row],[Index]]-B90)/B90</f>
        <v/>
      </c>
    </row>
    <row r="103">
      <c r="A103" s="17" t="n">
        <v>29221</v>
      </c>
      <c r="B103" s="58">
        <f>VLOOKUP(Table134[[#This Row],[Date]],database!A:I,8,)</f>
        <v/>
      </c>
      <c r="C103" s="66">
        <f>B103/B102-1</f>
        <v/>
      </c>
      <c r="D103" s="66">
        <f>(Table134[[#This Row],[Index]]-B91)/B91</f>
        <v/>
      </c>
    </row>
    <row r="104">
      <c r="A104" s="17" t="n">
        <v>29252</v>
      </c>
      <c r="B104" s="58">
        <f>VLOOKUP(Table134[[#This Row],[Date]],database!A:I,8,)</f>
        <v/>
      </c>
      <c r="C104" s="66">
        <f>B104/B103-1</f>
        <v/>
      </c>
      <c r="D104" s="66">
        <f>(Table134[[#This Row],[Index]]-B92)/B92</f>
        <v/>
      </c>
    </row>
    <row r="105">
      <c r="A105" s="17" t="n">
        <v>29281</v>
      </c>
      <c r="B105" s="58">
        <f>VLOOKUP(Table134[[#This Row],[Date]],database!A:I,8,)</f>
        <v/>
      </c>
      <c r="C105" s="66">
        <f>B105/B104-1</f>
        <v/>
      </c>
      <c r="D105" s="66">
        <f>(Table134[[#This Row],[Index]]-B93)/B93</f>
        <v/>
      </c>
    </row>
    <row r="106">
      <c r="A106" s="17" t="n">
        <v>29312</v>
      </c>
      <c r="B106" s="58">
        <f>VLOOKUP(Table134[[#This Row],[Date]],database!A:I,8,)</f>
        <v/>
      </c>
      <c r="C106" s="66">
        <f>B106/B105-1</f>
        <v/>
      </c>
      <c r="D106" s="66">
        <f>(Table134[[#This Row],[Index]]-B94)/B94</f>
        <v/>
      </c>
    </row>
    <row r="107">
      <c r="A107" s="17" t="n">
        <v>29342</v>
      </c>
      <c r="B107" s="58">
        <f>VLOOKUP(Table134[[#This Row],[Date]],database!A:I,8,)</f>
        <v/>
      </c>
      <c r="C107" s="66">
        <f>B107/B106-1</f>
        <v/>
      </c>
      <c r="D107" s="66">
        <f>(Table134[[#This Row],[Index]]-B95)/B95</f>
        <v/>
      </c>
    </row>
    <row r="108">
      <c r="A108" s="17" t="n">
        <v>29373</v>
      </c>
      <c r="B108" s="58">
        <f>VLOOKUP(Table134[[#This Row],[Date]],database!A:I,8,)</f>
        <v/>
      </c>
      <c r="C108" s="66">
        <f>B108/B107-1</f>
        <v/>
      </c>
      <c r="D108" s="66">
        <f>(Table134[[#This Row],[Index]]-B96)/B96</f>
        <v/>
      </c>
    </row>
    <row r="109">
      <c r="A109" s="17" t="n">
        <v>29403</v>
      </c>
      <c r="B109" s="58">
        <f>VLOOKUP(Table134[[#This Row],[Date]],database!A:I,8,)</f>
        <v/>
      </c>
      <c r="C109" s="66">
        <f>B109/B108-1</f>
        <v/>
      </c>
      <c r="D109" s="66">
        <f>(Table134[[#This Row],[Index]]-B97)/B97</f>
        <v/>
      </c>
    </row>
    <row r="110">
      <c r="A110" s="17" t="n">
        <v>29434</v>
      </c>
      <c r="B110" s="58">
        <f>VLOOKUP(Table134[[#This Row],[Date]],database!A:I,8,)</f>
        <v/>
      </c>
      <c r="C110" s="66">
        <f>B110/B109-1</f>
        <v/>
      </c>
      <c r="D110" s="66">
        <f>(Table134[[#This Row],[Index]]-B98)/B98</f>
        <v/>
      </c>
    </row>
    <row r="111">
      <c r="A111" s="17" t="n">
        <v>29465</v>
      </c>
      <c r="B111" s="58">
        <f>VLOOKUP(Table134[[#This Row],[Date]],database!A:I,8,)</f>
        <v/>
      </c>
      <c r="C111" s="66">
        <f>B111/B110-1</f>
        <v/>
      </c>
      <c r="D111" s="66">
        <f>(Table134[[#This Row],[Index]]-B99)/B99</f>
        <v/>
      </c>
    </row>
    <row r="112">
      <c r="A112" s="17" t="n">
        <v>29495</v>
      </c>
      <c r="B112" s="58">
        <f>VLOOKUP(Table134[[#This Row],[Date]],database!A:I,8,)</f>
        <v/>
      </c>
      <c r="C112" s="66">
        <f>B112/B111-1</f>
        <v/>
      </c>
      <c r="D112" s="66">
        <f>(Table134[[#This Row],[Index]]-B100)/B100</f>
        <v/>
      </c>
    </row>
    <row r="113">
      <c r="A113" s="17" t="n">
        <v>29526</v>
      </c>
      <c r="B113" s="58">
        <f>VLOOKUP(Table134[[#This Row],[Date]],database!A:I,8,)</f>
        <v/>
      </c>
      <c r="C113" s="66">
        <f>B113/B112-1</f>
        <v/>
      </c>
      <c r="D113" s="66">
        <f>(Table134[[#This Row],[Index]]-B101)/B101</f>
        <v/>
      </c>
    </row>
    <row r="114">
      <c r="A114" s="17" t="n">
        <v>29556</v>
      </c>
      <c r="B114" s="58">
        <f>VLOOKUP(Table134[[#This Row],[Date]],database!A:I,8,)</f>
        <v/>
      </c>
      <c r="C114" s="66">
        <f>B114/B113-1</f>
        <v/>
      </c>
      <c r="D114" s="66">
        <f>(Table134[[#This Row],[Index]]-B102)/B102</f>
        <v/>
      </c>
    </row>
    <row r="115">
      <c r="A115" s="17" t="n">
        <v>29587</v>
      </c>
      <c r="B115" s="58">
        <f>VLOOKUP(Table134[[#This Row],[Date]],database!A:I,8,)</f>
        <v/>
      </c>
      <c r="C115" s="66">
        <f>B115/B114-1</f>
        <v/>
      </c>
      <c r="D115" s="66">
        <f>(Table134[[#This Row],[Index]]-B103)/B103</f>
        <v/>
      </c>
    </row>
    <row r="116">
      <c r="A116" s="17" t="n">
        <v>29618</v>
      </c>
      <c r="B116" s="58">
        <f>VLOOKUP(Table134[[#This Row],[Date]],database!A:I,8,)</f>
        <v/>
      </c>
      <c r="C116" s="66">
        <f>B116/B115-1</f>
        <v/>
      </c>
      <c r="D116" s="66">
        <f>(Table134[[#This Row],[Index]]-B104)/B104</f>
        <v/>
      </c>
    </row>
    <row r="117">
      <c r="A117" s="17" t="n">
        <v>29646</v>
      </c>
      <c r="B117" s="58">
        <f>VLOOKUP(Table134[[#This Row],[Date]],database!A:I,8,)</f>
        <v/>
      </c>
      <c r="C117" s="66">
        <f>B117/B116-1</f>
        <v/>
      </c>
      <c r="D117" s="66">
        <f>(Table134[[#This Row],[Index]]-B105)/B105</f>
        <v/>
      </c>
    </row>
    <row r="118">
      <c r="A118" s="17" t="n">
        <v>29677</v>
      </c>
      <c r="B118" s="58">
        <f>VLOOKUP(Table134[[#This Row],[Date]],database!A:I,8,)</f>
        <v/>
      </c>
      <c r="C118" s="66">
        <f>B118/B117-1</f>
        <v/>
      </c>
      <c r="D118" s="66">
        <f>(Table134[[#This Row],[Index]]-B106)/B106</f>
        <v/>
      </c>
    </row>
    <row r="119">
      <c r="A119" s="17" t="n">
        <v>29707</v>
      </c>
      <c r="B119" s="58">
        <f>VLOOKUP(Table134[[#This Row],[Date]],database!A:I,8,)</f>
        <v/>
      </c>
      <c r="C119" s="66">
        <f>B119/B118-1</f>
        <v/>
      </c>
      <c r="D119" s="66">
        <f>(Table134[[#This Row],[Index]]-B107)/B107</f>
        <v/>
      </c>
    </row>
    <row r="120">
      <c r="A120" s="17" t="n">
        <v>29738</v>
      </c>
      <c r="B120" s="58">
        <f>VLOOKUP(Table134[[#This Row],[Date]],database!A:I,8,)</f>
        <v/>
      </c>
      <c r="C120" s="66">
        <f>B120/B119-1</f>
        <v/>
      </c>
      <c r="D120" s="66">
        <f>(Table134[[#This Row],[Index]]-B108)/B108</f>
        <v/>
      </c>
    </row>
    <row r="121">
      <c r="A121" s="17" t="n">
        <v>29768</v>
      </c>
      <c r="B121" s="58">
        <f>VLOOKUP(Table134[[#This Row],[Date]],database!A:I,8,)</f>
        <v/>
      </c>
      <c r="C121" s="66">
        <f>B121/B120-1</f>
        <v/>
      </c>
      <c r="D121" s="66">
        <f>(Table134[[#This Row],[Index]]-B109)/B109</f>
        <v/>
      </c>
    </row>
    <row r="122">
      <c r="A122" s="17" t="n">
        <v>29799</v>
      </c>
      <c r="B122" s="58">
        <f>VLOOKUP(Table134[[#This Row],[Date]],database!A:I,8,)</f>
        <v/>
      </c>
      <c r="C122" s="66">
        <f>B122/B121-1</f>
        <v/>
      </c>
      <c r="D122" s="66">
        <f>(Table134[[#This Row],[Index]]-B110)/B110</f>
        <v/>
      </c>
    </row>
    <row r="123">
      <c r="A123" s="17" t="n">
        <v>29830</v>
      </c>
      <c r="B123" s="58">
        <f>VLOOKUP(Table134[[#This Row],[Date]],database!A:I,8,)</f>
        <v/>
      </c>
      <c r="C123" s="66">
        <f>B123/B122-1</f>
        <v/>
      </c>
      <c r="D123" s="66">
        <f>(Table134[[#This Row],[Index]]-B111)/B111</f>
        <v/>
      </c>
    </row>
    <row r="124">
      <c r="A124" s="17" t="n">
        <v>29860</v>
      </c>
      <c r="B124" s="58">
        <f>VLOOKUP(Table134[[#This Row],[Date]],database!A:I,8,)</f>
        <v/>
      </c>
      <c r="C124" s="66">
        <f>B124/B123-1</f>
        <v/>
      </c>
      <c r="D124" s="66">
        <f>(Table134[[#This Row],[Index]]-B112)/B112</f>
        <v/>
      </c>
    </row>
    <row r="125">
      <c r="A125" s="17" t="n">
        <v>29891</v>
      </c>
      <c r="B125" s="58">
        <f>VLOOKUP(Table134[[#This Row],[Date]],database!A:I,8,)</f>
        <v/>
      </c>
      <c r="C125" s="66">
        <f>B125/B124-1</f>
        <v/>
      </c>
      <c r="D125" s="66">
        <f>(Table134[[#This Row],[Index]]-B113)/B113</f>
        <v/>
      </c>
    </row>
    <row r="126">
      <c r="A126" s="17" t="n">
        <v>29921</v>
      </c>
      <c r="B126" s="58">
        <f>VLOOKUP(Table134[[#This Row],[Date]],database!A:I,8,)</f>
        <v/>
      </c>
      <c r="C126" s="66">
        <f>B126/B125-1</f>
        <v/>
      </c>
      <c r="D126" s="66">
        <f>(Table134[[#This Row],[Index]]-B114)/B114</f>
        <v/>
      </c>
    </row>
    <row r="127">
      <c r="A127" s="17" t="n">
        <v>29952</v>
      </c>
      <c r="B127" s="58">
        <f>VLOOKUP(Table134[[#This Row],[Date]],database!A:I,8,)</f>
        <v/>
      </c>
      <c r="C127" s="66">
        <f>B127/B126-1</f>
        <v/>
      </c>
      <c r="D127" s="66">
        <f>(Table134[[#This Row],[Index]]-B115)/B115</f>
        <v/>
      </c>
    </row>
    <row r="128">
      <c r="A128" s="17" t="n">
        <v>29983</v>
      </c>
      <c r="B128" s="58">
        <f>VLOOKUP(Table134[[#This Row],[Date]],database!A:I,8,)</f>
        <v/>
      </c>
      <c r="C128" s="66">
        <f>B128/B127-1</f>
        <v/>
      </c>
      <c r="D128" s="66">
        <f>(Table134[[#This Row],[Index]]-B116)/B116</f>
        <v/>
      </c>
    </row>
    <row r="129">
      <c r="A129" s="17" t="n">
        <v>30011</v>
      </c>
      <c r="B129" s="58">
        <f>VLOOKUP(Table134[[#This Row],[Date]],database!A:I,8,)</f>
        <v/>
      </c>
      <c r="C129" s="66">
        <f>B129/B128-1</f>
        <v/>
      </c>
      <c r="D129" s="66">
        <f>(Table134[[#This Row],[Index]]-B117)/B117</f>
        <v/>
      </c>
    </row>
    <row r="130">
      <c r="A130" s="17" t="n">
        <v>30042</v>
      </c>
      <c r="B130" s="58">
        <f>VLOOKUP(Table134[[#This Row],[Date]],database!A:I,8,)</f>
        <v/>
      </c>
      <c r="C130" s="66">
        <f>B130/B129-1</f>
        <v/>
      </c>
      <c r="D130" s="66">
        <f>(Table134[[#This Row],[Index]]-B118)/B118</f>
        <v/>
      </c>
    </row>
    <row r="131">
      <c r="A131" s="17" t="n">
        <v>30072</v>
      </c>
      <c r="B131" s="58">
        <f>VLOOKUP(Table134[[#This Row],[Date]],database!A:I,8,)</f>
        <v/>
      </c>
      <c r="C131" s="66">
        <f>B131/B130-1</f>
        <v/>
      </c>
      <c r="D131" s="66">
        <f>(Table134[[#This Row],[Index]]-B119)/B119</f>
        <v/>
      </c>
    </row>
    <row r="132">
      <c r="A132" s="17" t="n">
        <v>30103</v>
      </c>
      <c r="B132" s="58">
        <f>VLOOKUP(Table134[[#This Row],[Date]],database!A:I,8,)</f>
        <v/>
      </c>
      <c r="C132" s="66">
        <f>B132/B131-1</f>
        <v/>
      </c>
      <c r="D132" s="66">
        <f>(Table134[[#This Row],[Index]]-B120)/B120</f>
        <v/>
      </c>
    </row>
    <row r="133">
      <c r="A133" s="17" t="n">
        <v>30133</v>
      </c>
      <c r="B133" s="58">
        <f>VLOOKUP(Table134[[#This Row],[Date]],database!A:I,8,)</f>
        <v/>
      </c>
      <c r="C133" s="66">
        <f>B133/B132-1</f>
        <v/>
      </c>
      <c r="D133" s="66">
        <f>(Table134[[#This Row],[Index]]-B121)/B121</f>
        <v/>
      </c>
    </row>
    <row r="134">
      <c r="A134" s="17" t="n">
        <v>30164</v>
      </c>
      <c r="B134" s="58">
        <f>VLOOKUP(Table134[[#This Row],[Date]],database!A:I,8,)</f>
        <v/>
      </c>
      <c r="C134" s="66">
        <f>B134/B133-1</f>
        <v/>
      </c>
      <c r="D134" s="66">
        <f>(Table134[[#This Row],[Index]]-B122)/B122</f>
        <v/>
      </c>
    </row>
    <row r="135">
      <c r="A135" s="17" t="n">
        <v>30195</v>
      </c>
      <c r="B135" s="58">
        <f>VLOOKUP(Table134[[#This Row],[Date]],database!A:I,8,)</f>
        <v/>
      </c>
      <c r="C135" s="66">
        <f>B135/B134-1</f>
        <v/>
      </c>
      <c r="D135" s="66">
        <f>(Table134[[#This Row],[Index]]-B123)/B123</f>
        <v/>
      </c>
    </row>
    <row r="136">
      <c r="A136" s="17" t="n">
        <v>30225</v>
      </c>
      <c r="B136" s="58">
        <f>VLOOKUP(Table134[[#This Row],[Date]],database!A:I,8,)</f>
        <v/>
      </c>
      <c r="C136" s="66">
        <f>B136/B135-1</f>
        <v/>
      </c>
      <c r="D136" s="66">
        <f>(Table134[[#This Row],[Index]]-B124)/B124</f>
        <v/>
      </c>
    </row>
    <row r="137">
      <c r="A137" s="17" t="n">
        <v>30256</v>
      </c>
      <c r="B137" s="58">
        <f>VLOOKUP(Table134[[#This Row],[Date]],database!A:I,8,)</f>
        <v/>
      </c>
      <c r="C137" s="66">
        <f>B137/B136-1</f>
        <v/>
      </c>
      <c r="D137" s="66">
        <f>(Table134[[#This Row],[Index]]-B125)/B125</f>
        <v/>
      </c>
    </row>
    <row r="138">
      <c r="A138" s="17" t="n">
        <v>30286</v>
      </c>
      <c r="B138" s="58">
        <f>VLOOKUP(Table134[[#This Row],[Date]],database!A:I,8,)</f>
        <v/>
      </c>
      <c r="C138" s="66">
        <f>B138/B137-1</f>
        <v/>
      </c>
      <c r="D138" s="66">
        <f>(Table134[[#This Row],[Index]]-B126)/B126</f>
        <v/>
      </c>
    </row>
    <row r="139">
      <c r="A139" s="17" t="n">
        <v>30317</v>
      </c>
      <c r="B139" s="58">
        <f>VLOOKUP(Table134[[#This Row],[Date]],database!A:I,8,)</f>
        <v/>
      </c>
      <c r="C139" s="66">
        <f>B139/B138-1</f>
        <v/>
      </c>
      <c r="D139" s="66">
        <f>(Table134[[#This Row],[Index]]-B127)/B127</f>
        <v/>
      </c>
    </row>
    <row r="140">
      <c r="A140" s="17" t="n">
        <v>30348</v>
      </c>
      <c r="B140" s="58">
        <f>VLOOKUP(Table134[[#This Row],[Date]],database!A:I,8,)</f>
        <v/>
      </c>
      <c r="C140" s="66">
        <f>B140/B139-1</f>
        <v/>
      </c>
      <c r="D140" s="66">
        <f>(Table134[[#This Row],[Index]]-B128)/B128</f>
        <v/>
      </c>
    </row>
    <row r="141">
      <c r="A141" s="17" t="n">
        <v>30376</v>
      </c>
      <c r="B141" s="58">
        <f>VLOOKUP(Table134[[#This Row],[Date]],database!A:I,8,)</f>
        <v/>
      </c>
      <c r="C141" s="66">
        <f>B141/B140-1</f>
        <v/>
      </c>
      <c r="D141" s="66">
        <f>(Table134[[#This Row],[Index]]-B129)/B129</f>
        <v/>
      </c>
    </row>
    <row r="142">
      <c r="A142" s="17" t="n">
        <v>30407</v>
      </c>
      <c r="B142" s="58">
        <f>VLOOKUP(Table134[[#This Row],[Date]],database!A:I,8,)</f>
        <v/>
      </c>
      <c r="C142" s="66">
        <f>B142/B141-1</f>
        <v/>
      </c>
      <c r="D142" s="66">
        <f>(Table134[[#This Row],[Index]]-B130)/B130</f>
        <v/>
      </c>
    </row>
    <row r="143">
      <c r="A143" s="17" t="n">
        <v>30437</v>
      </c>
      <c r="B143" s="58">
        <f>VLOOKUP(Table134[[#This Row],[Date]],database!A:I,8,)</f>
        <v/>
      </c>
      <c r="C143" s="66">
        <f>B143/B142-1</f>
        <v/>
      </c>
      <c r="D143" s="66">
        <f>(Table134[[#This Row],[Index]]-B131)/B131</f>
        <v/>
      </c>
    </row>
    <row r="144">
      <c r="A144" s="17" t="n">
        <v>30468</v>
      </c>
      <c r="B144" s="58">
        <f>VLOOKUP(Table134[[#This Row],[Date]],database!A:I,8,)</f>
        <v/>
      </c>
      <c r="C144" s="66">
        <f>B144/B143-1</f>
        <v/>
      </c>
      <c r="D144" s="66">
        <f>(Table134[[#This Row],[Index]]-B132)/B132</f>
        <v/>
      </c>
    </row>
    <row r="145">
      <c r="A145" s="17" t="n">
        <v>30498</v>
      </c>
      <c r="B145" s="58">
        <f>VLOOKUP(Table134[[#This Row],[Date]],database!A:I,8,)</f>
        <v/>
      </c>
      <c r="C145" s="66">
        <f>B145/B144-1</f>
        <v/>
      </c>
      <c r="D145" s="66">
        <f>(Table134[[#This Row],[Index]]-B133)/B133</f>
        <v/>
      </c>
    </row>
    <row r="146">
      <c r="A146" s="17" t="n">
        <v>30529</v>
      </c>
      <c r="B146" s="58">
        <f>VLOOKUP(Table134[[#This Row],[Date]],database!A:I,8,)</f>
        <v/>
      </c>
      <c r="C146" s="66">
        <f>B146/B145-1</f>
        <v/>
      </c>
      <c r="D146" s="66">
        <f>(Table134[[#This Row],[Index]]-B134)/B134</f>
        <v/>
      </c>
    </row>
    <row r="147">
      <c r="A147" s="17" t="n">
        <v>30560</v>
      </c>
      <c r="B147" s="58">
        <f>VLOOKUP(Table134[[#This Row],[Date]],database!A:I,8,)</f>
        <v/>
      </c>
      <c r="C147" s="66">
        <f>B147/B146-1</f>
        <v/>
      </c>
      <c r="D147" s="66">
        <f>(Table134[[#This Row],[Index]]-B135)/B135</f>
        <v/>
      </c>
    </row>
    <row r="148">
      <c r="A148" s="17" t="n">
        <v>30590</v>
      </c>
      <c r="B148" s="58">
        <f>VLOOKUP(Table134[[#This Row],[Date]],database!A:I,8,)</f>
        <v/>
      </c>
      <c r="C148" s="66">
        <f>B148/B147-1</f>
        <v/>
      </c>
      <c r="D148" s="66">
        <f>(Table134[[#This Row],[Index]]-B136)/B136</f>
        <v/>
      </c>
    </row>
    <row r="149">
      <c r="A149" s="17" t="n">
        <v>30621</v>
      </c>
      <c r="B149" s="58">
        <f>VLOOKUP(Table134[[#This Row],[Date]],database!A:I,8,)</f>
        <v/>
      </c>
      <c r="C149" s="66">
        <f>B149/B148-1</f>
        <v/>
      </c>
      <c r="D149" s="66">
        <f>(Table134[[#This Row],[Index]]-B137)/B137</f>
        <v/>
      </c>
    </row>
    <row r="150">
      <c r="A150" s="17" t="n">
        <v>30651</v>
      </c>
      <c r="B150" s="58">
        <f>VLOOKUP(Table134[[#This Row],[Date]],database!A:I,8,)</f>
        <v/>
      </c>
      <c r="C150" s="66">
        <f>B150/B149-1</f>
        <v/>
      </c>
      <c r="D150" s="66">
        <f>(Table134[[#This Row],[Index]]-B138)/B138</f>
        <v/>
      </c>
    </row>
    <row r="151">
      <c r="A151" s="17" t="n">
        <v>30682</v>
      </c>
      <c r="B151" s="58">
        <f>VLOOKUP(Table134[[#This Row],[Date]],database!A:I,8,)</f>
        <v/>
      </c>
      <c r="C151" s="66">
        <f>B151/B150-1</f>
        <v/>
      </c>
      <c r="D151" s="66">
        <f>(Table134[[#This Row],[Index]]-B139)/B139</f>
        <v/>
      </c>
    </row>
    <row r="152">
      <c r="A152" s="17" t="n">
        <v>30713</v>
      </c>
      <c r="B152" s="58">
        <f>VLOOKUP(Table134[[#This Row],[Date]],database!A:I,8,)</f>
        <v/>
      </c>
      <c r="C152" s="66">
        <f>B152/B151-1</f>
        <v/>
      </c>
      <c r="D152" s="66">
        <f>(Table134[[#This Row],[Index]]-B140)/B140</f>
        <v/>
      </c>
    </row>
    <row r="153">
      <c r="A153" s="17" t="n">
        <v>30742</v>
      </c>
      <c r="B153" s="58">
        <f>VLOOKUP(Table134[[#This Row],[Date]],database!A:I,8,)</f>
        <v/>
      </c>
      <c r="C153" s="66">
        <f>B153/B152-1</f>
        <v/>
      </c>
      <c r="D153" s="66">
        <f>(Table134[[#This Row],[Index]]-B141)/B141</f>
        <v/>
      </c>
    </row>
    <row r="154">
      <c r="A154" s="17" t="n">
        <v>30773</v>
      </c>
      <c r="B154" s="58">
        <f>VLOOKUP(Table134[[#This Row],[Date]],database!A:I,8,)</f>
        <v/>
      </c>
      <c r="C154" s="66">
        <f>B154/B153-1</f>
        <v/>
      </c>
      <c r="D154" s="66">
        <f>(Table134[[#This Row],[Index]]-B142)/B142</f>
        <v/>
      </c>
    </row>
    <row r="155">
      <c r="A155" s="17" t="n">
        <v>30803</v>
      </c>
      <c r="B155" s="58">
        <f>VLOOKUP(Table134[[#This Row],[Date]],database!A:I,8,)</f>
        <v/>
      </c>
      <c r="C155" s="66">
        <f>B155/B154-1</f>
        <v/>
      </c>
      <c r="D155" s="66">
        <f>(Table134[[#This Row],[Index]]-B143)/B143</f>
        <v/>
      </c>
    </row>
    <row r="156">
      <c r="A156" s="17" t="n">
        <v>30834</v>
      </c>
      <c r="B156" s="58">
        <f>VLOOKUP(Table134[[#This Row],[Date]],database!A:I,8,)</f>
        <v/>
      </c>
      <c r="C156" s="66">
        <f>B156/B155-1</f>
        <v/>
      </c>
      <c r="D156" s="66">
        <f>(Table134[[#This Row],[Index]]-B144)/B144</f>
        <v/>
      </c>
    </row>
    <row r="157">
      <c r="A157" s="17" t="n">
        <v>30864</v>
      </c>
      <c r="B157" s="58">
        <f>VLOOKUP(Table134[[#This Row],[Date]],database!A:I,8,)</f>
        <v/>
      </c>
      <c r="C157" s="66">
        <f>B157/B156-1</f>
        <v/>
      </c>
      <c r="D157" s="66">
        <f>(Table134[[#This Row],[Index]]-B145)/B145</f>
        <v/>
      </c>
    </row>
    <row r="158">
      <c r="A158" s="17" t="n">
        <v>30895</v>
      </c>
      <c r="B158" s="58">
        <f>VLOOKUP(Table134[[#This Row],[Date]],database!A:I,8,)</f>
        <v/>
      </c>
      <c r="C158" s="66">
        <f>B158/B157-1</f>
        <v/>
      </c>
      <c r="D158" s="66">
        <f>(Table134[[#This Row],[Index]]-B146)/B146</f>
        <v/>
      </c>
    </row>
    <row r="159">
      <c r="A159" s="17" t="n">
        <v>30926</v>
      </c>
      <c r="B159" s="58">
        <f>VLOOKUP(Table134[[#This Row],[Date]],database!A:I,8,)</f>
        <v/>
      </c>
      <c r="C159" s="66">
        <f>B159/B158-1</f>
        <v/>
      </c>
      <c r="D159" s="66">
        <f>(Table134[[#This Row],[Index]]-B147)/B147</f>
        <v/>
      </c>
    </row>
    <row r="160">
      <c r="A160" s="17" t="n">
        <v>30956</v>
      </c>
      <c r="B160" s="58">
        <f>VLOOKUP(Table134[[#This Row],[Date]],database!A:I,8,)</f>
        <v/>
      </c>
      <c r="C160" s="66">
        <f>B160/B159-1</f>
        <v/>
      </c>
      <c r="D160" s="66">
        <f>(Table134[[#This Row],[Index]]-B148)/B148</f>
        <v/>
      </c>
    </row>
    <row r="161">
      <c r="A161" s="17" t="n">
        <v>30987</v>
      </c>
      <c r="B161" s="58">
        <f>VLOOKUP(Table134[[#This Row],[Date]],database!A:I,8,)</f>
        <v/>
      </c>
      <c r="C161" s="66">
        <f>B161/B160-1</f>
        <v/>
      </c>
      <c r="D161" s="66">
        <f>(Table134[[#This Row],[Index]]-B149)/B149</f>
        <v/>
      </c>
    </row>
    <row r="162">
      <c r="A162" s="17" t="n">
        <v>31017</v>
      </c>
      <c r="B162" s="58">
        <f>VLOOKUP(Table134[[#This Row],[Date]],database!A:I,8,)</f>
        <v/>
      </c>
      <c r="C162" s="66">
        <f>B162/B161-1</f>
        <v/>
      </c>
      <c r="D162" s="66">
        <f>(Table134[[#This Row],[Index]]-B150)/B150</f>
        <v/>
      </c>
    </row>
    <row r="163">
      <c r="A163" s="17" t="n">
        <v>31048</v>
      </c>
      <c r="B163" s="58">
        <f>VLOOKUP(Table134[[#This Row],[Date]],database!A:I,8,)</f>
        <v/>
      </c>
      <c r="C163" s="66">
        <f>B163/B162-1</f>
        <v/>
      </c>
      <c r="D163" s="66">
        <f>(Table134[[#This Row],[Index]]-B151)/B151</f>
        <v/>
      </c>
    </row>
    <row r="164">
      <c r="A164" s="17" t="n">
        <v>31079</v>
      </c>
      <c r="B164" s="58">
        <f>VLOOKUP(Table134[[#This Row],[Date]],database!A:I,8,)</f>
        <v/>
      </c>
      <c r="C164" s="66">
        <f>B164/B163-1</f>
        <v/>
      </c>
      <c r="D164" s="66">
        <f>(Table134[[#This Row],[Index]]-B152)/B152</f>
        <v/>
      </c>
    </row>
    <row r="165">
      <c r="A165" s="17" t="n">
        <v>31107</v>
      </c>
      <c r="B165" s="58">
        <f>VLOOKUP(Table134[[#This Row],[Date]],database!A:I,8,)</f>
        <v/>
      </c>
      <c r="C165" s="66">
        <f>B165/B164-1</f>
        <v/>
      </c>
      <c r="D165" s="66">
        <f>(Table134[[#This Row],[Index]]-B153)/B153</f>
        <v/>
      </c>
    </row>
    <row r="166">
      <c r="A166" s="17" t="n">
        <v>31138</v>
      </c>
      <c r="B166" s="58">
        <f>VLOOKUP(Table134[[#This Row],[Date]],database!A:I,8,)</f>
        <v/>
      </c>
      <c r="C166" s="66">
        <f>B166/B165-1</f>
        <v/>
      </c>
      <c r="D166" s="66">
        <f>(Table134[[#This Row],[Index]]-B154)/B154</f>
        <v/>
      </c>
    </row>
    <row r="167">
      <c r="A167" s="17" t="n">
        <v>31168</v>
      </c>
      <c r="B167" s="58">
        <f>VLOOKUP(Table134[[#This Row],[Date]],database!A:I,8,)</f>
        <v/>
      </c>
      <c r="C167" s="66">
        <f>B167/B166-1</f>
        <v/>
      </c>
      <c r="D167" s="66">
        <f>(Table134[[#This Row],[Index]]-B155)/B155</f>
        <v/>
      </c>
    </row>
    <row r="168">
      <c r="A168" s="17" t="n">
        <v>31199</v>
      </c>
      <c r="B168" s="58">
        <f>VLOOKUP(Table134[[#This Row],[Date]],database!A:I,8,)</f>
        <v/>
      </c>
      <c r="C168" s="66">
        <f>B168/B167-1</f>
        <v/>
      </c>
      <c r="D168" s="66">
        <f>(Table134[[#This Row],[Index]]-B156)/B156</f>
        <v/>
      </c>
    </row>
    <row r="169">
      <c r="A169" s="17" t="n">
        <v>31229</v>
      </c>
      <c r="B169" s="58">
        <f>VLOOKUP(Table134[[#This Row],[Date]],database!A:I,8,)</f>
        <v/>
      </c>
      <c r="C169" s="66">
        <f>B169/B168-1</f>
        <v/>
      </c>
      <c r="D169" s="66">
        <f>(Table134[[#This Row],[Index]]-B157)/B157</f>
        <v/>
      </c>
    </row>
    <row r="170">
      <c r="A170" s="17" t="n">
        <v>31260</v>
      </c>
      <c r="B170" s="58">
        <f>VLOOKUP(Table134[[#This Row],[Date]],database!A:I,8,)</f>
        <v/>
      </c>
      <c r="C170" s="66">
        <f>B170/B169-1</f>
        <v/>
      </c>
      <c r="D170" s="66">
        <f>(Table134[[#This Row],[Index]]-B158)/B158</f>
        <v/>
      </c>
    </row>
    <row r="171">
      <c r="A171" s="17" t="n">
        <v>31291</v>
      </c>
      <c r="B171" s="58">
        <f>VLOOKUP(Table134[[#This Row],[Date]],database!A:I,8,)</f>
        <v/>
      </c>
      <c r="C171" s="66">
        <f>B171/B170-1</f>
        <v/>
      </c>
      <c r="D171" s="66">
        <f>(Table134[[#This Row],[Index]]-B159)/B159</f>
        <v/>
      </c>
    </row>
    <row r="172">
      <c r="A172" s="17" t="n">
        <v>31321</v>
      </c>
      <c r="B172" s="58">
        <f>VLOOKUP(Table134[[#This Row],[Date]],database!A:I,8,)</f>
        <v/>
      </c>
      <c r="C172" s="66">
        <f>B172/B171-1</f>
        <v/>
      </c>
      <c r="D172" s="66">
        <f>(Table134[[#This Row],[Index]]-B160)/B160</f>
        <v/>
      </c>
    </row>
    <row r="173">
      <c r="A173" s="17" t="n">
        <v>31352</v>
      </c>
      <c r="B173" s="58">
        <f>VLOOKUP(Table134[[#This Row],[Date]],database!A:I,8,)</f>
        <v/>
      </c>
      <c r="C173" s="66">
        <f>B173/B172-1</f>
        <v/>
      </c>
      <c r="D173" s="66">
        <f>(Table134[[#This Row],[Index]]-B161)/B161</f>
        <v/>
      </c>
    </row>
    <row r="174">
      <c r="A174" s="17" t="n">
        <v>31382</v>
      </c>
      <c r="B174" s="58">
        <f>VLOOKUP(Table134[[#This Row],[Date]],database!A:I,8,)</f>
        <v/>
      </c>
      <c r="C174" s="66">
        <f>B174/B173-1</f>
        <v/>
      </c>
      <c r="D174" s="66">
        <f>(Table134[[#This Row],[Index]]-B162)/B162</f>
        <v/>
      </c>
    </row>
    <row r="175">
      <c r="A175" s="17" t="n">
        <v>31413</v>
      </c>
      <c r="B175" s="58">
        <f>VLOOKUP(Table134[[#This Row],[Date]],database!A:I,8,)</f>
        <v/>
      </c>
      <c r="C175" s="66">
        <f>B175/B174-1</f>
        <v/>
      </c>
      <c r="D175" s="66">
        <f>(Table134[[#This Row],[Index]]-B163)/B163</f>
        <v/>
      </c>
    </row>
    <row r="176">
      <c r="A176" s="17" t="n">
        <v>31444</v>
      </c>
      <c r="B176" s="58">
        <f>VLOOKUP(Table134[[#This Row],[Date]],database!A:I,8,)</f>
        <v/>
      </c>
      <c r="C176" s="66">
        <f>B176/B175-1</f>
        <v/>
      </c>
      <c r="D176" s="66">
        <f>(Table134[[#This Row],[Index]]-B164)/B164</f>
        <v/>
      </c>
    </row>
    <row r="177">
      <c r="A177" s="17" t="n">
        <v>31472</v>
      </c>
      <c r="B177" s="58">
        <f>VLOOKUP(Table134[[#This Row],[Date]],database!A:I,8,)</f>
        <v/>
      </c>
      <c r="C177" s="66">
        <f>B177/B176-1</f>
        <v/>
      </c>
      <c r="D177" s="66">
        <f>(Table134[[#This Row],[Index]]-B165)/B165</f>
        <v/>
      </c>
    </row>
    <row r="178">
      <c r="A178" s="17" t="n">
        <v>31503</v>
      </c>
      <c r="B178" s="58">
        <f>VLOOKUP(Table134[[#This Row],[Date]],database!A:I,8,)</f>
        <v/>
      </c>
      <c r="C178" s="66">
        <f>B178/B177-1</f>
        <v/>
      </c>
      <c r="D178" s="66">
        <f>(Table134[[#This Row],[Index]]-B166)/B166</f>
        <v/>
      </c>
    </row>
    <row r="179">
      <c r="A179" s="17" t="n">
        <v>31533</v>
      </c>
      <c r="B179" s="58">
        <f>VLOOKUP(Table134[[#This Row],[Date]],database!A:I,8,)</f>
        <v/>
      </c>
      <c r="C179" s="66">
        <f>B179/B178-1</f>
        <v/>
      </c>
      <c r="D179" s="66">
        <f>(Table134[[#This Row],[Index]]-B167)/B167</f>
        <v/>
      </c>
    </row>
    <row r="180">
      <c r="A180" s="17" t="n">
        <v>31564</v>
      </c>
      <c r="B180" s="58">
        <f>VLOOKUP(Table134[[#This Row],[Date]],database!A:I,8,)</f>
        <v/>
      </c>
      <c r="C180" s="66">
        <f>B180/B179-1</f>
        <v/>
      </c>
      <c r="D180" s="66">
        <f>(Table134[[#This Row],[Index]]-B168)/B168</f>
        <v/>
      </c>
    </row>
    <row r="181">
      <c r="A181" s="17" t="n">
        <v>31594</v>
      </c>
      <c r="B181" s="58">
        <f>VLOOKUP(Table134[[#This Row],[Date]],database!A:I,8,)</f>
        <v/>
      </c>
      <c r="C181" s="66">
        <f>B181/B180-1</f>
        <v/>
      </c>
      <c r="D181" s="66">
        <f>(Table134[[#This Row],[Index]]-B169)/B169</f>
        <v/>
      </c>
    </row>
    <row r="182">
      <c r="A182" s="17" t="n">
        <v>31625</v>
      </c>
      <c r="B182" s="58">
        <f>VLOOKUP(Table134[[#This Row],[Date]],database!A:I,8,)</f>
        <v/>
      </c>
      <c r="C182" s="66">
        <f>B182/B181-1</f>
        <v/>
      </c>
      <c r="D182" s="66">
        <f>(Table134[[#This Row],[Index]]-B170)/B170</f>
        <v/>
      </c>
    </row>
    <row r="183">
      <c r="A183" s="17" t="n">
        <v>31656</v>
      </c>
      <c r="B183" s="58">
        <f>VLOOKUP(Table134[[#This Row],[Date]],database!A:I,8,)</f>
        <v/>
      </c>
      <c r="C183" s="66">
        <f>B183/B182-1</f>
        <v/>
      </c>
      <c r="D183" s="66">
        <f>(Table134[[#This Row],[Index]]-B171)/B171</f>
        <v/>
      </c>
    </row>
    <row r="184">
      <c r="A184" s="17" t="n">
        <v>31686</v>
      </c>
      <c r="B184" s="58">
        <f>VLOOKUP(Table134[[#This Row],[Date]],database!A:I,8,)</f>
        <v/>
      </c>
      <c r="C184" s="66">
        <f>B184/B183-1</f>
        <v/>
      </c>
      <c r="D184" s="66">
        <f>(Table134[[#This Row],[Index]]-B172)/B172</f>
        <v/>
      </c>
    </row>
    <row r="185">
      <c r="A185" s="17" t="n">
        <v>31717</v>
      </c>
      <c r="B185" s="58">
        <f>VLOOKUP(Table134[[#This Row],[Date]],database!A:I,8,)</f>
        <v/>
      </c>
      <c r="C185" s="66">
        <f>B185/B184-1</f>
        <v/>
      </c>
      <c r="D185" s="66">
        <f>(Table134[[#This Row],[Index]]-B173)/B173</f>
        <v/>
      </c>
    </row>
    <row r="186">
      <c r="A186" s="17" t="n">
        <v>31747</v>
      </c>
      <c r="B186" s="58">
        <f>VLOOKUP(Table134[[#This Row],[Date]],database!A:I,8,)</f>
        <v/>
      </c>
      <c r="C186" s="66">
        <f>B186/B185-1</f>
        <v/>
      </c>
      <c r="D186" s="66">
        <f>(Table134[[#This Row],[Index]]-B174)/B174</f>
        <v/>
      </c>
    </row>
    <row r="187">
      <c r="A187" s="17" t="n">
        <v>31778</v>
      </c>
      <c r="B187" s="58">
        <f>VLOOKUP(Table134[[#This Row],[Date]],database!A:I,8,)</f>
        <v/>
      </c>
      <c r="C187" s="66">
        <f>B187/B186-1</f>
        <v/>
      </c>
      <c r="D187" s="66">
        <f>(Table134[[#This Row],[Index]]-B175)/B175</f>
        <v/>
      </c>
    </row>
    <row r="188">
      <c r="A188" s="17" t="n">
        <v>31809</v>
      </c>
      <c r="B188" s="58">
        <f>VLOOKUP(Table134[[#This Row],[Date]],database!A:I,8,)</f>
        <v/>
      </c>
      <c r="C188" s="66">
        <f>B188/B187-1</f>
        <v/>
      </c>
      <c r="D188" s="66">
        <f>(Table134[[#This Row],[Index]]-B176)/B176</f>
        <v/>
      </c>
    </row>
    <row r="189">
      <c r="A189" s="17" t="n">
        <v>31837</v>
      </c>
      <c r="B189" s="58">
        <f>VLOOKUP(Table134[[#This Row],[Date]],database!A:I,8,)</f>
        <v/>
      </c>
      <c r="C189" s="66">
        <f>B189/B188-1</f>
        <v/>
      </c>
      <c r="D189" s="66">
        <f>(Table134[[#This Row],[Index]]-B177)/B177</f>
        <v/>
      </c>
    </row>
    <row r="190">
      <c r="A190" s="17" t="n">
        <v>31868</v>
      </c>
      <c r="B190" s="58">
        <f>VLOOKUP(Table134[[#This Row],[Date]],database!A:I,8,)</f>
        <v/>
      </c>
      <c r="C190" s="66">
        <f>B190/B189-1</f>
        <v/>
      </c>
      <c r="D190" s="66">
        <f>(Table134[[#This Row],[Index]]-B178)/B178</f>
        <v/>
      </c>
    </row>
    <row r="191">
      <c r="A191" s="17" t="n">
        <v>31898</v>
      </c>
      <c r="B191" s="58">
        <f>VLOOKUP(Table134[[#This Row],[Date]],database!A:I,8,)</f>
        <v/>
      </c>
      <c r="C191" s="66">
        <f>B191/B190-1</f>
        <v/>
      </c>
      <c r="D191" s="66">
        <f>(Table134[[#This Row],[Index]]-B179)/B179</f>
        <v/>
      </c>
    </row>
    <row r="192">
      <c r="A192" s="17" t="n">
        <v>31929</v>
      </c>
      <c r="B192" s="58">
        <f>VLOOKUP(Table134[[#This Row],[Date]],database!A:I,8,)</f>
        <v/>
      </c>
      <c r="C192" s="66">
        <f>B192/B191-1</f>
        <v/>
      </c>
      <c r="D192" s="66">
        <f>(Table134[[#This Row],[Index]]-B180)/B180</f>
        <v/>
      </c>
    </row>
    <row r="193">
      <c r="A193" s="17" t="n">
        <v>31959</v>
      </c>
      <c r="B193" s="58">
        <f>VLOOKUP(Table134[[#This Row],[Date]],database!A:I,8,)</f>
        <v/>
      </c>
      <c r="C193" s="66">
        <f>B193/B192-1</f>
        <v/>
      </c>
      <c r="D193" s="66">
        <f>(Table134[[#This Row],[Index]]-B181)/B181</f>
        <v/>
      </c>
    </row>
    <row r="194">
      <c r="A194" s="17" t="n">
        <v>31990</v>
      </c>
      <c r="B194" s="58">
        <f>VLOOKUP(Table134[[#This Row],[Date]],database!A:I,8,)</f>
        <v/>
      </c>
      <c r="C194" s="66">
        <f>B194/B193-1</f>
        <v/>
      </c>
      <c r="D194" s="66">
        <f>(Table134[[#This Row],[Index]]-B182)/B182</f>
        <v/>
      </c>
    </row>
    <row r="195">
      <c r="A195" s="17" t="n">
        <v>32021</v>
      </c>
      <c r="B195" s="58">
        <f>VLOOKUP(Table134[[#This Row],[Date]],database!A:I,8,)</f>
        <v/>
      </c>
      <c r="C195" s="66">
        <f>B195/B194-1</f>
        <v/>
      </c>
      <c r="D195" s="66">
        <f>(Table134[[#This Row],[Index]]-B183)/B183</f>
        <v/>
      </c>
    </row>
    <row r="196">
      <c r="A196" s="17" t="n">
        <v>32051</v>
      </c>
      <c r="B196" s="58">
        <f>VLOOKUP(Table134[[#This Row],[Date]],database!A:I,8,)</f>
        <v/>
      </c>
      <c r="C196" s="66">
        <f>B196/B195-1</f>
        <v/>
      </c>
      <c r="D196" s="66">
        <f>(Table134[[#This Row],[Index]]-B184)/B184</f>
        <v/>
      </c>
    </row>
    <row r="197">
      <c r="A197" s="17" t="n">
        <v>32082</v>
      </c>
      <c r="B197" s="58">
        <f>VLOOKUP(Table134[[#This Row],[Date]],database!A:I,8,)</f>
        <v/>
      </c>
      <c r="C197" s="66">
        <f>B197/B196-1</f>
        <v/>
      </c>
      <c r="D197" s="66">
        <f>(Table134[[#This Row],[Index]]-B185)/B185</f>
        <v/>
      </c>
    </row>
    <row r="198">
      <c r="A198" s="17" t="n">
        <v>32112</v>
      </c>
      <c r="B198" s="58">
        <f>VLOOKUP(Table134[[#This Row],[Date]],database!A:I,8,)</f>
        <v/>
      </c>
      <c r="C198" s="66">
        <f>B198/B197-1</f>
        <v/>
      </c>
      <c r="D198" s="66">
        <f>(Table134[[#This Row],[Index]]-B186)/B186</f>
        <v/>
      </c>
    </row>
    <row r="199">
      <c r="A199" s="17" t="n">
        <v>32143</v>
      </c>
      <c r="B199" s="58">
        <f>VLOOKUP(Table134[[#This Row],[Date]],database!A:I,8,)</f>
        <v/>
      </c>
      <c r="C199" s="66">
        <f>B199/B198-1</f>
        <v/>
      </c>
      <c r="D199" s="66">
        <f>(Table134[[#This Row],[Index]]-B187)/B187</f>
        <v/>
      </c>
    </row>
    <row r="200">
      <c r="A200" s="17" t="n">
        <v>32174</v>
      </c>
      <c r="B200" s="58">
        <f>VLOOKUP(Table134[[#This Row],[Date]],database!A:I,8,)</f>
        <v/>
      </c>
      <c r="C200" s="66">
        <f>B200/B199-1</f>
        <v/>
      </c>
      <c r="D200" s="66">
        <f>(Table134[[#This Row],[Index]]-B188)/B188</f>
        <v/>
      </c>
    </row>
    <row r="201">
      <c r="A201" s="17" t="n">
        <v>32203</v>
      </c>
      <c r="B201" s="58">
        <f>VLOOKUP(Table134[[#This Row],[Date]],database!A:I,8,)</f>
        <v/>
      </c>
      <c r="C201" s="66">
        <f>B201/B200-1</f>
        <v/>
      </c>
      <c r="D201" s="66">
        <f>(Table134[[#This Row],[Index]]-B189)/B189</f>
        <v/>
      </c>
    </row>
    <row r="202">
      <c r="A202" s="17" t="n">
        <v>32234</v>
      </c>
      <c r="B202" s="58">
        <f>VLOOKUP(Table134[[#This Row],[Date]],database!A:I,8,)</f>
        <v/>
      </c>
      <c r="C202" s="66">
        <f>B202/B201-1</f>
        <v/>
      </c>
      <c r="D202" s="66">
        <f>(Table134[[#This Row],[Index]]-B190)/B190</f>
        <v/>
      </c>
    </row>
    <row r="203">
      <c r="A203" s="17" t="n">
        <v>32264</v>
      </c>
      <c r="B203" s="58">
        <f>VLOOKUP(Table134[[#This Row],[Date]],database!A:I,8,)</f>
        <v/>
      </c>
      <c r="C203" s="66">
        <f>B203/B202-1</f>
        <v/>
      </c>
      <c r="D203" s="66">
        <f>(Table134[[#This Row],[Index]]-B191)/B191</f>
        <v/>
      </c>
    </row>
    <row r="204">
      <c r="A204" s="17" t="n">
        <v>32295</v>
      </c>
      <c r="B204" s="58">
        <f>VLOOKUP(Table134[[#This Row],[Date]],database!A:I,8,)</f>
        <v/>
      </c>
      <c r="C204" s="66">
        <f>B204/B203-1</f>
        <v/>
      </c>
      <c r="D204" s="66">
        <f>(Table134[[#This Row],[Index]]-B192)/B192</f>
        <v/>
      </c>
    </row>
    <row r="205">
      <c r="A205" s="17" t="n">
        <v>32325</v>
      </c>
      <c r="B205" s="58">
        <f>VLOOKUP(Table134[[#This Row],[Date]],database!A:I,8,)</f>
        <v/>
      </c>
      <c r="C205" s="66">
        <f>B205/B204-1</f>
        <v/>
      </c>
      <c r="D205" s="66">
        <f>(Table134[[#This Row],[Index]]-B193)/B193</f>
        <v/>
      </c>
    </row>
    <row r="206">
      <c r="A206" s="17" t="n">
        <v>32356</v>
      </c>
      <c r="B206" s="58">
        <f>VLOOKUP(Table134[[#This Row],[Date]],database!A:I,8,)</f>
        <v/>
      </c>
      <c r="C206" s="66">
        <f>B206/B205-1</f>
        <v/>
      </c>
      <c r="D206" s="66">
        <f>(Table134[[#This Row],[Index]]-B194)/B194</f>
        <v/>
      </c>
    </row>
    <row r="207">
      <c r="A207" s="17" t="n">
        <v>32387</v>
      </c>
      <c r="B207" s="58">
        <f>VLOOKUP(Table134[[#This Row],[Date]],database!A:I,8,)</f>
        <v/>
      </c>
      <c r="C207" s="66">
        <f>B207/B206-1</f>
        <v/>
      </c>
      <c r="D207" s="66">
        <f>(Table134[[#This Row],[Index]]-B195)/B195</f>
        <v/>
      </c>
    </row>
    <row r="208">
      <c r="A208" s="17" t="n">
        <v>32417</v>
      </c>
      <c r="B208" s="58">
        <f>VLOOKUP(Table134[[#This Row],[Date]],database!A:I,8,)</f>
        <v/>
      </c>
      <c r="C208" s="66">
        <f>B208/B207-1</f>
        <v/>
      </c>
      <c r="D208" s="66">
        <f>(Table134[[#This Row],[Index]]-B196)/B196</f>
        <v/>
      </c>
    </row>
    <row r="209">
      <c r="A209" s="17" t="n">
        <v>32448</v>
      </c>
      <c r="B209" s="58">
        <f>VLOOKUP(Table134[[#This Row],[Date]],database!A:I,8,)</f>
        <v/>
      </c>
      <c r="C209" s="66">
        <f>B209/B208-1</f>
        <v/>
      </c>
      <c r="D209" s="66">
        <f>(Table134[[#This Row],[Index]]-B197)/B197</f>
        <v/>
      </c>
    </row>
    <row r="210">
      <c r="A210" s="17" t="n">
        <v>32478</v>
      </c>
      <c r="B210" s="58">
        <f>VLOOKUP(Table134[[#This Row],[Date]],database!A:I,8,)</f>
        <v/>
      </c>
      <c r="C210" s="66">
        <f>B210/B209-1</f>
        <v/>
      </c>
      <c r="D210" s="66">
        <f>(Table134[[#This Row],[Index]]-B198)/B198</f>
        <v/>
      </c>
    </row>
    <row r="211">
      <c r="A211" s="17" t="n">
        <v>32509</v>
      </c>
      <c r="B211" s="58">
        <f>VLOOKUP(Table134[[#This Row],[Date]],database!A:I,8,)</f>
        <v/>
      </c>
      <c r="C211" s="66">
        <f>B211/B210-1</f>
        <v/>
      </c>
      <c r="D211" s="66">
        <f>(Table134[[#This Row],[Index]]-B199)/B199</f>
        <v/>
      </c>
    </row>
    <row r="212">
      <c r="A212" s="17" t="n">
        <v>32540</v>
      </c>
      <c r="B212" s="58">
        <f>VLOOKUP(Table134[[#This Row],[Date]],database!A:I,8,)</f>
        <v/>
      </c>
      <c r="C212" s="66">
        <f>B212/B211-1</f>
        <v/>
      </c>
      <c r="D212" s="66">
        <f>(Table134[[#This Row],[Index]]-B200)/B200</f>
        <v/>
      </c>
    </row>
    <row r="213">
      <c r="A213" s="17" t="n">
        <v>32568</v>
      </c>
      <c r="B213" s="58">
        <f>VLOOKUP(Table134[[#This Row],[Date]],database!A:I,8,)</f>
        <v/>
      </c>
      <c r="C213" s="66">
        <f>B213/B212-1</f>
        <v/>
      </c>
      <c r="D213" s="66">
        <f>(Table134[[#This Row],[Index]]-B201)/B201</f>
        <v/>
      </c>
    </row>
    <row r="214">
      <c r="A214" s="17" t="n">
        <v>32599</v>
      </c>
      <c r="B214" s="58">
        <f>VLOOKUP(Table134[[#This Row],[Date]],database!A:I,8,)</f>
        <v/>
      </c>
      <c r="C214" s="66">
        <f>B214/B213-1</f>
        <v/>
      </c>
      <c r="D214" s="66">
        <f>(Table134[[#This Row],[Index]]-B202)/B202</f>
        <v/>
      </c>
    </row>
    <row r="215">
      <c r="A215" s="17" t="n">
        <v>32629</v>
      </c>
      <c r="B215" s="58">
        <f>VLOOKUP(Table134[[#This Row],[Date]],database!A:I,8,)</f>
        <v/>
      </c>
      <c r="C215" s="66">
        <f>B215/B214-1</f>
        <v/>
      </c>
      <c r="D215" s="66">
        <f>(Table134[[#This Row],[Index]]-B203)/B203</f>
        <v/>
      </c>
    </row>
    <row r="216">
      <c r="A216" s="17" t="n">
        <v>32660</v>
      </c>
      <c r="B216" s="58">
        <f>VLOOKUP(Table134[[#This Row],[Date]],database!A:I,8,)</f>
        <v/>
      </c>
      <c r="C216" s="66">
        <f>B216/B215-1</f>
        <v/>
      </c>
      <c r="D216" s="66">
        <f>(Table134[[#This Row],[Index]]-B204)/B204</f>
        <v/>
      </c>
    </row>
    <row r="217">
      <c r="A217" s="17" t="n">
        <v>32690</v>
      </c>
      <c r="B217" s="58">
        <f>VLOOKUP(Table134[[#This Row],[Date]],database!A:I,8,)</f>
        <v/>
      </c>
      <c r="C217" s="66">
        <f>B217/B216-1</f>
        <v/>
      </c>
      <c r="D217" s="66">
        <f>(Table134[[#This Row],[Index]]-B205)/B205</f>
        <v/>
      </c>
    </row>
    <row r="218">
      <c r="A218" s="17" t="n">
        <v>32721</v>
      </c>
      <c r="B218" s="58">
        <f>VLOOKUP(Table134[[#This Row],[Date]],database!A:I,8,)</f>
        <v/>
      </c>
      <c r="C218" s="66">
        <f>B218/B217-1</f>
        <v/>
      </c>
      <c r="D218" s="66">
        <f>(Table134[[#This Row],[Index]]-B206)/B206</f>
        <v/>
      </c>
    </row>
    <row r="219">
      <c r="A219" s="17" t="n">
        <v>32752</v>
      </c>
      <c r="B219" s="58">
        <f>VLOOKUP(Table134[[#This Row],[Date]],database!A:I,8,)</f>
        <v/>
      </c>
      <c r="C219" s="66">
        <f>B219/B218-1</f>
        <v/>
      </c>
      <c r="D219" s="66">
        <f>(Table134[[#This Row],[Index]]-B207)/B207</f>
        <v/>
      </c>
    </row>
    <row r="220">
      <c r="A220" s="17" t="n">
        <v>32782</v>
      </c>
      <c r="B220" s="58">
        <f>VLOOKUP(Table134[[#This Row],[Date]],database!A:I,8,)</f>
        <v/>
      </c>
      <c r="C220" s="66">
        <f>B220/B219-1</f>
        <v/>
      </c>
      <c r="D220" s="66">
        <f>(Table134[[#This Row],[Index]]-B208)/B208</f>
        <v/>
      </c>
    </row>
    <row r="221">
      <c r="A221" s="17" t="n">
        <v>32813</v>
      </c>
      <c r="B221" s="58">
        <f>VLOOKUP(Table134[[#This Row],[Date]],database!A:I,8,)</f>
        <v/>
      </c>
      <c r="C221" s="66">
        <f>B221/B220-1</f>
        <v/>
      </c>
      <c r="D221" s="66">
        <f>(Table134[[#This Row],[Index]]-B209)/B209</f>
        <v/>
      </c>
    </row>
    <row r="222">
      <c r="A222" s="17" t="n">
        <v>32843</v>
      </c>
      <c r="B222" s="58">
        <f>VLOOKUP(Table134[[#This Row],[Date]],database!A:I,8,)</f>
        <v/>
      </c>
      <c r="C222" s="66">
        <f>B222/B221-1</f>
        <v/>
      </c>
      <c r="D222" s="66">
        <f>(Table134[[#This Row],[Index]]-B210)/B210</f>
        <v/>
      </c>
    </row>
    <row r="223">
      <c r="A223" s="17" t="n">
        <v>32874</v>
      </c>
      <c r="B223" s="58">
        <f>VLOOKUP(Table134[[#This Row],[Date]],database!A:I,8,)</f>
        <v/>
      </c>
      <c r="C223" s="66">
        <f>B223/B222-1</f>
        <v/>
      </c>
      <c r="D223" s="66">
        <f>(Table134[[#This Row],[Index]]-B211)/B211</f>
        <v/>
      </c>
    </row>
    <row r="224">
      <c r="A224" s="17" t="n">
        <v>32905</v>
      </c>
      <c r="B224" s="58">
        <f>VLOOKUP(Table134[[#This Row],[Date]],database!A:I,8,)</f>
        <v/>
      </c>
      <c r="C224" s="66">
        <f>B224/B223-1</f>
        <v/>
      </c>
      <c r="D224" s="66">
        <f>(Table134[[#This Row],[Index]]-B212)/B212</f>
        <v/>
      </c>
    </row>
    <row r="225">
      <c r="A225" s="17" t="n">
        <v>32933</v>
      </c>
      <c r="B225" s="58">
        <f>VLOOKUP(Table134[[#This Row],[Date]],database!A:I,8,)</f>
        <v/>
      </c>
      <c r="C225" s="66">
        <f>B225/B224-1</f>
        <v/>
      </c>
      <c r="D225" s="66">
        <f>(Table134[[#This Row],[Index]]-B213)/B213</f>
        <v/>
      </c>
    </row>
    <row r="226">
      <c r="A226" s="17" t="n">
        <v>32964</v>
      </c>
      <c r="B226" s="58">
        <f>VLOOKUP(Table134[[#This Row],[Date]],database!A:I,8,)</f>
        <v/>
      </c>
      <c r="C226" s="66">
        <f>B226/B225-1</f>
        <v/>
      </c>
      <c r="D226" s="66">
        <f>(Table134[[#This Row],[Index]]-B214)/B214</f>
        <v/>
      </c>
    </row>
    <row r="227">
      <c r="A227" s="17" t="n">
        <v>32994</v>
      </c>
      <c r="B227" s="58">
        <f>VLOOKUP(Table134[[#This Row],[Date]],database!A:I,8,)</f>
        <v/>
      </c>
      <c r="C227" s="66">
        <f>B227/B226-1</f>
        <v/>
      </c>
      <c r="D227" s="66">
        <f>(Table134[[#This Row],[Index]]-B215)/B215</f>
        <v/>
      </c>
    </row>
    <row r="228">
      <c r="A228" s="17" t="n">
        <v>33025</v>
      </c>
      <c r="B228" s="58">
        <f>VLOOKUP(Table134[[#This Row],[Date]],database!A:I,8,)</f>
        <v/>
      </c>
      <c r="C228" s="66">
        <f>B228/B227-1</f>
        <v/>
      </c>
      <c r="D228" s="66">
        <f>(Table134[[#This Row],[Index]]-B216)/B216</f>
        <v/>
      </c>
    </row>
    <row r="229">
      <c r="A229" s="17" t="n">
        <v>33055</v>
      </c>
      <c r="B229" s="58">
        <f>VLOOKUP(Table134[[#This Row],[Date]],database!A:I,8,)</f>
        <v/>
      </c>
      <c r="C229" s="66">
        <f>B229/B228-1</f>
        <v/>
      </c>
      <c r="D229" s="66">
        <f>(Table134[[#This Row],[Index]]-B217)/B217</f>
        <v/>
      </c>
    </row>
    <row r="230">
      <c r="A230" s="17" t="n">
        <v>33086</v>
      </c>
      <c r="B230" s="58">
        <f>VLOOKUP(Table134[[#This Row],[Date]],database!A:I,8,)</f>
        <v/>
      </c>
      <c r="C230" s="66">
        <f>B230/B229-1</f>
        <v/>
      </c>
      <c r="D230" s="66">
        <f>(Table134[[#This Row],[Index]]-B218)/B218</f>
        <v/>
      </c>
    </row>
    <row r="231">
      <c r="A231" s="17" t="n">
        <v>33117</v>
      </c>
      <c r="B231" s="58">
        <f>VLOOKUP(Table134[[#This Row],[Date]],database!A:I,8,)</f>
        <v/>
      </c>
      <c r="C231" s="66">
        <f>B231/B230-1</f>
        <v/>
      </c>
      <c r="D231" s="66">
        <f>(Table134[[#This Row],[Index]]-B219)/B219</f>
        <v/>
      </c>
    </row>
    <row r="232">
      <c r="A232" s="17" t="n">
        <v>33147</v>
      </c>
      <c r="B232" s="58">
        <f>VLOOKUP(Table134[[#This Row],[Date]],database!A:I,8,)</f>
        <v/>
      </c>
      <c r="C232" s="66">
        <f>B232/B231-1</f>
        <v/>
      </c>
      <c r="D232" s="66">
        <f>(Table134[[#This Row],[Index]]-B220)/B220</f>
        <v/>
      </c>
    </row>
    <row r="233">
      <c r="A233" s="17" t="n">
        <v>33178</v>
      </c>
      <c r="B233" s="58">
        <f>VLOOKUP(Table134[[#This Row],[Date]],database!A:I,8,)</f>
        <v/>
      </c>
      <c r="C233" s="66">
        <f>B233/B232-1</f>
        <v/>
      </c>
      <c r="D233" s="66">
        <f>(Table134[[#This Row],[Index]]-B221)/B221</f>
        <v/>
      </c>
    </row>
    <row r="234">
      <c r="A234" s="17" t="n">
        <v>33208</v>
      </c>
      <c r="B234" s="58">
        <f>VLOOKUP(Table134[[#This Row],[Date]],database!A:I,8,)</f>
        <v/>
      </c>
      <c r="C234" s="66">
        <f>B234/B233-1</f>
        <v/>
      </c>
      <c r="D234" s="66">
        <f>(Table134[[#This Row],[Index]]-B222)/B222</f>
        <v/>
      </c>
    </row>
    <row r="235">
      <c r="A235" s="17" t="n">
        <v>33239</v>
      </c>
      <c r="B235" s="58">
        <f>VLOOKUP(Table134[[#This Row],[Date]],database!A:I,8,)</f>
        <v/>
      </c>
      <c r="C235" s="66">
        <f>B235/B234-1</f>
        <v/>
      </c>
      <c r="D235" s="66">
        <f>(Table134[[#This Row],[Index]]-B223)/B223</f>
        <v/>
      </c>
    </row>
    <row r="236">
      <c r="A236" s="17" t="n">
        <v>33270</v>
      </c>
      <c r="B236" s="58">
        <f>VLOOKUP(Table134[[#This Row],[Date]],database!A:I,8,)</f>
        <v/>
      </c>
      <c r="C236" s="66">
        <f>B236/B235-1</f>
        <v/>
      </c>
      <c r="D236" s="66">
        <f>(Table134[[#This Row],[Index]]-B224)/B224</f>
        <v/>
      </c>
    </row>
    <row r="237">
      <c r="A237" s="17" t="n">
        <v>33298</v>
      </c>
      <c r="B237" s="58">
        <f>VLOOKUP(Table134[[#This Row],[Date]],database!A:I,8,)</f>
        <v/>
      </c>
      <c r="C237" s="66">
        <f>B237/B236-1</f>
        <v/>
      </c>
      <c r="D237" s="66">
        <f>(Table134[[#This Row],[Index]]-B225)/B225</f>
        <v/>
      </c>
    </row>
    <row r="238">
      <c r="A238" s="17" t="n">
        <v>33329</v>
      </c>
      <c r="B238" s="58">
        <f>VLOOKUP(Table134[[#This Row],[Date]],database!A:I,8,)</f>
        <v/>
      </c>
      <c r="C238" s="66">
        <f>B238/B237-1</f>
        <v/>
      </c>
      <c r="D238" s="66">
        <f>(Table134[[#This Row],[Index]]-B226)/B226</f>
        <v/>
      </c>
    </row>
    <row r="239">
      <c r="A239" s="17" t="n">
        <v>33359</v>
      </c>
      <c r="B239" s="58">
        <f>VLOOKUP(Table134[[#This Row],[Date]],database!A:I,8,)</f>
        <v/>
      </c>
      <c r="C239" s="66">
        <f>B239/B238-1</f>
        <v/>
      </c>
      <c r="D239" s="66">
        <f>(Table134[[#This Row],[Index]]-B227)/B227</f>
        <v/>
      </c>
    </row>
    <row r="240">
      <c r="A240" s="17" t="n">
        <v>33390</v>
      </c>
      <c r="B240" s="58">
        <f>VLOOKUP(Table134[[#This Row],[Date]],database!A:I,8,)</f>
        <v/>
      </c>
      <c r="C240" s="66">
        <f>B240/B239-1</f>
        <v/>
      </c>
      <c r="D240" s="66">
        <f>(Table134[[#This Row],[Index]]-B228)/B228</f>
        <v/>
      </c>
    </row>
    <row r="241">
      <c r="A241" s="17" t="n">
        <v>33420</v>
      </c>
      <c r="B241" s="58">
        <f>VLOOKUP(Table134[[#This Row],[Date]],database!A:I,8,)</f>
        <v/>
      </c>
      <c r="C241" s="66">
        <f>B241/B240-1</f>
        <v/>
      </c>
      <c r="D241" s="66">
        <f>(Table134[[#This Row],[Index]]-B229)/B229</f>
        <v/>
      </c>
    </row>
    <row r="242">
      <c r="A242" s="17" t="n">
        <v>33451</v>
      </c>
      <c r="B242" s="58">
        <f>VLOOKUP(Table134[[#This Row],[Date]],database!A:I,8,)</f>
        <v/>
      </c>
      <c r="C242" s="66">
        <f>B242/B241-1</f>
        <v/>
      </c>
      <c r="D242" s="66">
        <f>(Table134[[#This Row],[Index]]-B230)/B230</f>
        <v/>
      </c>
    </row>
    <row r="243">
      <c r="A243" s="17" t="n">
        <v>33482</v>
      </c>
      <c r="B243" s="58">
        <f>VLOOKUP(Table134[[#This Row],[Date]],database!A:I,8,)</f>
        <v/>
      </c>
      <c r="C243" s="66">
        <f>B243/B242-1</f>
        <v/>
      </c>
      <c r="D243" s="66">
        <f>(Table134[[#This Row],[Index]]-B231)/B231</f>
        <v/>
      </c>
    </row>
    <row r="244">
      <c r="A244" s="17" t="n">
        <v>33512</v>
      </c>
      <c r="B244" s="58">
        <f>VLOOKUP(Table134[[#This Row],[Date]],database!A:I,8,)</f>
        <v/>
      </c>
      <c r="C244" s="66">
        <f>B244/B243-1</f>
        <v/>
      </c>
      <c r="D244" s="66">
        <f>(Table134[[#This Row],[Index]]-B232)/B232</f>
        <v/>
      </c>
    </row>
    <row r="245">
      <c r="A245" s="17" t="n">
        <v>33543</v>
      </c>
      <c r="B245" s="58">
        <f>VLOOKUP(Table134[[#This Row],[Date]],database!A:I,8,)</f>
        <v/>
      </c>
      <c r="C245" s="66">
        <f>B245/B244-1</f>
        <v/>
      </c>
      <c r="D245" s="66">
        <f>(Table134[[#This Row],[Index]]-B233)/B233</f>
        <v/>
      </c>
    </row>
    <row r="246">
      <c r="A246" s="17" t="n">
        <v>33573</v>
      </c>
      <c r="B246" s="58">
        <f>VLOOKUP(Table134[[#This Row],[Date]],database!A:I,8,)</f>
        <v/>
      </c>
      <c r="C246" s="66">
        <f>B246/B245-1</f>
        <v/>
      </c>
      <c r="D246" s="66">
        <f>(Table134[[#This Row],[Index]]-B234)/B234</f>
        <v/>
      </c>
    </row>
    <row r="247">
      <c r="A247" s="17" t="n">
        <v>33604</v>
      </c>
      <c r="B247" s="58">
        <f>VLOOKUP(Table134[[#This Row],[Date]],database!A:I,8,)</f>
        <v/>
      </c>
      <c r="C247" s="66">
        <f>B247/B246-1</f>
        <v/>
      </c>
      <c r="D247" s="66">
        <f>(Table134[[#This Row],[Index]]-B235)/B235</f>
        <v/>
      </c>
    </row>
    <row r="248">
      <c r="A248" s="17" t="n">
        <v>33635</v>
      </c>
      <c r="B248" s="58">
        <f>VLOOKUP(Table134[[#This Row],[Date]],database!A:I,8,)</f>
        <v/>
      </c>
      <c r="C248" s="66">
        <f>B248/B247-1</f>
        <v/>
      </c>
      <c r="D248" s="66">
        <f>(Table134[[#This Row],[Index]]-B236)/B236</f>
        <v/>
      </c>
    </row>
    <row r="249">
      <c r="A249" s="17" t="n">
        <v>33664</v>
      </c>
      <c r="B249" s="58">
        <f>VLOOKUP(Table134[[#This Row],[Date]],database!A:I,8,)</f>
        <v/>
      </c>
      <c r="C249" s="66">
        <f>B249/B248-1</f>
        <v/>
      </c>
      <c r="D249" s="66">
        <f>(Table134[[#This Row],[Index]]-B237)/B237</f>
        <v/>
      </c>
    </row>
    <row r="250">
      <c r="A250" s="17" t="n">
        <v>33695</v>
      </c>
      <c r="B250" s="58">
        <f>VLOOKUP(Table134[[#This Row],[Date]],database!A:I,8,)</f>
        <v/>
      </c>
      <c r="C250" s="66">
        <f>B250/B249-1</f>
        <v/>
      </c>
      <c r="D250" s="66">
        <f>(Table134[[#This Row],[Index]]-B238)/B238</f>
        <v/>
      </c>
    </row>
    <row r="251">
      <c r="A251" s="17" t="n">
        <v>33725</v>
      </c>
      <c r="B251" s="58">
        <f>VLOOKUP(Table134[[#This Row],[Date]],database!A:I,8,)</f>
        <v/>
      </c>
      <c r="C251" s="66">
        <f>B251/B250-1</f>
        <v/>
      </c>
      <c r="D251" s="66">
        <f>(Table134[[#This Row],[Index]]-B239)/B239</f>
        <v/>
      </c>
    </row>
    <row r="252">
      <c r="A252" s="17" t="n">
        <v>33756</v>
      </c>
      <c r="B252" s="58">
        <f>VLOOKUP(Table134[[#This Row],[Date]],database!A:I,8,)</f>
        <v/>
      </c>
      <c r="C252" s="66">
        <f>B252/B251-1</f>
        <v/>
      </c>
      <c r="D252" s="66">
        <f>(Table134[[#This Row],[Index]]-B240)/B240</f>
        <v/>
      </c>
    </row>
    <row r="253">
      <c r="A253" s="17" t="n">
        <v>33786</v>
      </c>
      <c r="B253" s="58">
        <f>VLOOKUP(Table134[[#This Row],[Date]],database!A:I,8,)</f>
        <v/>
      </c>
      <c r="C253" s="66">
        <f>B253/B252-1</f>
        <v/>
      </c>
      <c r="D253" s="66">
        <f>(Table134[[#This Row],[Index]]-B241)/B241</f>
        <v/>
      </c>
    </row>
    <row r="254">
      <c r="A254" s="17" t="n">
        <v>33817</v>
      </c>
      <c r="B254" s="58">
        <f>VLOOKUP(Table134[[#This Row],[Date]],database!A:I,8,)</f>
        <v/>
      </c>
      <c r="C254" s="66">
        <f>B254/B253-1</f>
        <v/>
      </c>
      <c r="D254" s="66">
        <f>(Table134[[#This Row],[Index]]-B242)/B242</f>
        <v/>
      </c>
    </row>
    <row r="255">
      <c r="A255" s="17" t="n">
        <v>33848</v>
      </c>
      <c r="B255" s="58">
        <f>VLOOKUP(Table134[[#This Row],[Date]],database!A:I,8,)</f>
        <v/>
      </c>
      <c r="C255" s="66">
        <f>B255/B254-1</f>
        <v/>
      </c>
      <c r="D255" s="66">
        <f>(Table134[[#This Row],[Index]]-B243)/B243</f>
        <v/>
      </c>
    </row>
    <row r="256">
      <c r="A256" s="17" t="n">
        <v>33878</v>
      </c>
      <c r="B256" s="58">
        <f>VLOOKUP(Table134[[#This Row],[Date]],database!A:I,8,)</f>
        <v/>
      </c>
      <c r="C256" s="66">
        <f>B256/B255-1</f>
        <v/>
      </c>
      <c r="D256" s="66">
        <f>(Table134[[#This Row],[Index]]-B244)/B244</f>
        <v/>
      </c>
    </row>
    <row r="257">
      <c r="A257" s="17" t="n">
        <v>33909</v>
      </c>
      <c r="B257" s="58">
        <f>VLOOKUP(Table134[[#This Row],[Date]],database!A:I,8,)</f>
        <v/>
      </c>
      <c r="C257" s="66">
        <f>B257/B256-1</f>
        <v/>
      </c>
      <c r="D257" s="66">
        <f>(Table134[[#This Row],[Index]]-B245)/B245</f>
        <v/>
      </c>
    </row>
    <row r="258">
      <c r="A258" s="17" t="n">
        <v>33939</v>
      </c>
      <c r="B258" s="58">
        <f>VLOOKUP(Table134[[#This Row],[Date]],database!A:I,8,)</f>
        <v/>
      </c>
      <c r="C258" s="66">
        <f>B258/B257-1</f>
        <v/>
      </c>
      <c r="D258" s="66">
        <f>(Table134[[#This Row],[Index]]-B246)/B246</f>
        <v/>
      </c>
    </row>
    <row r="259">
      <c r="A259" s="17" t="n">
        <v>33970</v>
      </c>
      <c r="B259" s="58">
        <f>VLOOKUP(Table134[[#This Row],[Date]],database!A:I,8,)</f>
        <v/>
      </c>
      <c r="C259" s="66">
        <f>B259/B258-1</f>
        <v/>
      </c>
      <c r="D259" s="66">
        <f>(Table134[[#This Row],[Index]]-B247)/B247</f>
        <v/>
      </c>
    </row>
    <row r="260">
      <c r="A260" s="17" t="n">
        <v>34001</v>
      </c>
      <c r="B260" s="58">
        <f>VLOOKUP(Table134[[#This Row],[Date]],database!A:I,8,)</f>
        <v/>
      </c>
      <c r="C260" s="66">
        <f>B260/B259-1</f>
        <v/>
      </c>
      <c r="D260" s="66">
        <f>(Table134[[#This Row],[Index]]-B248)/B248</f>
        <v/>
      </c>
    </row>
    <row r="261">
      <c r="A261" s="17" t="n">
        <v>34029</v>
      </c>
      <c r="B261" s="58">
        <f>VLOOKUP(Table134[[#This Row],[Date]],database!A:I,8,)</f>
        <v/>
      </c>
      <c r="C261" s="66">
        <f>B261/B260-1</f>
        <v/>
      </c>
      <c r="D261" s="66">
        <f>(Table134[[#This Row],[Index]]-B249)/B249</f>
        <v/>
      </c>
    </row>
    <row r="262">
      <c r="A262" s="17" t="n">
        <v>34060</v>
      </c>
      <c r="B262" s="58">
        <f>VLOOKUP(Table134[[#This Row],[Date]],database!A:I,8,)</f>
        <v/>
      </c>
      <c r="C262" s="66">
        <f>B262/B261-1</f>
        <v/>
      </c>
      <c r="D262" s="66">
        <f>(Table134[[#This Row],[Index]]-B250)/B250</f>
        <v/>
      </c>
    </row>
    <row r="263">
      <c r="A263" s="17" t="n">
        <v>34090</v>
      </c>
      <c r="B263" s="58">
        <f>VLOOKUP(Table134[[#This Row],[Date]],database!A:I,8,)</f>
        <v/>
      </c>
      <c r="C263" s="66">
        <f>B263/B262-1</f>
        <v/>
      </c>
      <c r="D263" s="66">
        <f>(Table134[[#This Row],[Index]]-B251)/B251</f>
        <v/>
      </c>
    </row>
    <row r="264">
      <c r="A264" s="17" t="n">
        <v>34121</v>
      </c>
      <c r="B264" s="58">
        <f>VLOOKUP(Table134[[#This Row],[Date]],database!A:I,8,)</f>
        <v/>
      </c>
      <c r="C264" s="66">
        <f>B264/B263-1</f>
        <v/>
      </c>
      <c r="D264" s="66">
        <f>(Table134[[#This Row],[Index]]-B252)/B252</f>
        <v/>
      </c>
    </row>
    <row r="265">
      <c r="A265" s="17" t="n">
        <v>34151</v>
      </c>
      <c r="B265" s="58">
        <f>VLOOKUP(Table134[[#This Row],[Date]],database!A:I,8,)</f>
        <v/>
      </c>
      <c r="C265" s="66">
        <f>B265/B264-1</f>
        <v/>
      </c>
      <c r="D265" s="66">
        <f>(Table134[[#This Row],[Index]]-B253)/B253</f>
        <v/>
      </c>
    </row>
    <row r="266">
      <c r="A266" s="17" t="n">
        <v>34182</v>
      </c>
      <c r="B266" s="58">
        <f>VLOOKUP(Table134[[#This Row],[Date]],database!A:I,8,)</f>
        <v/>
      </c>
      <c r="C266" s="66">
        <f>B266/B265-1</f>
        <v/>
      </c>
      <c r="D266" s="66">
        <f>(Table134[[#This Row],[Index]]-B254)/B254</f>
        <v/>
      </c>
    </row>
    <row r="267">
      <c r="A267" s="17" t="n">
        <v>34213</v>
      </c>
      <c r="B267" s="58">
        <f>VLOOKUP(Table134[[#This Row],[Date]],database!A:I,8,)</f>
        <v/>
      </c>
      <c r="C267" s="66">
        <f>B267/B266-1</f>
        <v/>
      </c>
      <c r="D267" s="66">
        <f>(Table134[[#This Row],[Index]]-B255)/B255</f>
        <v/>
      </c>
    </row>
    <row r="268">
      <c r="A268" s="17" t="n">
        <v>34243</v>
      </c>
      <c r="B268" s="58">
        <f>VLOOKUP(Table134[[#This Row],[Date]],database!A:I,8,)</f>
        <v/>
      </c>
      <c r="C268" s="66">
        <f>B268/B267-1</f>
        <v/>
      </c>
      <c r="D268" s="66">
        <f>(Table134[[#This Row],[Index]]-B256)/B256</f>
        <v/>
      </c>
    </row>
    <row r="269">
      <c r="A269" s="17" t="n">
        <v>34274</v>
      </c>
      <c r="B269" s="58">
        <f>VLOOKUP(Table134[[#This Row],[Date]],database!A:I,8,)</f>
        <v/>
      </c>
      <c r="C269" s="66">
        <f>B269/B268-1</f>
        <v/>
      </c>
      <c r="D269" s="66">
        <f>(Table134[[#This Row],[Index]]-B257)/B257</f>
        <v/>
      </c>
    </row>
    <row r="270">
      <c r="A270" s="17" t="n">
        <v>34304</v>
      </c>
      <c r="B270" s="58">
        <f>VLOOKUP(Table134[[#This Row],[Date]],database!A:I,8,)</f>
        <v/>
      </c>
      <c r="C270" s="66">
        <f>B270/B269-1</f>
        <v/>
      </c>
      <c r="D270" s="66">
        <f>(Table134[[#This Row],[Index]]-B258)/B258</f>
        <v/>
      </c>
    </row>
    <row r="271">
      <c r="A271" s="17" t="n">
        <v>34335</v>
      </c>
      <c r="B271" s="58">
        <f>VLOOKUP(Table134[[#This Row],[Date]],database!A:I,8,)</f>
        <v/>
      </c>
      <c r="C271" s="66">
        <f>B271/B270-1</f>
        <v/>
      </c>
      <c r="D271" s="66">
        <f>(Table134[[#This Row],[Index]]-B259)/B259</f>
        <v/>
      </c>
    </row>
    <row r="272">
      <c r="A272" s="17" t="n">
        <v>34366</v>
      </c>
      <c r="B272" s="58">
        <f>VLOOKUP(Table134[[#This Row],[Date]],database!A:I,8,)</f>
        <v/>
      </c>
      <c r="C272" s="66">
        <f>B272/B271-1</f>
        <v/>
      </c>
      <c r="D272" s="66">
        <f>(Table134[[#This Row],[Index]]-B260)/B260</f>
        <v/>
      </c>
    </row>
    <row r="273">
      <c r="A273" s="17" t="n">
        <v>34394</v>
      </c>
      <c r="B273" s="58">
        <f>VLOOKUP(Table134[[#This Row],[Date]],database!A:I,8,)</f>
        <v/>
      </c>
      <c r="C273" s="66">
        <f>B273/B272-1</f>
        <v/>
      </c>
      <c r="D273" s="66">
        <f>(Table134[[#This Row],[Index]]-B261)/B261</f>
        <v/>
      </c>
    </row>
    <row r="274">
      <c r="A274" s="17" t="n">
        <v>34425</v>
      </c>
      <c r="B274" s="58">
        <f>VLOOKUP(Table134[[#This Row],[Date]],database!A:I,8,)</f>
        <v/>
      </c>
      <c r="C274" s="66">
        <f>B274/B273-1</f>
        <v/>
      </c>
      <c r="D274" s="66">
        <f>(Table134[[#This Row],[Index]]-B262)/B262</f>
        <v/>
      </c>
    </row>
    <row r="275">
      <c r="A275" s="17" t="n">
        <v>34455</v>
      </c>
      <c r="B275" s="58">
        <f>VLOOKUP(Table134[[#This Row],[Date]],database!A:I,8,)</f>
        <v/>
      </c>
      <c r="C275" s="66">
        <f>B275/B274-1</f>
        <v/>
      </c>
      <c r="D275" s="66">
        <f>(Table134[[#This Row],[Index]]-B263)/B263</f>
        <v/>
      </c>
    </row>
    <row r="276">
      <c r="A276" s="17" t="n">
        <v>34486</v>
      </c>
      <c r="B276" s="58">
        <f>VLOOKUP(Table134[[#This Row],[Date]],database!A:I,8,)</f>
        <v/>
      </c>
      <c r="C276" s="66">
        <f>B276/B275-1</f>
        <v/>
      </c>
      <c r="D276" s="66">
        <f>(Table134[[#This Row],[Index]]-B264)/B264</f>
        <v/>
      </c>
    </row>
    <row r="277">
      <c r="A277" s="17" t="n">
        <v>34516</v>
      </c>
      <c r="B277" s="58">
        <f>VLOOKUP(Table134[[#This Row],[Date]],database!A:I,8,)</f>
        <v/>
      </c>
      <c r="C277" s="66">
        <f>B277/B276-1</f>
        <v/>
      </c>
      <c r="D277" s="66">
        <f>(Table134[[#This Row],[Index]]-B265)/B265</f>
        <v/>
      </c>
    </row>
    <row r="278">
      <c r="A278" s="17" t="n">
        <v>34547</v>
      </c>
      <c r="B278" s="58">
        <f>VLOOKUP(Table134[[#This Row],[Date]],database!A:I,8,)</f>
        <v/>
      </c>
      <c r="C278" s="66">
        <f>B278/B277-1</f>
        <v/>
      </c>
      <c r="D278" s="66">
        <f>(Table134[[#This Row],[Index]]-B266)/B266</f>
        <v/>
      </c>
    </row>
    <row r="279">
      <c r="A279" s="17" t="n">
        <v>34578</v>
      </c>
      <c r="B279" s="58">
        <f>VLOOKUP(Table134[[#This Row],[Date]],database!A:I,8,)</f>
        <v/>
      </c>
      <c r="C279" s="66">
        <f>B279/B278-1</f>
        <v/>
      </c>
      <c r="D279" s="66">
        <f>(Table134[[#This Row],[Index]]-B267)/B267</f>
        <v/>
      </c>
    </row>
    <row r="280">
      <c r="A280" s="17" t="n">
        <v>34608</v>
      </c>
      <c r="B280" s="58">
        <f>VLOOKUP(Table134[[#This Row],[Date]],database!A:I,8,)</f>
        <v/>
      </c>
      <c r="C280" s="66">
        <f>B280/B279-1</f>
        <v/>
      </c>
      <c r="D280" s="66">
        <f>(Table134[[#This Row],[Index]]-B268)/B268</f>
        <v/>
      </c>
    </row>
    <row r="281">
      <c r="A281" s="17" t="n">
        <v>34639</v>
      </c>
      <c r="B281" s="58">
        <f>VLOOKUP(Table134[[#This Row],[Date]],database!A:I,8,)</f>
        <v/>
      </c>
      <c r="C281" s="66">
        <f>B281/B280-1</f>
        <v/>
      </c>
      <c r="D281" s="66">
        <f>(Table134[[#This Row],[Index]]-B269)/B269</f>
        <v/>
      </c>
    </row>
    <row r="282">
      <c r="A282" s="17" t="n">
        <v>34669</v>
      </c>
      <c r="B282" s="58">
        <f>VLOOKUP(Table134[[#This Row],[Date]],database!A:I,8,)</f>
        <v/>
      </c>
      <c r="C282" s="66">
        <f>B282/B281-1</f>
        <v/>
      </c>
      <c r="D282" s="66">
        <f>(Table134[[#This Row],[Index]]-B270)/B270</f>
        <v/>
      </c>
    </row>
    <row r="283">
      <c r="A283" s="17" t="n">
        <v>34700</v>
      </c>
      <c r="B283" s="58">
        <f>VLOOKUP(Table134[[#This Row],[Date]],database!A:I,8,)</f>
        <v/>
      </c>
      <c r="C283" s="66">
        <f>B283/B282-1</f>
        <v/>
      </c>
      <c r="D283" s="66">
        <f>(Table134[[#This Row],[Index]]-B271)/B271</f>
        <v/>
      </c>
    </row>
    <row r="284">
      <c r="A284" s="17" t="n">
        <v>34731</v>
      </c>
      <c r="B284" s="58">
        <f>VLOOKUP(Table134[[#This Row],[Date]],database!A:I,8,)</f>
        <v/>
      </c>
      <c r="C284" s="66">
        <f>B284/B283-1</f>
        <v/>
      </c>
      <c r="D284" s="66">
        <f>(Table134[[#This Row],[Index]]-B272)/B272</f>
        <v/>
      </c>
    </row>
    <row r="285">
      <c r="A285" s="17" t="n">
        <v>34759</v>
      </c>
      <c r="B285" s="58">
        <f>VLOOKUP(Table134[[#This Row],[Date]],database!A:I,8,)</f>
        <v/>
      </c>
      <c r="C285" s="66">
        <f>B285/B284-1</f>
        <v/>
      </c>
      <c r="D285" s="66">
        <f>(Table134[[#This Row],[Index]]-B273)/B273</f>
        <v/>
      </c>
    </row>
    <row r="286">
      <c r="A286" s="17" t="n">
        <v>34790</v>
      </c>
      <c r="B286" s="58">
        <f>VLOOKUP(Table134[[#This Row],[Date]],database!A:I,8,)</f>
        <v/>
      </c>
      <c r="C286" s="66">
        <f>B286/B285-1</f>
        <v/>
      </c>
      <c r="D286" s="66">
        <f>(Table134[[#This Row],[Index]]-B274)/B274</f>
        <v/>
      </c>
    </row>
    <row r="287">
      <c r="A287" s="17" t="n">
        <v>34820</v>
      </c>
      <c r="B287" s="58">
        <f>VLOOKUP(Table134[[#This Row],[Date]],database!A:I,8,)</f>
        <v/>
      </c>
      <c r="C287" s="66">
        <f>B287/B286-1</f>
        <v/>
      </c>
      <c r="D287" s="66">
        <f>(Table134[[#This Row],[Index]]-B275)/B275</f>
        <v/>
      </c>
    </row>
    <row r="288">
      <c r="A288" s="17" t="n">
        <v>34851</v>
      </c>
      <c r="B288" s="58">
        <f>VLOOKUP(Table134[[#This Row],[Date]],database!A:I,8,)</f>
        <v/>
      </c>
      <c r="C288" s="66">
        <f>B288/B287-1</f>
        <v/>
      </c>
      <c r="D288" s="66">
        <f>(Table134[[#This Row],[Index]]-B276)/B276</f>
        <v/>
      </c>
    </row>
    <row r="289">
      <c r="A289" s="17" t="n">
        <v>34881</v>
      </c>
      <c r="B289" s="58">
        <f>VLOOKUP(Table134[[#This Row],[Date]],database!A:I,8,)</f>
        <v/>
      </c>
      <c r="C289" s="66">
        <f>B289/B288-1</f>
        <v/>
      </c>
      <c r="D289" s="66">
        <f>(Table134[[#This Row],[Index]]-B277)/B277</f>
        <v/>
      </c>
    </row>
    <row r="290">
      <c r="A290" s="17" t="n">
        <v>34912</v>
      </c>
      <c r="B290" s="58">
        <f>VLOOKUP(Table134[[#This Row],[Date]],database!A:I,8,)</f>
        <v/>
      </c>
      <c r="C290" s="66">
        <f>B290/B289-1</f>
        <v/>
      </c>
      <c r="D290" s="66">
        <f>(Table134[[#This Row],[Index]]-B278)/B278</f>
        <v/>
      </c>
    </row>
    <row r="291">
      <c r="A291" s="17" t="n">
        <v>34943</v>
      </c>
      <c r="B291" s="58">
        <f>VLOOKUP(Table134[[#This Row],[Date]],database!A:I,8,)</f>
        <v/>
      </c>
      <c r="C291" s="66">
        <f>B291/B290-1</f>
        <v/>
      </c>
      <c r="D291" s="66">
        <f>(Table134[[#This Row],[Index]]-B279)/B279</f>
        <v/>
      </c>
    </row>
    <row r="292">
      <c r="A292" s="17" t="n">
        <v>34973</v>
      </c>
      <c r="B292" s="58">
        <f>VLOOKUP(Table134[[#This Row],[Date]],database!A:I,8,)</f>
        <v/>
      </c>
      <c r="C292" s="66">
        <f>B292/B291-1</f>
        <v/>
      </c>
      <c r="D292" s="66">
        <f>(Table134[[#This Row],[Index]]-B280)/B280</f>
        <v/>
      </c>
    </row>
    <row r="293">
      <c r="A293" s="17" t="n">
        <v>35004</v>
      </c>
      <c r="B293" s="58">
        <f>VLOOKUP(Table134[[#This Row],[Date]],database!A:I,8,)</f>
        <v/>
      </c>
      <c r="C293" s="66">
        <f>B293/B292-1</f>
        <v/>
      </c>
      <c r="D293" s="66">
        <f>(Table134[[#This Row],[Index]]-B281)/B281</f>
        <v/>
      </c>
    </row>
    <row r="294">
      <c r="A294" s="17" t="n">
        <v>35034</v>
      </c>
      <c r="B294" s="58">
        <f>VLOOKUP(Table134[[#This Row],[Date]],database!A:I,8,)</f>
        <v/>
      </c>
      <c r="C294" s="66">
        <f>B294/B293-1</f>
        <v/>
      </c>
      <c r="D294" s="66">
        <f>(Table134[[#This Row],[Index]]-B282)/B282</f>
        <v/>
      </c>
    </row>
    <row r="295">
      <c r="A295" s="17" t="n">
        <v>35065</v>
      </c>
      <c r="B295" s="58">
        <f>VLOOKUP(Table134[[#This Row],[Date]],database!A:I,8,)</f>
        <v/>
      </c>
      <c r="C295" s="66">
        <f>B295/B294-1</f>
        <v/>
      </c>
      <c r="D295" s="66">
        <f>(Table134[[#This Row],[Index]]-B283)/B283</f>
        <v/>
      </c>
    </row>
    <row r="296">
      <c r="A296" s="17" t="n">
        <v>35096</v>
      </c>
      <c r="B296" s="58">
        <f>VLOOKUP(Table134[[#This Row],[Date]],database!A:I,8,)</f>
        <v/>
      </c>
      <c r="C296" s="66">
        <f>B296/B295-1</f>
        <v/>
      </c>
      <c r="D296" s="66">
        <f>(Table134[[#This Row],[Index]]-B284)/B284</f>
        <v/>
      </c>
    </row>
    <row r="297">
      <c r="A297" s="17" t="n">
        <v>35125</v>
      </c>
      <c r="B297" s="58">
        <f>VLOOKUP(Table134[[#This Row],[Date]],database!A:I,8,)</f>
        <v/>
      </c>
      <c r="C297" s="66">
        <f>B297/B296-1</f>
        <v/>
      </c>
      <c r="D297" s="66">
        <f>(Table134[[#This Row],[Index]]-B285)/B285</f>
        <v/>
      </c>
    </row>
    <row r="298">
      <c r="A298" s="17" t="n">
        <v>35156</v>
      </c>
      <c r="B298" s="58">
        <f>VLOOKUP(Table134[[#This Row],[Date]],database!A:I,8,)</f>
        <v/>
      </c>
      <c r="C298" s="66">
        <f>B298/B297-1</f>
        <v/>
      </c>
      <c r="D298" s="66">
        <f>(Table134[[#This Row],[Index]]-B286)/B286</f>
        <v/>
      </c>
    </row>
    <row r="299">
      <c r="A299" s="17" t="n">
        <v>35186</v>
      </c>
      <c r="B299" s="58">
        <f>VLOOKUP(Table134[[#This Row],[Date]],database!A:I,8,)</f>
        <v/>
      </c>
      <c r="C299" s="66">
        <f>B299/B298-1</f>
        <v/>
      </c>
      <c r="D299" s="66">
        <f>(Table134[[#This Row],[Index]]-B287)/B287</f>
        <v/>
      </c>
    </row>
    <row r="300">
      <c r="A300" s="17" t="n">
        <v>35217</v>
      </c>
      <c r="B300" s="58">
        <f>VLOOKUP(Table134[[#This Row],[Date]],database!A:I,8,)</f>
        <v/>
      </c>
      <c r="C300" s="66">
        <f>B300/B299-1</f>
        <v/>
      </c>
      <c r="D300" s="66">
        <f>(Table134[[#This Row],[Index]]-B288)/B288</f>
        <v/>
      </c>
    </row>
    <row r="301">
      <c r="A301" s="17" t="n">
        <v>35247</v>
      </c>
      <c r="B301" s="58">
        <f>VLOOKUP(Table134[[#This Row],[Date]],database!A:I,8,)</f>
        <v/>
      </c>
      <c r="C301" s="66">
        <f>B301/B300-1</f>
        <v/>
      </c>
      <c r="D301" s="66">
        <f>(Table134[[#This Row],[Index]]-B289)/B289</f>
        <v/>
      </c>
    </row>
    <row r="302">
      <c r="A302" s="17" t="n">
        <v>35278</v>
      </c>
      <c r="B302" s="58">
        <f>VLOOKUP(Table134[[#This Row],[Date]],database!A:I,8,)</f>
        <v/>
      </c>
      <c r="C302" s="66">
        <f>B302/B301-1</f>
        <v/>
      </c>
      <c r="D302" s="66">
        <f>(Table134[[#This Row],[Index]]-B290)/B290</f>
        <v/>
      </c>
    </row>
    <row r="303">
      <c r="A303" s="17" t="n">
        <v>35309</v>
      </c>
      <c r="B303" s="58">
        <f>VLOOKUP(Table134[[#This Row],[Date]],database!A:I,8,)</f>
        <v/>
      </c>
      <c r="C303" s="66">
        <f>B303/B302-1</f>
        <v/>
      </c>
      <c r="D303" s="66">
        <f>(Table134[[#This Row],[Index]]-B291)/B291</f>
        <v/>
      </c>
    </row>
    <row r="304">
      <c r="A304" s="17" t="n">
        <v>35339</v>
      </c>
      <c r="B304" s="58">
        <f>VLOOKUP(Table134[[#This Row],[Date]],database!A:I,8,)</f>
        <v/>
      </c>
      <c r="C304" s="66">
        <f>B304/B303-1</f>
        <v/>
      </c>
      <c r="D304" s="66">
        <f>(Table134[[#This Row],[Index]]-B292)/B292</f>
        <v/>
      </c>
    </row>
    <row r="305">
      <c r="A305" s="17" t="n">
        <v>35370</v>
      </c>
      <c r="B305" s="58">
        <f>VLOOKUP(Table134[[#This Row],[Date]],database!A:I,8,)</f>
        <v/>
      </c>
      <c r="C305" s="66">
        <f>B305/B304-1</f>
        <v/>
      </c>
      <c r="D305" s="66">
        <f>(Table134[[#This Row],[Index]]-B293)/B293</f>
        <v/>
      </c>
    </row>
    <row r="306">
      <c r="A306" s="17" t="n">
        <v>35400</v>
      </c>
      <c r="B306" s="58">
        <f>VLOOKUP(Table134[[#This Row],[Date]],database!A:I,8,)</f>
        <v/>
      </c>
      <c r="C306" s="66">
        <f>B306/B305-1</f>
        <v/>
      </c>
      <c r="D306" s="66">
        <f>(Table134[[#This Row],[Index]]-B294)/B294</f>
        <v/>
      </c>
    </row>
    <row r="307">
      <c r="A307" s="17" t="n">
        <v>35431</v>
      </c>
      <c r="B307" s="58">
        <f>VLOOKUP(Table134[[#This Row],[Date]],database!A:I,8,)</f>
        <v/>
      </c>
      <c r="C307" s="66">
        <f>B307/B306-1</f>
        <v/>
      </c>
      <c r="D307" s="66">
        <f>(Table134[[#This Row],[Index]]-B295)/B295</f>
        <v/>
      </c>
    </row>
    <row r="308">
      <c r="A308" s="17" t="n">
        <v>35462</v>
      </c>
      <c r="B308" s="58">
        <f>VLOOKUP(Table134[[#This Row],[Date]],database!A:I,8,)</f>
        <v/>
      </c>
      <c r="C308" s="66">
        <f>B308/B307-1</f>
        <v/>
      </c>
      <c r="D308" s="66">
        <f>(Table134[[#This Row],[Index]]-B296)/B296</f>
        <v/>
      </c>
    </row>
    <row r="309">
      <c r="A309" s="17" t="n">
        <v>35490</v>
      </c>
      <c r="B309" s="58">
        <f>VLOOKUP(Table134[[#This Row],[Date]],database!A:I,8,)</f>
        <v/>
      </c>
      <c r="C309" s="66">
        <f>B309/B308-1</f>
        <v/>
      </c>
      <c r="D309" s="66">
        <f>(Table134[[#This Row],[Index]]-B297)/B297</f>
        <v/>
      </c>
    </row>
    <row r="310">
      <c r="A310" s="17" t="n">
        <v>35521</v>
      </c>
      <c r="B310" s="58">
        <f>VLOOKUP(Table134[[#This Row],[Date]],database!A:I,8,)</f>
        <v/>
      </c>
      <c r="C310" s="66">
        <f>B310/B309-1</f>
        <v/>
      </c>
      <c r="D310" s="66">
        <f>(Table134[[#This Row],[Index]]-B298)/B298</f>
        <v/>
      </c>
    </row>
    <row r="311">
      <c r="A311" s="17" t="n">
        <v>35551</v>
      </c>
      <c r="B311" s="58">
        <f>VLOOKUP(Table134[[#This Row],[Date]],database!A:I,8,)</f>
        <v/>
      </c>
      <c r="C311" s="66">
        <f>B311/B310-1</f>
        <v/>
      </c>
      <c r="D311" s="66">
        <f>(Table134[[#This Row],[Index]]-B299)/B299</f>
        <v/>
      </c>
    </row>
    <row r="312">
      <c r="A312" s="17" t="n">
        <v>35582</v>
      </c>
      <c r="B312" s="58">
        <f>VLOOKUP(Table134[[#This Row],[Date]],database!A:I,8,)</f>
        <v/>
      </c>
      <c r="C312" s="66">
        <f>B312/B311-1</f>
        <v/>
      </c>
      <c r="D312" s="66">
        <f>(Table134[[#This Row],[Index]]-B300)/B300</f>
        <v/>
      </c>
    </row>
    <row r="313">
      <c r="A313" s="17" t="n">
        <v>35612</v>
      </c>
      <c r="B313" s="58">
        <f>VLOOKUP(Table134[[#This Row],[Date]],database!A:I,8,)</f>
        <v/>
      </c>
      <c r="C313" s="66">
        <f>B313/B312-1</f>
        <v/>
      </c>
      <c r="D313" s="66">
        <f>(Table134[[#This Row],[Index]]-B301)/B301</f>
        <v/>
      </c>
    </row>
    <row r="314">
      <c r="A314" s="17" t="n">
        <v>35643</v>
      </c>
      <c r="B314" s="58">
        <f>VLOOKUP(Table134[[#This Row],[Date]],database!A:I,8,)</f>
        <v/>
      </c>
      <c r="C314" s="66">
        <f>B314/B313-1</f>
        <v/>
      </c>
      <c r="D314" s="66">
        <f>(Table134[[#This Row],[Index]]-B302)/B302</f>
        <v/>
      </c>
    </row>
    <row r="315">
      <c r="A315" s="17" t="n">
        <v>35674</v>
      </c>
      <c r="B315" s="58">
        <f>VLOOKUP(Table134[[#This Row],[Date]],database!A:I,8,)</f>
        <v/>
      </c>
      <c r="C315" s="66">
        <f>B315/B314-1</f>
        <v/>
      </c>
      <c r="D315" s="66">
        <f>(Table134[[#This Row],[Index]]-B303)/B303</f>
        <v/>
      </c>
    </row>
    <row r="316">
      <c r="A316" s="17" t="n">
        <v>35704</v>
      </c>
      <c r="B316" s="58">
        <f>VLOOKUP(Table134[[#This Row],[Date]],database!A:I,8,)</f>
        <v/>
      </c>
      <c r="C316" s="66">
        <f>B316/B315-1</f>
        <v/>
      </c>
      <c r="D316" s="66">
        <f>(Table134[[#This Row],[Index]]-B304)/B304</f>
        <v/>
      </c>
    </row>
    <row r="317">
      <c r="A317" s="17" t="n">
        <v>35735</v>
      </c>
      <c r="B317" s="58">
        <f>VLOOKUP(Table134[[#This Row],[Date]],database!A:I,8,)</f>
        <v/>
      </c>
      <c r="C317" s="66">
        <f>B317/B316-1</f>
        <v/>
      </c>
      <c r="D317" s="66">
        <f>(Table134[[#This Row],[Index]]-B305)/B305</f>
        <v/>
      </c>
    </row>
    <row r="318">
      <c r="A318" s="17" t="n">
        <v>35765</v>
      </c>
      <c r="B318" s="58">
        <f>VLOOKUP(Table134[[#This Row],[Date]],database!A:I,8,)</f>
        <v/>
      </c>
      <c r="C318" s="66">
        <f>B318/B317-1</f>
        <v/>
      </c>
      <c r="D318" s="66">
        <f>(Table134[[#This Row],[Index]]-B306)/B306</f>
        <v/>
      </c>
    </row>
    <row r="319">
      <c r="A319" s="17" t="n">
        <v>35796</v>
      </c>
      <c r="B319" s="58">
        <f>VLOOKUP(Table134[[#This Row],[Date]],database!A:I,8,)</f>
        <v/>
      </c>
      <c r="C319" s="66">
        <f>B319/B318-1</f>
        <v/>
      </c>
      <c r="D319" s="66">
        <f>(Table134[[#This Row],[Index]]-B307)/B307</f>
        <v/>
      </c>
    </row>
    <row r="320">
      <c r="A320" s="17" t="n">
        <v>35827</v>
      </c>
      <c r="B320" s="58">
        <f>VLOOKUP(Table134[[#This Row],[Date]],database!A:I,8,)</f>
        <v/>
      </c>
      <c r="C320" s="66">
        <f>B320/B319-1</f>
        <v/>
      </c>
      <c r="D320" s="66">
        <f>(Table134[[#This Row],[Index]]-B308)/B308</f>
        <v/>
      </c>
    </row>
    <row r="321">
      <c r="A321" s="17" t="n">
        <v>35855</v>
      </c>
      <c r="B321" s="58">
        <f>VLOOKUP(Table134[[#This Row],[Date]],database!A:I,8,)</f>
        <v/>
      </c>
      <c r="C321" s="66">
        <f>B321/B320-1</f>
        <v/>
      </c>
      <c r="D321" s="66">
        <f>(Table134[[#This Row],[Index]]-B309)/B309</f>
        <v/>
      </c>
    </row>
    <row r="322">
      <c r="A322" s="17" t="n">
        <v>35886</v>
      </c>
      <c r="B322" s="58">
        <f>VLOOKUP(Table134[[#This Row],[Date]],database!A:I,8,)</f>
        <v/>
      </c>
      <c r="C322" s="66">
        <f>B322/B321-1</f>
        <v/>
      </c>
      <c r="D322" s="66">
        <f>(Table134[[#This Row],[Index]]-B310)/B310</f>
        <v/>
      </c>
    </row>
    <row r="323">
      <c r="A323" s="17" t="n">
        <v>35916</v>
      </c>
      <c r="B323" s="58">
        <f>VLOOKUP(Table134[[#This Row],[Date]],database!A:I,8,)</f>
        <v/>
      </c>
      <c r="C323" s="66">
        <f>B323/B322-1</f>
        <v/>
      </c>
      <c r="D323" s="66">
        <f>(Table134[[#This Row],[Index]]-B311)/B311</f>
        <v/>
      </c>
    </row>
    <row r="324">
      <c r="A324" s="17" t="n">
        <v>35947</v>
      </c>
      <c r="B324" s="58">
        <f>VLOOKUP(Table134[[#This Row],[Date]],database!A:I,8,)</f>
        <v/>
      </c>
      <c r="C324" s="66">
        <f>B324/B323-1</f>
        <v/>
      </c>
      <c r="D324" s="66">
        <f>(Table134[[#This Row],[Index]]-B312)/B312</f>
        <v/>
      </c>
    </row>
    <row r="325">
      <c r="A325" s="17" t="n">
        <v>35977</v>
      </c>
      <c r="B325" s="58">
        <f>VLOOKUP(Table134[[#This Row],[Date]],database!A:I,8,)</f>
        <v/>
      </c>
      <c r="C325" s="66">
        <f>B325/B324-1</f>
        <v/>
      </c>
      <c r="D325" s="66">
        <f>(Table134[[#This Row],[Index]]-B313)/B313</f>
        <v/>
      </c>
    </row>
    <row r="326">
      <c r="A326" s="17" t="n">
        <v>36008</v>
      </c>
      <c r="B326" s="58">
        <f>VLOOKUP(Table134[[#This Row],[Date]],database!A:I,8,)</f>
        <v/>
      </c>
      <c r="C326" s="66">
        <f>B326/B325-1</f>
        <v/>
      </c>
      <c r="D326" s="66">
        <f>(Table134[[#This Row],[Index]]-B314)/B314</f>
        <v/>
      </c>
    </row>
    <row r="327">
      <c r="A327" s="17" t="n">
        <v>36039</v>
      </c>
      <c r="B327" s="58">
        <f>VLOOKUP(Table134[[#This Row],[Date]],database!A:I,8,)</f>
        <v/>
      </c>
      <c r="C327" s="66">
        <f>B327/B326-1</f>
        <v/>
      </c>
      <c r="D327" s="66">
        <f>(Table134[[#This Row],[Index]]-B315)/B315</f>
        <v/>
      </c>
    </row>
    <row r="328">
      <c r="A328" s="17" t="n">
        <v>36069</v>
      </c>
      <c r="B328" s="58">
        <f>VLOOKUP(Table134[[#This Row],[Date]],database!A:I,8,)</f>
        <v/>
      </c>
      <c r="C328" s="66">
        <f>B328/B327-1</f>
        <v/>
      </c>
      <c r="D328" s="66">
        <f>(Table134[[#This Row],[Index]]-B316)/B316</f>
        <v/>
      </c>
    </row>
    <row r="329">
      <c r="A329" s="17" t="n">
        <v>36100</v>
      </c>
      <c r="B329" s="58">
        <f>VLOOKUP(Table134[[#This Row],[Date]],database!A:I,8,)</f>
        <v/>
      </c>
      <c r="C329" s="66">
        <f>B329/B328-1</f>
        <v/>
      </c>
      <c r="D329" s="66">
        <f>(Table134[[#This Row],[Index]]-B317)/B317</f>
        <v/>
      </c>
    </row>
    <row r="330">
      <c r="A330" s="17" t="n">
        <v>36130</v>
      </c>
      <c r="B330" s="58">
        <f>VLOOKUP(Table134[[#This Row],[Date]],database!A:I,8,)</f>
        <v/>
      </c>
      <c r="C330" s="66">
        <f>B330/B329-1</f>
        <v/>
      </c>
      <c r="D330" s="66">
        <f>(Table134[[#This Row],[Index]]-B318)/B318</f>
        <v/>
      </c>
    </row>
    <row r="331">
      <c r="A331" s="17" t="n">
        <v>36161</v>
      </c>
      <c r="B331" s="58">
        <f>VLOOKUP(Table134[[#This Row],[Date]],database!A:I,8,)</f>
        <v/>
      </c>
      <c r="C331" s="66">
        <f>B331/B330-1</f>
        <v/>
      </c>
      <c r="D331" s="66">
        <f>(Table134[[#This Row],[Index]]-B319)/B319</f>
        <v/>
      </c>
    </row>
    <row r="332">
      <c r="A332" s="17" t="n">
        <v>36192</v>
      </c>
      <c r="B332" s="58">
        <f>VLOOKUP(Table134[[#This Row],[Date]],database!A:I,8,)</f>
        <v/>
      </c>
      <c r="C332" s="66">
        <f>B332/B331-1</f>
        <v/>
      </c>
      <c r="D332" s="66">
        <f>(Table134[[#This Row],[Index]]-B320)/B320</f>
        <v/>
      </c>
    </row>
    <row r="333">
      <c r="A333" s="17" t="n">
        <v>36220</v>
      </c>
      <c r="B333" s="58">
        <f>VLOOKUP(Table134[[#This Row],[Date]],database!A:I,8,)</f>
        <v/>
      </c>
      <c r="C333" s="66">
        <f>B333/B332-1</f>
        <v/>
      </c>
      <c r="D333" s="66">
        <f>(Table134[[#This Row],[Index]]-B321)/B321</f>
        <v/>
      </c>
    </row>
    <row r="334">
      <c r="A334" s="17" t="n">
        <v>36251</v>
      </c>
      <c r="B334" s="58">
        <f>VLOOKUP(Table134[[#This Row],[Date]],database!A:I,8,)</f>
        <v/>
      </c>
      <c r="C334" s="66">
        <f>B334/B333-1</f>
        <v/>
      </c>
      <c r="D334" s="66">
        <f>(Table134[[#This Row],[Index]]-B322)/B322</f>
        <v/>
      </c>
    </row>
    <row r="335">
      <c r="A335" s="17" t="n">
        <v>36281</v>
      </c>
      <c r="B335" s="58">
        <f>VLOOKUP(Table134[[#This Row],[Date]],database!A:I,8,)</f>
        <v/>
      </c>
      <c r="C335" s="66">
        <f>B335/B334-1</f>
        <v/>
      </c>
      <c r="D335" s="66">
        <f>(Table134[[#This Row],[Index]]-B323)/B323</f>
        <v/>
      </c>
    </row>
    <row r="336">
      <c r="A336" s="17" t="n">
        <v>36312</v>
      </c>
      <c r="B336" s="58">
        <f>VLOOKUP(Table134[[#This Row],[Date]],database!A:I,8,)</f>
        <v/>
      </c>
      <c r="C336" s="66">
        <f>B336/B335-1</f>
        <v/>
      </c>
      <c r="D336" s="66">
        <f>(Table134[[#This Row],[Index]]-B324)/B324</f>
        <v/>
      </c>
    </row>
    <row r="337">
      <c r="A337" s="17" t="n">
        <v>36342</v>
      </c>
      <c r="B337" s="58">
        <f>VLOOKUP(Table134[[#This Row],[Date]],database!A:I,8,)</f>
        <v/>
      </c>
      <c r="C337" s="66">
        <f>B337/B336-1</f>
        <v/>
      </c>
      <c r="D337" s="66">
        <f>(Table134[[#This Row],[Index]]-B325)/B325</f>
        <v/>
      </c>
    </row>
    <row r="338">
      <c r="A338" s="17" t="n">
        <v>36373</v>
      </c>
      <c r="B338" s="58">
        <f>VLOOKUP(Table134[[#This Row],[Date]],database!A:I,8,)</f>
        <v/>
      </c>
      <c r="C338" s="66">
        <f>B338/B337-1</f>
        <v/>
      </c>
      <c r="D338" s="66">
        <f>(Table134[[#This Row],[Index]]-B326)/B326</f>
        <v/>
      </c>
    </row>
    <row r="339">
      <c r="A339" s="17" t="n">
        <v>36404</v>
      </c>
      <c r="B339" s="58">
        <f>VLOOKUP(Table134[[#This Row],[Date]],database!A:I,8,)</f>
        <v/>
      </c>
      <c r="C339" s="66">
        <f>B339/B338-1</f>
        <v/>
      </c>
      <c r="D339" s="66">
        <f>(Table134[[#This Row],[Index]]-B327)/B327</f>
        <v/>
      </c>
    </row>
    <row r="340">
      <c r="A340" s="17" t="n">
        <v>36434</v>
      </c>
      <c r="B340" s="58">
        <f>VLOOKUP(Table134[[#This Row],[Date]],database!A:I,8,)</f>
        <v/>
      </c>
      <c r="C340" s="66">
        <f>B340/B339-1</f>
        <v/>
      </c>
      <c r="D340" s="66">
        <f>(Table134[[#This Row],[Index]]-B328)/B328</f>
        <v/>
      </c>
    </row>
    <row r="341">
      <c r="A341" s="17" t="n">
        <v>36465</v>
      </c>
      <c r="B341" s="58">
        <f>VLOOKUP(Table134[[#This Row],[Date]],database!A:I,8,)</f>
        <v/>
      </c>
      <c r="C341" s="66">
        <f>B341/B340-1</f>
        <v/>
      </c>
      <c r="D341" s="66">
        <f>(Table134[[#This Row],[Index]]-B329)/B329</f>
        <v/>
      </c>
    </row>
    <row r="342">
      <c r="A342" s="17" t="n">
        <v>36495</v>
      </c>
      <c r="B342" s="58">
        <f>VLOOKUP(Table134[[#This Row],[Date]],database!A:I,8,)</f>
        <v/>
      </c>
      <c r="C342" s="66">
        <f>B342/B341-1</f>
        <v/>
      </c>
      <c r="D342" s="66">
        <f>(Table134[[#This Row],[Index]]-B330)/B330</f>
        <v/>
      </c>
    </row>
    <row r="343">
      <c r="A343" s="17" t="n">
        <v>36526</v>
      </c>
      <c r="B343" s="58">
        <f>VLOOKUP(Table134[[#This Row],[Date]],database!A:I,8,)</f>
        <v/>
      </c>
      <c r="C343" s="66">
        <f>B343/B342-1</f>
        <v/>
      </c>
      <c r="D343" s="66">
        <f>(Table134[[#This Row],[Index]]-B331)/B331</f>
        <v/>
      </c>
    </row>
    <row r="344">
      <c r="A344" s="17" t="n">
        <v>36557</v>
      </c>
      <c r="B344" s="58">
        <f>VLOOKUP(Table134[[#This Row],[Date]],database!A:I,8,)</f>
        <v/>
      </c>
      <c r="C344" s="66">
        <f>B344/B343-1</f>
        <v/>
      </c>
      <c r="D344" s="66">
        <f>(Table134[[#This Row],[Index]]-B332)/B332</f>
        <v/>
      </c>
    </row>
    <row r="345">
      <c r="A345" s="17" t="n">
        <v>36586</v>
      </c>
      <c r="B345" s="58">
        <f>VLOOKUP(Table134[[#This Row],[Date]],database!A:I,8,)</f>
        <v/>
      </c>
      <c r="C345" s="66">
        <f>B345/B344-1</f>
        <v/>
      </c>
      <c r="D345" s="66">
        <f>(Table134[[#This Row],[Index]]-B333)/B333</f>
        <v/>
      </c>
    </row>
    <row r="346">
      <c r="A346" s="17" t="n">
        <v>36617</v>
      </c>
      <c r="B346" s="58">
        <f>VLOOKUP(Table134[[#This Row],[Date]],database!A:I,8,)</f>
        <v/>
      </c>
      <c r="C346" s="66">
        <f>B346/B345-1</f>
        <v/>
      </c>
      <c r="D346" s="66">
        <f>(Table134[[#This Row],[Index]]-B334)/B334</f>
        <v/>
      </c>
    </row>
    <row r="347">
      <c r="A347" s="17" t="n">
        <v>36647</v>
      </c>
      <c r="B347" s="58">
        <f>VLOOKUP(Table134[[#This Row],[Date]],database!A:I,8,)</f>
        <v/>
      </c>
      <c r="C347" s="66">
        <f>B347/B346-1</f>
        <v/>
      </c>
      <c r="D347" s="66">
        <f>(Table134[[#This Row],[Index]]-B335)/B335</f>
        <v/>
      </c>
    </row>
    <row r="348">
      <c r="A348" s="17" t="n">
        <v>36678</v>
      </c>
      <c r="B348" s="58">
        <f>VLOOKUP(Table134[[#This Row],[Date]],database!A:I,8,)</f>
        <v/>
      </c>
      <c r="C348" s="66">
        <f>B348/B347-1</f>
        <v/>
      </c>
      <c r="D348" s="66">
        <f>(Table134[[#This Row],[Index]]-B336)/B336</f>
        <v/>
      </c>
    </row>
    <row r="349">
      <c r="A349" s="17" t="n">
        <v>36708</v>
      </c>
      <c r="B349" s="58">
        <f>VLOOKUP(Table134[[#This Row],[Date]],database!A:I,8,)</f>
        <v/>
      </c>
      <c r="C349" s="66">
        <f>B349/B348-1</f>
        <v/>
      </c>
      <c r="D349" s="66">
        <f>(Table134[[#This Row],[Index]]-B337)/B337</f>
        <v/>
      </c>
    </row>
    <row r="350">
      <c r="A350" s="17" t="n">
        <v>36739</v>
      </c>
      <c r="B350" s="58">
        <f>VLOOKUP(Table134[[#This Row],[Date]],database!A:I,8,)</f>
        <v/>
      </c>
      <c r="C350" s="66">
        <f>B350/B349-1</f>
        <v/>
      </c>
      <c r="D350" s="66">
        <f>(Table134[[#This Row],[Index]]-B338)/B338</f>
        <v/>
      </c>
    </row>
    <row r="351">
      <c r="A351" s="17" t="n">
        <v>36770</v>
      </c>
      <c r="B351" s="58">
        <f>VLOOKUP(Table134[[#This Row],[Date]],database!A:I,8,)</f>
        <v/>
      </c>
      <c r="C351" s="66">
        <f>B351/B350-1</f>
        <v/>
      </c>
      <c r="D351" s="66">
        <f>(Table134[[#This Row],[Index]]-B339)/B339</f>
        <v/>
      </c>
    </row>
    <row r="352">
      <c r="A352" s="17" t="n">
        <v>36800</v>
      </c>
      <c r="B352" s="58">
        <f>VLOOKUP(Table134[[#This Row],[Date]],database!A:I,8,)</f>
        <v/>
      </c>
      <c r="C352" s="66">
        <f>B352/B351-1</f>
        <v/>
      </c>
      <c r="D352" s="66">
        <f>(Table134[[#This Row],[Index]]-B340)/B340</f>
        <v/>
      </c>
    </row>
    <row r="353">
      <c r="A353" s="17" t="n">
        <v>36831</v>
      </c>
      <c r="B353" s="58">
        <f>VLOOKUP(Table134[[#This Row],[Date]],database!A:I,8,)</f>
        <v/>
      </c>
      <c r="C353" s="66">
        <f>B353/B352-1</f>
        <v/>
      </c>
      <c r="D353" s="66">
        <f>(Table134[[#This Row],[Index]]-B341)/B341</f>
        <v/>
      </c>
    </row>
    <row r="354">
      <c r="A354" s="17" t="n">
        <v>36861</v>
      </c>
      <c r="B354" s="58">
        <f>VLOOKUP(Table134[[#This Row],[Date]],database!A:I,8,)</f>
        <v/>
      </c>
      <c r="C354" s="66">
        <f>B354/B353-1</f>
        <v/>
      </c>
      <c r="D354" s="66">
        <f>(Table134[[#This Row],[Index]]-B342)/B342</f>
        <v/>
      </c>
    </row>
    <row r="355">
      <c r="A355" s="17" t="n">
        <v>36892</v>
      </c>
      <c r="B355" s="58">
        <f>VLOOKUP(Table134[[#This Row],[Date]],database!A:I,8,)</f>
        <v/>
      </c>
      <c r="C355" s="66">
        <f>B355/B354-1</f>
        <v/>
      </c>
      <c r="D355" s="66">
        <f>(Table134[[#This Row],[Index]]-B343)/B343</f>
        <v/>
      </c>
    </row>
    <row r="356">
      <c r="A356" s="17" t="n">
        <v>36923</v>
      </c>
      <c r="B356" s="58">
        <f>VLOOKUP(Table134[[#This Row],[Date]],database!A:I,8,)</f>
        <v/>
      </c>
      <c r="C356" s="66">
        <f>B356/B355-1</f>
        <v/>
      </c>
      <c r="D356" s="66">
        <f>(Table134[[#This Row],[Index]]-B344)/B344</f>
        <v/>
      </c>
    </row>
    <row r="357">
      <c r="A357" s="17" t="n">
        <v>36951</v>
      </c>
      <c r="B357" s="58">
        <f>VLOOKUP(Table134[[#This Row],[Date]],database!A:I,8,)</f>
        <v/>
      </c>
      <c r="C357" s="66">
        <f>B357/B356-1</f>
        <v/>
      </c>
      <c r="D357" s="66">
        <f>(Table134[[#This Row],[Index]]-B345)/B345</f>
        <v/>
      </c>
    </row>
    <row r="358">
      <c r="A358" s="17" t="n">
        <v>36982</v>
      </c>
      <c r="B358" s="58">
        <f>VLOOKUP(Table134[[#This Row],[Date]],database!A:I,8,)</f>
        <v/>
      </c>
      <c r="C358" s="66">
        <f>B358/B357-1</f>
        <v/>
      </c>
      <c r="D358" s="66">
        <f>(Table134[[#This Row],[Index]]-B346)/B346</f>
        <v/>
      </c>
    </row>
    <row r="359">
      <c r="A359" s="17" t="n">
        <v>37012</v>
      </c>
      <c r="B359" s="58">
        <f>VLOOKUP(Table134[[#This Row],[Date]],database!A:I,8,)</f>
        <v/>
      </c>
      <c r="C359" s="66">
        <f>B359/B358-1</f>
        <v/>
      </c>
      <c r="D359" s="66">
        <f>(Table134[[#This Row],[Index]]-B347)/B347</f>
        <v/>
      </c>
    </row>
    <row r="360">
      <c r="A360" s="17" t="n">
        <v>37043</v>
      </c>
      <c r="B360" s="58">
        <f>VLOOKUP(Table134[[#This Row],[Date]],database!A:I,8,)</f>
        <v/>
      </c>
      <c r="C360" s="66">
        <f>B360/B359-1</f>
        <v/>
      </c>
      <c r="D360" s="66">
        <f>(Table134[[#This Row],[Index]]-B348)/B348</f>
        <v/>
      </c>
    </row>
    <row r="361">
      <c r="A361" s="17" t="n">
        <v>37073</v>
      </c>
      <c r="B361" s="58">
        <f>VLOOKUP(Table134[[#This Row],[Date]],database!A:I,8,)</f>
        <v/>
      </c>
      <c r="C361" s="66">
        <f>B361/B360-1</f>
        <v/>
      </c>
      <c r="D361" s="66">
        <f>(Table134[[#This Row],[Index]]-B349)/B349</f>
        <v/>
      </c>
    </row>
    <row r="362">
      <c r="A362" s="17" t="n">
        <v>37104</v>
      </c>
      <c r="B362" s="58">
        <f>VLOOKUP(Table134[[#This Row],[Date]],database!A:I,8,)</f>
        <v/>
      </c>
      <c r="C362" s="66">
        <f>B362/B361-1</f>
        <v/>
      </c>
      <c r="D362" s="66">
        <f>(Table134[[#This Row],[Index]]-B350)/B350</f>
        <v/>
      </c>
    </row>
    <row r="363">
      <c r="A363" s="17" t="n">
        <v>37135</v>
      </c>
      <c r="B363" s="58">
        <f>VLOOKUP(Table134[[#This Row],[Date]],database!A:I,8,)</f>
        <v/>
      </c>
      <c r="C363" s="66">
        <f>B363/B362-1</f>
        <v/>
      </c>
      <c r="D363" s="66">
        <f>(Table134[[#This Row],[Index]]-B351)/B351</f>
        <v/>
      </c>
    </row>
    <row r="364">
      <c r="A364" s="17" t="n">
        <v>37165</v>
      </c>
      <c r="B364" s="58">
        <f>VLOOKUP(Table134[[#This Row],[Date]],database!A:I,8,)</f>
        <v/>
      </c>
      <c r="C364" s="66">
        <f>B364/B363-1</f>
        <v/>
      </c>
      <c r="D364" s="66">
        <f>(Table134[[#This Row],[Index]]-B352)/B352</f>
        <v/>
      </c>
    </row>
    <row r="365">
      <c r="A365" s="17" t="n">
        <v>37196</v>
      </c>
      <c r="B365" s="58">
        <f>VLOOKUP(Table134[[#This Row],[Date]],database!A:I,8,)</f>
        <v/>
      </c>
      <c r="C365" s="66">
        <f>B365/B364-1</f>
        <v/>
      </c>
      <c r="D365" s="66">
        <f>(Table134[[#This Row],[Index]]-B353)/B353</f>
        <v/>
      </c>
    </row>
    <row r="366">
      <c r="A366" s="17" t="n">
        <v>37226</v>
      </c>
      <c r="B366" s="58">
        <f>VLOOKUP(Table134[[#This Row],[Date]],database!A:I,8,)</f>
        <v/>
      </c>
      <c r="C366" s="66">
        <f>B366/B365-1</f>
        <v/>
      </c>
      <c r="D366" s="66">
        <f>(Table134[[#This Row],[Index]]-B354)/B354</f>
        <v/>
      </c>
    </row>
    <row r="367">
      <c r="A367" s="17" t="n">
        <v>37257</v>
      </c>
      <c r="B367" s="58">
        <f>VLOOKUP(Table134[[#This Row],[Date]],database!A:I,8,)</f>
        <v/>
      </c>
      <c r="C367" s="66">
        <f>B367/B366-1</f>
        <v/>
      </c>
      <c r="D367" s="66">
        <f>(Table134[[#This Row],[Index]]-B355)/B355</f>
        <v/>
      </c>
    </row>
    <row r="368">
      <c r="A368" s="17" t="n">
        <v>37288</v>
      </c>
      <c r="B368" s="58">
        <f>VLOOKUP(Table134[[#This Row],[Date]],database!A:I,8,)</f>
        <v/>
      </c>
      <c r="C368" s="66">
        <f>B368/B367-1</f>
        <v/>
      </c>
      <c r="D368" s="66">
        <f>(Table134[[#This Row],[Index]]-B356)/B356</f>
        <v/>
      </c>
    </row>
    <row r="369">
      <c r="A369" s="17" t="n">
        <v>37316</v>
      </c>
      <c r="B369" s="58">
        <f>VLOOKUP(Table134[[#This Row],[Date]],database!A:I,8,)</f>
        <v/>
      </c>
      <c r="C369" s="66">
        <f>B369/B368-1</f>
        <v/>
      </c>
      <c r="D369" s="66">
        <f>(Table134[[#This Row],[Index]]-B357)/B357</f>
        <v/>
      </c>
    </row>
    <row r="370">
      <c r="A370" s="17" t="n">
        <v>37347</v>
      </c>
      <c r="B370" s="58">
        <f>VLOOKUP(Table134[[#This Row],[Date]],database!A:I,8,)</f>
        <v/>
      </c>
      <c r="C370" s="66">
        <f>B370/B369-1</f>
        <v/>
      </c>
      <c r="D370" s="66">
        <f>(Table134[[#This Row],[Index]]-B358)/B358</f>
        <v/>
      </c>
    </row>
    <row r="371">
      <c r="A371" s="17" t="n">
        <v>37377</v>
      </c>
      <c r="B371" s="58">
        <f>VLOOKUP(Table134[[#This Row],[Date]],database!A:I,8,)</f>
        <v/>
      </c>
      <c r="C371" s="66">
        <f>B371/B370-1</f>
        <v/>
      </c>
      <c r="D371" s="66">
        <f>(Table134[[#This Row],[Index]]-B359)/B359</f>
        <v/>
      </c>
    </row>
    <row r="372">
      <c r="A372" s="17" t="n">
        <v>37408</v>
      </c>
      <c r="B372" s="58">
        <f>VLOOKUP(Table134[[#This Row],[Date]],database!A:I,8,)</f>
        <v/>
      </c>
      <c r="C372" s="66">
        <f>B372/B371-1</f>
        <v/>
      </c>
      <c r="D372" s="66">
        <f>(Table134[[#This Row],[Index]]-B360)/B360</f>
        <v/>
      </c>
    </row>
    <row r="373">
      <c r="A373" s="17" t="n">
        <v>37438</v>
      </c>
      <c r="B373" s="58">
        <f>VLOOKUP(Table134[[#This Row],[Date]],database!A:I,8,)</f>
        <v/>
      </c>
      <c r="C373" s="66">
        <f>B373/B372-1</f>
        <v/>
      </c>
      <c r="D373" s="66">
        <f>(Table134[[#This Row],[Index]]-B361)/B361</f>
        <v/>
      </c>
    </row>
    <row r="374">
      <c r="A374" s="17" t="n">
        <v>37469</v>
      </c>
      <c r="B374" s="58">
        <f>VLOOKUP(Table134[[#This Row],[Date]],database!A:I,8,)</f>
        <v/>
      </c>
      <c r="C374" s="66">
        <f>B374/B373-1</f>
        <v/>
      </c>
      <c r="D374" s="66">
        <f>(Table134[[#This Row],[Index]]-B362)/B362</f>
        <v/>
      </c>
    </row>
    <row r="375">
      <c r="A375" s="17" t="n">
        <v>37500</v>
      </c>
      <c r="B375" s="58">
        <f>VLOOKUP(Table134[[#This Row],[Date]],database!A:I,8,)</f>
        <v/>
      </c>
      <c r="C375" s="66">
        <f>B375/B374-1</f>
        <v/>
      </c>
      <c r="D375" s="66">
        <f>(Table134[[#This Row],[Index]]-B363)/B363</f>
        <v/>
      </c>
    </row>
    <row r="376">
      <c r="A376" s="17" t="n">
        <v>37530</v>
      </c>
      <c r="B376" s="58">
        <f>VLOOKUP(Table134[[#This Row],[Date]],database!A:I,8,)</f>
        <v/>
      </c>
      <c r="C376" s="66">
        <f>B376/B375-1</f>
        <v/>
      </c>
      <c r="D376" s="66">
        <f>(Table134[[#This Row],[Index]]-B364)/B364</f>
        <v/>
      </c>
    </row>
    <row r="377">
      <c r="A377" s="17" t="n">
        <v>37561</v>
      </c>
      <c r="B377" s="58">
        <f>VLOOKUP(Table134[[#This Row],[Date]],database!A:I,8,)</f>
        <v/>
      </c>
      <c r="C377" s="66">
        <f>B377/B376-1</f>
        <v/>
      </c>
      <c r="D377" s="66">
        <f>(Table134[[#This Row],[Index]]-B365)/B365</f>
        <v/>
      </c>
    </row>
    <row r="378">
      <c r="A378" s="17" t="n">
        <v>37591</v>
      </c>
      <c r="B378" s="58">
        <f>VLOOKUP(Table134[[#This Row],[Date]],database!A:I,8,)</f>
        <v/>
      </c>
      <c r="C378" s="66">
        <f>B378/B377-1</f>
        <v/>
      </c>
      <c r="D378" s="66">
        <f>(Table134[[#This Row],[Index]]-B366)/B366</f>
        <v/>
      </c>
    </row>
    <row r="379">
      <c r="A379" s="17" t="n">
        <v>37622</v>
      </c>
      <c r="B379" s="58">
        <f>VLOOKUP(Table134[[#This Row],[Date]],database!A:I,8,)</f>
        <v/>
      </c>
      <c r="C379" s="66">
        <f>B379/B378-1</f>
        <v/>
      </c>
      <c r="D379" s="66">
        <f>(Table134[[#This Row],[Index]]-B367)/B367</f>
        <v/>
      </c>
    </row>
    <row r="380">
      <c r="A380" s="17" t="n">
        <v>37653</v>
      </c>
      <c r="B380" s="58">
        <f>VLOOKUP(Table134[[#This Row],[Date]],database!A:I,8,)</f>
        <v/>
      </c>
      <c r="C380" s="66">
        <f>B380/B379-1</f>
        <v/>
      </c>
      <c r="D380" s="66">
        <f>(Table134[[#This Row],[Index]]-B368)/B368</f>
        <v/>
      </c>
    </row>
    <row r="381">
      <c r="A381" s="17" t="n">
        <v>37681</v>
      </c>
      <c r="B381" s="58">
        <f>VLOOKUP(Table134[[#This Row],[Date]],database!A:I,8,)</f>
        <v/>
      </c>
      <c r="C381" s="66">
        <f>B381/B380-1</f>
        <v/>
      </c>
      <c r="D381" s="66">
        <f>(Table134[[#This Row],[Index]]-B369)/B369</f>
        <v/>
      </c>
    </row>
    <row r="382">
      <c r="A382" s="17" t="n">
        <v>37712</v>
      </c>
      <c r="B382" s="58">
        <f>VLOOKUP(Table134[[#This Row],[Date]],database!A:I,8,)</f>
        <v/>
      </c>
      <c r="C382" s="66">
        <f>B382/B381-1</f>
        <v/>
      </c>
      <c r="D382" s="66">
        <f>(Table134[[#This Row],[Index]]-B370)/B370</f>
        <v/>
      </c>
    </row>
    <row r="383">
      <c r="A383" s="17" t="n">
        <v>37742</v>
      </c>
      <c r="B383" s="58">
        <f>VLOOKUP(Table134[[#This Row],[Date]],database!A:I,8,)</f>
        <v/>
      </c>
      <c r="C383" s="66">
        <f>B383/B382-1</f>
        <v/>
      </c>
      <c r="D383" s="66">
        <f>(Table134[[#This Row],[Index]]-B371)/B371</f>
        <v/>
      </c>
    </row>
    <row r="384">
      <c r="A384" s="17" t="n">
        <v>37773</v>
      </c>
      <c r="B384" s="58">
        <f>VLOOKUP(Table134[[#This Row],[Date]],database!A:I,8,)</f>
        <v/>
      </c>
      <c r="C384" s="66">
        <f>B384/B383-1</f>
        <v/>
      </c>
      <c r="D384" s="66">
        <f>(Table134[[#This Row],[Index]]-B372)/B372</f>
        <v/>
      </c>
    </row>
    <row r="385">
      <c r="A385" s="17" t="n">
        <v>37803</v>
      </c>
      <c r="B385" s="58">
        <f>VLOOKUP(Table134[[#This Row],[Date]],database!A:I,8,)</f>
        <v/>
      </c>
      <c r="C385" s="66">
        <f>B385/B384-1</f>
        <v/>
      </c>
      <c r="D385" s="66">
        <f>(Table134[[#This Row],[Index]]-B373)/B373</f>
        <v/>
      </c>
    </row>
    <row r="386">
      <c r="A386" s="17" t="n">
        <v>37834</v>
      </c>
      <c r="B386" s="58">
        <f>VLOOKUP(Table134[[#This Row],[Date]],database!A:I,8,)</f>
        <v/>
      </c>
      <c r="C386" s="66">
        <f>B386/B385-1</f>
        <v/>
      </c>
      <c r="D386" s="66">
        <f>(Table134[[#This Row],[Index]]-B374)/B374</f>
        <v/>
      </c>
    </row>
    <row r="387">
      <c r="A387" s="17" t="n">
        <v>37865</v>
      </c>
      <c r="B387" s="58">
        <f>VLOOKUP(Table134[[#This Row],[Date]],database!A:I,8,)</f>
        <v/>
      </c>
      <c r="C387" s="66">
        <f>B387/B386-1</f>
        <v/>
      </c>
      <c r="D387" s="66">
        <f>(Table134[[#This Row],[Index]]-B375)/B375</f>
        <v/>
      </c>
    </row>
    <row r="388">
      <c r="A388" s="17" t="n">
        <v>37895</v>
      </c>
      <c r="B388" s="58">
        <f>VLOOKUP(Table134[[#This Row],[Date]],database!A:I,8,)</f>
        <v/>
      </c>
      <c r="C388" s="66">
        <f>B388/B387-1</f>
        <v/>
      </c>
      <c r="D388" s="66">
        <f>(Table134[[#This Row],[Index]]-B376)/B376</f>
        <v/>
      </c>
    </row>
    <row r="389">
      <c r="A389" s="17" t="n">
        <v>37926</v>
      </c>
      <c r="B389" s="58">
        <f>VLOOKUP(Table134[[#This Row],[Date]],database!A:I,8,)</f>
        <v/>
      </c>
      <c r="C389" s="66">
        <f>B389/B388-1</f>
        <v/>
      </c>
      <c r="D389" s="66">
        <f>(Table134[[#This Row],[Index]]-B377)/B377</f>
        <v/>
      </c>
    </row>
    <row r="390">
      <c r="A390" s="17" t="n">
        <v>37956</v>
      </c>
      <c r="B390" s="58">
        <f>VLOOKUP(Table134[[#This Row],[Date]],database!A:I,8,)</f>
        <v/>
      </c>
      <c r="C390" s="66">
        <f>B390/B389-1</f>
        <v/>
      </c>
      <c r="D390" s="66">
        <f>(Table134[[#This Row],[Index]]-B378)/B378</f>
        <v/>
      </c>
    </row>
    <row r="391">
      <c r="A391" s="17" t="n">
        <v>37987</v>
      </c>
      <c r="B391" s="58">
        <f>VLOOKUP(Table134[[#This Row],[Date]],database!A:I,8,)</f>
        <v/>
      </c>
      <c r="C391" s="66">
        <f>B391/B390-1</f>
        <v/>
      </c>
      <c r="D391" s="66">
        <f>(Table134[[#This Row],[Index]]-B379)/B379</f>
        <v/>
      </c>
    </row>
    <row r="392">
      <c r="A392" s="17" t="n">
        <v>38018</v>
      </c>
      <c r="B392" s="58">
        <f>VLOOKUP(Table134[[#This Row],[Date]],database!A:I,8,)</f>
        <v/>
      </c>
      <c r="C392" s="66">
        <f>B392/B391-1</f>
        <v/>
      </c>
      <c r="D392" s="66">
        <f>(Table134[[#This Row],[Index]]-B380)/B380</f>
        <v/>
      </c>
    </row>
    <row r="393">
      <c r="A393" s="17" t="n">
        <v>38047</v>
      </c>
      <c r="B393" s="58">
        <f>VLOOKUP(Table134[[#This Row],[Date]],database!A:I,8,)</f>
        <v/>
      </c>
      <c r="C393" s="66">
        <f>B393/B392-1</f>
        <v/>
      </c>
      <c r="D393" s="66">
        <f>(Table134[[#This Row],[Index]]-B381)/B381</f>
        <v/>
      </c>
    </row>
    <row r="394">
      <c r="A394" s="17" t="n">
        <v>38078</v>
      </c>
      <c r="B394" s="58">
        <f>VLOOKUP(Table134[[#This Row],[Date]],database!A:I,8,)</f>
        <v/>
      </c>
      <c r="C394" s="66">
        <f>B394/B393-1</f>
        <v/>
      </c>
      <c r="D394" s="66">
        <f>(Table134[[#This Row],[Index]]-B382)/B382</f>
        <v/>
      </c>
    </row>
    <row r="395">
      <c r="A395" s="17" t="n">
        <v>38108</v>
      </c>
      <c r="B395" s="58">
        <f>VLOOKUP(Table134[[#This Row],[Date]],database!A:I,8,)</f>
        <v/>
      </c>
      <c r="C395" s="66">
        <f>B395/B394-1</f>
        <v/>
      </c>
      <c r="D395" s="66">
        <f>(Table134[[#This Row],[Index]]-B383)/B383</f>
        <v/>
      </c>
    </row>
    <row r="396">
      <c r="A396" s="17" t="n">
        <v>38139</v>
      </c>
      <c r="B396" s="58">
        <f>VLOOKUP(Table134[[#This Row],[Date]],database!A:I,8,)</f>
        <v/>
      </c>
      <c r="C396" s="66">
        <f>B396/B395-1</f>
        <v/>
      </c>
      <c r="D396" s="66">
        <f>(Table134[[#This Row],[Index]]-B384)/B384</f>
        <v/>
      </c>
    </row>
    <row r="397">
      <c r="A397" s="17" t="n">
        <v>38169</v>
      </c>
      <c r="B397" s="58">
        <f>VLOOKUP(Table134[[#This Row],[Date]],database!A:I,8,)</f>
        <v/>
      </c>
      <c r="C397" s="66">
        <f>B397/B396-1</f>
        <v/>
      </c>
      <c r="D397" s="66">
        <f>(Table134[[#This Row],[Index]]-B385)/B385</f>
        <v/>
      </c>
    </row>
    <row r="398">
      <c r="A398" s="17" t="n">
        <v>38200</v>
      </c>
      <c r="B398" s="58">
        <f>VLOOKUP(Table134[[#This Row],[Date]],database!A:I,8,)</f>
        <v/>
      </c>
      <c r="C398" s="66">
        <f>B398/B397-1</f>
        <v/>
      </c>
      <c r="D398" s="66">
        <f>(Table134[[#This Row],[Index]]-B386)/B386</f>
        <v/>
      </c>
    </row>
    <row r="399">
      <c r="A399" s="17" t="n">
        <v>38231</v>
      </c>
      <c r="B399" s="58">
        <f>VLOOKUP(Table134[[#This Row],[Date]],database!A:I,8,)</f>
        <v/>
      </c>
      <c r="C399" s="66">
        <f>B399/B398-1</f>
        <v/>
      </c>
      <c r="D399" s="66">
        <f>(Table134[[#This Row],[Index]]-B387)/B387</f>
        <v/>
      </c>
    </row>
    <row r="400">
      <c r="A400" s="17" t="n">
        <v>38261</v>
      </c>
      <c r="B400" s="58">
        <f>VLOOKUP(Table134[[#This Row],[Date]],database!A:I,8,)</f>
        <v/>
      </c>
      <c r="C400" s="66">
        <f>B400/B399-1</f>
        <v/>
      </c>
      <c r="D400" s="66">
        <f>(Table134[[#This Row],[Index]]-B388)/B388</f>
        <v/>
      </c>
    </row>
    <row r="401">
      <c r="A401" s="17" t="n">
        <v>38292</v>
      </c>
      <c r="B401" s="58">
        <f>VLOOKUP(Table134[[#This Row],[Date]],database!A:I,8,)</f>
        <v/>
      </c>
      <c r="C401" s="66">
        <f>B401/B400-1</f>
        <v/>
      </c>
      <c r="D401" s="66">
        <f>(Table134[[#This Row],[Index]]-B389)/B389</f>
        <v/>
      </c>
    </row>
    <row r="402">
      <c r="A402" s="17" t="n">
        <v>38322</v>
      </c>
      <c r="B402" s="58">
        <f>VLOOKUP(Table134[[#This Row],[Date]],database!A:I,8,)</f>
        <v/>
      </c>
      <c r="C402" s="66">
        <f>B402/B401-1</f>
        <v/>
      </c>
      <c r="D402" s="66">
        <f>(Table134[[#This Row],[Index]]-B390)/B390</f>
        <v/>
      </c>
    </row>
    <row r="403">
      <c r="A403" s="17" t="n">
        <v>38353</v>
      </c>
      <c r="B403" s="58">
        <f>VLOOKUP(Table134[[#This Row],[Date]],database!A:I,8,)</f>
        <v/>
      </c>
      <c r="C403" s="66">
        <f>B403/B402-1</f>
        <v/>
      </c>
      <c r="D403" s="66">
        <f>(Table134[[#This Row],[Index]]-B391)/B391</f>
        <v/>
      </c>
    </row>
    <row r="404">
      <c r="A404" s="17" t="n">
        <v>38384</v>
      </c>
      <c r="B404" s="58">
        <f>VLOOKUP(Table134[[#This Row],[Date]],database!A:I,8,)</f>
        <v/>
      </c>
      <c r="C404" s="66">
        <f>B404/B403-1</f>
        <v/>
      </c>
      <c r="D404" s="66">
        <f>(Table134[[#This Row],[Index]]-B392)/B392</f>
        <v/>
      </c>
    </row>
    <row r="405">
      <c r="A405" s="17" t="n">
        <v>38412</v>
      </c>
      <c r="B405" s="58">
        <f>VLOOKUP(Table134[[#This Row],[Date]],database!A:I,8,)</f>
        <v/>
      </c>
      <c r="C405" s="66">
        <f>B405/B404-1</f>
        <v/>
      </c>
      <c r="D405" s="66">
        <f>(Table134[[#This Row],[Index]]-B393)/B393</f>
        <v/>
      </c>
    </row>
    <row r="406">
      <c r="A406" s="17" t="n">
        <v>38443</v>
      </c>
      <c r="B406" s="58">
        <f>VLOOKUP(Table134[[#This Row],[Date]],database!A:I,8,)</f>
        <v/>
      </c>
      <c r="C406" s="66">
        <f>B406/B405-1</f>
        <v/>
      </c>
      <c r="D406" s="66">
        <f>(Table134[[#This Row],[Index]]-B394)/B394</f>
        <v/>
      </c>
    </row>
    <row r="407">
      <c r="A407" s="17" t="n">
        <v>38473</v>
      </c>
      <c r="B407" s="58">
        <f>VLOOKUP(Table134[[#This Row],[Date]],database!A:I,8,)</f>
        <v/>
      </c>
      <c r="C407" s="66">
        <f>B407/B406-1</f>
        <v/>
      </c>
      <c r="D407" s="66">
        <f>(Table134[[#This Row],[Index]]-B395)/B395</f>
        <v/>
      </c>
    </row>
    <row r="408">
      <c r="A408" s="17" t="n">
        <v>38504</v>
      </c>
      <c r="B408" s="58">
        <f>VLOOKUP(Table134[[#This Row],[Date]],database!A:I,8,)</f>
        <v/>
      </c>
      <c r="C408" s="66">
        <f>B408/B407-1</f>
        <v/>
      </c>
      <c r="D408" s="66">
        <f>(Table134[[#This Row],[Index]]-B396)/B396</f>
        <v/>
      </c>
    </row>
    <row r="409">
      <c r="A409" s="17" t="n">
        <v>38534</v>
      </c>
      <c r="B409" s="58">
        <f>VLOOKUP(Table134[[#This Row],[Date]],database!A:I,8,)</f>
        <v/>
      </c>
      <c r="C409" s="66">
        <f>B409/B408-1</f>
        <v/>
      </c>
      <c r="D409" s="66">
        <f>(Table134[[#This Row],[Index]]-B397)/B397</f>
        <v/>
      </c>
    </row>
    <row r="410">
      <c r="A410" s="17" t="n">
        <v>38565</v>
      </c>
      <c r="B410" s="58">
        <f>VLOOKUP(Table134[[#This Row],[Date]],database!A:I,8,)</f>
        <v/>
      </c>
      <c r="C410" s="66">
        <f>B410/B409-1</f>
        <v/>
      </c>
      <c r="D410" s="66">
        <f>(Table134[[#This Row],[Index]]-B398)/B398</f>
        <v/>
      </c>
    </row>
    <row r="411">
      <c r="A411" s="17" t="n">
        <v>38596</v>
      </c>
      <c r="B411" s="58">
        <f>VLOOKUP(Table134[[#This Row],[Date]],database!A:I,8,)</f>
        <v/>
      </c>
      <c r="C411" s="66">
        <f>B411/B410-1</f>
        <v/>
      </c>
      <c r="D411" s="66">
        <f>(Table134[[#This Row],[Index]]-B399)/B399</f>
        <v/>
      </c>
    </row>
    <row r="412">
      <c r="A412" s="17" t="n">
        <v>38626</v>
      </c>
      <c r="B412" s="58">
        <f>VLOOKUP(Table134[[#This Row],[Date]],database!A:I,8,)</f>
        <v/>
      </c>
      <c r="C412" s="66">
        <f>B412/B411-1</f>
        <v/>
      </c>
      <c r="D412" s="66">
        <f>(Table134[[#This Row],[Index]]-B400)/B400</f>
        <v/>
      </c>
    </row>
    <row r="413">
      <c r="A413" s="17" t="n">
        <v>38657</v>
      </c>
      <c r="B413" s="58">
        <f>VLOOKUP(Table134[[#This Row],[Date]],database!A:I,8,)</f>
        <v/>
      </c>
      <c r="C413" s="66">
        <f>B413/B412-1</f>
        <v/>
      </c>
      <c r="D413" s="66">
        <f>(Table134[[#This Row],[Index]]-B401)/B401</f>
        <v/>
      </c>
    </row>
    <row r="414">
      <c r="A414" s="17" t="n">
        <v>38687</v>
      </c>
      <c r="B414" s="58">
        <f>VLOOKUP(Table134[[#This Row],[Date]],database!A:I,8,)</f>
        <v/>
      </c>
      <c r="C414" s="66">
        <f>B414/B413-1</f>
        <v/>
      </c>
      <c r="D414" s="66">
        <f>(Table134[[#This Row],[Index]]-B402)/B402</f>
        <v/>
      </c>
    </row>
    <row r="415">
      <c r="A415" s="17" t="n">
        <v>38718</v>
      </c>
      <c r="B415" s="58">
        <f>VLOOKUP(Table134[[#This Row],[Date]],database!A:I,8,)</f>
        <v/>
      </c>
      <c r="C415" s="66">
        <f>B415/B414-1</f>
        <v/>
      </c>
      <c r="D415" s="66">
        <f>(Table134[[#This Row],[Index]]-B403)/B403</f>
        <v/>
      </c>
    </row>
    <row r="416">
      <c r="A416" s="17" t="n">
        <v>38749</v>
      </c>
      <c r="B416" s="58">
        <f>VLOOKUP(Table134[[#This Row],[Date]],database!A:I,8,)</f>
        <v/>
      </c>
      <c r="C416" s="66">
        <f>B416/B415-1</f>
        <v/>
      </c>
      <c r="D416" s="66">
        <f>(Table134[[#This Row],[Index]]-B404)/B404</f>
        <v/>
      </c>
    </row>
    <row r="417">
      <c r="A417" s="17" t="n">
        <v>38777</v>
      </c>
      <c r="B417" s="58">
        <f>VLOOKUP(Table134[[#This Row],[Date]],database!A:I,8,)</f>
        <v/>
      </c>
      <c r="C417" s="66">
        <f>B417/B416-1</f>
        <v/>
      </c>
      <c r="D417" s="66">
        <f>(Table134[[#This Row],[Index]]-B405)/B405</f>
        <v/>
      </c>
    </row>
    <row r="418">
      <c r="A418" s="17" t="n">
        <v>38808</v>
      </c>
      <c r="B418" s="58">
        <f>VLOOKUP(Table134[[#This Row],[Date]],database!A:I,8,)</f>
        <v/>
      </c>
      <c r="C418" s="66">
        <f>B418/B417-1</f>
        <v/>
      </c>
      <c r="D418" s="66">
        <f>(Table134[[#This Row],[Index]]-B406)/B406</f>
        <v/>
      </c>
    </row>
    <row r="419">
      <c r="A419" s="17" t="n">
        <v>38838</v>
      </c>
      <c r="B419" s="58">
        <f>VLOOKUP(Table134[[#This Row],[Date]],database!A:I,8,)</f>
        <v/>
      </c>
      <c r="C419" s="66">
        <f>B419/B418-1</f>
        <v/>
      </c>
      <c r="D419" s="66">
        <f>(Table134[[#This Row],[Index]]-B407)/B407</f>
        <v/>
      </c>
    </row>
    <row r="420">
      <c r="A420" s="17" t="n">
        <v>38869</v>
      </c>
      <c r="B420" s="58">
        <f>VLOOKUP(Table134[[#This Row],[Date]],database!A:I,8,)</f>
        <v/>
      </c>
      <c r="C420" s="66">
        <f>B420/B419-1</f>
        <v/>
      </c>
      <c r="D420" s="66">
        <f>(Table134[[#This Row],[Index]]-B408)/B408</f>
        <v/>
      </c>
    </row>
    <row r="421">
      <c r="A421" s="17" t="n">
        <v>38899</v>
      </c>
      <c r="B421" s="58">
        <f>VLOOKUP(Table134[[#This Row],[Date]],database!A:I,8,)</f>
        <v/>
      </c>
      <c r="C421" s="66">
        <f>B421/B420-1</f>
        <v/>
      </c>
      <c r="D421" s="66">
        <f>(Table134[[#This Row],[Index]]-B409)/B409</f>
        <v/>
      </c>
    </row>
    <row r="422">
      <c r="A422" s="17" t="n">
        <v>38930</v>
      </c>
      <c r="B422" s="58">
        <f>VLOOKUP(Table134[[#This Row],[Date]],database!A:I,8,)</f>
        <v/>
      </c>
      <c r="C422" s="66">
        <f>B422/B421-1</f>
        <v/>
      </c>
      <c r="D422" s="66">
        <f>(Table134[[#This Row],[Index]]-B410)/B410</f>
        <v/>
      </c>
    </row>
    <row r="423">
      <c r="A423" s="17" t="n">
        <v>38961</v>
      </c>
      <c r="B423" s="58">
        <f>VLOOKUP(Table134[[#This Row],[Date]],database!A:I,8,)</f>
        <v/>
      </c>
      <c r="C423" s="66">
        <f>B423/B422-1</f>
        <v/>
      </c>
      <c r="D423" s="66">
        <f>(Table134[[#This Row],[Index]]-B411)/B411</f>
        <v/>
      </c>
    </row>
    <row r="424">
      <c r="A424" s="17" t="n">
        <v>38991</v>
      </c>
      <c r="B424" s="58">
        <f>VLOOKUP(Table134[[#This Row],[Date]],database!A:I,8,)</f>
        <v/>
      </c>
      <c r="C424" s="66">
        <f>B424/B423-1</f>
        <v/>
      </c>
      <c r="D424" s="66">
        <f>(Table134[[#This Row],[Index]]-B412)/B412</f>
        <v/>
      </c>
    </row>
    <row r="425">
      <c r="A425" s="17" t="n">
        <v>39022</v>
      </c>
      <c r="B425" s="58">
        <f>VLOOKUP(Table134[[#This Row],[Date]],database!A:I,8,)</f>
        <v/>
      </c>
      <c r="C425" s="66">
        <f>B425/B424-1</f>
        <v/>
      </c>
      <c r="D425" s="66">
        <f>(Table134[[#This Row],[Index]]-B413)/B413</f>
        <v/>
      </c>
    </row>
    <row r="426">
      <c r="A426" s="17" t="n">
        <v>39052</v>
      </c>
      <c r="B426" s="58">
        <f>VLOOKUP(Table134[[#This Row],[Date]],database!A:I,8,)</f>
        <v/>
      </c>
      <c r="C426" s="66">
        <f>B426/B425-1</f>
        <v/>
      </c>
      <c r="D426" s="66">
        <f>(Table134[[#This Row],[Index]]-B414)/B414</f>
        <v/>
      </c>
    </row>
    <row r="427">
      <c r="A427" s="17" t="n">
        <v>39083</v>
      </c>
      <c r="B427" s="58">
        <f>VLOOKUP(Table134[[#This Row],[Date]],database!A:I,8,)</f>
        <v/>
      </c>
      <c r="C427" s="66">
        <f>B427/B426-1</f>
        <v/>
      </c>
      <c r="D427" s="66">
        <f>(Table134[[#This Row],[Index]]-B415)/B415</f>
        <v/>
      </c>
    </row>
    <row r="428">
      <c r="A428" s="17" t="n">
        <v>39114</v>
      </c>
      <c r="B428" s="58">
        <f>VLOOKUP(Table134[[#This Row],[Date]],database!A:I,8,)</f>
        <v/>
      </c>
      <c r="C428" s="66">
        <f>B428/B427-1</f>
        <v/>
      </c>
      <c r="D428" s="66">
        <f>(Table134[[#This Row],[Index]]-B416)/B416</f>
        <v/>
      </c>
    </row>
    <row r="429">
      <c r="A429" s="17" t="n">
        <v>39142</v>
      </c>
      <c r="B429" s="58">
        <f>VLOOKUP(Table134[[#This Row],[Date]],database!A:I,8,)</f>
        <v/>
      </c>
      <c r="C429" s="66">
        <f>B429/B428-1</f>
        <v/>
      </c>
      <c r="D429" s="66">
        <f>(Table134[[#This Row],[Index]]-B417)/B417</f>
        <v/>
      </c>
    </row>
    <row r="430">
      <c r="A430" s="17" t="n">
        <v>39173</v>
      </c>
      <c r="B430" s="58">
        <f>VLOOKUP(Table134[[#This Row],[Date]],database!A:I,8,)</f>
        <v/>
      </c>
      <c r="C430" s="66">
        <f>B430/B429-1</f>
        <v/>
      </c>
      <c r="D430" s="66">
        <f>(Table134[[#This Row],[Index]]-B418)/B418</f>
        <v/>
      </c>
    </row>
    <row r="431">
      <c r="A431" s="17" t="n">
        <v>39203</v>
      </c>
      <c r="B431" s="58">
        <f>VLOOKUP(Table134[[#This Row],[Date]],database!A:I,8,)</f>
        <v/>
      </c>
      <c r="C431" s="66">
        <f>B431/B430-1</f>
        <v/>
      </c>
      <c r="D431" s="66">
        <f>(Table134[[#This Row],[Index]]-B419)/B419</f>
        <v/>
      </c>
    </row>
    <row r="432">
      <c r="A432" s="17" t="n">
        <v>39234</v>
      </c>
      <c r="B432" s="58">
        <f>VLOOKUP(Table134[[#This Row],[Date]],database!A:I,8,)</f>
        <v/>
      </c>
      <c r="C432" s="66">
        <f>B432/B431-1</f>
        <v/>
      </c>
      <c r="D432" s="66">
        <f>(Table134[[#This Row],[Index]]-B420)/B420</f>
        <v/>
      </c>
    </row>
    <row r="433">
      <c r="A433" s="17" t="n">
        <v>39264</v>
      </c>
      <c r="B433" s="58">
        <f>VLOOKUP(Table134[[#This Row],[Date]],database!A:I,8,)</f>
        <v/>
      </c>
      <c r="C433" s="66">
        <f>B433/B432-1</f>
        <v/>
      </c>
      <c r="D433" s="66">
        <f>(Table134[[#This Row],[Index]]-B421)/B421</f>
        <v/>
      </c>
    </row>
    <row r="434">
      <c r="A434" s="17" t="n">
        <v>39295</v>
      </c>
      <c r="B434" s="58">
        <f>VLOOKUP(Table134[[#This Row],[Date]],database!A:I,8,)</f>
        <v/>
      </c>
      <c r="C434" s="66">
        <f>B434/B433-1</f>
        <v/>
      </c>
      <c r="D434" s="66">
        <f>(Table134[[#This Row],[Index]]-B422)/B422</f>
        <v/>
      </c>
    </row>
    <row r="435">
      <c r="A435" s="17" t="n">
        <v>39326</v>
      </c>
      <c r="B435" s="58">
        <f>VLOOKUP(Table134[[#This Row],[Date]],database!A:I,8,)</f>
        <v/>
      </c>
      <c r="C435" s="66">
        <f>B435/B434-1</f>
        <v/>
      </c>
      <c r="D435" s="66">
        <f>(Table134[[#This Row],[Index]]-B423)/B423</f>
        <v/>
      </c>
    </row>
    <row r="436">
      <c r="A436" s="17" t="n">
        <v>39356</v>
      </c>
      <c r="B436" s="58">
        <f>VLOOKUP(Table134[[#This Row],[Date]],database!A:I,8,)</f>
        <v/>
      </c>
      <c r="C436" s="66">
        <f>B436/B435-1</f>
        <v/>
      </c>
      <c r="D436" s="66">
        <f>(Table134[[#This Row],[Index]]-B424)/B424</f>
        <v/>
      </c>
    </row>
    <row r="437">
      <c r="A437" s="17" t="n">
        <v>39387</v>
      </c>
      <c r="B437" s="58">
        <f>VLOOKUP(Table134[[#This Row],[Date]],database!A:I,8,)</f>
        <v/>
      </c>
      <c r="C437" s="66">
        <f>B437/B436-1</f>
        <v/>
      </c>
      <c r="D437" s="66">
        <f>(Table134[[#This Row],[Index]]-B425)/B425</f>
        <v/>
      </c>
    </row>
    <row r="438">
      <c r="A438" s="17" t="n">
        <v>39417</v>
      </c>
      <c r="B438" s="58">
        <f>VLOOKUP(Table134[[#This Row],[Date]],database!A:I,8,)</f>
        <v/>
      </c>
      <c r="C438" s="66">
        <f>B438/B437-1</f>
        <v/>
      </c>
      <c r="D438" s="66">
        <f>(Table134[[#This Row],[Index]]-B426)/B426</f>
        <v/>
      </c>
    </row>
    <row r="439">
      <c r="A439" s="17" t="n">
        <v>39448</v>
      </c>
      <c r="B439" s="58">
        <f>VLOOKUP(Table134[[#This Row],[Date]],database!A:I,8,)</f>
        <v/>
      </c>
      <c r="C439" s="66">
        <f>B439/B438-1</f>
        <v/>
      </c>
      <c r="D439" s="66">
        <f>(Table134[[#This Row],[Index]]-B427)/B427</f>
        <v/>
      </c>
    </row>
    <row r="440">
      <c r="A440" s="17" t="n">
        <v>39479</v>
      </c>
      <c r="B440" s="58">
        <f>VLOOKUP(Table134[[#This Row],[Date]],database!A:I,8,)</f>
        <v/>
      </c>
      <c r="C440" s="66">
        <f>B440/B439-1</f>
        <v/>
      </c>
      <c r="D440" s="66">
        <f>(Table134[[#This Row],[Index]]-B428)/B428</f>
        <v/>
      </c>
    </row>
    <row r="441">
      <c r="A441" s="17" t="n">
        <v>39508</v>
      </c>
      <c r="B441" s="58">
        <f>VLOOKUP(Table134[[#This Row],[Date]],database!A:I,8,)</f>
        <v/>
      </c>
      <c r="C441" s="66">
        <f>B441/B440-1</f>
        <v/>
      </c>
      <c r="D441" s="66">
        <f>(Table134[[#This Row],[Index]]-B429)/B429</f>
        <v/>
      </c>
    </row>
    <row r="442">
      <c r="A442" s="17" t="n">
        <v>39539</v>
      </c>
      <c r="B442" s="58">
        <f>VLOOKUP(Table134[[#This Row],[Date]],database!A:I,8,)</f>
        <v/>
      </c>
      <c r="C442" s="66">
        <f>B442/B441-1</f>
        <v/>
      </c>
      <c r="D442" s="66">
        <f>(Table134[[#This Row],[Index]]-B430)/B430</f>
        <v/>
      </c>
    </row>
    <row r="443">
      <c r="A443" s="17" t="n">
        <v>39569</v>
      </c>
      <c r="B443" s="58">
        <f>VLOOKUP(Table134[[#This Row],[Date]],database!A:I,8,)</f>
        <v/>
      </c>
      <c r="C443" s="66">
        <f>B443/B442-1</f>
        <v/>
      </c>
      <c r="D443" s="66">
        <f>(Table134[[#This Row],[Index]]-B431)/B431</f>
        <v/>
      </c>
    </row>
    <row r="444">
      <c r="A444" s="17" t="n">
        <v>39600</v>
      </c>
      <c r="B444" s="58">
        <f>VLOOKUP(Table134[[#This Row],[Date]],database!A:I,8,)</f>
        <v/>
      </c>
      <c r="C444" s="66">
        <f>B444/B443-1</f>
        <v/>
      </c>
      <c r="D444" s="66">
        <f>(Table134[[#This Row],[Index]]-B432)/B432</f>
        <v/>
      </c>
    </row>
    <row r="445">
      <c r="A445" s="17" t="n">
        <v>39630</v>
      </c>
      <c r="B445" s="58">
        <f>VLOOKUP(Table134[[#This Row],[Date]],database!A:I,8,)</f>
        <v/>
      </c>
      <c r="C445" s="66">
        <f>B445/B444-1</f>
        <v/>
      </c>
      <c r="D445" s="66">
        <f>(Table134[[#This Row],[Index]]-B433)/B433</f>
        <v/>
      </c>
    </row>
    <row r="446">
      <c r="A446" s="17" t="n">
        <v>39661</v>
      </c>
      <c r="B446" s="58">
        <f>VLOOKUP(Table134[[#This Row],[Date]],database!A:I,8,)</f>
        <v/>
      </c>
      <c r="C446" s="66">
        <f>B446/B445-1</f>
        <v/>
      </c>
      <c r="D446" s="66">
        <f>(Table134[[#This Row],[Index]]-B434)/B434</f>
        <v/>
      </c>
    </row>
    <row r="447">
      <c r="A447" s="17" t="n">
        <v>39692</v>
      </c>
      <c r="B447" s="58">
        <f>VLOOKUP(Table134[[#This Row],[Date]],database!A:I,8,)</f>
        <v/>
      </c>
      <c r="C447" s="66">
        <f>B447/B446-1</f>
        <v/>
      </c>
      <c r="D447" s="66">
        <f>(Table134[[#This Row],[Index]]-B435)/B435</f>
        <v/>
      </c>
    </row>
    <row r="448">
      <c r="A448" s="17" t="n">
        <v>39722</v>
      </c>
      <c r="B448" s="58">
        <f>VLOOKUP(Table134[[#This Row],[Date]],database!A:I,8,)</f>
        <v/>
      </c>
      <c r="C448" s="66">
        <f>B448/B447-1</f>
        <v/>
      </c>
      <c r="D448" s="66">
        <f>(Table134[[#This Row],[Index]]-B436)/B436</f>
        <v/>
      </c>
    </row>
    <row r="449">
      <c r="A449" s="17" t="n">
        <v>39753</v>
      </c>
      <c r="B449" s="58">
        <f>VLOOKUP(Table134[[#This Row],[Date]],database!A:I,8,)</f>
        <v/>
      </c>
      <c r="C449" s="66">
        <f>B449/B448-1</f>
        <v/>
      </c>
      <c r="D449" s="66">
        <f>(Table134[[#This Row],[Index]]-B437)/B437</f>
        <v/>
      </c>
    </row>
    <row r="450">
      <c r="A450" s="17" t="n">
        <v>39783</v>
      </c>
      <c r="B450" s="58">
        <f>VLOOKUP(Table134[[#This Row],[Date]],database!A:I,8,)</f>
        <v/>
      </c>
      <c r="C450" s="66">
        <f>B450/B449-1</f>
        <v/>
      </c>
      <c r="D450" s="66">
        <f>(Table134[[#This Row],[Index]]-B438)/B438</f>
        <v/>
      </c>
    </row>
    <row r="451">
      <c r="A451" s="17" t="n">
        <v>39814</v>
      </c>
      <c r="B451" s="58">
        <f>VLOOKUP(Table134[[#This Row],[Date]],database!A:I,8,)</f>
        <v/>
      </c>
      <c r="C451" s="66">
        <f>B451/B450-1</f>
        <v/>
      </c>
      <c r="D451" s="66">
        <f>(Table134[[#This Row],[Index]]-B439)/B439</f>
        <v/>
      </c>
    </row>
    <row r="452">
      <c r="A452" s="17" t="n">
        <v>39845</v>
      </c>
      <c r="B452" s="58">
        <f>VLOOKUP(Table134[[#This Row],[Date]],database!A:I,8,)</f>
        <v/>
      </c>
      <c r="C452" s="66">
        <f>B452/B451-1</f>
        <v/>
      </c>
      <c r="D452" s="66">
        <f>(Table134[[#This Row],[Index]]-B440)/B440</f>
        <v/>
      </c>
    </row>
    <row r="453">
      <c r="A453" s="17" t="n">
        <v>39873</v>
      </c>
      <c r="B453" s="58">
        <f>VLOOKUP(Table134[[#This Row],[Date]],database!A:I,8,)</f>
        <v/>
      </c>
      <c r="C453" s="66">
        <f>B453/B452-1</f>
        <v/>
      </c>
      <c r="D453" s="66">
        <f>(Table134[[#This Row],[Index]]-B441)/B441</f>
        <v/>
      </c>
    </row>
    <row r="454">
      <c r="A454" s="17" t="n">
        <v>39904</v>
      </c>
      <c r="B454" s="58">
        <f>VLOOKUP(Table134[[#This Row],[Date]],database!A:I,8,)</f>
        <v/>
      </c>
      <c r="C454" s="66">
        <f>B454/B453-1</f>
        <v/>
      </c>
      <c r="D454" s="66">
        <f>(Table134[[#This Row],[Index]]-B442)/B442</f>
        <v/>
      </c>
    </row>
    <row r="455">
      <c r="A455" s="17" t="n">
        <v>39934</v>
      </c>
      <c r="B455" s="58">
        <f>VLOOKUP(Table134[[#This Row],[Date]],database!A:I,8,)</f>
        <v/>
      </c>
      <c r="C455" s="66">
        <f>B455/B454-1</f>
        <v/>
      </c>
      <c r="D455" s="66">
        <f>(Table134[[#This Row],[Index]]-B443)/B443</f>
        <v/>
      </c>
    </row>
    <row r="456">
      <c r="A456" s="17" t="n">
        <v>39965</v>
      </c>
      <c r="B456" s="58">
        <f>VLOOKUP(Table134[[#This Row],[Date]],database!A:I,8,)</f>
        <v/>
      </c>
      <c r="C456" s="66">
        <f>B456/B455-1</f>
        <v/>
      </c>
      <c r="D456" s="66">
        <f>(Table134[[#This Row],[Index]]-B444)/B444</f>
        <v/>
      </c>
    </row>
    <row r="457">
      <c r="A457" s="17" t="n">
        <v>39995</v>
      </c>
      <c r="B457" s="58">
        <f>VLOOKUP(Table134[[#This Row],[Date]],database!A:I,8,)</f>
        <v/>
      </c>
      <c r="C457" s="66">
        <f>B457/B456-1</f>
        <v/>
      </c>
      <c r="D457" s="66">
        <f>(Table134[[#This Row],[Index]]-B445)/B445</f>
        <v/>
      </c>
    </row>
    <row r="458">
      <c r="A458" s="17" t="n">
        <v>40026</v>
      </c>
      <c r="B458" s="58">
        <f>VLOOKUP(Table134[[#This Row],[Date]],database!A:I,8,)</f>
        <v/>
      </c>
      <c r="C458" s="66">
        <f>B458/B457-1</f>
        <v/>
      </c>
      <c r="D458" s="66">
        <f>(Table134[[#This Row],[Index]]-B446)/B446</f>
        <v/>
      </c>
    </row>
    <row r="459">
      <c r="A459" s="17" t="n">
        <v>40057</v>
      </c>
      <c r="B459" s="58">
        <f>VLOOKUP(Table134[[#This Row],[Date]],database!A:I,8,)</f>
        <v/>
      </c>
      <c r="C459" s="66">
        <f>B459/B458-1</f>
        <v/>
      </c>
      <c r="D459" s="66">
        <f>(Table134[[#This Row],[Index]]-B447)/B447</f>
        <v/>
      </c>
    </row>
    <row r="460">
      <c r="A460" s="17" t="n">
        <v>40087</v>
      </c>
      <c r="B460" s="58">
        <f>VLOOKUP(Table134[[#This Row],[Date]],database!A:I,8,)</f>
        <v/>
      </c>
      <c r="C460" s="66">
        <f>B460/B459-1</f>
        <v/>
      </c>
      <c r="D460" s="66">
        <f>(Table134[[#This Row],[Index]]-B448)/B448</f>
        <v/>
      </c>
    </row>
    <row r="461">
      <c r="A461" s="17" t="n">
        <v>40118</v>
      </c>
      <c r="B461" s="58">
        <f>VLOOKUP(Table134[[#This Row],[Date]],database!A:I,8,)</f>
        <v/>
      </c>
      <c r="C461" s="66">
        <f>B461/B460-1</f>
        <v/>
      </c>
      <c r="D461" s="66">
        <f>(Table134[[#This Row],[Index]]-B449)/B449</f>
        <v/>
      </c>
    </row>
    <row r="462">
      <c r="A462" s="17" t="n">
        <v>40148</v>
      </c>
      <c r="B462" s="58">
        <f>VLOOKUP(Table134[[#This Row],[Date]],database!A:I,8,)</f>
        <v/>
      </c>
      <c r="C462" s="66">
        <f>B462/B461-1</f>
        <v/>
      </c>
      <c r="D462" s="66">
        <f>(Table134[[#This Row],[Index]]-B450)/B450</f>
        <v/>
      </c>
    </row>
    <row r="463">
      <c r="A463" s="17" t="n">
        <v>40179</v>
      </c>
      <c r="B463" s="58">
        <f>VLOOKUP(Table134[[#This Row],[Date]],database!A:I,8,)</f>
        <v/>
      </c>
      <c r="C463" s="66">
        <f>B463/B462-1</f>
        <v/>
      </c>
      <c r="D463" s="66">
        <f>(Table134[[#This Row],[Index]]-B451)/B451</f>
        <v/>
      </c>
    </row>
    <row r="464">
      <c r="A464" s="17" t="n">
        <v>40210</v>
      </c>
      <c r="B464" s="58">
        <f>VLOOKUP(Table134[[#This Row],[Date]],database!A:I,8,)</f>
        <v/>
      </c>
      <c r="C464" s="66">
        <f>B464/B463-1</f>
        <v/>
      </c>
      <c r="D464" s="66">
        <f>(Table134[[#This Row],[Index]]-B452)/B452</f>
        <v/>
      </c>
    </row>
    <row r="465">
      <c r="A465" s="17" t="n">
        <v>40238</v>
      </c>
      <c r="B465" s="58">
        <f>VLOOKUP(Table134[[#This Row],[Date]],database!A:I,8,)</f>
        <v/>
      </c>
      <c r="C465" s="66">
        <f>B465/B464-1</f>
        <v/>
      </c>
      <c r="D465" s="66">
        <f>(Table134[[#This Row],[Index]]-B453)/B453</f>
        <v/>
      </c>
    </row>
    <row r="466">
      <c r="A466" s="17" t="n">
        <v>40269</v>
      </c>
      <c r="B466" s="58">
        <f>VLOOKUP(Table134[[#This Row],[Date]],database!A:I,8,)</f>
        <v/>
      </c>
      <c r="C466" s="66">
        <f>B466/B465-1</f>
        <v/>
      </c>
      <c r="D466" s="66">
        <f>(Table134[[#This Row],[Index]]-B454)/B454</f>
        <v/>
      </c>
    </row>
    <row r="467">
      <c r="A467" s="17" t="n">
        <v>40299</v>
      </c>
      <c r="B467" s="58">
        <f>VLOOKUP(Table134[[#This Row],[Date]],database!A:I,8,)</f>
        <v/>
      </c>
      <c r="C467" s="66">
        <f>B467/B466-1</f>
        <v/>
      </c>
      <c r="D467" s="66">
        <f>(Table134[[#This Row],[Index]]-B455)/B455</f>
        <v/>
      </c>
    </row>
    <row r="468">
      <c r="A468" s="17" t="n">
        <v>40330</v>
      </c>
      <c r="B468" s="58">
        <f>VLOOKUP(Table134[[#This Row],[Date]],database!A:I,8,)</f>
        <v/>
      </c>
      <c r="C468" s="66">
        <f>B468/B467-1</f>
        <v/>
      </c>
      <c r="D468" s="66">
        <f>(Table134[[#This Row],[Index]]-B456)/B456</f>
        <v/>
      </c>
    </row>
    <row r="469">
      <c r="A469" s="17" t="n">
        <v>40360</v>
      </c>
      <c r="B469" s="58">
        <f>VLOOKUP(Table134[[#This Row],[Date]],database!A:I,8,)</f>
        <v/>
      </c>
      <c r="C469" s="66">
        <f>B469/B468-1</f>
        <v/>
      </c>
      <c r="D469" s="66">
        <f>(Table134[[#This Row],[Index]]-B457)/B457</f>
        <v/>
      </c>
    </row>
    <row r="470">
      <c r="A470" s="17" t="n">
        <v>40391</v>
      </c>
      <c r="B470" s="58">
        <f>VLOOKUP(Table134[[#This Row],[Date]],database!A:I,8,)</f>
        <v/>
      </c>
      <c r="C470" s="66">
        <f>B470/B469-1</f>
        <v/>
      </c>
      <c r="D470" s="66">
        <f>(Table134[[#This Row],[Index]]-B458)/B458</f>
        <v/>
      </c>
    </row>
    <row r="471">
      <c r="A471" s="17" t="n">
        <v>40422</v>
      </c>
      <c r="B471" s="58">
        <f>VLOOKUP(Table134[[#This Row],[Date]],database!A:I,8,)</f>
        <v/>
      </c>
      <c r="C471" s="66">
        <f>B471/B470-1</f>
        <v/>
      </c>
      <c r="D471" s="66">
        <f>(Table134[[#This Row],[Index]]-B459)/B459</f>
        <v/>
      </c>
    </row>
    <row r="472">
      <c r="A472" s="17" t="n">
        <v>40452</v>
      </c>
      <c r="B472" s="58">
        <f>VLOOKUP(Table134[[#This Row],[Date]],database!A:I,8,)</f>
        <v/>
      </c>
      <c r="C472" s="66">
        <f>B472/B471-1</f>
        <v/>
      </c>
      <c r="D472" s="66">
        <f>(Table134[[#This Row],[Index]]-B460)/B460</f>
        <v/>
      </c>
    </row>
    <row r="473">
      <c r="A473" s="17" t="n">
        <v>40483</v>
      </c>
      <c r="B473" s="58">
        <f>VLOOKUP(Table134[[#This Row],[Date]],database!A:I,8,)</f>
        <v/>
      </c>
      <c r="C473" s="66">
        <f>B473/B472-1</f>
        <v/>
      </c>
      <c r="D473" s="66">
        <f>(Table134[[#This Row],[Index]]-B461)/B461</f>
        <v/>
      </c>
    </row>
    <row r="474">
      <c r="A474" s="17" t="n">
        <v>40513</v>
      </c>
      <c r="B474" s="58">
        <f>VLOOKUP(Table134[[#This Row],[Date]],database!A:I,8,)</f>
        <v/>
      </c>
      <c r="C474" s="66">
        <f>B474/B473-1</f>
        <v/>
      </c>
      <c r="D474" s="66">
        <f>(Table134[[#This Row],[Index]]-B462)/B462</f>
        <v/>
      </c>
    </row>
    <row r="475">
      <c r="A475" s="17" t="n">
        <v>40544</v>
      </c>
      <c r="B475" s="58">
        <f>VLOOKUP(Table134[[#This Row],[Date]],database!A:I,8,)</f>
        <v/>
      </c>
      <c r="C475" s="66">
        <f>B475/B474-1</f>
        <v/>
      </c>
      <c r="D475" s="66">
        <f>(Table134[[#This Row],[Index]]-B463)/B463</f>
        <v/>
      </c>
    </row>
    <row r="476">
      <c r="A476" s="17" t="n">
        <v>40575</v>
      </c>
      <c r="B476" s="58">
        <f>VLOOKUP(Table134[[#This Row],[Date]],database!A:I,8,)</f>
        <v/>
      </c>
      <c r="C476" s="66">
        <f>B476/B475-1</f>
        <v/>
      </c>
      <c r="D476" s="66">
        <f>(Table134[[#This Row],[Index]]-B464)/B464</f>
        <v/>
      </c>
    </row>
    <row r="477">
      <c r="A477" s="17" t="n">
        <v>40603</v>
      </c>
      <c r="B477" s="58">
        <f>VLOOKUP(Table134[[#This Row],[Date]],database!A:I,8,)</f>
        <v/>
      </c>
      <c r="C477" s="66">
        <f>B477/B476-1</f>
        <v/>
      </c>
      <c r="D477" s="66">
        <f>(Table134[[#This Row],[Index]]-B465)/B465</f>
        <v/>
      </c>
    </row>
    <row r="478">
      <c r="A478" s="17" t="n">
        <v>40634</v>
      </c>
      <c r="B478" s="58">
        <f>VLOOKUP(Table134[[#This Row],[Date]],database!A:I,8,)</f>
        <v/>
      </c>
      <c r="C478" s="67">
        <f>B478/B477-1</f>
        <v/>
      </c>
      <c r="D478" s="66">
        <f>(Table134[[#This Row],[Index]]-B466)/B466</f>
        <v/>
      </c>
    </row>
    <row r="479">
      <c r="A479" s="17" t="n">
        <v>40664</v>
      </c>
      <c r="B479" s="58">
        <f>VLOOKUP(Table134[[#This Row],[Date]],database!A:I,8,)</f>
        <v/>
      </c>
      <c r="C479" s="66">
        <f>B479/B478-1</f>
        <v/>
      </c>
      <c r="D479" s="66">
        <f>(Table134[[#This Row],[Index]]-B467)/B467</f>
        <v/>
      </c>
    </row>
    <row r="480">
      <c r="A480" s="17" t="n">
        <v>40695</v>
      </c>
      <c r="B480" s="58">
        <f>VLOOKUP(Table134[[#This Row],[Date]],database!A:I,8,)</f>
        <v/>
      </c>
      <c r="C480" s="66">
        <f>B480/B479-1</f>
        <v/>
      </c>
      <c r="D480" s="66">
        <f>(Table134[[#This Row],[Index]]-B468)/B468</f>
        <v/>
      </c>
    </row>
    <row r="481">
      <c r="A481" s="17" t="n">
        <v>40725</v>
      </c>
      <c r="B481" s="58">
        <f>VLOOKUP(Table134[[#This Row],[Date]],database!A:I,8,)</f>
        <v/>
      </c>
      <c r="C481" s="66">
        <f>B481/B480-1</f>
        <v/>
      </c>
      <c r="D481" s="66">
        <f>(Table134[[#This Row],[Index]]-B469)/B469</f>
        <v/>
      </c>
    </row>
    <row r="482">
      <c r="A482" s="17" t="n">
        <v>40756</v>
      </c>
      <c r="B482" s="58">
        <f>VLOOKUP(Table134[[#This Row],[Date]],database!A:I,8,)</f>
        <v/>
      </c>
      <c r="C482" s="66">
        <f>B482/B481-1</f>
        <v/>
      </c>
      <c r="D482" s="66">
        <f>(Table134[[#This Row],[Index]]-B470)/B470</f>
        <v/>
      </c>
    </row>
    <row r="483">
      <c r="A483" s="17" t="n">
        <v>40787</v>
      </c>
      <c r="B483" s="58">
        <f>VLOOKUP(Table134[[#This Row],[Date]],database!A:I,8,)</f>
        <v/>
      </c>
      <c r="C483" s="66">
        <f>B483/B482-1</f>
        <v/>
      </c>
      <c r="D483" s="66">
        <f>(Table134[[#This Row],[Index]]-B471)/B471</f>
        <v/>
      </c>
    </row>
    <row r="484">
      <c r="A484" s="17" t="n">
        <v>40817</v>
      </c>
      <c r="B484" s="58">
        <f>VLOOKUP(Table134[[#This Row],[Date]],database!A:I,8,)</f>
        <v/>
      </c>
      <c r="C484" s="66">
        <f>B484/B483-1</f>
        <v/>
      </c>
      <c r="D484" s="66">
        <f>(Table134[[#This Row],[Index]]-B472)/B472</f>
        <v/>
      </c>
    </row>
    <row r="485">
      <c r="A485" s="17" t="n">
        <v>40848</v>
      </c>
      <c r="B485" s="58">
        <f>VLOOKUP(Table134[[#This Row],[Date]],database!A:I,8,)</f>
        <v/>
      </c>
      <c r="C485" s="66">
        <f>B485/B484-1</f>
        <v/>
      </c>
      <c r="D485" s="66">
        <f>(Table134[[#This Row],[Index]]-B473)/B473</f>
        <v/>
      </c>
    </row>
    <row r="486">
      <c r="A486" s="17" t="n">
        <v>40878</v>
      </c>
      <c r="B486" s="58">
        <f>VLOOKUP(Table134[[#This Row],[Date]],database!A:I,8,)</f>
        <v/>
      </c>
      <c r="C486" s="66">
        <f>B486/B485-1</f>
        <v/>
      </c>
      <c r="D486" s="66">
        <f>(Table134[[#This Row],[Index]]-B474)/B474</f>
        <v/>
      </c>
    </row>
    <row r="487">
      <c r="A487" s="17" t="n">
        <v>40909</v>
      </c>
      <c r="B487" s="58">
        <f>VLOOKUP(Table134[[#This Row],[Date]],database!A:I,8,)</f>
        <v/>
      </c>
      <c r="C487" s="66">
        <f>B487/B486-1</f>
        <v/>
      </c>
      <c r="D487" s="66">
        <f>(Table134[[#This Row],[Index]]-B475)/B475</f>
        <v/>
      </c>
    </row>
    <row r="488">
      <c r="A488" s="17" t="n">
        <v>40940</v>
      </c>
      <c r="B488" s="58">
        <f>VLOOKUP(Table134[[#This Row],[Date]],database!A:I,8,)</f>
        <v/>
      </c>
      <c r="C488" s="66">
        <f>B488/B487-1</f>
        <v/>
      </c>
      <c r="D488" s="66">
        <f>(Table134[[#This Row],[Index]]-B476)/B476</f>
        <v/>
      </c>
    </row>
    <row r="489">
      <c r="A489" s="17" t="n">
        <v>40969</v>
      </c>
      <c r="B489" s="58">
        <f>VLOOKUP(Table134[[#This Row],[Date]],database!A:I,8,)</f>
        <v/>
      </c>
      <c r="C489" s="66">
        <f>B489/B488-1</f>
        <v/>
      </c>
      <c r="D489" s="66">
        <f>(Table134[[#This Row],[Index]]-B477)/B477</f>
        <v/>
      </c>
    </row>
    <row r="490">
      <c r="A490" s="17" t="n">
        <v>41000</v>
      </c>
      <c r="B490" s="58">
        <f>VLOOKUP(Table134[[#This Row],[Date]],database!A:I,8,)</f>
        <v/>
      </c>
      <c r="C490" s="66">
        <f>B490/B489-1</f>
        <v/>
      </c>
      <c r="D490" s="66">
        <f>(Table134[[#This Row],[Index]]-B478)/B478</f>
        <v/>
      </c>
    </row>
    <row r="491">
      <c r="A491" s="17" t="n">
        <v>41030</v>
      </c>
      <c r="B491" s="58">
        <f>VLOOKUP(Table134[[#This Row],[Date]],database!A:I,8,)</f>
        <v/>
      </c>
      <c r="C491" s="66">
        <f>B491/B490-1</f>
        <v/>
      </c>
      <c r="D491" s="66">
        <f>(Table134[[#This Row],[Index]]-B479)/B479</f>
        <v/>
      </c>
    </row>
    <row r="492">
      <c r="A492" s="17" t="n">
        <v>41061</v>
      </c>
      <c r="B492" s="58">
        <f>VLOOKUP(Table134[[#This Row],[Date]],database!A:I,8,)</f>
        <v/>
      </c>
      <c r="C492" s="66">
        <f>B492/B491-1</f>
        <v/>
      </c>
      <c r="D492" s="66">
        <f>(Table134[[#This Row],[Index]]-B480)/B480</f>
        <v/>
      </c>
    </row>
    <row r="493">
      <c r="A493" s="17" t="n">
        <v>41091</v>
      </c>
      <c r="B493" s="58">
        <f>VLOOKUP(Table134[[#This Row],[Date]],database!A:I,8,)</f>
        <v/>
      </c>
      <c r="C493" s="66">
        <f>B493/B492-1</f>
        <v/>
      </c>
      <c r="D493" s="66">
        <f>(Table134[[#This Row],[Index]]-B481)/B481</f>
        <v/>
      </c>
    </row>
    <row r="494">
      <c r="A494" s="17" t="n">
        <v>41122</v>
      </c>
      <c r="B494" s="58">
        <f>VLOOKUP(Table134[[#This Row],[Date]],database!A:I,8,)</f>
        <v/>
      </c>
      <c r="C494" s="66">
        <f>B494/B493-1</f>
        <v/>
      </c>
      <c r="D494" s="66">
        <f>(Table134[[#This Row],[Index]]-B482)/B482</f>
        <v/>
      </c>
    </row>
    <row r="495">
      <c r="A495" s="17" t="n">
        <v>41153</v>
      </c>
      <c r="B495" s="58">
        <f>VLOOKUP(Table134[[#This Row],[Date]],database!A:I,8,)</f>
        <v/>
      </c>
      <c r="C495" s="66">
        <f>B495/B494-1</f>
        <v/>
      </c>
      <c r="D495" s="66">
        <f>(Table134[[#This Row],[Index]]-B483)/B483</f>
        <v/>
      </c>
    </row>
    <row r="496">
      <c r="A496" s="17" t="n">
        <v>41183</v>
      </c>
      <c r="B496" s="58">
        <f>VLOOKUP(Table134[[#This Row],[Date]],database!A:I,8,)</f>
        <v/>
      </c>
      <c r="C496" s="66">
        <f>B496/B495-1</f>
        <v/>
      </c>
      <c r="D496" s="66">
        <f>(Table134[[#This Row],[Index]]-B484)/B484</f>
        <v/>
      </c>
    </row>
    <row r="497">
      <c r="A497" s="17" t="n">
        <v>41214</v>
      </c>
      <c r="B497" s="58">
        <f>VLOOKUP(Table134[[#This Row],[Date]],database!A:I,8,)</f>
        <v/>
      </c>
      <c r="C497" s="66">
        <f>B497/B496-1</f>
        <v/>
      </c>
      <c r="D497" s="66">
        <f>(Table134[[#This Row],[Index]]-B485)/B485</f>
        <v/>
      </c>
    </row>
    <row r="498">
      <c r="A498" s="17" t="n">
        <v>41244</v>
      </c>
      <c r="B498" s="58">
        <f>VLOOKUP(Table134[[#This Row],[Date]],database!A:I,8,)</f>
        <v/>
      </c>
      <c r="C498" s="66">
        <f>B498/B497-1</f>
        <v/>
      </c>
      <c r="D498" s="66">
        <f>(Table134[[#This Row],[Index]]-B486)/B486</f>
        <v/>
      </c>
    </row>
    <row r="499">
      <c r="A499" s="17" t="n">
        <v>41275</v>
      </c>
      <c r="B499" s="58">
        <f>VLOOKUP(Table134[[#This Row],[Date]],database!A:I,8,)</f>
        <v/>
      </c>
      <c r="C499" s="66">
        <f>B499/B498-1</f>
        <v/>
      </c>
      <c r="D499" s="66">
        <f>(Table134[[#This Row],[Index]]-B487)/B487</f>
        <v/>
      </c>
    </row>
    <row r="500">
      <c r="A500" s="17" t="n">
        <v>41306</v>
      </c>
      <c r="B500" s="58">
        <f>VLOOKUP(Table134[[#This Row],[Date]],database!A:I,8,)</f>
        <v/>
      </c>
      <c r="C500" s="66">
        <f>B500/B499-1</f>
        <v/>
      </c>
      <c r="D500" s="66">
        <f>(Table134[[#This Row],[Index]]-B488)/B488</f>
        <v/>
      </c>
    </row>
    <row r="501">
      <c r="A501" s="17" t="n">
        <v>41334</v>
      </c>
      <c r="B501" s="58">
        <f>VLOOKUP(Table134[[#This Row],[Date]],database!A:I,8,)</f>
        <v/>
      </c>
      <c r="C501" s="66">
        <f>B501/B500-1</f>
        <v/>
      </c>
      <c r="D501" s="66">
        <f>(Table134[[#This Row],[Index]]-B489)/B489</f>
        <v/>
      </c>
    </row>
    <row r="502">
      <c r="A502" s="17" t="n">
        <v>41365</v>
      </c>
      <c r="B502" s="58">
        <f>VLOOKUP(Table134[[#This Row],[Date]],database!A:I,8,)</f>
        <v/>
      </c>
      <c r="C502" s="66">
        <f>B502/B501-1</f>
        <v/>
      </c>
      <c r="D502" s="66">
        <f>(Table134[[#This Row],[Index]]-B490)/B490</f>
        <v/>
      </c>
    </row>
    <row r="503">
      <c r="A503" s="17" t="n">
        <v>41395</v>
      </c>
      <c r="B503" s="58">
        <f>VLOOKUP(Table134[[#This Row],[Date]],database!A:I,8,)</f>
        <v/>
      </c>
      <c r="C503" s="66">
        <f>B503/B502-1</f>
        <v/>
      </c>
      <c r="D503" s="66">
        <f>(Table134[[#This Row],[Index]]-B491)/B491</f>
        <v/>
      </c>
    </row>
    <row r="504">
      <c r="A504" s="17" t="n">
        <v>41426</v>
      </c>
      <c r="B504" s="58">
        <f>VLOOKUP(Table134[[#This Row],[Date]],database!A:I,8,)</f>
        <v/>
      </c>
      <c r="C504" s="66">
        <f>B504/B503-1</f>
        <v/>
      </c>
      <c r="D504" s="66">
        <f>(Table134[[#This Row],[Index]]-B492)/B492</f>
        <v/>
      </c>
    </row>
    <row r="505">
      <c r="A505" s="17" t="n">
        <v>41456</v>
      </c>
      <c r="B505" s="58">
        <f>VLOOKUP(Table134[[#This Row],[Date]],database!A:I,8,)</f>
        <v/>
      </c>
      <c r="C505" s="66">
        <f>B505/B504-1</f>
        <v/>
      </c>
      <c r="D505" s="66">
        <f>(Table134[[#This Row],[Index]]-B493)/B493</f>
        <v/>
      </c>
    </row>
    <row r="506">
      <c r="A506" s="17" t="n">
        <v>41487</v>
      </c>
      <c r="B506" s="58">
        <f>VLOOKUP(Table134[[#This Row],[Date]],database!A:I,8,)</f>
        <v/>
      </c>
      <c r="C506" s="66">
        <f>B506/B505-1</f>
        <v/>
      </c>
      <c r="D506" s="66">
        <f>(Table134[[#This Row],[Index]]-B494)/B494</f>
        <v/>
      </c>
    </row>
    <row r="507">
      <c r="A507" s="17" t="n">
        <v>41518</v>
      </c>
      <c r="B507" s="58">
        <f>VLOOKUP(Table134[[#This Row],[Date]],database!A:I,8,)</f>
        <v/>
      </c>
      <c r="C507" s="66">
        <f>B507/B506-1</f>
        <v/>
      </c>
      <c r="D507" s="66">
        <f>(Table134[[#This Row],[Index]]-B495)/B495</f>
        <v/>
      </c>
    </row>
    <row r="508">
      <c r="A508" s="17" t="n">
        <v>41548</v>
      </c>
      <c r="B508" s="58">
        <f>VLOOKUP(Table134[[#This Row],[Date]],database!A:I,8,)</f>
        <v/>
      </c>
      <c r="C508" s="66">
        <f>B508/B507-1</f>
        <v/>
      </c>
      <c r="D508" s="66">
        <f>(Table134[[#This Row],[Index]]-B496)/B496</f>
        <v/>
      </c>
    </row>
    <row r="509">
      <c r="A509" s="17" t="n">
        <v>41579</v>
      </c>
      <c r="B509" s="58">
        <f>VLOOKUP(Table134[[#This Row],[Date]],database!A:I,8,)</f>
        <v/>
      </c>
      <c r="C509" s="66">
        <f>B509/B508-1</f>
        <v/>
      </c>
      <c r="D509" s="66">
        <f>(Table134[[#This Row],[Index]]-B497)/B497</f>
        <v/>
      </c>
    </row>
    <row r="510">
      <c r="A510" s="17" t="n">
        <v>41609</v>
      </c>
      <c r="B510" s="58">
        <f>VLOOKUP(Table134[[#This Row],[Date]],database!A:I,8,)</f>
        <v/>
      </c>
      <c r="C510" s="66">
        <f>B510/B509-1</f>
        <v/>
      </c>
      <c r="D510" s="66">
        <f>(Table134[[#This Row],[Index]]-B498)/B498</f>
        <v/>
      </c>
    </row>
    <row r="511">
      <c r="A511" s="17" t="n">
        <v>41640</v>
      </c>
      <c r="B511" s="58">
        <f>VLOOKUP(Table134[[#This Row],[Date]],database!A:I,8,)</f>
        <v/>
      </c>
      <c r="C511" s="66">
        <f>B511/B510-1</f>
        <v/>
      </c>
      <c r="D511" s="66">
        <f>(Table134[[#This Row],[Index]]-B499)/B499</f>
        <v/>
      </c>
    </row>
    <row r="512">
      <c r="A512" s="17" t="n">
        <v>41671</v>
      </c>
      <c r="B512" s="58">
        <f>VLOOKUP(Table134[[#This Row],[Date]],database!A:I,8,)</f>
        <v/>
      </c>
      <c r="C512" s="66">
        <f>B512/B511-1</f>
        <v/>
      </c>
      <c r="D512" s="66">
        <f>(Table134[[#This Row],[Index]]-B500)/B500</f>
        <v/>
      </c>
    </row>
    <row r="513">
      <c r="A513" s="17" t="n">
        <v>41699</v>
      </c>
      <c r="B513" s="58">
        <f>VLOOKUP(Table134[[#This Row],[Date]],database!A:I,8,)</f>
        <v/>
      </c>
      <c r="C513" s="66">
        <f>B513/B512-1</f>
        <v/>
      </c>
      <c r="D513" s="66">
        <f>(Table134[[#This Row],[Index]]-B501)/B501</f>
        <v/>
      </c>
    </row>
    <row r="514">
      <c r="A514" s="17" t="n">
        <v>41730</v>
      </c>
      <c r="B514" s="58">
        <f>VLOOKUP(Table134[[#This Row],[Date]],database!A:I,8,)</f>
        <v/>
      </c>
      <c r="C514" s="66">
        <f>B514/B513-1</f>
        <v/>
      </c>
      <c r="D514" s="66">
        <f>(Table134[[#This Row],[Index]]-B502)/B502</f>
        <v/>
      </c>
    </row>
    <row r="515">
      <c r="A515" s="17" t="n">
        <v>41760</v>
      </c>
      <c r="B515" s="58">
        <f>VLOOKUP(Table134[[#This Row],[Date]],database!A:I,8,)</f>
        <v/>
      </c>
      <c r="C515" s="66">
        <f>B515/B514-1</f>
        <v/>
      </c>
      <c r="D515" s="66">
        <f>(Table134[[#This Row],[Index]]-B503)/B503</f>
        <v/>
      </c>
    </row>
    <row r="516">
      <c r="A516" s="17" t="n">
        <v>41791</v>
      </c>
      <c r="B516" s="58">
        <f>VLOOKUP(Table134[[#This Row],[Date]],database!A:I,8,)</f>
        <v/>
      </c>
      <c r="C516" s="66">
        <f>B516/B515-1</f>
        <v/>
      </c>
      <c r="D516" s="66">
        <f>(Table134[[#This Row],[Index]]-B504)/B504</f>
        <v/>
      </c>
    </row>
    <row r="517">
      <c r="A517" s="17" t="n">
        <v>41821</v>
      </c>
      <c r="B517" s="58">
        <f>VLOOKUP(Table134[[#This Row],[Date]],database!A:I,8,)</f>
        <v/>
      </c>
      <c r="C517" s="66">
        <f>B517/B516-1</f>
        <v/>
      </c>
      <c r="D517" s="66">
        <f>(Table134[[#This Row],[Index]]-B505)/B505</f>
        <v/>
      </c>
    </row>
    <row r="518">
      <c r="A518" s="17" t="n">
        <v>41852</v>
      </c>
      <c r="B518" s="58">
        <f>VLOOKUP(Table134[[#This Row],[Date]],database!A:I,8,)</f>
        <v/>
      </c>
      <c r="C518" s="66">
        <f>B518/B517-1</f>
        <v/>
      </c>
      <c r="D518" s="66">
        <f>(Table134[[#This Row],[Index]]-B506)/B506</f>
        <v/>
      </c>
    </row>
    <row r="519">
      <c r="A519" s="17" t="n">
        <v>41883</v>
      </c>
      <c r="B519" s="58">
        <f>VLOOKUP(Table134[[#This Row],[Date]],database!A:I,8,)</f>
        <v/>
      </c>
      <c r="C519" s="66">
        <f>B519/B518-1</f>
        <v/>
      </c>
      <c r="D519" s="66">
        <f>(Table134[[#This Row],[Index]]-B507)/B507</f>
        <v/>
      </c>
    </row>
    <row r="520">
      <c r="A520" s="17" t="n">
        <v>41913</v>
      </c>
      <c r="B520" s="58">
        <f>VLOOKUP(Table134[[#This Row],[Date]],database!A:I,8,)</f>
        <v/>
      </c>
      <c r="C520" s="66">
        <f>B520/B519-1</f>
        <v/>
      </c>
      <c r="D520" s="66">
        <f>(Table134[[#This Row],[Index]]-B508)/B508</f>
        <v/>
      </c>
    </row>
    <row r="521">
      <c r="A521" s="17" t="n">
        <v>41944</v>
      </c>
      <c r="B521" s="58">
        <f>VLOOKUP(Table134[[#This Row],[Date]],database!A:I,8,)</f>
        <v/>
      </c>
      <c r="C521" s="67">
        <f>B521/B520-1</f>
        <v/>
      </c>
      <c r="D521" s="66">
        <f>(Table134[[#This Row],[Index]]-B509)/B509</f>
        <v/>
      </c>
    </row>
    <row r="522">
      <c r="A522" s="17" t="n">
        <v>41974</v>
      </c>
      <c r="B522" s="58">
        <f>VLOOKUP(Table134[[#This Row],[Date]],database!A:I,8,)</f>
        <v/>
      </c>
      <c r="C522" s="66">
        <f>B522/B521-1</f>
        <v/>
      </c>
      <c r="D522" s="66">
        <f>(Table134[[#This Row],[Index]]-B510)/B510</f>
        <v/>
      </c>
    </row>
    <row r="523">
      <c r="A523" s="17" t="n">
        <v>42005</v>
      </c>
      <c r="B523" s="58">
        <f>VLOOKUP(Table134[[#This Row],[Date]],database!A:I,8,)</f>
        <v/>
      </c>
      <c r="C523" s="67">
        <f>B523/B522-1</f>
        <v/>
      </c>
      <c r="D523" s="66">
        <f>(Table134[[#This Row],[Index]]-B511)/B511</f>
        <v/>
      </c>
    </row>
    <row r="524">
      <c r="A524" s="17" t="n">
        <v>42036</v>
      </c>
      <c r="B524" s="58">
        <f>VLOOKUP(Table134[[#This Row],[Date]],database!A:I,8,)</f>
        <v/>
      </c>
      <c r="C524" s="66">
        <f>B524/B523-1</f>
        <v/>
      </c>
      <c r="D524" s="66">
        <f>(Table134[[#This Row],[Index]]-B512)/B512</f>
        <v/>
      </c>
    </row>
    <row r="525">
      <c r="A525" s="17" t="n">
        <v>42064</v>
      </c>
      <c r="B525" s="58">
        <f>VLOOKUP(Table134[[#This Row],[Date]],database!A:I,8,)</f>
        <v/>
      </c>
      <c r="C525" s="67">
        <f>B525/B524-1</f>
        <v/>
      </c>
      <c r="D525" s="66">
        <f>(Table134[[#This Row],[Index]]-B513)/B513</f>
        <v/>
      </c>
    </row>
    <row r="526">
      <c r="A526" s="17" t="n">
        <v>42095</v>
      </c>
      <c r="B526" s="58">
        <f>VLOOKUP(Table134[[#This Row],[Date]],database!A:I,8,)</f>
        <v/>
      </c>
      <c r="C526" s="66">
        <f>B526/B525-1</f>
        <v/>
      </c>
      <c r="D526" s="66">
        <f>(Table134[[#This Row],[Index]]-B514)/B514</f>
        <v/>
      </c>
    </row>
    <row r="527">
      <c r="A527" s="17" t="n">
        <v>42125</v>
      </c>
      <c r="B527" s="58">
        <f>VLOOKUP(Table134[[#This Row],[Date]],database!A:I,8,)</f>
        <v/>
      </c>
      <c r="C527" s="66">
        <f>B527/B526-1</f>
        <v/>
      </c>
      <c r="D527" s="66">
        <f>(Table134[[#This Row],[Index]]-B515)/B515</f>
        <v/>
      </c>
    </row>
    <row r="528">
      <c r="A528" s="17" t="n">
        <v>42156</v>
      </c>
      <c r="B528" s="58">
        <f>VLOOKUP(Table134[[#This Row],[Date]],database!A:I,8,)</f>
        <v/>
      </c>
      <c r="C528" s="66">
        <f>B528/B527-1</f>
        <v/>
      </c>
      <c r="D528" s="66">
        <f>(Table134[[#This Row],[Index]]-B516)/B516</f>
        <v/>
      </c>
    </row>
    <row r="529">
      <c r="A529" s="17" t="n">
        <v>42186</v>
      </c>
      <c r="B529" s="58">
        <f>VLOOKUP(Table134[[#This Row],[Date]],database!A:I,8,)</f>
        <v/>
      </c>
      <c r="C529" s="66">
        <f>B529/B528-1</f>
        <v/>
      </c>
      <c r="D529" s="66">
        <f>(Table134[[#This Row],[Index]]-B517)/B517</f>
        <v/>
      </c>
    </row>
    <row r="530">
      <c r="A530" s="17" t="n">
        <v>42217</v>
      </c>
      <c r="B530" s="58">
        <f>VLOOKUP(Table134[[#This Row],[Date]],database!A:I,8,)</f>
        <v/>
      </c>
      <c r="C530" s="66">
        <f>B530/B529-1</f>
        <v/>
      </c>
      <c r="D530" s="66">
        <f>(Table134[[#This Row],[Index]]-B518)/B518</f>
        <v/>
      </c>
    </row>
    <row r="531">
      <c r="A531" s="17" t="n">
        <v>42248</v>
      </c>
      <c r="B531" s="58">
        <f>VLOOKUP(Table134[[#This Row],[Date]],database!A:I,8,)</f>
        <v/>
      </c>
      <c r="C531" s="66">
        <f>B531/B530-1</f>
        <v/>
      </c>
      <c r="D531" s="66">
        <f>(Table134[[#This Row],[Index]]-B519)/B519</f>
        <v/>
      </c>
    </row>
    <row r="532">
      <c r="A532" s="17" t="n">
        <v>42278</v>
      </c>
      <c r="B532" s="58">
        <f>VLOOKUP(Table134[[#This Row],[Date]],database!A:I,8,)</f>
        <v/>
      </c>
      <c r="C532" s="66">
        <f>B532/B531-1</f>
        <v/>
      </c>
      <c r="D532" s="66">
        <f>(Table134[[#This Row],[Index]]-B520)/B520</f>
        <v/>
      </c>
    </row>
    <row r="533">
      <c r="A533" s="17" t="n">
        <v>42309</v>
      </c>
      <c r="B533" s="58">
        <f>VLOOKUP(Table134[[#This Row],[Date]],database!A:I,8,)</f>
        <v/>
      </c>
      <c r="C533" s="66">
        <f>B533/B532-1</f>
        <v/>
      </c>
      <c r="D533" s="66">
        <f>(Table134[[#This Row],[Index]]-B521)/B521</f>
        <v/>
      </c>
    </row>
    <row r="534">
      <c r="A534" s="17" t="n">
        <v>42339</v>
      </c>
      <c r="B534" s="58">
        <f>VLOOKUP(Table134[[#This Row],[Date]],database!A:I,8,)</f>
        <v/>
      </c>
      <c r="C534" s="66">
        <f>B534/B533-1</f>
        <v/>
      </c>
      <c r="D534" s="66">
        <f>(Table134[[#This Row],[Index]]-B522)/B522</f>
        <v/>
      </c>
    </row>
    <row r="535">
      <c r="A535" s="17" t="n">
        <v>42370</v>
      </c>
      <c r="B535" s="58">
        <f>VLOOKUP(Table134[[#This Row],[Date]],database!A:I,8,)</f>
        <v/>
      </c>
      <c r="C535" s="66">
        <f>B535/B534-1</f>
        <v/>
      </c>
      <c r="D535" s="66">
        <f>(Table134[[#This Row],[Index]]-B523)/B523</f>
        <v/>
      </c>
    </row>
    <row r="536">
      <c r="A536" s="17" t="n">
        <v>42401</v>
      </c>
      <c r="B536" s="58">
        <f>VLOOKUP(Table134[[#This Row],[Date]],database!A:I,8,)</f>
        <v/>
      </c>
      <c r="C536" s="66">
        <f>B536/B535-1</f>
        <v/>
      </c>
      <c r="D536" s="66">
        <f>(Table134[[#This Row],[Index]]-B524)/B524</f>
        <v/>
      </c>
    </row>
    <row r="537">
      <c r="A537" s="17" t="n">
        <v>42430</v>
      </c>
      <c r="B537" s="58">
        <f>VLOOKUP(Table134[[#This Row],[Date]],database!A:I,8,)</f>
        <v/>
      </c>
      <c r="C537" s="66">
        <f>B537/B536-1</f>
        <v/>
      </c>
      <c r="D537" s="66">
        <f>(Table134[[#This Row],[Index]]-B525)/B525</f>
        <v/>
      </c>
    </row>
    <row r="538">
      <c r="A538" s="17" t="n">
        <v>42461</v>
      </c>
      <c r="B538" s="58">
        <f>VLOOKUP(Table134[[#This Row],[Date]],database!A:I,8,)</f>
        <v/>
      </c>
      <c r="C538" s="66">
        <f>B538/B537-1</f>
        <v/>
      </c>
      <c r="D538" s="66">
        <f>(Table134[[#This Row],[Index]]-B526)/B526</f>
        <v/>
      </c>
    </row>
    <row r="539">
      <c r="A539" s="17" t="n">
        <v>42491</v>
      </c>
      <c r="B539" s="58">
        <f>VLOOKUP(Table134[[#This Row],[Date]],database!A:I,8,)</f>
        <v/>
      </c>
      <c r="C539" s="66">
        <f>B539/B538-1</f>
        <v/>
      </c>
      <c r="D539" s="66">
        <f>(Table134[[#This Row],[Index]]-B527)/B527</f>
        <v/>
      </c>
    </row>
    <row r="540">
      <c r="A540" s="17" t="n">
        <v>42522</v>
      </c>
      <c r="B540" s="58">
        <f>VLOOKUP(Table134[[#This Row],[Date]],database!A:I,8,)</f>
        <v/>
      </c>
      <c r="C540" s="66">
        <f>B540/B539-1</f>
        <v/>
      </c>
      <c r="D540" s="66">
        <f>(Table134[[#This Row],[Index]]-B528)/B528</f>
        <v/>
      </c>
    </row>
    <row r="541">
      <c r="A541" s="17" t="n">
        <v>42552</v>
      </c>
      <c r="B541" s="58">
        <f>VLOOKUP(Table134[[#This Row],[Date]],database!A:I,8,)</f>
        <v/>
      </c>
      <c r="C541" s="66">
        <f>B541/B540-1</f>
        <v/>
      </c>
      <c r="D541" s="66">
        <f>(Table134[[#This Row],[Index]]-B529)/B529</f>
        <v/>
      </c>
    </row>
    <row r="542">
      <c r="A542" s="17" t="n">
        <v>42583</v>
      </c>
      <c r="B542" s="58">
        <f>VLOOKUP(Table134[[#This Row],[Date]],database!A:I,8,)</f>
        <v/>
      </c>
      <c r="C542" s="66">
        <f>B542/B541-1</f>
        <v/>
      </c>
      <c r="D542" s="66">
        <f>(Table134[[#This Row],[Index]]-B530)/B530</f>
        <v/>
      </c>
    </row>
    <row r="543">
      <c r="A543" s="17" t="n">
        <v>42614</v>
      </c>
      <c r="B543" s="58">
        <f>VLOOKUP(Table134[[#This Row],[Date]],database!A:I,8,)</f>
        <v/>
      </c>
      <c r="C543" s="66">
        <f>B543/B542-1</f>
        <v/>
      </c>
      <c r="D543" s="66">
        <f>(Table134[[#This Row],[Index]]-B531)/B531</f>
        <v/>
      </c>
    </row>
    <row r="544">
      <c r="A544" s="17" t="n">
        <v>42644</v>
      </c>
      <c r="B544" s="58">
        <f>VLOOKUP(Table134[[#This Row],[Date]],database!A:I,8,)</f>
        <v/>
      </c>
      <c r="C544" s="66">
        <f>B544/B543-1</f>
        <v/>
      </c>
      <c r="D544" s="66">
        <f>(Table134[[#This Row],[Index]]-B532)/B532</f>
        <v/>
      </c>
    </row>
    <row r="545">
      <c r="A545" s="17" t="n">
        <v>42675</v>
      </c>
      <c r="B545" s="58">
        <f>VLOOKUP(Table134[[#This Row],[Date]],database!A:I,8,)</f>
        <v/>
      </c>
      <c r="C545" s="66">
        <f>B545/B544-1</f>
        <v/>
      </c>
      <c r="D545" s="66">
        <f>(Table134[[#This Row],[Index]]-B533)/B533</f>
        <v/>
      </c>
    </row>
    <row r="546">
      <c r="A546" s="17" t="n">
        <v>42705</v>
      </c>
      <c r="B546" s="58">
        <f>VLOOKUP(Table134[[#This Row],[Date]],database!A:I,8,)</f>
        <v/>
      </c>
      <c r="C546" s="66">
        <f>B546/B545-1</f>
        <v/>
      </c>
      <c r="D546" s="66">
        <f>(Table134[[#This Row],[Index]]-B534)/B534</f>
        <v/>
      </c>
    </row>
    <row r="547">
      <c r="A547" s="17" t="n">
        <v>42736</v>
      </c>
      <c r="B547" s="58">
        <f>VLOOKUP(Table134[[#This Row],[Date]],database!A:I,8,)</f>
        <v/>
      </c>
      <c r="C547" s="66">
        <f>B547/B546-1</f>
        <v/>
      </c>
      <c r="D547" s="66">
        <f>(Table134[[#This Row],[Index]]-B535)/B535</f>
        <v/>
      </c>
    </row>
    <row r="548">
      <c r="A548" s="17" t="n">
        <v>42767</v>
      </c>
      <c r="B548" s="58">
        <f>VLOOKUP(Table134[[#This Row],[Date]],database!A:I,8,)</f>
        <v/>
      </c>
      <c r="C548" s="66">
        <f>B548/B547-1</f>
        <v/>
      </c>
      <c r="D548" s="66">
        <f>(Table134[[#This Row],[Index]]-B536)/B536</f>
        <v/>
      </c>
    </row>
    <row r="549">
      <c r="A549" s="17" t="n">
        <v>42795</v>
      </c>
      <c r="B549" s="58">
        <f>VLOOKUP(Table134[[#This Row],[Date]],database!A:I,8,)</f>
        <v/>
      </c>
      <c r="C549" s="66">
        <f>B549/B548-1</f>
        <v/>
      </c>
      <c r="D549" s="66">
        <f>(Table134[[#This Row],[Index]]-B537)/B537</f>
        <v/>
      </c>
    </row>
    <row r="550">
      <c r="A550" s="17" t="n">
        <v>42826</v>
      </c>
      <c r="B550" s="58">
        <f>VLOOKUP(Table134[[#This Row],[Date]],database!A:I,8,)</f>
        <v/>
      </c>
      <c r="C550" s="66">
        <f>B550/B549-1</f>
        <v/>
      </c>
      <c r="D550" s="66">
        <f>(Table134[[#This Row],[Index]]-B538)/B538</f>
        <v/>
      </c>
    </row>
    <row r="551">
      <c r="A551" s="17" t="n">
        <v>42856</v>
      </c>
      <c r="B551" s="58">
        <f>VLOOKUP(Table134[[#This Row],[Date]],database!A:I,8,)</f>
        <v/>
      </c>
      <c r="C551" s="66">
        <f>B551/B550-1</f>
        <v/>
      </c>
      <c r="D551" s="66">
        <f>(Table134[[#This Row],[Index]]-B539)/B539</f>
        <v/>
      </c>
    </row>
    <row r="552">
      <c r="A552" s="17" t="n">
        <v>42887</v>
      </c>
      <c r="B552" s="58">
        <f>VLOOKUP(Table134[[#This Row],[Date]],database!A:I,8,)</f>
        <v/>
      </c>
      <c r="C552" s="66">
        <f>B552/B551-1</f>
        <v/>
      </c>
      <c r="D552" s="66">
        <f>(Table134[[#This Row],[Index]]-B540)/B540</f>
        <v/>
      </c>
    </row>
    <row r="553">
      <c r="A553" s="17" t="n">
        <v>42917</v>
      </c>
      <c r="B553" s="58">
        <f>VLOOKUP(Table134[[#This Row],[Date]],database!A:I,8,)</f>
        <v/>
      </c>
      <c r="C553" s="66">
        <f>B553/B552-1</f>
        <v/>
      </c>
      <c r="D553" s="66">
        <f>(Table134[[#This Row],[Index]]-B541)/B541</f>
        <v/>
      </c>
    </row>
    <row r="554">
      <c r="A554" s="17" t="n">
        <v>42948</v>
      </c>
      <c r="B554" s="58">
        <f>VLOOKUP(Table134[[#This Row],[Date]],database!A:I,8,)</f>
        <v/>
      </c>
      <c r="C554" s="66">
        <f>B554/B553-1</f>
        <v/>
      </c>
      <c r="D554" s="66">
        <f>(Table134[[#This Row],[Index]]-B542)/B542</f>
        <v/>
      </c>
    </row>
    <row r="555">
      <c r="A555" s="17" t="n">
        <v>42979</v>
      </c>
      <c r="B555" s="58">
        <f>VLOOKUP(Table134[[#This Row],[Date]],database!A:I,8,)</f>
        <v/>
      </c>
      <c r="C555" s="66">
        <f>B555/B554-1</f>
        <v/>
      </c>
      <c r="D555" s="66">
        <f>(Table134[[#This Row],[Index]]-B543)/B543</f>
        <v/>
      </c>
    </row>
    <row r="556">
      <c r="A556" s="17" t="n">
        <v>43009</v>
      </c>
      <c r="B556" s="58">
        <f>VLOOKUP(Table134[[#This Row],[Date]],database!A:I,8,)</f>
        <v/>
      </c>
      <c r="C556" s="66">
        <f>B556/B555-1</f>
        <v/>
      </c>
      <c r="D556" s="66">
        <f>(Table134[[#This Row],[Index]]-B544)/B544</f>
        <v/>
      </c>
    </row>
    <row r="557">
      <c r="A557" s="17" t="n">
        <v>43040</v>
      </c>
      <c r="B557" s="58">
        <f>VLOOKUP(Table134[[#This Row],[Date]],database!A:I,8,)</f>
        <v/>
      </c>
      <c r="C557" s="66">
        <f>B557/B556-1</f>
        <v/>
      </c>
      <c r="D557" s="66">
        <f>(Table134[[#This Row],[Index]]-B545)/B545</f>
        <v/>
      </c>
    </row>
    <row r="558">
      <c r="A558" s="17" t="n">
        <v>43070</v>
      </c>
      <c r="B558" s="58">
        <f>VLOOKUP(Table134[[#This Row],[Date]],database!A:I,8,)</f>
        <v/>
      </c>
      <c r="C558" s="66">
        <f>B558/B557-1</f>
        <v/>
      </c>
      <c r="D558" s="66">
        <f>(Table134[[#This Row],[Index]]-B546)/B546</f>
        <v/>
      </c>
    </row>
    <row r="559">
      <c r="A559" s="17" t="n">
        <v>43101</v>
      </c>
      <c r="B559" s="58">
        <f>VLOOKUP(Table134[[#This Row],[Date]],database!A:I,8,)</f>
        <v/>
      </c>
      <c r="C559" s="66">
        <f>B559/B558-1</f>
        <v/>
      </c>
      <c r="D559" s="66">
        <f>(Table134[[#This Row],[Index]]-B547)/B547</f>
        <v/>
      </c>
    </row>
    <row r="560">
      <c r="A560" s="17" t="n">
        <v>43132</v>
      </c>
      <c r="B560" s="58">
        <f>VLOOKUP(Table134[[#This Row],[Date]],database!A:I,8,)</f>
        <v/>
      </c>
      <c r="C560" s="66">
        <f>B560/B559-1</f>
        <v/>
      </c>
      <c r="D560" s="66">
        <f>(Table134[[#This Row],[Index]]-B548)/B548</f>
        <v/>
      </c>
    </row>
    <row r="561">
      <c r="A561" s="17" t="n">
        <v>43160</v>
      </c>
      <c r="B561" s="58">
        <f>VLOOKUP(Table134[[#This Row],[Date]],database!A:I,8,)</f>
        <v/>
      </c>
      <c r="C561" s="66">
        <f>B561/B560-1</f>
        <v/>
      </c>
      <c r="D561" s="66">
        <f>(Table134[[#This Row],[Index]]-B549)/B549</f>
        <v/>
      </c>
    </row>
    <row r="562">
      <c r="A562" s="17" t="n">
        <v>43191</v>
      </c>
      <c r="B562" s="58">
        <f>VLOOKUP(Table134[[#This Row],[Date]],database!A:I,8,)</f>
        <v/>
      </c>
      <c r="C562" s="66">
        <f>B562/B561-1</f>
        <v/>
      </c>
      <c r="D562" s="66">
        <f>(Table134[[#This Row],[Index]]-B550)/B550</f>
        <v/>
      </c>
    </row>
    <row r="563">
      <c r="A563" s="17" t="n">
        <v>43221</v>
      </c>
      <c r="B563" s="58">
        <f>VLOOKUP(Table134[[#This Row],[Date]],database!A:I,8,)</f>
        <v/>
      </c>
      <c r="C563" s="66">
        <f>B563/B562-1</f>
        <v/>
      </c>
      <c r="D563" s="66">
        <f>(Table134[[#This Row],[Index]]-B551)/B551</f>
        <v/>
      </c>
    </row>
    <row r="564">
      <c r="A564" s="17" t="n">
        <v>43252</v>
      </c>
      <c r="B564" s="58">
        <f>VLOOKUP(Table134[[#This Row],[Date]],database!A:I,8,)</f>
        <v/>
      </c>
      <c r="C564" s="66">
        <f>B564/B563-1</f>
        <v/>
      </c>
      <c r="D564" s="66">
        <f>(Table134[[#This Row],[Index]]-B552)/B552</f>
        <v/>
      </c>
    </row>
    <row r="565">
      <c r="A565" s="17" t="n">
        <v>43282</v>
      </c>
      <c r="B565" s="58">
        <f>VLOOKUP(Table134[[#This Row],[Date]],database!A:I,8,)</f>
        <v/>
      </c>
      <c r="C565" s="66">
        <f>B565/B564-1</f>
        <v/>
      </c>
      <c r="D565" s="66">
        <f>(Table134[[#This Row],[Index]]-B553)/B553</f>
        <v/>
      </c>
    </row>
    <row r="566">
      <c r="A566" s="17" t="n">
        <v>43313</v>
      </c>
      <c r="B566" s="58">
        <f>VLOOKUP(Table134[[#This Row],[Date]],database!A:I,8,)</f>
        <v/>
      </c>
      <c r="C566" s="66">
        <f>B566/B565-1</f>
        <v/>
      </c>
      <c r="D566" s="66">
        <f>(Table134[[#This Row],[Index]]-B554)/B554</f>
        <v/>
      </c>
    </row>
    <row r="567">
      <c r="A567" s="17" t="n">
        <v>43344</v>
      </c>
      <c r="B567" s="58">
        <f>VLOOKUP(Table134[[#This Row],[Date]],database!A:I,8,)</f>
        <v/>
      </c>
      <c r="C567" s="66">
        <f>B567/B566-1</f>
        <v/>
      </c>
      <c r="D567" s="66">
        <f>(Table134[[#This Row],[Index]]-B555)/B555</f>
        <v/>
      </c>
    </row>
    <row r="568">
      <c r="A568" s="17" t="n">
        <v>43374</v>
      </c>
      <c r="B568" s="58">
        <f>VLOOKUP(Table134[[#This Row],[Date]],database!A:I,8,)</f>
        <v/>
      </c>
      <c r="C568" s="66">
        <f>B568/B567-1</f>
        <v/>
      </c>
      <c r="D568" s="66">
        <f>(Table134[[#This Row],[Index]]-B556)/B556</f>
        <v/>
      </c>
    </row>
    <row r="569">
      <c r="A569" s="17" t="n">
        <v>43405</v>
      </c>
      <c r="B569" s="58">
        <f>VLOOKUP(Table134[[#This Row],[Date]],database!A:I,8,)</f>
        <v/>
      </c>
      <c r="C569" s="66">
        <f>B569/B568-1</f>
        <v/>
      </c>
      <c r="D569" s="66">
        <f>(Table134[[#This Row],[Index]]-B557)/B557</f>
        <v/>
      </c>
    </row>
    <row r="570">
      <c r="A570" s="17" t="n">
        <v>43435</v>
      </c>
      <c r="B570" s="58">
        <f>VLOOKUP(Table134[[#This Row],[Date]],database!A:I,8,)</f>
        <v/>
      </c>
      <c r="C570" s="66">
        <f>B570/B569-1</f>
        <v/>
      </c>
      <c r="D570" s="66">
        <f>(Table134[[#This Row],[Index]]-B558)/B558</f>
        <v/>
      </c>
    </row>
    <row r="571">
      <c r="A571" s="17" t="n">
        <v>43466</v>
      </c>
      <c r="B571" s="58">
        <f>VLOOKUP(Table134[[#This Row],[Date]],database!A:I,8,)</f>
        <v/>
      </c>
      <c r="C571" s="66">
        <f>B571/B570-1</f>
        <v/>
      </c>
      <c r="D571" s="66">
        <f>(Table134[[#This Row],[Index]]-B559)/B559</f>
        <v/>
      </c>
    </row>
    <row r="572">
      <c r="A572" s="17" t="n">
        <v>43497</v>
      </c>
      <c r="B572" s="58">
        <f>VLOOKUP(Table134[[#This Row],[Date]],database!A:I,8,)</f>
        <v/>
      </c>
      <c r="C572" s="66">
        <f>B572/B571-1</f>
        <v/>
      </c>
      <c r="D572" s="66">
        <f>(Table134[[#This Row],[Index]]-B560)/B560</f>
        <v/>
      </c>
    </row>
    <row r="573">
      <c r="A573" s="17" t="n">
        <v>43525</v>
      </c>
      <c r="B573" s="58">
        <f>VLOOKUP(Table134[[#This Row],[Date]],database!A:I,8,)</f>
        <v/>
      </c>
      <c r="C573" s="66">
        <f>B573/B572-1</f>
        <v/>
      </c>
      <c r="D573" s="66">
        <f>(Table134[[#This Row],[Index]]-B561)/B561</f>
        <v/>
      </c>
    </row>
    <row r="574">
      <c r="A574" s="17" t="n">
        <v>43556</v>
      </c>
      <c r="B574" s="58">
        <f>VLOOKUP(Table134[[#This Row],[Date]],database!A:I,8,)</f>
        <v/>
      </c>
      <c r="C574" s="66">
        <f>B574/B573-1</f>
        <v/>
      </c>
      <c r="D574" s="66">
        <f>(Table134[[#This Row],[Index]]-B562)/B562</f>
        <v/>
      </c>
    </row>
    <row r="575">
      <c r="A575" s="17" t="n">
        <v>43586</v>
      </c>
      <c r="B575" s="58">
        <f>VLOOKUP(Table134[[#This Row],[Date]],database!A:I,8,)</f>
        <v/>
      </c>
      <c r="C575" s="66">
        <f>B575/B574-1</f>
        <v/>
      </c>
      <c r="D575" s="66">
        <f>(Table134[[#This Row],[Index]]-B563)/B563</f>
        <v/>
      </c>
    </row>
    <row r="576">
      <c r="A576" s="17" t="n">
        <v>43617</v>
      </c>
      <c r="B576" s="58">
        <f>VLOOKUP(Table134[[#This Row],[Date]],database!A:I,8,)</f>
        <v/>
      </c>
      <c r="C576" s="66">
        <f>B576/B575-1</f>
        <v/>
      </c>
      <c r="D576" s="66">
        <f>(Table134[[#This Row],[Index]]-B564)/B564</f>
        <v/>
      </c>
    </row>
    <row r="577">
      <c r="A577" s="17" t="n">
        <v>43647</v>
      </c>
      <c r="B577" s="58">
        <f>VLOOKUP(Table134[[#This Row],[Date]],database!A:I,8,)</f>
        <v/>
      </c>
      <c r="C577" s="66">
        <f>B577/B576-1</f>
        <v/>
      </c>
      <c r="D577" s="66">
        <f>(Table134[[#This Row],[Index]]-B565)/B565</f>
        <v/>
      </c>
    </row>
    <row r="578">
      <c r="A578" s="17" t="n">
        <v>43678</v>
      </c>
      <c r="B578" s="58">
        <f>VLOOKUP(Table134[[#This Row],[Date]],database!A:I,8,)</f>
        <v/>
      </c>
      <c r="C578" s="66">
        <f>B578/B577-1</f>
        <v/>
      </c>
      <c r="D578" s="66">
        <f>(Table134[[#This Row],[Index]]-B566)/B566</f>
        <v/>
      </c>
    </row>
    <row r="579">
      <c r="A579" s="17" t="n">
        <v>43709</v>
      </c>
      <c r="B579" s="58">
        <f>VLOOKUP(Table134[[#This Row],[Date]],database!A:I,8,)</f>
        <v/>
      </c>
      <c r="C579" s="66">
        <f>B579/B578-1</f>
        <v/>
      </c>
      <c r="D579" s="66">
        <f>(Table134[[#This Row],[Index]]-B567)/B567</f>
        <v/>
      </c>
    </row>
    <row r="580">
      <c r="A580" s="17" t="n">
        <v>43739</v>
      </c>
      <c r="B580" s="58">
        <f>VLOOKUP(Table134[[#This Row],[Date]],database!A:I,8,)</f>
        <v/>
      </c>
      <c r="C580" s="66">
        <f>B580/B579-1</f>
        <v/>
      </c>
      <c r="D580" s="66">
        <f>(Table134[[#This Row],[Index]]-B568)/B568</f>
        <v/>
      </c>
    </row>
    <row r="581">
      <c r="A581" s="17" t="n">
        <v>43770</v>
      </c>
      <c r="B581" s="58">
        <f>VLOOKUP(Table134[[#This Row],[Date]],database!A:I,8,)</f>
        <v/>
      </c>
      <c r="C581" s="66">
        <f>B581/B580-1</f>
        <v/>
      </c>
      <c r="D581" s="66">
        <f>(Table134[[#This Row],[Index]]-B569)/B569</f>
        <v/>
      </c>
    </row>
    <row r="582">
      <c r="A582" s="17" t="n">
        <v>43800</v>
      </c>
      <c r="B582" s="58">
        <f>VLOOKUP(Table134[[#This Row],[Date]],database!A:I,8,)</f>
        <v/>
      </c>
      <c r="C582" s="66">
        <f>B582/B581-1</f>
        <v/>
      </c>
      <c r="D582" s="66">
        <f>(Table134[[#This Row],[Index]]-B570)/B570</f>
        <v/>
      </c>
    </row>
    <row r="583">
      <c r="A583" s="17" t="n">
        <v>43831</v>
      </c>
      <c r="B583" s="58">
        <f>VLOOKUP(Table134[[#This Row],[Date]],database!A:I,8,)</f>
        <v/>
      </c>
      <c r="C583" s="66">
        <f>B583/B582-1</f>
        <v/>
      </c>
      <c r="D583" s="66">
        <f>(Table134[[#This Row],[Index]]-B571)/B571</f>
        <v/>
      </c>
    </row>
    <row r="584">
      <c r="A584" s="17" t="n">
        <v>43862</v>
      </c>
      <c r="B584" s="58">
        <f>VLOOKUP(Table134[[#This Row],[Date]],database!A:I,8,)</f>
        <v/>
      </c>
      <c r="C584" s="66">
        <f>B584/B583-1</f>
        <v/>
      </c>
      <c r="D584" s="66">
        <f>(Table134[[#This Row],[Index]]-B572)/B572</f>
        <v/>
      </c>
    </row>
    <row r="585">
      <c r="A585" s="17" t="n">
        <v>43891</v>
      </c>
      <c r="B585" s="58">
        <f>VLOOKUP(Table134[[#This Row],[Date]],database!A:I,8,)</f>
        <v/>
      </c>
      <c r="C585" s="66">
        <f>B585/B584-1</f>
        <v/>
      </c>
      <c r="D585" s="66">
        <f>(Table134[[#This Row],[Index]]-B573)/B573</f>
        <v/>
      </c>
    </row>
    <row r="586">
      <c r="A586" s="17" t="n">
        <v>43922</v>
      </c>
      <c r="B586" s="58">
        <f>VLOOKUP(Table134[[#This Row],[Date]],database!A:I,8,)</f>
        <v/>
      </c>
      <c r="C586" s="66">
        <f>B586/B585-1</f>
        <v/>
      </c>
      <c r="D586" s="66">
        <f>(Table134[[#This Row],[Index]]-B574)/B574</f>
        <v/>
      </c>
    </row>
    <row r="587">
      <c r="A587" s="17" t="n">
        <v>43952</v>
      </c>
      <c r="B587" s="58">
        <f>VLOOKUP(Table134[[#This Row],[Date]],database!A:I,8,)</f>
        <v/>
      </c>
      <c r="C587" s="66">
        <f>B587/B586-1</f>
        <v/>
      </c>
      <c r="D587" s="66">
        <f>(Table134[[#This Row],[Index]]-B575)/B575</f>
        <v/>
      </c>
    </row>
    <row r="588">
      <c r="A588" s="17" t="n">
        <v>43983</v>
      </c>
      <c r="B588" s="58">
        <f>VLOOKUP(Table134[[#This Row],[Date]],database!A:I,8,)</f>
        <v/>
      </c>
      <c r="C588" s="66">
        <f>B588/B587-1</f>
        <v/>
      </c>
      <c r="D588" s="66">
        <f>(Table134[[#This Row],[Index]]-B576)/B576</f>
        <v/>
      </c>
    </row>
    <row r="589">
      <c r="A589" s="17" t="n">
        <v>44013</v>
      </c>
      <c r="B589" s="58">
        <f>VLOOKUP(Table134[[#This Row],[Date]],database!A:I,8,)</f>
        <v/>
      </c>
      <c r="C589" s="66">
        <f>B589/B588-1</f>
        <v/>
      </c>
      <c r="D589" s="66">
        <f>(Table134[[#This Row],[Index]]-B577)/B577</f>
        <v/>
      </c>
    </row>
    <row r="590">
      <c r="A590" s="17" t="n">
        <v>44044</v>
      </c>
      <c r="B590" s="58">
        <f>VLOOKUP(Table134[[#This Row],[Date]],database!A:I,8,)</f>
        <v/>
      </c>
      <c r="C590" s="66">
        <f>B590/B589-1</f>
        <v/>
      </c>
      <c r="D590" s="66">
        <f>(Table134[[#This Row],[Index]]-B578)/B578</f>
        <v/>
      </c>
    </row>
    <row r="591">
      <c r="A591" s="17" t="n">
        <v>44075</v>
      </c>
      <c r="B591" s="58">
        <f>VLOOKUP(Table134[[#This Row],[Date]],database!A:I,8,)</f>
        <v/>
      </c>
      <c r="C591" s="66">
        <f>B591/B590-1</f>
        <v/>
      </c>
      <c r="D591" s="66">
        <f>(Table134[[#This Row],[Index]]-B579)/B579</f>
        <v/>
      </c>
    </row>
    <row r="592">
      <c r="A592" s="17" t="n">
        <v>44105</v>
      </c>
      <c r="B592" s="58">
        <f>VLOOKUP(Table134[[#This Row],[Date]],database!A:I,8,)</f>
        <v/>
      </c>
      <c r="C592" s="66">
        <f>B592/B591-1</f>
        <v/>
      </c>
      <c r="D592" s="66">
        <f>(Table134[[#This Row],[Index]]-B580)/B580</f>
        <v/>
      </c>
    </row>
    <row r="593">
      <c r="A593" s="17" t="n">
        <v>44136</v>
      </c>
      <c r="B593" s="58">
        <f>VLOOKUP(Table134[[#This Row],[Date]],database!A:I,8,)</f>
        <v/>
      </c>
      <c r="C593" s="66">
        <f>B593/B592-1</f>
        <v/>
      </c>
      <c r="D593" s="66">
        <f>(Table134[[#This Row],[Index]]-B581)/B581</f>
        <v/>
      </c>
    </row>
    <row r="594">
      <c r="A594" s="17" t="n">
        <v>44166</v>
      </c>
      <c r="B594" s="58">
        <f>VLOOKUP(Table134[[#This Row],[Date]],database!A:I,8,)</f>
        <v/>
      </c>
      <c r="C594" s="66">
        <f>B594/B593-1</f>
        <v/>
      </c>
      <c r="D594" s="66">
        <f>(Table134[[#This Row],[Index]]-B582)/B582</f>
        <v/>
      </c>
    </row>
    <row r="595">
      <c r="A595" s="17" t="n">
        <v>44197</v>
      </c>
      <c r="B595" s="58">
        <f>VLOOKUP(Table134[[#This Row],[Date]],database!A:I,8,)</f>
        <v/>
      </c>
      <c r="C595" s="66">
        <f>B595/B594-1</f>
        <v/>
      </c>
      <c r="D595" s="66">
        <f>(Table134[[#This Row],[Index]]-B583)/B583</f>
        <v/>
      </c>
    </row>
    <row r="596">
      <c r="A596" s="17" t="n">
        <v>44228</v>
      </c>
      <c r="B596" s="58">
        <f>VLOOKUP(Table134[[#This Row],[Date]],database!A:I,8,)</f>
        <v/>
      </c>
      <c r="C596" s="66">
        <f>B596/B595-1</f>
        <v/>
      </c>
      <c r="D596" s="66">
        <f>(Table134[[#This Row],[Index]]-B584)/B584</f>
        <v/>
      </c>
    </row>
    <row r="597">
      <c r="A597" s="17" t="n">
        <v>44256</v>
      </c>
      <c r="B597" s="58">
        <f>VLOOKUP(Table134[[#This Row],[Date]],database!A:I,8,)</f>
        <v/>
      </c>
      <c r="C597" s="66">
        <f>B597/B596-1</f>
        <v/>
      </c>
      <c r="D597" s="66">
        <f>(Table134[[#This Row],[Index]]-B585)/B585</f>
        <v/>
      </c>
    </row>
    <row r="598">
      <c r="A598" s="17" t="n">
        <v>44287</v>
      </c>
      <c r="B598" s="58">
        <f>VLOOKUP(Table134[[#This Row],[Date]],database!A:I,8,)</f>
        <v/>
      </c>
      <c r="C598" s="66">
        <f>B598/B597-1</f>
        <v/>
      </c>
      <c r="D598" s="66">
        <f>(Table134[[#This Row],[Index]]-B586)/B586</f>
        <v/>
      </c>
    </row>
    <row r="599">
      <c r="A599" s="17" t="n">
        <v>44317</v>
      </c>
      <c r="B599" s="58">
        <f>VLOOKUP(Table134[[#This Row],[Date]],database!A:I,8,)</f>
        <v/>
      </c>
      <c r="C599" s="66">
        <f>B599/B598-1</f>
        <v/>
      </c>
      <c r="D599" s="66">
        <f>(Table134[[#This Row],[Index]]-B587)/B587</f>
        <v/>
      </c>
    </row>
    <row r="600">
      <c r="A600" s="17" t="n">
        <v>44348</v>
      </c>
      <c r="B600" s="58">
        <f>VLOOKUP(Table134[[#This Row],[Date]],database!A:I,8,)</f>
        <v/>
      </c>
      <c r="C600" s="66">
        <f>B600/B599-1</f>
        <v/>
      </c>
      <c r="D600" s="66">
        <f>(Table134[[#This Row],[Index]]-B588)/B588</f>
        <v/>
      </c>
    </row>
    <row r="601">
      <c r="A601" s="17" t="n">
        <v>44378</v>
      </c>
      <c r="B601" s="58">
        <f>VLOOKUP(Table134[[#This Row],[Date]],database!A:I,8,)</f>
        <v/>
      </c>
      <c r="C601" s="66">
        <f>B601/B600-1</f>
        <v/>
      </c>
      <c r="D601" s="66">
        <f>(Table134[[#This Row],[Index]]-B589)/B589</f>
        <v/>
      </c>
    </row>
    <row r="602">
      <c r="A602" s="17" t="n">
        <v>44409</v>
      </c>
      <c r="B602" s="58">
        <f>VLOOKUP(Table134[[#This Row],[Date]],database!A:I,8,)</f>
        <v/>
      </c>
      <c r="C602" s="66">
        <f>B602/B601-1</f>
        <v/>
      </c>
      <c r="D602" s="66">
        <f>(Table134[[#This Row],[Index]]-B590)/B590</f>
        <v/>
      </c>
    </row>
    <row r="603">
      <c r="A603" s="17" t="n">
        <v>44440</v>
      </c>
      <c r="B603" s="58">
        <f>VLOOKUP(Table134[[#This Row],[Date]],database!A:I,8,)</f>
        <v/>
      </c>
      <c r="C603" s="66">
        <f>B603/B602-1</f>
        <v/>
      </c>
      <c r="D603" s="66">
        <f>(Table134[[#This Row],[Index]]-B591)/B591</f>
        <v/>
      </c>
    </row>
    <row r="604">
      <c r="A604" s="17" t="n">
        <v>44470</v>
      </c>
      <c r="B604" s="58">
        <f>VLOOKUP(Table134[[#This Row],[Date]],database!A:I,8,)</f>
        <v/>
      </c>
      <c r="C604" s="66">
        <f>B604/B603-1</f>
        <v/>
      </c>
      <c r="D604" s="66">
        <f>(Table134[[#This Row],[Index]]-B592)/B592</f>
        <v/>
      </c>
    </row>
    <row r="605">
      <c r="A605" s="17" t="n">
        <v>44501</v>
      </c>
      <c r="B605" s="58">
        <f>VLOOKUP(Table134[[#This Row],[Date]],database!A:I,8,)</f>
        <v/>
      </c>
      <c r="C605" s="66">
        <f>B605/B604-1</f>
        <v/>
      </c>
      <c r="D605" s="66">
        <f>(Table134[[#This Row],[Index]]-B593)/B593</f>
        <v/>
      </c>
    </row>
    <row r="606">
      <c r="A606" s="17" t="n">
        <v>44531</v>
      </c>
      <c r="B606" s="58">
        <f>VLOOKUP(Table134[[#This Row],[Date]],database!A:I,8,)</f>
        <v/>
      </c>
      <c r="C606" s="66">
        <f>B606/B605-1</f>
        <v/>
      </c>
      <c r="D606" s="66">
        <f>(Table134[[#This Row],[Index]]-B594)/B594</f>
        <v/>
      </c>
    </row>
    <row r="607">
      <c r="A607" s="17" t="n">
        <v>44562</v>
      </c>
      <c r="B607" s="58">
        <f>VLOOKUP(Table134[[#This Row],[Date]],database!A:I,8,)</f>
        <v/>
      </c>
      <c r="C607" s="66">
        <f>B607/B606-1</f>
        <v/>
      </c>
      <c r="D607" s="66">
        <f>(Table134[[#This Row],[Index]]-B595)/B595</f>
        <v/>
      </c>
    </row>
    <row r="608">
      <c r="A608" s="17" t="n">
        <v>44593</v>
      </c>
      <c r="B608" s="58">
        <f>VLOOKUP(Table134[[#This Row],[Date]],database!A:I,8,)</f>
        <v/>
      </c>
      <c r="C608" s="66">
        <f>B608/B607-1</f>
        <v/>
      </c>
      <c r="D608" s="66">
        <f>(Table134[[#This Row],[Index]]-B596)/B596</f>
        <v/>
      </c>
    </row>
    <row r="609">
      <c r="A609" s="17" t="n">
        <v>44621</v>
      </c>
      <c r="B609" s="58">
        <f>VLOOKUP(Table134[[#This Row],[Date]],database!A:I,8,)</f>
        <v/>
      </c>
      <c r="C609" s="66">
        <f>B609/B608-1</f>
        <v/>
      </c>
      <c r="D609" s="66">
        <f>(Table134[[#This Row],[Index]]-B597)/B597</f>
        <v/>
      </c>
    </row>
    <row r="610">
      <c r="A610" s="17" t="n">
        <v>44652</v>
      </c>
      <c r="B610" s="58">
        <f>VLOOKUP(Table134[[#This Row],[Date]],database!A:I,8,)</f>
        <v/>
      </c>
      <c r="C610" s="66">
        <f>B610/B609-1</f>
        <v/>
      </c>
      <c r="D610" s="66">
        <f>(Table134[[#This Row],[Index]]-B598)/B598</f>
        <v/>
      </c>
    </row>
    <row r="611">
      <c r="A611" s="17" t="n">
        <v>44682</v>
      </c>
      <c r="B611" s="58">
        <f>VLOOKUP(Table134[[#This Row],[Date]],database!A:I,8,)</f>
        <v/>
      </c>
      <c r="C611" s="66">
        <f>B611/B610-1</f>
        <v/>
      </c>
      <c r="D611" s="66">
        <f>(Table134[[#This Row],[Index]]-B599)/B599</f>
        <v/>
      </c>
    </row>
    <row r="612">
      <c r="A612" s="17" t="n">
        <v>44713</v>
      </c>
      <c r="B612" s="58">
        <f>VLOOKUP(Table134[[#This Row],[Date]],database!A:I,8,)</f>
        <v/>
      </c>
      <c r="C612" s="66">
        <f>B612/B611-1</f>
        <v/>
      </c>
      <c r="D612" s="66">
        <f>(Table134[[#This Row],[Index]]-B600)/B600</f>
        <v/>
      </c>
    </row>
    <row r="613">
      <c r="A613" s="17" t="n">
        <v>44743</v>
      </c>
      <c r="B613" s="58">
        <f>VLOOKUP(Table134[[#This Row],[Date]],database!A:I,8,)</f>
        <v/>
      </c>
      <c r="C613" s="66">
        <f>B613/B612-1</f>
        <v/>
      </c>
      <c r="D613" s="66">
        <f>(Table134[[#This Row],[Index]]-B601)/B601</f>
        <v/>
      </c>
    </row>
    <row r="614">
      <c r="A614" s="17" t="n">
        <v>44774</v>
      </c>
      <c r="B614" s="58">
        <f>VLOOKUP(Table134[[#This Row],[Date]],database!A:I,8,)</f>
        <v/>
      </c>
      <c r="C614" s="66">
        <f>B614/B613-1</f>
        <v/>
      </c>
      <c r="D614" s="66">
        <f>(Table134[[#This Row],[Index]]-B602)/B602</f>
        <v/>
      </c>
    </row>
    <row r="615">
      <c r="A615" s="17" t="n">
        <v>44805</v>
      </c>
      <c r="B615" s="58">
        <f>VLOOKUP(Table134[[#This Row],[Date]],database!A:I,8,)</f>
        <v/>
      </c>
      <c r="C615" s="66">
        <f>B615/B614-1</f>
        <v/>
      </c>
      <c r="D615" s="66">
        <f>(Table134[[#This Row],[Index]]-B603)/B603</f>
        <v/>
      </c>
    </row>
    <row r="616">
      <c r="A616" s="17" t="n">
        <v>44835</v>
      </c>
      <c r="B616" s="58">
        <f>VLOOKUP(Table134[[#This Row],[Date]],database!A:I,8,)</f>
        <v/>
      </c>
      <c r="C616" s="66">
        <f>B616/B615-1</f>
        <v/>
      </c>
      <c r="D616" s="66">
        <f>(Table134[[#This Row],[Index]]-B604)/B604</f>
        <v/>
      </c>
    </row>
    <row r="617">
      <c r="A617" s="17" t="n">
        <v>44866</v>
      </c>
      <c r="B617" s="58">
        <f>VLOOKUP(Table134[[#This Row],[Date]],database!A:I,8,)</f>
        <v/>
      </c>
      <c r="C617" s="66">
        <f>B617/B616-1</f>
        <v/>
      </c>
      <c r="D617" s="66">
        <f>(Table134[[#This Row],[Index]]-B605)/B605</f>
        <v/>
      </c>
    </row>
    <row r="618">
      <c r="A618" s="17" t="n">
        <v>44896</v>
      </c>
      <c r="B618" s="58">
        <f>VLOOKUP(Table134[[#This Row],[Date]],database!A:I,8,)</f>
        <v/>
      </c>
      <c r="C618" s="66">
        <f>B618/B617-1</f>
        <v/>
      </c>
      <c r="D618" s="66">
        <f>(Table134[[#This Row],[Index]]-B606)/B606</f>
        <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8"/>
  <sheetViews>
    <sheetView zoomScale="120" zoomScaleNormal="120" workbookViewId="0">
      <pane ySplit="6" topLeftCell="A586" activePane="bottomLeft" state="frozen"/>
      <selection activeCell="N1259" sqref="N1259"/>
      <selection pane="bottomLeft" activeCell="F620" sqref="F620"/>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79" t="inlineStr">
        <is>
          <t>IPUTIL</t>
        </is>
      </c>
      <c r="B1" s="79" t="n"/>
      <c r="C1" s="79" t="n"/>
      <c r="S1" s="20" t="inlineStr">
        <is>
          <t>Industrial Production: Electric and gas utilities</t>
        </is>
      </c>
      <c r="T1" s="62" t="inlineStr">
        <is>
          <t xml:space="preserve"> since 2010</t>
        </is>
      </c>
      <c r="U1" s="79">
        <f>S1&amp;T1</f>
        <v/>
      </c>
      <c r="Y1" s="60">
        <f>U2&amp; T1</f>
        <v/>
      </c>
    </row>
    <row r="2">
      <c r="A2" s="16" t="n"/>
      <c r="B2" s="79" t="n"/>
      <c r="C2" s="79" t="n"/>
      <c r="S2" s="55" t="n"/>
      <c r="T2" s="62" t="n"/>
      <c r="U2" s="79">
        <f>S1&amp;Table1345[[#Headers],[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VLOOKUP(Table1345[[#This Row],[Date]],database!A:I,9,)</f>
        <v/>
      </c>
      <c r="C7" s="66" t="n"/>
      <c r="D7" s="66" t="n"/>
    </row>
    <row r="8">
      <c r="A8" s="17" t="n">
        <v>26330</v>
      </c>
      <c r="B8" s="58">
        <f>VLOOKUP(Table1345[[#This Row],[Date]],database!A:I,9,)</f>
        <v/>
      </c>
      <c r="C8" s="66">
        <f>B8/B7-1</f>
        <v/>
      </c>
      <c r="D8" s="66" t="n"/>
    </row>
    <row r="9">
      <c r="A9" s="17" t="n">
        <v>26359</v>
      </c>
      <c r="B9" s="58">
        <f>VLOOKUP(Table1345[[#This Row],[Date]],database!A:I,9,)</f>
        <v/>
      </c>
      <c r="C9" s="66">
        <f>B9/B8-1</f>
        <v/>
      </c>
      <c r="D9" s="66" t="n"/>
    </row>
    <row r="10">
      <c r="A10" s="17" t="n">
        <v>26390</v>
      </c>
      <c r="B10" s="58">
        <f>VLOOKUP(Table1345[[#This Row],[Date]],database!A:I,9,)</f>
        <v/>
      </c>
      <c r="C10" s="66">
        <f>B10/B9-1</f>
        <v/>
      </c>
      <c r="D10" s="66" t="n"/>
    </row>
    <row r="11">
      <c r="A11" s="17" t="n">
        <v>26420</v>
      </c>
      <c r="B11" s="58">
        <f>VLOOKUP(Table1345[[#This Row],[Date]],database!A:I,9,)</f>
        <v/>
      </c>
      <c r="C11" s="66">
        <f>B11/B10-1</f>
        <v/>
      </c>
      <c r="D11" s="66" t="n"/>
    </row>
    <row r="12">
      <c r="A12" s="17" t="n">
        <v>26451</v>
      </c>
      <c r="B12" s="58">
        <f>VLOOKUP(Table1345[[#This Row],[Date]],database!A:I,9,)</f>
        <v/>
      </c>
      <c r="C12" s="66">
        <f>B12/B11-1</f>
        <v/>
      </c>
      <c r="D12" s="66" t="n"/>
    </row>
    <row r="13">
      <c r="A13" s="17" t="n">
        <v>26481</v>
      </c>
      <c r="B13" s="58">
        <f>VLOOKUP(Table1345[[#This Row],[Date]],database!A:I,9,)</f>
        <v/>
      </c>
      <c r="C13" s="66">
        <f>B13/B12-1</f>
        <v/>
      </c>
      <c r="D13" s="66" t="n"/>
    </row>
    <row r="14">
      <c r="A14" s="17" t="n">
        <v>26512</v>
      </c>
      <c r="B14" s="58">
        <f>VLOOKUP(Table1345[[#This Row],[Date]],database!A:I,9,)</f>
        <v/>
      </c>
      <c r="C14" s="66">
        <f>B14/B13-1</f>
        <v/>
      </c>
      <c r="D14" s="66" t="n"/>
    </row>
    <row r="15">
      <c r="A15" s="17" t="n">
        <v>26543</v>
      </c>
      <c r="B15" s="58">
        <f>VLOOKUP(Table1345[[#This Row],[Date]],database!A:I,9,)</f>
        <v/>
      </c>
      <c r="C15" s="66">
        <f>B15/B14-1</f>
        <v/>
      </c>
      <c r="D15" s="66" t="n"/>
    </row>
    <row r="16">
      <c r="A16" s="17" t="n">
        <v>26573</v>
      </c>
      <c r="B16" s="58">
        <f>VLOOKUP(Table1345[[#This Row],[Date]],database!A:I,9,)</f>
        <v/>
      </c>
      <c r="C16" s="66">
        <f>B16/B15-1</f>
        <v/>
      </c>
      <c r="D16" s="66" t="n"/>
    </row>
    <row r="17">
      <c r="A17" s="17" t="n">
        <v>26604</v>
      </c>
      <c r="B17" s="58">
        <f>VLOOKUP(Table1345[[#This Row],[Date]],database!A:I,9,)</f>
        <v/>
      </c>
      <c r="C17" s="66">
        <f>B17/B16-1</f>
        <v/>
      </c>
      <c r="D17" s="66" t="n"/>
    </row>
    <row r="18">
      <c r="A18" s="17" t="n">
        <v>26634</v>
      </c>
      <c r="B18" s="58">
        <f>VLOOKUP(Table1345[[#This Row],[Date]],database!A:I,9,)</f>
        <v/>
      </c>
      <c r="C18" s="66">
        <f>B18/B17-1</f>
        <v/>
      </c>
      <c r="D18" s="66" t="n"/>
    </row>
    <row r="19">
      <c r="A19" s="17" t="n">
        <v>26665</v>
      </c>
      <c r="B19" s="58">
        <f>VLOOKUP(Table1345[[#This Row],[Date]],database!A:I,9,)</f>
        <v/>
      </c>
      <c r="C19" s="66">
        <f>B19/B18-1</f>
        <v/>
      </c>
      <c r="D19" s="66" t="n"/>
    </row>
    <row r="20">
      <c r="A20" s="17" t="n">
        <v>26696</v>
      </c>
      <c r="B20" s="58">
        <f>VLOOKUP(Table1345[[#This Row],[Date]],database!A:I,9,)</f>
        <v/>
      </c>
      <c r="C20" s="66">
        <f>B20/B19-1</f>
        <v/>
      </c>
      <c r="D20" s="66">
        <f>(Table1345[[#This Row],[Index]]-B8)/B8</f>
        <v/>
      </c>
    </row>
    <row r="21">
      <c r="A21" s="17" t="n">
        <v>26724</v>
      </c>
      <c r="B21" s="58">
        <f>VLOOKUP(Table1345[[#This Row],[Date]],database!A:I,9,)</f>
        <v/>
      </c>
      <c r="C21" s="66">
        <f>B21/B20-1</f>
        <v/>
      </c>
      <c r="D21" s="66">
        <f>(Table1345[[#This Row],[Index]]-B9)/B9</f>
        <v/>
      </c>
    </row>
    <row r="22">
      <c r="A22" s="17" t="n">
        <v>26755</v>
      </c>
      <c r="B22" s="58">
        <f>VLOOKUP(Table1345[[#This Row],[Date]],database!A:I,9,)</f>
        <v/>
      </c>
      <c r="C22" s="66">
        <f>B22/B21-1</f>
        <v/>
      </c>
      <c r="D22" s="66">
        <f>(Table1345[[#This Row],[Index]]-B10)/B10</f>
        <v/>
      </c>
    </row>
    <row r="23">
      <c r="A23" s="17" t="n">
        <v>26785</v>
      </c>
      <c r="B23" s="58">
        <f>VLOOKUP(Table1345[[#This Row],[Date]],database!A:I,9,)</f>
        <v/>
      </c>
      <c r="C23" s="66">
        <f>B23/B22-1</f>
        <v/>
      </c>
      <c r="D23" s="66">
        <f>(Table1345[[#This Row],[Index]]-B11)/B11</f>
        <v/>
      </c>
    </row>
    <row r="24">
      <c r="A24" s="17" t="n">
        <v>26816</v>
      </c>
      <c r="B24" s="58">
        <f>VLOOKUP(Table1345[[#This Row],[Date]],database!A:I,9,)</f>
        <v/>
      </c>
      <c r="C24" s="66">
        <f>B24/B23-1</f>
        <v/>
      </c>
      <c r="D24" s="66">
        <f>(Table1345[[#This Row],[Index]]-B12)/B12</f>
        <v/>
      </c>
    </row>
    <row r="25">
      <c r="A25" s="17" t="n">
        <v>26846</v>
      </c>
      <c r="B25" s="58">
        <f>VLOOKUP(Table1345[[#This Row],[Date]],database!A:I,9,)</f>
        <v/>
      </c>
      <c r="C25" s="66">
        <f>B25/B24-1</f>
        <v/>
      </c>
      <c r="D25" s="66">
        <f>(Table1345[[#This Row],[Index]]-B13)/B13</f>
        <v/>
      </c>
    </row>
    <row r="26">
      <c r="A26" s="17" t="n">
        <v>26877</v>
      </c>
      <c r="B26" s="58">
        <f>VLOOKUP(Table1345[[#This Row],[Date]],database!A:I,9,)</f>
        <v/>
      </c>
      <c r="C26" s="66">
        <f>B26/B25-1</f>
        <v/>
      </c>
      <c r="D26" s="66">
        <f>(Table1345[[#This Row],[Index]]-B14)/B14</f>
        <v/>
      </c>
    </row>
    <row r="27">
      <c r="A27" s="17" t="n">
        <v>26908</v>
      </c>
      <c r="B27" s="58">
        <f>VLOOKUP(Table1345[[#This Row],[Date]],database!A:I,9,)</f>
        <v/>
      </c>
      <c r="C27" s="66">
        <f>B27/B26-1</f>
        <v/>
      </c>
      <c r="D27" s="66">
        <f>(Table1345[[#This Row],[Index]]-B15)/B15</f>
        <v/>
      </c>
    </row>
    <row r="28">
      <c r="A28" s="17" t="n">
        <v>26938</v>
      </c>
      <c r="B28" s="58">
        <f>VLOOKUP(Table1345[[#This Row],[Date]],database!A:I,9,)</f>
        <v/>
      </c>
      <c r="C28" s="66">
        <f>B28/B27-1</f>
        <v/>
      </c>
      <c r="D28" s="66">
        <f>(Table1345[[#This Row],[Index]]-B16)/B16</f>
        <v/>
      </c>
    </row>
    <row r="29">
      <c r="A29" s="17" t="n">
        <v>26969</v>
      </c>
      <c r="B29" s="58">
        <f>VLOOKUP(Table1345[[#This Row],[Date]],database!A:I,9,)</f>
        <v/>
      </c>
      <c r="C29" s="66">
        <f>B29/B28-1</f>
        <v/>
      </c>
      <c r="D29" s="66">
        <f>(Table1345[[#This Row],[Index]]-B17)/B17</f>
        <v/>
      </c>
    </row>
    <row r="30">
      <c r="A30" s="17" t="n">
        <v>26999</v>
      </c>
      <c r="B30" s="58">
        <f>VLOOKUP(Table1345[[#This Row],[Date]],database!A:I,9,)</f>
        <v/>
      </c>
      <c r="C30" s="66">
        <f>B30/B29-1</f>
        <v/>
      </c>
      <c r="D30" s="66">
        <f>(Table1345[[#This Row],[Index]]-B18)/B18</f>
        <v/>
      </c>
    </row>
    <row r="31">
      <c r="A31" s="17" t="n">
        <v>27030</v>
      </c>
      <c r="B31" s="58">
        <f>VLOOKUP(Table1345[[#This Row],[Date]],database!A:I,9,)</f>
        <v/>
      </c>
      <c r="C31" s="66">
        <f>B31/B30-1</f>
        <v/>
      </c>
      <c r="D31" s="66">
        <f>(Table1345[[#This Row],[Index]]-B19)/B19</f>
        <v/>
      </c>
    </row>
    <row r="32">
      <c r="A32" s="17" t="n">
        <v>27061</v>
      </c>
      <c r="B32" s="58">
        <f>VLOOKUP(Table1345[[#This Row],[Date]],database!A:I,9,)</f>
        <v/>
      </c>
      <c r="C32" s="66">
        <f>B32/B31-1</f>
        <v/>
      </c>
      <c r="D32" s="66">
        <f>(Table1345[[#This Row],[Index]]-B20)/B20</f>
        <v/>
      </c>
    </row>
    <row r="33">
      <c r="A33" s="17" t="n">
        <v>27089</v>
      </c>
      <c r="B33" s="58">
        <f>VLOOKUP(Table1345[[#This Row],[Date]],database!A:I,9,)</f>
        <v/>
      </c>
      <c r="C33" s="66">
        <f>B33/B32-1</f>
        <v/>
      </c>
      <c r="D33" s="66">
        <f>(Table1345[[#This Row],[Index]]-B21)/B21</f>
        <v/>
      </c>
    </row>
    <row r="34">
      <c r="A34" s="17" t="n">
        <v>27120</v>
      </c>
      <c r="B34" s="58">
        <f>VLOOKUP(Table1345[[#This Row],[Date]],database!A:I,9,)</f>
        <v/>
      </c>
      <c r="C34" s="66">
        <f>B34/B33-1</f>
        <v/>
      </c>
      <c r="D34" s="66">
        <f>(Table1345[[#This Row],[Index]]-B22)/B22</f>
        <v/>
      </c>
    </row>
    <row r="35">
      <c r="A35" s="17" t="n">
        <v>27150</v>
      </c>
      <c r="B35" s="58">
        <f>VLOOKUP(Table1345[[#This Row],[Date]],database!A:I,9,)</f>
        <v/>
      </c>
      <c r="C35" s="66">
        <f>B35/B34-1</f>
        <v/>
      </c>
      <c r="D35" s="66">
        <f>(Table1345[[#This Row],[Index]]-B23)/B23</f>
        <v/>
      </c>
    </row>
    <row r="36">
      <c r="A36" s="17" t="n">
        <v>27181</v>
      </c>
      <c r="B36" s="58">
        <f>VLOOKUP(Table1345[[#This Row],[Date]],database!A:I,9,)</f>
        <v/>
      </c>
      <c r="C36" s="66">
        <f>B36/B35-1</f>
        <v/>
      </c>
      <c r="D36" s="66">
        <f>(Table1345[[#This Row],[Index]]-B24)/B24</f>
        <v/>
      </c>
    </row>
    <row r="37">
      <c r="A37" s="17" t="n">
        <v>27211</v>
      </c>
      <c r="B37" s="58">
        <f>VLOOKUP(Table1345[[#This Row],[Date]],database!A:I,9,)</f>
        <v/>
      </c>
      <c r="C37" s="66">
        <f>B37/B36-1</f>
        <v/>
      </c>
      <c r="D37" s="66">
        <f>(Table1345[[#This Row],[Index]]-B25)/B25</f>
        <v/>
      </c>
    </row>
    <row r="38">
      <c r="A38" s="17" t="n">
        <v>27242</v>
      </c>
      <c r="B38" s="58">
        <f>VLOOKUP(Table1345[[#This Row],[Date]],database!A:I,9,)</f>
        <v/>
      </c>
      <c r="C38" s="66">
        <f>B38/B37-1</f>
        <v/>
      </c>
      <c r="D38" s="66">
        <f>(Table1345[[#This Row],[Index]]-B26)/B26</f>
        <v/>
      </c>
    </row>
    <row r="39">
      <c r="A39" s="17" t="n">
        <v>27273</v>
      </c>
      <c r="B39" s="58">
        <f>VLOOKUP(Table1345[[#This Row],[Date]],database!A:I,9,)</f>
        <v/>
      </c>
      <c r="C39" s="66">
        <f>B39/B38-1</f>
        <v/>
      </c>
      <c r="D39" s="66">
        <f>(Table1345[[#This Row],[Index]]-B27)/B27</f>
        <v/>
      </c>
    </row>
    <row r="40">
      <c r="A40" s="17" t="n">
        <v>27303</v>
      </c>
      <c r="B40" s="58">
        <f>VLOOKUP(Table1345[[#This Row],[Date]],database!A:I,9,)</f>
        <v/>
      </c>
      <c r="C40" s="66">
        <f>B40/B39-1</f>
        <v/>
      </c>
      <c r="D40" s="66">
        <f>(Table1345[[#This Row],[Index]]-B28)/B28</f>
        <v/>
      </c>
    </row>
    <row r="41">
      <c r="A41" s="17" t="n">
        <v>27334</v>
      </c>
      <c r="B41" s="58">
        <f>VLOOKUP(Table1345[[#This Row],[Date]],database!A:I,9,)</f>
        <v/>
      </c>
      <c r="C41" s="66">
        <f>B41/B40-1</f>
        <v/>
      </c>
      <c r="D41" s="66">
        <f>(Table1345[[#This Row],[Index]]-B29)/B29</f>
        <v/>
      </c>
    </row>
    <row r="42">
      <c r="A42" s="17" t="n">
        <v>27364</v>
      </c>
      <c r="B42" s="58">
        <f>VLOOKUP(Table1345[[#This Row],[Date]],database!A:I,9,)</f>
        <v/>
      </c>
      <c r="C42" s="66">
        <f>B42/B41-1</f>
        <v/>
      </c>
      <c r="D42" s="66">
        <f>(Table1345[[#This Row],[Index]]-B30)/B30</f>
        <v/>
      </c>
    </row>
    <row r="43">
      <c r="A43" s="17" t="n">
        <v>27395</v>
      </c>
      <c r="B43" s="58">
        <f>VLOOKUP(Table1345[[#This Row],[Date]],database!A:I,9,)</f>
        <v/>
      </c>
      <c r="C43" s="66">
        <f>B43/B42-1</f>
        <v/>
      </c>
      <c r="D43" s="66">
        <f>(Table1345[[#This Row],[Index]]-B31)/B31</f>
        <v/>
      </c>
    </row>
    <row r="44">
      <c r="A44" s="17" t="n">
        <v>27426</v>
      </c>
      <c r="B44" s="58">
        <f>VLOOKUP(Table1345[[#This Row],[Date]],database!A:I,9,)</f>
        <v/>
      </c>
      <c r="C44" s="66">
        <f>B44/B43-1</f>
        <v/>
      </c>
      <c r="D44" s="66">
        <f>(Table1345[[#This Row],[Index]]-B32)/B32</f>
        <v/>
      </c>
    </row>
    <row r="45">
      <c r="A45" s="17" t="n">
        <v>27454</v>
      </c>
      <c r="B45" s="58">
        <f>VLOOKUP(Table1345[[#This Row],[Date]],database!A:I,9,)</f>
        <v/>
      </c>
      <c r="C45" s="66">
        <f>B45/B44-1</f>
        <v/>
      </c>
      <c r="D45" s="66">
        <f>(Table1345[[#This Row],[Index]]-B33)/B33</f>
        <v/>
      </c>
    </row>
    <row r="46">
      <c r="A46" s="17" t="n">
        <v>27485</v>
      </c>
      <c r="B46" s="58">
        <f>VLOOKUP(Table1345[[#This Row],[Date]],database!A:I,9,)</f>
        <v/>
      </c>
      <c r="C46" s="66">
        <f>B46/B45-1</f>
        <v/>
      </c>
      <c r="D46" s="66">
        <f>(Table1345[[#This Row],[Index]]-B34)/B34</f>
        <v/>
      </c>
    </row>
    <row r="47">
      <c r="A47" s="17" t="n">
        <v>27515</v>
      </c>
      <c r="B47" s="58">
        <f>VLOOKUP(Table1345[[#This Row],[Date]],database!A:I,9,)</f>
        <v/>
      </c>
      <c r="C47" s="66">
        <f>B47/B46-1</f>
        <v/>
      </c>
      <c r="D47" s="66">
        <f>(Table1345[[#This Row],[Index]]-B35)/B35</f>
        <v/>
      </c>
    </row>
    <row r="48">
      <c r="A48" s="17" t="n">
        <v>27546</v>
      </c>
      <c r="B48" s="58">
        <f>VLOOKUP(Table1345[[#This Row],[Date]],database!A:I,9,)</f>
        <v/>
      </c>
      <c r="C48" s="66">
        <f>B48/B47-1</f>
        <v/>
      </c>
      <c r="D48" s="66">
        <f>(Table1345[[#This Row],[Index]]-B36)/B36</f>
        <v/>
      </c>
    </row>
    <row r="49">
      <c r="A49" s="17" t="n">
        <v>27576</v>
      </c>
      <c r="B49" s="58">
        <f>VLOOKUP(Table1345[[#This Row],[Date]],database!A:I,9,)</f>
        <v/>
      </c>
      <c r="C49" s="66">
        <f>B49/B48-1</f>
        <v/>
      </c>
      <c r="D49" s="66">
        <f>(Table1345[[#This Row],[Index]]-B37)/B37</f>
        <v/>
      </c>
    </row>
    <row r="50">
      <c r="A50" s="17" t="n">
        <v>27607</v>
      </c>
      <c r="B50" s="58">
        <f>VLOOKUP(Table1345[[#This Row],[Date]],database!A:I,9,)</f>
        <v/>
      </c>
      <c r="C50" s="66">
        <f>B50/B49-1</f>
        <v/>
      </c>
      <c r="D50" s="66">
        <f>(Table1345[[#This Row],[Index]]-B38)/B38</f>
        <v/>
      </c>
    </row>
    <row r="51">
      <c r="A51" s="17" t="n">
        <v>27638</v>
      </c>
      <c r="B51" s="58">
        <f>VLOOKUP(Table1345[[#This Row],[Date]],database!A:I,9,)</f>
        <v/>
      </c>
      <c r="C51" s="66">
        <f>B51/B50-1</f>
        <v/>
      </c>
      <c r="D51" s="66">
        <f>(Table1345[[#This Row],[Index]]-B39)/B39</f>
        <v/>
      </c>
    </row>
    <row r="52">
      <c r="A52" s="17" t="n">
        <v>27668</v>
      </c>
      <c r="B52" s="58">
        <f>VLOOKUP(Table1345[[#This Row],[Date]],database!A:I,9,)</f>
        <v/>
      </c>
      <c r="C52" s="66">
        <f>B52/B51-1</f>
        <v/>
      </c>
      <c r="D52" s="66">
        <f>(Table1345[[#This Row],[Index]]-B40)/B40</f>
        <v/>
      </c>
    </row>
    <row r="53">
      <c r="A53" s="17" t="n">
        <v>27699</v>
      </c>
      <c r="B53" s="58">
        <f>VLOOKUP(Table1345[[#This Row],[Date]],database!A:I,9,)</f>
        <v/>
      </c>
      <c r="C53" s="66">
        <f>B53/B52-1</f>
        <v/>
      </c>
      <c r="D53" s="66">
        <f>(Table1345[[#This Row],[Index]]-B41)/B41</f>
        <v/>
      </c>
    </row>
    <row r="54">
      <c r="A54" s="17" t="n">
        <v>27729</v>
      </c>
      <c r="B54" s="58">
        <f>VLOOKUP(Table1345[[#This Row],[Date]],database!A:I,9,)</f>
        <v/>
      </c>
      <c r="C54" s="66">
        <f>B54/B53-1</f>
        <v/>
      </c>
      <c r="D54" s="66">
        <f>(Table1345[[#This Row],[Index]]-B42)/B42</f>
        <v/>
      </c>
    </row>
    <row r="55">
      <c r="A55" s="17" t="n">
        <v>27760</v>
      </c>
      <c r="B55" s="58">
        <f>VLOOKUP(Table1345[[#This Row],[Date]],database!A:I,9,)</f>
        <v/>
      </c>
      <c r="C55" s="66">
        <f>B55/B54-1</f>
        <v/>
      </c>
      <c r="D55" s="66">
        <f>(Table1345[[#This Row],[Index]]-B43)/B43</f>
        <v/>
      </c>
    </row>
    <row r="56">
      <c r="A56" s="17" t="n">
        <v>27791</v>
      </c>
      <c r="B56" s="58">
        <f>VLOOKUP(Table1345[[#This Row],[Date]],database!A:I,9,)</f>
        <v/>
      </c>
      <c r="C56" s="66">
        <f>B56/B55-1</f>
        <v/>
      </c>
      <c r="D56" s="66">
        <f>(Table1345[[#This Row],[Index]]-B44)/B44</f>
        <v/>
      </c>
    </row>
    <row r="57">
      <c r="A57" s="17" t="n">
        <v>27820</v>
      </c>
      <c r="B57" s="58">
        <f>VLOOKUP(Table1345[[#This Row],[Date]],database!A:I,9,)</f>
        <v/>
      </c>
      <c r="C57" s="66">
        <f>B57/B56-1</f>
        <v/>
      </c>
      <c r="D57" s="66">
        <f>(Table1345[[#This Row],[Index]]-B45)/B45</f>
        <v/>
      </c>
    </row>
    <row r="58">
      <c r="A58" s="17" t="n">
        <v>27851</v>
      </c>
      <c r="B58" s="58">
        <f>VLOOKUP(Table1345[[#This Row],[Date]],database!A:I,9,)</f>
        <v/>
      </c>
      <c r="C58" s="66">
        <f>B58/B57-1</f>
        <v/>
      </c>
      <c r="D58" s="66">
        <f>(Table1345[[#This Row],[Index]]-B46)/B46</f>
        <v/>
      </c>
    </row>
    <row r="59">
      <c r="A59" s="17" t="n">
        <v>27881</v>
      </c>
      <c r="B59" s="58">
        <f>VLOOKUP(Table1345[[#This Row],[Date]],database!A:I,9,)</f>
        <v/>
      </c>
      <c r="C59" s="66">
        <f>B59/B58-1</f>
        <v/>
      </c>
      <c r="D59" s="66">
        <f>(Table1345[[#This Row],[Index]]-B47)/B47</f>
        <v/>
      </c>
    </row>
    <row r="60">
      <c r="A60" s="17" t="n">
        <v>27912</v>
      </c>
      <c r="B60" s="58">
        <f>VLOOKUP(Table1345[[#This Row],[Date]],database!A:I,9,)</f>
        <v/>
      </c>
      <c r="C60" s="66">
        <f>B60/B59-1</f>
        <v/>
      </c>
      <c r="D60" s="66">
        <f>(Table1345[[#This Row],[Index]]-B48)/B48</f>
        <v/>
      </c>
    </row>
    <row r="61">
      <c r="A61" s="17" t="n">
        <v>27942</v>
      </c>
      <c r="B61" s="58">
        <f>VLOOKUP(Table1345[[#This Row],[Date]],database!A:I,9,)</f>
        <v/>
      </c>
      <c r="C61" s="66">
        <f>B61/B60-1</f>
        <v/>
      </c>
      <c r="D61" s="66">
        <f>(Table1345[[#This Row],[Index]]-B49)/B49</f>
        <v/>
      </c>
    </row>
    <row r="62">
      <c r="A62" s="17" t="n">
        <v>27973</v>
      </c>
      <c r="B62" s="58">
        <f>VLOOKUP(Table1345[[#This Row],[Date]],database!A:I,9,)</f>
        <v/>
      </c>
      <c r="C62" s="66">
        <f>B62/B61-1</f>
        <v/>
      </c>
      <c r="D62" s="66">
        <f>(Table1345[[#This Row],[Index]]-B50)/B50</f>
        <v/>
      </c>
    </row>
    <row r="63">
      <c r="A63" s="17" t="n">
        <v>28004</v>
      </c>
      <c r="B63" s="58">
        <f>VLOOKUP(Table1345[[#This Row],[Date]],database!A:I,9,)</f>
        <v/>
      </c>
      <c r="C63" s="66">
        <f>B63/B62-1</f>
        <v/>
      </c>
      <c r="D63" s="66">
        <f>(Table1345[[#This Row],[Index]]-B51)/B51</f>
        <v/>
      </c>
    </row>
    <row r="64">
      <c r="A64" s="17" t="n">
        <v>28034</v>
      </c>
      <c r="B64" s="58">
        <f>VLOOKUP(Table1345[[#This Row],[Date]],database!A:I,9,)</f>
        <v/>
      </c>
      <c r="C64" s="66">
        <f>B64/B63-1</f>
        <v/>
      </c>
      <c r="D64" s="66">
        <f>(Table1345[[#This Row],[Index]]-B52)/B52</f>
        <v/>
      </c>
    </row>
    <row r="65">
      <c r="A65" s="17" t="n">
        <v>28065</v>
      </c>
      <c r="B65" s="58">
        <f>VLOOKUP(Table1345[[#This Row],[Date]],database!A:I,9,)</f>
        <v/>
      </c>
      <c r="C65" s="66">
        <f>B65/B64-1</f>
        <v/>
      </c>
      <c r="D65" s="66">
        <f>(Table1345[[#This Row],[Index]]-B53)/B53</f>
        <v/>
      </c>
    </row>
    <row r="66">
      <c r="A66" s="17" t="n">
        <v>28095</v>
      </c>
      <c r="B66" s="58">
        <f>VLOOKUP(Table1345[[#This Row],[Date]],database!A:I,9,)</f>
        <v/>
      </c>
      <c r="C66" s="66">
        <f>B66/B65-1</f>
        <v/>
      </c>
      <c r="D66" s="66">
        <f>(Table1345[[#This Row],[Index]]-B54)/B54</f>
        <v/>
      </c>
    </row>
    <row r="67">
      <c r="A67" s="17" t="n">
        <v>28126</v>
      </c>
      <c r="B67" s="58">
        <f>VLOOKUP(Table1345[[#This Row],[Date]],database!A:I,9,)</f>
        <v/>
      </c>
      <c r="C67" s="66">
        <f>B67/B66-1</f>
        <v/>
      </c>
      <c r="D67" s="66">
        <f>(Table1345[[#This Row],[Index]]-B55)/B55</f>
        <v/>
      </c>
    </row>
    <row r="68">
      <c r="A68" s="17" t="n">
        <v>28157</v>
      </c>
      <c r="B68" s="58">
        <f>VLOOKUP(Table1345[[#This Row],[Date]],database!A:I,9,)</f>
        <v/>
      </c>
      <c r="C68" s="66">
        <f>B68/B67-1</f>
        <v/>
      </c>
      <c r="D68" s="66">
        <f>(Table1345[[#This Row],[Index]]-B56)/B56</f>
        <v/>
      </c>
    </row>
    <row r="69">
      <c r="A69" s="17" t="n">
        <v>28185</v>
      </c>
      <c r="B69" s="58">
        <f>VLOOKUP(Table1345[[#This Row],[Date]],database!A:I,9,)</f>
        <v/>
      </c>
      <c r="C69" s="66">
        <f>B69/B68-1</f>
        <v/>
      </c>
      <c r="D69" s="66">
        <f>(Table1345[[#This Row],[Index]]-B57)/B57</f>
        <v/>
      </c>
    </row>
    <row r="70">
      <c r="A70" s="17" t="n">
        <v>28216</v>
      </c>
      <c r="B70" s="58">
        <f>VLOOKUP(Table1345[[#This Row],[Date]],database!A:I,9,)</f>
        <v/>
      </c>
      <c r="C70" s="66">
        <f>B70/B69-1</f>
        <v/>
      </c>
      <c r="D70" s="66">
        <f>(Table1345[[#This Row],[Index]]-B58)/B58</f>
        <v/>
      </c>
    </row>
    <row r="71">
      <c r="A71" s="17" t="n">
        <v>28246</v>
      </c>
      <c r="B71" s="58">
        <f>VLOOKUP(Table1345[[#This Row],[Date]],database!A:I,9,)</f>
        <v/>
      </c>
      <c r="C71" s="66">
        <f>B71/B70-1</f>
        <v/>
      </c>
      <c r="D71" s="66">
        <f>(Table1345[[#This Row],[Index]]-B59)/B59</f>
        <v/>
      </c>
    </row>
    <row r="72">
      <c r="A72" s="17" t="n">
        <v>28277</v>
      </c>
      <c r="B72" s="58">
        <f>VLOOKUP(Table1345[[#This Row],[Date]],database!A:I,9,)</f>
        <v/>
      </c>
      <c r="C72" s="66">
        <f>B72/B71-1</f>
        <v/>
      </c>
      <c r="D72" s="66">
        <f>(Table1345[[#This Row],[Index]]-B60)/B60</f>
        <v/>
      </c>
    </row>
    <row r="73">
      <c r="A73" s="17" t="n">
        <v>28307</v>
      </c>
      <c r="B73" s="58">
        <f>VLOOKUP(Table1345[[#This Row],[Date]],database!A:I,9,)</f>
        <v/>
      </c>
      <c r="C73" s="66">
        <f>B73/B72-1</f>
        <v/>
      </c>
      <c r="D73" s="66">
        <f>(Table1345[[#This Row],[Index]]-B61)/B61</f>
        <v/>
      </c>
    </row>
    <row r="74">
      <c r="A74" s="17" t="n">
        <v>28338</v>
      </c>
      <c r="B74" s="58">
        <f>VLOOKUP(Table1345[[#This Row],[Date]],database!A:I,9,)</f>
        <v/>
      </c>
      <c r="C74" s="66">
        <f>B74/B73-1</f>
        <v/>
      </c>
      <c r="D74" s="66">
        <f>(Table1345[[#This Row],[Index]]-B62)/B62</f>
        <v/>
      </c>
    </row>
    <row r="75">
      <c r="A75" s="17" t="n">
        <v>28369</v>
      </c>
      <c r="B75" s="58">
        <f>VLOOKUP(Table1345[[#This Row],[Date]],database!A:I,9,)</f>
        <v/>
      </c>
      <c r="C75" s="66">
        <f>B75/B74-1</f>
        <v/>
      </c>
      <c r="D75" s="66">
        <f>(Table1345[[#This Row],[Index]]-B63)/B63</f>
        <v/>
      </c>
    </row>
    <row r="76">
      <c r="A76" s="17" t="n">
        <v>28399</v>
      </c>
      <c r="B76" s="58">
        <f>VLOOKUP(Table1345[[#This Row],[Date]],database!A:I,9,)</f>
        <v/>
      </c>
      <c r="C76" s="66">
        <f>B76/B75-1</f>
        <v/>
      </c>
      <c r="D76" s="66">
        <f>(Table1345[[#This Row],[Index]]-B64)/B64</f>
        <v/>
      </c>
    </row>
    <row r="77">
      <c r="A77" s="17" t="n">
        <v>28430</v>
      </c>
      <c r="B77" s="58">
        <f>VLOOKUP(Table1345[[#This Row],[Date]],database!A:I,9,)</f>
        <v/>
      </c>
      <c r="C77" s="66">
        <f>B77/B76-1</f>
        <v/>
      </c>
      <c r="D77" s="66">
        <f>(Table1345[[#This Row],[Index]]-B65)/B65</f>
        <v/>
      </c>
    </row>
    <row r="78">
      <c r="A78" s="17" t="n">
        <v>28460</v>
      </c>
      <c r="B78" s="58">
        <f>VLOOKUP(Table1345[[#This Row],[Date]],database!A:I,9,)</f>
        <v/>
      </c>
      <c r="C78" s="66">
        <f>B78/B77-1</f>
        <v/>
      </c>
      <c r="D78" s="66">
        <f>(Table1345[[#This Row],[Index]]-B66)/B66</f>
        <v/>
      </c>
    </row>
    <row r="79">
      <c r="A79" s="17" t="n">
        <v>28491</v>
      </c>
      <c r="B79" s="58">
        <f>VLOOKUP(Table1345[[#This Row],[Date]],database!A:I,9,)</f>
        <v/>
      </c>
      <c r="C79" s="66">
        <f>B79/B78-1</f>
        <v/>
      </c>
      <c r="D79" s="66">
        <f>(Table1345[[#This Row],[Index]]-B67)/B67</f>
        <v/>
      </c>
    </row>
    <row r="80">
      <c r="A80" s="17" t="n">
        <v>28522</v>
      </c>
      <c r="B80" s="58">
        <f>VLOOKUP(Table1345[[#This Row],[Date]],database!A:I,9,)</f>
        <v/>
      </c>
      <c r="C80" s="66">
        <f>B80/B79-1</f>
        <v/>
      </c>
      <c r="D80" s="66">
        <f>(Table1345[[#This Row],[Index]]-B68)/B68</f>
        <v/>
      </c>
    </row>
    <row r="81">
      <c r="A81" s="17" t="n">
        <v>28550</v>
      </c>
      <c r="B81" s="58">
        <f>VLOOKUP(Table1345[[#This Row],[Date]],database!A:I,9,)</f>
        <v/>
      </c>
      <c r="C81" s="66">
        <f>B81/B80-1</f>
        <v/>
      </c>
      <c r="D81" s="66">
        <f>(Table1345[[#This Row],[Index]]-B69)/B69</f>
        <v/>
      </c>
    </row>
    <row r="82">
      <c r="A82" s="17" t="n">
        <v>28581</v>
      </c>
      <c r="B82" s="58">
        <f>VLOOKUP(Table1345[[#This Row],[Date]],database!A:I,9,)</f>
        <v/>
      </c>
      <c r="C82" s="66">
        <f>B82/B81-1</f>
        <v/>
      </c>
      <c r="D82" s="66">
        <f>(Table1345[[#This Row],[Index]]-B70)/B70</f>
        <v/>
      </c>
    </row>
    <row r="83">
      <c r="A83" s="17" t="n">
        <v>28611</v>
      </c>
      <c r="B83" s="58">
        <f>VLOOKUP(Table1345[[#This Row],[Date]],database!A:I,9,)</f>
        <v/>
      </c>
      <c r="C83" s="66">
        <f>B83/B82-1</f>
        <v/>
      </c>
      <c r="D83" s="66">
        <f>(Table1345[[#This Row],[Index]]-B71)/B71</f>
        <v/>
      </c>
    </row>
    <row r="84">
      <c r="A84" s="17" t="n">
        <v>28642</v>
      </c>
      <c r="B84" s="58">
        <f>VLOOKUP(Table1345[[#This Row],[Date]],database!A:I,9,)</f>
        <v/>
      </c>
      <c r="C84" s="66">
        <f>B84/B83-1</f>
        <v/>
      </c>
      <c r="D84" s="66">
        <f>(Table1345[[#This Row],[Index]]-B72)/B72</f>
        <v/>
      </c>
    </row>
    <row r="85">
      <c r="A85" s="17" t="n">
        <v>28672</v>
      </c>
      <c r="B85" s="58">
        <f>VLOOKUP(Table1345[[#This Row],[Date]],database!A:I,9,)</f>
        <v/>
      </c>
      <c r="C85" s="66">
        <f>B85/B84-1</f>
        <v/>
      </c>
      <c r="D85" s="66">
        <f>(Table1345[[#This Row],[Index]]-B73)/B73</f>
        <v/>
      </c>
    </row>
    <row r="86">
      <c r="A86" s="17" t="n">
        <v>28703</v>
      </c>
      <c r="B86" s="58">
        <f>VLOOKUP(Table1345[[#This Row],[Date]],database!A:I,9,)</f>
        <v/>
      </c>
      <c r="C86" s="66">
        <f>B86/B85-1</f>
        <v/>
      </c>
      <c r="D86" s="66">
        <f>(Table1345[[#This Row],[Index]]-B74)/B74</f>
        <v/>
      </c>
    </row>
    <row r="87">
      <c r="A87" s="17" t="n">
        <v>28734</v>
      </c>
      <c r="B87" s="58">
        <f>VLOOKUP(Table1345[[#This Row],[Date]],database!A:I,9,)</f>
        <v/>
      </c>
      <c r="C87" s="66">
        <f>B87/B86-1</f>
        <v/>
      </c>
      <c r="D87" s="66">
        <f>(Table1345[[#This Row],[Index]]-B75)/B75</f>
        <v/>
      </c>
    </row>
    <row r="88">
      <c r="A88" s="17" t="n">
        <v>28764</v>
      </c>
      <c r="B88" s="58">
        <f>VLOOKUP(Table1345[[#This Row],[Date]],database!A:I,9,)</f>
        <v/>
      </c>
      <c r="C88" s="66">
        <f>B88/B87-1</f>
        <v/>
      </c>
      <c r="D88" s="66">
        <f>(Table1345[[#This Row],[Index]]-B76)/B76</f>
        <v/>
      </c>
    </row>
    <row r="89">
      <c r="A89" s="17" t="n">
        <v>28795</v>
      </c>
      <c r="B89" s="58">
        <f>VLOOKUP(Table1345[[#This Row],[Date]],database!A:I,9,)</f>
        <v/>
      </c>
      <c r="C89" s="66">
        <f>B89/B88-1</f>
        <v/>
      </c>
      <c r="D89" s="66">
        <f>(Table1345[[#This Row],[Index]]-B77)/B77</f>
        <v/>
      </c>
    </row>
    <row r="90">
      <c r="A90" s="17" t="n">
        <v>28825</v>
      </c>
      <c r="B90" s="58">
        <f>VLOOKUP(Table1345[[#This Row],[Date]],database!A:I,9,)</f>
        <v/>
      </c>
      <c r="C90" s="66">
        <f>B90/B89-1</f>
        <v/>
      </c>
      <c r="D90" s="66">
        <f>(Table1345[[#This Row],[Index]]-B78)/B78</f>
        <v/>
      </c>
    </row>
    <row r="91">
      <c r="A91" s="17" t="n">
        <v>28856</v>
      </c>
      <c r="B91" s="58">
        <f>VLOOKUP(Table1345[[#This Row],[Date]],database!A:I,9,)</f>
        <v/>
      </c>
      <c r="C91" s="66">
        <f>B91/B90-1</f>
        <v/>
      </c>
      <c r="D91" s="66">
        <f>(Table1345[[#This Row],[Index]]-B79)/B79</f>
        <v/>
      </c>
    </row>
    <row r="92">
      <c r="A92" s="17" t="n">
        <v>28887</v>
      </c>
      <c r="B92" s="58">
        <f>VLOOKUP(Table1345[[#This Row],[Date]],database!A:I,9,)</f>
        <v/>
      </c>
      <c r="C92" s="66">
        <f>B92/B91-1</f>
        <v/>
      </c>
      <c r="D92" s="66">
        <f>(Table1345[[#This Row],[Index]]-B80)/B80</f>
        <v/>
      </c>
    </row>
    <row r="93">
      <c r="A93" s="17" t="n">
        <v>28915</v>
      </c>
      <c r="B93" s="58">
        <f>VLOOKUP(Table1345[[#This Row],[Date]],database!A:I,9,)</f>
        <v/>
      </c>
      <c r="C93" s="66">
        <f>B93/B92-1</f>
        <v/>
      </c>
      <c r="D93" s="66">
        <f>(Table1345[[#This Row],[Index]]-B81)/B81</f>
        <v/>
      </c>
    </row>
    <row r="94">
      <c r="A94" s="17" t="n">
        <v>28946</v>
      </c>
      <c r="B94" s="58">
        <f>VLOOKUP(Table1345[[#This Row],[Date]],database!A:I,9,)</f>
        <v/>
      </c>
      <c r="C94" s="66">
        <f>B94/B93-1</f>
        <v/>
      </c>
      <c r="D94" s="66">
        <f>(Table1345[[#This Row],[Index]]-B82)/B82</f>
        <v/>
      </c>
    </row>
    <row r="95">
      <c r="A95" s="17" t="n">
        <v>28976</v>
      </c>
      <c r="B95" s="58">
        <f>VLOOKUP(Table1345[[#This Row],[Date]],database!A:I,9,)</f>
        <v/>
      </c>
      <c r="C95" s="66">
        <f>B95/B94-1</f>
        <v/>
      </c>
      <c r="D95" s="66">
        <f>(Table1345[[#This Row],[Index]]-B83)/B83</f>
        <v/>
      </c>
    </row>
    <row r="96">
      <c r="A96" s="17" t="n">
        <v>29007</v>
      </c>
      <c r="B96" s="58">
        <f>VLOOKUP(Table1345[[#This Row],[Date]],database!A:I,9,)</f>
        <v/>
      </c>
      <c r="C96" s="66">
        <f>B96/B95-1</f>
        <v/>
      </c>
      <c r="D96" s="66">
        <f>(Table1345[[#This Row],[Index]]-B84)/B84</f>
        <v/>
      </c>
    </row>
    <row r="97">
      <c r="A97" s="17" t="n">
        <v>29037</v>
      </c>
      <c r="B97" s="58">
        <f>VLOOKUP(Table1345[[#This Row],[Date]],database!A:I,9,)</f>
        <v/>
      </c>
      <c r="C97" s="66">
        <f>B97/B96-1</f>
        <v/>
      </c>
      <c r="D97" s="66">
        <f>(Table1345[[#This Row],[Index]]-B85)/B85</f>
        <v/>
      </c>
    </row>
    <row r="98">
      <c r="A98" s="17" t="n">
        <v>29068</v>
      </c>
      <c r="B98" s="58">
        <f>VLOOKUP(Table1345[[#This Row],[Date]],database!A:I,9,)</f>
        <v/>
      </c>
      <c r="C98" s="66">
        <f>B98/B97-1</f>
        <v/>
      </c>
      <c r="D98" s="66">
        <f>(Table1345[[#This Row],[Index]]-B86)/B86</f>
        <v/>
      </c>
    </row>
    <row r="99">
      <c r="A99" s="17" t="n">
        <v>29099</v>
      </c>
      <c r="B99" s="58">
        <f>VLOOKUP(Table1345[[#This Row],[Date]],database!A:I,9,)</f>
        <v/>
      </c>
      <c r="C99" s="66">
        <f>B99/B98-1</f>
        <v/>
      </c>
      <c r="D99" s="66">
        <f>(Table1345[[#This Row],[Index]]-B87)/B87</f>
        <v/>
      </c>
    </row>
    <row r="100">
      <c r="A100" s="17" t="n">
        <v>29129</v>
      </c>
      <c r="B100" s="58">
        <f>VLOOKUP(Table1345[[#This Row],[Date]],database!A:I,9,)</f>
        <v/>
      </c>
      <c r="C100" s="66">
        <f>B100/B99-1</f>
        <v/>
      </c>
      <c r="D100" s="66">
        <f>(Table1345[[#This Row],[Index]]-B88)/B88</f>
        <v/>
      </c>
    </row>
    <row r="101">
      <c r="A101" s="17" t="n">
        <v>29160</v>
      </c>
      <c r="B101" s="58">
        <f>VLOOKUP(Table1345[[#This Row],[Date]],database!A:I,9,)</f>
        <v/>
      </c>
      <c r="C101" s="66">
        <f>B101/B100-1</f>
        <v/>
      </c>
      <c r="D101" s="66">
        <f>(Table1345[[#This Row],[Index]]-B89)/B89</f>
        <v/>
      </c>
    </row>
    <row r="102">
      <c r="A102" s="17" t="n">
        <v>29190</v>
      </c>
      <c r="B102" s="58">
        <f>VLOOKUP(Table1345[[#This Row],[Date]],database!A:I,9,)</f>
        <v/>
      </c>
      <c r="C102" s="66">
        <f>B102/B101-1</f>
        <v/>
      </c>
      <c r="D102" s="66">
        <f>(Table1345[[#This Row],[Index]]-B90)/B90</f>
        <v/>
      </c>
    </row>
    <row r="103">
      <c r="A103" s="17" t="n">
        <v>29221</v>
      </c>
      <c r="B103" s="58">
        <f>VLOOKUP(Table1345[[#This Row],[Date]],database!A:I,9,)</f>
        <v/>
      </c>
      <c r="C103" s="66">
        <f>B103/B102-1</f>
        <v/>
      </c>
      <c r="D103" s="66">
        <f>(Table1345[[#This Row],[Index]]-B91)/B91</f>
        <v/>
      </c>
    </row>
    <row r="104">
      <c r="A104" s="17" t="n">
        <v>29252</v>
      </c>
      <c r="B104" s="58">
        <f>VLOOKUP(Table1345[[#This Row],[Date]],database!A:I,9,)</f>
        <v/>
      </c>
      <c r="C104" s="66">
        <f>B104/B103-1</f>
        <v/>
      </c>
      <c r="D104" s="66">
        <f>(Table1345[[#This Row],[Index]]-B92)/B92</f>
        <v/>
      </c>
    </row>
    <row r="105">
      <c r="A105" s="17" t="n">
        <v>29281</v>
      </c>
      <c r="B105" s="58">
        <f>VLOOKUP(Table1345[[#This Row],[Date]],database!A:I,9,)</f>
        <v/>
      </c>
      <c r="C105" s="66">
        <f>B105/B104-1</f>
        <v/>
      </c>
      <c r="D105" s="66">
        <f>(Table1345[[#This Row],[Index]]-B93)/B93</f>
        <v/>
      </c>
    </row>
    <row r="106">
      <c r="A106" s="17" t="n">
        <v>29312</v>
      </c>
      <c r="B106" s="58">
        <f>VLOOKUP(Table1345[[#This Row],[Date]],database!A:I,9,)</f>
        <v/>
      </c>
      <c r="C106" s="66">
        <f>B106/B105-1</f>
        <v/>
      </c>
      <c r="D106" s="66">
        <f>(Table1345[[#This Row],[Index]]-B94)/B94</f>
        <v/>
      </c>
    </row>
    <row r="107">
      <c r="A107" s="17" t="n">
        <v>29342</v>
      </c>
      <c r="B107" s="58">
        <f>VLOOKUP(Table1345[[#This Row],[Date]],database!A:I,9,)</f>
        <v/>
      </c>
      <c r="C107" s="66">
        <f>B107/B106-1</f>
        <v/>
      </c>
      <c r="D107" s="66">
        <f>(Table1345[[#This Row],[Index]]-B95)/B95</f>
        <v/>
      </c>
    </row>
    <row r="108">
      <c r="A108" s="17" t="n">
        <v>29373</v>
      </c>
      <c r="B108" s="58">
        <f>VLOOKUP(Table1345[[#This Row],[Date]],database!A:I,9,)</f>
        <v/>
      </c>
      <c r="C108" s="66">
        <f>B108/B107-1</f>
        <v/>
      </c>
      <c r="D108" s="66">
        <f>(Table1345[[#This Row],[Index]]-B96)/B96</f>
        <v/>
      </c>
    </row>
    <row r="109">
      <c r="A109" s="17" t="n">
        <v>29403</v>
      </c>
      <c r="B109" s="58">
        <f>VLOOKUP(Table1345[[#This Row],[Date]],database!A:I,9,)</f>
        <v/>
      </c>
      <c r="C109" s="66">
        <f>B109/B108-1</f>
        <v/>
      </c>
      <c r="D109" s="66">
        <f>(Table1345[[#This Row],[Index]]-B97)/B97</f>
        <v/>
      </c>
    </row>
    <row r="110">
      <c r="A110" s="17" t="n">
        <v>29434</v>
      </c>
      <c r="B110" s="58">
        <f>VLOOKUP(Table1345[[#This Row],[Date]],database!A:I,9,)</f>
        <v/>
      </c>
      <c r="C110" s="66">
        <f>B110/B109-1</f>
        <v/>
      </c>
      <c r="D110" s="66">
        <f>(Table1345[[#This Row],[Index]]-B98)/B98</f>
        <v/>
      </c>
    </row>
    <row r="111">
      <c r="A111" s="17" t="n">
        <v>29465</v>
      </c>
      <c r="B111" s="58">
        <f>VLOOKUP(Table1345[[#This Row],[Date]],database!A:I,9,)</f>
        <v/>
      </c>
      <c r="C111" s="66">
        <f>B111/B110-1</f>
        <v/>
      </c>
      <c r="D111" s="66">
        <f>(Table1345[[#This Row],[Index]]-B99)/B99</f>
        <v/>
      </c>
    </row>
    <row r="112">
      <c r="A112" s="17" t="n">
        <v>29495</v>
      </c>
      <c r="B112" s="58">
        <f>VLOOKUP(Table1345[[#This Row],[Date]],database!A:I,9,)</f>
        <v/>
      </c>
      <c r="C112" s="66">
        <f>B112/B111-1</f>
        <v/>
      </c>
      <c r="D112" s="66">
        <f>(Table1345[[#This Row],[Index]]-B100)/B100</f>
        <v/>
      </c>
    </row>
    <row r="113">
      <c r="A113" s="17" t="n">
        <v>29526</v>
      </c>
      <c r="B113" s="58">
        <f>VLOOKUP(Table1345[[#This Row],[Date]],database!A:I,9,)</f>
        <v/>
      </c>
      <c r="C113" s="66">
        <f>B113/B112-1</f>
        <v/>
      </c>
      <c r="D113" s="66">
        <f>(Table1345[[#This Row],[Index]]-B101)/B101</f>
        <v/>
      </c>
    </row>
    <row r="114">
      <c r="A114" s="17" t="n">
        <v>29556</v>
      </c>
      <c r="B114" s="58">
        <f>VLOOKUP(Table1345[[#This Row],[Date]],database!A:I,9,)</f>
        <v/>
      </c>
      <c r="C114" s="66">
        <f>B114/B113-1</f>
        <v/>
      </c>
      <c r="D114" s="66">
        <f>(Table1345[[#This Row],[Index]]-B102)/B102</f>
        <v/>
      </c>
    </row>
    <row r="115">
      <c r="A115" s="17" t="n">
        <v>29587</v>
      </c>
      <c r="B115" s="58">
        <f>VLOOKUP(Table1345[[#This Row],[Date]],database!A:I,9,)</f>
        <v/>
      </c>
      <c r="C115" s="66">
        <f>B115/B114-1</f>
        <v/>
      </c>
      <c r="D115" s="66">
        <f>(Table1345[[#This Row],[Index]]-B103)/B103</f>
        <v/>
      </c>
    </row>
    <row r="116">
      <c r="A116" s="17" t="n">
        <v>29618</v>
      </c>
      <c r="B116" s="58">
        <f>VLOOKUP(Table1345[[#This Row],[Date]],database!A:I,9,)</f>
        <v/>
      </c>
      <c r="C116" s="66">
        <f>B116/B115-1</f>
        <v/>
      </c>
      <c r="D116" s="66">
        <f>(Table1345[[#This Row],[Index]]-B104)/B104</f>
        <v/>
      </c>
    </row>
    <row r="117">
      <c r="A117" s="17" t="n">
        <v>29646</v>
      </c>
      <c r="B117" s="58">
        <f>VLOOKUP(Table1345[[#This Row],[Date]],database!A:I,9,)</f>
        <v/>
      </c>
      <c r="C117" s="66">
        <f>B117/B116-1</f>
        <v/>
      </c>
      <c r="D117" s="66">
        <f>(Table1345[[#This Row],[Index]]-B105)/B105</f>
        <v/>
      </c>
    </row>
    <row r="118">
      <c r="A118" s="17" t="n">
        <v>29677</v>
      </c>
      <c r="B118" s="58">
        <f>VLOOKUP(Table1345[[#This Row],[Date]],database!A:I,9,)</f>
        <v/>
      </c>
      <c r="C118" s="66">
        <f>B118/B117-1</f>
        <v/>
      </c>
      <c r="D118" s="66">
        <f>(Table1345[[#This Row],[Index]]-B106)/B106</f>
        <v/>
      </c>
    </row>
    <row r="119">
      <c r="A119" s="17" t="n">
        <v>29707</v>
      </c>
      <c r="B119" s="58">
        <f>VLOOKUP(Table1345[[#This Row],[Date]],database!A:I,9,)</f>
        <v/>
      </c>
      <c r="C119" s="66">
        <f>B119/B118-1</f>
        <v/>
      </c>
      <c r="D119" s="66">
        <f>(Table1345[[#This Row],[Index]]-B107)/B107</f>
        <v/>
      </c>
    </row>
    <row r="120">
      <c r="A120" s="17" t="n">
        <v>29738</v>
      </c>
      <c r="B120" s="58">
        <f>VLOOKUP(Table1345[[#This Row],[Date]],database!A:I,9,)</f>
        <v/>
      </c>
      <c r="C120" s="66">
        <f>B120/B119-1</f>
        <v/>
      </c>
      <c r="D120" s="66">
        <f>(Table1345[[#This Row],[Index]]-B108)/B108</f>
        <v/>
      </c>
    </row>
    <row r="121">
      <c r="A121" s="17" t="n">
        <v>29768</v>
      </c>
      <c r="B121" s="58">
        <f>VLOOKUP(Table1345[[#This Row],[Date]],database!A:I,9,)</f>
        <v/>
      </c>
      <c r="C121" s="66">
        <f>B121/B120-1</f>
        <v/>
      </c>
      <c r="D121" s="66">
        <f>(Table1345[[#This Row],[Index]]-B109)/B109</f>
        <v/>
      </c>
    </row>
    <row r="122">
      <c r="A122" s="17" t="n">
        <v>29799</v>
      </c>
      <c r="B122" s="58">
        <f>VLOOKUP(Table1345[[#This Row],[Date]],database!A:I,9,)</f>
        <v/>
      </c>
      <c r="C122" s="66">
        <f>B122/B121-1</f>
        <v/>
      </c>
      <c r="D122" s="66">
        <f>(Table1345[[#This Row],[Index]]-B110)/B110</f>
        <v/>
      </c>
    </row>
    <row r="123">
      <c r="A123" s="17" t="n">
        <v>29830</v>
      </c>
      <c r="B123" s="58">
        <f>VLOOKUP(Table1345[[#This Row],[Date]],database!A:I,9,)</f>
        <v/>
      </c>
      <c r="C123" s="66">
        <f>B123/B122-1</f>
        <v/>
      </c>
      <c r="D123" s="66">
        <f>(Table1345[[#This Row],[Index]]-B111)/B111</f>
        <v/>
      </c>
    </row>
    <row r="124">
      <c r="A124" s="17" t="n">
        <v>29860</v>
      </c>
      <c r="B124" s="58">
        <f>VLOOKUP(Table1345[[#This Row],[Date]],database!A:I,9,)</f>
        <v/>
      </c>
      <c r="C124" s="66">
        <f>B124/B123-1</f>
        <v/>
      </c>
      <c r="D124" s="66">
        <f>(Table1345[[#This Row],[Index]]-B112)/B112</f>
        <v/>
      </c>
    </row>
    <row r="125">
      <c r="A125" s="17" t="n">
        <v>29891</v>
      </c>
      <c r="B125" s="58">
        <f>VLOOKUP(Table1345[[#This Row],[Date]],database!A:I,9,)</f>
        <v/>
      </c>
      <c r="C125" s="66">
        <f>B125/B124-1</f>
        <v/>
      </c>
      <c r="D125" s="66">
        <f>(Table1345[[#This Row],[Index]]-B113)/B113</f>
        <v/>
      </c>
    </row>
    <row r="126">
      <c r="A126" s="17" t="n">
        <v>29921</v>
      </c>
      <c r="B126" s="58">
        <f>VLOOKUP(Table1345[[#This Row],[Date]],database!A:I,9,)</f>
        <v/>
      </c>
      <c r="C126" s="66">
        <f>B126/B125-1</f>
        <v/>
      </c>
      <c r="D126" s="66">
        <f>(Table1345[[#This Row],[Index]]-B114)/B114</f>
        <v/>
      </c>
    </row>
    <row r="127">
      <c r="A127" s="17" t="n">
        <v>29952</v>
      </c>
      <c r="B127" s="58">
        <f>VLOOKUP(Table1345[[#This Row],[Date]],database!A:I,9,)</f>
        <v/>
      </c>
      <c r="C127" s="66">
        <f>B127/B126-1</f>
        <v/>
      </c>
      <c r="D127" s="66">
        <f>(Table1345[[#This Row],[Index]]-B115)/B115</f>
        <v/>
      </c>
    </row>
    <row r="128">
      <c r="A128" s="17" t="n">
        <v>29983</v>
      </c>
      <c r="B128" s="58">
        <f>VLOOKUP(Table1345[[#This Row],[Date]],database!A:I,9,)</f>
        <v/>
      </c>
      <c r="C128" s="66">
        <f>B128/B127-1</f>
        <v/>
      </c>
      <c r="D128" s="66">
        <f>(Table1345[[#This Row],[Index]]-B116)/B116</f>
        <v/>
      </c>
    </row>
    <row r="129">
      <c r="A129" s="17" t="n">
        <v>30011</v>
      </c>
      <c r="B129" s="58">
        <f>VLOOKUP(Table1345[[#This Row],[Date]],database!A:I,9,)</f>
        <v/>
      </c>
      <c r="C129" s="66">
        <f>B129/B128-1</f>
        <v/>
      </c>
      <c r="D129" s="66">
        <f>(Table1345[[#This Row],[Index]]-B117)/B117</f>
        <v/>
      </c>
    </row>
    <row r="130">
      <c r="A130" s="17" t="n">
        <v>30042</v>
      </c>
      <c r="B130" s="58">
        <f>VLOOKUP(Table1345[[#This Row],[Date]],database!A:I,9,)</f>
        <v/>
      </c>
      <c r="C130" s="66">
        <f>B130/B129-1</f>
        <v/>
      </c>
      <c r="D130" s="66">
        <f>(Table1345[[#This Row],[Index]]-B118)/B118</f>
        <v/>
      </c>
    </row>
    <row r="131">
      <c r="A131" s="17" t="n">
        <v>30072</v>
      </c>
      <c r="B131" s="58">
        <f>VLOOKUP(Table1345[[#This Row],[Date]],database!A:I,9,)</f>
        <v/>
      </c>
      <c r="C131" s="66">
        <f>B131/B130-1</f>
        <v/>
      </c>
      <c r="D131" s="66">
        <f>(Table1345[[#This Row],[Index]]-B119)/B119</f>
        <v/>
      </c>
    </row>
    <row r="132">
      <c r="A132" s="17" t="n">
        <v>30103</v>
      </c>
      <c r="B132" s="58">
        <f>VLOOKUP(Table1345[[#This Row],[Date]],database!A:I,9,)</f>
        <v/>
      </c>
      <c r="C132" s="66">
        <f>B132/B131-1</f>
        <v/>
      </c>
      <c r="D132" s="66">
        <f>(Table1345[[#This Row],[Index]]-B120)/B120</f>
        <v/>
      </c>
    </row>
    <row r="133">
      <c r="A133" s="17" t="n">
        <v>30133</v>
      </c>
      <c r="B133" s="58">
        <f>VLOOKUP(Table1345[[#This Row],[Date]],database!A:I,9,)</f>
        <v/>
      </c>
      <c r="C133" s="66">
        <f>B133/B132-1</f>
        <v/>
      </c>
      <c r="D133" s="66">
        <f>(Table1345[[#This Row],[Index]]-B121)/B121</f>
        <v/>
      </c>
    </row>
    <row r="134">
      <c r="A134" s="17" t="n">
        <v>30164</v>
      </c>
      <c r="B134" s="58">
        <f>VLOOKUP(Table1345[[#This Row],[Date]],database!A:I,9,)</f>
        <v/>
      </c>
      <c r="C134" s="66">
        <f>B134/B133-1</f>
        <v/>
      </c>
      <c r="D134" s="66">
        <f>(Table1345[[#This Row],[Index]]-B122)/B122</f>
        <v/>
      </c>
    </row>
    <row r="135">
      <c r="A135" s="17" t="n">
        <v>30195</v>
      </c>
      <c r="B135" s="58">
        <f>VLOOKUP(Table1345[[#This Row],[Date]],database!A:I,9,)</f>
        <v/>
      </c>
      <c r="C135" s="66">
        <f>B135/B134-1</f>
        <v/>
      </c>
      <c r="D135" s="66">
        <f>(Table1345[[#This Row],[Index]]-B123)/B123</f>
        <v/>
      </c>
    </row>
    <row r="136">
      <c r="A136" s="17" t="n">
        <v>30225</v>
      </c>
      <c r="B136" s="58">
        <f>VLOOKUP(Table1345[[#This Row],[Date]],database!A:I,9,)</f>
        <v/>
      </c>
      <c r="C136" s="66">
        <f>B136/B135-1</f>
        <v/>
      </c>
      <c r="D136" s="66">
        <f>(Table1345[[#This Row],[Index]]-B124)/B124</f>
        <v/>
      </c>
    </row>
    <row r="137">
      <c r="A137" s="17" t="n">
        <v>30256</v>
      </c>
      <c r="B137" s="58">
        <f>VLOOKUP(Table1345[[#This Row],[Date]],database!A:I,9,)</f>
        <v/>
      </c>
      <c r="C137" s="66">
        <f>B137/B136-1</f>
        <v/>
      </c>
      <c r="D137" s="66">
        <f>(Table1345[[#This Row],[Index]]-B125)/B125</f>
        <v/>
      </c>
    </row>
    <row r="138">
      <c r="A138" s="17" t="n">
        <v>30286</v>
      </c>
      <c r="B138" s="58">
        <f>VLOOKUP(Table1345[[#This Row],[Date]],database!A:I,9,)</f>
        <v/>
      </c>
      <c r="C138" s="66">
        <f>B138/B137-1</f>
        <v/>
      </c>
      <c r="D138" s="66">
        <f>(Table1345[[#This Row],[Index]]-B126)/B126</f>
        <v/>
      </c>
    </row>
    <row r="139">
      <c r="A139" s="17" t="n">
        <v>30317</v>
      </c>
      <c r="B139" s="58">
        <f>VLOOKUP(Table1345[[#This Row],[Date]],database!A:I,9,)</f>
        <v/>
      </c>
      <c r="C139" s="66">
        <f>B139/B138-1</f>
        <v/>
      </c>
      <c r="D139" s="66">
        <f>(Table1345[[#This Row],[Index]]-B127)/B127</f>
        <v/>
      </c>
    </row>
    <row r="140">
      <c r="A140" s="17" t="n">
        <v>30348</v>
      </c>
      <c r="B140" s="58">
        <f>VLOOKUP(Table1345[[#This Row],[Date]],database!A:I,9,)</f>
        <v/>
      </c>
      <c r="C140" s="66">
        <f>B140/B139-1</f>
        <v/>
      </c>
      <c r="D140" s="66">
        <f>(Table1345[[#This Row],[Index]]-B128)/B128</f>
        <v/>
      </c>
    </row>
    <row r="141">
      <c r="A141" s="17" t="n">
        <v>30376</v>
      </c>
      <c r="B141" s="58">
        <f>VLOOKUP(Table1345[[#This Row],[Date]],database!A:I,9,)</f>
        <v/>
      </c>
      <c r="C141" s="66">
        <f>B141/B140-1</f>
        <v/>
      </c>
      <c r="D141" s="66">
        <f>(Table1345[[#This Row],[Index]]-B129)/B129</f>
        <v/>
      </c>
    </row>
    <row r="142">
      <c r="A142" s="17" t="n">
        <v>30407</v>
      </c>
      <c r="B142" s="58">
        <f>VLOOKUP(Table1345[[#This Row],[Date]],database!A:I,9,)</f>
        <v/>
      </c>
      <c r="C142" s="66">
        <f>B142/B141-1</f>
        <v/>
      </c>
      <c r="D142" s="66">
        <f>(Table1345[[#This Row],[Index]]-B130)/B130</f>
        <v/>
      </c>
    </row>
    <row r="143">
      <c r="A143" s="17" t="n">
        <v>30437</v>
      </c>
      <c r="B143" s="58">
        <f>VLOOKUP(Table1345[[#This Row],[Date]],database!A:I,9,)</f>
        <v/>
      </c>
      <c r="C143" s="66">
        <f>B143/B142-1</f>
        <v/>
      </c>
      <c r="D143" s="66">
        <f>(Table1345[[#This Row],[Index]]-B131)/B131</f>
        <v/>
      </c>
    </row>
    <row r="144">
      <c r="A144" s="17" t="n">
        <v>30468</v>
      </c>
      <c r="B144" s="58">
        <f>VLOOKUP(Table1345[[#This Row],[Date]],database!A:I,9,)</f>
        <v/>
      </c>
      <c r="C144" s="66">
        <f>B144/B143-1</f>
        <v/>
      </c>
      <c r="D144" s="66">
        <f>(Table1345[[#This Row],[Index]]-B132)/B132</f>
        <v/>
      </c>
    </row>
    <row r="145">
      <c r="A145" s="17" t="n">
        <v>30498</v>
      </c>
      <c r="B145" s="58">
        <f>VLOOKUP(Table1345[[#This Row],[Date]],database!A:I,9,)</f>
        <v/>
      </c>
      <c r="C145" s="66">
        <f>B145/B144-1</f>
        <v/>
      </c>
      <c r="D145" s="66">
        <f>(Table1345[[#This Row],[Index]]-B133)/B133</f>
        <v/>
      </c>
    </row>
    <row r="146">
      <c r="A146" s="17" t="n">
        <v>30529</v>
      </c>
      <c r="B146" s="58">
        <f>VLOOKUP(Table1345[[#This Row],[Date]],database!A:I,9,)</f>
        <v/>
      </c>
      <c r="C146" s="66">
        <f>B146/B145-1</f>
        <v/>
      </c>
      <c r="D146" s="66">
        <f>(Table1345[[#This Row],[Index]]-B134)/B134</f>
        <v/>
      </c>
    </row>
    <row r="147">
      <c r="A147" s="17" t="n">
        <v>30560</v>
      </c>
      <c r="B147" s="58">
        <f>VLOOKUP(Table1345[[#This Row],[Date]],database!A:I,9,)</f>
        <v/>
      </c>
      <c r="C147" s="66">
        <f>B147/B146-1</f>
        <v/>
      </c>
      <c r="D147" s="66">
        <f>(Table1345[[#This Row],[Index]]-B135)/B135</f>
        <v/>
      </c>
    </row>
    <row r="148">
      <c r="A148" s="17" t="n">
        <v>30590</v>
      </c>
      <c r="B148" s="58">
        <f>VLOOKUP(Table1345[[#This Row],[Date]],database!A:I,9,)</f>
        <v/>
      </c>
      <c r="C148" s="66">
        <f>B148/B147-1</f>
        <v/>
      </c>
      <c r="D148" s="66">
        <f>(Table1345[[#This Row],[Index]]-B136)/B136</f>
        <v/>
      </c>
    </row>
    <row r="149">
      <c r="A149" s="17" t="n">
        <v>30621</v>
      </c>
      <c r="B149" s="58">
        <f>VLOOKUP(Table1345[[#This Row],[Date]],database!A:I,9,)</f>
        <v/>
      </c>
      <c r="C149" s="66">
        <f>B149/B148-1</f>
        <v/>
      </c>
      <c r="D149" s="66">
        <f>(Table1345[[#This Row],[Index]]-B137)/B137</f>
        <v/>
      </c>
    </row>
    <row r="150">
      <c r="A150" s="17" t="n">
        <v>30651</v>
      </c>
      <c r="B150" s="58">
        <f>VLOOKUP(Table1345[[#This Row],[Date]],database!A:I,9,)</f>
        <v/>
      </c>
      <c r="C150" s="66">
        <f>B150/B149-1</f>
        <v/>
      </c>
      <c r="D150" s="66">
        <f>(Table1345[[#This Row],[Index]]-B138)/B138</f>
        <v/>
      </c>
    </row>
    <row r="151">
      <c r="A151" s="17" t="n">
        <v>30682</v>
      </c>
      <c r="B151" s="58">
        <f>VLOOKUP(Table1345[[#This Row],[Date]],database!A:I,9,)</f>
        <v/>
      </c>
      <c r="C151" s="66">
        <f>B151/B150-1</f>
        <v/>
      </c>
      <c r="D151" s="66">
        <f>(Table1345[[#This Row],[Index]]-B139)/B139</f>
        <v/>
      </c>
    </row>
    <row r="152">
      <c r="A152" s="17" t="n">
        <v>30713</v>
      </c>
      <c r="B152" s="58">
        <f>VLOOKUP(Table1345[[#This Row],[Date]],database!A:I,9,)</f>
        <v/>
      </c>
      <c r="C152" s="66">
        <f>B152/B151-1</f>
        <v/>
      </c>
      <c r="D152" s="66">
        <f>(Table1345[[#This Row],[Index]]-B140)/B140</f>
        <v/>
      </c>
    </row>
    <row r="153">
      <c r="A153" s="17" t="n">
        <v>30742</v>
      </c>
      <c r="B153" s="58">
        <f>VLOOKUP(Table1345[[#This Row],[Date]],database!A:I,9,)</f>
        <v/>
      </c>
      <c r="C153" s="66">
        <f>B153/B152-1</f>
        <v/>
      </c>
      <c r="D153" s="66">
        <f>(Table1345[[#This Row],[Index]]-B141)/B141</f>
        <v/>
      </c>
    </row>
    <row r="154">
      <c r="A154" s="17" t="n">
        <v>30773</v>
      </c>
      <c r="B154" s="58">
        <f>VLOOKUP(Table1345[[#This Row],[Date]],database!A:I,9,)</f>
        <v/>
      </c>
      <c r="C154" s="66">
        <f>B154/B153-1</f>
        <v/>
      </c>
      <c r="D154" s="66">
        <f>(Table1345[[#This Row],[Index]]-B142)/B142</f>
        <v/>
      </c>
    </row>
    <row r="155">
      <c r="A155" s="17" t="n">
        <v>30803</v>
      </c>
      <c r="B155" s="58">
        <f>VLOOKUP(Table1345[[#This Row],[Date]],database!A:I,9,)</f>
        <v/>
      </c>
      <c r="C155" s="66">
        <f>B155/B154-1</f>
        <v/>
      </c>
      <c r="D155" s="66">
        <f>(Table1345[[#This Row],[Index]]-B143)/B143</f>
        <v/>
      </c>
    </row>
    <row r="156">
      <c r="A156" s="17" t="n">
        <v>30834</v>
      </c>
      <c r="B156" s="58">
        <f>VLOOKUP(Table1345[[#This Row],[Date]],database!A:I,9,)</f>
        <v/>
      </c>
      <c r="C156" s="66">
        <f>B156/B155-1</f>
        <v/>
      </c>
      <c r="D156" s="66">
        <f>(Table1345[[#This Row],[Index]]-B144)/B144</f>
        <v/>
      </c>
    </row>
    <row r="157">
      <c r="A157" s="17" t="n">
        <v>30864</v>
      </c>
      <c r="B157" s="58">
        <f>VLOOKUP(Table1345[[#This Row],[Date]],database!A:I,9,)</f>
        <v/>
      </c>
      <c r="C157" s="66">
        <f>B157/B156-1</f>
        <v/>
      </c>
      <c r="D157" s="66">
        <f>(Table1345[[#This Row],[Index]]-B145)/B145</f>
        <v/>
      </c>
    </row>
    <row r="158">
      <c r="A158" s="17" t="n">
        <v>30895</v>
      </c>
      <c r="B158" s="58">
        <f>VLOOKUP(Table1345[[#This Row],[Date]],database!A:I,9,)</f>
        <v/>
      </c>
      <c r="C158" s="66">
        <f>B158/B157-1</f>
        <v/>
      </c>
      <c r="D158" s="66">
        <f>(Table1345[[#This Row],[Index]]-B146)/B146</f>
        <v/>
      </c>
    </row>
    <row r="159">
      <c r="A159" s="17" t="n">
        <v>30926</v>
      </c>
      <c r="B159" s="58">
        <f>VLOOKUP(Table1345[[#This Row],[Date]],database!A:I,9,)</f>
        <v/>
      </c>
      <c r="C159" s="66">
        <f>B159/B158-1</f>
        <v/>
      </c>
      <c r="D159" s="66">
        <f>(Table1345[[#This Row],[Index]]-B147)/B147</f>
        <v/>
      </c>
    </row>
    <row r="160">
      <c r="A160" s="17" t="n">
        <v>30956</v>
      </c>
      <c r="B160" s="58">
        <f>VLOOKUP(Table1345[[#This Row],[Date]],database!A:I,9,)</f>
        <v/>
      </c>
      <c r="C160" s="66">
        <f>B160/B159-1</f>
        <v/>
      </c>
      <c r="D160" s="66">
        <f>(Table1345[[#This Row],[Index]]-B148)/B148</f>
        <v/>
      </c>
    </row>
    <row r="161">
      <c r="A161" s="17" t="n">
        <v>30987</v>
      </c>
      <c r="B161" s="58">
        <f>VLOOKUP(Table1345[[#This Row],[Date]],database!A:I,9,)</f>
        <v/>
      </c>
      <c r="C161" s="66">
        <f>B161/B160-1</f>
        <v/>
      </c>
      <c r="D161" s="66">
        <f>(Table1345[[#This Row],[Index]]-B149)/B149</f>
        <v/>
      </c>
    </row>
    <row r="162">
      <c r="A162" s="17" t="n">
        <v>31017</v>
      </c>
      <c r="B162" s="58">
        <f>VLOOKUP(Table1345[[#This Row],[Date]],database!A:I,9,)</f>
        <v/>
      </c>
      <c r="C162" s="66">
        <f>B162/B161-1</f>
        <v/>
      </c>
      <c r="D162" s="66">
        <f>(Table1345[[#This Row],[Index]]-B150)/B150</f>
        <v/>
      </c>
    </row>
    <row r="163">
      <c r="A163" s="17" t="n">
        <v>31048</v>
      </c>
      <c r="B163" s="58">
        <f>VLOOKUP(Table1345[[#This Row],[Date]],database!A:I,9,)</f>
        <v/>
      </c>
      <c r="C163" s="66">
        <f>B163/B162-1</f>
        <v/>
      </c>
      <c r="D163" s="66">
        <f>(Table1345[[#This Row],[Index]]-B151)/B151</f>
        <v/>
      </c>
    </row>
    <row r="164">
      <c r="A164" s="17" t="n">
        <v>31079</v>
      </c>
      <c r="B164" s="58">
        <f>VLOOKUP(Table1345[[#This Row],[Date]],database!A:I,9,)</f>
        <v/>
      </c>
      <c r="C164" s="66">
        <f>B164/B163-1</f>
        <v/>
      </c>
      <c r="D164" s="66">
        <f>(Table1345[[#This Row],[Index]]-B152)/B152</f>
        <v/>
      </c>
    </row>
    <row r="165">
      <c r="A165" s="17" t="n">
        <v>31107</v>
      </c>
      <c r="B165" s="58">
        <f>VLOOKUP(Table1345[[#This Row],[Date]],database!A:I,9,)</f>
        <v/>
      </c>
      <c r="C165" s="66">
        <f>B165/B164-1</f>
        <v/>
      </c>
      <c r="D165" s="66">
        <f>(Table1345[[#This Row],[Index]]-B153)/B153</f>
        <v/>
      </c>
    </row>
    <row r="166">
      <c r="A166" s="17" t="n">
        <v>31138</v>
      </c>
      <c r="B166" s="58">
        <f>VLOOKUP(Table1345[[#This Row],[Date]],database!A:I,9,)</f>
        <v/>
      </c>
      <c r="C166" s="66">
        <f>B166/B165-1</f>
        <v/>
      </c>
      <c r="D166" s="66">
        <f>(Table1345[[#This Row],[Index]]-B154)/B154</f>
        <v/>
      </c>
    </row>
    <row r="167">
      <c r="A167" s="17" t="n">
        <v>31168</v>
      </c>
      <c r="B167" s="58">
        <f>VLOOKUP(Table1345[[#This Row],[Date]],database!A:I,9,)</f>
        <v/>
      </c>
      <c r="C167" s="66">
        <f>B167/B166-1</f>
        <v/>
      </c>
      <c r="D167" s="66">
        <f>(Table1345[[#This Row],[Index]]-B155)/B155</f>
        <v/>
      </c>
    </row>
    <row r="168">
      <c r="A168" s="17" t="n">
        <v>31199</v>
      </c>
      <c r="B168" s="58">
        <f>VLOOKUP(Table1345[[#This Row],[Date]],database!A:I,9,)</f>
        <v/>
      </c>
      <c r="C168" s="66">
        <f>B168/B167-1</f>
        <v/>
      </c>
      <c r="D168" s="66">
        <f>(Table1345[[#This Row],[Index]]-B156)/B156</f>
        <v/>
      </c>
    </row>
    <row r="169">
      <c r="A169" s="17" t="n">
        <v>31229</v>
      </c>
      <c r="B169" s="58">
        <f>VLOOKUP(Table1345[[#This Row],[Date]],database!A:I,9,)</f>
        <v/>
      </c>
      <c r="C169" s="66">
        <f>B169/B168-1</f>
        <v/>
      </c>
      <c r="D169" s="66">
        <f>(Table1345[[#This Row],[Index]]-B157)/B157</f>
        <v/>
      </c>
    </row>
    <row r="170">
      <c r="A170" s="17" t="n">
        <v>31260</v>
      </c>
      <c r="B170" s="58">
        <f>VLOOKUP(Table1345[[#This Row],[Date]],database!A:I,9,)</f>
        <v/>
      </c>
      <c r="C170" s="66">
        <f>B170/B169-1</f>
        <v/>
      </c>
      <c r="D170" s="66">
        <f>(Table1345[[#This Row],[Index]]-B158)/B158</f>
        <v/>
      </c>
    </row>
    <row r="171">
      <c r="A171" s="17" t="n">
        <v>31291</v>
      </c>
      <c r="B171" s="58">
        <f>VLOOKUP(Table1345[[#This Row],[Date]],database!A:I,9,)</f>
        <v/>
      </c>
      <c r="C171" s="66">
        <f>B171/B170-1</f>
        <v/>
      </c>
      <c r="D171" s="66">
        <f>(Table1345[[#This Row],[Index]]-B159)/B159</f>
        <v/>
      </c>
    </row>
    <row r="172">
      <c r="A172" s="17" t="n">
        <v>31321</v>
      </c>
      <c r="B172" s="58">
        <f>VLOOKUP(Table1345[[#This Row],[Date]],database!A:I,9,)</f>
        <v/>
      </c>
      <c r="C172" s="66">
        <f>B172/B171-1</f>
        <v/>
      </c>
      <c r="D172" s="66">
        <f>(Table1345[[#This Row],[Index]]-B160)/B160</f>
        <v/>
      </c>
    </row>
    <row r="173">
      <c r="A173" s="17" t="n">
        <v>31352</v>
      </c>
      <c r="B173" s="58">
        <f>VLOOKUP(Table1345[[#This Row],[Date]],database!A:I,9,)</f>
        <v/>
      </c>
      <c r="C173" s="66">
        <f>B173/B172-1</f>
        <v/>
      </c>
      <c r="D173" s="66">
        <f>(Table1345[[#This Row],[Index]]-B161)/B161</f>
        <v/>
      </c>
    </row>
    <row r="174">
      <c r="A174" s="17" t="n">
        <v>31382</v>
      </c>
      <c r="B174" s="58">
        <f>VLOOKUP(Table1345[[#This Row],[Date]],database!A:I,9,)</f>
        <v/>
      </c>
      <c r="C174" s="66">
        <f>B174/B173-1</f>
        <v/>
      </c>
      <c r="D174" s="66">
        <f>(Table1345[[#This Row],[Index]]-B162)/B162</f>
        <v/>
      </c>
    </row>
    <row r="175">
      <c r="A175" s="17" t="n">
        <v>31413</v>
      </c>
      <c r="B175" s="58">
        <f>VLOOKUP(Table1345[[#This Row],[Date]],database!A:I,9,)</f>
        <v/>
      </c>
      <c r="C175" s="66">
        <f>B175/B174-1</f>
        <v/>
      </c>
      <c r="D175" s="66">
        <f>(Table1345[[#This Row],[Index]]-B163)/B163</f>
        <v/>
      </c>
    </row>
    <row r="176">
      <c r="A176" s="17" t="n">
        <v>31444</v>
      </c>
      <c r="B176" s="58">
        <f>VLOOKUP(Table1345[[#This Row],[Date]],database!A:I,9,)</f>
        <v/>
      </c>
      <c r="C176" s="66">
        <f>B176/B175-1</f>
        <v/>
      </c>
      <c r="D176" s="66">
        <f>(Table1345[[#This Row],[Index]]-B164)/B164</f>
        <v/>
      </c>
    </row>
    <row r="177">
      <c r="A177" s="17" t="n">
        <v>31472</v>
      </c>
      <c r="B177" s="58">
        <f>VLOOKUP(Table1345[[#This Row],[Date]],database!A:I,9,)</f>
        <v/>
      </c>
      <c r="C177" s="66">
        <f>B177/B176-1</f>
        <v/>
      </c>
      <c r="D177" s="66">
        <f>(Table1345[[#This Row],[Index]]-B165)/B165</f>
        <v/>
      </c>
    </row>
    <row r="178">
      <c r="A178" s="17" t="n">
        <v>31503</v>
      </c>
      <c r="B178" s="58">
        <f>VLOOKUP(Table1345[[#This Row],[Date]],database!A:I,9,)</f>
        <v/>
      </c>
      <c r="C178" s="66">
        <f>B178/B177-1</f>
        <v/>
      </c>
      <c r="D178" s="66">
        <f>(Table1345[[#This Row],[Index]]-B166)/B166</f>
        <v/>
      </c>
    </row>
    <row r="179">
      <c r="A179" s="17" t="n">
        <v>31533</v>
      </c>
      <c r="B179" s="58">
        <f>VLOOKUP(Table1345[[#This Row],[Date]],database!A:I,9,)</f>
        <v/>
      </c>
      <c r="C179" s="66">
        <f>B179/B178-1</f>
        <v/>
      </c>
      <c r="D179" s="66">
        <f>(Table1345[[#This Row],[Index]]-B167)/B167</f>
        <v/>
      </c>
    </row>
    <row r="180">
      <c r="A180" s="17" t="n">
        <v>31564</v>
      </c>
      <c r="B180" s="58">
        <f>VLOOKUP(Table1345[[#This Row],[Date]],database!A:I,9,)</f>
        <v/>
      </c>
      <c r="C180" s="66">
        <f>B180/B179-1</f>
        <v/>
      </c>
      <c r="D180" s="66">
        <f>(Table1345[[#This Row],[Index]]-B168)/B168</f>
        <v/>
      </c>
    </row>
    <row r="181">
      <c r="A181" s="17" t="n">
        <v>31594</v>
      </c>
      <c r="B181" s="58">
        <f>VLOOKUP(Table1345[[#This Row],[Date]],database!A:I,9,)</f>
        <v/>
      </c>
      <c r="C181" s="66">
        <f>B181/B180-1</f>
        <v/>
      </c>
      <c r="D181" s="66">
        <f>(Table1345[[#This Row],[Index]]-B169)/B169</f>
        <v/>
      </c>
    </row>
    <row r="182">
      <c r="A182" s="17" t="n">
        <v>31625</v>
      </c>
      <c r="B182" s="58">
        <f>VLOOKUP(Table1345[[#This Row],[Date]],database!A:I,9,)</f>
        <v/>
      </c>
      <c r="C182" s="66">
        <f>B182/B181-1</f>
        <v/>
      </c>
      <c r="D182" s="66">
        <f>(Table1345[[#This Row],[Index]]-B170)/B170</f>
        <v/>
      </c>
    </row>
    <row r="183">
      <c r="A183" s="17" t="n">
        <v>31656</v>
      </c>
      <c r="B183" s="58">
        <f>VLOOKUP(Table1345[[#This Row],[Date]],database!A:I,9,)</f>
        <v/>
      </c>
      <c r="C183" s="66">
        <f>B183/B182-1</f>
        <v/>
      </c>
      <c r="D183" s="66">
        <f>(Table1345[[#This Row],[Index]]-B171)/B171</f>
        <v/>
      </c>
    </row>
    <row r="184">
      <c r="A184" s="17" t="n">
        <v>31686</v>
      </c>
      <c r="B184" s="58">
        <f>VLOOKUP(Table1345[[#This Row],[Date]],database!A:I,9,)</f>
        <v/>
      </c>
      <c r="C184" s="66">
        <f>B184/B183-1</f>
        <v/>
      </c>
      <c r="D184" s="66">
        <f>(Table1345[[#This Row],[Index]]-B172)/B172</f>
        <v/>
      </c>
    </row>
    <row r="185">
      <c r="A185" s="17" t="n">
        <v>31717</v>
      </c>
      <c r="B185" s="58">
        <f>VLOOKUP(Table1345[[#This Row],[Date]],database!A:I,9,)</f>
        <v/>
      </c>
      <c r="C185" s="66">
        <f>B185/B184-1</f>
        <v/>
      </c>
      <c r="D185" s="66">
        <f>(Table1345[[#This Row],[Index]]-B173)/B173</f>
        <v/>
      </c>
    </row>
    <row r="186">
      <c r="A186" s="17" t="n">
        <v>31747</v>
      </c>
      <c r="B186" s="58">
        <f>VLOOKUP(Table1345[[#This Row],[Date]],database!A:I,9,)</f>
        <v/>
      </c>
      <c r="C186" s="66">
        <f>B186/B185-1</f>
        <v/>
      </c>
      <c r="D186" s="66">
        <f>(Table1345[[#This Row],[Index]]-B174)/B174</f>
        <v/>
      </c>
    </row>
    <row r="187">
      <c r="A187" s="17" t="n">
        <v>31778</v>
      </c>
      <c r="B187" s="58">
        <f>VLOOKUP(Table1345[[#This Row],[Date]],database!A:I,9,)</f>
        <v/>
      </c>
      <c r="C187" s="66">
        <f>B187/B186-1</f>
        <v/>
      </c>
      <c r="D187" s="66">
        <f>(Table1345[[#This Row],[Index]]-B175)/B175</f>
        <v/>
      </c>
    </row>
    <row r="188">
      <c r="A188" s="17" t="n">
        <v>31809</v>
      </c>
      <c r="B188" s="58">
        <f>VLOOKUP(Table1345[[#This Row],[Date]],database!A:I,9,)</f>
        <v/>
      </c>
      <c r="C188" s="66">
        <f>B188/B187-1</f>
        <v/>
      </c>
      <c r="D188" s="66">
        <f>(Table1345[[#This Row],[Index]]-B176)/B176</f>
        <v/>
      </c>
    </row>
    <row r="189">
      <c r="A189" s="17" t="n">
        <v>31837</v>
      </c>
      <c r="B189" s="58">
        <f>VLOOKUP(Table1345[[#This Row],[Date]],database!A:I,9,)</f>
        <v/>
      </c>
      <c r="C189" s="66">
        <f>B189/B188-1</f>
        <v/>
      </c>
      <c r="D189" s="66">
        <f>(Table1345[[#This Row],[Index]]-B177)/B177</f>
        <v/>
      </c>
    </row>
    <row r="190">
      <c r="A190" s="17" t="n">
        <v>31868</v>
      </c>
      <c r="B190" s="58">
        <f>VLOOKUP(Table1345[[#This Row],[Date]],database!A:I,9,)</f>
        <v/>
      </c>
      <c r="C190" s="66">
        <f>B190/B189-1</f>
        <v/>
      </c>
      <c r="D190" s="66">
        <f>(Table1345[[#This Row],[Index]]-B178)/B178</f>
        <v/>
      </c>
    </row>
    <row r="191">
      <c r="A191" s="17" t="n">
        <v>31898</v>
      </c>
      <c r="B191" s="58">
        <f>VLOOKUP(Table1345[[#This Row],[Date]],database!A:I,9,)</f>
        <v/>
      </c>
      <c r="C191" s="66">
        <f>B191/B190-1</f>
        <v/>
      </c>
      <c r="D191" s="66">
        <f>(Table1345[[#This Row],[Index]]-B179)/B179</f>
        <v/>
      </c>
    </row>
    <row r="192">
      <c r="A192" s="17" t="n">
        <v>31929</v>
      </c>
      <c r="B192" s="58">
        <f>VLOOKUP(Table1345[[#This Row],[Date]],database!A:I,9,)</f>
        <v/>
      </c>
      <c r="C192" s="66">
        <f>B192/B191-1</f>
        <v/>
      </c>
      <c r="D192" s="66">
        <f>(Table1345[[#This Row],[Index]]-B180)/B180</f>
        <v/>
      </c>
    </row>
    <row r="193">
      <c r="A193" s="17" t="n">
        <v>31959</v>
      </c>
      <c r="B193" s="58">
        <f>VLOOKUP(Table1345[[#This Row],[Date]],database!A:I,9,)</f>
        <v/>
      </c>
      <c r="C193" s="66">
        <f>B193/B192-1</f>
        <v/>
      </c>
      <c r="D193" s="66">
        <f>(Table1345[[#This Row],[Index]]-B181)/B181</f>
        <v/>
      </c>
    </row>
    <row r="194">
      <c r="A194" s="17" t="n">
        <v>31990</v>
      </c>
      <c r="B194" s="58">
        <f>VLOOKUP(Table1345[[#This Row],[Date]],database!A:I,9,)</f>
        <v/>
      </c>
      <c r="C194" s="66">
        <f>B194/B193-1</f>
        <v/>
      </c>
      <c r="D194" s="66">
        <f>(Table1345[[#This Row],[Index]]-B182)/B182</f>
        <v/>
      </c>
    </row>
    <row r="195">
      <c r="A195" s="17" t="n">
        <v>32021</v>
      </c>
      <c r="B195" s="58">
        <f>VLOOKUP(Table1345[[#This Row],[Date]],database!A:I,9,)</f>
        <v/>
      </c>
      <c r="C195" s="66">
        <f>B195/B194-1</f>
        <v/>
      </c>
      <c r="D195" s="66">
        <f>(Table1345[[#This Row],[Index]]-B183)/B183</f>
        <v/>
      </c>
    </row>
    <row r="196">
      <c r="A196" s="17" t="n">
        <v>32051</v>
      </c>
      <c r="B196" s="58">
        <f>VLOOKUP(Table1345[[#This Row],[Date]],database!A:I,9,)</f>
        <v/>
      </c>
      <c r="C196" s="66">
        <f>B196/B195-1</f>
        <v/>
      </c>
      <c r="D196" s="66">
        <f>(Table1345[[#This Row],[Index]]-B184)/B184</f>
        <v/>
      </c>
    </row>
    <row r="197">
      <c r="A197" s="17" t="n">
        <v>32082</v>
      </c>
      <c r="B197" s="58">
        <f>VLOOKUP(Table1345[[#This Row],[Date]],database!A:I,9,)</f>
        <v/>
      </c>
      <c r="C197" s="66">
        <f>B197/B196-1</f>
        <v/>
      </c>
      <c r="D197" s="66">
        <f>(Table1345[[#This Row],[Index]]-B185)/B185</f>
        <v/>
      </c>
    </row>
    <row r="198">
      <c r="A198" s="17" t="n">
        <v>32112</v>
      </c>
      <c r="B198" s="58">
        <f>VLOOKUP(Table1345[[#This Row],[Date]],database!A:I,9,)</f>
        <v/>
      </c>
      <c r="C198" s="66">
        <f>B198/B197-1</f>
        <v/>
      </c>
      <c r="D198" s="66">
        <f>(Table1345[[#This Row],[Index]]-B186)/B186</f>
        <v/>
      </c>
    </row>
    <row r="199">
      <c r="A199" s="17" t="n">
        <v>32143</v>
      </c>
      <c r="B199" s="58">
        <f>VLOOKUP(Table1345[[#This Row],[Date]],database!A:I,9,)</f>
        <v/>
      </c>
      <c r="C199" s="66">
        <f>B199/B198-1</f>
        <v/>
      </c>
      <c r="D199" s="66">
        <f>(Table1345[[#This Row],[Index]]-B187)/B187</f>
        <v/>
      </c>
    </row>
    <row r="200">
      <c r="A200" s="17" t="n">
        <v>32174</v>
      </c>
      <c r="B200" s="58">
        <f>VLOOKUP(Table1345[[#This Row],[Date]],database!A:I,9,)</f>
        <v/>
      </c>
      <c r="C200" s="66">
        <f>B200/B199-1</f>
        <v/>
      </c>
      <c r="D200" s="66">
        <f>(Table1345[[#This Row],[Index]]-B188)/B188</f>
        <v/>
      </c>
    </row>
    <row r="201">
      <c r="A201" s="17" t="n">
        <v>32203</v>
      </c>
      <c r="B201" s="58">
        <f>VLOOKUP(Table1345[[#This Row],[Date]],database!A:I,9,)</f>
        <v/>
      </c>
      <c r="C201" s="66">
        <f>B201/B200-1</f>
        <v/>
      </c>
      <c r="D201" s="66">
        <f>(Table1345[[#This Row],[Index]]-B189)/B189</f>
        <v/>
      </c>
    </row>
    <row r="202">
      <c r="A202" s="17" t="n">
        <v>32234</v>
      </c>
      <c r="B202" s="58">
        <f>VLOOKUP(Table1345[[#This Row],[Date]],database!A:I,9,)</f>
        <v/>
      </c>
      <c r="C202" s="66">
        <f>B202/B201-1</f>
        <v/>
      </c>
      <c r="D202" s="66">
        <f>(Table1345[[#This Row],[Index]]-B190)/B190</f>
        <v/>
      </c>
    </row>
    <row r="203">
      <c r="A203" s="17" t="n">
        <v>32264</v>
      </c>
      <c r="B203" s="58">
        <f>VLOOKUP(Table1345[[#This Row],[Date]],database!A:I,9,)</f>
        <v/>
      </c>
      <c r="C203" s="66">
        <f>B203/B202-1</f>
        <v/>
      </c>
      <c r="D203" s="66">
        <f>(Table1345[[#This Row],[Index]]-B191)/B191</f>
        <v/>
      </c>
    </row>
    <row r="204">
      <c r="A204" s="17" t="n">
        <v>32295</v>
      </c>
      <c r="B204" s="58">
        <f>VLOOKUP(Table1345[[#This Row],[Date]],database!A:I,9,)</f>
        <v/>
      </c>
      <c r="C204" s="66">
        <f>B204/B203-1</f>
        <v/>
      </c>
      <c r="D204" s="66">
        <f>(Table1345[[#This Row],[Index]]-B192)/B192</f>
        <v/>
      </c>
    </row>
    <row r="205">
      <c r="A205" s="17" t="n">
        <v>32325</v>
      </c>
      <c r="B205" s="58">
        <f>VLOOKUP(Table1345[[#This Row],[Date]],database!A:I,9,)</f>
        <v/>
      </c>
      <c r="C205" s="66">
        <f>B205/B204-1</f>
        <v/>
      </c>
      <c r="D205" s="66">
        <f>(Table1345[[#This Row],[Index]]-B193)/B193</f>
        <v/>
      </c>
    </row>
    <row r="206">
      <c r="A206" s="17" t="n">
        <v>32356</v>
      </c>
      <c r="B206" s="58">
        <f>VLOOKUP(Table1345[[#This Row],[Date]],database!A:I,9,)</f>
        <v/>
      </c>
      <c r="C206" s="66">
        <f>B206/B205-1</f>
        <v/>
      </c>
      <c r="D206" s="66">
        <f>(Table1345[[#This Row],[Index]]-B194)/B194</f>
        <v/>
      </c>
    </row>
    <row r="207">
      <c r="A207" s="17" t="n">
        <v>32387</v>
      </c>
      <c r="B207" s="58">
        <f>VLOOKUP(Table1345[[#This Row],[Date]],database!A:I,9,)</f>
        <v/>
      </c>
      <c r="C207" s="66">
        <f>B207/B206-1</f>
        <v/>
      </c>
      <c r="D207" s="66">
        <f>(Table1345[[#This Row],[Index]]-B195)/B195</f>
        <v/>
      </c>
    </row>
    <row r="208">
      <c r="A208" s="17" t="n">
        <v>32417</v>
      </c>
      <c r="B208" s="58">
        <f>VLOOKUP(Table1345[[#This Row],[Date]],database!A:I,9,)</f>
        <v/>
      </c>
      <c r="C208" s="66">
        <f>B208/B207-1</f>
        <v/>
      </c>
      <c r="D208" s="66">
        <f>(Table1345[[#This Row],[Index]]-B196)/B196</f>
        <v/>
      </c>
    </row>
    <row r="209">
      <c r="A209" s="17" t="n">
        <v>32448</v>
      </c>
      <c r="B209" s="58">
        <f>VLOOKUP(Table1345[[#This Row],[Date]],database!A:I,9,)</f>
        <v/>
      </c>
      <c r="C209" s="66">
        <f>B209/B208-1</f>
        <v/>
      </c>
      <c r="D209" s="66">
        <f>(Table1345[[#This Row],[Index]]-B197)/B197</f>
        <v/>
      </c>
    </row>
    <row r="210">
      <c r="A210" s="17" t="n">
        <v>32478</v>
      </c>
      <c r="B210" s="58">
        <f>VLOOKUP(Table1345[[#This Row],[Date]],database!A:I,9,)</f>
        <v/>
      </c>
      <c r="C210" s="66">
        <f>B210/B209-1</f>
        <v/>
      </c>
      <c r="D210" s="66">
        <f>(Table1345[[#This Row],[Index]]-B198)/B198</f>
        <v/>
      </c>
    </row>
    <row r="211">
      <c r="A211" s="17" t="n">
        <v>32509</v>
      </c>
      <c r="B211" s="58">
        <f>VLOOKUP(Table1345[[#This Row],[Date]],database!A:I,9,)</f>
        <v/>
      </c>
      <c r="C211" s="66">
        <f>B211/B210-1</f>
        <v/>
      </c>
      <c r="D211" s="66">
        <f>(Table1345[[#This Row],[Index]]-B199)/B199</f>
        <v/>
      </c>
    </row>
    <row r="212">
      <c r="A212" s="17" t="n">
        <v>32540</v>
      </c>
      <c r="B212" s="58">
        <f>VLOOKUP(Table1345[[#This Row],[Date]],database!A:I,9,)</f>
        <v/>
      </c>
      <c r="C212" s="66">
        <f>B212/B211-1</f>
        <v/>
      </c>
      <c r="D212" s="66">
        <f>(Table1345[[#This Row],[Index]]-B200)/B200</f>
        <v/>
      </c>
    </row>
    <row r="213">
      <c r="A213" s="17" t="n">
        <v>32568</v>
      </c>
      <c r="B213" s="58">
        <f>VLOOKUP(Table1345[[#This Row],[Date]],database!A:I,9,)</f>
        <v/>
      </c>
      <c r="C213" s="66">
        <f>B213/B212-1</f>
        <v/>
      </c>
      <c r="D213" s="66">
        <f>(Table1345[[#This Row],[Index]]-B201)/B201</f>
        <v/>
      </c>
    </row>
    <row r="214">
      <c r="A214" s="17" t="n">
        <v>32599</v>
      </c>
      <c r="B214" s="58">
        <f>VLOOKUP(Table1345[[#This Row],[Date]],database!A:I,9,)</f>
        <v/>
      </c>
      <c r="C214" s="66">
        <f>B214/B213-1</f>
        <v/>
      </c>
      <c r="D214" s="66">
        <f>(Table1345[[#This Row],[Index]]-B202)/B202</f>
        <v/>
      </c>
    </row>
    <row r="215">
      <c r="A215" s="17" t="n">
        <v>32629</v>
      </c>
      <c r="B215" s="58">
        <f>VLOOKUP(Table1345[[#This Row],[Date]],database!A:I,9,)</f>
        <v/>
      </c>
      <c r="C215" s="66">
        <f>B215/B214-1</f>
        <v/>
      </c>
      <c r="D215" s="66">
        <f>(Table1345[[#This Row],[Index]]-B203)/B203</f>
        <v/>
      </c>
    </row>
    <row r="216">
      <c r="A216" s="17" t="n">
        <v>32660</v>
      </c>
      <c r="B216" s="58">
        <f>VLOOKUP(Table1345[[#This Row],[Date]],database!A:I,9,)</f>
        <v/>
      </c>
      <c r="C216" s="66">
        <f>B216/B215-1</f>
        <v/>
      </c>
      <c r="D216" s="66">
        <f>(Table1345[[#This Row],[Index]]-B204)/B204</f>
        <v/>
      </c>
    </row>
    <row r="217">
      <c r="A217" s="17" t="n">
        <v>32690</v>
      </c>
      <c r="B217" s="58">
        <f>VLOOKUP(Table1345[[#This Row],[Date]],database!A:I,9,)</f>
        <v/>
      </c>
      <c r="C217" s="66">
        <f>B217/B216-1</f>
        <v/>
      </c>
      <c r="D217" s="66">
        <f>(Table1345[[#This Row],[Index]]-B205)/B205</f>
        <v/>
      </c>
    </row>
    <row r="218">
      <c r="A218" s="17" t="n">
        <v>32721</v>
      </c>
      <c r="B218" s="58">
        <f>VLOOKUP(Table1345[[#This Row],[Date]],database!A:I,9,)</f>
        <v/>
      </c>
      <c r="C218" s="66">
        <f>B218/B217-1</f>
        <v/>
      </c>
      <c r="D218" s="66">
        <f>(Table1345[[#This Row],[Index]]-B206)/B206</f>
        <v/>
      </c>
    </row>
    <row r="219">
      <c r="A219" s="17" t="n">
        <v>32752</v>
      </c>
      <c r="B219" s="58">
        <f>VLOOKUP(Table1345[[#This Row],[Date]],database!A:I,9,)</f>
        <v/>
      </c>
      <c r="C219" s="66">
        <f>B219/B218-1</f>
        <v/>
      </c>
      <c r="D219" s="66">
        <f>(Table1345[[#This Row],[Index]]-B207)/B207</f>
        <v/>
      </c>
    </row>
    <row r="220">
      <c r="A220" s="17" t="n">
        <v>32782</v>
      </c>
      <c r="B220" s="58">
        <f>VLOOKUP(Table1345[[#This Row],[Date]],database!A:I,9,)</f>
        <v/>
      </c>
      <c r="C220" s="66">
        <f>B220/B219-1</f>
        <v/>
      </c>
      <c r="D220" s="66">
        <f>(Table1345[[#This Row],[Index]]-B208)/B208</f>
        <v/>
      </c>
    </row>
    <row r="221">
      <c r="A221" s="17" t="n">
        <v>32813</v>
      </c>
      <c r="B221" s="58">
        <f>VLOOKUP(Table1345[[#This Row],[Date]],database!A:I,9,)</f>
        <v/>
      </c>
      <c r="C221" s="66">
        <f>B221/B220-1</f>
        <v/>
      </c>
      <c r="D221" s="66">
        <f>(Table1345[[#This Row],[Index]]-B209)/B209</f>
        <v/>
      </c>
    </row>
    <row r="222">
      <c r="A222" s="17" t="n">
        <v>32843</v>
      </c>
      <c r="B222" s="58">
        <f>VLOOKUP(Table1345[[#This Row],[Date]],database!A:I,9,)</f>
        <v/>
      </c>
      <c r="C222" s="66">
        <f>B222/B221-1</f>
        <v/>
      </c>
      <c r="D222" s="66">
        <f>(Table1345[[#This Row],[Index]]-B210)/B210</f>
        <v/>
      </c>
    </row>
    <row r="223">
      <c r="A223" s="17" t="n">
        <v>32874</v>
      </c>
      <c r="B223" s="58">
        <f>VLOOKUP(Table1345[[#This Row],[Date]],database!A:I,9,)</f>
        <v/>
      </c>
      <c r="C223" s="66">
        <f>B223/B222-1</f>
        <v/>
      </c>
      <c r="D223" s="66">
        <f>(Table1345[[#This Row],[Index]]-B211)/B211</f>
        <v/>
      </c>
    </row>
    <row r="224">
      <c r="A224" s="17" t="n">
        <v>32905</v>
      </c>
      <c r="B224" s="58">
        <f>VLOOKUP(Table1345[[#This Row],[Date]],database!A:I,9,)</f>
        <v/>
      </c>
      <c r="C224" s="66">
        <f>B224/B223-1</f>
        <v/>
      </c>
      <c r="D224" s="66">
        <f>(Table1345[[#This Row],[Index]]-B212)/B212</f>
        <v/>
      </c>
    </row>
    <row r="225">
      <c r="A225" s="17" t="n">
        <v>32933</v>
      </c>
      <c r="B225" s="58">
        <f>VLOOKUP(Table1345[[#This Row],[Date]],database!A:I,9,)</f>
        <v/>
      </c>
      <c r="C225" s="66">
        <f>B225/B224-1</f>
        <v/>
      </c>
      <c r="D225" s="66">
        <f>(Table1345[[#This Row],[Index]]-B213)/B213</f>
        <v/>
      </c>
    </row>
    <row r="226">
      <c r="A226" s="17" t="n">
        <v>32964</v>
      </c>
      <c r="B226" s="58">
        <f>VLOOKUP(Table1345[[#This Row],[Date]],database!A:I,9,)</f>
        <v/>
      </c>
      <c r="C226" s="66">
        <f>B226/B225-1</f>
        <v/>
      </c>
      <c r="D226" s="66">
        <f>(Table1345[[#This Row],[Index]]-B214)/B214</f>
        <v/>
      </c>
    </row>
    <row r="227">
      <c r="A227" s="17" t="n">
        <v>32994</v>
      </c>
      <c r="B227" s="58">
        <f>VLOOKUP(Table1345[[#This Row],[Date]],database!A:I,9,)</f>
        <v/>
      </c>
      <c r="C227" s="66">
        <f>B227/B226-1</f>
        <v/>
      </c>
      <c r="D227" s="66">
        <f>(Table1345[[#This Row],[Index]]-B215)/B215</f>
        <v/>
      </c>
    </row>
    <row r="228">
      <c r="A228" s="17" t="n">
        <v>33025</v>
      </c>
      <c r="B228" s="58">
        <f>VLOOKUP(Table1345[[#This Row],[Date]],database!A:I,9,)</f>
        <v/>
      </c>
      <c r="C228" s="66">
        <f>B228/B227-1</f>
        <v/>
      </c>
      <c r="D228" s="66">
        <f>(Table1345[[#This Row],[Index]]-B216)/B216</f>
        <v/>
      </c>
    </row>
    <row r="229">
      <c r="A229" s="17" t="n">
        <v>33055</v>
      </c>
      <c r="B229" s="58">
        <f>VLOOKUP(Table1345[[#This Row],[Date]],database!A:I,9,)</f>
        <v/>
      </c>
      <c r="C229" s="66">
        <f>B229/B228-1</f>
        <v/>
      </c>
      <c r="D229" s="66">
        <f>(Table1345[[#This Row],[Index]]-B217)/B217</f>
        <v/>
      </c>
    </row>
    <row r="230">
      <c r="A230" s="17" t="n">
        <v>33086</v>
      </c>
      <c r="B230" s="58">
        <f>VLOOKUP(Table1345[[#This Row],[Date]],database!A:I,9,)</f>
        <v/>
      </c>
      <c r="C230" s="66">
        <f>B230/B229-1</f>
        <v/>
      </c>
      <c r="D230" s="66">
        <f>(Table1345[[#This Row],[Index]]-B218)/B218</f>
        <v/>
      </c>
    </row>
    <row r="231">
      <c r="A231" s="17" t="n">
        <v>33117</v>
      </c>
      <c r="B231" s="58">
        <f>VLOOKUP(Table1345[[#This Row],[Date]],database!A:I,9,)</f>
        <v/>
      </c>
      <c r="C231" s="66">
        <f>B231/B230-1</f>
        <v/>
      </c>
      <c r="D231" s="66">
        <f>(Table1345[[#This Row],[Index]]-B219)/B219</f>
        <v/>
      </c>
    </row>
    <row r="232">
      <c r="A232" s="17" t="n">
        <v>33147</v>
      </c>
      <c r="B232" s="58">
        <f>VLOOKUP(Table1345[[#This Row],[Date]],database!A:I,9,)</f>
        <v/>
      </c>
      <c r="C232" s="66">
        <f>B232/B231-1</f>
        <v/>
      </c>
      <c r="D232" s="66">
        <f>(Table1345[[#This Row],[Index]]-B220)/B220</f>
        <v/>
      </c>
    </row>
    <row r="233">
      <c r="A233" s="17" t="n">
        <v>33178</v>
      </c>
      <c r="B233" s="58">
        <f>VLOOKUP(Table1345[[#This Row],[Date]],database!A:I,9,)</f>
        <v/>
      </c>
      <c r="C233" s="66">
        <f>B233/B232-1</f>
        <v/>
      </c>
      <c r="D233" s="66">
        <f>(Table1345[[#This Row],[Index]]-B221)/B221</f>
        <v/>
      </c>
    </row>
    <row r="234">
      <c r="A234" s="17" t="n">
        <v>33208</v>
      </c>
      <c r="B234" s="58">
        <f>VLOOKUP(Table1345[[#This Row],[Date]],database!A:I,9,)</f>
        <v/>
      </c>
      <c r="C234" s="66">
        <f>B234/B233-1</f>
        <v/>
      </c>
      <c r="D234" s="66">
        <f>(Table1345[[#This Row],[Index]]-B222)/B222</f>
        <v/>
      </c>
    </row>
    <row r="235">
      <c r="A235" s="17" t="n">
        <v>33239</v>
      </c>
      <c r="B235" s="58">
        <f>VLOOKUP(Table1345[[#This Row],[Date]],database!A:I,9,)</f>
        <v/>
      </c>
      <c r="C235" s="66">
        <f>B235/B234-1</f>
        <v/>
      </c>
      <c r="D235" s="66">
        <f>(Table1345[[#This Row],[Index]]-B223)/B223</f>
        <v/>
      </c>
    </row>
    <row r="236">
      <c r="A236" s="17" t="n">
        <v>33270</v>
      </c>
      <c r="B236" s="58">
        <f>VLOOKUP(Table1345[[#This Row],[Date]],database!A:I,9,)</f>
        <v/>
      </c>
      <c r="C236" s="66">
        <f>B236/B235-1</f>
        <v/>
      </c>
      <c r="D236" s="66">
        <f>(Table1345[[#This Row],[Index]]-B224)/B224</f>
        <v/>
      </c>
    </row>
    <row r="237">
      <c r="A237" s="17" t="n">
        <v>33298</v>
      </c>
      <c r="B237" s="58">
        <f>VLOOKUP(Table1345[[#This Row],[Date]],database!A:I,9,)</f>
        <v/>
      </c>
      <c r="C237" s="66">
        <f>B237/B236-1</f>
        <v/>
      </c>
      <c r="D237" s="66">
        <f>(Table1345[[#This Row],[Index]]-B225)/B225</f>
        <v/>
      </c>
    </row>
    <row r="238">
      <c r="A238" s="17" t="n">
        <v>33329</v>
      </c>
      <c r="B238" s="58">
        <f>VLOOKUP(Table1345[[#This Row],[Date]],database!A:I,9,)</f>
        <v/>
      </c>
      <c r="C238" s="66">
        <f>B238/B237-1</f>
        <v/>
      </c>
      <c r="D238" s="66">
        <f>(Table1345[[#This Row],[Index]]-B226)/B226</f>
        <v/>
      </c>
    </row>
    <row r="239">
      <c r="A239" s="17" t="n">
        <v>33359</v>
      </c>
      <c r="B239" s="58">
        <f>VLOOKUP(Table1345[[#This Row],[Date]],database!A:I,9,)</f>
        <v/>
      </c>
      <c r="C239" s="66">
        <f>B239/B238-1</f>
        <v/>
      </c>
      <c r="D239" s="66">
        <f>(Table1345[[#This Row],[Index]]-B227)/B227</f>
        <v/>
      </c>
    </row>
    <row r="240">
      <c r="A240" s="17" t="n">
        <v>33390</v>
      </c>
      <c r="B240" s="58">
        <f>VLOOKUP(Table1345[[#This Row],[Date]],database!A:I,9,)</f>
        <v/>
      </c>
      <c r="C240" s="66">
        <f>B240/B239-1</f>
        <v/>
      </c>
      <c r="D240" s="66">
        <f>(Table1345[[#This Row],[Index]]-B228)/B228</f>
        <v/>
      </c>
    </row>
    <row r="241">
      <c r="A241" s="17" t="n">
        <v>33420</v>
      </c>
      <c r="B241" s="58">
        <f>VLOOKUP(Table1345[[#This Row],[Date]],database!A:I,9,)</f>
        <v/>
      </c>
      <c r="C241" s="66">
        <f>B241/B240-1</f>
        <v/>
      </c>
      <c r="D241" s="66">
        <f>(Table1345[[#This Row],[Index]]-B229)/B229</f>
        <v/>
      </c>
    </row>
    <row r="242">
      <c r="A242" s="17" t="n">
        <v>33451</v>
      </c>
      <c r="B242" s="58">
        <f>VLOOKUP(Table1345[[#This Row],[Date]],database!A:I,9,)</f>
        <v/>
      </c>
      <c r="C242" s="66">
        <f>B242/B241-1</f>
        <v/>
      </c>
      <c r="D242" s="66">
        <f>(Table1345[[#This Row],[Index]]-B230)/B230</f>
        <v/>
      </c>
    </row>
    <row r="243">
      <c r="A243" s="17" t="n">
        <v>33482</v>
      </c>
      <c r="B243" s="58">
        <f>VLOOKUP(Table1345[[#This Row],[Date]],database!A:I,9,)</f>
        <v/>
      </c>
      <c r="C243" s="66">
        <f>B243/B242-1</f>
        <v/>
      </c>
      <c r="D243" s="66">
        <f>(Table1345[[#This Row],[Index]]-B231)/B231</f>
        <v/>
      </c>
    </row>
    <row r="244">
      <c r="A244" s="17" t="n">
        <v>33512</v>
      </c>
      <c r="B244" s="58">
        <f>VLOOKUP(Table1345[[#This Row],[Date]],database!A:I,9,)</f>
        <v/>
      </c>
      <c r="C244" s="66">
        <f>B244/B243-1</f>
        <v/>
      </c>
      <c r="D244" s="66">
        <f>(Table1345[[#This Row],[Index]]-B232)/B232</f>
        <v/>
      </c>
    </row>
    <row r="245">
      <c r="A245" s="17" t="n">
        <v>33543</v>
      </c>
      <c r="B245" s="58">
        <f>VLOOKUP(Table1345[[#This Row],[Date]],database!A:I,9,)</f>
        <v/>
      </c>
      <c r="C245" s="66">
        <f>B245/B244-1</f>
        <v/>
      </c>
      <c r="D245" s="66">
        <f>(Table1345[[#This Row],[Index]]-B233)/B233</f>
        <v/>
      </c>
    </row>
    <row r="246">
      <c r="A246" s="17" t="n">
        <v>33573</v>
      </c>
      <c r="B246" s="58">
        <f>VLOOKUP(Table1345[[#This Row],[Date]],database!A:I,9,)</f>
        <v/>
      </c>
      <c r="C246" s="66">
        <f>B246/B245-1</f>
        <v/>
      </c>
      <c r="D246" s="66">
        <f>(Table1345[[#This Row],[Index]]-B234)/B234</f>
        <v/>
      </c>
    </row>
    <row r="247">
      <c r="A247" s="17" t="n">
        <v>33604</v>
      </c>
      <c r="B247" s="58">
        <f>VLOOKUP(Table1345[[#This Row],[Date]],database!A:I,9,)</f>
        <v/>
      </c>
      <c r="C247" s="66">
        <f>B247/B246-1</f>
        <v/>
      </c>
      <c r="D247" s="66">
        <f>(Table1345[[#This Row],[Index]]-B235)/B235</f>
        <v/>
      </c>
    </row>
    <row r="248">
      <c r="A248" s="17" t="n">
        <v>33635</v>
      </c>
      <c r="B248" s="58">
        <f>VLOOKUP(Table1345[[#This Row],[Date]],database!A:I,9,)</f>
        <v/>
      </c>
      <c r="C248" s="66">
        <f>B248/B247-1</f>
        <v/>
      </c>
      <c r="D248" s="66">
        <f>(Table1345[[#This Row],[Index]]-B236)/B236</f>
        <v/>
      </c>
    </row>
    <row r="249">
      <c r="A249" s="17" t="n">
        <v>33664</v>
      </c>
      <c r="B249" s="58">
        <f>VLOOKUP(Table1345[[#This Row],[Date]],database!A:I,9,)</f>
        <v/>
      </c>
      <c r="C249" s="66">
        <f>B249/B248-1</f>
        <v/>
      </c>
      <c r="D249" s="66">
        <f>(Table1345[[#This Row],[Index]]-B237)/B237</f>
        <v/>
      </c>
    </row>
    <row r="250">
      <c r="A250" s="17" t="n">
        <v>33695</v>
      </c>
      <c r="B250" s="58">
        <f>VLOOKUP(Table1345[[#This Row],[Date]],database!A:I,9,)</f>
        <v/>
      </c>
      <c r="C250" s="66">
        <f>B250/B249-1</f>
        <v/>
      </c>
      <c r="D250" s="66">
        <f>(Table1345[[#This Row],[Index]]-B238)/B238</f>
        <v/>
      </c>
    </row>
    <row r="251">
      <c r="A251" s="17" t="n">
        <v>33725</v>
      </c>
      <c r="B251" s="58">
        <f>VLOOKUP(Table1345[[#This Row],[Date]],database!A:I,9,)</f>
        <v/>
      </c>
      <c r="C251" s="66">
        <f>B251/B250-1</f>
        <v/>
      </c>
      <c r="D251" s="66">
        <f>(Table1345[[#This Row],[Index]]-B239)/B239</f>
        <v/>
      </c>
    </row>
    <row r="252">
      <c r="A252" s="17" t="n">
        <v>33756</v>
      </c>
      <c r="B252" s="58">
        <f>VLOOKUP(Table1345[[#This Row],[Date]],database!A:I,9,)</f>
        <v/>
      </c>
      <c r="C252" s="66">
        <f>B252/B251-1</f>
        <v/>
      </c>
      <c r="D252" s="66">
        <f>(Table1345[[#This Row],[Index]]-B240)/B240</f>
        <v/>
      </c>
    </row>
    <row r="253">
      <c r="A253" s="17" t="n">
        <v>33786</v>
      </c>
      <c r="B253" s="58">
        <f>VLOOKUP(Table1345[[#This Row],[Date]],database!A:I,9,)</f>
        <v/>
      </c>
      <c r="C253" s="66">
        <f>B253/B252-1</f>
        <v/>
      </c>
      <c r="D253" s="66">
        <f>(Table1345[[#This Row],[Index]]-B241)/B241</f>
        <v/>
      </c>
    </row>
    <row r="254">
      <c r="A254" s="17" t="n">
        <v>33817</v>
      </c>
      <c r="B254" s="58">
        <f>VLOOKUP(Table1345[[#This Row],[Date]],database!A:I,9,)</f>
        <v/>
      </c>
      <c r="C254" s="66">
        <f>B254/B253-1</f>
        <v/>
      </c>
      <c r="D254" s="66">
        <f>(Table1345[[#This Row],[Index]]-B242)/B242</f>
        <v/>
      </c>
    </row>
    <row r="255">
      <c r="A255" s="17" t="n">
        <v>33848</v>
      </c>
      <c r="B255" s="58">
        <f>VLOOKUP(Table1345[[#This Row],[Date]],database!A:I,9,)</f>
        <v/>
      </c>
      <c r="C255" s="66">
        <f>B255/B254-1</f>
        <v/>
      </c>
      <c r="D255" s="66">
        <f>(Table1345[[#This Row],[Index]]-B243)/B243</f>
        <v/>
      </c>
    </row>
    <row r="256">
      <c r="A256" s="17" t="n">
        <v>33878</v>
      </c>
      <c r="B256" s="58">
        <f>VLOOKUP(Table1345[[#This Row],[Date]],database!A:I,9,)</f>
        <v/>
      </c>
      <c r="C256" s="66">
        <f>B256/B255-1</f>
        <v/>
      </c>
      <c r="D256" s="66">
        <f>(Table1345[[#This Row],[Index]]-B244)/B244</f>
        <v/>
      </c>
    </row>
    <row r="257">
      <c r="A257" s="17" t="n">
        <v>33909</v>
      </c>
      <c r="B257" s="58">
        <f>VLOOKUP(Table1345[[#This Row],[Date]],database!A:I,9,)</f>
        <v/>
      </c>
      <c r="C257" s="66">
        <f>B257/B256-1</f>
        <v/>
      </c>
      <c r="D257" s="66">
        <f>(Table1345[[#This Row],[Index]]-B245)/B245</f>
        <v/>
      </c>
    </row>
    <row r="258">
      <c r="A258" s="17" t="n">
        <v>33939</v>
      </c>
      <c r="B258" s="58">
        <f>VLOOKUP(Table1345[[#This Row],[Date]],database!A:I,9,)</f>
        <v/>
      </c>
      <c r="C258" s="66">
        <f>B258/B257-1</f>
        <v/>
      </c>
      <c r="D258" s="66">
        <f>(Table1345[[#This Row],[Index]]-B246)/B246</f>
        <v/>
      </c>
    </row>
    <row r="259">
      <c r="A259" s="17" t="n">
        <v>33970</v>
      </c>
      <c r="B259" s="58">
        <f>VLOOKUP(Table1345[[#This Row],[Date]],database!A:I,9,)</f>
        <v/>
      </c>
      <c r="C259" s="66">
        <f>B259/B258-1</f>
        <v/>
      </c>
      <c r="D259" s="66">
        <f>(Table1345[[#This Row],[Index]]-B247)/B247</f>
        <v/>
      </c>
    </row>
    <row r="260">
      <c r="A260" s="17" t="n">
        <v>34001</v>
      </c>
      <c r="B260" s="58">
        <f>VLOOKUP(Table1345[[#This Row],[Date]],database!A:I,9,)</f>
        <v/>
      </c>
      <c r="C260" s="66">
        <f>B260/B259-1</f>
        <v/>
      </c>
      <c r="D260" s="66">
        <f>(Table1345[[#This Row],[Index]]-B248)/B248</f>
        <v/>
      </c>
    </row>
    <row r="261">
      <c r="A261" s="17" t="n">
        <v>34029</v>
      </c>
      <c r="B261" s="58">
        <f>VLOOKUP(Table1345[[#This Row],[Date]],database!A:I,9,)</f>
        <v/>
      </c>
      <c r="C261" s="66">
        <f>B261/B260-1</f>
        <v/>
      </c>
      <c r="D261" s="66">
        <f>(Table1345[[#This Row],[Index]]-B249)/B249</f>
        <v/>
      </c>
    </row>
    <row r="262">
      <c r="A262" s="17" t="n">
        <v>34060</v>
      </c>
      <c r="B262" s="58">
        <f>VLOOKUP(Table1345[[#This Row],[Date]],database!A:I,9,)</f>
        <v/>
      </c>
      <c r="C262" s="66">
        <f>B262/B261-1</f>
        <v/>
      </c>
      <c r="D262" s="66">
        <f>(Table1345[[#This Row],[Index]]-B250)/B250</f>
        <v/>
      </c>
    </row>
    <row r="263">
      <c r="A263" s="17" t="n">
        <v>34090</v>
      </c>
      <c r="B263" s="58">
        <f>VLOOKUP(Table1345[[#This Row],[Date]],database!A:I,9,)</f>
        <v/>
      </c>
      <c r="C263" s="66">
        <f>B263/B262-1</f>
        <v/>
      </c>
      <c r="D263" s="66">
        <f>(Table1345[[#This Row],[Index]]-B251)/B251</f>
        <v/>
      </c>
    </row>
    <row r="264">
      <c r="A264" s="17" t="n">
        <v>34121</v>
      </c>
      <c r="B264" s="58">
        <f>VLOOKUP(Table1345[[#This Row],[Date]],database!A:I,9,)</f>
        <v/>
      </c>
      <c r="C264" s="66">
        <f>B264/B263-1</f>
        <v/>
      </c>
      <c r="D264" s="66">
        <f>(Table1345[[#This Row],[Index]]-B252)/B252</f>
        <v/>
      </c>
    </row>
    <row r="265">
      <c r="A265" s="17" t="n">
        <v>34151</v>
      </c>
      <c r="B265" s="58">
        <f>VLOOKUP(Table1345[[#This Row],[Date]],database!A:I,9,)</f>
        <v/>
      </c>
      <c r="C265" s="66">
        <f>B265/B264-1</f>
        <v/>
      </c>
      <c r="D265" s="66">
        <f>(Table1345[[#This Row],[Index]]-B253)/B253</f>
        <v/>
      </c>
    </row>
    <row r="266">
      <c r="A266" s="17" t="n">
        <v>34182</v>
      </c>
      <c r="B266" s="58">
        <f>VLOOKUP(Table1345[[#This Row],[Date]],database!A:I,9,)</f>
        <v/>
      </c>
      <c r="C266" s="66">
        <f>B266/B265-1</f>
        <v/>
      </c>
      <c r="D266" s="66">
        <f>(Table1345[[#This Row],[Index]]-B254)/B254</f>
        <v/>
      </c>
    </row>
    <row r="267">
      <c r="A267" s="17" t="n">
        <v>34213</v>
      </c>
      <c r="B267" s="58">
        <f>VLOOKUP(Table1345[[#This Row],[Date]],database!A:I,9,)</f>
        <v/>
      </c>
      <c r="C267" s="66">
        <f>B267/B266-1</f>
        <v/>
      </c>
      <c r="D267" s="66">
        <f>(Table1345[[#This Row],[Index]]-B255)/B255</f>
        <v/>
      </c>
    </row>
    <row r="268">
      <c r="A268" s="17" t="n">
        <v>34243</v>
      </c>
      <c r="B268" s="58">
        <f>VLOOKUP(Table1345[[#This Row],[Date]],database!A:I,9,)</f>
        <v/>
      </c>
      <c r="C268" s="66">
        <f>B268/B267-1</f>
        <v/>
      </c>
      <c r="D268" s="66">
        <f>(Table1345[[#This Row],[Index]]-B256)/B256</f>
        <v/>
      </c>
    </row>
    <row r="269">
      <c r="A269" s="17" t="n">
        <v>34274</v>
      </c>
      <c r="B269" s="58">
        <f>VLOOKUP(Table1345[[#This Row],[Date]],database!A:I,9,)</f>
        <v/>
      </c>
      <c r="C269" s="66">
        <f>B269/B268-1</f>
        <v/>
      </c>
      <c r="D269" s="66">
        <f>(Table1345[[#This Row],[Index]]-B257)/B257</f>
        <v/>
      </c>
    </row>
    <row r="270">
      <c r="A270" s="17" t="n">
        <v>34304</v>
      </c>
      <c r="B270" s="58">
        <f>VLOOKUP(Table1345[[#This Row],[Date]],database!A:I,9,)</f>
        <v/>
      </c>
      <c r="C270" s="66">
        <f>B270/B269-1</f>
        <v/>
      </c>
      <c r="D270" s="66">
        <f>(Table1345[[#This Row],[Index]]-B258)/B258</f>
        <v/>
      </c>
    </row>
    <row r="271">
      <c r="A271" s="17" t="n">
        <v>34335</v>
      </c>
      <c r="B271" s="58">
        <f>VLOOKUP(Table1345[[#This Row],[Date]],database!A:I,9,)</f>
        <v/>
      </c>
      <c r="C271" s="66">
        <f>B271/B270-1</f>
        <v/>
      </c>
      <c r="D271" s="66">
        <f>(Table1345[[#This Row],[Index]]-B259)/B259</f>
        <v/>
      </c>
    </row>
    <row r="272">
      <c r="A272" s="17" t="n">
        <v>34366</v>
      </c>
      <c r="B272" s="58">
        <f>VLOOKUP(Table1345[[#This Row],[Date]],database!A:I,9,)</f>
        <v/>
      </c>
      <c r="C272" s="66">
        <f>B272/B271-1</f>
        <v/>
      </c>
      <c r="D272" s="66">
        <f>(Table1345[[#This Row],[Index]]-B260)/B260</f>
        <v/>
      </c>
    </row>
    <row r="273">
      <c r="A273" s="17" t="n">
        <v>34394</v>
      </c>
      <c r="B273" s="58">
        <f>VLOOKUP(Table1345[[#This Row],[Date]],database!A:I,9,)</f>
        <v/>
      </c>
      <c r="C273" s="66">
        <f>B273/B272-1</f>
        <v/>
      </c>
      <c r="D273" s="66">
        <f>(Table1345[[#This Row],[Index]]-B261)/B261</f>
        <v/>
      </c>
    </row>
    <row r="274">
      <c r="A274" s="17" t="n">
        <v>34425</v>
      </c>
      <c r="B274" s="58">
        <f>VLOOKUP(Table1345[[#This Row],[Date]],database!A:I,9,)</f>
        <v/>
      </c>
      <c r="C274" s="66">
        <f>B274/B273-1</f>
        <v/>
      </c>
      <c r="D274" s="66">
        <f>(Table1345[[#This Row],[Index]]-B262)/B262</f>
        <v/>
      </c>
    </row>
    <row r="275">
      <c r="A275" s="17" t="n">
        <v>34455</v>
      </c>
      <c r="B275" s="58">
        <f>VLOOKUP(Table1345[[#This Row],[Date]],database!A:I,9,)</f>
        <v/>
      </c>
      <c r="C275" s="66">
        <f>B275/B274-1</f>
        <v/>
      </c>
      <c r="D275" s="66">
        <f>(Table1345[[#This Row],[Index]]-B263)/B263</f>
        <v/>
      </c>
    </row>
    <row r="276">
      <c r="A276" s="17" t="n">
        <v>34486</v>
      </c>
      <c r="B276" s="58">
        <f>VLOOKUP(Table1345[[#This Row],[Date]],database!A:I,9,)</f>
        <v/>
      </c>
      <c r="C276" s="66">
        <f>B276/B275-1</f>
        <v/>
      </c>
      <c r="D276" s="66">
        <f>(Table1345[[#This Row],[Index]]-B264)/B264</f>
        <v/>
      </c>
    </row>
    <row r="277">
      <c r="A277" s="17" t="n">
        <v>34516</v>
      </c>
      <c r="B277" s="58">
        <f>VLOOKUP(Table1345[[#This Row],[Date]],database!A:I,9,)</f>
        <v/>
      </c>
      <c r="C277" s="66">
        <f>B277/B276-1</f>
        <v/>
      </c>
      <c r="D277" s="66">
        <f>(Table1345[[#This Row],[Index]]-B265)/B265</f>
        <v/>
      </c>
    </row>
    <row r="278">
      <c r="A278" s="17" t="n">
        <v>34547</v>
      </c>
      <c r="B278" s="58">
        <f>VLOOKUP(Table1345[[#This Row],[Date]],database!A:I,9,)</f>
        <v/>
      </c>
      <c r="C278" s="66">
        <f>B278/B277-1</f>
        <v/>
      </c>
      <c r="D278" s="66">
        <f>(Table1345[[#This Row],[Index]]-B266)/B266</f>
        <v/>
      </c>
    </row>
    <row r="279">
      <c r="A279" s="17" t="n">
        <v>34578</v>
      </c>
      <c r="B279" s="58">
        <f>VLOOKUP(Table1345[[#This Row],[Date]],database!A:I,9,)</f>
        <v/>
      </c>
      <c r="C279" s="66">
        <f>B279/B278-1</f>
        <v/>
      </c>
      <c r="D279" s="66">
        <f>(Table1345[[#This Row],[Index]]-B267)/B267</f>
        <v/>
      </c>
    </row>
    <row r="280">
      <c r="A280" s="17" t="n">
        <v>34608</v>
      </c>
      <c r="B280" s="58">
        <f>VLOOKUP(Table1345[[#This Row],[Date]],database!A:I,9,)</f>
        <v/>
      </c>
      <c r="C280" s="66">
        <f>B280/B279-1</f>
        <v/>
      </c>
      <c r="D280" s="66">
        <f>(Table1345[[#This Row],[Index]]-B268)/B268</f>
        <v/>
      </c>
    </row>
    <row r="281">
      <c r="A281" s="17" t="n">
        <v>34639</v>
      </c>
      <c r="B281" s="58">
        <f>VLOOKUP(Table1345[[#This Row],[Date]],database!A:I,9,)</f>
        <v/>
      </c>
      <c r="C281" s="66">
        <f>B281/B280-1</f>
        <v/>
      </c>
      <c r="D281" s="66">
        <f>(Table1345[[#This Row],[Index]]-B269)/B269</f>
        <v/>
      </c>
    </row>
    <row r="282">
      <c r="A282" s="17" t="n">
        <v>34669</v>
      </c>
      <c r="B282" s="58">
        <f>VLOOKUP(Table1345[[#This Row],[Date]],database!A:I,9,)</f>
        <v/>
      </c>
      <c r="C282" s="66">
        <f>B282/B281-1</f>
        <v/>
      </c>
      <c r="D282" s="66">
        <f>(Table1345[[#This Row],[Index]]-B270)/B270</f>
        <v/>
      </c>
    </row>
    <row r="283">
      <c r="A283" s="17" t="n">
        <v>34700</v>
      </c>
      <c r="B283" s="58">
        <f>VLOOKUP(Table1345[[#This Row],[Date]],database!A:I,9,)</f>
        <v/>
      </c>
      <c r="C283" s="66">
        <f>B283/B282-1</f>
        <v/>
      </c>
      <c r="D283" s="66">
        <f>(Table1345[[#This Row],[Index]]-B271)/B271</f>
        <v/>
      </c>
    </row>
    <row r="284">
      <c r="A284" s="17" t="n">
        <v>34731</v>
      </c>
      <c r="B284" s="58">
        <f>VLOOKUP(Table1345[[#This Row],[Date]],database!A:I,9,)</f>
        <v/>
      </c>
      <c r="C284" s="66">
        <f>B284/B283-1</f>
        <v/>
      </c>
      <c r="D284" s="66">
        <f>(Table1345[[#This Row],[Index]]-B272)/B272</f>
        <v/>
      </c>
    </row>
    <row r="285">
      <c r="A285" s="17" t="n">
        <v>34759</v>
      </c>
      <c r="B285" s="58">
        <f>VLOOKUP(Table1345[[#This Row],[Date]],database!A:I,9,)</f>
        <v/>
      </c>
      <c r="C285" s="66">
        <f>B285/B284-1</f>
        <v/>
      </c>
      <c r="D285" s="66">
        <f>(Table1345[[#This Row],[Index]]-B273)/B273</f>
        <v/>
      </c>
    </row>
    <row r="286">
      <c r="A286" s="17" t="n">
        <v>34790</v>
      </c>
      <c r="B286" s="58">
        <f>VLOOKUP(Table1345[[#This Row],[Date]],database!A:I,9,)</f>
        <v/>
      </c>
      <c r="C286" s="66">
        <f>B286/B285-1</f>
        <v/>
      </c>
      <c r="D286" s="66">
        <f>(Table1345[[#This Row],[Index]]-B274)/B274</f>
        <v/>
      </c>
    </row>
    <row r="287">
      <c r="A287" s="17" t="n">
        <v>34820</v>
      </c>
      <c r="B287" s="58">
        <f>VLOOKUP(Table1345[[#This Row],[Date]],database!A:I,9,)</f>
        <v/>
      </c>
      <c r="C287" s="66">
        <f>B287/B286-1</f>
        <v/>
      </c>
      <c r="D287" s="66">
        <f>(Table1345[[#This Row],[Index]]-B275)/B275</f>
        <v/>
      </c>
    </row>
    <row r="288">
      <c r="A288" s="17" t="n">
        <v>34851</v>
      </c>
      <c r="B288" s="58">
        <f>VLOOKUP(Table1345[[#This Row],[Date]],database!A:I,9,)</f>
        <v/>
      </c>
      <c r="C288" s="66">
        <f>B288/B287-1</f>
        <v/>
      </c>
      <c r="D288" s="66">
        <f>(Table1345[[#This Row],[Index]]-B276)/B276</f>
        <v/>
      </c>
    </row>
    <row r="289">
      <c r="A289" s="17" t="n">
        <v>34881</v>
      </c>
      <c r="B289" s="58">
        <f>VLOOKUP(Table1345[[#This Row],[Date]],database!A:I,9,)</f>
        <v/>
      </c>
      <c r="C289" s="66">
        <f>B289/B288-1</f>
        <v/>
      </c>
      <c r="D289" s="66">
        <f>(Table1345[[#This Row],[Index]]-B277)/B277</f>
        <v/>
      </c>
    </row>
    <row r="290">
      <c r="A290" s="17" t="n">
        <v>34912</v>
      </c>
      <c r="B290" s="58">
        <f>VLOOKUP(Table1345[[#This Row],[Date]],database!A:I,9,)</f>
        <v/>
      </c>
      <c r="C290" s="66">
        <f>B290/B289-1</f>
        <v/>
      </c>
      <c r="D290" s="66">
        <f>(Table1345[[#This Row],[Index]]-B278)/B278</f>
        <v/>
      </c>
    </row>
    <row r="291">
      <c r="A291" s="17" t="n">
        <v>34943</v>
      </c>
      <c r="B291" s="58">
        <f>VLOOKUP(Table1345[[#This Row],[Date]],database!A:I,9,)</f>
        <v/>
      </c>
      <c r="C291" s="66">
        <f>B291/B290-1</f>
        <v/>
      </c>
      <c r="D291" s="66">
        <f>(Table1345[[#This Row],[Index]]-B279)/B279</f>
        <v/>
      </c>
    </row>
    <row r="292">
      <c r="A292" s="17" t="n">
        <v>34973</v>
      </c>
      <c r="B292" s="58">
        <f>VLOOKUP(Table1345[[#This Row],[Date]],database!A:I,9,)</f>
        <v/>
      </c>
      <c r="C292" s="66">
        <f>B292/B291-1</f>
        <v/>
      </c>
      <c r="D292" s="66">
        <f>(Table1345[[#This Row],[Index]]-B280)/B280</f>
        <v/>
      </c>
    </row>
    <row r="293">
      <c r="A293" s="17" t="n">
        <v>35004</v>
      </c>
      <c r="B293" s="58">
        <f>VLOOKUP(Table1345[[#This Row],[Date]],database!A:I,9,)</f>
        <v/>
      </c>
      <c r="C293" s="66">
        <f>B293/B292-1</f>
        <v/>
      </c>
      <c r="D293" s="66">
        <f>(Table1345[[#This Row],[Index]]-B281)/B281</f>
        <v/>
      </c>
    </row>
    <row r="294">
      <c r="A294" s="17" t="n">
        <v>35034</v>
      </c>
      <c r="B294" s="58">
        <f>VLOOKUP(Table1345[[#This Row],[Date]],database!A:I,9,)</f>
        <v/>
      </c>
      <c r="C294" s="66">
        <f>B294/B293-1</f>
        <v/>
      </c>
      <c r="D294" s="66">
        <f>(Table1345[[#This Row],[Index]]-B282)/B282</f>
        <v/>
      </c>
    </row>
    <row r="295">
      <c r="A295" s="17" t="n">
        <v>35065</v>
      </c>
      <c r="B295" s="58">
        <f>VLOOKUP(Table1345[[#This Row],[Date]],database!A:I,9,)</f>
        <v/>
      </c>
      <c r="C295" s="66">
        <f>B295/B294-1</f>
        <v/>
      </c>
      <c r="D295" s="66">
        <f>(Table1345[[#This Row],[Index]]-B283)/B283</f>
        <v/>
      </c>
    </row>
    <row r="296">
      <c r="A296" s="17" t="n">
        <v>35096</v>
      </c>
      <c r="B296" s="58">
        <f>VLOOKUP(Table1345[[#This Row],[Date]],database!A:I,9,)</f>
        <v/>
      </c>
      <c r="C296" s="66">
        <f>B296/B295-1</f>
        <v/>
      </c>
      <c r="D296" s="66">
        <f>(Table1345[[#This Row],[Index]]-B284)/B284</f>
        <v/>
      </c>
    </row>
    <row r="297">
      <c r="A297" s="17" t="n">
        <v>35125</v>
      </c>
      <c r="B297" s="58">
        <f>VLOOKUP(Table1345[[#This Row],[Date]],database!A:I,9,)</f>
        <v/>
      </c>
      <c r="C297" s="66">
        <f>B297/B296-1</f>
        <v/>
      </c>
      <c r="D297" s="66">
        <f>(Table1345[[#This Row],[Index]]-B285)/B285</f>
        <v/>
      </c>
    </row>
    <row r="298">
      <c r="A298" s="17" t="n">
        <v>35156</v>
      </c>
      <c r="B298" s="58">
        <f>VLOOKUP(Table1345[[#This Row],[Date]],database!A:I,9,)</f>
        <v/>
      </c>
      <c r="C298" s="66">
        <f>B298/B297-1</f>
        <v/>
      </c>
      <c r="D298" s="66">
        <f>(Table1345[[#This Row],[Index]]-B286)/B286</f>
        <v/>
      </c>
    </row>
    <row r="299">
      <c r="A299" s="17" t="n">
        <v>35186</v>
      </c>
      <c r="B299" s="58">
        <f>VLOOKUP(Table1345[[#This Row],[Date]],database!A:I,9,)</f>
        <v/>
      </c>
      <c r="C299" s="66">
        <f>B299/B298-1</f>
        <v/>
      </c>
      <c r="D299" s="66">
        <f>(Table1345[[#This Row],[Index]]-B287)/B287</f>
        <v/>
      </c>
    </row>
    <row r="300">
      <c r="A300" s="17" t="n">
        <v>35217</v>
      </c>
      <c r="B300" s="58">
        <f>VLOOKUP(Table1345[[#This Row],[Date]],database!A:I,9,)</f>
        <v/>
      </c>
      <c r="C300" s="66">
        <f>B300/B299-1</f>
        <v/>
      </c>
      <c r="D300" s="66">
        <f>(Table1345[[#This Row],[Index]]-B288)/B288</f>
        <v/>
      </c>
    </row>
    <row r="301">
      <c r="A301" s="17" t="n">
        <v>35247</v>
      </c>
      <c r="B301" s="58">
        <f>VLOOKUP(Table1345[[#This Row],[Date]],database!A:I,9,)</f>
        <v/>
      </c>
      <c r="C301" s="66">
        <f>B301/B300-1</f>
        <v/>
      </c>
      <c r="D301" s="66">
        <f>(Table1345[[#This Row],[Index]]-B289)/B289</f>
        <v/>
      </c>
    </row>
    <row r="302">
      <c r="A302" s="17" t="n">
        <v>35278</v>
      </c>
      <c r="B302" s="58">
        <f>VLOOKUP(Table1345[[#This Row],[Date]],database!A:I,9,)</f>
        <v/>
      </c>
      <c r="C302" s="66">
        <f>B302/B301-1</f>
        <v/>
      </c>
      <c r="D302" s="66">
        <f>(Table1345[[#This Row],[Index]]-B290)/B290</f>
        <v/>
      </c>
    </row>
    <row r="303">
      <c r="A303" s="17" t="n">
        <v>35309</v>
      </c>
      <c r="B303" s="58">
        <f>VLOOKUP(Table1345[[#This Row],[Date]],database!A:I,9,)</f>
        <v/>
      </c>
      <c r="C303" s="66">
        <f>B303/B302-1</f>
        <v/>
      </c>
      <c r="D303" s="66">
        <f>(Table1345[[#This Row],[Index]]-B291)/B291</f>
        <v/>
      </c>
    </row>
    <row r="304">
      <c r="A304" s="17" t="n">
        <v>35339</v>
      </c>
      <c r="B304" s="58">
        <f>VLOOKUP(Table1345[[#This Row],[Date]],database!A:I,9,)</f>
        <v/>
      </c>
      <c r="C304" s="66">
        <f>B304/B303-1</f>
        <v/>
      </c>
      <c r="D304" s="66">
        <f>(Table1345[[#This Row],[Index]]-B292)/B292</f>
        <v/>
      </c>
    </row>
    <row r="305">
      <c r="A305" s="17" t="n">
        <v>35370</v>
      </c>
      <c r="B305" s="58">
        <f>VLOOKUP(Table1345[[#This Row],[Date]],database!A:I,9,)</f>
        <v/>
      </c>
      <c r="C305" s="66">
        <f>B305/B304-1</f>
        <v/>
      </c>
      <c r="D305" s="66">
        <f>(Table1345[[#This Row],[Index]]-B293)/B293</f>
        <v/>
      </c>
    </row>
    <row r="306">
      <c r="A306" s="17" t="n">
        <v>35400</v>
      </c>
      <c r="B306" s="58">
        <f>VLOOKUP(Table1345[[#This Row],[Date]],database!A:I,9,)</f>
        <v/>
      </c>
      <c r="C306" s="66">
        <f>B306/B305-1</f>
        <v/>
      </c>
      <c r="D306" s="66">
        <f>(Table1345[[#This Row],[Index]]-B294)/B294</f>
        <v/>
      </c>
    </row>
    <row r="307">
      <c r="A307" s="17" t="n">
        <v>35431</v>
      </c>
      <c r="B307" s="58">
        <f>VLOOKUP(Table1345[[#This Row],[Date]],database!A:I,9,)</f>
        <v/>
      </c>
      <c r="C307" s="66">
        <f>B307/B306-1</f>
        <v/>
      </c>
      <c r="D307" s="66">
        <f>(Table1345[[#This Row],[Index]]-B295)/B295</f>
        <v/>
      </c>
    </row>
    <row r="308">
      <c r="A308" s="17" t="n">
        <v>35462</v>
      </c>
      <c r="B308" s="58">
        <f>VLOOKUP(Table1345[[#This Row],[Date]],database!A:I,9,)</f>
        <v/>
      </c>
      <c r="C308" s="66">
        <f>B308/B307-1</f>
        <v/>
      </c>
      <c r="D308" s="66">
        <f>(Table1345[[#This Row],[Index]]-B296)/B296</f>
        <v/>
      </c>
    </row>
    <row r="309">
      <c r="A309" s="17" t="n">
        <v>35490</v>
      </c>
      <c r="B309" s="58">
        <f>VLOOKUP(Table1345[[#This Row],[Date]],database!A:I,9,)</f>
        <v/>
      </c>
      <c r="C309" s="66">
        <f>B309/B308-1</f>
        <v/>
      </c>
      <c r="D309" s="66">
        <f>(Table1345[[#This Row],[Index]]-B297)/B297</f>
        <v/>
      </c>
    </row>
    <row r="310">
      <c r="A310" s="17" t="n">
        <v>35521</v>
      </c>
      <c r="B310" s="58">
        <f>VLOOKUP(Table1345[[#This Row],[Date]],database!A:I,9,)</f>
        <v/>
      </c>
      <c r="C310" s="66">
        <f>B310/B309-1</f>
        <v/>
      </c>
      <c r="D310" s="66">
        <f>(Table1345[[#This Row],[Index]]-B298)/B298</f>
        <v/>
      </c>
    </row>
    <row r="311">
      <c r="A311" s="17" t="n">
        <v>35551</v>
      </c>
      <c r="B311" s="58">
        <f>VLOOKUP(Table1345[[#This Row],[Date]],database!A:I,9,)</f>
        <v/>
      </c>
      <c r="C311" s="66">
        <f>B311/B310-1</f>
        <v/>
      </c>
      <c r="D311" s="66">
        <f>(Table1345[[#This Row],[Index]]-B299)/B299</f>
        <v/>
      </c>
    </row>
    <row r="312">
      <c r="A312" s="17" t="n">
        <v>35582</v>
      </c>
      <c r="B312" s="58">
        <f>VLOOKUP(Table1345[[#This Row],[Date]],database!A:I,9,)</f>
        <v/>
      </c>
      <c r="C312" s="66">
        <f>B312/B311-1</f>
        <v/>
      </c>
      <c r="D312" s="66">
        <f>(Table1345[[#This Row],[Index]]-B300)/B300</f>
        <v/>
      </c>
    </row>
    <row r="313">
      <c r="A313" s="17" t="n">
        <v>35612</v>
      </c>
      <c r="B313" s="58">
        <f>VLOOKUP(Table1345[[#This Row],[Date]],database!A:I,9,)</f>
        <v/>
      </c>
      <c r="C313" s="66">
        <f>B313/B312-1</f>
        <v/>
      </c>
      <c r="D313" s="66">
        <f>(Table1345[[#This Row],[Index]]-B301)/B301</f>
        <v/>
      </c>
    </row>
    <row r="314">
      <c r="A314" s="17" t="n">
        <v>35643</v>
      </c>
      <c r="B314" s="58">
        <f>VLOOKUP(Table1345[[#This Row],[Date]],database!A:I,9,)</f>
        <v/>
      </c>
      <c r="C314" s="66">
        <f>B314/B313-1</f>
        <v/>
      </c>
      <c r="D314" s="66">
        <f>(Table1345[[#This Row],[Index]]-B302)/B302</f>
        <v/>
      </c>
    </row>
    <row r="315">
      <c r="A315" s="17" t="n">
        <v>35674</v>
      </c>
      <c r="B315" s="58">
        <f>VLOOKUP(Table1345[[#This Row],[Date]],database!A:I,9,)</f>
        <v/>
      </c>
      <c r="C315" s="66">
        <f>B315/B314-1</f>
        <v/>
      </c>
      <c r="D315" s="66">
        <f>(Table1345[[#This Row],[Index]]-B303)/B303</f>
        <v/>
      </c>
    </row>
    <row r="316">
      <c r="A316" s="17" t="n">
        <v>35704</v>
      </c>
      <c r="B316" s="58">
        <f>VLOOKUP(Table1345[[#This Row],[Date]],database!A:I,9,)</f>
        <v/>
      </c>
      <c r="C316" s="66">
        <f>B316/B315-1</f>
        <v/>
      </c>
      <c r="D316" s="66">
        <f>(Table1345[[#This Row],[Index]]-B304)/B304</f>
        <v/>
      </c>
    </row>
    <row r="317">
      <c r="A317" s="17" t="n">
        <v>35735</v>
      </c>
      <c r="B317" s="58">
        <f>VLOOKUP(Table1345[[#This Row],[Date]],database!A:I,9,)</f>
        <v/>
      </c>
      <c r="C317" s="66">
        <f>B317/B316-1</f>
        <v/>
      </c>
      <c r="D317" s="66">
        <f>(Table1345[[#This Row],[Index]]-B305)/B305</f>
        <v/>
      </c>
    </row>
    <row r="318">
      <c r="A318" s="17" t="n">
        <v>35765</v>
      </c>
      <c r="B318" s="58">
        <f>VLOOKUP(Table1345[[#This Row],[Date]],database!A:I,9,)</f>
        <v/>
      </c>
      <c r="C318" s="66">
        <f>B318/B317-1</f>
        <v/>
      </c>
      <c r="D318" s="66">
        <f>(Table1345[[#This Row],[Index]]-B306)/B306</f>
        <v/>
      </c>
    </row>
    <row r="319">
      <c r="A319" s="17" t="n">
        <v>35796</v>
      </c>
      <c r="B319" s="58">
        <f>VLOOKUP(Table1345[[#This Row],[Date]],database!A:I,9,)</f>
        <v/>
      </c>
      <c r="C319" s="66">
        <f>B319/B318-1</f>
        <v/>
      </c>
      <c r="D319" s="66">
        <f>(Table1345[[#This Row],[Index]]-B307)/B307</f>
        <v/>
      </c>
    </row>
    <row r="320">
      <c r="A320" s="17" t="n">
        <v>35827</v>
      </c>
      <c r="B320" s="58">
        <f>VLOOKUP(Table1345[[#This Row],[Date]],database!A:I,9,)</f>
        <v/>
      </c>
      <c r="C320" s="66">
        <f>B320/B319-1</f>
        <v/>
      </c>
      <c r="D320" s="66">
        <f>(Table1345[[#This Row],[Index]]-B308)/B308</f>
        <v/>
      </c>
    </row>
    <row r="321">
      <c r="A321" s="17" t="n">
        <v>35855</v>
      </c>
      <c r="B321" s="58">
        <f>VLOOKUP(Table1345[[#This Row],[Date]],database!A:I,9,)</f>
        <v/>
      </c>
      <c r="C321" s="66">
        <f>B321/B320-1</f>
        <v/>
      </c>
      <c r="D321" s="66">
        <f>(Table1345[[#This Row],[Index]]-B309)/B309</f>
        <v/>
      </c>
    </row>
    <row r="322">
      <c r="A322" s="17" t="n">
        <v>35886</v>
      </c>
      <c r="B322" s="58">
        <f>VLOOKUP(Table1345[[#This Row],[Date]],database!A:I,9,)</f>
        <v/>
      </c>
      <c r="C322" s="66">
        <f>B322/B321-1</f>
        <v/>
      </c>
      <c r="D322" s="66">
        <f>(Table1345[[#This Row],[Index]]-B310)/B310</f>
        <v/>
      </c>
    </row>
    <row r="323">
      <c r="A323" s="17" t="n">
        <v>35916</v>
      </c>
      <c r="B323" s="58">
        <f>VLOOKUP(Table1345[[#This Row],[Date]],database!A:I,9,)</f>
        <v/>
      </c>
      <c r="C323" s="66">
        <f>B323/B322-1</f>
        <v/>
      </c>
      <c r="D323" s="66">
        <f>(Table1345[[#This Row],[Index]]-B311)/B311</f>
        <v/>
      </c>
    </row>
    <row r="324">
      <c r="A324" s="17" t="n">
        <v>35947</v>
      </c>
      <c r="B324" s="58">
        <f>VLOOKUP(Table1345[[#This Row],[Date]],database!A:I,9,)</f>
        <v/>
      </c>
      <c r="C324" s="66">
        <f>B324/B323-1</f>
        <v/>
      </c>
      <c r="D324" s="66">
        <f>(Table1345[[#This Row],[Index]]-B312)/B312</f>
        <v/>
      </c>
    </row>
    <row r="325">
      <c r="A325" s="17" t="n">
        <v>35977</v>
      </c>
      <c r="B325" s="58">
        <f>VLOOKUP(Table1345[[#This Row],[Date]],database!A:I,9,)</f>
        <v/>
      </c>
      <c r="C325" s="66">
        <f>B325/B324-1</f>
        <v/>
      </c>
      <c r="D325" s="66">
        <f>(Table1345[[#This Row],[Index]]-B313)/B313</f>
        <v/>
      </c>
    </row>
    <row r="326">
      <c r="A326" s="17" t="n">
        <v>36008</v>
      </c>
      <c r="B326" s="58">
        <f>VLOOKUP(Table1345[[#This Row],[Date]],database!A:I,9,)</f>
        <v/>
      </c>
      <c r="C326" s="66">
        <f>B326/B325-1</f>
        <v/>
      </c>
      <c r="D326" s="66">
        <f>(Table1345[[#This Row],[Index]]-B314)/B314</f>
        <v/>
      </c>
    </row>
    <row r="327">
      <c r="A327" s="17" t="n">
        <v>36039</v>
      </c>
      <c r="B327" s="58">
        <f>VLOOKUP(Table1345[[#This Row],[Date]],database!A:I,9,)</f>
        <v/>
      </c>
      <c r="C327" s="66">
        <f>B327/B326-1</f>
        <v/>
      </c>
      <c r="D327" s="66">
        <f>(Table1345[[#This Row],[Index]]-B315)/B315</f>
        <v/>
      </c>
    </row>
    <row r="328">
      <c r="A328" s="17" t="n">
        <v>36069</v>
      </c>
      <c r="B328" s="58">
        <f>VLOOKUP(Table1345[[#This Row],[Date]],database!A:I,9,)</f>
        <v/>
      </c>
      <c r="C328" s="66">
        <f>B328/B327-1</f>
        <v/>
      </c>
      <c r="D328" s="66">
        <f>(Table1345[[#This Row],[Index]]-B316)/B316</f>
        <v/>
      </c>
    </row>
    <row r="329">
      <c r="A329" s="17" t="n">
        <v>36100</v>
      </c>
      <c r="B329" s="58">
        <f>VLOOKUP(Table1345[[#This Row],[Date]],database!A:I,9,)</f>
        <v/>
      </c>
      <c r="C329" s="66">
        <f>B329/B328-1</f>
        <v/>
      </c>
      <c r="D329" s="66">
        <f>(Table1345[[#This Row],[Index]]-B317)/B317</f>
        <v/>
      </c>
    </row>
    <row r="330">
      <c r="A330" s="17" t="n">
        <v>36130</v>
      </c>
      <c r="B330" s="58">
        <f>VLOOKUP(Table1345[[#This Row],[Date]],database!A:I,9,)</f>
        <v/>
      </c>
      <c r="C330" s="66">
        <f>B330/B329-1</f>
        <v/>
      </c>
      <c r="D330" s="66">
        <f>(Table1345[[#This Row],[Index]]-B318)/B318</f>
        <v/>
      </c>
    </row>
    <row r="331">
      <c r="A331" s="17" t="n">
        <v>36161</v>
      </c>
      <c r="B331" s="58">
        <f>VLOOKUP(Table1345[[#This Row],[Date]],database!A:I,9,)</f>
        <v/>
      </c>
      <c r="C331" s="66">
        <f>B331/B330-1</f>
        <v/>
      </c>
      <c r="D331" s="66">
        <f>(Table1345[[#This Row],[Index]]-B319)/B319</f>
        <v/>
      </c>
    </row>
    <row r="332">
      <c r="A332" s="17" t="n">
        <v>36192</v>
      </c>
      <c r="B332" s="58">
        <f>VLOOKUP(Table1345[[#This Row],[Date]],database!A:I,9,)</f>
        <v/>
      </c>
      <c r="C332" s="66">
        <f>B332/B331-1</f>
        <v/>
      </c>
      <c r="D332" s="66">
        <f>(Table1345[[#This Row],[Index]]-B320)/B320</f>
        <v/>
      </c>
    </row>
    <row r="333">
      <c r="A333" s="17" t="n">
        <v>36220</v>
      </c>
      <c r="B333" s="58">
        <f>VLOOKUP(Table1345[[#This Row],[Date]],database!A:I,9,)</f>
        <v/>
      </c>
      <c r="C333" s="66">
        <f>B333/B332-1</f>
        <v/>
      </c>
      <c r="D333" s="66">
        <f>(Table1345[[#This Row],[Index]]-B321)/B321</f>
        <v/>
      </c>
    </row>
    <row r="334">
      <c r="A334" s="17" t="n">
        <v>36251</v>
      </c>
      <c r="B334" s="58">
        <f>VLOOKUP(Table1345[[#This Row],[Date]],database!A:I,9,)</f>
        <v/>
      </c>
      <c r="C334" s="66">
        <f>B334/B333-1</f>
        <v/>
      </c>
      <c r="D334" s="66">
        <f>(Table1345[[#This Row],[Index]]-B322)/B322</f>
        <v/>
      </c>
    </row>
    <row r="335">
      <c r="A335" s="17" t="n">
        <v>36281</v>
      </c>
      <c r="B335" s="58">
        <f>VLOOKUP(Table1345[[#This Row],[Date]],database!A:I,9,)</f>
        <v/>
      </c>
      <c r="C335" s="66">
        <f>B335/B334-1</f>
        <v/>
      </c>
      <c r="D335" s="66">
        <f>(Table1345[[#This Row],[Index]]-B323)/B323</f>
        <v/>
      </c>
    </row>
    <row r="336">
      <c r="A336" s="17" t="n">
        <v>36312</v>
      </c>
      <c r="B336" s="58">
        <f>VLOOKUP(Table1345[[#This Row],[Date]],database!A:I,9,)</f>
        <v/>
      </c>
      <c r="C336" s="66">
        <f>B336/B335-1</f>
        <v/>
      </c>
      <c r="D336" s="66">
        <f>(Table1345[[#This Row],[Index]]-B324)/B324</f>
        <v/>
      </c>
    </row>
    <row r="337">
      <c r="A337" s="17" t="n">
        <v>36342</v>
      </c>
      <c r="B337" s="58">
        <f>VLOOKUP(Table1345[[#This Row],[Date]],database!A:I,9,)</f>
        <v/>
      </c>
      <c r="C337" s="66">
        <f>B337/B336-1</f>
        <v/>
      </c>
      <c r="D337" s="66">
        <f>(Table1345[[#This Row],[Index]]-B325)/B325</f>
        <v/>
      </c>
    </row>
    <row r="338">
      <c r="A338" s="17" t="n">
        <v>36373</v>
      </c>
      <c r="B338" s="58">
        <f>VLOOKUP(Table1345[[#This Row],[Date]],database!A:I,9,)</f>
        <v/>
      </c>
      <c r="C338" s="66">
        <f>B338/B337-1</f>
        <v/>
      </c>
      <c r="D338" s="66">
        <f>(Table1345[[#This Row],[Index]]-B326)/B326</f>
        <v/>
      </c>
    </row>
    <row r="339">
      <c r="A339" s="17" t="n">
        <v>36404</v>
      </c>
      <c r="B339" s="58">
        <f>VLOOKUP(Table1345[[#This Row],[Date]],database!A:I,9,)</f>
        <v/>
      </c>
      <c r="C339" s="66">
        <f>B339/B338-1</f>
        <v/>
      </c>
      <c r="D339" s="66">
        <f>(Table1345[[#This Row],[Index]]-B327)/B327</f>
        <v/>
      </c>
    </row>
    <row r="340">
      <c r="A340" s="17" t="n">
        <v>36434</v>
      </c>
      <c r="B340" s="58">
        <f>VLOOKUP(Table1345[[#This Row],[Date]],database!A:I,9,)</f>
        <v/>
      </c>
      <c r="C340" s="66">
        <f>B340/B339-1</f>
        <v/>
      </c>
      <c r="D340" s="66">
        <f>(Table1345[[#This Row],[Index]]-B328)/B328</f>
        <v/>
      </c>
    </row>
    <row r="341">
      <c r="A341" s="17" t="n">
        <v>36465</v>
      </c>
      <c r="B341" s="58">
        <f>VLOOKUP(Table1345[[#This Row],[Date]],database!A:I,9,)</f>
        <v/>
      </c>
      <c r="C341" s="66">
        <f>B341/B340-1</f>
        <v/>
      </c>
      <c r="D341" s="66">
        <f>(Table1345[[#This Row],[Index]]-B329)/B329</f>
        <v/>
      </c>
    </row>
    <row r="342">
      <c r="A342" s="17" t="n">
        <v>36495</v>
      </c>
      <c r="B342" s="58">
        <f>VLOOKUP(Table1345[[#This Row],[Date]],database!A:I,9,)</f>
        <v/>
      </c>
      <c r="C342" s="66">
        <f>B342/B341-1</f>
        <v/>
      </c>
      <c r="D342" s="66">
        <f>(Table1345[[#This Row],[Index]]-B330)/B330</f>
        <v/>
      </c>
    </row>
    <row r="343">
      <c r="A343" s="17" t="n">
        <v>36526</v>
      </c>
      <c r="B343" s="58">
        <f>VLOOKUP(Table1345[[#This Row],[Date]],database!A:I,9,)</f>
        <v/>
      </c>
      <c r="C343" s="66">
        <f>B343/B342-1</f>
        <v/>
      </c>
      <c r="D343" s="66">
        <f>(Table1345[[#This Row],[Index]]-B331)/B331</f>
        <v/>
      </c>
    </row>
    <row r="344">
      <c r="A344" s="17" t="n">
        <v>36557</v>
      </c>
      <c r="B344" s="58">
        <f>VLOOKUP(Table1345[[#This Row],[Date]],database!A:I,9,)</f>
        <v/>
      </c>
      <c r="C344" s="66">
        <f>B344/B343-1</f>
        <v/>
      </c>
      <c r="D344" s="66">
        <f>(Table1345[[#This Row],[Index]]-B332)/B332</f>
        <v/>
      </c>
    </row>
    <row r="345">
      <c r="A345" s="17" t="n">
        <v>36586</v>
      </c>
      <c r="B345" s="58">
        <f>VLOOKUP(Table1345[[#This Row],[Date]],database!A:I,9,)</f>
        <v/>
      </c>
      <c r="C345" s="66">
        <f>B345/B344-1</f>
        <v/>
      </c>
      <c r="D345" s="66">
        <f>(Table1345[[#This Row],[Index]]-B333)/B333</f>
        <v/>
      </c>
    </row>
    <row r="346">
      <c r="A346" s="17" t="n">
        <v>36617</v>
      </c>
      <c r="B346" s="58">
        <f>VLOOKUP(Table1345[[#This Row],[Date]],database!A:I,9,)</f>
        <v/>
      </c>
      <c r="C346" s="66">
        <f>B346/B345-1</f>
        <v/>
      </c>
      <c r="D346" s="66">
        <f>(Table1345[[#This Row],[Index]]-B334)/B334</f>
        <v/>
      </c>
    </row>
    <row r="347">
      <c r="A347" s="17" t="n">
        <v>36647</v>
      </c>
      <c r="B347" s="58">
        <f>VLOOKUP(Table1345[[#This Row],[Date]],database!A:I,9,)</f>
        <v/>
      </c>
      <c r="C347" s="66">
        <f>B347/B346-1</f>
        <v/>
      </c>
      <c r="D347" s="66">
        <f>(Table1345[[#This Row],[Index]]-B335)/B335</f>
        <v/>
      </c>
    </row>
    <row r="348">
      <c r="A348" s="17" t="n">
        <v>36678</v>
      </c>
      <c r="B348" s="58">
        <f>VLOOKUP(Table1345[[#This Row],[Date]],database!A:I,9,)</f>
        <v/>
      </c>
      <c r="C348" s="66">
        <f>B348/B347-1</f>
        <v/>
      </c>
      <c r="D348" s="66">
        <f>(Table1345[[#This Row],[Index]]-B336)/B336</f>
        <v/>
      </c>
    </row>
    <row r="349">
      <c r="A349" s="17" t="n">
        <v>36708</v>
      </c>
      <c r="B349" s="58">
        <f>VLOOKUP(Table1345[[#This Row],[Date]],database!A:I,9,)</f>
        <v/>
      </c>
      <c r="C349" s="66">
        <f>B349/B348-1</f>
        <v/>
      </c>
      <c r="D349" s="66">
        <f>(Table1345[[#This Row],[Index]]-B337)/B337</f>
        <v/>
      </c>
    </row>
    <row r="350">
      <c r="A350" s="17" t="n">
        <v>36739</v>
      </c>
      <c r="B350" s="58">
        <f>VLOOKUP(Table1345[[#This Row],[Date]],database!A:I,9,)</f>
        <v/>
      </c>
      <c r="C350" s="66">
        <f>B350/B349-1</f>
        <v/>
      </c>
      <c r="D350" s="66">
        <f>(Table1345[[#This Row],[Index]]-B338)/B338</f>
        <v/>
      </c>
    </row>
    <row r="351">
      <c r="A351" s="17" t="n">
        <v>36770</v>
      </c>
      <c r="B351" s="58">
        <f>VLOOKUP(Table1345[[#This Row],[Date]],database!A:I,9,)</f>
        <v/>
      </c>
      <c r="C351" s="66">
        <f>B351/B350-1</f>
        <v/>
      </c>
      <c r="D351" s="66">
        <f>(Table1345[[#This Row],[Index]]-B339)/B339</f>
        <v/>
      </c>
    </row>
    <row r="352">
      <c r="A352" s="17" t="n">
        <v>36800</v>
      </c>
      <c r="B352" s="58">
        <f>VLOOKUP(Table1345[[#This Row],[Date]],database!A:I,9,)</f>
        <v/>
      </c>
      <c r="C352" s="66">
        <f>B352/B351-1</f>
        <v/>
      </c>
      <c r="D352" s="66">
        <f>(Table1345[[#This Row],[Index]]-B340)/B340</f>
        <v/>
      </c>
    </row>
    <row r="353">
      <c r="A353" s="17" t="n">
        <v>36831</v>
      </c>
      <c r="B353" s="58">
        <f>VLOOKUP(Table1345[[#This Row],[Date]],database!A:I,9,)</f>
        <v/>
      </c>
      <c r="C353" s="66">
        <f>B353/B352-1</f>
        <v/>
      </c>
      <c r="D353" s="66">
        <f>(Table1345[[#This Row],[Index]]-B341)/B341</f>
        <v/>
      </c>
    </row>
    <row r="354">
      <c r="A354" s="17" t="n">
        <v>36861</v>
      </c>
      <c r="B354" s="58">
        <f>VLOOKUP(Table1345[[#This Row],[Date]],database!A:I,9,)</f>
        <v/>
      </c>
      <c r="C354" s="66">
        <f>B354/B353-1</f>
        <v/>
      </c>
      <c r="D354" s="66">
        <f>(Table1345[[#This Row],[Index]]-B342)/B342</f>
        <v/>
      </c>
    </row>
    <row r="355">
      <c r="A355" s="17" t="n">
        <v>36892</v>
      </c>
      <c r="B355" s="58">
        <f>VLOOKUP(Table1345[[#This Row],[Date]],database!A:I,9,)</f>
        <v/>
      </c>
      <c r="C355" s="66">
        <f>B355/B354-1</f>
        <v/>
      </c>
      <c r="D355" s="66">
        <f>(Table1345[[#This Row],[Index]]-B343)/B343</f>
        <v/>
      </c>
    </row>
    <row r="356">
      <c r="A356" s="17" t="n">
        <v>36923</v>
      </c>
      <c r="B356" s="58">
        <f>VLOOKUP(Table1345[[#This Row],[Date]],database!A:I,9,)</f>
        <v/>
      </c>
      <c r="C356" s="66">
        <f>B356/B355-1</f>
        <v/>
      </c>
      <c r="D356" s="66">
        <f>(Table1345[[#This Row],[Index]]-B344)/B344</f>
        <v/>
      </c>
    </row>
    <row r="357">
      <c r="A357" s="17" t="n">
        <v>36951</v>
      </c>
      <c r="B357" s="58">
        <f>VLOOKUP(Table1345[[#This Row],[Date]],database!A:I,9,)</f>
        <v/>
      </c>
      <c r="C357" s="66">
        <f>B357/B356-1</f>
        <v/>
      </c>
      <c r="D357" s="66">
        <f>(Table1345[[#This Row],[Index]]-B345)/B345</f>
        <v/>
      </c>
    </row>
    <row r="358">
      <c r="A358" s="17" t="n">
        <v>36982</v>
      </c>
      <c r="B358" s="58">
        <f>VLOOKUP(Table1345[[#This Row],[Date]],database!A:I,9,)</f>
        <v/>
      </c>
      <c r="C358" s="66">
        <f>B358/B357-1</f>
        <v/>
      </c>
      <c r="D358" s="66">
        <f>(Table1345[[#This Row],[Index]]-B346)/B346</f>
        <v/>
      </c>
    </row>
    <row r="359">
      <c r="A359" s="17" t="n">
        <v>37012</v>
      </c>
      <c r="B359" s="58">
        <f>VLOOKUP(Table1345[[#This Row],[Date]],database!A:I,9,)</f>
        <v/>
      </c>
      <c r="C359" s="66">
        <f>B359/B358-1</f>
        <v/>
      </c>
      <c r="D359" s="66">
        <f>(Table1345[[#This Row],[Index]]-B347)/B347</f>
        <v/>
      </c>
    </row>
    <row r="360">
      <c r="A360" s="17" t="n">
        <v>37043</v>
      </c>
      <c r="B360" s="58">
        <f>VLOOKUP(Table1345[[#This Row],[Date]],database!A:I,9,)</f>
        <v/>
      </c>
      <c r="C360" s="66">
        <f>B360/B359-1</f>
        <v/>
      </c>
      <c r="D360" s="66">
        <f>(Table1345[[#This Row],[Index]]-B348)/B348</f>
        <v/>
      </c>
    </row>
    <row r="361">
      <c r="A361" s="17" t="n">
        <v>37073</v>
      </c>
      <c r="B361" s="58">
        <f>VLOOKUP(Table1345[[#This Row],[Date]],database!A:I,9,)</f>
        <v/>
      </c>
      <c r="C361" s="66">
        <f>B361/B360-1</f>
        <v/>
      </c>
      <c r="D361" s="66">
        <f>(Table1345[[#This Row],[Index]]-B349)/B349</f>
        <v/>
      </c>
    </row>
    <row r="362">
      <c r="A362" s="17" t="n">
        <v>37104</v>
      </c>
      <c r="B362" s="58">
        <f>VLOOKUP(Table1345[[#This Row],[Date]],database!A:I,9,)</f>
        <v/>
      </c>
      <c r="C362" s="66">
        <f>B362/B361-1</f>
        <v/>
      </c>
      <c r="D362" s="66">
        <f>(Table1345[[#This Row],[Index]]-B350)/B350</f>
        <v/>
      </c>
    </row>
    <row r="363">
      <c r="A363" s="17" t="n">
        <v>37135</v>
      </c>
      <c r="B363" s="58">
        <f>VLOOKUP(Table1345[[#This Row],[Date]],database!A:I,9,)</f>
        <v/>
      </c>
      <c r="C363" s="66">
        <f>B363/B362-1</f>
        <v/>
      </c>
      <c r="D363" s="66">
        <f>(Table1345[[#This Row],[Index]]-B351)/B351</f>
        <v/>
      </c>
    </row>
    <row r="364">
      <c r="A364" s="17" t="n">
        <v>37165</v>
      </c>
      <c r="B364" s="58">
        <f>VLOOKUP(Table1345[[#This Row],[Date]],database!A:I,9,)</f>
        <v/>
      </c>
      <c r="C364" s="66">
        <f>B364/B363-1</f>
        <v/>
      </c>
      <c r="D364" s="66">
        <f>(Table1345[[#This Row],[Index]]-B352)/B352</f>
        <v/>
      </c>
    </row>
    <row r="365">
      <c r="A365" s="17" t="n">
        <v>37196</v>
      </c>
      <c r="B365" s="58">
        <f>VLOOKUP(Table1345[[#This Row],[Date]],database!A:I,9,)</f>
        <v/>
      </c>
      <c r="C365" s="66">
        <f>B365/B364-1</f>
        <v/>
      </c>
      <c r="D365" s="66">
        <f>(Table1345[[#This Row],[Index]]-B353)/B353</f>
        <v/>
      </c>
    </row>
    <row r="366">
      <c r="A366" s="17" t="n">
        <v>37226</v>
      </c>
      <c r="B366" s="58">
        <f>VLOOKUP(Table1345[[#This Row],[Date]],database!A:I,9,)</f>
        <v/>
      </c>
      <c r="C366" s="66">
        <f>B366/B365-1</f>
        <v/>
      </c>
      <c r="D366" s="66">
        <f>(Table1345[[#This Row],[Index]]-B354)/B354</f>
        <v/>
      </c>
    </row>
    <row r="367">
      <c r="A367" s="17" t="n">
        <v>37257</v>
      </c>
      <c r="B367" s="58">
        <f>VLOOKUP(Table1345[[#This Row],[Date]],database!A:I,9,)</f>
        <v/>
      </c>
      <c r="C367" s="66">
        <f>B367/B366-1</f>
        <v/>
      </c>
      <c r="D367" s="66">
        <f>(Table1345[[#This Row],[Index]]-B355)/B355</f>
        <v/>
      </c>
    </row>
    <row r="368">
      <c r="A368" s="17" t="n">
        <v>37288</v>
      </c>
      <c r="B368" s="58">
        <f>VLOOKUP(Table1345[[#This Row],[Date]],database!A:I,9,)</f>
        <v/>
      </c>
      <c r="C368" s="66">
        <f>B368/B367-1</f>
        <v/>
      </c>
      <c r="D368" s="66">
        <f>(Table1345[[#This Row],[Index]]-B356)/B356</f>
        <v/>
      </c>
    </row>
    <row r="369">
      <c r="A369" s="17" t="n">
        <v>37316</v>
      </c>
      <c r="B369" s="58">
        <f>VLOOKUP(Table1345[[#This Row],[Date]],database!A:I,9,)</f>
        <v/>
      </c>
      <c r="C369" s="66">
        <f>B369/B368-1</f>
        <v/>
      </c>
      <c r="D369" s="66">
        <f>(Table1345[[#This Row],[Index]]-B357)/B357</f>
        <v/>
      </c>
    </row>
    <row r="370">
      <c r="A370" s="17" t="n">
        <v>37347</v>
      </c>
      <c r="B370" s="58">
        <f>VLOOKUP(Table1345[[#This Row],[Date]],database!A:I,9,)</f>
        <v/>
      </c>
      <c r="C370" s="66">
        <f>B370/B369-1</f>
        <v/>
      </c>
      <c r="D370" s="66">
        <f>(Table1345[[#This Row],[Index]]-B358)/B358</f>
        <v/>
      </c>
    </row>
    <row r="371">
      <c r="A371" s="17" t="n">
        <v>37377</v>
      </c>
      <c r="B371" s="58">
        <f>VLOOKUP(Table1345[[#This Row],[Date]],database!A:I,9,)</f>
        <v/>
      </c>
      <c r="C371" s="66">
        <f>B371/B370-1</f>
        <v/>
      </c>
      <c r="D371" s="66">
        <f>(Table1345[[#This Row],[Index]]-B359)/B359</f>
        <v/>
      </c>
    </row>
    <row r="372">
      <c r="A372" s="17" t="n">
        <v>37408</v>
      </c>
      <c r="B372" s="58">
        <f>VLOOKUP(Table1345[[#This Row],[Date]],database!A:I,9,)</f>
        <v/>
      </c>
      <c r="C372" s="66">
        <f>B372/B371-1</f>
        <v/>
      </c>
      <c r="D372" s="66">
        <f>(Table1345[[#This Row],[Index]]-B360)/B360</f>
        <v/>
      </c>
    </row>
    <row r="373">
      <c r="A373" s="17" t="n">
        <v>37438</v>
      </c>
      <c r="B373" s="58">
        <f>VLOOKUP(Table1345[[#This Row],[Date]],database!A:I,9,)</f>
        <v/>
      </c>
      <c r="C373" s="66">
        <f>B373/B372-1</f>
        <v/>
      </c>
      <c r="D373" s="66">
        <f>(Table1345[[#This Row],[Index]]-B361)/B361</f>
        <v/>
      </c>
    </row>
    <row r="374">
      <c r="A374" s="17" t="n">
        <v>37469</v>
      </c>
      <c r="B374" s="58">
        <f>VLOOKUP(Table1345[[#This Row],[Date]],database!A:I,9,)</f>
        <v/>
      </c>
      <c r="C374" s="66">
        <f>B374/B373-1</f>
        <v/>
      </c>
      <c r="D374" s="66">
        <f>(Table1345[[#This Row],[Index]]-B362)/B362</f>
        <v/>
      </c>
    </row>
    <row r="375">
      <c r="A375" s="17" t="n">
        <v>37500</v>
      </c>
      <c r="B375" s="58">
        <f>VLOOKUP(Table1345[[#This Row],[Date]],database!A:I,9,)</f>
        <v/>
      </c>
      <c r="C375" s="66">
        <f>B375/B374-1</f>
        <v/>
      </c>
      <c r="D375" s="66">
        <f>(Table1345[[#This Row],[Index]]-B363)/B363</f>
        <v/>
      </c>
    </row>
    <row r="376">
      <c r="A376" s="17" t="n">
        <v>37530</v>
      </c>
      <c r="B376" s="58">
        <f>VLOOKUP(Table1345[[#This Row],[Date]],database!A:I,9,)</f>
        <v/>
      </c>
      <c r="C376" s="66">
        <f>B376/B375-1</f>
        <v/>
      </c>
      <c r="D376" s="66">
        <f>(Table1345[[#This Row],[Index]]-B364)/B364</f>
        <v/>
      </c>
    </row>
    <row r="377">
      <c r="A377" s="17" t="n">
        <v>37561</v>
      </c>
      <c r="B377" s="58">
        <f>VLOOKUP(Table1345[[#This Row],[Date]],database!A:I,9,)</f>
        <v/>
      </c>
      <c r="C377" s="66">
        <f>B377/B376-1</f>
        <v/>
      </c>
      <c r="D377" s="66">
        <f>(Table1345[[#This Row],[Index]]-B365)/B365</f>
        <v/>
      </c>
    </row>
    <row r="378">
      <c r="A378" s="17" t="n">
        <v>37591</v>
      </c>
      <c r="B378" s="58">
        <f>VLOOKUP(Table1345[[#This Row],[Date]],database!A:I,9,)</f>
        <v/>
      </c>
      <c r="C378" s="66">
        <f>B378/B377-1</f>
        <v/>
      </c>
      <c r="D378" s="66">
        <f>(Table1345[[#This Row],[Index]]-B366)/B366</f>
        <v/>
      </c>
    </row>
    <row r="379">
      <c r="A379" s="17" t="n">
        <v>37622</v>
      </c>
      <c r="B379" s="58">
        <f>VLOOKUP(Table1345[[#This Row],[Date]],database!A:I,9,)</f>
        <v/>
      </c>
      <c r="C379" s="66">
        <f>B379/B378-1</f>
        <v/>
      </c>
      <c r="D379" s="66">
        <f>(Table1345[[#This Row],[Index]]-B367)/B367</f>
        <v/>
      </c>
    </row>
    <row r="380">
      <c r="A380" s="17" t="n">
        <v>37653</v>
      </c>
      <c r="B380" s="58">
        <f>VLOOKUP(Table1345[[#This Row],[Date]],database!A:I,9,)</f>
        <v/>
      </c>
      <c r="C380" s="66">
        <f>B380/B379-1</f>
        <v/>
      </c>
      <c r="D380" s="66">
        <f>(Table1345[[#This Row],[Index]]-B368)/B368</f>
        <v/>
      </c>
    </row>
    <row r="381">
      <c r="A381" s="17" t="n">
        <v>37681</v>
      </c>
      <c r="B381" s="58">
        <f>VLOOKUP(Table1345[[#This Row],[Date]],database!A:I,9,)</f>
        <v/>
      </c>
      <c r="C381" s="66">
        <f>B381/B380-1</f>
        <v/>
      </c>
      <c r="D381" s="66">
        <f>(Table1345[[#This Row],[Index]]-B369)/B369</f>
        <v/>
      </c>
    </row>
    <row r="382">
      <c r="A382" s="17" t="n">
        <v>37712</v>
      </c>
      <c r="B382" s="58">
        <f>VLOOKUP(Table1345[[#This Row],[Date]],database!A:I,9,)</f>
        <v/>
      </c>
      <c r="C382" s="66">
        <f>B382/B381-1</f>
        <v/>
      </c>
      <c r="D382" s="66">
        <f>(Table1345[[#This Row],[Index]]-B370)/B370</f>
        <v/>
      </c>
    </row>
    <row r="383">
      <c r="A383" s="17" t="n">
        <v>37742</v>
      </c>
      <c r="B383" s="58">
        <f>VLOOKUP(Table1345[[#This Row],[Date]],database!A:I,9,)</f>
        <v/>
      </c>
      <c r="C383" s="66">
        <f>B383/B382-1</f>
        <v/>
      </c>
      <c r="D383" s="66">
        <f>(Table1345[[#This Row],[Index]]-B371)/B371</f>
        <v/>
      </c>
    </row>
    <row r="384">
      <c r="A384" s="17" t="n">
        <v>37773</v>
      </c>
      <c r="B384" s="58">
        <f>VLOOKUP(Table1345[[#This Row],[Date]],database!A:I,9,)</f>
        <v/>
      </c>
      <c r="C384" s="66">
        <f>B384/B383-1</f>
        <v/>
      </c>
      <c r="D384" s="66">
        <f>(Table1345[[#This Row],[Index]]-B372)/B372</f>
        <v/>
      </c>
    </row>
    <row r="385">
      <c r="A385" s="17" t="n">
        <v>37803</v>
      </c>
      <c r="B385" s="58">
        <f>VLOOKUP(Table1345[[#This Row],[Date]],database!A:I,9,)</f>
        <v/>
      </c>
      <c r="C385" s="66">
        <f>B385/B384-1</f>
        <v/>
      </c>
      <c r="D385" s="66">
        <f>(Table1345[[#This Row],[Index]]-B373)/B373</f>
        <v/>
      </c>
    </row>
    <row r="386">
      <c r="A386" s="17" t="n">
        <v>37834</v>
      </c>
      <c r="B386" s="58">
        <f>VLOOKUP(Table1345[[#This Row],[Date]],database!A:I,9,)</f>
        <v/>
      </c>
      <c r="C386" s="66">
        <f>B386/B385-1</f>
        <v/>
      </c>
      <c r="D386" s="66">
        <f>(Table1345[[#This Row],[Index]]-B374)/B374</f>
        <v/>
      </c>
    </row>
    <row r="387">
      <c r="A387" s="17" t="n">
        <v>37865</v>
      </c>
      <c r="B387" s="58">
        <f>VLOOKUP(Table1345[[#This Row],[Date]],database!A:I,9,)</f>
        <v/>
      </c>
      <c r="C387" s="66">
        <f>B387/B386-1</f>
        <v/>
      </c>
      <c r="D387" s="66">
        <f>(Table1345[[#This Row],[Index]]-B375)/B375</f>
        <v/>
      </c>
    </row>
    <row r="388">
      <c r="A388" s="17" t="n">
        <v>37895</v>
      </c>
      <c r="B388" s="58">
        <f>VLOOKUP(Table1345[[#This Row],[Date]],database!A:I,9,)</f>
        <v/>
      </c>
      <c r="C388" s="66">
        <f>B388/B387-1</f>
        <v/>
      </c>
      <c r="D388" s="66">
        <f>(Table1345[[#This Row],[Index]]-B376)/B376</f>
        <v/>
      </c>
    </row>
    <row r="389">
      <c r="A389" s="17" t="n">
        <v>37926</v>
      </c>
      <c r="B389" s="58">
        <f>VLOOKUP(Table1345[[#This Row],[Date]],database!A:I,9,)</f>
        <v/>
      </c>
      <c r="C389" s="66">
        <f>B389/B388-1</f>
        <v/>
      </c>
      <c r="D389" s="66">
        <f>(Table1345[[#This Row],[Index]]-B377)/B377</f>
        <v/>
      </c>
    </row>
    <row r="390">
      <c r="A390" s="17" t="n">
        <v>37956</v>
      </c>
      <c r="B390" s="58">
        <f>VLOOKUP(Table1345[[#This Row],[Date]],database!A:I,9,)</f>
        <v/>
      </c>
      <c r="C390" s="66">
        <f>B390/B389-1</f>
        <v/>
      </c>
      <c r="D390" s="66">
        <f>(Table1345[[#This Row],[Index]]-B378)/B378</f>
        <v/>
      </c>
    </row>
    <row r="391">
      <c r="A391" s="17" t="n">
        <v>37987</v>
      </c>
      <c r="B391" s="58">
        <f>VLOOKUP(Table1345[[#This Row],[Date]],database!A:I,9,)</f>
        <v/>
      </c>
      <c r="C391" s="66">
        <f>B391/B390-1</f>
        <v/>
      </c>
      <c r="D391" s="66">
        <f>(Table1345[[#This Row],[Index]]-B379)/B379</f>
        <v/>
      </c>
    </row>
    <row r="392">
      <c r="A392" s="17" t="n">
        <v>38018</v>
      </c>
      <c r="B392" s="58">
        <f>VLOOKUP(Table1345[[#This Row],[Date]],database!A:I,9,)</f>
        <v/>
      </c>
      <c r="C392" s="66">
        <f>B392/B391-1</f>
        <v/>
      </c>
      <c r="D392" s="66">
        <f>(Table1345[[#This Row],[Index]]-B380)/B380</f>
        <v/>
      </c>
    </row>
    <row r="393">
      <c r="A393" s="17" t="n">
        <v>38047</v>
      </c>
      <c r="B393" s="58">
        <f>VLOOKUP(Table1345[[#This Row],[Date]],database!A:I,9,)</f>
        <v/>
      </c>
      <c r="C393" s="66">
        <f>B393/B392-1</f>
        <v/>
      </c>
      <c r="D393" s="66">
        <f>(Table1345[[#This Row],[Index]]-B381)/B381</f>
        <v/>
      </c>
    </row>
    <row r="394">
      <c r="A394" s="17" t="n">
        <v>38078</v>
      </c>
      <c r="B394" s="58">
        <f>VLOOKUP(Table1345[[#This Row],[Date]],database!A:I,9,)</f>
        <v/>
      </c>
      <c r="C394" s="66">
        <f>B394/B393-1</f>
        <v/>
      </c>
      <c r="D394" s="66">
        <f>(Table1345[[#This Row],[Index]]-B382)/B382</f>
        <v/>
      </c>
    </row>
    <row r="395">
      <c r="A395" s="17" t="n">
        <v>38108</v>
      </c>
      <c r="B395" s="58">
        <f>VLOOKUP(Table1345[[#This Row],[Date]],database!A:I,9,)</f>
        <v/>
      </c>
      <c r="C395" s="66">
        <f>B395/B394-1</f>
        <v/>
      </c>
      <c r="D395" s="66">
        <f>(Table1345[[#This Row],[Index]]-B383)/B383</f>
        <v/>
      </c>
    </row>
    <row r="396">
      <c r="A396" s="17" t="n">
        <v>38139</v>
      </c>
      <c r="B396" s="58">
        <f>VLOOKUP(Table1345[[#This Row],[Date]],database!A:I,9,)</f>
        <v/>
      </c>
      <c r="C396" s="66">
        <f>B396/B395-1</f>
        <v/>
      </c>
      <c r="D396" s="66">
        <f>(Table1345[[#This Row],[Index]]-B384)/B384</f>
        <v/>
      </c>
    </row>
    <row r="397">
      <c r="A397" s="17" t="n">
        <v>38169</v>
      </c>
      <c r="B397" s="58">
        <f>VLOOKUP(Table1345[[#This Row],[Date]],database!A:I,9,)</f>
        <v/>
      </c>
      <c r="C397" s="66">
        <f>B397/B396-1</f>
        <v/>
      </c>
      <c r="D397" s="66">
        <f>(Table1345[[#This Row],[Index]]-B385)/B385</f>
        <v/>
      </c>
    </row>
    <row r="398">
      <c r="A398" s="17" t="n">
        <v>38200</v>
      </c>
      <c r="B398" s="58">
        <f>VLOOKUP(Table1345[[#This Row],[Date]],database!A:I,9,)</f>
        <v/>
      </c>
      <c r="C398" s="66">
        <f>B398/B397-1</f>
        <v/>
      </c>
      <c r="D398" s="66">
        <f>(Table1345[[#This Row],[Index]]-B386)/B386</f>
        <v/>
      </c>
    </row>
    <row r="399">
      <c r="A399" s="17" t="n">
        <v>38231</v>
      </c>
      <c r="B399" s="58">
        <f>VLOOKUP(Table1345[[#This Row],[Date]],database!A:I,9,)</f>
        <v/>
      </c>
      <c r="C399" s="66">
        <f>B399/B398-1</f>
        <v/>
      </c>
      <c r="D399" s="66">
        <f>(Table1345[[#This Row],[Index]]-B387)/B387</f>
        <v/>
      </c>
    </row>
    <row r="400">
      <c r="A400" s="17" t="n">
        <v>38261</v>
      </c>
      <c r="B400" s="58">
        <f>VLOOKUP(Table1345[[#This Row],[Date]],database!A:I,9,)</f>
        <v/>
      </c>
      <c r="C400" s="66">
        <f>B400/B399-1</f>
        <v/>
      </c>
      <c r="D400" s="66">
        <f>(Table1345[[#This Row],[Index]]-B388)/B388</f>
        <v/>
      </c>
    </row>
    <row r="401">
      <c r="A401" s="17" t="n">
        <v>38292</v>
      </c>
      <c r="B401" s="58">
        <f>VLOOKUP(Table1345[[#This Row],[Date]],database!A:I,9,)</f>
        <v/>
      </c>
      <c r="C401" s="66">
        <f>B401/B400-1</f>
        <v/>
      </c>
      <c r="D401" s="66">
        <f>(Table1345[[#This Row],[Index]]-B389)/B389</f>
        <v/>
      </c>
    </row>
    <row r="402">
      <c r="A402" s="17" t="n">
        <v>38322</v>
      </c>
      <c r="B402" s="58">
        <f>VLOOKUP(Table1345[[#This Row],[Date]],database!A:I,9,)</f>
        <v/>
      </c>
      <c r="C402" s="66">
        <f>B402/B401-1</f>
        <v/>
      </c>
      <c r="D402" s="66">
        <f>(Table1345[[#This Row],[Index]]-B390)/B390</f>
        <v/>
      </c>
    </row>
    <row r="403">
      <c r="A403" s="17" t="n">
        <v>38353</v>
      </c>
      <c r="B403" s="58">
        <f>VLOOKUP(Table1345[[#This Row],[Date]],database!A:I,9,)</f>
        <v/>
      </c>
      <c r="C403" s="66">
        <f>B403/B402-1</f>
        <v/>
      </c>
      <c r="D403" s="66">
        <f>(Table1345[[#This Row],[Index]]-B391)/B391</f>
        <v/>
      </c>
    </row>
    <row r="404">
      <c r="A404" s="17" t="n">
        <v>38384</v>
      </c>
      <c r="B404" s="58">
        <f>VLOOKUP(Table1345[[#This Row],[Date]],database!A:I,9,)</f>
        <v/>
      </c>
      <c r="C404" s="66">
        <f>B404/B403-1</f>
        <v/>
      </c>
      <c r="D404" s="66">
        <f>(Table1345[[#This Row],[Index]]-B392)/B392</f>
        <v/>
      </c>
    </row>
    <row r="405">
      <c r="A405" s="17" t="n">
        <v>38412</v>
      </c>
      <c r="B405" s="58">
        <f>VLOOKUP(Table1345[[#This Row],[Date]],database!A:I,9,)</f>
        <v/>
      </c>
      <c r="C405" s="66">
        <f>B405/B404-1</f>
        <v/>
      </c>
      <c r="D405" s="66">
        <f>(Table1345[[#This Row],[Index]]-B393)/B393</f>
        <v/>
      </c>
    </row>
    <row r="406">
      <c r="A406" s="17" t="n">
        <v>38443</v>
      </c>
      <c r="B406" s="58">
        <f>VLOOKUP(Table1345[[#This Row],[Date]],database!A:I,9,)</f>
        <v/>
      </c>
      <c r="C406" s="66">
        <f>B406/B405-1</f>
        <v/>
      </c>
      <c r="D406" s="66">
        <f>(Table1345[[#This Row],[Index]]-B394)/B394</f>
        <v/>
      </c>
    </row>
    <row r="407">
      <c r="A407" s="17" t="n">
        <v>38473</v>
      </c>
      <c r="B407" s="58">
        <f>VLOOKUP(Table1345[[#This Row],[Date]],database!A:I,9,)</f>
        <v/>
      </c>
      <c r="C407" s="66">
        <f>B407/B406-1</f>
        <v/>
      </c>
      <c r="D407" s="66">
        <f>(Table1345[[#This Row],[Index]]-B395)/B395</f>
        <v/>
      </c>
    </row>
    <row r="408">
      <c r="A408" s="17" t="n">
        <v>38504</v>
      </c>
      <c r="B408" s="58">
        <f>VLOOKUP(Table1345[[#This Row],[Date]],database!A:I,9,)</f>
        <v/>
      </c>
      <c r="C408" s="66">
        <f>B408/B407-1</f>
        <v/>
      </c>
      <c r="D408" s="66">
        <f>(Table1345[[#This Row],[Index]]-B396)/B396</f>
        <v/>
      </c>
    </row>
    <row r="409">
      <c r="A409" s="17" t="n">
        <v>38534</v>
      </c>
      <c r="B409" s="58">
        <f>VLOOKUP(Table1345[[#This Row],[Date]],database!A:I,9,)</f>
        <v/>
      </c>
      <c r="C409" s="66">
        <f>B409/B408-1</f>
        <v/>
      </c>
      <c r="D409" s="66">
        <f>(Table1345[[#This Row],[Index]]-B397)/B397</f>
        <v/>
      </c>
    </row>
    <row r="410">
      <c r="A410" s="17" t="n">
        <v>38565</v>
      </c>
      <c r="B410" s="58">
        <f>VLOOKUP(Table1345[[#This Row],[Date]],database!A:I,9,)</f>
        <v/>
      </c>
      <c r="C410" s="66">
        <f>B410/B409-1</f>
        <v/>
      </c>
      <c r="D410" s="66">
        <f>(Table1345[[#This Row],[Index]]-B398)/B398</f>
        <v/>
      </c>
    </row>
    <row r="411">
      <c r="A411" s="17" t="n">
        <v>38596</v>
      </c>
      <c r="B411" s="58">
        <f>VLOOKUP(Table1345[[#This Row],[Date]],database!A:I,9,)</f>
        <v/>
      </c>
      <c r="C411" s="66">
        <f>B411/B410-1</f>
        <v/>
      </c>
      <c r="D411" s="66">
        <f>(Table1345[[#This Row],[Index]]-B399)/B399</f>
        <v/>
      </c>
    </row>
    <row r="412">
      <c r="A412" s="17" t="n">
        <v>38626</v>
      </c>
      <c r="B412" s="58">
        <f>VLOOKUP(Table1345[[#This Row],[Date]],database!A:I,9,)</f>
        <v/>
      </c>
      <c r="C412" s="66">
        <f>B412/B411-1</f>
        <v/>
      </c>
      <c r="D412" s="66">
        <f>(Table1345[[#This Row],[Index]]-B400)/B400</f>
        <v/>
      </c>
    </row>
    <row r="413">
      <c r="A413" s="17" t="n">
        <v>38657</v>
      </c>
      <c r="B413" s="58">
        <f>VLOOKUP(Table1345[[#This Row],[Date]],database!A:I,9,)</f>
        <v/>
      </c>
      <c r="C413" s="66">
        <f>B413/B412-1</f>
        <v/>
      </c>
      <c r="D413" s="66">
        <f>(Table1345[[#This Row],[Index]]-B401)/B401</f>
        <v/>
      </c>
    </row>
    <row r="414">
      <c r="A414" s="17" t="n">
        <v>38687</v>
      </c>
      <c r="B414" s="58">
        <f>VLOOKUP(Table1345[[#This Row],[Date]],database!A:I,9,)</f>
        <v/>
      </c>
      <c r="C414" s="66">
        <f>B414/B413-1</f>
        <v/>
      </c>
      <c r="D414" s="66">
        <f>(Table1345[[#This Row],[Index]]-B402)/B402</f>
        <v/>
      </c>
    </row>
    <row r="415">
      <c r="A415" s="17" t="n">
        <v>38718</v>
      </c>
      <c r="B415" s="58">
        <f>VLOOKUP(Table1345[[#This Row],[Date]],database!A:I,9,)</f>
        <v/>
      </c>
      <c r="C415" s="66">
        <f>B415/B414-1</f>
        <v/>
      </c>
      <c r="D415" s="66">
        <f>(Table1345[[#This Row],[Index]]-B403)/B403</f>
        <v/>
      </c>
    </row>
    <row r="416">
      <c r="A416" s="17" t="n">
        <v>38749</v>
      </c>
      <c r="B416" s="58">
        <f>VLOOKUP(Table1345[[#This Row],[Date]],database!A:I,9,)</f>
        <v/>
      </c>
      <c r="C416" s="66">
        <f>B416/B415-1</f>
        <v/>
      </c>
      <c r="D416" s="66">
        <f>(Table1345[[#This Row],[Index]]-B404)/B404</f>
        <v/>
      </c>
    </row>
    <row r="417">
      <c r="A417" s="17" t="n">
        <v>38777</v>
      </c>
      <c r="B417" s="58">
        <f>VLOOKUP(Table1345[[#This Row],[Date]],database!A:I,9,)</f>
        <v/>
      </c>
      <c r="C417" s="66">
        <f>B417/B416-1</f>
        <v/>
      </c>
      <c r="D417" s="66">
        <f>(Table1345[[#This Row],[Index]]-B405)/B405</f>
        <v/>
      </c>
    </row>
    <row r="418">
      <c r="A418" s="17" t="n">
        <v>38808</v>
      </c>
      <c r="B418" s="58">
        <f>VLOOKUP(Table1345[[#This Row],[Date]],database!A:I,9,)</f>
        <v/>
      </c>
      <c r="C418" s="66">
        <f>B418/B417-1</f>
        <v/>
      </c>
      <c r="D418" s="66">
        <f>(Table1345[[#This Row],[Index]]-B406)/B406</f>
        <v/>
      </c>
    </row>
    <row r="419">
      <c r="A419" s="17" t="n">
        <v>38838</v>
      </c>
      <c r="B419" s="58">
        <f>VLOOKUP(Table1345[[#This Row],[Date]],database!A:I,9,)</f>
        <v/>
      </c>
      <c r="C419" s="66">
        <f>B419/B418-1</f>
        <v/>
      </c>
      <c r="D419" s="66">
        <f>(Table1345[[#This Row],[Index]]-B407)/B407</f>
        <v/>
      </c>
    </row>
    <row r="420">
      <c r="A420" s="17" t="n">
        <v>38869</v>
      </c>
      <c r="B420" s="58">
        <f>VLOOKUP(Table1345[[#This Row],[Date]],database!A:I,9,)</f>
        <v/>
      </c>
      <c r="C420" s="66">
        <f>B420/B419-1</f>
        <v/>
      </c>
      <c r="D420" s="66">
        <f>(Table1345[[#This Row],[Index]]-B408)/B408</f>
        <v/>
      </c>
    </row>
    <row r="421">
      <c r="A421" s="17" t="n">
        <v>38899</v>
      </c>
      <c r="B421" s="58">
        <f>VLOOKUP(Table1345[[#This Row],[Date]],database!A:I,9,)</f>
        <v/>
      </c>
      <c r="C421" s="66">
        <f>B421/B420-1</f>
        <v/>
      </c>
      <c r="D421" s="66">
        <f>(Table1345[[#This Row],[Index]]-B409)/B409</f>
        <v/>
      </c>
    </row>
    <row r="422">
      <c r="A422" s="17" t="n">
        <v>38930</v>
      </c>
      <c r="B422" s="58">
        <f>VLOOKUP(Table1345[[#This Row],[Date]],database!A:I,9,)</f>
        <v/>
      </c>
      <c r="C422" s="66">
        <f>B422/B421-1</f>
        <v/>
      </c>
      <c r="D422" s="66">
        <f>(Table1345[[#This Row],[Index]]-B410)/B410</f>
        <v/>
      </c>
    </row>
    <row r="423">
      <c r="A423" s="17" t="n">
        <v>38961</v>
      </c>
      <c r="B423" s="58">
        <f>VLOOKUP(Table1345[[#This Row],[Date]],database!A:I,9,)</f>
        <v/>
      </c>
      <c r="C423" s="66">
        <f>B423/B422-1</f>
        <v/>
      </c>
      <c r="D423" s="66">
        <f>(Table1345[[#This Row],[Index]]-B411)/B411</f>
        <v/>
      </c>
    </row>
    <row r="424">
      <c r="A424" s="17" t="n">
        <v>38991</v>
      </c>
      <c r="B424" s="58">
        <f>VLOOKUP(Table1345[[#This Row],[Date]],database!A:I,9,)</f>
        <v/>
      </c>
      <c r="C424" s="66">
        <f>B424/B423-1</f>
        <v/>
      </c>
      <c r="D424" s="66">
        <f>(Table1345[[#This Row],[Index]]-B412)/B412</f>
        <v/>
      </c>
    </row>
    <row r="425">
      <c r="A425" s="17" t="n">
        <v>39022</v>
      </c>
      <c r="B425" s="58">
        <f>VLOOKUP(Table1345[[#This Row],[Date]],database!A:I,9,)</f>
        <v/>
      </c>
      <c r="C425" s="66">
        <f>B425/B424-1</f>
        <v/>
      </c>
      <c r="D425" s="66">
        <f>(Table1345[[#This Row],[Index]]-B413)/B413</f>
        <v/>
      </c>
    </row>
    <row r="426">
      <c r="A426" s="17" t="n">
        <v>39052</v>
      </c>
      <c r="B426" s="58">
        <f>VLOOKUP(Table1345[[#This Row],[Date]],database!A:I,9,)</f>
        <v/>
      </c>
      <c r="C426" s="66">
        <f>B426/B425-1</f>
        <v/>
      </c>
      <c r="D426" s="66">
        <f>(Table1345[[#This Row],[Index]]-B414)/B414</f>
        <v/>
      </c>
    </row>
    <row r="427">
      <c r="A427" s="17" t="n">
        <v>39083</v>
      </c>
      <c r="B427" s="58">
        <f>VLOOKUP(Table1345[[#This Row],[Date]],database!A:I,9,)</f>
        <v/>
      </c>
      <c r="C427" s="66">
        <f>B427/B426-1</f>
        <v/>
      </c>
      <c r="D427" s="66">
        <f>(Table1345[[#This Row],[Index]]-B415)/B415</f>
        <v/>
      </c>
    </row>
    <row r="428">
      <c r="A428" s="17" t="n">
        <v>39114</v>
      </c>
      <c r="B428" s="58">
        <f>VLOOKUP(Table1345[[#This Row],[Date]],database!A:I,9,)</f>
        <v/>
      </c>
      <c r="C428" s="66">
        <f>B428/B427-1</f>
        <v/>
      </c>
      <c r="D428" s="66">
        <f>(Table1345[[#This Row],[Index]]-B416)/B416</f>
        <v/>
      </c>
    </row>
    <row r="429">
      <c r="A429" s="17" t="n">
        <v>39142</v>
      </c>
      <c r="B429" s="58">
        <f>VLOOKUP(Table1345[[#This Row],[Date]],database!A:I,9,)</f>
        <v/>
      </c>
      <c r="C429" s="66">
        <f>B429/B428-1</f>
        <v/>
      </c>
      <c r="D429" s="66">
        <f>(Table1345[[#This Row],[Index]]-B417)/B417</f>
        <v/>
      </c>
    </row>
    <row r="430">
      <c r="A430" s="17" t="n">
        <v>39173</v>
      </c>
      <c r="B430" s="58">
        <f>VLOOKUP(Table1345[[#This Row],[Date]],database!A:I,9,)</f>
        <v/>
      </c>
      <c r="C430" s="66">
        <f>B430/B429-1</f>
        <v/>
      </c>
      <c r="D430" s="66">
        <f>(Table1345[[#This Row],[Index]]-B418)/B418</f>
        <v/>
      </c>
    </row>
    <row r="431">
      <c r="A431" s="17" t="n">
        <v>39203</v>
      </c>
      <c r="B431" s="58">
        <f>VLOOKUP(Table1345[[#This Row],[Date]],database!A:I,9,)</f>
        <v/>
      </c>
      <c r="C431" s="66">
        <f>B431/B430-1</f>
        <v/>
      </c>
      <c r="D431" s="66">
        <f>(Table1345[[#This Row],[Index]]-B419)/B419</f>
        <v/>
      </c>
    </row>
    <row r="432">
      <c r="A432" s="17" t="n">
        <v>39234</v>
      </c>
      <c r="B432" s="58">
        <f>VLOOKUP(Table1345[[#This Row],[Date]],database!A:I,9,)</f>
        <v/>
      </c>
      <c r="C432" s="66">
        <f>B432/B431-1</f>
        <v/>
      </c>
      <c r="D432" s="66">
        <f>(Table1345[[#This Row],[Index]]-B420)/B420</f>
        <v/>
      </c>
    </row>
    <row r="433">
      <c r="A433" s="17" t="n">
        <v>39264</v>
      </c>
      <c r="B433" s="58">
        <f>VLOOKUP(Table1345[[#This Row],[Date]],database!A:I,9,)</f>
        <v/>
      </c>
      <c r="C433" s="66">
        <f>B433/B432-1</f>
        <v/>
      </c>
      <c r="D433" s="66">
        <f>(Table1345[[#This Row],[Index]]-B421)/B421</f>
        <v/>
      </c>
    </row>
    <row r="434">
      <c r="A434" s="17" t="n">
        <v>39295</v>
      </c>
      <c r="B434" s="58">
        <f>VLOOKUP(Table1345[[#This Row],[Date]],database!A:I,9,)</f>
        <v/>
      </c>
      <c r="C434" s="66">
        <f>B434/B433-1</f>
        <v/>
      </c>
      <c r="D434" s="66">
        <f>(Table1345[[#This Row],[Index]]-B422)/B422</f>
        <v/>
      </c>
    </row>
    <row r="435">
      <c r="A435" s="17" t="n">
        <v>39326</v>
      </c>
      <c r="B435" s="58">
        <f>VLOOKUP(Table1345[[#This Row],[Date]],database!A:I,9,)</f>
        <v/>
      </c>
      <c r="C435" s="66">
        <f>B435/B434-1</f>
        <v/>
      </c>
      <c r="D435" s="66">
        <f>(Table1345[[#This Row],[Index]]-B423)/B423</f>
        <v/>
      </c>
    </row>
    <row r="436">
      <c r="A436" s="17" t="n">
        <v>39356</v>
      </c>
      <c r="B436" s="58">
        <f>VLOOKUP(Table1345[[#This Row],[Date]],database!A:I,9,)</f>
        <v/>
      </c>
      <c r="C436" s="66">
        <f>B436/B435-1</f>
        <v/>
      </c>
      <c r="D436" s="66">
        <f>(Table1345[[#This Row],[Index]]-B424)/B424</f>
        <v/>
      </c>
    </row>
    <row r="437">
      <c r="A437" s="17" t="n">
        <v>39387</v>
      </c>
      <c r="B437" s="58">
        <f>VLOOKUP(Table1345[[#This Row],[Date]],database!A:I,9,)</f>
        <v/>
      </c>
      <c r="C437" s="66">
        <f>B437/B436-1</f>
        <v/>
      </c>
      <c r="D437" s="66">
        <f>(Table1345[[#This Row],[Index]]-B425)/B425</f>
        <v/>
      </c>
    </row>
    <row r="438">
      <c r="A438" s="17" t="n">
        <v>39417</v>
      </c>
      <c r="B438" s="58">
        <f>VLOOKUP(Table1345[[#This Row],[Date]],database!A:I,9,)</f>
        <v/>
      </c>
      <c r="C438" s="66">
        <f>B438/B437-1</f>
        <v/>
      </c>
      <c r="D438" s="66">
        <f>(Table1345[[#This Row],[Index]]-B426)/B426</f>
        <v/>
      </c>
    </row>
    <row r="439">
      <c r="A439" s="17" t="n">
        <v>39448</v>
      </c>
      <c r="B439" s="58">
        <f>VLOOKUP(Table1345[[#This Row],[Date]],database!A:I,9,)</f>
        <v/>
      </c>
      <c r="C439" s="66">
        <f>B439/B438-1</f>
        <v/>
      </c>
      <c r="D439" s="66">
        <f>(Table1345[[#This Row],[Index]]-B427)/B427</f>
        <v/>
      </c>
    </row>
    <row r="440">
      <c r="A440" s="17" t="n">
        <v>39479</v>
      </c>
      <c r="B440" s="58">
        <f>VLOOKUP(Table1345[[#This Row],[Date]],database!A:I,9,)</f>
        <v/>
      </c>
      <c r="C440" s="66">
        <f>B440/B439-1</f>
        <v/>
      </c>
      <c r="D440" s="66">
        <f>(Table1345[[#This Row],[Index]]-B428)/B428</f>
        <v/>
      </c>
    </row>
    <row r="441">
      <c r="A441" s="17" t="n">
        <v>39508</v>
      </c>
      <c r="B441" s="58">
        <f>VLOOKUP(Table1345[[#This Row],[Date]],database!A:I,9,)</f>
        <v/>
      </c>
      <c r="C441" s="66">
        <f>B441/B440-1</f>
        <v/>
      </c>
      <c r="D441" s="66">
        <f>(Table1345[[#This Row],[Index]]-B429)/B429</f>
        <v/>
      </c>
    </row>
    <row r="442">
      <c r="A442" s="17" t="n">
        <v>39539</v>
      </c>
      <c r="B442" s="58">
        <f>VLOOKUP(Table1345[[#This Row],[Date]],database!A:I,9,)</f>
        <v/>
      </c>
      <c r="C442" s="66">
        <f>B442/B441-1</f>
        <v/>
      </c>
      <c r="D442" s="66">
        <f>(Table1345[[#This Row],[Index]]-B430)/B430</f>
        <v/>
      </c>
    </row>
    <row r="443">
      <c r="A443" s="17" t="n">
        <v>39569</v>
      </c>
      <c r="B443" s="58">
        <f>VLOOKUP(Table1345[[#This Row],[Date]],database!A:I,9,)</f>
        <v/>
      </c>
      <c r="C443" s="66">
        <f>B443/B442-1</f>
        <v/>
      </c>
      <c r="D443" s="66">
        <f>(Table1345[[#This Row],[Index]]-B431)/B431</f>
        <v/>
      </c>
    </row>
    <row r="444">
      <c r="A444" s="17" t="n">
        <v>39600</v>
      </c>
      <c r="B444" s="58">
        <f>VLOOKUP(Table1345[[#This Row],[Date]],database!A:I,9,)</f>
        <v/>
      </c>
      <c r="C444" s="66">
        <f>B444/B443-1</f>
        <v/>
      </c>
      <c r="D444" s="66">
        <f>(Table1345[[#This Row],[Index]]-B432)/B432</f>
        <v/>
      </c>
    </row>
    <row r="445">
      <c r="A445" s="17" t="n">
        <v>39630</v>
      </c>
      <c r="B445" s="58">
        <f>VLOOKUP(Table1345[[#This Row],[Date]],database!A:I,9,)</f>
        <v/>
      </c>
      <c r="C445" s="66">
        <f>B445/B444-1</f>
        <v/>
      </c>
      <c r="D445" s="66">
        <f>(Table1345[[#This Row],[Index]]-B433)/B433</f>
        <v/>
      </c>
    </row>
    <row r="446">
      <c r="A446" s="17" t="n">
        <v>39661</v>
      </c>
      <c r="B446" s="58">
        <f>VLOOKUP(Table1345[[#This Row],[Date]],database!A:I,9,)</f>
        <v/>
      </c>
      <c r="C446" s="66">
        <f>B446/B445-1</f>
        <v/>
      </c>
      <c r="D446" s="66">
        <f>(Table1345[[#This Row],[Index]]-B434)/B434</f>
        <v/>
      </c>
    </row>
    <row r="447">
      <c r="A447" s="17" t="n">
        <v>39692</v>
      </c>
      <c r="B447" s="58">
        <f>VLOOKUP(Table1345[[#This Row],[Date]],database!A:I,9,)</f>
        <v/>
      </c>
      <c r="C447" s="66">
        <f>B447/B446-1</f>
        <v/>
      </c>
      <c r="D447" s="66">
        <f>(Table1345[[#This Row],[Index]]-B435)/B435</f>
        <v/>
      </c>
    </row>
    <row r="448">
      <c r="A448" s="17" t="n">
        <v>39722</v>
      </c>
      <c r="B448" s="58">
        <f>VLOOKUP(Table1345[[#This Row],[Date]],database!A:I,9,)</f>
        <v/>
      </c>
      <c r="C448" s="66">
        <f>B448/B447-1</f>
        <v/>
      </c>
      <c r="D448" s="66">
        <f>(Table1345[[#This Row],[Index]]-B436)/B436</f>
        <v/>
      </c>
    </row>
    <row r="449">
      <c r="A449" s="17" t="n">
        <v>39753</v>
      </c>
      <c r="B449" s="58">
        <f>VLOOKUP(Table1345[[#This Row],[Date]],database!A:I,9,)</f>
        <v/>
      </c>
      <c r="C449" s="66">
        <f>B449/B448-1</f>
        <v/>
      </c>
      <c r="D449" s="66">
        <f>(Table1345[[#This Row],[Index]]-B437)/B437</f>
        <v/>
      </c>
    </row>
    <row r="450">
      <c r="A450" s="17" t="n">
        <v>39783</v>
      </c>
      <c r="B450" s="58">
        <f>VLOOKUP(Table1345[[#This Row],[Date]],database!A:I,9,)</f>
        <v/>
      </c>
      <c r="C450" s="66">
        <f>B450/B449-1</f>
        <v/>
      </c>
      <c r="D450" s="66">
        <f>(Table1345[[#This Row],[Index]]-B438)/B438</f>
        <v/>
      </c>
    </row>
    <row r="451">
      <c r="A451" s="17" t="n">
        <v>39814</v>
      </c>
      <c r="B451" s="58">
        <f>VLOOKUP(Table1345[[#This Row],[Date]],database!A:I,9,)</f>
        <v/>
      </c>
      <c r="C451" s="66">
        <f>B451/B450-1</f>
        <v/>
      </c>
      <c r="D451" s="66">
        <f>(Table1345[[#This Row],[Index]]-B439)/B439</f>
        <v/>
      </c>
    </row>
    <row r="452">
      <c r="A452" s="17" t="n">
        <v>39845</v>
      </c>
      <c r="B452" s="58">
        <f>VLOOKUP(Table1345[[#This Row],[Date]],database!A:I,9,)</f>
        <v/>
      </c>
      <c r="C452" s="66">
        <f>B452/B451-1</f>
        <v/>
      </c>
      <c r="D452" s="66">
        <f>(Table1345[[#This Row],[Index]]-B440)/B440</f>
        <v/>
      </c>
    </row>
    <row r="453">
      <c r="A453" s="17" t="n">
        <v>39873</v>
      </c>
      <c r="B453" s="58">
        <f>VLOOKUP(Table1345[[#This Row],[Date]],database!A:I,9,)</f>
        <v/>
      </c>
      <c r="C453" s="66">
        <f>B453/B452-1</f>
        <v/>
      </c>
      <c r="D453" s="66">
        <f>(Table1345[[#This Row],[Index]]-B441)/B441</f>
        <v/>
      </c>
    </row>
    <row r="454">
      <c r="A454" s="17" t="n">
        <v>39904</v>
      </c>
      <c r="B454" s="58">
        <f>VLOOKUP(Table1345[[#This Row],[Date]],database!A:I,9,)</f>
        <v/>
      </c>
      <c r="C454" s="66">
        <f>B454/B453-1</f>
        <v/>
      </c>
      <c r="D454" s="66">
        <f>(Table1345[[#This Row],[Index]]-B442)/B442</f>
        <v/>
      </c>
    </row>
    <row r="455">
      <c r="A455" s="17" t="n">
        <v>39934</v>
      </c>
      <c r="B455" s="58">
        <f>VLOOKUP(Table1345[[#This Row],[Date]],database!A:I,9,)</f>
        <v/>
      </c>
      <c r="C455" s="66">
        <f>B455/B454-1</f>
        <v/>
      </c>
      <c r="D455" s="66">
        <f>(Table1345[[#This Row],[Index]]-B443)/B443</f>
        <v/>
      </c>
    </row>
    <row r="456">
      <c r="A456" s="17" t="n">
        <v>39965</v>
      </c>
      <c r="B456" s="58">
        <f>VLOOKUP(Table1345[[#This Row],[Date]],database!A:I,9,)</f>
        <v/>
      </c>
      <c r="C456" s="66">
        <f>B456/B455-1</f>
        <v/>
      </c>
      <c r="D456" s="66">
        <f>(Table1345[[#This Row],[Index]]-B444)/B444</f>
        <v/>
      </c>
    </row>
    <row r="457">
      <c r="A457" s="17" t="n">
        <v>39995</v>
      </c>
      <c r="B457" s="58">
        <f>VLOOKUP(Table1345[[#This Row],[Date]],database!A:I,9,)</f>
        <v/>
      </c>
      <c r="C457" s="66">
        <f>B457/B456-1</f>
        <v/>
      </c>
      <c r="D457" s="66">
        <f>(Table1345[[#This Row],[Index]]-B445)/B445</f>
        <v/>
      </c>
    </row>
    <row r="458">
      <c r="A458" s="17" t="n">
        <v>40026</v>
      </c>
      <c r="B458" s="58">
        <f>VLOOKUP(Table1345[[#This Row],[Date]],database!A:I,9,)</f>
        <v/>
      </c>
      <c r="C458" s="66">
        <f>B458/B457-1</f>
        <v/>
      </c>
      <c r="D458" s="66">
        <f>(Table1345[[#This Row],[Index]]-B446)/B446</f>
        <v/>
      </c>
    </row>
    <row r="459">
      <c r="A459" s="17" t="n">
        <v>40057</v>
      </c>
      <c r="B459" s="58">
        <f>VLOOKUP(Table1345[[#This Row],[Date]],database!A:I,9,)</f>
        <v/>
      </c>
      <c r="C459" s="66">
        <f>B459/B458-1</f>
        <v/>
      </c>
      <c r="D459" s="66">
        <f>(Table1345[[#This Row],[Index]]-B447)/B447</f>
        <v/>
      </c>
    </row>
    <row r="460">
      <c r="A460" s="17" t="n">
        <v>40087</v>
      </c>
      <c r="B460" s="58">
        <f>VLOOKUP(Table1345[[#This Row],[Date]],database!A:I,9,)</f>
        <v/>
      </c>
      <c r="C460" s="66">
        <f>B460/B459-1</f>
        <v/>
      </c>
      <c r="D460" s="66">
        <f>(Table1345[[#This Row],[Index]]-B448)/B448</f>
        <v/>
      </c>
    </row>
    <row r="461">
      <c r="A461" s="17" t="n">
        <v>40118</v>
      </c>
      <c r="B461" s="58">
        <f>VLOOKUP(Table1345[[#This Row],[Date]],database!A:I,9,)</f>
        <v/>
      </c>
      <c r="C461" s="66">
        <f>B461/B460-1</f>
        <v/>
      </c>
      <c r="D461" s="66">
        <f>(Table1345[[#This Row],[Index]]-B449)/B449</f>
        <v/>
      </c>
    </row>
    <row r="462">
      <c r="A462" s="17" t="n">
        <v>40148</v>
      </c>
      <c r="B462" s="58">
        <f>VLOOKUP(Table1345[[#This Row],[Date]],database!A:I,9,)</f>
        <v/>
      </c>
      <c r="C462" s="66">
        <f>B462/B461-1</f>
        <v/>
      </c>
      <c r="D462" s="66">
        <f>(Table1345[[#This Row],[Index]]-B450)/B450</f>
        <v/>
      </c>
    </row>
    <row r="463">
      <c r="A463" s="17" t="n">
        <v>40179</v>
      </c>
      <c r="B463" s="58">
        <f>VLOOKUP(Table1345[[#This Row],[Date]],database!A:I,9,)</f>
        <v/>
      </c>
      <c r="C463" s="66">
        <f>B463/B462-1</f>
        <v/>
      </c>
      <c r="D463" s="66">
        <f>(Table1345[[#This Row],[Index]]-B451)/B451</f>
        <v/>
      </c>
    </row>
    <row r="464">
      <c r="A464" s="17" t="n">
        <v>40210</v>
      </c>
      <c r="B464" s="58">
        <f>VLOOKUP(Table1345[[#This Row],[Date]],database!A:I,9,)</f>
        <v/>
      </c>
      <c r="C464" s="66">
        <f>B464/B463-1</f>
        <v/>
      </c>
      <c r="D464" s="66">
        <f>(Table1345[[#This Row],[Index]]-B452)/B452</f>
        <v/>
      </c>
    </row>
    <row r="465">
      <c r="A465" s="17" t="n">
        <v>40238</v>
      </c>
      <c r="B465" s="58">
        <f>VLOOKUP(Table1345[[#This Row],[Date]],database!A:I,9,)</f>
        <v/>
      </c>
      <c r="C465" s="66">
        <f>B465/B464-1</f>
        <v/>
      </c>
      <c r="D465" s="66">
        <f>(Table1345[[#This Row],[Index]]-B453)/B453</f>
        <v/>
      </c>
    </row>
    <row r="466">
      <c r="A466" s="17" t="n">
        <v>40269</v>
      </c>
      <c r="B466" s="58">
        <f>VLOOKUP(Table1345[[#This Row],[Date]],database!A:I,9,)</f>
        <v/>
      </c>
      <c r="C466" s="66">
        <f>B466/B465-1</f>
        <v/>
      </c>
      <c r="D466" s="66">
        <f>(Table1345[[#This Row],[Index]]-B454)/B454</f>
        <v/>
      </c>
    </row>
    <row r="467">
      <c r="A467" s="17" t="n">
        <v>40299</v>
      </c>
      <c r="B467" s="58">
        <f>VLOOKUP(Table1345[[#This Row],[Date]],database!A:I,9,)</f>
        <v/>
      </c>
      <c r="C467" s="66">
        <f>B467/B466-1</f>
        <v/>
      </c>
      <c r="D467" s="66">
        <f>(Table1345[[#This Row],[Index]]-B455)/B455</f>
        <v/>
      </c>
    </row>
    <row r="468">
      <c r="A468" s="17" t="n">
        <v>40330</v>
      </c>
      <c r="B468" s="58">
        <f>VLOOKUP(Table1345[[#This Row],[Date]],database!A:I,9,)</f>
        <v/>
      </c>
      <c r="C468" s="66">
        <f>B468/B467-1</f>
        <v/>
      </c>
      <c r="D468" s="66">
        <f>(Table1345[[#This Row],[Index]]-B456)/B456</f>
        <v/>
      </c>
    </row>
    <row r="469">
      <c r="A469" s="17" t="n">
        <v>40360</v>
      </c>
      <c r="B469" s="58">
        <f>VLOOKUP(Table1345[[#This Row],[Date]],database!A:I,9,)</f>
        <v/>
      </c>
      <c r="C469" s="66">
        <f>B469/B468-1</f>
        <v/>
      </c>
      <c r="D469" s="66">
        <f>(Table1345[[#This Row],[Index]]-B457)/B457</f>
        <v/>
      </c>
    </row>
    <row r="470">
      <c r="A470" s="17" t="n">
        <v>40391</v>
      </c>
      <c r="B470" s="58">
        <f>VLOOKUP(Table1345[[#This Row],[Date]],database!A:I,9,)</f>
        <v/>
      </c>
      <c r="C470" s="66">
        <f>B470/B469-1</f>
        <v/>
      </c>
      <c r="D470" s="66">
        <f>(Table1345[[#This Row],[Index]]-B458)/B458</f>
        <v/>
      </c>
    </row>
    <row r="471">
      <c r="A471" s="17" t="n">
        <v>40422</v>
      </c>
      <c r="B471" s="58">
        <f>VLOOKUP(Table1345[[#This Row],[Date]],database!A:I,9,)</f>
        <v/>
      </c>
      <c r="C471" s="66">
        <f>B471/B470-1</f>
        <v/>
      </c>
      <c r="D471" s="66">
        <f>(Table1345[[#This Row],[Index]]-B459)/B459</f>
        <v/>
      </c>
    </row>
    <row r="472">
      <c r="A472" s="17" t="n">
        <v>40452</v>
      </c>
      <c r="B472" s="58">
        <f>VLOOKUP(Table1345[[#This Row],[Date]],database!A:I,9,)</f>
        <v/>
      </c>
      <c r="C472" s="66">
        <f>B472/B471-1</f>
        <v/>
      </c>
      <c r="D472" s="66">
        <f>(Table1345[[#This Row],[Index]]-B460)/B460</f>
        <v/>
      </c>
    </row>
    <row r="473">
      <c r="A473" s="17" t="n">
        <v>40483</v>
      </c>
      <c r="B473" s="58">
        <f>VLOOKUP(Table1345[[#This Row],[Date]],database!A:I,9,)</f>
        <v/>
      </c>
      <c r="C473" s="66">
        <f>B473/B472-1</f>
        <v/>
      </c>
      <c r="D473" s="66">
        <f>(Table1345[[#This Row],[Index]]-B461)/B461</f>
        <v/>
      </c>
    </row>
    <row r="474">
      <c r="A474" s="17" t="n">
        <v>40513</v>
      </c>
      <c r="B474" s="58">
        <f>VLOOKUP(Table1345[[#This Row],[Date]],database!A:I,9,)</f>
        <v/>
      </c>
      <c r="C474" s="66">
        <f>B474/B473-1</f>
        <v/>
      </c>
      <c r="D474" s="66">
        <f>(Table1345[[#This Row],[Index]]-B462)/B462</f>
        <v/>
      </c>
    </row>
    <row r="475">
      <c r="A475" s="17" t="n">
        <v>40544</v>
      </c>
      <c r="B475" s="58">
        <f>VLOOKUP(Table1345[[#This Row],[Date]],database!A:I,9,)</f>
        <v/>
      </c>
      <c r="C475" s="66">
        <f>B475/B474-1</f>
        <v/>
      </c>
      <c r="D475" s="66">
        <f>(Table1345[[#This Row],[Index]]-B463)/B463</f>
        <v/>
      </c>
    </row>
    <row r="476">
      <c r="A476" s="17" t="n">
        <v>40575</v>
      </c>
      <c r="B476" s="58">
        <f>VLOOKUP(Table1345[[#This Row],[Date]],database!A:I,9,)</f>
        <v/>
      </c>
      <c r="C476" s="66">
        <f>B476/B475-1</f>
        <v/>
      </c>
      <c r="D476" s="66">
        <f>(Table1345[[#This Row],[Index]]-B464)/B464</f>
        <v/>
      </c>
    </row>
    <row r="477">
      <c r="A477" s="17" t="n">
        <v>40603</v>
      </c>
      <c r="B477" s="58">
        <f>VLOOKUP(Table1345[[#This Row],[Date]],database!A:I,9,)</f>
        <v/>
      </c>
      <c r="C477" s="66">
        <f>B477/B476-1</f>
        <v/>
      </c>
      <c r="D477" s="66">
        <f>(Table1345[[#This Row],[Index]]-B465)/B465</f>
        <v/>
      </c>
    </row>
    <row r="478">
      <c r="A478" s="17" t="n">
        <v>40634</v>
      </c>
      <c r="B478" s="58">
        <f>VLOOKUP(Table1345[[#This Row],[Date]],database!A:I,9,)</f>
        <v/>
      </c>
      <c r="C478" s="67">
        <f>B478/B477-1</f>
        <v/>
      </c>
      <c r="D478" s="66">
        <f>(Table1345[[#This Row],[Index]]-B466)/B466</f>
        <v/>
      </c>
    </row>
    <row r="479">
      <c r="A479" s="17" t="n">
        <v>40664</v>
      </c>
      <c r="B479" s="58">
        <f>VLOOKUP(Table1345[[#This Row],[Date]],database!A:I,9,)</f>
        <v/>
      </c>
      <c r="C479" s="66">
        <f>B479/B478-1</f>
        <v/>
      </c>
      <c r="D479" s="66">
        <f>(Table1345[[#This Row],[Index]]-B467)/B467</f>
        <v/>
      </c>
    </row>
    <row r="480">
      <c r="A480" s="17" t="n">
        <v>40695</v>
      </c>
      <c r="B480" s="58">
        <f>VLOOKUP(Table1345[[#This Row],[Date]],database!A:I,9,)</f>
        <v/>
      </c>
      <c r="C480" s="66">
        <f>B480/B479-1</f>
        <v/>
      </c>
      <c r="D480" s="66">
        <f>(Table1345[[#This Row],[Index]]-B468)/B468</f>
        <v/>
      </c>
    </row>
    <row r="481">
      <c r="A481" s="17" t="n">
        <v>40725</v>
      </c>
      <c r="B481" s="58">
        <f>VLOOKUP(Table1345[[#This Row],[Date]],database!A:I,9,)</f>
        <v/>
      </c>
      <c r="C481" s="66">
        <f>B481/B480-1</f>
        <v/>
      </c>
      <c r="D481" s="66">
        <f>(Table1345[[#This Row],[Index]]-B469)/B469</f>
        <v/>
      </c>
    </row>
    <row r="482">
      <c r="A482" s="17" t="n">
        <v>40756</v>
      </c>
      <c r="B482" s="58">
        <f>VLOOKUP(Table1345[[#This Row],[Date]],database!A:I,9,)</f>
        <v/>
      </c>
      <c r="C482" s="66">
        <f>B482/B481-1</f>
        <v/>
      </c>
      <c r="D482" s="66">
        <f>(Table1345[[#This Row],[Index]]-B470)/B470</f>
        <v/>
      </c>
    </row>
    <row r="483">
      <c r="A483" s="17" t="n">
        <v>40787</v>
      </c>
      <c r="B483" s="58">
        <f>VLOOKUP(Table1345[[#This Row],[Date]],database!A:I,9,)</f>
        <v/>
      </c>
      <c r="C483" s="66">
        <f>B483/B482-1</f>
        <v/>
      </c>
      <c r="D483" s="66">
        <f>(Table1345[[#This Row],[Index]]-B471)/B471</f>
        <v/>
      </c>
    </row>
    <row r="484">
      <c r="A484" s="17" t="n">
        <v>40817</v>
      </c>
      <c r="B484" s="58">
        <f>VLOOKUP(Table1345[[#This Row],[Date]],database!A:I,9,)</f>
        <v/>
      </c>
      <c r="C484" s="66">
        <f>B484/B483-1</f>
        <v/>
      </c>
      <c r="D484" s="66">
        <f>(Table1345[[#This Row],[Index]]-B472)/B472</f>
        <v/>
      </c>
    </row>
    <row r="485">
      <c r="A485" s="17" t="n">
        <v>40848</v>
      </c>
      <c r="B485" s="58">
        <f>VLOOKUP(Table1345[[#This Row],[Date]],database!A:I,9,)</f>
        <v/>
      </c>
      <c r="C485" s="66">
        <f>B485/B484-1</f>
        <v/>
      </c>
      <c r="D485" s="66">
        <f>(Table1345[[#This Row],[Index]]-B473)/B473</f>
        <v/>
      </c>
    </row>
    <row r="486">
      <c r="A486" s="17" t="n">
        <v>40878</v>
      </c>
      <c r="B486" s="58">
        <f>VLOOKUP(Table1345[[#This Row],[Date]],database!A:I,9,)</f>
        <v/>
      </c>
      <c r="C486" s="66">
        <f>B486/B485-1</f>
        <v/>
      </c>
      <c r="D486" s="66">
        <f>(Table1345[[#This Row],[Index]]-B474)/B474</f>
        <v/>
      </c>
    </row>
    <row r="487">
      <c r="A487" s="17" t="n">
        <v>40909</v>
      </c>
      <c r="B487" s="58">
        <f>VLOOKUP(Table1345[[#This Row],[Date]],database!A:I,9,)</f>
        <v/>
      </c>
      <c r="C487" s="66">
        <f>B487/B486-1</f>
        <v/>
      </c>
      <c r="D487" s="66">
        <f>(Table1345[[#This Row],[Index]]-B475)/B475</f>
        <v/>
      </c>
    </row>
    <row r="488">
      <c r="A488" s="17" t="n">
        <v>40940</v>
      </c>
      <c r="B488" s="58">
        <f>VLOOKUP(Table1345[[#This Row],[Date]],database!A:I,9,)</f>
        <v/>
      </c>
      <c r="C488" s="66">
        <f>B488/B487-1</f>
        <v/>
      </c>
      <c r="D488" s="66">
        <f>(Table1345[[#This Row],[Index]]-B476)/B476</f>
        <v/>
      </c>
    </row>
    <row r="489">
      <c r="A489" s="17" t="n">
        <v>40969</v>
      </c>
      <c r="B489" s="58">
        <f>VLOOKUP(Table1345[[#This Row],[Date]],database!A:I,9,)</f>
        <v/>
      </c>
      <c r="C489" s="66">
        <f>B489/B488-1</f>
        <v/>
      </c>
      <c r="D489" s="66">
        <f>(Table1345[[#This Row],[Index]]-B477)/B477</f>
        <v/>
      </c>
    </row>
    <row r="490">
      <c r="A490" s="17" t="n">
        <v>41000</v>
      </c>
      <c r="B490" s="58">
        <f>VLOOKUP(Table1345[[#This Row],[Date]],database!A:I,9,)</f>
        <v/>
      </c>
      <c r="C490" s="66">
        <f>B490/B489-1</f>
        <v/>
      </c>
      <c r="D490" s="66">
        <f>(Table1345[[#This Row],[Index]]-B478)/B478</f>
        <v/>
      </c>
    </row>
    <row r="491">
      <c r="A491" s="17" t="n">
        <v>41030</v>
      </c>
      <c r="B491" s="58">
        <f>VLOOKUP(Table1345[[#This Row],[Date]],database!A:I,9,)</f>
        <v/>
      </c>
      <c r="C491" s="66">
        <f>B491/B490-1</f>
        <v/>
      </c>
      <c r="D491" s="66">
        <f>(Table1345[[#This Row],[Index]]-B479)/B479</f>
        <v/>
      </c>
    </row>
    <row r="492">
      <c r="A492" s="17" t="n">
        <v>41061</v>
      </c>
      <c r="B492" s="58">
        <f>VLOOKUP(Table1345[[#This Row],[Date]],database!A:I,9,)</f>
        <v/>
      </c>
      <c r="C492" s="66">
        <f>B492/B491-1</f>
        <v/>
      </c>
      <c r="D492" s="66">
        <f>(Table1345[[#This Row],[Index]]-B480)/B480</f>
        <v/>
      </c>
    </row>
    <row r="493">
      <c r="A493" s="17" t="n">
        <v>41091</v>
      </c>
      <c r="B493" s="58">
        <f>VLOOKUP(Table1345[[#This Row],[Date]],database!A:I,9,)</f>
        <v/>
      </c>
      <c r="C493" s="66">
        <f>B493/B492-1</f>
        <v/>
      </c>
      <c r="D493" s="66">
        <f>(Table1345[[#This Row],[Index]]-B481)/B481</f>
        <v/>
      </c>
    </row>
    <row r="494">
      <c r="A494" s="17" t="n">
        <v>41122</v>
      </c>
      <c r="B494" s="58">
        <f>VLOOKUP(Table1345[[#This Row],[Date]],database!A:I,9,)</f>
        <v/>
      </c>
      <c r="C494" s="66">
        <f>B494/B493-1</f>
        <v/>
      </c>
      <c r="D494" s="66">
        <f>(Table1345[[#This Row],[Index]]-B482)/B482</f>
        <v/>
      </c>
    </row>
    <row r="495">
      <c r="A495" s="17" t="n">
        <v>41153</v>
      </c>
      <c r="B495" s="58">
        <f>VLOOKUP(Table1345[[#This Row],[Date]],database!A:I,9,)</f>
        <v/>
      </c>
      <c r="C495" s="66">
        <f>B495/B494-1</f>
        <v/>
      </c>
      <c r="D495" s="66">
        <f>(Table1345[[#This Row],[Index]]-B483)/B483</f>
        <v/>
      </c>
    </row>
    <row r="496">
      <c r="A496" s="17" t="n">
        <v>41183</v>
      </c>
      <c r="B496" s="58">
        <f>VLOOKUP(Table1345[[#This Row],[Date]],database!A:I,9,)</f>
        <v/>
      </c>
      <c r="C496" s="66">
        <f>B496/B495-1</f>
        <v/>
      </c>
      <c r="D496" s="66">
        <f>(Table1345[[#This Row],[Index]]-B484)/B484</f>
        <v/>
      </c>
    </row>
    <row r="497">
      <c r="A497" s="17" t="n">
        <v>41214</v>
      </c>
      <c r="B497" s="58">
        <f>VLOOKUP(Table1345[[#This Row],[Date]],database!A:I,9,)</f>
        <v/>
      </c>
      <c r="C497" s="66">
        <f>B497/B496-1</f>
        <v/>
      </c>
      <c r="D497" s="66">
        <f>(Table1345[[#This Row],[Index]]-B485)/B485</f>
        <v/>
      </c>
    </row>
    <row r="498">
      <c r="A498" s="17" t="n">
        <v>41244</v>
      </c>
      <c r="B498" s="58">
        <f>VLOOKUP(Table1345[[#This Row],[Date]],database!A:I,9,)</f>
        <v/>
      </c>
      <c r="C498" s="66">
        <f>B498/B497-1</f>
        <v/>
      </c>
      <c r="D498" s="66">
        <f>(Table1345[[#This Row],[Index]]-B486)/B486</f>
        <v/>
      </c>
    </row>
    <row r="499">
      <c r="A499" s="17" t="n">
        <v>41275</v>
      </c>
      <c r="B499" s="58">
        <f>VLOOKUP(Table1345[[#This Row],[Date]],database!A:I,9,)</f>
        <v/>
      </c>
      <c r="C499" s="66">
        <f>B499/B498-1</f>
        <v/>
      </c>
      <c r="D499" s="66">
        <f>(Table1345[[#This Row],[Index]]-B487)/B487</f>
        <v/>
      </c>
    </row>
    <row r="500">
      <c r="A500" s="17" t="n">
        <v>41306</v>
      </c>
      <c r="B500" s="58">
        <f>VLOOKUP(Table1345[[#This Row],[Date]],database!A:I,9,)</f>
        <v/>
      </c>
      <c r="C500" s="66">
        <f>B500/B499-1</f>
        <v/>
      </c>
      <c r="D500" s="66">
        <f>(Table1345[[#This Row],[Index]]-B488)/B488</f>
        <v/>
      </c>
    </row>
    <row r="501">
      <c r="A501" s="17" t="n">
        <v>41334</v>
      </c>
      <c r="B501" s="58">
        <f>VLOOKUP(Table1345[[#This Row],[Date]],database!A:I,9,)</f>
        <v/>
      </c>
      <c r="C501" s="66">
        <f>B501/B500-1</f>
        <v/>
      </c>
      <c r="D501" s="66">
        <f>(Table1345[[#This Row],[Index]]-B489)/B489</f>
        <v/>
      </c>
    </row>
    <row r="502">
      <c r="A502" s="17" t="n">
        <v>41365</v>
      </c>
      <c r="B502" s="58">
        <f>VLOOKUP(Table1345[[#This Row],[Date]],database!A:I,9,)</f>
        <v/>
      </c>
      <c r="C502" s="66">
        <f>B502/B501-1</f>
        <v/>
      </c>
      <c r="D502" s="66">
        <f>(Table1345[[#This Row],[Index]]-B490)/B490</f>
        <v/>
      </c>
    </row>
    <row r="503">
      <c r="A503" s="17" t="n">
        <v>41395</v>
      </c>
      <c r="B503" s="58">
        <f>VLOOKUP(Table1345[[#This Row],[Date]],database!A:I,9,)</f>
        <v/>
      </c>
      <c r="C503" s="66">
        <f>B503/B502-1</f>
        <v/>
      </c>
      <c r="D503" s="66">
        <f>(Table1345[[#This Row],[Index]]-B491)/B491</f>
        <v/>
      </c>
    </row>
    <row r="504">
      <c r="A504" s="17" t="n">
        <v>41426</v>
      </c>
      <c r="B504" s="58">
        <f>VLOOKUP(Table1345[[#This Row],[Date]],database!A:I,9,)</f>
        <v/>
      </c>
      <c r="C504" s="66">
        <f>B504/B503-1</f>
        <v/>
      </c>
      <c r="D504" s="66">
        <f>(Table1345[[#This Row],[Index]]-B492)/B492</f>
        <v/>
      </c>
    </row>
    <row r="505">
      <c r="A505" s="17" t="n">
        <v>41456</v>
      </c>
      <c r="B505" s="58">
        <f>VLOOKUP(Table1345[[#This Row],[Date]],database!A:I,9,)</f>
        <v/>
      </c>
      <c r="C505" s="66">
        <f>B505/B504-1</f>
        <v/>
      </c>
      <c r="D505" s="66">
        <f>(Table1345[[#This Row],[Index]]-B493)/B493</f>
        <v/>
      </c>
    </row>
    <row r="506">
      <c r="A506" s="17" t="n">
        <v>41487</v>
      </c>
      <c r="B506" s="58">
        <f>VLOOKUP(Table1345[[#This Row],[Date]],database!A:I,9,)</f>
        <v/>
      </c>
      <c r="C506" s="66">
        <f>B506/B505-1</f>
        <v/>
      </c>
      <c r="D506" s="66">
        <f>(Table1345[[#This Row],[Index]]-B494)/B494</f>
        <v/>
      </c>
    </row>
    <row r="507">
      <c r="A507" s="17" t="n">
        <v>41518</v>
      </c>
      <c r="B507" s="58">
        <f>VLOOKUP(Table1345[[#This Row],[Date]],database!A:I,9,)</f>
        <v/>
      </c>
      <c r="C507" s="66">
        <f>B507/B506-1</f>
        <v/>
      </c>
      <c r="D507" s="66">
        <f>(Table1345[[#This Row],[Index]]-B495)/B495</f>
        <v/>
      </c>
    </row>
    <row r="508">
      <c r="A508" s="17" t="n">
        <v>41548</v>
      </c>
      <c r="B508" s="58">
        <f>VLOOKUP(Table1345[[#This Row],[Date]],database!A:I,9,)</f>
        <v/>
      </c>
      <c r="C508" s="66">
        <f>B508/B507-1</f>
        <v/>
      </c>
      <c r="D508" s="66">
        <f>(Table1345[[#This Row],[Index]]-B496)/B496</f>
        <v/>
      </c>
    </row>
    <row r="509">
      <c r="A509" s="17" t="n">
        <v>41579</v>
      </c>
      <c r="B509" s="58">
        <f>VLOOKUP(Table1345[[#This Row],[Date]],database!A:I,9,)</f>
        <v/>
      </c>
      <c r="C509" s="66">
        <f>B509/B508-1</f>
        <v/>
      </c>
      <c r="D509" s="66">
        <f>(Table1345[[#This Row],[Index]]-B497)/B497</f>
        <v/>
      </c>
    </row>
    <row r="510">
      <c r="A510" s="17" t="n">
        <v>41609</v>
      </c>
      <c r="B510" s="58">
        <f>VLOOKUP(Table1345[[#This Row],[Date]],database!A:I,9,)</f>
        <v/>
      </c>
      <c r="C510" s="66">
        <f>B510/B509-1</f>
        <v/>
      </c>
      <c r="D510" s="66">
        <f>(Table1345[[#This Row],[Index]]-B498)/B498</f>
        <v/>
      </c>
    </row>
    <row r="511">
      <c r="A511" s="17" t="n">
        <v>41640</v>
      </c>
      <c r="B511" s="58">
        <f>VLOOKUP(Table1345[[#This Row],[Date]],database!A:I,9,)</f>
        <v/>
      </c>
      <c r="C511" s="66">
        <f>B511/B510-1</f>
        <v/>
      </c>
      <c r="D511" s="66">
        <f>(Table1345[[#This Row],[Index]]-B499)/B499</f>
        <v/>
      </c>
    </row>
    <row r="512">
      <c r="A512" s="17" t="n">
        <v>41671</v>
      </c>
      <c r="B512" s="58">
        <f>VLOOKUP(Table1345[[#This Row],[Date]],database!A:I,9,)</f>
        <v/>
      </c>
      <c r="C512" s="66">
        <f>B512/B511-1</f>
        <v/>
      </c>
      <c r="D512" s="66">
        <f>(Table1345[[#This Row],[Index]]-B500)/B500</f>
        <v/>
      </c>
    </row>
    <row r="513">
      <c r="A513" s="17" t="n">
        <v>41699</v>
      </c>
      <c r="B513" s="58">
        <f>VLOOKUP(Table1345[[#This Row],[Date]],database!A:I,9,)</f>
        <v/>
      </c>
      <c r="C513" s="66">
        <f>B513/B512-1</f>
        <v/>
      </c>
      <c r="D513" s="66">
        <f>(Table1345[[#This Row],[Index]]-B501)/B501</f>
        <v/>
      </c>
    </row>
    <row r="514">
      <c r="A514" s="17" t="n">
        <v>41730</v>
      </c>
      <c r="B514" s="58">
        <f>VLOOKUP(Table1345[[#This Row],[Date]],database!A:I,9,)</f>
        <v/>
      </c>
      <c r="C514" s="66">
        <f>B514/B513-1</f>
        <v/>
      </c>
      <c r="D514" s="66">
        <f>(Table1345[[#This Row],[Index]]-B502)/B502</f>
        <v/>
      </c>
    </row>
    <row r="515">
      <c r="A515" s="17" t="n">
        <v>41760</v>
      </c>
      <c r="B515" s="58">
        <f>VLOOKUP(Table1345[[#This Row],[Date]],database!A:I,9,)</f>
        <v/>
      </c>
      <c r="C515" s="66">
        <f>B515/B514-1</f>
        <v/>
      </c>
      <c r="D515" s="66">
        <f>(Table1345[[#This Row],[Index]]-B503)/B503</f>
        <v/>
      </c>
    </row>
    <row r="516">
      <c r="A516" s="17" t="n">
        <v>41791</v>
      </c>
      <c r="B516" s="58">
        <f>VLOOKUP(Table1345[[#This Row],[Date]],database!A:I,9,)</f>
        <v/>
      </c>
      <c r="C516" s="66">
        <f>B516/B515-1</f>
        <v/>
      </c>
      <c r="D516" s="66">
        <f>(Table1345[[#This Row],[Index]]-B504)/B504</f>
        <v/>
      </c>
    </row>
    <row r="517">
      <c r="A517" s="17" t="n">
        <v>41821</v>
      </c>
      <c r="B517" s="58">
        <f>VLOOKUP(Table1345[[#This Row],[Date]],database!A:I,9,)</f>
        <v/>
      </c>
      <c r="C517" s="66">
        <f>B517/B516-1</f>
        <v/>
      </c>
      <c r="D517" s="66">
        <f>(Table1345[[#This Row],[Index]]-B505)/B505</f>
        <v/>
      </c>
    </row>
    <row r="518">
      <c r="A518" s="17" t="n">
        <v>41852</v>
      </c>
      <c r="B518" s="58">
        <f>VLOOKUP(Table1345[[#This Row],[Date]],database!A:I,9,)</f>
        <v/>
      </c>
      <c r="C518" s="66">
        <f>B518/B517-1</f>
        <v/>
      </c>
      <c r="D518" s="66">
        <f>(Table1345[[#This Row],[Index]]-B506)/B506</f>
        <v/>
      </c>
    </row>
    <row r="519">
      <c r="A519" s="17" t="n">
        <v>41883</v>
      </c>
      <c r="B519" s="58">
        <f>VLOOKUP(Table1345[[#This Row],[Date]],database!A:I,9,)</f>
        <v/>
      </c>
      <c r="C519" s="66">
        <f>B519/B518-1</f>
        <v/>
      </c>
      <c r="D519" s="66">
        <f>(Table1345[[#This Row],[Index]]-B507)/B507</f>
        <v/>
      </c>
    </row>
    <row r="520">
      <c r="A520" s="17" t="n">
        <v>41913</v>
      </c>
      <c r="B520" s="58">
        <f>VLOOKUP(Table1345[[#This Row],[Date]],database!A:I,9,)</f>
        <v/>
      </c>
      <c r="C520" s="66">
        <f>B520/B519-1</f>
        <v/>
      </c>
      <c r="D520" s="66">
        <f>(Table1345[[#This Row],[Index]]-B508)/B508</f>
        <v/>
      </c>
    </row>
    <row r="521">
      <c r="A521" s="17" t="n">
        <v>41944</v>
      </c>
      <c r="B521" s="58">
        <f>VLOOKUP(Table1345[[#This Row],[Date]],database!A:I,9,)</f>
        <v/>
      </c>
      <c r="C521" s="67">
        <f>B521/B520-1</f>
        <v/>
      </c>
      <c r="D521" s="66">
        <f>(Table1345[[#This Row],[Index]]-B509)/B509</f>
        <v/>
      </c>
    </row>
    <row r="522">
      <c r="A522" s="17" t="n">
        <v>41974</v>
      </c>
      <c r="B522" s="58">
        <f>VLOOKUP(Table1345[[#This Row],[Date]],database!A:I,9,)</f>
        <v/>
      </c>
      <c r="C522" s="66">
        <f>B522/B521-1</f>
        <v/>
      </c>
      <c r="D522" s="66">
        <f>(Table1345[[#This Row],[Index]]-B510)/B510</f>
        <v/>
      </c>
    </row>
    <row r="523">
      <c r="A523" s="17" t="n">
        <v>42005</v>
      </c>
      <c r="B523" s="58">
        <f>VLOOKUP(Table1345[[#This Row],[Date]],database!A:I,9,)</f>
        <v/>
      </c>
      <c r="C523" s="67">
        <f>B523/B522-1</f>
        <v/>
      </c>
      <c r="D523" s="66">
        <f>(Table1345[[#This Row],[Index]]-B511)/B511</f>
        <v/>
      </c>
    </row>
    <row r="524">
      <c r="A524" s="17" t="n">
        <v>42036</v>
      </c>
      <c r="B524" s="58">
        <f>VLOOKUP(Table1345[[#This Row],[Date]],database!A:I,9,)</f>
        <v/>
      </c>
      <c r="C524" s="66">
        <f>B524/B523-1</f>
        <v/>
      </c>
      <c r="D524" s="66">
        <f>(Table1345[[#This Row],[Index]]-B512)/B512</f>
        <v/>
      </c>
    </row>
    <row r="525">
      <c r="A525" s="17" t="n">
        <v>42064</v>
      </c>
      <c r="B525" s="58">
        <f>VLOOKUP(Table1345[[#This Row],[Date]],database!A:I,9,)</f>
        <v/>
      </c>
      <c r="C525" s="67">
        <f>B525/B524-1</f>
        <v/>
      </c>
      <c r="D525" s="66">
        <f>(Table1345[[#This Row],[Index]]-B513)/B513</f>
        <v/>
      </c>
    </row>
    <row r="526">
      <c r="A526" s="17" t="n">
        <v>42095</v>
      </c>
      <c r="B526" s="58">
        <f>VLOOKUP(Table1345[[#This Row],[Date]],database!A:I,9,)</f>
        <v/>
      </c>
      <c r="C526" s="66">
        <f>B526/B525-1</f>
        <v/>
      </c>
      <c r="D526" s="66">
        <f>(Table1345[[#This Row],[Index]]-B514)/B514</f>
        <v/>
      </c>
    </row>
    <row r="527">
      <c r="A527" s="17" t="n">
        <v>42125</v>
      </c>
      <c r="B527" s="58">
        <f>VLOOKUP(Table1345[[#This Row],[Date]],database!A:I,9,)</f>
        <v/>
      </c>
      <c r="C527" s="66">
        <f>B527/B526-1</f>
        <v/>
      </c>
      <c r="D527" s="66">
        <f>(Table1345[[#This Row],[Index]]-B515)/B515</f>
        <v/>
      </c>
    </row>
    <row r="528">
      <c r="A528" s="17" t="n">
        <v>42156</v>
      </c>
      <c r="B528" s="58">
        <f>VLOOKUP(Table1345[[#This Row],[Date]],database!A:I,9,)</f>
        <v/>
      </c>
      <c r="C528" s="66">
        <f>B528/B527-1</f>
        <v/>
      </c>
      <c r="D528" s="66">
        <f>(Table1345[[#This Row],[Index]]-B516)/B516</f>
        <v/>
      </c>
    </row>
    <row r="529">
      <c r="A529" s="17" t="n">
        <v>42186</v>
      </c>
      <c r="B529" s="58">
        <f>VLOOKUP(Table1345[[#This Row],[Date]],database!A:I,9,)</f>
        <v/>
      </c>
      <c r="C529" s="66">
        <f>B529/B528-1</f>
        <v/>
      </c>
      <c r="D529" s="66">
        <f>(Table1345[[#This Row],[Index]]-B517)/B517</f>
        <v/>
      </c>
    </row>
    <row r="530">
      <c r="A530" s="17" t="n">
        <v>42217</v>
      </c>
      <c r="B530" s="58">
        <f>VLOOKUP(Table1345[[#This Row],[Date]],database!A:I,9,)</f>
        <v/>
      </c>
      <c r="C530" s="66">
        <f>B530/B529-1</f>
        <v/>
      </c>
      <c r="D530" s="66">
        <f>(Table1345[[#This Row],[Index]]-B518)/B518</f>
        <v/>
      </c>
    </row>
    <row r="531">
      <c r="A531" s="17" t="n">
        <v>42248</v>
      </c>
      <c r="B531" s="58">
        <f>VLOOKUP(Table1345[[#This Row],[Date]],database!A:I,9,)</f>
        <v/>
      </c>
      <c r="C531" s="66">
        <f>B531/B530-1</f>
        <v/>
      </c>
      <c r="D531" s="66">
        <f>(Table1345[[#This Row],[Index]]-B519)/B519</f>
        <v/>
      </c>
    </row>
    <row r="532">
      <c r="A532" s="17" t="n">
        <v>42278</v>
      </c>
      <c r="B532" s="58">
        <f>VLOOKUP(Table1345[[#This Row],[Date]],database!A:I,9,)</f>
        <v/>
      </c>
      <c r="C532" s="66">
        <f>B532/B531-1</f>
        <v/>
      </c>
      <c r="D532" s="66">
        <f>(Table1345[[#This Row],[Index]]-B520)/B520</f>
        <v/>
      </c>
    </row>
    <row r="533">
      <c r="A533" s="17" t="n">
        <v>42309</v>
      </c>
      <c r="B533" s="58">
        <f>VLOOKUP(Table1345[[#This Row],[Date]],database!A:I,9,)</f>
        <v/>
      </c>
      <c r="C533" s="66">
        <f>B533/B532-1</f>
        <v/>
      </c>
      <c r="D533" s="66">
        <f>(Table1345[[#This Row],[Index]]-B521)/B521</f>
        <v/>
      </c>
    </row>
    <row r="534">
      <c r="A534" s="17" t="n">
        <v>42339</v>
      </c>
      <c r="B534" s="58">
        <f>VLOOKUP(Table1345[[#This Row],[Date]],database!A:I,9,)</f>
        <v/>
      </c>
      <c r="C534" s="66">
        <f>B534/B533-1</f>
        <v/>
      </c>
      <c r="D534" s="66">
        <f>(Table1345[[#This Row],[Index]]-B522)/B522</f>
        <v/>
      </c>
    </row>
    <row r="535">
      <c r="A535" s="17" t="n">
        <v>42370</v>
      </c>
      <c r="B535" s="58">
        <f>VLOOKUP(Table1345[[#This Row],[Date]],database!A:I,9,)</f>
        <v/>
      </c>
      <c r="C535" s="66">
        <f>B535/B534-1</f>
        <v/>
      </c>
      <c r="D535" s="66">
        <f>(Table1345[[#This Row],[Index]]-B523)/B523</f>
        <v/>
      </c>
    </row>
    <row r="536">
      <c r="A536" s="17" t="n">
        <v>42401</v>
      </c>
      <c r="B536" s="58">
        <f>VLOOKUP(Table1345[[#This Row],[Date]],database!A:I,9,)</f>
        <v/>
      </c>
      <c r="C536" s="66">
        <f>B536/B535-1</f>
        <v/>
      </c>
      <c r="D536" s="66">
        <f>(Table1345[[#This Row],[Index]]-B524)/B524</f>
        <v/>
      </c>
    </row>
    <row r="537">
      <c r="A537" s="17" t="n">
        <v>42430</v>
      </c>
      <c r="B537" s="58">
        <f>VLOOKUP(Table1345[[#This Row],[Date]],database!A:I,9,)</f>
        <v/>
      </c>
      <c r="C537" s="66">
        <f>B537/B536-1</f>
        <v/>
      </c>
      <c r="D537" s="66">
        <f>(Table1345[[#This Row],[Index]]-B525)/B525</f>
        <v/>
      </c>
    </row>
    <row r="538">
      <c r="A538" s="17" t="n">
        <v>42461</v>
      </c>
      <c r="B538" s="58">
        <f>VLOOKUP(Table1345[[#This Row],[Date]],database!A:I,9,)</f>
        <v/>
      </c>
      <c r="C538" s="66">
        <f>B538/B537-1</f>
        <v/>
      </c>
      <c r="D538" s="66">
        <f>(Table1345[[#This Row],[Index]]-B526)/B526</f>
        <v/>
      </c>
    </row>
    <row r="539">
      <c r="A539" s="17" t="n">
        <v>42491</v>
      </c>
      <c r="B539" s="58">
        <f>VLOOKUP(Table1345[[#This Row],[Date]],database!A:I,9,)</f>
        <v/>
      </c>
      <c r="C539" s="66">
        <f>B539/B538-1</f>
        <v/>
      </c>
      <c r="D539" s="66">
        <f>(Table1345[[#This Row],[Index]]-B527)/B527</f>
        <v/>
      </c>
    </row>
    <row r="540">
      <c r="A540" s="17" t="n">
        <v>42522</v>
      </c>
      <c r="B540" s="58">
        <f>VLOOKUP(Table1345[[#This Row],[Date]],database!A:I,9,)</f>
        <v/>
      </c>
      <c r="C540" s="66">
        <f>B540/B539-1</f>
        <v/>
      </c>
      <c r="D540" s="66">
        <f>(Table1345[[#This Row],[Index]]-B528)/B528</f>
        <v/>
      </c>
    </row>
    <row r="541">
      <c r="A541" s="17" t="n">
        <v>42552</v>
      </c>
      <c r="B541" s="58">
        <f>VLOOKUP(Table1345[[#This Row],[Date]],database!A:I,9,)</f>
        <v/>
      </c>
      <c r="C541" s="66">
        <f>B541/B540-1</f>
        <v/>
      </c>
      <c r="D541" s="66">
        <f>(Table1345[[#This Row],[Index]]-B529)/B529</f>
        <v/>
      </c>
    </row>
    <row r="542">
      <c r="A542" s="17" t="n">
        <v>42583</v>
      </c>
      <c r="B542" s="58">
        <f>VLOOKUP(Table1345[[#This Row],[Date]],database!A:I,9,)</f>
        <v/>
      </c>
      <c r="C542" s="66">
        <f>B542/B541-1</f>
        <v/>
      </c>
      <c r="D542" s="66">
        <f>(Table1345[[#This Row],[Index]]-B530)/B530</f>
        <v/>
      </c>
    </row>
    <row r="543">
      <c r="A543" s="17" t="n">
        <v>42614</v>
      </c>
      <c r="B543" s="58">
        <f>VLOOKUP(Table1345[[#This Row],[Date]],database!A:I,9,)</f>
        <v/>
      </c>
      <c r="C543" s="66">
        <f>B543/B542-1</f>
        <v/>
      </c>
      <c r="D543" s="66">
        <f>(Table1345[[#This Row],[Index]]-B531)/B531</f>
        <v/>
      </c>
    </row>
    <row r="544">
      <c r="A544" s="17" t="n">
        <v>42644</v>
      </c>
      <c r="B544" s="58">
        <f>VLOOKUP(Table1345[[#This Row],[Date]],database!A:I,9,)</f>
        <v/>
      </c>
      <c r="C544" s="66">
        <f>B544/B543-1</f>
        <v/>
      </c>
      <c r="D544" s="66">
        <f>(Table1345[[#This Row],[Index]]-B532)/B532</f>
        <v/>
      </c>
    </row>
    <row r="545">
      <c r="A545" s="17" t="n">
        <v>42675</v>
      </c>
      <c r="B545" s="58">
        <f>VLOOKUP(Table1345[[#This Row],[Date]],database!A:I,9,)</f>
        <v/>
      </c>
      <c r="C545" s="66">
        <f>B545/B544-1</f>
        <v/>
      </c>
      <c r="D545" s="66">
        <f>(Table1345[[#This Row],[Index]]-B533)/B533</f>
        <v/>
      </c>
    </row>
    <row r="546">
      <c r="A546" s="17" t="n">
        <v>42705</v>
      </c>
      <c r="B546" s="58">
        <f>VLOOKUP(Table1345[[#This Row],[Date]],database!A:I,9,)</f>
        <v/>
      </c>
      <c r="C546" s="66">
        <f>B546/B545-1</f>
        <v/>
      </c>
      <c r="D546" s="66">
        <f>(Table1345[[#This Row],[Index]]-B534)/B534</f>
        <v/>
      </c>
    </row>
    <row r="547">
      <c r="A547" s="17" t="n">
        <v>42736</v>
      </c>
      <c r="B547" s="58">
        <f>VLOOKUP(Table1345[[#This Row],[Date]],database!A:I,9,)</f>
        <v/>
      </c>
      <c r="C547" s="66">
        <f>B547/B546-1</f>
        <v/>
      </c>
      <c r="D547" s="66">
        <f>(Table1345[[#This Row],[Index]]-B535)/B535</f>
        <v/>
      </c>
    </row>
    <row r="548">
      <c r="A548" s="17" t="n">
        <v>42767</v>
      </c>
      <c r="B548" s="58">
        <f>VLOOKUP(Table1345[[#This Row],[Date]],database!A:I,9,)</f>
        <v/>
      </c>
      <c r="C548" s="66">
        <f>B548/B547-1</f>
        <v/>
      </c>
      <c r="D548" s="66">
        <f>(Table1345[[#This Row],[Index]]-B536)/B536</f>
        <v/>
      </c>
    </row>
    <row r="549">
      <c r="A549" s="17" t="n">
        <v>42795</v>
      </c>
      <c r="B549" s="58">
        <f>VLOOKUP(Table1345[[#This Row],[Date]],database!A:I,9,)</f>
        <v/>
      </c>
      <c r="C549" s="66">
        <f>B549/B548-1</f>
        <v/>
      </c>
      <c r="D549" s="66">
        <f>(Table1345[[#This Row],[Index]]-B537)/B537</f>
        <v/>
      </c>
    </row>
    <row r="550">
      <c r="A550" s="17" t="n">
        <v>42826</v>
      </c>
      <c r="B550" s="58">
        <f>VLOOKUP(Table1345[[#This Row],[Date]],database!A:I,9,)</f>
        <v/>
      </c>
      <c r="C550" s="66">
        <f>B550/B549-1</f>
        <v/>
      </c>
      <c r="D550" s="66">
        <f>(Table1345[[#This Row],[Index]]-B538)/B538</f>
        <v/>
      </c>
    </row>
    <row r="551">
      <c r="A551" s="17" t="n">
        <v>42856</v>
      </c>
      <c r="B551" s="58">
        <f>VLOOKUP(Table1345[[#This Row],[Date]],database!A:I,9,)</f>
        <v/>
      </c>
      <c r="C551" s="66">
        <f>B551/B550-1</f>
        <v/>
      </c>
      <c r="D551" s="66">
        <f>(Table1345[[#This Row],[Index]]-B539)/B539</f>
        <v/>
      </c>
    </row>
    <row r="552">
      <c r="A552" s="17" t="n">
        <v>42887</v>
      </c>
      <c r="B552" s="58">
        <f>VLOOKUP(Table1345[[#This Row],[Date]],database!A:I,9,)</f>
        <v/>
      </c>
      <c r="C552" s="66">
        <f>B552/B551-1</f>
        <v/>
      </c>
      <c r="D552" s="66">
        <f>(Table1345[[#This Row],[Index]]-B540)/B540</f>
        <v/>
      </c>
    </row>
    <row r="553">
      <c r="A553" s="17" t="n">
        <v>42917</v>
      </c>
      <c r="B553" s="58">
        <f>VLOOKUP(Table1345[[#This Row],[Date]],database!A:I,9,)</f>
        <v/>
      </c>
      <c r="C553" s="66">
        <f>B553/B552-1</f>
        <v/>
      </c>
      <c r="D553" s="66">
        <f>(Table1345[[#This Row],[Index]]-B541)/B541</f>
        <v/>
      </c>
    </row>
    <row r="554">
      <c r="A554" s="17" t="n">
        <v>42948</v>
      </c>
      <c r="B554" s="58">
        <f>VLOOKUP(Table1345[[#This Row],[Date]],database!A:I,9,)</f>
        <v/>
      </c>
      <c r="C554" s="66">
        <f>B554/B553-1</f>
        <v/>
      </c>
      <c r="D554" s="66">
        <f>(Table1345[[#This Row],[Index]]-B542)/B542</f>
        <v/>
      </c>
    </row>
    <row r="555">
      <c r="A555" s="17" t="n">
        <v>42979</v>
      </c>
      <c r="B555" s="58">
        <f>VLOOKUP(Table1345[[#This Row],[Date]],database!A:I,9,)</f>
        <v/>
      </c>
      <c r="C555" s="66">
        <f>B555/B554-1</f>
        <v/>
      </c>
      <c r="D555" s="66">
        <f>(Table1345[[#This Row],[Index]]-B543)/B543</f>
        <v/>
      </c>
    </row>
    <row r="556">
      <c r="A556" s="17" t="n">
        <v>43009</v>
      </c>
      <c r="B556" s="58">
        <f>VLOOKUP(Table1345[[#This Row],[Date]],database!A:I,9,)</f>
        <v/>
      </c>
      <c r="C556" s="66">
        <f>B556/B555-1</f>
        <v/>
      </c>
      <c r="D556" s="66">
        <f>(Table1345[[#This Row],[Index]]-B544)/B544</f>
        <v/>
      </c>
    </row>
    <row r="557">
      <c r="A557" s="17" t="n">
        <v>43040</v>
      </c>
      <c r="B557" s="58">
        <f>VLOOKUP(Table1345[[#This Row],[Date]],database!A:I,9,)</f>
        <v/>
      </c>
      <c r="C557" s="66">
        <f>B557/B556-1</f>
        <v/>
      </c>
      <c r="D557" s="66">
        <f>(Table1345[[#This Row],[Index]]-B545)/B545</f>
        <v/>
      </c>
    </row>
    <row r="558">
      <c r="A558" s="17" t="n">
        <v>43070</v>
      </c>
      <c r="B558" s="58">
        <f>VLOOKUP(Table1345[[#This Row],[Date]],database!A:I,9,)</f>
        <v/>
      </c>
      <c r="C558" s="66">
        <f>B558/B557-1</f>
        <v/>
      </c>
      <c r="D558" s="66">
        <f>(Table1345[[#This Row],[Index]]-B546)/B546</f>
        <v/>
      </c>
    </row>
    <row r="559">
      <c r="A559" s="17" t="n">
        <v>43101</v>
      </c>
      <c r="B559" s="58">
        <f>VLOOKUP(Table1345[[#This Row],[Date]],database!A:I,9,)</f>
        <v/>
      </c>
      <c r="C559" s="66">
        <f>B559/B558-1</f>
        <v/>
      </c>
      <c r="D559" s="66">
        <f>(Table1345[[#This Row],[Index]]-B547)/B547</f>
        <v/>
      </c>
    </row>
    <row r="560">
      <c r="A560" s="17" t="n">
        <v>43132</v>
      </c>
      <c r="B560" s="58">
        <f>VLOOKUP(Table1345[[#This Row],[Date]],database!A:I,9,)</f>
        <v/>
      </c>
      <c r="C560" s="66">
        <f>B560/B559-1</f>
        <v/>
      </c>
      <c r="D560" s="66">
        <f>(Table1345[[#This Row],[Index]]-B548)/B548</f>
        <v/>
      </c>
    </row>
    <row r="561">
      <c r="A561" s="17" t="n">
        <v>43160</v>
      </c>
      <c r="B561" s="58">
        <f>VLOOKUP(Table1345[[#This Row],[Date]],database!A:I,9,)</f>
        <v/>
      </c>
      <c r="C561" s="66">
        <f>B561/B560-1</f>
        <v/>
      </c>
      <c r="D561" s="66">
        <f>(Table1345[[#This Row],[Index]]-B549)/B549</f>
        <v/>
      </c>
    </row>
    <row r="562">
      <c r="A562" s="17" t="n">
        <v>43191</v>
      </c>
      <c r="B562" s="58">
        <f>VLOOKUP(Table1345[[#This Row],[Date]],database!A:I,9,)</f>
        <v/>
      </c>
      <c r="C562" s="66">
        <f>B562/B561-1</f>
        <v/>
      </c>
      <c r="D562" s="66">
        <f>(Table1345[[#This Row],[Index]]-B550)/B550</f>
        <v/>
      </c>
    </row>
    <row r="563">
      <c r="A563" s="17" t="n">
        <v>43221</v>
      </c>
      <c r="B563" s="58">
        <f>VLOOKUP(Table1345[[#This Row],[Date]],database!A:I,9,)</f>
        <v/>
      </c>
      <c r="C563" s="66">
        <f>B563/B562-1</f>
        <v/>
      </c>
      <c r="D563" s="66">
        <f>(Table1345[[#This Row],[Index]]-B551)/B551</f>
        <v/>
      </c>
    </row>
    <row r="564">
      <c r="A564" s="17" t="n">
        <v>43252</v>
      </c>
      <c r="B564" s="58">
        <f>VLOOKUP(Table1345[[#This Row],[Date]],database!A:I,9,)</f>
        <v/>
      </c>
      <c r="C564" s="66">
        <f>B564/B563-1</f>
        <v/>
      </c>
      <c r="D564" s="66">
        <f>(Table1345[[#This Row],[Index]]-B552)/B552</f>
        <v/>
      </c>
    </row>
    <row r="565">
      <c r="A565" s="17" t="n">
        <v>43282</v>
      </c>
      <c r="B565" s="58">
        <f>VLOOKUP(Table1345[[#This Row],[Date]],database!A:I,9,)</f>
        <v/>
      </c>
      <c r="C565" s="66">
        <f>B565/B564-1</f>
        <v/>
      </c>
      <c r="D565" s="66">
        <f>(Table1345[[#This Row],[Index]]-B553)/B553</f>
        <v/>
      </c>
    </row>
    <row r="566">
      <c r="A566" s="17" t="n">
        <v>43313</v>
      </c>
      <c r="B566" s="58">
        <f>VLOOKUP(Table1345[[#This Row],[Date]],database!A:I,9,)</f>
        <v/>
      </c>
      <c r="C566" s="66">
        <f>B566/B565-1</f>
        <v/>
      </c>
      <c r="D566" s="66">
        <f>(Table1345[[#This Row],[Index]]-B554)/B554</f>
        <v/>
      </c>
    </row>
    <row r="567">
      <c r="A567" s="17" t="n">
        <v>43344</v>
      </c>
      <c r="B567" s="58">
        <f>VLOOKUP(Table1345[[#This Row],[Date]],database!A:I,9,)</f>
        <v/>
      </c>
      <c r="C567" s="66">
        <f>B567/B566-1</f>
        <v/>
      </c>
      <c r="D567" s="66">
        <f>(Table1345[[#This Row],[Index]]-B555)/B555</f>
        <v/>
      </c>
    </row>
    <row r="568">
      <c r="A568" s="17" t="n">
        <v>43374</v>
      </c>
      <c r="B568" s="58">
        <f>VLOOKUP(Table1345[[#This Row],[Date]],database!A:I,9,)</f>
        <v/>
      </c>
      <c r="C568" s="66">
        <f>B568/B567-1</f>
        <v/>
      </c>
      <c r="D568" s="66">
        <f>(Table1345[[#This Row],[Index]]-B556)/B556</f>
        <v/>
      </c>
    </row>
    <row r="569">
      <c r="A569" s="17" t="n">
        <v>43405</v>
      </c>
      <c r="B569" s="58">
        <f>VLOOKUP(Table1345[[#This Row],[Date]],database!A:I,9,)</f>
        <v/>
      </c>
      <c r="C569" s="66">
        <f>B569/B568-1</f>
        <v/>
      </c>
      <c r="D569" s="66">
        <f>(Table1345[[#This Row],[Index]]-B557)/B557</f>
        <v/>
      </c>
    </row>
    <row r="570">
      <c r="A570" s="17" t="n">
        <v>43435</v>
      </c>
      <c r="B570" s="58">
        <f>VLOOKUP(Table1345[[#This Row],[Date]],database!A:I,9,)</f>
        <v/>
      </c>
      <c r="C570" s="66">
        <f>B570/B569-1</f>
        <v/>
      </c>
      <c r="D570" s="66">
        <f>(Table1345[[#This Row],[Index]]-B558)/B558</f>
        <v/>
      </c>
    </row>
    <row r="571">
      <c r="A571" s="17" t="n">
        <v>43466</v>
      </c>
      <c r="B571" s="58">
        <f>VLOOKUP(Table1345[[#This Row],[Date]],database!A:I,9,)</f>
        <v/>
      </c>
      <c r="C571" s="66">
        <f>B571/B570-1</f>
        <v/>
      </c>
      <c r="D571" s="66">
        <f>(Table1345[[#This Row],[Index]]-B559)/B559</f>
        <v/>
      </c>
    </row>
    <row r="572">
      <c r="A572" s="17" t="n">
        <v>43497</v>
      </c>
      <c r="B572" s="58">
        <f>VLOOKUP(Table1345[[#This Row],[Date]],database!A:I,9,)</f>
        <v/>
      </c>
      <c r="C572" s="66">
        <f>B572/B571-1</f>
        <v/>
      </c>
      <c r="D572" s="66">
        <f>(Table1345[[#This Row],[Index]]-B560)/B560</f>
        <v/>
      </c>
    </row>
    <row r="573">
      <c r="A573" s="17" t="n">
        <v>43525</v>
      </c>
      <c r="B573" s="58">
        <f>VLOOKUP(Table1345[[#This Row],[Date]],database!A:I,9,)</f>
        <v/>
      </c>
      <c r="C573" s="66">
        <f>B573/B572-1</f>
        <v/>
      </c>
      <c r="D573" s="66">
        <f>(Table1345[[#This Row],[Index]]-B561)/B561</f>
        <v/>
      </c>
    </row>
    <row r="574">
      <c r="A574" s="17" t="n">
        <v>43556</v>
      </c>
      <c r="B574" s="58">
        <f>VLOOKUP(Table1345[[#This Row],[Date]],database!A:I,9,)</f>
        <v/>
      </c>
      <c r="C574" s="66">
        <f>B574/B573-1</f>
        <v/>
      </c>
      <c r="D574" s="66">
        <f>(Table1345[[#This Row],[Index]]-B562)/B562</f>
        <v/>
      </c>
    </row>
    <row r="575">
      <c r="A575" s="17" t="n">
        <v>43586</v>
      </c>
      <c r="B575" s="58">
        <f>VLOOKUP(Table1345[[#This Row],[Date]],database!A:I,9,)</f>
        <v/>
      </c>
      <c r="C575" s="66">
        <f>B575/B574-1</f>
        <v/>
      </c>
      <c r="D575" s="66">
        <f>(Table1345[[#This Row],[Index]]-B563)/B563</f>
        <v/>
      </c>
    </row>
    <row r="576">
      <c r="A576" s="17" t="n">
        <v>43617</v>
      </c>
      <c r="B576" s="58">
        <f>VLOOKUP(Table1345[[#This Row],[Date]],database!A:I,9,)</f>
        <v/>
      </c>
      <c r="C576" s="66">
        <f>B576/B575-1</f>
        <v/>
      </c>
      <c r="D576" s="66">
        <f>(Table1345[[#This Row],[Index]]-B564)/B564</f>
        <v/>
      </c>
    </row>
    <row r="577">
      <c r="A577" s="17" t="n">
        <v>43647</v>
      </c>
      <c r="B577" s="58">
        <f>VLOOKUP(Table1345[[#This Row],[Date]],database!A:I,9,)</f>
        <v/>
      </c>
      <c r="C577" s="66">
        <f>B577/B576-1</f>
        <v/>
      </c>
      <c r="D577" s="66">
        <f>(Table1345[[#This Row],[Index]]-B565)/B565</f>
        <v/>
      </c>
    </row>
    <row r="578">
      <c r="A578" s="17" t="n">
        <v>43678</v>
      </c>
      <c r="B578" s="58">
        <f>VLOOKUP(Table1345[[#This Row],[Date]],database!A:I,9,)</f>
        <v/>
      </c>
      <c r="C578" s="66">
        <f>B578/B577-1</f>
        <v/>
      </c>
      <c r="D578" s="66">
        <f>(Table1345[[#This Row],[Index]]-B566)/B566</f>
        <v/>
      </c>
    </row>
    <row r="579">
      <c r="A579" s="17" t="n">
        <v>43709</v>
      </c>
      <c r="B579" s="58">
        <f>VLOOKUP(Table1345[[#This Row],[Date]],database!A:I,9,)</f>
        <v/>
      </c>
      <c r="C579" s="66">
        <f>B579/B578-1</f>
        <v/>
      </c>
      <c r="D579" s="66">
        <f>(Table1345[[#This Row],[Index]]-B567)/B567</f>
        <v/>
      </c>
    </row>
    <row r="580">
      <c r="A580" s="17" t="n">
        <v>43739</v>
      </c>
      <c r="B580" s="58">
        <f>VLOOKUP(Table1345[[#This Row],[Date]],database!A:I,9,)</f>
        <v/>
      </c>
      <c r="C580" s="66">
        <f>B580/B579-1</f>
        <v/>
      </c>
      <c r="D580" s="66">
        <f>(Table1345[[#This Row],[Index]]-B568)/B568</f>
        <v/>
      </c>
    </row>
    <row r="581">
      <c r="A581" s="17" t="n">
        <v>43770</v>
      </c>
      <c r="B581" s="58">
        <f>VLOOKUP(Table1345[[#This Row],[Date]],database!A:I,9,)</f>
        <v/>
      </c>
      <c r="C581" s="66">
        <f>B581/B580-1</f>
        <v/>
      </c>
      <c r="D581" s="66">
        <f>(Table1345[[#This Row],[Index]]-B569)/B569</f>
        <v/>
      </c>
    </row>
    <row r="582">
      <c r="A582" s="17" t="n">
        <v>43800</v>
      </c>
      <c r="B582" s="58">
        <f>VLOOKUP(Table1345[[#This Row],[Date]],database!A:I,9,)</f>
        <v/>
      </c>
      <c r="C582" s="66">
        <f>B582/B581-1</f>
        <v/>
      </c>
      <c r="D582" s="66">
        <f>(Table1345[[#This Row],[Index]]-B570)/B570</f>
        <v/>
      </c>
    </row>
    <row r="583">
      <c r="A583" s="17" t="n">
        <v>43831</v>
      </c>
      <c r="B583" s="58">
        <f>VLOOKUP(Table1345[[#This Row],[Date]],database!A:I,9,)</f>
        <v/>
      </c>
      <c r="C583" s="66">
        <f>B583/B582-1</f>
        <v/>
      </c>
      <c r="D583" s="66">
        <f>(Table1345[[#This Row],[Index]]-B571)/B571</f>
        <v/>
      </c>
    </row>
    <row r="584">
      <c r="A584" s="17" t="n">
        <v>43862</v>
      </c>
      <c r="B584" s="58">
        <f>VLOOKUP(Table1345[[#This Row],[Date]],database!A:I,9,)</f>
        <v/>
      </c>
      <c r="C584" s="66">
        <f>B584/B583-1</f>
        <v/>
      </c>
      <c r="D584" s="66">
        <f>(Table1345[[#This Row],[Index]]-B572)/B572</f>
        <v/>
      </c>
    </row>
    <row r="585">
      <c r="A585" s="17" t="n">
        <v>43891</v>
      </c>
      <c r="B585" s="58">
        <f>VLOOKUP(Table1345[[#This Row],[Date]],database!A:I,9,)</f>
        <v/>
      </c>
      <c r="C585" s="66">
        <f>B585/B584-1</f>
        <v/>
      </c>
      <c r="D585" s="66">
        <f>(Table1345[[#This Row],[Index]]-B573)/B573</f>
        <v/>
      </c>
    </row>
    <row r="586">
      <c r="A586" s="17" t="n">
        <v>43922</v>
      </c>
      <c r="B586" s="58">
        <f>VLOOKUP(Table1345[[#This Row],[Date]],database!A:I,9,)</f>
        <v/>
      </c>
      <c r="C586" s="66">
        <f>B586/B585-1</f>
        <v/>
      </c>
      <c r="D586" s="66">
        <f>(Table1345[[#This Row],[Index]]-B574)/B574</f>
        <v/>
      </c>
    </row>
    <row r="587">
      <c r="A587" s="17" t="n">
        <v>43952</v>
      </c>
      <c r="B587" s="58">
        <f>VLOOKUP(Table1345[[#This Row],[Date]],database!A:I,9,)</f>
        <v/>
      </c>
      <c r="C587" s="66">
        <f>B587/B586-1</f>
        <v/>
      </c>
      <c r="D587" s="66">
        <f>(Table1345[[#This Row],[Index]]-B575)/B575</f>
        <v/>
      </c>
    </row>
    <row r="588">
      <c r="A588" s="17" t="n">
        <v>43983</v>
      </c>
      <c r="B588" s="58">
        <f>VLOOKUP(Table1345[[#This Row],[Date]],database!A:I,9,)</f>
        <v/>
      </c>
      <c r="C588" s="66">
        <f>B588/B587-1</f>
        <v/>
      </c>
      <c r="D588" s="66">
        <f>(Table1345[[#This Row],[Index]]-B576)/B576</f>
        <v/>
      </c>
    </row>
    <row r="589">
      <c r="A589" s="17" t="n">
        <v>44013</v>
      </c>
      <c r="B589" s="58">
        <f>VLOOKUP(Table1345[[#This Row],[Date]],database!A:I,9,)</f>
        <v/>
      </c>
      <c r="C589" s="66">
        <f>B589/B588-1</f>
        <v/>
      </c>
      <c r="D589" s="66">
        <f>(Table1345[[#This Row],[Index]]-B577)/B577</f>
        <v/>
      </c>
    </row>
    <row r="590">
      <c r="A590" s="17" t="n">
        <v>44044</v>
      </c>
      <c r="B590" s="58">
        <f>VLOOKUP(Table1345[[#This Row],[Date]],database!A:I,9,)</f>
        <v/>
      </c>
      <c r="C590" s="66">
        <f>B590/B589-1</f>
        <v/>
      </c>
      <c r="D590" s="66">
        <f>(Table1345[[#This Row],[Index]]-B578)/B578</f>
        <v/>
      </c>
    </row>
    <row r="591">
      <c r="A591" s="17" t="n">
        <v>44075</v>
      </c>
      <c r="B591" s="58">
        <f>VLOOKUP(Table1345[[#This Row],[Date]],database!A:I,9,)</f>
        <v/>
      </c>
      <c r="C591" s="66">
        <f>B591/B590-1</f>
        <v/>
      </c>
      <c r="D591" s="66">
        <f>(Table1345[[#This Row],[Index]]-B579)/B579</f>
        <v/>
      </c>
    </row>
    <row r="592">
      <c r="A592" s="17" t="n">
        <v>44105</v>
      </c>
      <c r="B592" s="58">
        <f>VLOOKUP(Table1345[[#This Row],[Date]],database!A:I,9,)</f>
        <v/>
      </c>
      <c r="C592" s="66">
        <f>B592/B591-1</f>
        <v/>
      </c>
      <c r="D592" s="66">
        <f>(Table1345[[#This Row],[Index]]-B580)/B580</f>
        <v/>
      </c>
    </row>
    <row r="593">
      <c r="A593" s="17" t="n">
        <v>44136</v>
      </c>
      <c r="B593" s="58">
        <f>VLOOKUP(Table1345[[#This Row],[Date]],database!A:I,9,)</f>
        <v/>
      </c>
      <c r="C593" s="66">
        <f>B593/B592-1</f>
        <v/>
      </c>
      <c r="D593" s="66">
        <f>(Table1345[[#This Row],[Index]]-B581)/B581</f>
        <v/>
      </c>
    </row>
    <row r="594">
      <c r="A594" s="17" t="n">
        <v>44166</v>
      </c>
      <c r="B594" s="58">
        <f>VLOOKUP(Table1345[[#This Row],[Date]],database!A:I,9,)</f>
        <v/>
      </c>
      <c r="C594" s="66">
        <f>B594/B593-1</f>
        <v/>
      </c>
      <c r="D594" s="66">
        <f>(Table1345[[#This Row],[Index]]-B582)/B582</f>
        <v/>
      </c>
    </row>
    <row r="595">
      <c r="A595" s="17" t="n">
        <v>44197</v>
      </c>
      <c r="B595" s="58">
        <f>VLOOKUP(Table1345[[#This Row],[Date]],database!A:I,9,)</f>
        <v/>
      </c>
      <c r="C595" s="66">
        <f>B595/B594-1</f>
        <v/>
      </c>
      <c r="D595" s="66">
        <f>(Table1345[[#This Row],[Index]]-B583)/B583</f>
        <v/>
      </c>
    </row>
    <row r="596">
      <c r="A596" s="17" t="n">
        <v>44228</v>
      </c>
      <c r="B596" s="58">
        <f>VLOOKUP(Table1345[[#This Row],[Date]],database!A:I,9,)</f>
        <v/>
      </c>
      <c r="C596" s="66">
        <f>B596/B595-1</f>
        <v/>
      </c>
      <c r="D596" s="66">
        <f>(Table1345[[#This Row],[Index]]-B584)/B584</f>
        <v/>
      </c>
    </row>
    <row r="597">
      <c r="A597" s="17" t="n">
        <v>44256</v>
      </c>
      <c r="B597" s="58">
        <f>VLOOKUP(Table1345[[#This Row],[Date]],database!A:I,9,)</f>
        <v/>
      </c>
      <c r="C597" s="66">
        <f>B597/B596-1</f>
        <v/>
      </c>
      <c r="D597" s="66">
        <f>(Table1345[[#This Row],[Index]]-B585)/B585</f>
        <v/>
      </c>
    </row>
    <row r="598">
      <c r="A598" s="17" t="n">
        <v>44287</v>
      </c>
      <c r="B598" s="58">
        <f>VLOOKUP(Table1345[[#This Row],[Date]],database!A:I,9,)</f>
        <v/>
      </c>
      <c r="C598" s="66">
        <f>B598/B597-1</f>
        <v/>
      </c>
      <c r="D598" s="66">
        <f>(Table1345[[#This Row],[Index]]-B586)/B586</f>
        <v/>
      </c>
    </row>
    <row r="599">
      <c r="A599" s="17" t="n">
        <v>44317</v>
      </c>
      <c r="B599" s="58">
        <f>VLOOKUP(Table1345[[#This Row],[Date]],database!A:I,9,)</f>
        <v/>
      </c>
      <c r="C599" s="66">
        <f>B599/B598-1</f>
        <v/>
      </c>
      <c r="D599" s="66">
        <f>(Table1345[[#This Row],[Index]]-B587)/B587</f>
        <v/>
      </c>
    </row>
    <row r="600">
      <c r="A600" s="17" t="n">
        <v>44348</v>
      </c>
      <c r="B600" s="58">
        <f>VLOOKUP(Table1345[[#This Row],[Date]],database!A:I,9,)</f>
        <v/>
      </c>
      <c r="C600" s="66">
        <f>B600/B599-1</f>
        <v/>
      </c>
      <c r="D600" s="66">
        <f>(Table1345[[#This Row],[Index]]-B588)/B588</f>
        <v/>
      </c>
    </row>
    <row r="601">
      <c r="A601" s="17" t="n">
        <v>44378</v>
      </c>
      <c r="B601" s="58">
        <f>VLOOKUP(Table1345[[#This Row],[Date]],database!A:I,9,)</f>
        <v/>
      </c>
      <c r="C601" s="66">
        <f>B601/B600-1</f>
        <v/>
      </c>
      <c r="D601" s="66">
        <f>(Table1345[[#This Row],[Index]]-B589)/B589</f>
        <v/>
      </c>
    </row>
    <row r="602">
      <c r="A602" s="17" t="n">
        <v>44409</v>
      </c>
      <c r="B602" s="58">
        <f>VLOOKUP(Table1345[[#This Row],[Date]],database!A:I,9,)</f>
        <v/>
      </c>
      <c r="C602" s="66">
        <f>B602/B601-1</f>
        <v/>
      </c>
      <c r="D602" s="66">
        <f>(Table1345[[#This Row],[Index]]-B590)/B590</f>
        <v/>
      </c>
    </row>
    <row r="603">
      <c r="A603" s="17" t="n">
        <v>44440</v>
      </c>
      <c r="B603" s="58">
        <f>VLOOKUP(Table1345[[#This Row],[Date]],database!A:I,9,)</f>
        <v/>
      </c>
      <c r="C603" s="66">
        <f>B603/B602-1</f>
        <v/>
      </c>
      <c r="D603" s="66">
        <f>(Table1345[[#This Row],[Index]]-B591)/B591</f>
        <v/>
      </c>
    </row>
    <row r="604">
      <c r="A604" s="17" t="n">
        <v>44470</v>
      </c>
      <c r="B604" s="58">
        <f>VLOOKUP(Table1345[[#This Row],[Date]],database!A:I,9,)</f>
        <v/>
      </c>
      <c r="C604" s="66">
        <f>B604/B603-1</f>
        <v/>
      </c>
      <c r="D604" s="66">
        <f>(Table1345[[#This Row],[Index]]-B592)/B592</f>
        <v/>
      </c>
    </row>
    <row r="605">
      <c r="A605" s="17" t="n">
        <v>44501</v>
      </c>
      <c r="B605" s="58">
        <f>VLOOKUP(Table1345[[#This Row],[Date]],database!A:I,9,)</f>
        <v/>
      </c>
      <c r="C605" s="66">
        <f>B605/B604-1</f>
        <v/>
      </c>
      <c r="D605" s="66">
        <f>(Table1345[[#This Row],[Index]]-B593)/B593</f>
        <v/>
      </c>
    </row>
    <row r="606">
      <c r="A606" s="17" t="n">
        <v>44531</v>
      </c>
      <c r="B606" s="58">
        <f>VLOOKUP(Table1345[[#This Row],[Date]],database!A:I,9,)</f>
        <v/>
      </c>
      <c r="C606" s="66">
        <f>B606/B605-1</f>
        <v/>
      </c>
      <c r="D606" s="66">
        <f>(Table1345[[#This Row],[Index]]-B594)/B594</f>
        <v/>
      </c>
    </row>
    <row r="607">
      <c r="A607" s="17" t="n">
        <v>44562</v>
      </c>
      <c r="B607" s="58">
        <f>VLOOKUP(Table1345[[#This Row],[Date]],database!A:I,9,)</f>
        <v/>
      </c>
      <c r="C607" s="66">
        <f>B607/B606-1</f>
        <v/>
      </c>
      <c r="D607" s="66">
        <f>(Table1345[[#This Row],[Index]]-B595)/B595</f>
        <v/>
      </c>
    </row>
    <row r="608">
      <c r="A608" s="17" t="n">
        <v>44593</v>
      </c>
      <c r="B608" s="58">
        <f>VLOOKUP(Table1345[[#This Row],[Date]],database!A:I,9,)</f>
        <v/>
      </c>
      <c r="C608" s="66">
        <f>B608/B607-1</f>
        <v/>
      </c>
      <c r="D608" s="66">
        <f>(Table1345[[#This Row],[Index]]-B596)/B596</f>
        <v/>
      </c>
    </row>
    <row r="609">
      <c r="A609" s="17" t="n">
        <v>44621</v>
      </c>
      <c r="B609" s="58">
        <f>VLOOKUP(Table1345[[#This Row],[Date]],database!A:I,9,)</f>
        <v/>
      </c>
      <c r="C609" s="66">
        <f>B609/B608-1</f>
        <v/>
      </c>
      <c r="D609" s="66">
        <f>(Table1345[[#This Row],[Index]]-B597)/B597</f>
        <v/>
      </c>
    </row>
    <row r="610">
      <c r="A610" s="17" t="n">
        <v>44652</v>
      </c>
      <c r="B610" s="58">
        <f>VLOOKUP(Table1345[[#This Row],[Date]],database!A:I,9,)</f>
        <v/>
      </c>
      <c r="C610" s="66">
        <f>B610/B609-1</f>
        <v/>
      </c>
      <c r="D610" s="66">
        <f>(Table1345[[#This Row],[Index]]-B598)/B598</f>
        <v/>
      </c>
    </row>
    <row r="611">
      <c r="A611" s="17" t="n">
        <v>44682</v>
      </c>
      <c r="B611" s="58">
        <f>VLOOKUP(Table1345[[#This Row],[Date]],database!A:I,9,)</f>
        <v/>
      </c>
      <c r="C611" s="66">
        <f>B611/B610-1</f>
        <v/>
      </c>
      <c r="D611" s="66">
        <f>(Table1345[[#This Row],[Index]]-B599)/B599</f>
        <v/>
      </c>
    </row>
    <row r="612">
      <c r="A612" s="17" t="n">
        <v>44713</v>
      </c>
      <c r="B612" s="58">
        <f>VLOOKUP(Table1345[[#This Row],[Date]],database!A:I,9,)</f>
        <v/>
      </c>
      <c r="C612" s="66">
        <f>B612/B611-1</f>
        <v/>
      </c>
      <c r="D612" s="66">
        <f>(Table1345[[#This Row],[Index]]-B600)/B600</f>
        <v/>
      </c>
    </row>
    <row r="613">
      <c r="A613" s="17" t="n">
        <v>44743</v>
      </c>
      <c r="B613" s="58">
        <f>VLOOKUP(Table1345[[#This Row],[Date]],database!A:I,9,)</f>
        <v/>
      </c>
      <c r="C613" s="66">
        <f>B613/B612-1</f>
        <v/>
      </c>
      <c r="D613" s="66">
        <f>(Table1345[[#This Row],[Index]]-B601)/B601</f>
        <v/>
      </c>
    </row>
    <row r="614">
      <c r="A614" s="17" t="n">
        <v>44774</v>
      </c>
      <c r="B614" s="58">
        <f>VLOOKUP(Table1345[[#This Row],[Date]],database!A:I,9,)</f>
        <v/>
      </c>
      <c r="C614" s="66">
        <f>B614/B613-1</f>
        <v/>
      </c>
      <c r="D614" s="66">
        <f>(Table1345[[#This Row],[Index]]-B602)/B602</f>
        <v/>
      </c>
    </row>
    <row r="615">
      <c r="A615" s="17" t="n">
        <v>44805</v>
      </c>
      <c r="B615" s="58">
        <f>VLOOKUP(Table1345[[#This Row],[Date]],database!A:I,9,)</f>
        <v/>
      </c>
      <c r="C615" s="66">
        <f>B615/B614-1</f>
        <v/>
      </c>
      <c r="D615" s="66">
        <f>(Table1345[[#This Row],[Index]]-B603)/B603</f>
        <v/>
      </c>
    </row>
    <row r="616">
      <c r="A616" s="17" t="n">
        <v>44835</v>
      </c>
      <c r="B616" s="58">
        <f>VLOOKUP(Table1345[[#This Row],[Date]],database!A:I,9,)</f>
        <v/>
      </c>
      <c r="C616" s="66">
        <f>B616/B615-1</f>
        <v/>
      </c>
      <c r="D616" s="66">
        <f>(Table1345[[#This Row],[Index]]-B604)/B604</f>
        <v/>
      </c>
    </row>
    <row r="617">
      <c r="A617" s="17" t="n">
        <v>44866</v>
      </c>
      <c r="B617" s="58">
        <f>VLOOKUP(Table1345[[#This Row],[Date]],database!A:I,9,)</f>
        <v/>
      </c>
      <c r="C617" s="66">
        <f>B617/B616-1</f>
        <v/>
      </c>
      <c r="D617" s="66">
        <f>(Table1345[[#This Row],[Index]]-B605)/B605</f>
        <v/>
      </c>
    </row>
    <row r="618">
      <c r="A618" s="17" t="n">
        <v>44896</v>
      </c>
      <c r="B618" s="58">
        <f>VLOOKUP(Table1345[[#This Row],[Date]],database!A:I,9,)</f>
        <v/>
      </c>
      <c r="C618" s="66">
        <f>B618/B617-1</f>
        <v/>
      </c>
      <c r="D618" s="66">
        <f>(Table1345[[#This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2023-01-28T01:55:14Z</dcterms:modified>
  <cp:lastModifiedBy>Mark Mukherjee</cp:lastModifiedBy>
</cp:coreProperties>
</file>