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11E1C5D0-E66F-47D6-B156-F709AE4C767A}" xr6:coauthVersionLast="47" xr6:coauthVersionMax="47" xr10:uidLastSave="{00000000-0000-0000-0000-000000000000}"/>
  <bookViews>
    <workbookView xWindow="-4980" yWindow="-14320" windowWidth="24190" windowHeight="13760"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19" i="12" l="1"/>
  <c r="C619" i="12" s="1"/>
  <c r="C618" i="12"/>
  <c r="B618" i="12"/>
  <c r="B617" i="12"/>
  <c r="B616" i="12"/>
  <c r="C616" i="12" s="1"/>
  <c r="B615" i="12"/>
  <c r="C614" i="12"/>
  <c r="B614" i="12"/>
  <c r="B613" i="12"/>
  <c r="C613" i="12" s="1"/>
  <c r="B612" i="12"/>
  <c r="C612" i="12" s="1"/>
  <c r="B611" i="12"/>
  <c r="B610" i="12"/>
  <c r="C610" i="12" s="1"/>
  <c r="B609" i="12"/>
  <c r="C609" i="12" s="1"/>
  <c r="B608" i="12"/>
  <c r="B607" i="12"/>
  <c r="B606" i="12"/>
  <c r="D618" i="12" s="1"/>
  <c r="B605" i="12"/>
  <c r="C606" i="12" s="1"/>
  <c r="B604" i="12"/>
  <c r="C604" i="12" s="1"/>
  <c r="B603" i="12"/>
  <c r="C602" i="12"/>
  <c r="B602" i="12"/>
  <c r="D614" i="12" s="1"/>
  <c r="B601" i="12"/>
  <c r="D600" i="12"/>
  <c r="B600" i="12"/>
  <c r="B599" i="12"/>
  <c r="B598" i="12"/>
  <c r="D610" i="12" s="1"/>
  <c r="B597" i="12"/>
  <c r="B596" i="12"/>
  <c r="D608" i="12" s="1"/>
  <c r="B595" i="12"/>
  <c r="B594" i="12"/>
  <c r="B593" i="12"/>
  <c r="B592" i="12"/>
  <c r="D604" i="12" s="1"/>
  <c r="B591" i="12"/>
  <c r="B590" i="12"/>
  <c r="D602" i="12" s="1"/>
  <c r="B589" i="12"/>
  <c r="D588" i="12"/>
  <c r="B588" i="12"/>
  <c r="C588" i="12" s="1"/>
  <c r="B587" i="12"/>
  <c r="D586" i="12"/>
  <c r="B586" i="12"/>
  <c r="D598" i="12" s="1"/>
  <c r="B585" i="12"/>
  <c r="B584" i="12"/>
  <c r="D596" i="12" s="1"/>
  <c r="B583" i="12"/>
  <c r="B582" i="12"/>
  <c r="C582" i="12" s="1"/>
  <c r="B581" i="12"/>
  <c r="B580" i="12"/>
  <c r="B579" i="12"/>
  <c r="B578" i="12"/>
  <c r="C578" i="12" s="1"/>
  <c r="B577" i="12"/>
  <c r="B576" i="12"/>
  <c r="B575" i="12"/>
  <c r="B574" i="12"/>
  <c r="B573" i="12"/>
  <c r="B572" i="12"/>
  <c r="C572" i="12" s="1"/>
  <c r="B571" i="12"/>
  <c r="B570" i="12"/>
  <c r="C570" i="12" s="1"/>
  <c r="B569" i="12"/>
  <c r="B568" i="12"/>
  <c r="C568" i="12" s="1"/>
  <c r="B567" i="12"/>
  <c r="C566" i="12"/>
  <c r="B566" i="12"/>
  <c r="D578" i="12" s="1"/>
  <c r="B565" i="12"/>
  <c r="B564" i="12"/>
  <c r="C564" i="12" s="1"/>
  <c r="B563" i="12"/>
  <c r="B562" i="12"/>
  <c r="C562" i="12" s="1"/>
  <c r="B561" i="12"/>
  <c r="B560" i="12"/>
  <c r="D572" i="12" s="1"/>
  <c r="B559" i="12"/>
  <c r="B558" i="12"/>
  <c r="D570" i="12" s="1"/>
  <c r="B557" i="12"/>
  <c r="C558" i="12" s="1"/>
  <c r="B556" i="12"/>
  <c r="C556" i="12" s="1"/>
  <c r="B555" i="12"/>
  <c r="C554" i="12"/>
  <c r="B554" i="12"/>
  <c r="D566" i="12" s="1"/>
  <c r="B553" i="12"/>
  <c r="D552" i="12"/>
  <c r="B552" i="12"/>
  <c r="B551" i="12"/>
  <c r="B550" i="12"/>
  <c r="D562" i="12" s="1"/>
  <c r="B549" i="12"/>
  <c r="B548" i="12"/>
  <c r="D560" i="12" s="1"/>
  <c r="B547" i="12"/>
  <c r="B546" i="12"/>
  <c r="B545" i="12"/>
  <c r="B544" i="12"/>
  <c r="D556" i="12" s="1"/>
  <c r="B543" i="12"/>
  <c r="B542" i="12"/>
  <c r="D554" i="12" s="1"/>
  <c r="B541" i="12"/>
  <c r="B540" i="12"/>
  <c r="C540" i="12" s="1"/>
  <c r="B539" i="12"/>
  <c r="D538" i="12"/>
  <c r="B538" i="12"/>
  <c r="D550" i="12" s="1"/>
  <c r="B537" i="12"/>
  <c r="B536" i="12"/>
  <c r="D548" i="12" s="1"/>
  <c r="B535" i="12"/>
  <c r="B534" i="12"/>
  <c r="C534" i="12" s="1"/>
  <c r="B533" i="12"/>
  <c r="B532" i="12"/>
  <c r="B531" i="12"/>
  <c r="B530" i="12"/>
  <c r="C530" i="12" s="1"/>
  <c r="B529" i="12"/>
  <c r="B528" i="12"/>
  <c r="D540" i="12" s="1"/>
  <c r="B527" i="12"/>
  <c r="B526" i="12"/>
  <c r="B525" i="12"/>
  <c r="B524" i="12"/>
  <c r="C524" i="12" s="1"/>
  <c r="B523" i="12"/>
  <c r="B522" i="12"/>
  <c r="C522" i="12" s="1"/>
  <c r="B521" i="12"/>
  <c r="B520" i="12"/>
  <c r="C520" i="12" s="1"/>
  <c r="B519" i="12"/>
  <c r="C518" i="12"/>
  <c r="B518" i="12"/>
  <c r="D530" i="12" s="1"/>
  <c r="B517" i="12"/>
  <c r="B516" i="12"/>
  <c r="C516" i="12" s="1"/>
  <c r="B515" i="12"/>
  <c r="B514" i="12"/>
  <c r="C514" i="12" s="1"/>
  <c r="B513" i="12"/>
  <c r="B512" i="12"/>
  <c r="B511" i="12"/>
  <c r="B510" i="12"/>
  <c r="D522" i="12" s="1"/>
  <c r="B509" i="12"/>
  <c r="C510" i="12" s="1"/>
  <c r="B508" i="12"/>
  <c r="C508" i="12" s="1"/>
  <c r="B507" i="12"/>
  <c r="C506" i="12"/>
  <c r="B506" i="12"/>
  <c r="D518" i="12" s="1"/>
  <c r="B505" i="12"/>
  <c r="D504" i="12"/>
  <c r="B504" i="12"/>
  <c r="B503" i="12"/>
  <c r="B502" i="12"/>
  <c r="D514" i="12" s="1"/>
  <c r="B501" i="12"/>
  <c r="B500" i="12"/>
  <c r="D512" i="12" s="1"/>
  <c r="B499" i="12"/>
  <c r="B498" i="12"/>
  <c r="B497" i="12"/>
  <c r="B496" i="12"/>
  <c r="D508" i="12" s="1"/>
  <c r="B495" i="12"/>
  <c r="B494" i="12"/>
  <c r="D506" i="12" s="1"/>
  <c r="B493" i="12"/>
  <c r="B492" i="12"/>
  <c r="C492" i="12" s="1"/>
  <c r="B491" i="12"/>
  <c r="D490" i="12"/>
  <c r="B490" i="12"/>
  <c r="D502" i="12" s="1"/>
  <c r="B489" i="12"/>
  <c r="B488" i="12"/>
  <c r="D500" i="12" s="1"/>
  <c r="B487" i="12"/>
  <c r="C486" i="12"/>
  <c r="B486" i="12"/>
  <c r="B485" i="12"/>
  <c r="B484" i="12"/>
  <c r="B483" i="12"/>
  <c r="B482" i="12"/>
  <c r="C482" i="12" s="1"/>
  <c r="B481" i="12"/>
  <c r="B480" i="12"/>
  <c r="D492" i="12" s="1"/>
  <c r="B479" i="12"/>
  <c r="B478" i="12"/>
  <c r="B477" i="12"/>
  <c r="B476" i="12"/>
  <c r="C476" i="12" s="1"/>
  <c r="B475" i="12"/>
  <c r="B474" i="12"/>
  <c r="C474" i="12" s="1"/>
  <c r="B473" i="12"/>
  <c r="B472" i="12"/>
  <c r="C472" i="12" s="1"/>
  <c r="B471" i="12"/>
  <c r="C470" i="12"/>
  <c r="B470" i="12"/>
  <c r="D482" i="12" s="1"/>
  <c r="B469" i="12"/>
  <c r="B468" i="12"/>
  <c r="C468" i="12" s="1"/>
  <c r="B467" i="12"/>
  <c r="B466" i="12"/>
  <c r="C466" i="12" s="1"/>
  <c r="B465" i="12"/>
  <c r="B464" i="12"/>
  <c r="B463" i="12"/>
  <c r="B462" i="12"/>
  <c r="D474" i="12" s="1"/>
  <c r="B461" i="12"/>
  <c r="C462" i="12" s="1"/>
  <c r="B460" i="12"/>
  <c r="C460" i="12" s="1"/>
  <c r="B459" i="12"/>
  <c r="C458" i="12"/>
  <c r="B458" i="12"/>
  <c r="D470" i="12" s="1"/>
  <c r="B457" i="12"/>
  <c r="D456" i="12"/>
  <c r="B456" i="12"/>
  <c r="B455" i="12"/>
  <c r="B454" i="12"/>
  <c r="D466" i="12" s="1"/>
  <c r="B453" i="12"/>
  <c r="B452" i="12"/>
  <c r="C452" i="12" s="1"/>
  <c r="B451" i="12"/>
  <c r="B450" i="12"/>
  <c r="B449" i="12"/>
  <c r="B448" i="12"/>
  <c r="D460" i="12" s="1"/>
  <c r="B447" i="12"/>
  <c r="B446" i="12"/>
  <c r="D458" i="12" s="1"/>
  <c r="B445" i="12"/>
  <c r="B444" i="12"/>
  <c r="B443" i="12"/>
  <c r="D442" i="12"/>
  <c r="B442" i="12"/>
  <c r="D454" i="12" s="1"/>
  <c r="B441" i="12"/>
  <c r="B440" i="12"/>
  <c r="C440" i="12" s="1"/>
  <c r="B439" i="12"/>
  <c r="C438" i="12"/>
  <c r="B438" i="12"/>
  <c r="D450" i="12" s="1"/>
  <c r="B437" i="12"/>
  <c r="B436" i="12"/>
  <c r="B435" i="12"/>
  <c r="B434" i="12"/>
  <c r="B433" i="12"/>
  <c r="B432" i="12"/>
  <c r="D444" i="12" s="1"/>
  <c r="B431" i="12"/>
  <c r="B430" i="12"/>
  <c r="B429" i="12"/>
  <c r="D428" i="12"/>
  <c r="B428" i="12"/>
  <c r="C428" i="12" s="1"/>
  <c r="B427" i="12"/>
  <c r="D426" i="12"/>
  <c r="C426" i="12"/>
  <c r="B426" i="12"/>
  <c r="D438" i="12" s="1"/>
  <c r="B425" i="12"/>
  <c r="D424" i="12"/>
  <c r="B424" i="12"/>
  <c r="D436" i="12" s="1"/>
  <c r="B423" i="12"/>
  <c r="C422" i="12"/>
  <c r="B422" i="12"/>
  <c r="D434" i="12" s="1"/>
  <c r="B421" i="12"/>
  <c r="B420" i="12"/>
  <c r="B419" i="12"/>
  <c r="D418" i="12"/>
  <c r="C418" i="12"/>
  <c r="B418" i="12"/>
  <c r="D430" i="12" s="1"/>
  <c r="B417" i="12"/>
  <c r="B416" i="12"/>
  <c r="B415" i="12"/>
  <c r="D414" i="12"/>
  <c r="B414" i="12"/>
  <c r="B413" i="12"/>
  <c r="B412" i="12"/>
  <c r="C412" i="12" s="1"/>
  <c r="B411" i="12"/>
  <c r="B410" i="12"/>
  <c r="C410" i="12" s="1"/>
  <c r="B409" i="12"/>
  <c r="D408" i="12"/>
  <c r="B408" i="12"/>
  <c r="B407" i="12"/>
  <c r="B406" i="12"/>
  <c r="B405" i="12"/>
  <c r="B404" i="12"/>
  <c r="B403" i="12"/>
  <c r="B402" i="12"/>
  <c r="B401" i="12"/>
  <c r="D400" i="12"/>
  <c r="B400" i="12"/>
  <c r="B399" i="12"/>
  <c r="B398" i="12"/>
  <c r="D410" i="12" s="1"/>
  <c r="B397" i="12"/>
  <c r="B396" i="12"/>
  <c r="C396" i="12" s="1"/>
  <c r="B395" i="12"/>
  <c r="B394" i="12"/>
  <c r="B393" i="12"/>
  <c r="B392" i="12"/>
  <c r="C392" i="12" s="1"/>
  <c r="B391" i="12"/>
  <c r="C390" i="12"/>
  <c r="B390" i="12"/>
  <c r="B389" i="12"/>
  <c r="B388" i="12"/>
  <c r="C388" i="12" s="1"/>
  <c r="B387" i="12"/>
  <c r="C386" i="12"/>
  <c r="B386" i="12"/>
  <c r="D398" i="12" s="1"/>
  <c r="B385" i="12"/>
  <c r="D384" i="12"/>
  <c r="B384" i="12"/>
  <c r="B383" i="12"/>
  <c r="B382" i="12"/>
  <c r="B381" i="12"/>
  <c r="B380" i="12"/>
  <c r="B379" i="12"/>
  <c r="B378" i="12"/>
  <c r="D390" i="12" s="1"/>
  <c r="B377" i="12"/>
  <c r="D376" i="12"/>
  <c r="B376" i="12"/>
  <c r="B375" i="12"/>
  <c r="B374" i="12"/>
  <c r="B373" i="12"/>
  <c r="D372" i="12"/>
  <c r="B372" i="12"/>
  <c r="C372" i="12" s="1"/>
  <c r="B371" i="12"/>
  <c r="C370" i="12"/>
  <c r="B370" i="12"/>
  <c r="D382" i="12" s="1"/>
  <c r="B369" i="12"/>
  <c r="B368" i="12"/>
  <c r="B367" i="12"/>
  <c r="B366" i="12"/>
  <c r="B365" i="12"/>
  <c r="B364" i="12"/>
  <c r="B363" i="12"/>
  <c r="D362" i="12"/>
  <c r="B362" i="12"/>
  <c r="C362" i="12" s="1"/>
  <c r="B361" i="12"/>
  <c r="D360" i="12"/>
  <c r="B360" i="12"/>
  <c r="B359" i="12"/>
  <c r="B358" i="12"/>
  <c r="D370" i="12" s="1"/>
  <c r="B357" i="12"/>
  <c r="B356" i="12"/>
  <c r="B355" i="12"/>
  <c r="B354" i="12"/>
  <c r="B353" i="12"/>
  <c r="B352" i="12"/>
  <c r="B351" i="12"/>
  <c r="B350" i="12"/>
  <c r="D350" i="12" s="1"/>
  <c r="B349" i="12"/>
  <c r="B348" i="12"/>
  <c r="C348" i="12" s="1"/>
  <c r="B347" i="12"/>
  <c r="D346" i="12"/>
  <c r="B346" i="12"/>
  <c r="C346" i="12" s="1"/>
  <c r="B345" i="12"/>
  <c r="B344" i="12"/>
  <c r="B343" i="12"/>
  <c r="D342" i="12"/>
  <c r="C342" i="12"/>
  <c r="B342" i="12"/>
  <c r="B341" i="12"/>
  <c r="B340" i="12"/>
  <c r="B339" i="12"/>
  <c r="C338" i="12"/>
  <c r="B338" i="12"/>
  <c r="D338" i="12" s="1"/>
  <c r="B337" i="12"/>
  <c r="D336" i="12"/>
  <c r="B336" i="12"/>
  <c r="B335" i="12"/>
  <c r="B334" i="12"/>
  <c r="B333" i="12"/>
  <c r="B332" i="12"/>
  <c r="B331" i="12"/>
  <c r="B330" i="12"/>
  <c r="D330" i="12" s="1"/>
  <c r="B329" i="12"/>
  <c r="D328" i="12"/>
  <c r="B328" i="12"/>
  <c r="D340" i="12" s="1"/>
  <c r="B327" i="12"/>
  <c r="C326" i="12"/>
  <c r="B326" i="12"/>
  <c r="B325" i="12"/>
  <c r="B324" i="12"/>
  <c r="C324" i="12" s="1"/>
  <c r="B323" i="12"/>
  <c r="C322" i="12"/>
  <c r="B322" i="12"/>
  <c r="D334" i="12" s="1"/>
  <c r="B321" i="12"/>
  <c r="B320" i="12"/>
  <c r="B319" i="12"/>
  <c r="B318" i="12"/>
  <c r="B317" i="12"/>
  <c r="B316" i="12"/>
  <c r="B315" i="12"/>
  <c r="D314" i="12"/>
  <c r="B314" i="12"/>
  <c r="C314" i="12" s="1"/>
  <c r="B313" i="12"/>
  <c r="D312" i="12"/>
  <c r="B312" i="12"/>
  <c r="B311" i="12"/>
  <c r="B310" i="12"/>
  <c r="C310" i="12" s="1"/>
  <c r="B309" i="12"/>
  <c r="B308" i="12"/>
  <c r="B307" i="12"/>
  <c r="B306" i="12"/>
  <c r="D318" i="12" s="1"/>
  <c r="B305" i="12"/>
  <c r="B304" i="12"/>
  <c r="C304" i="12" s="1"/>
  <c r="B303" i="12"/>
  <c r="D302" i="12"/>
  <c r="C302" i="12"/>
  <c r="B302" i="12"/>
  <c r="D301" i="12"/>
  <c r="B301" i="12"/>
  <c r="B300" i="12"/>
  <c r="D300" i="12" s="1"/>
  <c r="B299" i="12"/>
  <c r="C298" i="12"/>
  <c r="B298" i="12"/>
  <c r="D310" i="12" s="1"/>
  <c r="B297" i="12"/>
  <c r="B296" i="12"/>
  <c r="D295" i="12"/>
  <c r="B295" i="12"/>
  <c r="D307" i="12" s="1"/>
  <c r="C294" i="12"/>
  <c r="B294" i="12"/>
  <c r="B293" i="12"/>
  <c r="D292" i="12"/>
  <c r="B292" i="12"/>
  <c r="C292" i="12" s="1"/>
  <c r="D291" i="12"/>
  <c r="B291" i="12"/>
  <c r="D303" i="12" s="1"/>
  <c r="D290" i="12"/>
  <c r="B290" i="12"/>
  <c r="C291" i="12" s="1"/>
  <c r="B289" i="12"/>
  <c r="C289" i="12" s="1"/>
  <c r="B288" i="12"/>
  <c r="C287" i="12"/>
  <c r="B287" i="12"/>
  <c r="C288" i="12" s="1"/>
  <c r="D286" i="12"/>
  <c r="B286" i="12"/>
  <c r="D285" i="12"/>
  <c r="B285" i="12"/>
  <c r="D284" i="12"/>
  <c r="B284" i="12"/>
  <c r="B283" i="12"/>
  <c r="B282" i="12"/>
  <c r="B281" i="12"/>
  <c r="D280" i="12"/>
  <c r="C280" i="12"/>
  <c r="B280" i="12"/>
  <c r="B279" i="12"/>
  <c r="B278" i="12"/>
  <c r="B277" i="12"/>
  <c r="D276" i="12"/>
  <c r="C276" i="12"/>
  <c r="B276" i="12"/>
  <c r="D288" i="12" s="1"/>
  <c r="B275" i="12"/>
  <c r="C275" i="12" s="1"/>
  <c r="B274" i="12"/>
  <c r="C274" i="12" s="1"/>
  <c r="C273" i="12"/>
  <c r="B273" i="12"/>
  <c r="D272" i="12"/>
  <c r="B272" i="12"/>
  <c r="B271" i="12"/>
  <c r="B270" i="12"/>
  <c r="D269" i="12"/>
  <c r="B269" i="12"/>
  <c r="C270" i="12" s="1"/>
  <c r="D268" i="12"/>
  <c r="B268" i="12"/>
  <c r="B267" i="12"/>
  <c r="D266" i="12"/>
  <c r="C266" i="12"/>
  <c r="B266" i="12"/>
  <c r="D278" i="12" s="1"/>
  <c r="B265" i="12"/>
  <c r="C265" i="12" s="1"/>
  <c r="B264" i="12"/>
  <c r="B263" i="12"/>
  <c r="C262" i="12"/>
  <c r="B262" i="12"/>
  <c r="D274" i="12" s="1"/>
  <c r="B261" i="12"/>
  <c r="B260" i="12"/>
  <c r="B259" i="12"/>
  <c r="B258" i="12"/>
  <c r="D270" i="12" s="1"/>
  <c r="D257" i="12"/>
  <c r="B257" i="12"/>
  <c r="D256" i="12"/>
  <c r="C256" i="12"/>
  <c r="B256" i="12"/>
  <c r="C257" i="12" s="1"/>
  <c r="B255" i="12"/>
  <c r="C255" i="12" s="1"/>
  <c r="C254" i="12"/>
  <c r="B254" i="12"/>
  <c r="D253" i="12"/>
  <c r="B253" i="12"/>
  <c r="C252" i="12"/>
  <c r="B252" i="12"/>
  <c r="D264" i="12" s="1"/>
  <c r="D251" i="12"/>
  <c r="B251" i="12"/>
  <c r="D263" i="12" s="1"/>
  <c r="C250" i="12"/>
  <c r="B250" i="12"/>
  <c r="B249" i="12"/>
  <c r="B248" i="12"/>
  <c r="B247" i="12"/>
  <c r="D246" i="12"/>
  <c r="C246" i="12"/>
  <c r="B246" i="12"/>
  <c r="D258" i="12" s="1"/>
  <c r="C245" i="12"/>
  <c r="B245" i="12"/>
  <c r="B244" i="12"/>
  <c r="B243" i="12"/>
  <c r="C242" i="12"/>
  <c r="B242" i="12"/>
  <c r="D254" i="12" s="1"/>
  <c r="D241" i="12"/>
  <c r="C241" i="12"/>
  <c r="B241" i="12"/>
  <c r="D240" i="12"/>
  <c r="B240" i="12"/>
  <c r="B239" i="12"/>
  <c r="B238" i="12"/>
  <c r="D250" i="12" s="1"/>
  <c r="B237" i="12"/>
  <c r="B236" i="12"/>
  <c r="D248" i="12" s="1"/>
  <c r="B235" i="12"/>
  <c r="D234" i="12"/>
  <c r="B234" i="12"/>
  <c r="B233" i="12"/>
  <c r="D232" i="12"/>
  <c r="C232" i="12"/>
  <c r="B232" i="12"/>
  <c r="D244" i="12" s="1"/>
  <c r="B231" i="12"/>
  <c r="B230" i="12"/>
  <c r="C230" i="12" s="1"/>
  <c r="B229" i="12"/>
  <c r="C229" i="12" s="1"/>
  <c r="C228" i="12"/>
  <c r="B228" i="12"/>
  <c r="D228" i="12" s="1"/>
  <c r="D227" i="12"/>
  <c r="B227" i="12"/>
  <c r="B226" i="12"/>
  <c r="D225" i="12"/>
  <c r="B225" i="12"/>
  <c r="C225" i="12" s="1"/>
  <c r="B224" i="12"/>
  <c r="D236" i="12" s="1"/>
  <c r="B223" i="12"/>
  <c r="D222" i="12"/>
  <c r="B222" i="12"/>
  <c r="B221" i="12"/>
  <c r="B220" i="12"/>
  <c r="B219" i="12"/>
  <c r="C219" i="12" s="1"/>
  <c r="D218" i="12"/>
  <c r="C218" i="12"/>
  <c r="B218" i="12"/>
  <c r="D230" i="12" s="1"/>
  <c r="C217" i="12"/>
  <c r="B217" i="12"/>
  <c r="D229" i="12" s="1"/>
  <c r="C216" i="12"/>
  <c r="B216" i="12"/>
  <c r="B215" i="12"/>
  <c r="B214" i="12"/>
  <c r="D226" i="12" s="1"/>
  <c r="B213" i="12"/>
  <c r="D212" i="12"/>
  <c r="C212" i="12"/>
  <c r="B212" i="12"/>
  <c r="D224" i="12" s="1"/>
  <c r="B211" i="12"/>
  <c r="B210" i="12"/>
  <c r="C210" i="12" s="1"/>
  <c r="D209" i="12"/>
  <c r="B209" i="12"/>
  <c r="C208" i="12"/>
  <c r="B208" i="12"/>
  <c r="C209" i="12" s="1"/>
  <c r="D207" i="12"/>
  <c r="B207" i="12"/>
  <c r="C207" i="12" s="1"/>
  <c r="C206" i="12"/>
  <c r="B206" i="12"/>
  <c r="B205" i="12"/>
  <c r="B204" i="12"/>
  <c r="D216" i="12" s="1"/>
  <c r="D203" i="12"/>
  <c r="B203" i="12"/>
  <c r="C203" i="12" s="1"/>
  <c r="D202" i="12"/>
  <c r="B202" i="12"/>
  <c r="D201" i="12"/>
  <c r="B201" i="12"/>
  <c r="B200" i="12"/>
  <c r="B199" i="12"/>
  <c r="C198" i="12"/>
  <c r="B198" i="12"/>
  <c r="D210" i="12" s="1"/>
  <c r="C197" i="12"/>
  <c r="B197" i="12"/>
  <c r="D196" i="12"/>
  <c r="C196" i="12"/>
  <c r="B196" i="12"/>
  <c r="B195" i="12"/>
  <c r="B194" i="12"/>
  <c r="D193" i="12"/>
  <c r="C193" i="12"/>
  <c r="B193" i="12"/>
  <c r="D205" i="12" s="1"/>
  <c r="C192" i="12"/>
  <c r="B192" i="12"/>
  <c r="B191" i="12"/>
  <c r="B190" i="12"/>
  <c r="C190" i="12" s="1"/>
  <c r="C189" i="12"/>
  <c r="B189" i="12"/>
  <c r="D189" i="12" s="1"/>
  <c r="D188" i="12"/>
  <c r="C188" i="12"/>
  <c r="B188" i="12"/>
  <c r="D187" i="12"/>
  <c r="B187" i="12"/>
  <c r="D186" i="12"/>
  <c r="B186" i="12"/>
  <c r="B185" i="12"/>
  <c r="D184" i="12"/>
  <c r="B184" i="12"/>
  <c r="B183" i="12"/>
  <c r="B182" i="12"/>
  <c r="C182" i="12" s="1"/>
  <c r="B181" i="12"/>
  <c r="C181" i="12" s="1"/>
  <c r="C180" i="12"/>
  <c r="B180" i="12"/>
  <c r="D192" i="12" s="1"/>
  <c r="D179" i="12"/>
  <c r="B179" i="12"/>
  <c r="B178" i="12"/>
  <c r="B177" i="12"/>
  <c r="B176" i="12"/>
  <c r="C177" i="12" s="1"/>
  <c r="D175" i="12"/>
  <c r="B175" i="12"/>
  <c r="C175" i="12" s="1"/>
  <c r="D174" i="12"/>
  <c r="B174" i="12"/>
  <c r="D173" i="12"/>
  <c r="B173" i="12"/>
  <c r="C174" i="12" s="1"/>
  <c r="B172" i="12"/>
  <c r="C172" i="12" s="1"/>
  <c r="B171" i="12"/>
  <c r="D170" i="12"/>
  <c r="C170" i="12"/>
  <c r="B170" i="12"/>
  <c r="D182" i="12" s="1"/>
  <c r="B169" i="12"/>
  <c r="B168" i="12"/>
  <c r="B167" i="12"/>
  <c r="C166" i="12"/>
  <c r="B166" i="12"/>
  <c r="D178" i="12" s="1"/>
  <c r="D165" i="12"/>
  <c r="B165" i="12"/>
  <c r="C165" i="12" s="1"/>
  <c r="C164" i="12"/>
  <c r="B164" i="12"/>
  <c r="D176" i="12" s="1"/>
  <c r="B163" i="12"/>
  <c r="B162" i="12"/>
  <c r="C162" i="12" s="1"/>
  <c r="D161" i="12"/>
  <c r="B161" i="12"/>
  <c r="B160" i="12"/>
  <c r="B159" i="12"/>
  <c r="B158" i="12"/>
  <c r="C158" i="12" s="1"/>
  <c r="C157" i="12"/>
  <c r="B157" i="12"/>
  <c r="C156" i="12"/>
  <c r="B156" i="12"/>
  <c r="D168" i="12" s="1"/>
  <c r="B155" i="12"/>
  <c r="B154" i="12"/>
  <c r="B153" i="12"/>
  <c r="C154" i="12" s="1"/>
  <c r="D152" i="12"/>
  <c r="B152" i="12"/>
  <c r="C152" i="12" s="1"/>
  <c r="D151" i="12"/>
  <c r="B151" i="12"/>
  <c r="C151" i="12" s="1"/>
  <c r="C150" i="12"/>
  <c r="B150" i="12"/>
  <c r="D162" i="12" s="1"/>
  <c r="C149" i="12"/>
  <c r="B149" i="12"/>
  <c r="D148" i="12"/>
  <c r="B148" i="12"/>
  <c r="B147" i="12"/>
  <c r="B146" i="12"/>
  <c r="B145" i="12"/>
  <c r="C145" i="12" s="1"/>
  <c r="B144" i="12"/>
  <c r="D156" i="12" s="1"/>
  <c r="B143" i="12"/>
  <c r="D142" i="12"/>
  <c r="C142" i="12"/>
  <c r="B142" i="12"/>
  <c r="D154" i="12" s="1"/>
  <c r="C141" i="12"/>
  <c r="B141" i="12"/>
  <c r="D153" i="12" s="1"/>
  <c r="D140" i="12"/>
  <c r="C140" i="12"/>
  <c r="B140" i="12"/>
  <c r="D139" i="12"/>
  <c r="B139" i="12"/>
  <c r="B138" i="12"/>
  <c r="D150" i="12" s="1"/>
  <c r="B137" i="12"/>
  <c r="B136" i="12"/>
  <c r="C136" i="12" s="1"/>
  <c r="B135" i="12"/>
  <c r="B134" i="12"/>
  <c r="D133" i="12"/>
  <c r="C133" i="12"/>
  <c r="B133" i="12"/>
  <c r="D145" i="12" s="1"/>
  <c r="C132" i="12"/>
  <c r="B132" i="12"/>
  <c r="D144" i="12" s="1"/>
  <c r="B131" i="12"/>
  <c r="B130" i="12"/>
  <c r="B129" i="12"/>
  <c r="D128" i="12"/>
  <c r="C128" i="12"/>
  <c r="B128" i="12"/>
  <c r="B127" i="12"/>
  <c r="C127" i="12" s="1"/>
  <c r="D126" i="12"/>
  <c r="B126" i="12"/>
  <c r="B125" i="12"/>
  <c r="D124" i="12"/>
  <c r="B124" i="12"/>
  <c r="D136" i="12" s="1"/>
  <c r="B123" i="12"/>
  <c r="B122" i="12"/>
  <c r="B121" i="12"/>
  <c r="C121" i="12" s="1"/>
  <c r="C120" i="12"/>
  <c r="B120" i="12"/>
  <c r="D132" i="12" s="1"/>
  <c r="D119" i="12"/>
  <c r="B119" i="12"/>
  <c r="C119" i="12" s="1"/>
  <c r="C118" i="12"/>
  <c r="B118" i="12"/>
  <c r="D130" i="12" s="1"/>
  <c r="B117" i="12"/>
  <c r="B116" i="12"/>
  <c r="B115" i="12"/>
  <c r="D114" i="12"/>
  <c r="C114" i="12"/>
  <c r="B114" i="12"/>
  <c r="B113" i="12"/>
  <c r="B112" i="12"/>
  <c r="C113" i="12" s="1"/>
  <c r="B111" i="12"/>
  <c r="D110" i="12"/>
  <c r="C110" i="12"/>
  <c r="B110" i="12"/>
  <c r="D122" i="12" s="1"/>
  <c r="C109" i="12"/>
  <c r="B109" i="12"/>
  <c r="B108" i="12"/>
  <c r="C108" i="12" s="1"/>
  <c r="B107" i="12"/>
  <c r="C106" i="12"/>
  <c r="B106" i="12"/>
  <c r="D118" i="12" s="1"/>
  <c r="D105" i="12"/>
  <c r="C105" i="12"/>
  <c r="B105" i="12"/>
  <c r="B104" i="12"/>
  <c r="D116" i="12" s="1"/>
  <c r="B103" i="12"/>
  <c r="B102" i="12"/>
  <c r="D101" i="12"/>
  <c r="C101" i="12"/>
  <c r="B101" i="12"/>
  <c r="D113" i="12" s="1"/>
  <c r="B100" i="12"/>
  <c r="B99" i="12"/>
  <c r="B98" i="12"/>
  <c r="C97" i="12"/>
  <c r="B97" i="12"/>
  <c r="D109" i="12" s="1"/>
  <c r="D96" i="12"/>
  <c r="B96" i="12"/>
  <c r="B95" i="12"/>
  <c r="B94" i="12"/>
  <c r="C94" i="12" s="1"/>
  <c r="B93" i="12"/>
  <c r="C93" i="12" s="1"/>
  <c r="D92" i="12"/>
  <c r="B92" i="12"/>
  <c r="D104" i="12" s="1"/>
  <c r="B91" i="12"/>
  <c r="B90" i="12"/>
  <c r="C90" i="12" s="1"/>
  <c r="B89" i="12"/>
  <c r="C89" i="12" s="1"/>
  <c r="B88" i="12"/>
  <c r="D100" i="12" s="1"/>
  <c r="D87" i="12"/>
  <c r="B87" i="12"/>
  <c r="D99" i="12" s="1"/>
  <c r="B86" i="12"/>
  <c r="B85" i="12"/>
  <c r="D85" i="12" s="1"/>
  <c r="B84" i="12"/>
  <c r="C84" i="12" s="1"/>
  <c r="D83" i="12"/>
  <c r="B83" i="12"/>
  <c r="B82" i="12"/>
  <c r="C82" i="12" s="1"/>
  <c r="C81" i="12"/>
  <c r="B81" i="12"/>
  <c r="D93" i="12" s="1"/>
  <c r="B80" i="12"/>
  <c r="B79" i="12"/>
  <c r="B78" i="12"/>
  <c r="B77" i="12"/>
  <c r="B76" i="12"/>
  <c r="C76" i="12" s="1"/>
  <c r="B75" i="12"/>
  <c r="C75" i="12" s="1"/>
  <c r="D74" i="12"/>
  <c r="B74" i="12"/>
  <c r="C73" i="12"/>
  <c r="B73" i="12"/>
  <c r="D72" i="12"/>
  <c r="B72" i="12"/>
  <c r="C72" i="12" s="1"/>
  <c r="B71" i="12"/>
  <c r="D71" i="12" s="1"/>
  <c r="B70" i="12"/>
  <c r="D69" i="12"/>
  <c r="C69" i="12"/>
  <c r="B69" i="12"/>
  <c r="D81" i="12" s="1"/>
  <c r="C68" i="12"/>
  <c r="B68" i="12"/>
  <c r="D80" i="12" s="1"/>
  <c r="B67" i="12"/>
  <c r="B66" i="12"/>
  <c r="D65" i="12"/>
  <c r="B65" i="12"/>
  <c r="B64" i="12"/>
  <c r="B63" i="12"/>
  <c r="C63" i="12" s="1"/>
  <c r="B62" i="12"/>
  <c r="B61" i="12"/>
  <c r="D73" i="12" s="1"/>
  <c r="C60" i="12"/>
  <c r="B60" i="12"/>
  <c r="D59" i="12"/>
  <c r="B59" i="12"/>
  <c r="C59" i="12" s="1"/>
  <c r="D58" i="12"/>
  <c r="B58" i="12"/>
  <c r="B57" i="12"/>
  <c r="D56" i="12"/>
  <c r="C56" i="12"/>
  <c r="B56" i="12"/>
  <c r="D68" i="12" s="1"/>
  <c r="C55" i="12"/>
  <c r="B55" i="12"/>
  <c r="D67" i="12" s="1"/>
  <c r="B54" i="12"/>
  <c r="D66" i="12" s="1"/>
  <c r="B53" i="12"/>
  <c r="C53" i="12" s="1"/>
  <c r="D52" i="12"/>
  <c r="B52" i="12"/>
  <c r="B51" i="12"/>
  <c r="B50" i="12"/>
  <c r="D62" i="12" s="1"/>
  <c r="D49" i="12"/>
  <c r="B49" i="12"/>
  <c r="C49" i="12" s="1"/>
  <c r="B48" i="12"/>
  <c r="C47" i="12"/>
  <c r="B47" i="12"/>
  <c r="D46" i="12"/>
  <c r="B46" i="12"/>
  <c r="C46" i="12" s="1"/>
  <c r="B45" i="12"/>
  <c r="B44" i="12"/>
  <c r="D43" i="12"/>
  <c r="C43" i="12"/>
  <c r="B43" i="12"/>
  <c r="D55" i="12" s="1"/>
  <c r="B42" i="12"/>
  <c r="B41" i="12"/>
  <c r="C41" i="12" s="1"/>
  <c r="B40" i="12"/>
  <c r="C39" i="12"/>
  <c r="B39" i="12"/>
  <c r="D51" i="12" s="1"/>
  <c r="B38" i="12"/>
  <c r="D37" i="12"/>
  <c r="B37" i="12"/>
  <c r="C37" i="12" s="1"/>
  <c r="D36" i="12"/>
  <c r="B36" i="12"/>
  <c r="B35" i="12"/>
  <c r="B34" i="12"/>
  <c r="C34" i="12" s="1"/>
  <c r="C33" i="12"/>
  <c r="B33" i="12"/>
  <c r="D45" i="12" s="1"/>
  <c r="B32" i="12"/>
  <c r="B31" i="12"/>
  <c r="C32" i="12" s="1"/>
  <c r="B30" i="12"/>
  <c r="D29" i="12"/>
  <c r="B29" i="12"/>
  <c r="B28" i="12"/>
  <c r="C28" i="12" s="1"/>
  <c r="B27" i="12"/>
  <c r="D39" i="12" s="1"/>
  <c r="B26" i="12"/>
  <c r="D25" i="12"/>
  <c r="C25" i="12"/>
  <c r="B25" i="12"/>
  <c r="D24" i="12"/>
  <c r="B24" i="12"/>
  <c r="C24" i="12" s="1"/>
  <c r="D23" i="12"/>
  <c r="B23" i="12"/>
  <c r="C23" i="12" s="1"/>
  <c r="B22" i="12"/>
  <c r="B21" i="12"/>
  <c r="D33" i="12" s="1"/>
  <c r="C20" i="12"/>
  <c r="B20" i="12"/>
  <c r="D32" i="12" s="1"/>
  <c r="B19" i="12"/>
  <c r="B18" i="12"/>
  <c r="B17" i="12"/>
  <c r="C16" i="12"/>
  <c r="B16" i="12"/>
  <c r="D28" i="12" s="1"/>
  <c r="B15" i="12"/>
  <c r="B14" i="12"/>
  <c r="C14" i="12" s="1"/>
  <c r="B13" i="12"/>
  <c r="C13" i="12" s="1"/>
  <c r="C12" i="12"/>
  <c r="B12" i="12"/>
  <c r="B11" i="12"/>
  <c r="B10" i="12"/>
  <c r="B9" i="12"/>
  <c r="B8" i="12"/>
  <c r="D20" i="12" s="1"/>
  <c r="B7" i="12"/>
  <c r="C8" i="12" s="1"/>
  <c r="U2" i="12"/>
  <c r="Y1" i="12" s="1"/>
  <c r="U1" i="12"/>
  <c r="B619" i="11"/>
  <c r="C619" i="11" s="1"/>
  <c r="B618" i="11"/>
  <c r="C618" i="11" s="1"/>
  <c r="C617" i="11"/>
  <c r="B617" i="11"/>
  <c r="D616" i="11"/>
  <c r="B616" i="11"/>
  <c r="C616" i="11" s="1"/>
  <c r="C615" i="11"/>
  <c r="B615" i="11"/>
  <c r="C614" i="11"/>
  <c r="B614" i="11"/>
  <c r="D614" i="11" s="1"/>
  <c r="B613" i="11"/>
  <c r="B612" i="11"/>
  <c r="C611" i="11"/>
  <c r="B611" i="11"/>
  <c r="C610" i="11"/>
  <c r="B610" i="11"/>
  <c r="C609" i="11"/>
  <c r="B609" i="11"/>
  <c r="B608" i="11"/>
  <c r="B607" i="11"/>
  <c r="B606" i="11"/>
  <c r="D605" i="11"/>
  <c r="C605" i="11"/>
  <c r="B605" i="11"/>
  <c r="D617" i="11" s="1"/>
  <c r="C604" i="11"/>
  <c r="B604" i="11"/>
  <c r="B603" i="11"/>
  <c r="D615" i="11" s="1"/>
  <c r="D602" i="11"/>
  <c r="B602" i="11"/>
  <c r="B601" i="11"/>
  <c r="B600" i="11"/>
  <c r="B599" i="11"/>
  <c r="B598" i="11"/>
  <c r="D610" i="11" s="1"/>
  <c r="B597" i="11"/>
  <c r="B596" i="11"/>
  <c r="B595" i="11"/>
  <c r="D594" i="11"/>
  <c r="C594" i="11"/>
  <c r="B594" i="11"/>
  <c r="C595" i="11" s="1"/>
  <c r="D593" i="11"/>
  <c r="B593" i="11"/>
  <c r="B592" i="11"/>
  <c r="B591" i="11"/>
  <c r="C590" i="11"/>
  <c r="B590" i="11"/>
  <c r="C589" i="11"/>
  <c r="B589" i="11"/>
  <c r="B588" i="11"/>
  <c r="D600" i="11" s="1"/>
  <c r="B587" i="11"/>
  <c r="D599" i="11" s="1"/>
  <c r="B586" i="11"/>
  <c r="B585" i="11"/>
  <c r="C584" i="11"/>
  <c r="B584" i="11"/>
  <c r="C583" i="11"/>
  <c r="B583" i="11"/>
  <c r="D595" i="11" s="1"/>
  <c r="C582" i="11"/>
  <c r="B582" i="11"/>
  <c r="D581" i="11"/>
  <c r="C581" i="11"/>
  <c r="B581" i="11"/>
  <c r="B580" i="11"/>
  <c r="C580" i="11" s="1"/>
  <c r="C579" i="11"/>
  <c r="B579" i="11"/>
  <c r="B578" i="11"/>
  <c r="D590" i="11" s="1"/>
  <c r="C577" i="11"/>
  <c r="B577" i="11"/>
  <c r="D589" i="11" s="1"/>
  <c r="D576" i="11"/>
  <c r="C576" i="11"/>
  <c r="B576" i="11"/>
  <c r="B575" i="11"/>
  <c r="B574" i="11"/>
  <c r="C574" i="11" s="1"/>
  <c r="B573" i="11"/>
  <c r="D572" i="11"/>
  <c r="B572" i="11"/>
  <c r="D584" i="11" s="1"/>
  <c r="B571" i="11"/>
  <c r="B570" i="11"/>
  <c r="C570" i="11" s="1"/>
  <c r="B569" i="11"/>
  <c r="B568" i="11"/>
  <c r="C567" i="11"/>
  <c r="B567" i="11"/>
  <c r="D566" i="11"/>
  <c r="B566" i="11"/>
  <c r="C565" i="11"/>
  <c r="B565" i="11"/>
  <c r="B564" i="11"/>
  <c r="B563" i="11"/>
  <c r="C562" i="11"/>
  <c r="B562" i="11"/>
  <c r="D574" i="11" s="1"/>
  <c r="D561" i="11"/>
  <c r="B561" i="11"/>
  <c r="B560" i="11"/>
  <c r="C560" i="11" s="1"/>
  <c r="B559" i="11"/>
  <c r="B558" i="11"/>
  <c r="D557" i="11"/>
  <c r="C557" i="11"/>
  <c r="B557" i="11"/>
  <c r="D569" i="11" s="1"/>
  <c r="D556" i="11"/>
  <c r="B556" i="11"/>
  <c r="C555" i="11"/>
  <c r="B555" i="11"/>
  <c r="D567" i="11" s="1"/>
  <c r="B554" i="11"/>
  <c r="B553" i="11"/>
  <c r="D552" i="11"/>
  <c r="C552" i="11"/>
  <c r="B552" i="11"/>
  <c r="D564" i="11" s="1"/>
  <c r="B551" i="11"/>
  <c r="D550" i="11"/>
  <c r="C550" i="11"/>
  <c r="B550" i="11"/>
  <c r="B549" i="11"/>
  <c r="C548" i="11"/>
  <c r="B548" i="11"/>
  <c r="B547" i="11"/>
  <c r="B546" i="11"/>
  <c r="C546" i="11" s="1"/>
  <c r="D545" i="11"/>
  <c r="B545" i="11"/>
  <c r="B544" i="11"/>
  <c r="C544" i="11" s="1"/>
  <c r="B543" i="11"/>
  <c r="D555" i="11" s="1"/>
  <c r="B542" i="11"/>
  <c r="D541" i="11"/>
  <c r="B541" i="11"/>
  <c r="B540" i="11"/>
  <c r="C541" i="11" s="1"/>
  <c r="B539" i="11"/>
  <c r="C538" i="11"/>
  <c r="B538" i="11"/>
  <c r="D537" i="11"/>
  <c r="B537" i="11"/>
  <c r="D536" i="11"/>
  <c r="C536" i="11"/>
  <c r="B536" i="11"/>
  <c r="C537" i="11" s="1"/>
  <c r="B535" i="11"/>
  <c r="D547" i="11" s="1"/>
  <c r="C534" i="11"/>
  <c r="B534" i="11"/>
  <c r="D546" i="11" s="1"/>
  <c r="D533" i="11"/>
  <c r="C533" i="11"/>
  <c r="B533" i="11"/>
  <c r="C532" i="11"/>
  <c r="B532" i="11"/>
  <c r="D544" i="11" s="1"/>
  <c r="B531" i="11"/>
  <c r="B530" i="11"/>
  <c r="D529" i="11"/>
  <c r="B529" i="11"/>
  <c r="B528" i="11"/>
  <c r="C528" i="11" s="1"/>
  <c r="B527" i="11"/>
  <c r="C527" i="11" s="1"/>
  <c r="B526" i="11"/>
  <c r="D525" i="11"/>
  <c r="C525" i="11"/>
  <c r="B525" i="11"/>
  <c r="D524" i="11"/>
  <c r="B524" i="11"/>
  <c r="D523" i="11"/>
  <c r="C523" i="11"/>
  <c r="B523" i="11"/>
  <c r="C524" i="11" s="1"/>
  <c r="C522" i="11"/>
  <c r="B522" i="11"/>
  <c r="D521" i="11"/>
  <c r="C521" i="11"/>
  <c r="B521" i="11"/>
  <c r="C520" i="11"/>
  <c r="B520" i="11"/>
  <c r="D532" i="11" s="1"/>
  <c r="C519" i="11"/>
  <c r="B519" i="11"/>
  <c r="D531" i="11" s="1"/>
  <c r="B518" i="11"/>
  <c r="D517" i="11"/>
  <c r="B517" i="11"/>
  <c r="B516" i="11"/>
  <c r="B515" i="11"/>
  <c r="C514" i="11"/>
  <c r="B514" i="11"/>
  <c r="D513" i="11"/>
  <c r="B513" i="11"/>
  <c r="D512" i="11"/>
  <c r="C512" i="11"/>
  <c r="B512" i="11"/>
  <c r="C513" i="11" s="1"/>
  <c r="D511" i="11"/>
  <c r="B511" i="11"/>
  <c r="C510" i="11"/>
  <c r="B510" i="11"/>
  <c r="D522" i="11" s="1"/>
  <c r="D509" i="11"/>
  <c r="B509" i="11"/>
  <c r="C508" i="11"/>
  <c r="B508" i="11"/>
  <c r="B507" i="11"/>
  <c r="D519" i="11" s="1"/>
  <c r="B506" i="11"/>
  <c r="D505" i="11"/>
  <c r="B505" i="11"/>
  <c r="B504" i="11"/>
  <c r="D516" i="11" s="1"/>
  <c r="B503" i="11"/>
  <c r="C502" i="11"/>
  <c r="B502" i="11"/>
  <c r="D501" i="11"/>
  <c r="C501" i="11"/>
  <c r="B501" i="11"/>
  <c r="B500" i="11"/>
  <c r="C500" i="11" s="1"/>
  <c r="D499" i="11"/>
  <c r="C499" i="11"/>
  <c r="B499" i="11"/>
  <c r="C498" i="11"/>
  <c r="B498" i="11"/>
  <c r="D497" i="11"/>
  <c r="C497" i="11"/>
  <c r="B497" i="11"/>
  <c r="B496" i="11"/>
  <c r="B495" i="11"/>
  <c r="B494" i="11"/>
  <c r="D493" i="11"/>
  <c r="B493" i="11"/>
  <c r="B492" i="11"/>
  <c r="C493" i="11" s="1"/>
  <c r="B491" i="11"/>
  <c r="C491" i="11" s="1"/>
  <c r="C490" i="11"/>
  <c r="B490" i="11"/>
  <c r="D502" i="11" s="1"/>
  <c r="D489" i="11"/>
  <c r="B489" i="11"/>
  <c r="D488" i="11"/>
  <c r="C488" i="11"/>
  <c r="B488" i="11"/>
  <c r="C489" i="11" s="1"/>
  <c r="B487" i="11"/>
  <c r="C487" i="11" s="1"/>
  <c r="C486" i="11"/>
  <c r="B486" i="11"/>
  <c r="D498" i="11" s="1"/>
  <c r="D485" i="11"/>
  <c r="C485" i="11"/>
  <c r="B485" i="11"/>
  <c r="C484" i="11"/>
  <c r="B484" i="11"/>
  <c r="D496" i="11" s="1"/>
  <c r="B483" i="11"/>
  <c r="B482" i="11"/>
  <c r="D481" i="11"/>
  <c r="B481" i="11"/>
  <c r="B480" i="11"/>
  <c r="B479" i="11"/>
  <c r="C479" i="11" s="1"/>
  <c r="B478" i="11"/>
  <c r="D477" i="11"/>
  <c r="C477" i="11"/>
  <c r="B477" i="11"/>
  <c r="D476" i="11"/>
  <c r="B476" i="11"/>
  <c r="D475" i="11"/>
  <c r="C475" i="11"/>
  <c r="B475" i="11"/>
  <c r="C476" i="11" s="1"/>
  <c r="C474" i="11"/>
  <c r="B474" i="11"/>
  <c r="D473" i="11"/>
  <c r="C473" i="11"/>
  <c r="B473" i="11"/>
  <c r="C472" i="11"/>
  <c r="B472" i="11"/>
  <c r="D484" i="11" s="1"/>
  <c r="C471" i="11"/>
  <c r="B471" i="11"/>
  <c r="D483" i="11" s="1"/>
  <c r="B470" i="11"/>
  <c r="D469" i="11"/>
  <c r="B469" i="11"/>
  <c r="B468" i="11"/>
  <c r="B467" i="11"/>
  <c r="C466" i="11"/>
  <c r="B466" i="11"/>
  <c r="D465" i="11"/>
  <c r="B465" i="11"/>
  <c r="D464" i="11"/>
  <c r="C464" i="11"/>
  <c r="B464" i="11"/>
  <c r="C465" i="11" s="1"/>
  <c r="D463" i="11"/>
  <c r="B463" i="11"/>
  <c r="C462" i="11"/>
  <c r="B462" i="11"/>
  <c r="D474" i="11" s="1"/>
  <c r="D461" i="11"/>
  <c r="B461" i="11"/>
  <c r="B460" i="11"/>
  <c r="B459" i="11"/>
  <c r="D471" i="11" s="1"/>
  <c r="B458" i="11"/>
  <c r="D457" i="11"/>
  <c r="B457" i="11"/>
  <c r="B456" i="11"/>
  <c r="D468" i="11" s="1"/>
  <c r="B455" i="11"/>
  <c r="C454" i="11"/>
  <c r="B454" i="11"/>
  <c r="D453" i="11"/>
  <c r="C453" i="11"/>
  <c r="B453" i="11"/>
  <c r="B452" i="11"/>
  <c r="C452" i="11" s="1"/>
  <c r="D451" i="11"/>
  <c r="C451" i="11"/>
  <c r="B451" i="11"/>
  <c r="C450" i="11"/>
  <c r="B450" i="11"/>
  <c r="D449" i="11"/>
  <c r="C449" i="11"/>
  <c r="B449" i="11"/>
  <c r="B448" i="11"/>
  <c r="B447" i="11"/>
  <c r="B446" i="11"/>
  <c r="B445" i="11"/>
  <c r="B444" i="11"/>
  <c r="C445" i="11" s="1"/>
  <c r="B443" i="11"/>
  <c r="C442" i="11"/>
  <c r="B442" i="11"/>
  <c r="D454" i="11" s="1"/>
  <c r="D441" i="11"/>
  <c r="B441" i="11"/>
  <c r="D440" i="11"/>
  <c r="C440" i="11"/>
  <c r="B440" i="11"/>
  <c r="C441" i="11" s="1"/>
  <c r="B439" i="11"/>
  <c r="B438" i="11"/>
  <c r="C437" i="11"/>
  <c r="B437" i="11"/>
  <c r="C436" i="11"/>
  <c r="B436" i="11"/>
  <c r="D448" i="11" s="1"/>
  <c r="B435" i="11"/>
  <c r="B434" i="11"/>
  <c r="B433" i="11"/>
  <c r="B432" i="11"/>
  <c r="B431" i="11"/>
  <c r="C431" i="11" s="1"/>
  <c r="B430" i="11"/>
  <c r="D429" i="11"/>
  <c r="C429" i="11"/>
  <c r="B429" i="11"/>
  <c r="D428" i="11"/>
  <c r="B428" i="11"/>
  <c r="D427" i="11"/>
  <c r="C427" i="11"/>
  <c r="B427" i="11"/>
  <c r="C428" i="11" s="1"/>
  <c r="B426" i="11"/>
  <c r="C425" i="11"/>
  <c r="B425" i="11"/>
  <c r="C424" i="11"/>
  <c r="B424" i="11"/>
  <c r="D436" i="11" s="1"/>
  <c r="C423" i="11"/>
  <c r="B423" i="11"/>
  <c r="D435" i="11" s="1"/>
  <c r="B422" i="11"/>
  <c r="B421" i="11"/>
  <c r="B420" i="11"/>
  <c r="B419" i="11"/>
  <c r="C418" i="11"/>
  <c r="B418" i="11"/>
  <c r="D430" i="11" s="1"/>
  <c r="B417" i="11"/>
  <c r="C417" i="11" s="1"/>
  <c r="D416" i="11"/>
  <c r="C416" i="11"/>
  <c r="B416" i="11"/>
  <c r="D415" i="11"/>
  <c r="B415" i="11"/>
  <c r="B414" i="11"/>
  <c r="B413" i="11"/>
  <c r="B412" i="11"/>
  <c r="C411" i="11"/>
  <c r="B411" i="11"/>
  <c r="D423" i="11" s="1"/>
  <c r="B410" i="11"/>
  <c r="D409" i="11"/>
  <c r="B409" i="11"/>
  <c r="B408" i="11"/>
  <c r="B407" i="11"/>
  <c r="B406" i="11"/>
  <c r="D405" i="11"/>
  <c r="C405" i="11"/>
  <c r="B405" i="11"/>
  <c r="C406" i="11" s="1"/>
  <c r="B404" i="11"/>
  <c r="C404" i="11" s="1"/>
  <c r="D403" i="11"/>
  <c r="C403" i="11"/>
  <c r="B403" i="11"/>
  <c r="C402" i="11"/>
  <c r="B402" i="11"/>
  <c r="C401" i="11"/>
  <c r="B401" i="11"/>
  <c r="D413" i="11" s="1"/>
  <c r="B400" i="11"/>
  <c r="C399" i="11"/>
  <c r="B399" i="11"/>
  <c r="B398" i="11"/>
  <c r="B397" i="11"/>
  <c r="C397" i="11" s="1"/>
  <c r="B396" i="11"/>
  <c r="B395" i="11"/>
  <c r="C394" i="11"/>
  <c r="B394" i="11"/>
  <c r="D406" i="11" s="1"/>
  <c r="B393" i="11"/>
  <c r="D392" i="11"/>
  <c r="C392" i="11"/>
  <c r="B392" i="11"/>
  <c r="C393" i="11" s="1"/>
  <c r="B391" i="11"/>
  <c r="C391" i="11" s="1"/>
  <c r="C390" i="11"/>
  <c r="B390" i="11"/>
  <c r="D402" i="11" s="1"/>
  <c r="C389" i="11"/>
  <c r="B389" i="11"/>
  <c r="D401" i="11" s="1"/>
  <c r="C388" i="11"/>
  <c r="B388" i="11"/>
  <c r="D400" i="11" s="1"/>
  <c r="B387" i="11"/>
  <c r="B386" i="11"/>
  <c r="D385" i="11"/>
  <c r="B385" i="11"/>
  <c r="D397" i="11" s="1"/>
  <c r="B384" i="11"/>
  <c r="C384" i="11" s="1"/>
  <c r="B383" i="11"/>
  <c r="C383" i="11" s="1"/>
  <c r="B382" i="11"/>
  <c r="D381" i="11"/>
  <c r="C381" i="11"/>
  <c r="B381" i="11"/>
  <c r="D393" i="11" s="1"/>
  <c r="B380" i="11"/>
  <c r="D379" i="11"/>
  <c r="C379" i="11"/>
  <c r="B379" i="11"/>
  <c r="C380" i="11" s="1"/>
  <c r="B378" i="11"/>
  <c r="B377" i="11"/>
  <c r="D376" i="11"/>
  <c r="C376" i="11"/>
  <c r="B376" i="11"/>
  <c r="D388" i="11" s="1"/>
  <c r="C375" i="11"/>
  <c r="B375" i="11"/>
  <c r="D387" i="11" s="1"/>
  <c r="B374" i="11"/>
  <c r="B373" i="11"/>
  <c r="C373" i="11" s="1"/>
  <c r="B372" i="11"/>
  <c r="D384" i="11" s="1"/>
  <c r="B371" i="11"/>
  <c r="C371" i="11" s="1"/>
  <c r="C370" i="11"/>
  <c r="B370" i="11"/>
  <c r="D382" i="11" s="1"/>
  <c r="B369" i="11"/>
  <c r="C369" i="11" s="1"/>
  <c r="D368" i="11"/>
  <c r="C368" i="11"/>
  <c r="B368" i="11"/>
  <c r="D380" i="11" s="1"/>
  <c r="B367" i="11"/>
  <c r="B366" i="11"/>
  <c r="B365" i="11"/>
  <c r="B364" i="11"/>
  <c r="D363" i="11"/>
  <c r="C363" i="11"/>
  <c r="B363" i="11"/>
  <c r="D375" i="11" s="1"/>
  <c r="B362" i="11"/>
  <c r="B361" i="11"/>
  <c r="B360" i="11"/>
  <c r="B359" i="11"/>
  <c r="D371" i="11" s="1"/>
  <c r="B358" i="11"/>
  <c r="D357" i="11"/>
  <c r="C357" i="11"/>
  <c r="B357" i="11"/>
  <c r="C358" i="11" s="1"/>
  <c r="B356" i="11"/>
  <c r="C356" i="11" s="1"/>
  <c r="B355" i="11"/>
  <c r="D355" i="11" s="1"/>
  <c r="C354" i="11"/>
  <c r="B354" i="11"/>
  <c r="B353" i="11"/>
  <c r="D365" i="11" s="1"/>
  <c r="B352" i="11"/>
  <c r="B351" i="11"/>
  <c r="B350" i="11"/>
  <c r="B349" i="11"/>
  <c r="C349" i="11" s="1"/>
  <c r="B348" i="11"/>
  <c r="B347" i="11"/>
  <c r="B346" i="11"/>
  <c r="D358" i="11" s="1"/>
  <c r="B345" i="11"/>
  <c r="D344" i="11"/>
  <c r="C344" i="11"/>
  <c r="B344" i="11"/>
  <c r="C345" i="11" s="1"/>
  <c r="B343" i="11"/>
  <c r="C343" i="11" s="1"/>
  <c r="C342" i="11"/>
  <c r="B342" i="11"/>
  <c r="D354" i="11" s="1"/>
  <c r="D341" i="11"/>
  <c r="C341" i="11"/>
  <c r="B341" i="11"/>
  <c r="B340" i="11"/>
  <c r="D352" i="11" s="1"/>
  <c r="B339" i="11"/>
  <c r="B338" i="11"/>
  <c r="B337" i="11"/>
  <c r="B336" i="11"/>
  <c r="C336" i="11" s="1"/>
  <c r="B335" i="11"/>
  <c r="C335" i="11" s="1"/>
  <c r="B334" i="11"/>
  <c r="B333" i="11"/>
  <c r="C333" i="11" s="1"/>
  <c r="B332" i="11"/>
  <c r="D331" i="11"/>
  <c r="C331" i="11"/>
  <c r="B331" i="11"/>
  <c r="C332" i="11" s="1"/>
  <c r="B330" i="11"/>
  <c r="D329" i="11"/>
  <c r="C329" i="11"/>
  <c r="B329" i="11"/>
  <c r="C330" i="11" s="1"/>
  <c r="B328" i="11"/>
  <c r="B327" i="11"/>
  <c r="B326" i="11"/>
  <c r="B325" i="11"/>
  <c r="D324" i="11"/>
  <c r="C324" i="11"/>
  <c r="B324" i="11"/>
  <c r="D336" i="11" s="1"/>
  <c r="B323" i="11"/>
  <c r="C323" i="11" s="1"/>
  <c r="B322" i="11"/>
  <c r="D334" i="11" s="1"/>
  <c r="B321" i="11"/>
  <c r="D320" i="11"/>
  <c r="C320" i="11"/>
  <c r="B320" i="11"/>
  <c r="D332" i="11" s="1"/>
  <c r="B319" i="11"/>
  <c r="C318" i="11"/>
  <c r="B318" i="11"/>
  <c r="C317" i="11"/>
  <c r="B317" i="11"/>
  <c r="C316" i="11"/>
  <c r="B316" i="11"/>
  <c r="D328" i="11" s="1"/>
  <c r="D315" i="11"/>
  <c r="B315" i="11"/>
  <c r="B314" i="11"/>
  <c r="D313" i="11"/>
  <c r="B313" i="11"/>
  <c r="D325" i="11" s="1"/>
  <c r="B312" i="11"/>
  <c r="C311" i="11"/>
  <c r="B311" i="11"/>
  <c r="D323" i="11" s="1"/>
  <c r="B310" i="11"/>
  <c r="B309" i="11"/>
  <c r="C310" i="11" s="1"/>
  <c r="D308" i="11"/>
  <c r="B308" i="11"/>
  <c r="C308" i="11" s="1"/>
  <c r="C307" i="11"/>
  <c r="B307" i="11"/>
  <c r="D319" i="11" s="1"/>
  <c r="B306" i="11"/>
  <c r="B305" i="11"/>
  <c r="B304" i="11"/>
  <c r="D303" i="11"/>
  <c r="B303" i="11"/>
  <c r="C304" i="11" s="1"/>
  <c r="C302" i="11"/>
  <c r="B302" i="11"/>
  <c r="B301" i="11"/>
  <c r="B300" i="11"/>
  <c r="B299" i="11"/>
  <c r="B298" i="11"/>
  <c r="B297" i="11"/>
  <c r="D296" i="11"/>
  <c r="B296" i="11"/>
  <c r="C297" i="11" s="1"/>
  <c r="D295" i="11"/>
  <c r="B295" i="11"/>
  <c r="C295" i="11" s="1"/>
  <c r="C294" i="11"/>
  <c r="B294" i="11"/>
  <c r="D306" i="11" s="1"/>
  <c r="C293" i="11"/>
  <c r="B293" i="11"/>
  <c r="B292" i="11"/>
  <c r="D304" i="11" s="1"/>
  <c r="B291" i="11"/>
  <c r="C290" i="11"/>
  <c r="B290" i="11"/>
  <c r="D302" i="11" s="1"/>
  <c r="D289" i="11"/>
  <c r="B289" i="11"/>
  <c r="B288" i="11"/>
  <c r="B287" i="11"/>
  <c r="D299" i="11" s="1"/>
  <c r="B286" i="11"/>
  <c r="C285" i="11"/>
  <c r="B285" i="11"/>
  <c r="D297" i="11" s="1"/>
  <c r="D284" i="11"/>
  <c r="B284" i="11"/>
  <c r="D283" i="11"/>
  <c r="C283" i="11"/>
  <c r="B283" i="11"/>
  <c r="C284" i="11" s="1"/>
  <c r="B282" i="11"/>
  <c r="B281" i="11"/>
  <c r="D280" i="11"/>
  <c r="C280" i="11"/>
  <c r="B280" i="11"/>
  <c r="B279" i="11"/>
  <c r="C279" i="11" s="1"/>
  <c r="C278" i="11"/>
  <c r="B278" i="11"/>
  <c r="B277" i="11"/>
  <c r="B276" i="11"/>
  <c r="B275" i="11"/>
  <c r="B274" i="11"/>
  <c r="B273" i="11"/>
  <c r="B272" i="11"/>
  <c r="D272" i="11" s="1"/>
  <c r="B271" i="11"/>
  <c r="B270" i="11"/>
  <c r="B269" i="11"/>
  <c r="D268" i="11"/>
  <c r="B268" i="11"/>
  <c r="C269" i="11" s="1"/>
  <c r="D267" i="11"/>
  <c r="B267" i="11"/>
  <c r="B266" i="11"/>
  <c r="C265" i="11"/>
  <c r="B265" i="11"/>
  <c r="B264" i="11"/>
  <c r="C264" i="11" s="1"/>
  <c r="D263" i="11"/>
  <c r="B263" i="11"/>
  <c r="C263" i="11" s="1"/>
  <c r="B262" i="11"/>
  <c r="C261" i="11"/>
  <c r="B261" i="11"/>
  <c r="C262" i="11" s="1"/>
  <c r="D260" i="11"/>
  <c r="B260" i="11"/>
  <c r="B259" i="11"/>
  <c r="B258" i="11"/>
  <c r="C257" i="11"/>
  <c r="B257" i="11"/>
  <c r="D269" i="11" s="1"/>
  <c r="C256" i="11"/>
  <c r="B256" i="11"/>
  <c r="D255" i="11"/>
  <c r="B255" i="11"/>
  <c r="B254" i="11"/>
  <c r="B253" i="11"/>
  <c r="C253" i="11" s="1"/>
  <c r="D252" i="11"/>
  <c r="B252" i="11"/>
  <c r="C251" i="11"/>
  <c r="B251" i="11"/>
  <c r="C250" i="11"/>
  <c r="B250" i="11"/>
  <c r="D262" i="11" s="1"/>
  <c r="C249" i="11"/>
  <c r="B249" i="11"/>
  <c r="B248" i="11"/>
  <c r="D248" i="11" s="1"/>
  <c r="B247" i="11"/>
  <c r="C246" i="11"/>
  <c r="B246" i="11"/>
  <c r="D258" i="11" s="1"/>
  <c r="D245" i="11"/>
  <c r="B245" i="11"/>
  <c r="B244" i="11"/>
  <c r="D243" i="11"/>
  <c r="C243" i="11"/>
  <c r="B243" i="11"/>
  <c r="B242" i="11"/>
  <c r="B241" i="11"/>
  <c r="D240" i="11"/>
  <c r="B240" i="11"/>
  <c r="C239" i="11"/>
  <c r="B239" i="11"/>
  <c r="B238" i="11"/>
  <c r="D237" i="11"/>
  <c r="B237" i="11"/>
  <c r="D249" i="11" s="1"/>
  <c r="D236" i="11"/>
  <c r="B236" i="11"/>
  <c r="B235" i="11"/>
  <c r="D235" i="11" s="1"/>
  <c r="C234" i="11"/>
  <c r="B234" i="11"/>
  <c r="D233" i="11"/>
  <c r="B233" i="11"/>
  <c r="C232" i="11"/>
  <c r="B232" i="11"/>
  <c r="C231" i="11"/>
  <c r="B231" i="11"/>
  <c r="B230" i="11"/>
  <c r="D242" i="11" s="1"/>
  <c r="C229" i="11"/>
  <c r="B229" i="11"/>
  <c r="D228" i="11"/>
  <c r="B228" i="11"/>
  <c r="B227" i="11"/>
  <c r="B226" i="11"/>
  <c r="B225" i="11"/>
  <c r="D224" i="11"/>
  <c r="C224" i="11"/>
  <c r="B224" i="11"/>
  <c r="D223" i="11"/>
  <c r="B223" i="11"/>
  <c r="B222" i="11"/>
  <c r="D221" i="11"/>
  <c r="C221" i="11"/>
  <c r="B221" i="11"/>
  <c r="C220" i="11"/>
  <c r="B220" i="11"/>
  <c r="B219" i="11"/>
  <c r="D231" i="11" s="1"/>
  <c r="B218" i="11"/>
  <c r="C217" i="11"/>
  <c r="B217" i="11"/>
  <c r="D229" i="11" s="1"/>
  <c r="B216" i="11"/>
  <c r="C215" i="11"/>
  <c r="B215" i="11"/>
  <c r="C214" i="11"/>
  <c r="B214" i="11"/>
  <c r="D213" i="11"/>
  <c r="B213" i="11"/>
  <c r="D225" i="11" s="1"/>
  <c r="D212" i="11"/>
  <c r="B212" i="11"/>
  <c r="C212" i="11" s="1"/>
  <c r="D211" i="11"/>
  <c r="B211" i="11"/>
  <c r="B210" i="11"/>
  <c r="B209" i="11"/>
  <c r="C209" i="11" s="1"/>
  <c r="D208" i="11"/>
  <c r="B208" i="11"/>
  <c r="B207" i="11"/>
  <c r="B206" i="11"/>
  <c r="B205" i="11"/>
  <c r="B204" i="11"/>
  <c r="D216" i="11" s="1"/>
  <c r="B203" i="11"/>
  <c r="C202" i="11"/>
  <c r="B202" i="11"/>
  <c r="D214" i="11" s="1"/>
  <c r="D201" i="11"/>
  <c r="B201" i="11"/>
  <c r="D200" i="11"/>
  <c r="C200" i="11"/>
  <c r="B200" i="11"/>
  <c r="C201" i="11" s="1"/>
  <c r="B199" i="11"/>
  <c r="C199" i="11" s="1"/>
  <c r="B198" i="11"/>
  <c r="D197" i="11"/>
  <c r="B197" i="11"/>
  <c r="C196" i="11"/>
  <c r="B196" i="11"/>
  <c r="D195" i="11"/>
  <c r="C195" i="11"/>
  <c r="B195" i="11"/>
  <c r="B194" i="11"/>
  <c r="D206" i="11" s="1"/>
  <c r="B193" i="11"/>
  <c r="B192" i="11"/>
  <c r="B191" i="11"/>
  <c r="B190" i="11"/>
  <c r="B189" i="11"/>
  <c r="C189" i="11" s="1"/>
  <c r="B188" i="11"/>
  <c r="D187" i="11"/>
  <c r="C187" i="11"/>
  <c r="B187" i="11"/>
  <c r="C188" i="11" s="1"/>
  <c r="B186" i="11"/>
  <c r="D185" i="11"/>
  <c r="B185" i="11"/>
  <c r="C186" i="11" s="1"/>
  <c r="D184" i="11"/>
  <c r="B184" i="11"/>
  <c r="D196" i="11" s="1"/>
  <c r="C183" i="11"/>
  <c r="B183" i="11"/>
  <c r="C182" i="11"/>
  <c r="B182" i="11"/>
  <c r="B181" i="11"/>
  <c r="D180" i="11"/>
  <c r="B180" i="11"/>
  <c r="C180" i="11" s="1"/>
  <c r="D179" i="11"/>
  <c r="B179" i="11"/>
  <c r="B178" i="11"/>
  <c r="B177" i="11"/>
  <c r="B176" i="11"/>
  <c r="C175" i="11"/>
  <c r="B175" i="11"/>
  <c r="C174" i="11"/>
  <c r="B174" i="11"/>
  <c r="D186" i="11" s="1"/>
  <c r="C173" i="11"/>
  <c r="B173" i="11"/>
  <c r="D172" i="11"/>
  <c r="B172" i="11"/>
  <c r="D171" i="11"/>
  <c r="C171" i="11"/>
  <c r="B171" i="11"/>
  <c r="B170" i="11"/>
  <c r="D169" i="11"/>
  <c r="B169" i="11"/>
  <c r="C168" i="11"/>
  <c r="B168" i="11"/>
  <c r="D167" i="11"/>
  <c r="C167" i="11"/>
  <c r="B167" i="11"/>
  <c r="C166" i="11"/>
  <c r="B166" i="11"/>
  <c r="B165" i="11"/>
  <c r="D165" i="11" s="1"/>
  <c r="B164" i="11"/>
  <c r="B163" i="11"/>
  <c r="C163" i="11" s="1"/>
  <c r="B162" i="11"/>
  <c r="B161" i="11"/>
  <c r="B160" i="11"/>
  <c r="B159" i="11"/>
  <c r="B158" i="11"/>
  <c r="D157" i="11"/>
  <c r="B157" i="11"/>
  <c r="D156" i="11"/>
  <c r="C156" i="11"/>
  <c r="B156" i="11"/>
  <c r="B155" i="11"/>
  <c r="C155" i="11" s="1"/>
  <c r="B154" i="11"/>
  <c r="D166" i="11" s="1"/>
  <c r="D153" i="11"/>
  <c r="B153" i="11"/>
  <c r="B152" i="11"/>
  <c r="D151" i="11"/>
  <c r="B151" i="11"/>
  <c r="B150" i="11"/>
  <c r="D162" i="11" s="1"/>
  <c r="B149" i="11"/>
  <c r="B148" i="11"/>
  <c r="B147" i="11"/>
  <c r="C146" i="11"/>
  <c r="B146" i="11"/>
  <c r="D145" i="11"/>
  <c r="B145" i="11"/>
  <c r="B144" i="11"/>
  <c r="D143" i="11"/>
  <c r="C143" i="11"/>
  <c r="B143" i="11"/>
  <c r="B142" i="11"/>
  <c r="D141" i="11"/>
  <c r="C141" i="11"/>
  <c r="B141" i="11"/>
  <c r="D140" i="11"/>
  <c r="B140" i="11"/>
  <c r="C139" i="11"/>
  <c r="B139" i="11"/>
  <c r="C140" i="11" s="1"/>
  <c r="B138" i="11"/>
  <c r="B137" i="11"/>
  <c r="B136" i="11"/>
  <c r="B135" i="11"/>
  <c r="D147" i="11" s="1"/>
  <c r="C134" i="11"/>
  <c r="B134" i="11"/>
  <c r="D146" i="11" s="1"/>
  <c r="B133" i="11"/>
  <c r="C132" i="11"/>
  <c r="B132" i="11"/>
  <c r="B131" i="11"/>
  <c r="C131" i="11" s="1"/>
  <c r="B130" i="11"/>
  <c r="D142" i="11" s="1"/>
  <c r="B129" i="11"/>
  <c r="D128" i="11"/>
  <c r="C128" i="11"/>
  <c r="B128" i="11"/>
  <c r="C127" i="11"/>
  <c r="B127" i="11"/>
  <c r="B126" i="11"/>
  <c r="D138" i="11" s="1"/>
  <c r="B125" i="11"/>
  <c r="D124" i="11"/>
  <c r="B124" i="11"/>
  <c r="B123" i="11"/>
  <c r="B122" i="11"/>
  <c r="B121" i="11"/>
  <c r="D133" i="11" s="1"/>
  <c r="B120" i="11"/>
  <c r="D119" i="11"/>
  <c r="C119" i="11"/>
  <c r="B119" i="11"/>
  <c r="B118" i="11"/>
  <c r="D117" i="11"/>
  <c r="B117" i="11"/>
  <c r="C118" i="11" s="1"/>
  <c r="B116" i="11"/>
  <c r="C116" i="11" s="1"/>
  <c r="B115" i="11"/>
  <c r="B114" i="11"/>
  <c r="B113" i="11"/>
  <c r="B112" i="11"/>
  <c r="B111" i="11"/>
  <c r="B110" i="11"/>
  <c r="B109" i="11"/>
  <c r="C108" i="11"/>
  <c r="B108" i="11"/>
  <c r="D120" i="11" s="1"/>
  <c r="B107" i="11"/>
  <c r="B106" i="11"/>
  <c r="D105" i="11"/>
  <c r="B105" i="11"/>
  <c r="B104" i="11"/>
  <c r="B103" i="11"/>
  <c r="B102" i="11"/>
  <c r="D101" i="11"/>
  <c r="B101" i="11"/>
  <c r="B100" i="11"/>
  <c r="D112" i="11" s="1"/>
  <c r="B99" i="11"/>
  <c r="C99" i="11" s="1"/>
  <c r="B98" i="11"/>
  <c r="D97" i="11"/>
  <c r="B97" i="11"/>
  <c r="D109" i="11" s="1"/>
  <c r="B96" i="11"/>
  <c r="D108" i="11" s="1"/>
  <c r="B95" i="11"/>
  <c r="D107" i="11" s="1"/>
  <c r="B94" i="11"/>
  <c r="D93" i="11"/>
  <c r="B93" i="11"/>
  <c r="C92" i="11"/>
  <c r="B92" i="11"/>
  <c r="B91" i="11"/>
  <c r="D103" i="11" s="1"/>
  <c r="B90" i="11"/>
  <c r="D89" i="11"/>
  <c r="C89" i="11"/>
  <c r="B89" i="11"/>
  <c r="B88" i="11"/>
  <c r="D100" i="11" s="1"/>
  <c r="B87" i="11"/>
  <c r="B86" i="11"/>
  <c r="D85" i="11"/>
  <c r="C85" i="11"/>
  <c r="B85" i="11"/>
  <c r="B84" i="11"/>
  <c r="B83" i="11"/>
  <c r="B82" i="11"/>
  <c r="D81" i="11"/>
  <c r="B81" i="11"/>
  <c r="C80" i="11"/>
  <c r="B80" i="11"/>
  <c r="B79" i="11"/>
  <c r="B78" i="11"/>
  <c r="D77" i="11"/>
  <c r="B77" i="11"/>
  <c r="C76" i="11"/>
  <c r="B76" i="11"/>
  <c r="D88" i="11" s="1"/>
  <c r="B75" i="11"/>
  <c r="B74" i="11"/>
  <c r="D73" i="11"/>
  <c r="C73" i="11"/>
  <c r="B73" i="11"/>
  <c r="B72" i="11"/>
  <c r="D84" i="11" s="1"/>
  <c r="B71" i="11"/>
  <c r="B70" i="11"/>
  <c r="D69" i="11"/>
  <c r="C69" i="11"/>
  <c r="B69" i="11"/>
  <c r="C68" i="11"/>
  <c r="B68" i="11"/>
  <c r="B67" i="11"/>
  <c r="B66" i="11"/>
  <c r="D65" i="11"/>
  <c r="B65" i="11"/>
  <c r="B64" i="11"/>
  <c r="B63" i="11"/>
  <c r="B62" i="11"/>
  <c r="D61" i="11"/>
  <c r="B61" i="11"/>
  <c r="B60" i="11"/>
  <c r="D72" i="11" s="1"/>
  <c r="B59" i="11"/>
  <c r="B58" i="11"/>
  <c r="D57" i="11"/>
  <c r="B57" i="11"/>
  <c r="B56" i="11"/>
  <c r="B55" i="11"/>
  <c r="B54" i="11"/>
  <c r="D53" i="11"/>
  <c r="B53" i="11"/>
  <c r="B52" i="11"/>
  <c r="B51" i="11"/>
  <c r="B50" i="11"/>
  <c r="D49" i="11"/>
  <c r="B49" i="11"/>
  <c r="B48" i="11"/>
  <c r="B47" i="11"/>
  <c r="B46" i="11"/>
  <c r="D45" i="11"/>
  <c r="B45" i="11"/>
  <c r="B44" i="11"/>
  <c r="B43" i="11"/>
  <c r="B42" i="11"/>
  <c r="D41" i="11"/>
  <c r="C41" i="11"/>
  <c r="B41" i="11"/>
  <c r="B40" i="11"/>
  <c r="B39" i="11"/>
  <c r="B38" i="11"/>
  <c r="D37" i="11"/>
  <c r="C37" i="11"/>
  <c r="B37" i="11"/>
  <c r="B36" i="11"/>
  <c r="B35" i="11"/>
  <c r="B34" i="11"/>
  <c r="B33" i="11"/>
  <c r="C32" i="11"/>
  <c r="B32" i="11"/>
  <c r="B31" i="11"/>
  <c r="B30" i="11"/>
  <c r="B29" i="11"/>
  <c r="C28" i="11"/>
  <c r="B28" i="11"/>
  <c r="D40" i="11" s="1"/>
  <c r="B27" i="11"/>
  <c r="B26" i="11"/>
  <c r="D25" i="11"/>
  <c r="C25" i="11"/>
  <c r="B25" i="11"/>
  <c r="B24" i="11"/>
  <c r="D36" i="11" s="1"/>
  <c r="B23" i="11"/>
  <c r="B22" i="11"/>
  <c r="C21" i="11"/>
  <c r="B21" i="11"/>
  <c r="D21" i="11" s="1"/>
  <c r="C20" i="11"/>
  <c r="B20" i="11"/>
  <c r="C19" i="11"/>
  <c r="B19" i="11"/>
  <c r="D31" i="11" s="1"/>
  <c r="B18" i="11"/>
  <c r="B17" i="11"/>
  <c r="C17" i="11" s="1"/>
  <c r="B16" i="11"/>
  <c r="B15" i="11"/>
  <c r="B14" i="11"/>
  <c r="D26" i="11" s="1"/>
  <c r="B13" i="11"/>
  <c r="C13" i="11" s="1"/>
  <c r="B12" i="11"/>
  <c r="D24" i="11" s="1"/>
  <c r="B11" i="11"/>
  <c r="B10" i="11"/>
  <c r="D22" i="11" s="1"/>
  <c r="B9" i="11"/>
  <c r="B8" i="11"/>
  <c r="B7" i="11"/>
  <c r="U4" i="11"/>
  <c r="Y1" i="11"/>
  <c r="U1" i="11"/>
  <c r="C619" i="10"/>
  <c r="B619" i="10"/>
  <c r="D618" i="10"/>
  <c r="C618" i="10"/>
  <c r="B618" i="10"/>
  <c r="D617" i="10"/>
  <c r="C617" i="10"/>
  <c r="B617" i="10"/>
  <c r="D616" i="10"/>
  <c r="B616" i="10"/>
  <c r="B615" i="10"/>
  <c r="C615" i="10" s="1"/>
  <c r="D614" i="10"/>
  <c r="C614" i="10"/>
  <c r="B614" i="10"/>
  <c r="C613" i="10"/>
  <c r="B613" i="10"/>
  <c r="D612" i="10"/>
  <c r="C612" i="10"/>
  <c r="B612" i="10"/>
  <c r="B611" i="10"/>
  <c r="C611" i="10" s="1"/>
  <c r="D610" i="10"/>
  <c r="B610" i="10"/>
  <c r="D609" i="10"/>
  <c r="B609" i="10"/>
  <c r="C610" i="10" s="1"/>
  <c r="D608" i="10"/>
  <c r="C608" i="10"/>
  <c r="B608" i="10"/>
  <c r="C607" i="10"/>
  <c r="B607" i="10"/>
  <c r="D606" i="10"/>
  <c r="C606" i="10"/>
  <c r="B606" i="10"/>
  <c r="C605" i="10"/>
  <c r="B605" i="10"/>
  <c r="D604" i="10"/>
  <c r="B604" i="10"/>
  <c r="B603" i="10"/>
  <c r="D602" i="10"/>
  <c r="B602" i="10"/>
  <c r="B601" i="10"/>
  <c r="C602" i="10" s="1"/>
  <c r="D600" i="10"/>
  <c r="B600" i="10"/>
  <c r="C599" i="10"/>
  <c r="B599" i="10"/>
  <c r="D611" i="10" s="1"/>
  <c r="D598" i="10"/>
  <c r="B598" i="10"/>
  <c r="D597" i="10"/>
  <c r="B597" i="10"/>
  <c r="C598" i="10" s="1"/>
  <c r="D596" i="10"/>
  <c r="B596" i="10"/>
  <c r="B595" i="10"/>
  <c r="D594" i="10"/>
  <c r="C594" i="10"/>
  <c r="B594" i="10"/>
  <c r="C593" i="10"/>
  <c r="B593" i="10"/>
  <c r="D593" i="10" s="1"/>
  <c r="D592" i="10"/>
  <c r="C592" i="10"/>
  <c r="B592" i="10"/>
  <c r="C591" i="10"/>
  <c r="B591" i="10"/>
  <c r="D590" i="10"/>
  <c r="B590" i="10"/>
  <c r="B589" i="10"/>
  <c r="C589" i="10" s="1"/>
  <c r="D588" i="10"/>
  <c r="B588" i="10"/>
  <c r="B587" i="10"/>
  <c r="D586" i="10"/>
  <c r="C586" i="10"/>
  <c r="B586" i="10"/>
  <c r="B585" i="10"/>
  <c r="C585" i="10" s="1"/>
  <c r="D584" i="10"/>
  <c r="C584" i="10"/>
  <c r="B584" i="10"/>
  <c r="C583" i="10"/>
  <c r="B583" i="10"/>
  <c r="D582" i="10"/>
  <c r="C582" i="10"/>
  <c r="B582" i="10"/>
  <c r="C581" i="10"/>
  <c r="B581" i="10"/>
  <c r="D580" i="10"/>
  <c r="C580" i="10"/>
  <c r="B580" i="10"/>
  <c r="B579" i="10"/>
  <c r="D591" i="10" s="1"/>
  <c r="D578" i="10"/>
  <c r="B578" i="10"/>
  <c r="D577" i="10"/>
  <c r="B577" i="10"/>
  <c r="D589" i="10" s="1"/>
  <c r="D576" i="10"/>
  <c r="B576" i="10"/>
  <c r="B575" i="10"/>
  <c r="D574" i="10"/>
  <c r="B574" i="10"/>
  <c r="C573" i="10"/>
  <c r="B573" i="10"/>
  <c r="C574" i="10" s="1"/>
  <c r="D572" i="10"/>
  <c r="B572" i="10"/>
  <c r="C571" i="10"/>
  <c r="B571" i="10"/>
  <c r="D583" i="10" s="1"/>
  <c r="D570" i="10"/>
  <c r="B570" i="10"/>
  <c r="B569" i="10"/>
  <c r="D568" i="10"/>
  <c r="B568" i="10"/>
  <c r="B567" i="10"/>
  <c r="D579" i="10" s="1"/>
  <c r="D566" i="10"/>
  <c r="C566" i="10"/>
  <c r="B566" i="10"/>
  <c r="C565" i="10"/>
  <c r="B565" i="10"/>
  <c r="D564" i="10"/>
  <c r="C564" i="10"/>
  <c r="B564" i="10"/>
  <c r="B563" i="10"/>
  <c r="D575" i="10" s="1"/>
  <c r="D562" i="10"/>
  <c r="B562" i="10"/>
  <c r="D561" i="10"/>
  <c r="B561" i="10"/>
  <c r="C562" i="10" s="1"/>
  <c r="D560" i="10"/>
  <c r="C560" i="10"/>
  <c r="B560" i="10"/>
  <c r="C559" i="10"/>
  <c r="B559" i="10"/>
  <c r="D558" i="10"/>
  <c r="C558" i="10"/>
  <c r="B558" i="10"/>
  <c r="C557" i="10"/>
  <c r="B557" i="10"/>
  <c r="D556" i="10"/>
  <c r="B556" i="10"/>
  <c r="B555" i="10"/>
  <c r="D554" i="10"/>
  <c r="B554" i="10"/>
  <c r="B553" i="10"/>
  <c r="C554" i="10" s="1"/>
  <c r="D552" i="10"/>
  <c r="B552" i="10"/>
  <c r="C551" i="10"/>
  <c r="B551" i="10"/>
  <c r="D563" i="10" s="1"/>
  <c r="D550" i="10"/>
  <c r="B550" i="10"/>
  <c r="D549" i="10"/>
  <c r="B549" i="10"/>
  <c r="C550" i="10" s="1"/>
  <c r="D548" i="10"/>
  <c r="B548" i="10"/>
  <c r="B547" i="10"/>
  <c r="D546" i="10"/>
  <c r="C546" i="10"/>
  <c r="B546" i="10"/>
  <c r="C545" i="10"/>
  <c r="B545" i="10"/>
  <c r="D545" i="10" s="1"/>
  <c r="C544" i="10"/>
  <c r="B544" i="10"/>
  <c r="C543" i="10"/>
  <c r="B543" i="10"/>
  <c r="D542" i="10"/>
  <c r="B542" i="10"/>
  <c r="B541" i="10"/>
  <c r="C541" i="10" s="1"/>
  <c r="B540" i="10"/>
  <c r="B539" i="10"/>
  <c r="D538" i="10"/>
  <c r="C538" i="10"/>
  <c r="B538" i="10"/>
  <c r="B537" i="10"/>
  <c r="C537" i="10" s="1"/>
  <c r="D536" i="10"/>
  <c r="B536" i="10"/>
  <c r="C536" i="10" s="1"/>
  <c r="C535" i="10"/>
  <c r="B535" i="10"/>
  <c r="D534" i="10"/>
  <c r="B534" i="10"/>
  <c r="C533" i="10"/>
  <c r="B533" i="10"/>
  <c r="C534" i="10" s="1"/>
  <c r="C532" i="10"/>
  <c r="B532" i="10"/>
  <c r="D532" i="10" s="1"/>
  <c r="B531" i="10"/>
  <c r="D543" i="10" s="1"/>
  <c r="D530" i="10"/>
  <c r="B530" i="10"/>
  <c r="D529" i="10"/>
  <c r="B529" i="10"/>
  <c r="D541" i="10" s="1"/>
  <c r="B528" i="10"/>
  <c r="C528" i="10" s="1"/>
  <c r="B527" i="10"/>
  <c r="D526" i="10"/>
  <c r="B526" i="10"/>
  <c r="C525" i="10"/>
  <c r="B525" i="10"/>
  <c r="C526" i="10" s="1"/>
  <c r="D524" i="10"/>
  <c r="B524" i="10"/>
  <c r="C524" i="10" s="1"/>
  <c r="C523" i="10"/>
  <c r="B523" i="10"/>
  <c r="D535" i="10" s="1"/>
  <c r="D522" i="10"/>
  <c r="B522" i="10"/>
  <c r="B521" i="10"/>
  <c r="B520" i="10"/>
  <c r="B519" i="10"/>
  <c r="D531" i="10" s="1"/>
  <c r="D518" i="10"/>
  <c r="C518" i="10"/>
  <c r="B518" i="10"/>
  <c r="B517" i="10"/>
  <c r="D516" i="10"/>
  <c r="B516" i="10"/>
  <c r="D528" i="10" s="1"/>
  <c r="B515" i="10"/>
  <c r="D527" i="10" s="1"/>
  <c r="D514" i="10"/>
  <c r="B514" i="10"/>
  <c r="D513" i="10"/>
  <c r="B513" i="10"/>
  <c r="C514" i="10" s="1"/>
  <c r="C512" i="10"/>
  <c r="B512" i="10"/>
  <c r="C511" i="10"/>
  <c r="B511" i="10"/>
  <c r="D510" i="10"/>
  <c r="C510" i="10"/>
  <c r="B510" i="10"/>
  <c r="D509" i="10"/>
  <c r="B509" i="10"/>
  <c r="B508" i="10"/>
  <c r="B507" i="10"/>
  <c r="D506" i="10"/>
  <c r="B506" i="10"/>
  <c r="B505" i="10"/>
  <c r="C506" i="10" s="1"/>
  <c r="B504" i="10"/>
  <c r="C503" i="10"/>
  <c r="B503" i="10"/>
  <c r="D515" i="10" s="1"/>
  <c r="D502" i="10"/>
  <c r="B502" i="10"/>
  <c r="D501" i="10"/>
  <c r="B501" i="10"/>
  <c r="C502" i="10" s="1"/>
  <c r="D500" i="10"/>
  <c r="B500" i="10"/>
  <c r="B499" i="10"/>
  <c r="D498" i="10"/>
  <c r="C498" i="10"/>
  <c r="B498" i="10"/>
  <c r="D497" i="10"/>
  <c r="C497" i="10"/>
  <c r="B497" i="10"/>
  <c r="D496" i="10"/>
  <c r="C496" i="10"/>
  <c r="B496" i="10"/>
  <c r="C495" i="10"/>
  <c r="B495" i="10"/>
  <c r="D494" i="10"/>
  <c r="B494" i="10"/>
  <c r="B493" i="10"/>
  <c r="C493" i="10" s="1"/>
  <c r="B492" i="10"/>
  <c r="C492" i="10" s="1"/>
  <c r="B491" i="10"/>
  <c r="D490" i="10"/>
  <c r="C490" i="10"/>
  <c r="B490" i="10"/>
  <c r="B489" i="10"/>
  <c r="C489" i="10" s="1"/>
  <c r="D488" i="10"/>
  <c r="B488" i="10"/>
  <c r="C488" i="10" s="1"/>
  <c r="C487" i="10"/>
  <c r="B487" i="10"/>
  <c r="D486" i="10"/>
  <c r="B486" i="10"/>
  <c r="C485" i="10"/>
  <c r="B485" i="10"/>
  <c r="C486" i="10" s="1"/>
  <c r="C484" i="10"/>
  <c r="B484" i="10"/>
  <c r="D484" i="10" s="1"/>
  <c r="B483" i="10"/>
  <c r="D495" i="10" s="1"/>
  <c r="D482" i="10"/>
  <c r="B482" i="10"/>
  <c r="D481" i="10"/>
  <c r="B481" i="10"/>
  <c r="D493" i="10" s="1"/>
  <c r="B480" i="10"/>
  <c r="C480" i="10" s="1"/>
  <c r="B479" i="10"/>
  <c r="D491" i="10" s="1"/>
  <c r="D478" i="10"/>
  <c r="B478" i="10"/>
  <c r="C477" i="10"/>
  <c r="B477" i="10"/>
  <c r="C478" i="10" s="1"/>
  <c r="D476" i="10"/>
  <c r="B476" i="10"/>
  <c r="C476" i="10" s="1"/>
  <c r="C475" i="10"/>
  <c r="B475" i="10"/>
  <c r="D487" i="10" s="1"/>
  <c r="D474" i="10"/>
  <c r="B474" i="10"/>
  <c r="B473" i="10"/>
  <c r="B472" i="10"/>
  <c r="B471" i="10"/>
  <c r="D483" i="10" s="1"/>
  <c r="D470" i="10"/>
  <c r="C470" i="10"/>
  <c r="B470" i="10"/>
  <c r="B469" i="10"/>
  <c r="D468" i="10"/>
  <c r="B468" i="10"/>
  <c r="D480" i="10" s="1"/>
  <c r="B467" i="10"/>
  <c r="D466" i="10"/>
  <c r="C466" i="10"/>
  <c r="B466" i="10"/>
  <c r="D465" i="10"/>
  <c r="B465" i="10"/>
  <c r="C465" i="10" s="1"/>
  <c r="C464" i="10"/>
  <c r="B464" i="10"/>
  <c r="C463" i="10"/>
  <c r="B463" i="10"/>
  <c r="D462" i="10"/>
  <c r="C462" i="10"/>
  <c r="B462" i="10"/>
  <c r="D461" i="10"/>
  <c r="B461" i="10"/>
  <c r="B460" i="10"/>
  <c r="B459" i="10"/>
  <c r="D458" i="10"/>
  <c r="B458" i="10"/>
  <c r="B457" i="10"/>
  <c r="C458" i="10" s="1"/>
  <c r="B456" i="10"/>
  <c r="C455" i="10"/>
  <c r="B455" i="10"/>
  <c r="D467" i="10" s="1"/>
  <c r="D454" i="10"/>
  <c r="B454" i="10"/>
  <c r="D453" i="10"/>
  <c r="B453" i="10"/>
  <c r="C454" i="10" s="1"/>
  <c r="D452" i="10"/>
  <c r="B452" i="10"/>
  <c r="B451" i="10"/>
  <c r="D450" i="10"/>
  <c r="C450" i="10"/>
  <c r="B450" i="10"/>
  <c r="C449" i="10"/>
  <c r="B449" i="10"/>
  <c r="D449" i="10" s="1"/>
  <c r="D448" i="10"/>
  <c r="C448" i="10"/>
  <c r="B448" i="10"/>
  <c r="C447" i="10"/>
  <c r="B447" i="10"/>
  <c r="D446" i="10"/>
  <c r="B446" i="10"/>
  <c r="B445" i="10"/>
  <c r="C445" i="10" s="1"/>
  <c r="B444" i="10"/>
  <c r="C444" i="10" s="1"/>
  <c r="B443" i="10"/>
  <c r="D442" i="10"/>
  <c r="C442" i="10"/>
  <c r="B442" i="10"/>
  <c r="D441" i="10"/>
  <c r="B441" i="10"/>
  <c r="C441" i="10" s="1"/>
  <c r="D440" i="10"/>
  <c r="B440" i="10"/>
  <c r="C440" i="10" s="1"/>
  <c r="C439" i="10"/>
  <c r="B439" i="10"/>
  <c r="D438" i="10"/>
  <c r="B438" i="10"/>
  <c r="C437" i="10"/>
  <c r="B437" i="10"/>
  <c r="C438" i="10" s="1"/>
  <c r="C436" i="10"/>
  <c r="B436" i="10"/>
  <c r="D436" i="10" s="1"/>
  <c r="B435" i="10"/>
  <c r="D447" i="10" s="1"/>
  <c r="D434" i="10"/>
  <c r="B434" i="10"/>
  <c r="D433" i="10"/>
  <c r="B433" i="10"/>
  <c r="D445" i="10" s="1"/>
  <c r="B432" i="10"/>
  <c r="C432" i="10" s="1"/>
  <c r="B431" i="10"/>
  <c r="D443" i="10" s="1"/>
  <c r="D430" i="10"/>
  <c r="B430" i="10"/>
  <c r="C429" i="10"/>
  <c r="B429" i="10"/>
  <c r="C430" i="10" s="1"/>
  <c r="D428" i="10"/>
  <c r="B428" i="10"/>
  <c r="C428" i="10" s="1"/>
  <c r="C427" i="10"/>
  <c r="B427" i="10"/>
  <c r="D439" i="10" s="1"/>
  <c r="D426" i="10"/>
  <c r="B426" i="10"/>
  <c r="B425" i="10"/>
  <c r="B424" i="10"/>
  <c r="B423" i="10"/>
  <c r="D435" i="10" s="1"/>
  <c r="D422" i="10"/>
  <c r="C422" i="10"/>
  <c r="B422" i="10"/>
  <c r="B421" i="10"/>
  <c r="D420" i="10"/>
  <c r="B420" i="10"/>
  <c r="D432" i="10" s="1"/>
  <c r="B419" i="10"/>
  <c r="D418" i="10"/>
  <c r="C418" i="10"/>
  <c r="B418" i="10"/>
  <c r="D417" i="10"/>
  <c r="B417" i="10"/>
  <c r="C417" i="10" s="1"/>
  <c r="C416" i="10"/>
  <c r="B416" i="10"/>
  <c r="C415" i="10"/>
  <c r="B415" i="10"/>
  <c r="D414" i="10"/>
  <c r="C414" i="10"/>
  <c r="B414" i="10"/>
  <c r="D413" i="10"/>
  <c r="B413" i="10"/>
  <c r="B412" i="10"/>
  <c r="B411" i="10"/>
  <c r="B410" i="10"/>
  <c r="B409" i="10"/>
  <c r="C410" i="10" s="1"/>
  <c r="B408" i="10"/>
  <c r="C407" i="10"/>
  <c r="B407" i="10"/>
  <c r="D419" i="10" s="1"/>
  <c r="D406" i="10"/>
  <c r="B406" i="10"/>
  <c r="D405" i="10"/>
  <c r="B405" i="10"/>
  <c r="C406" i="10" s="1"/>
  <c r="D404" i="10"/>
  <c r="B404" i="10"/>
  <c r="B403" i="10"/>
  <c r="C402" i="10"/>
  <c r="B402" i="10"/>
  <c r="C401" i="10"/>
  <c r="B401" i="10"/>
  <c r="D401" i="10" s="1"/>
  <c r="D400" i="10"/>
  <c r="C400" i="10"/>
  <c r="B400" i="10"/>
  <c r="B399" i="10"/>
  <c r="D398" i="10"/>
  <c r="B398" i="10"/>
  <c r="D410" i="10" s="1"/>
  <c r="B397" i="10"/>
  <c r="B396" i="10"/>
  <c r="C396" i="10" s="1"/>
  <c r="B395" i="10"/>
  <c r="C394" i="10"/>
  <c r="B394" i="10"/>
  <c r="D393" i="10"/>
  <c r="B393" i="10"/>
  <c r="C393" i="10" s="1"/>
  <c r="D392" i="10"/>
  <c r="B392" i="10"/>
  <c r="C392" i="10" s="1"/>
  <c r="B391" i="10"/>
  <c r="B390" i="10"/>
  <c r="C389" i="10"/>
  <c r="B389" i="10"/>
  <c r="C388" i="10"/>
  <c r="B388" i="10"/>
  <c r="D388" i="10" s="1"/>
  <c r="B387" i="10"/>
  <c r="B386" i="10"/>
  <c r="D385" i="10"/>
  <c r="B385" i="10"/>
  <c r="B384" i="10"/>
  <c r="B383" i="10"/>
  <c r="D395" i="10" s="1"/>
  <c r="D382" i="10"/>
  <c r="B382" i="10"/>
  <c r="C382" i="10" s="1"/>
  <c r="C381" i="10"/>
  <c r="B381" i="10"/>
  <c r="D380" i="10"/>
  <c r="B380" i="10"/>
  <c r="C380" i="10" s="1"/>
  <c r="C379" i="10"/>
  <c r="B379" i="10"/>
  <c r="D391" i="10" s="1"/>
  <c r="D378" i="10"/>
  <c r="C378" i="10"/>
  <c r="B378" i="10"/>
  <c r="B377" i="10"/>
  <c r="B376" i="10"/>
  <c r="B375" i="10"/>
  <c r="B374" i="10"/>
  <c r="B373" i="10"/>
  <c r="D372" i="10"/>
  <c r="B372" i="10"/>
  <c r="D384" i="10" s="1"/>
  <c r="B371" i="10"/>
  <c r="D370" i="10"/>
  <c r="B370" i="10"/>
  <c r="C370" i="10" s="1"/>
  <c r="D369" i="10"/>
  <c r="B369" i="10"/>
  <c r="C369" i="10" s="1"/>
  <c r="C368" i="10"/>
  <c r="B368" i="10"/>
  <c r="C367" i="10"/>
  <c r="B367" i="10"/>
  <c r="C366" i="10"/>
  <c r="B366" i="10"/>
  <c r="D366" i="10" s="1"/>
  <c r="D365" i="10"/>
  <c r="B365" i="10"/>
  <c r="B364" i="10"/>
  <c r="B363" i="10"/>
  <c r="B362" i="10"/>
  <c r="B361" i="10"/>
  <c r="B360" i="10"/>
  <c r="C359" i="10"/>
  <c r="B359" i="10"/>
  <c r="D371" i="10" s="1"/>
  <c r="D358" i="10"/>
  <c r="B358" i="10"/>
  <c r="C358" i="10" s="1"/>
  <c r="D357" i="10"/>
  <c r="B357" i="10"/>
  <c r="C357" i="10" s="1"/>
  <c r="D356" i="10"/>
  <c r="B356" i="10"/>
  <c r="B355" i="10"/>
  <c r="C354" i="10"/>
  <c r="B354" i="10"/>
  <c r="C353" i="10"/>
  <c r="B353" i="10"/>
  <c r="D353" i="10" s="1"/>
  <c r="D352" i="10"/>
  <c r="C352" i="10"/>
  <c r="B352" i="10"/>
  <c r="B351" i="10"/>
  <c r="D350" i="10"/>
  <c r="B350" i="10"/>
  <c r="D362" i="10" s="1"/>
  <c r="B349" i="10"/>
  <c r="B348" i="10"/>
  <c r="B347" i="10"/>
  <c r="C346" i="10"/>
  <c r="B346" i="10"/>
  <c r="D345" i="10"/>
  <c r="B345" i="10"/>
  <c r="C345" i="10" s="1"/>
  <c r="D344" i="10"/>
  <c r="B344" i="10"/>
  <c r="C344" i="10" s="1"/>
  <c r="C343" i="10"/>
  <c r="B343" i="10"/>
  <c r="B342" i="10"/>
  <c r="C341" i="10"/>
  <c r="B341" i="10"/>
  <c r="B340" i="10"/>
  <c r="D340" i="10" s="1"/>
  <c r="B339" i="10"/>
  <c r="B338" i="10"/>
  <c r="B337" i="10"/>
  <c r="B336" i="10"/>
  <c r="B335" i="10"/>
  <c r="D347" i="10" s="1"/>
  <c r="B334" i="10"/>
  <c r="C334" i="10" s="1"/>
  <c r="C333" i="10"/>
  <c r="B333" i="10"/>
  <c r="D332" i="10"/>
  <c r="B332" i="10"/>
  <c r="C332" i="10" s="1"/>
  <c r="C331" i="10"/>
  <c r="B331" i="10"/>
  <c r="D343" i="10" s="1"/>
  <c r="D330" i="10"/>
  <c r="C330" i="10"/>
  <c r="B330" i="10"/>
  <c r="B329" i="10"/>
  <c r="B328" i="10"/>
  <c r="B327" i="10"/>
  <c r="C326" i="10"/>
  <c r="B326" i="10"/>
  <c r="D338" i="10" s="1"/>
  <c r="B325" i="10"/>
  <c r="B324" i="10"/>
  <c r="B323" i="10"/>
  <c r="D322" i="10"/>
  <c r="B322" i="10"/>
  <c r="C322" i="10" s="1"/>
  <c r="B321" i="10"/>
  <c r="C321" i="10" s="1"/>
  <c r="C320" i="10"/>
  <c r="B320" i="10"/>
  <c r="C319" i="10"/>
  <c r="B319" i="10"/>
  <c r="C318" i="10"/>
  <c r="B318" i="10"/>
  <c r="D318" i="10" s="1"/>
  <c r="D317" i="10"/>
  <c r="C317" i="10"/>
  <c r="B317" i="10"/>
  <c r="B316" i="10"/>
  <c r="B315" i="10"/>
  <c r="B314" i="10"/>
  <c r="B313" i="10"/>
  <c r="D325" i="10" s="1"/>
  <c r="B312" i="10"/>
  <c r="C311" i="10"/>
  <c r="B311" i="10"/>
  <c r="D323" i="10" s="1"/>
  <c r="D310" i="10"/>
  <c r="B310" i="10"/>
  <c r="B309" i="10"/>
  <c r="C309" i="10" s="1"/>
  <c r="B308" i="10"/>
  <c r="C308" i="10" s="1"/>
  <c r="B307" i="10"/>
  <c r="C306" i="10"/>
  <c r="B306" i="10"/>
  <c r="C305" i="10"/>
  <c r="B305" i="10"/>
  <c r="D305" i="10" s="1"/>
  <c r="D304" i="10"/>
  <c r="C304" i="10"/>
  <c r="B304" i="10"/>
  <c r="B303" i="10"/>
  <c r="D302" i="10"/>
  <c r="B302" i="10"/>
  <c r="B301" i="10"/>
  <c r="C300" i="10"/>
  <c r="B300" i="10"/>
  <c r="D312" i="10" s="1"/>
  <c r="B299" i="10"/>
  <c r="C298" i="10"/>
  <c r="B298" i="10"/>
  <c r="B297" i="10"/>
  <c r="B296" i="10"/>
  <c r="C295" i="10"/>
  <c r="B295" i="10"/>
  <c r="B294" i="10"/>
  <c r="C293" i="10"/>
  <c r="B293" i="10"/>
  <c r="B292" i="10"/>
  <c r="D292" i="10" s="1"/>
  <c r="B291" i="10"/>
  <c r="D303" i="10" s="1"/>
  <c r="B290" i="10"/>
  <c r="D289" i="10"/>
  <c r="C289" i="10"/>
  <c r="B289" i="10"/>
  <c r="B288" i="10"/>
  <c r="B287" i="10"/>
  <c r="B286" i="10"/>
  <c r="C286" i="10" s="1"/>
  <c r="C285" i="10"/>
  <c r="B285" i="10"/>
  <c r="D297" i="10" s="1"/>
  <c r="B284" i="10"/>
  <c r="C284" i="10" s="1"/>
  <c r="C283" i="10"/>
  <c r="B283" i="10"/>
  <c r="D295" i="10" s="1"/>
  <c r="D282" i="10"/>
  <c r="C282" i="10"/>
  <c r="B282" i="10"/>
  <c r="B281" i="10"/>
  <c r="C280" i="10"/>
  <c r="B280" i="10"/>
  <c r="B279" i="10"/>
  <c r="B278" i="10"/>
  <c r="D290" i="10" s="1"/>
  <c r="B277" i="10"/>
  <c r="D276" i="10"/>
  <c r="C276" i="10"/>
  <c r="B276" i="10"/>
  <c r="B275" i="10"/>
  <c r="D274" i="10"/>
  <c r="B274" i="10"/>
  <c r="C274" i="10" s="1"/>
  <c r="B273" i="10"/>
  <c r="C273" i="10" s="1"/>
  <c r="C272" i="10"/>
  <c r="B272" i="10"/>
  <c r="D284" i="10" s="1"/>
  <c r="C271" i="10"/>
  <c r="B271" i="10"/>
  <c r="C270" i="10"/>
  <c r="B270" i="10"/>
  <c r="D270" i="10" s="1"/>
  <c r="C269" i="10"/>
  <c r="B269" i="10"/>
  <c r="B268" i="10"/>
  <c r="B267" i="10"/>
  <c r="D279" i="10" s="1"/>
  <c r="B266" i="10"/>
  <c r="B265" i="10"/>
  <c r="D277" i="10" s="1"/>
  <c r="B264" i="10"/>
  <c r="C263" i="10"/>
  <c r="B263" i="10"/>
  <c r="D262" i="10"/>
  <c r="B262" i="10"/>
  <c r="B261" i="10"/>
  <c r="D261" i="10" s="1"/>
  <c r="B260" i="10"/>
  <c r="B259" i="10"/>
  <c r="B258" i="10"/>
  <c r="B257" i="10"/>
  <c r="C256" i="10"/>
  <c r="B256" i="10"/>
  <c r="B255" i="10"/>
  <c r="B254" i="10"/>
  <c r="B253" i="10"/>
  <c r="C253" i="10" s="1"/>
  <c r="D252" i="10"/>
  <c r="C252" i="10"/>
  <c r="B252" i="10"/>
  <c r="D264" i="10" s="1"/>
  <c r="B251" i="10"/>
  <c r="B250" i="10"/>
  <c r="C250" i="10" s="1"/>
  <c r="B249" i="10"/>
  <c r="B248" i="10"/>
  <c r="D260" i="10" s="1"/>
  <c r="B247" i="10"/>
  <c r="B246" i="10"/>
  <c r="C245" i="10"/>
  <c r="B245" i="10"/>
  <c r="C244" i="10"/>
  <c r="B244" i="10"/>
  <c r="D244" i="10" s="1"/>
  <c r="C243" i="10"/>
  <c r="B243" i="10"/>
  <c r="D255" i="10" s="1"/>
  <c r="B242" i="10"/>
  <c r="B241" i="10"/>
  <c r="B240" i="10"/>
  <c r="B239" i="10"/>
  <c r="B238" i="10"/>
  <c r="B237" i="10"/>
  <c r="D249" i="10" s="1"/>
  <c r="B236" i="10"/>
  <c r="B235" i="10"/>
  <c r="D247" i="10" s="1"/>
  <c r="D234" i="10"/>
  <c r="C234" i="10"/>
  <c r="B234" i="10"/>
  <c r="B233" i="10"/>
  <c r="D232" i="10"/>
  <c r="C232" i="10"/>
  <c r="B232" i="10"/>
  <c r="B231" i="10"/>
  <c r="D243" i="10" s="1"/>
  <c r="B230" i="10"/>
  <c r="D242" i="10" s="1"/>
  <c r="B229" i="10"/>
  <c r="D228" i="10"/>
  <c r="B228" i="10"/>
  <c r="B227" i="10"/>
  <c r="B226" i="10"/>
  <c r="D238" i="10" s="1"/>
  <c r="B225" i="10"/>
  <c r="B224" i="10"/>
  <c r="D236" i="10" s="1"/>
  <c r="C223" i="10"/>
  <c r="B223" i="10"/>
  <c r="D222" i="10"/>
  <c r="C222" i="10"/>
  <c r="B222" i="10"/>
  <c r="D221" i="10"/>
  <c r="C221" i="10"/>
  <c r="B221" i="10"/>
  <c r="B220" i="10"/>
  <c r="B219" i="10"/>
  <c r="D231" i="10" s="1"/>
  <c r="B218" i="10"/>
  <c r="B217" i="10"/>
  <c r="B216" i="10"/>
  <c r="B215" i="10"/>
  <c r="B214" i="10"/>
  <c r="B213" i="10"/>
  <c r="B212" i="10"/>
  <c r="D224" i="10" s="1"/>
  <c r="D211" i="10"/>
  <c r="C211" i="10"/>
  <c r="B211" i="10"/>
  <c r="C210" i="10"/>
  <c r="B210" i="10"/>
  <c r="C209" i="10"/>
  <c r="B209" i="10"/>
  <c r="B208" i="10"/>
  <c r="B207" i="10"/>
  <c r="B206" i="10"/>
  <c r="D205" i="10"/>
  <c r="B205" i="10"/>
  <c r="C205" i="10" s="1"/>
  <c r="B204" i="10"/>
  <c r="D216" i="10" s="1"/>
  <c r="B203" i="10"/>
  <c r="C204" i="10" s="1"/>
  <c r="B202" i="10"/>
  <c r="B201" i="10"/>
  <c r="B200" i="10"/>
  <c r="D212" i="10" s="1"/>
  <c r="B199" i="10"/>
  <c r="C200" i="10" s="1"/>
  <c r="B198" i="10"/>
  <c r="B197" i="10"/>
  <c r="B196" i="10"/>
  <c r="D208" i="10" s="1"/>
  <c r="D195" i="10"/>
  <c r="C195" i="10"/>
  <c r="B195" i="10"/>
  <c r="C196" i="10" s="1"/>
  <c r="B194" i="10"/>
  <c r="C193" i="10"/>
  <c r="B193" i="10"/>
  <c r="B192" i="10"/>
  <c r="D204" i="10" s="1"/>
  <c r="B191" i="10"/>
  <c r="B190" i="10"/>
  <c r="B189" i="10"/>
  <c r="D189" i="10" s="1"/>
  <c r="B188" i="10"/>
  <c r="D200" i="10" s="1"/>
  <c r="B187" i="10"/>
  <c r="C188" i="10" s="1"/>
  <c r="B186" i="10"/>
  <c r="B185" i="10"/>
  <c r="B184" i="10"/>
  <c r="D196" i="10" s="1"/>
  <c r="B183" i="10"/>
  <c r="C184" i="10" s="1"/>
  <c r="B182" i="10"/>
  <c r="B181" i="10"/>
  <c r="B180" i="10"/>
  <c r="D192" i="10" s="1"/>
  <c r="D179" i="10"/>
  <c r="C179" i="10"/>
  <c r="B179" i="10"/>
  <c r="C180" i="10" s="1"/>
  <c r="B178" i="10"/>
  <c r="C177" i="10"/>
  <c r="B177" i="10"/>
  <c r="B176" i="10"/>
  <c r="D188" i="10" s="1"/>
  <c r="C175" i="10"/>
  <c r="B175" i="10"/>
  <c r="D174" i="10"/>
  <c r="C174" i="10"/>
  <c r="B174" i="10"/>
  <c r="B173" i="10"/>
  <c r="C173" i="10" s="1"/>
  <c r="B172" i="10"/>
  <c r="D184" i="10" s="1"/>
  <c r="B171" i="10"/>
  <c r="D170" i="10"/>
  <c r="C170" i="10"/>
  <c r="B170" i="10"/>
  <c r="D182" i="10" s="1"/>
  <c r="C169" i="10"/>
  <c r="B169" i="10"/>
  <c r="B168" i="10"/>
  <c r="D180" i="10" s="1"/>
  <c r="B167" i="10"/>
  <c r="C168" i="10" s="1"/>
  <c r="B166" i="10"/>
  <c r="B165" i="10"/>
  <c r="B164" i="10"/>
  <c r="D176" i="10" s="1"/>
  <c r="B163" i="10"/>
  <c r="C164" i="10" s="1"/>
  <c r="B162" i="10"/>
  <c r="D161" i="10"/>
  <c r="C161" i="10"/>
  <c r="B161" i="10"/>
  <c r="D173" i="10" s="1"/>
  <c r="B160" i="10"/>
  <c r="D172" i="10" s="1"/>
  <c r="D159" i="10"/>
  <c r="C159" i="10"/>
  <c r="B159" i="10"/>
  <c r="C160" i="10" s="1"/>
  <c r="B158" i="10"/>
  <c r="B157" i="10"/>
  <c r="B156" i="10"/>
  <c r="D168" i="10" s="1"/>
  <c r="D155" i="10"/>
  <c r="B155" i="10"/>
  <c r="B154" i="10"/>
  <c r="C154" i="10" s="1"/>
  <c r="B153" i="10"/>
  <c r="C153" i="10" s="1"/>
  <c r="B152" i="10"/>
  <c r="D164" i="10" s="1"/>
  <c r="D151" i="10"/>
  <c r="C151" i="10"/>
  <c r="B151" i="10"/>
  <c r="D150" i="10"/>
  <c r="C150" i="10"/>
  <c r="B150" i="10"/>
  <c r="D162" i="10" s="1"/>
  <c r="B149" i="10"/>
  <c r="C149" i="10" s="1"/>
  <c r="B148" i="10"/>
  <c r="D160" i="10" s="1"/>
  <c r="B147" i="10"/>
  <c r="D146" i="10"/>
  <c r="C146" i="10"/>
  <c r="B146" i="10"/>
  <c r="D158" i="10" s="1"/>
  <c r="C145" i="10"/>
  <c r="B145" i="10"/>
  <c r="B144" i="10"/>
  <c r="D156" i="10" s="1"/>
  <c r="B143" i="10"/>
  <c r="C144" i="10" s="1"/>
  <c r="C142" i="10"/>
  <c r="B142" i="10"/>
  <c r="D141" i="10"/>
  <c r="B141" i="10"/>
  <c r="D153" i="10" s="1"/>
  <c r="B140" i="10"/>
  <c r="D152" i="10" s="1"/>
  <c r="B139" i="10"/>
  <c r="C140" i="10" s="1"/>
  <c r="B138" i="10"/>
  <c r="B137" i="10"/>
  <c r="D149" i="10" s="1"/>
  <c r="B136" i="10"/>
  <c r="D148" i="10" s="1"/>
  <c r="D135" i="10"/>
  <c r="C135" i="10"/>
  <c r="B135" i="10"/>
  <c r="C136" i="10" s="1"/>
  <c r="B134" i="10"/>
  <c r="B133" i="10"/>
  <c r="D145" i="10" s="1"/>
  <c r="B132" i="10"/>
  <c r="D144" i="10" s="1"/>
  <c r="B131" i="10"/>
  <c r="B130" i="10"/>
  <c r="C130" i="10" s="1"/>
  <c r="B129" i="10"/>
  <c r="C129" i="10" s="1"/>
  <c r="B128" i="10"/>
  <c r="D140" i="10" s="1"/>
  <c r="B127" i="10"/>
  <c r="D126" i="10"/>
  <c r="C126" i="10"/>
  <c r="B126" i="10"/>
  <c r="D138" i="10" s="1"/>
  <c r="B125" i="10"/>
  <c r="C125" i="10" s="1"/>
  <c r="B124" i="10"/>
  <c r="D136" i="10" s="1"/>
  <c r="B123" i="10"/>
  <c r="B122" i="10"/>
  <c r="D134" i="10" s="1"/>
  <c r="D121" i="10"/>
  <c r="C121" i="10"/>
  <c r="B121" i="10"/>
  <c r="D133" i="10" s="1"/>
  <c r="B120" i="10"/>
  <c r="D132" i="10" s="1"/>
  <c r="B119" i="10"/>
  <c r="C120" i="10" s="1"/>
  <c r="C118" i="10"/>
  <c r="B118" i="10"/>
  <c r="D130" i="10" s="1"/>
  <c r="D117" i="10"/>
  <c r="C117" i="10"/>
  <c r="B117" i="10"/>
  <c r="D129" i="10" s="1"/>
  <c r="B116" i="10"/>
  <c r="D128" i="10" s="1"/>
  <c r="B115" i="10"/>
  <c r="C116" i="10" s="1"/>
  <c r="B114" i="10"/>
  <c r="C114" i="10" s="1"/>
  <c r="C113" i="10"/>
  <c r="B113" i="10"/>
  <c r="D125" i="10" s="1"/>
  <c r="B112" i="10"/>
  <c r="D124" i="10" s="1"/>
  <c r="D111" i="10"/>
  <c r="C111" i="10"/>
  <c r="B111" i="10"/>
  <c r="C112" i="10" s="1"/>
  <c r="C110" i="10"/>
  <c r="B110" i="10"/>
  <c r="B109" i="10"/>
  <c r="C109" i="10" s="1"/>
  <c r="B108" i="10"/>
  <c r="D120" i="10" s="1"/>
  <c r="D107" i="10"/>
  <c r="B107" i="10"/>
  <c r="B106" i="10"/>
  <c r="C106" i="10" s="1"/>
  <c r="B105" i="10"/>
  <c r="C105" i="10" s="1"/>
  <c r="B104" i="10"/>
  <c r="D116" i="10" s="1"/>
  <c r="C103" i="10"/>
  <c r="B103" i="10"/>
  <c r="D102" i="10"/>
  <c r="C102" i="10"/>
  <c r="B102" i="10"/>
  <c r="D114" i="10" s="1"/>
  <c r="B101" i="10"/>
  <c r="C101" i="10" s="1"/>
  <c r="B100" i="10"/>
  <c r="D112" i="10" s="1"/>
  <c r="B99" i="10"/>
  <c r="D98" i="10"/>
  <c r="C98" i="10"/>
  <c r="B98" i="10"/>
  <c r="D110" i="10" s="1"/>
  <c r="C97" i="10"/>
  <c r="B97" i="10"/>
  <c r="B96" i="10"/>
  <c r="D108" i="10" s="1"/>
  <c r="D95" i="10"/>
  <c r="B95" i="10"/>
  <c r="C96" i="10" s="1"/>
  <c r="B94" i="10"/>
  <c r="B93" i="10"/>
  <c r="D93" i="10" s="1"/>
  <c r="B92" i="10"/>
  <c r="D104" i="10" s="1"/>
  <c r="B91" i="10"/>
  <c r="B90" i="10"/>
  <c r="B89" i="10"/>
  <c r="D101" i="10" s="1"/>
  <c r="B88" i="10"/>
  <c r="D100" i="10" s="1"/>
  <c r="C87" i="10"/>
  <c r="B87" i="10"/>
  <c r="C88" i="10" s="1"/>
  <c r="C86" i="10"/>
  <c r="B86" i="10"/>
  <c r="B85" i="10"/>
  <c r="C85" i="10" s="1"/>
  <c r="B84" i="10"/>
  <c r="D96" i="10" s="1"/>
  <c r="D83" i="10"/>
  <c r="B83" i="10"/>
  <c r="C83" i="10" s="1"/>
  <c r="C82" i="10"/>
  <c r="B82" i="10"/>
  <c r="D81" i="10"/>
  <c r="B81" i="10"/>
  <c r="C81" i="10" s="1"/>
  <c r="B80" i="10"/>
  <c r="D92" i="10" s="1"/>
  <c r="D79" i="10"/>
  <c r="B79" i="10"/>
  <c r="D91" i="10" s="1"/>
  <c r="B78" i="10"/>
  <c r="D90" i="10" s="1"/>
  <c r="D77" i="10"/>
  <c r="C77" i="10"/>
  <c r="B77" i="10"/>
  <c r="D89" i="10" s="1"/>
  <c r="B76" i="10"/>
  <c r="D88" i="10" s="1"/>
  <c r="B75" i="10"/>
  <c r="C75" i="10" s="1"/>
  <c r="D74" i="10"/>
  <c r="B74" i="10"/>
  <c r="D86" i="10" s="1"/>
  <c r="B73" i="10"/>
  <c r="D85" i="10" s="1"/>
  <c r="B72" i="10"/>
  <c r="D71" i="10"/>
  <c r="B71" i="10"/>
  <c r="D70" i="10"/>
  <c r="B70" i="10"/>
  <c r="C70" i="10" s="1"/>
  <c r="D69" i="10"/>
  <c r="B69" i="10"/>
  <c r="C69" i="10" s="1"/>
  <c r="B68" i="10"/>
  <c r="B67" i="10"/>
  <c r="C67" i="10" s="1"/>
  <c r="B66" i="10"/>
  <c r="C65" i="10"/>
  <c r="B65" i="10"/>
  <c r="B64" i="10"/>
  <c r="D63" i="10"/>
  <c r="B63" i="10"/>
  <c r="B62" i="10"/>
  <c r="B61" i="10"/>
  <c r="B60" i="10"/>
  <c r="D59" i="10"/>
  <c r="B59" i="10"/>
  <c r="C59" i="10" s="1"/>
  <c r="D58" i="10"/>
  <c r="B58" i="10"/>
  <c r="C58" i="10" s="1"/>
  <c r="B57" i="10"/>
  <c r="B56" i="10"/>
  <c r="C55" i="10"/>
  <c r="B55" i="10"/>
  <c r="D67" i="10" s="1"/>
  <c r="D54" i="10"/>
  <c r="B54" i="10"/>
  <c r="D53" i="10"/>
  <c r="B53" i="10"/>
  <c r="C53" i="10" s="1"/>
  <c r="B52" i="10"/>
  <c r="B51" i="10"/>
  <c r="C51" i="10" s="1"/>
  <c r="D50" i="10"/>
  <c r="C50" i="10"/>
  <c r="B50" i="10"/>
  <c r="D62" i="10" s="1"/>
  <c r="D49" i="10"/>
  <c r="B49" i="10"/>
  <c r="B48" i="10"/>
  <c r="B47" i="10"/>
  <c r="B46" i="10"/>
  <c r="D46" i="10" s="1"/>
  <c r="C45" i="10"/>
  <c r="B45" i="10"/>
  <c r="D57" i="10" s="1"/>
  <c r="B44" i="10"/>
  <c r="B43" i="10"/>
  <c r="C43" i="10" s="1"/>
  <c r="B42" i="10"/>
  <c r="C42" i="10" s="1"/>
  <c r="B41" i="10"/>
  <c r="B40" i="10"/>
  <c r="D52" i="10" s="1"/>
  <c r="D39" i="10"/>
  <c r="B39" i="10"/>
  <c r="B38" i="10"/>
  <c r="C38" i="10" s="1"/>
  <c r="D37" i="10"/>
  <c r="B37" i="10"/>
  <c r="C37" i="10" s="1"/>
  <c r="B36" i="10"/>
  <c r="B35" i="10"/>
  <c r="D34" i="10"/>
  <c r="C34" i="10"/>
  <c r="B34" i="10"/>
  <c r="B33" i="10"/>
  <c r="D33" i="10" s="1"/>
  <c r="B32" i="10"/>
  <c r="B31" i="10"/>
  <c r="D43" i="10" s="1"/>
  <c r="C30" i="10"/>
  <c r="B30" i="10"/>
  <c r="D42" i="10" s="1"/>
  <c r="B29" i="10"/>
  <c r="B28" i="10"/>
  <c r="D40" i="10" s="1"/>
  <c r="D27" i="10"/>
  <c r="B27" i="10"/>
  <c r="C27" i="10" s="1"/>
  <c r="B26" i="10"/>
  <c r="D38" i="10" s="1"/>
  <c r="B25" i="10"/>
  <c r="C25" i="10" s="1"/>
  <c r="B24" i="10"/>
  <c r="B23" i="10"/>
  <c r="C23" i="10" s="1"/>
  <c r="C22" i="10"/>
  <c r="B22" i="10"/>
  <c r="D21" i="10"/>
  <c r="B21" i="10"/>
  <c r="B20" i="10"/>
  <c r="B19" i="10"/>
  <c r="B18" i="10"/>
  <c r="C18" i="10" s="1"/>
  <c r="C17" i="10"/>
  <c r="B17" i="10"/>
  <c r="C16" i="10"/>
  <c r="B16" i="10"/>
  <c r="B15" i="10"/>
  <c r="B14" i="10"/>
  <c r="C13" i="10"/>
  <c r="B13" i="10"/>
  <c r="D25" i="10" s="1"/>
  <c r="C12" i="10"/>
  <c r="B12" i="10"/>
  <c r="B11" i="10"/>
  <c r="D23" i="10" s="1"/>
  <c r="B10" i="10"/>
  <c r="D22" i="10" s="1"/>
  <c r="B9" i="10"/>
  <c r="B8" i="10"/>
  <c r="B7" i="10"/>
  <c r="U2" i="10"/>
  <c r="Y1" i="10" s="1"/>
  <c r="U1" i="10"/>
  <c r="B619" i="9"/>
  <c r="C619" i="9" s="1"/>
  <c r="D618" i="9"/>
  <c r="C618" i="9"/>
  <c r="B618" i="9"/>
  <c r="B617" i="9"/>
  <c r="C617" i="9" s="1"/>
  <c r="C616" i="9"/>
  <c r="B616" i="9"/>
  <c r="D615" i="9"/>
  <c r="B615" i="9"/>
  <c r="C615" i="9" s="1"/>
  <c r="D614" i="9"/>
  <c r="C614" i="9"/>
  <c r="B614" i="9"/>
  <c r="B613" i="9"/>
  <c r="B612" i="9"/>
  <c r="C611" i="9"/>
  <c r="B611" i="9"/>
  <c r="D610" i="9"/>
  <c r="C610" i="9"/>
  <c r="B610" i="9"/>
  <c r="B609" i="9"/>
  <c r="B608" i="9"/>
  <c r="C609" i="9" s="1"/>
  <c r="D607" i="9"/>
  <c r="B607" i="9"/>
  <c r="D606" i="9"/>
  <c r="C606" i="9"/>
  <c r="B606" i="9"/>
  <c r="B605" i="9"/>
  <c r="D617" i="9" s="1"/>
  <c r="B604" i="9"/>
  <c r="C604" i="9" s="1"/>
  <c r="C603" i="9"/>
  <c r="B603" i="9"/>
  <c r="D602" i="9"/>
  <c r="B602" i="9"/>
  <c r="C601" i="9"/>
  <c r="B601" i="9"/>
  <c r="D613" i="9" s="1"/>
  <c r="D600" i="9"/>
  <c r="B600" i="9"/>
  <c r="B599" i="9"/>
  <c r="D598" i="9"/>
  <c r="C598" i="9"/>
  <c r="B598" i="9"/>
  <c r="B597" i="9"/>
  <c r="D609" i="9" s="1"/>
  <c r="C596" i="9"/>
  <c r="B596" i="9"/>
  <c r="D608" i="9" s="1"/>
  <c r="B595" i="9"/>
  <c r="C595" i="9" s="1"/>
  <c r="D594" i="9"/>
  <c r="B594" i="9"/>
  <c r="B593" i="9"/>
  <c r="D605" i="9" s="1"/>
  <c r="D592" i="9"/>
  <c r="B592" i="9"/>
  <c r="C592" i="9" s="1"/>
  <c r="B591" i="9"/>
  <c r="C591" i="9" s="1"/>
  <c r="D590" i="9"/>
  <c r="C590" i="9"/>
  <c r="B590" i="9"/>
  <c r="C589" i="9"/>
  <c r="B589" i="9"/>
  <c r="D588" i="9"/>
  <c r="C588" i="9"/>
  <c r="B588" i="9"/>
  <c r="D587" i="9"/>
  <c r="C587" i="9"/>
  <c r="B587" i="9"/>
  <c r="D586" i="9"/>
  <c r="B586" i="9"/>
  <c r="B585" i="9"/>
  <c r="B584" i="9"/>
  <c r="C584" i="9" s="1"/>
  <c r="C583" i="9"/>
  <c r="B583" i="9"/>
  <c r="D595" i="9" s="1"/>
  <c r="D582" i="9"/>
  <c r="B582" i="9"/>
  <c r="C581" i="9"/>
  <c r="B581" i="9"/>
  <c r="D580" i="9"/>
  <c r="B580" i="9"/>
  <c r="C580" i="9" s="1"/>
  <c r="D579" i="9"/>
  <c r="B579" i="9"/>
  <c r="C579" i="9" s="1"/>
  <c r="D578" i="9"/>
  <c r="B578" i="9"/>
  <c r="B577" i="9"/>
  <c r="C576" i="9"/>
  <c r="B576" i="9"/>
  <c r="D575" i="9"/>
  <c r="C575" i="9"/>
  <c r="B575" i="9"/>
  <c r="D574" i="9"/>
  <c r="B574" i="9"/>
  <c r="B573" i="9"/>
  <c r="B572" i="9"/>
  <c r="B571" i="9"/>
  <c r="C571" i="9" s="1"/>
  <c r="D570" i="9"/>
  <c r="C570" i="9"/>
  <c r="B570" i="9"/>
  <c r="B569" i="9"/>
  <c r="C568" i="9"/>
  <c r="B568" i="9"/>
  <c r="D567" i="9"/>
  <c r="B567" i="9"/>
  <c r="C567" i="9" s="1"/>
  <c r="D566" i="9"/>
  <c r="C566" i="9"/>
  <c r="B566" i="9"/>
  <c r="B565" i="9"/>
  <c r="B564" i="9"/>
  <c r="C563" i="9"/>
  <c r="B563" i="9"/>
  <c r="D562" i="9"/>
  <c r="C562" i="9"/>
  <c r="B562" i="9"/>
  <c r="C561" i="9"/>
  <c r="B561" i="9"/>
  <c r="B560" i="9"/>
  <c r="C560" i="9" s="1"/>
  <c r="B559" i="9"/>
  <c r="D558" i="9"/>
  <c r="C558" i="9"/>
  <c r="B558" i="9"/>
  <c r="B557" i="9"/>
  <c r="D569" i="9" s="1"/>
  <c r="B556" i="9"/>
  <c r="C556" i="9" s="1"/>
  <c r="C555" i="9"/>
  <c r="B555" i="9"/>
  <c r="D554" i="9"/>
  <c r="B554" i="9"/>
  <c r="C553" i="9"/>
  <c r="B553" i="9"/>
  <c r="D565" i="9" s="1"/>
  <c r="D552" i="9"/>
  <c r="B552" i="9"/>
  <c r="B551" i="9"/>
  <c r="D550" i="9"/>
  <c r="C550" i="9"/>
  <c r="B550" i="9"/>
  <c r="B549" i="9"/>
  <c r="D561" i="9" s="1"/>
  <c r="C548" i="9"/>
  <c r="B548" i="9"/>
  <c r="D560" i="9" s="1"/>
  <c r="B547" i="9"/>
  <c r="C547" i="9" s="1"/>
  <c r="D546" i="9"/>
  <c r="B546" i="9"/>
  <c r="B545" i="9"/>
  <c r="D557" i="9" s="1"/>
  <c r="D544" i="9"/>
  <c r="B544" i="9"/>
  <c r="C544" i="9" s="1"/>
  <c r="B543" i="9"/>
  <c r="C543" i="9" s="1"/>
  <c r="D542" i="9"/>
  <c r="C542" i="9"/>
  <c r="B542" i="9"/>
  <c r="C541" i="9"/>
  <c r="B541" i="9"/>
  <c r="D540" i="9"/>
  <c r="C540" i="9"/>
  <c r="B540" i="9"/>
  <c r="D539" i="9"/>
  <c r="C539" i="9"/>
  <c r="B539" i="9"/>
  <c r="D538" i="9"/>
  <c r="B538" i="9"/>
  <c r="B537" i="9"/>
  <c r="B536" i="9"/>
  <c r="C536" i="9" s="1"/>
  <c r="C535" i="9"/>
  <c r="B535" i="9"/>
  <c r="D547" i="9" s="1"/>
  <c r="D534" i="9"/>
  <c r="B534" i="9"/>
  <c r="C533" i="9"/>
  <c r="B533" i="9"/>
  <c r="D532" i="9"/>
  <c r="B532" i="9"/>
  <c r="C532" i="9" s="1"/>
  <c r="D531" i="9"/>
  <c r="B531" i="9"/>
  <c r="C531" i="9" s="1"/>
  <c r="D530" i="9"/>
  <c r="B530" i="9"/>
  <c r="B529" i="9"/>
  <c r="C528" i="9"/>
  <c r="B528" i="9"/>
  <c r="D527" i="9"/>
  <c r="C527" i="9"/>
  <c r="B527" i="9"/>
  <c r="D526" i="9"/>
  <c r="C526" i="9"/>
  <c r="B526" i="9"/>
  <c r="B525" i="9"/>
  <c r="B524" i="9"/>
  <c r="B523" i="9"/>
  <c r="C523" i="9" s="1"/>
  <c r="D522" i="9"/>
  <c r="C522" i="9"/>
  <c r="B522" i="9"/>
  <c r="B521" i="9"/>
  <c r="C520" i="9"/>
  <c r="B520" i="9"/>
  <c r="D519" i="9"/>
  <c r="B519" i="9"/>
  <c r="C519" i="9" s="1"/>
  <c r="D518" i="9"/>
  <c r="C518" i="9"/>
  <c r="B518" i="9"/>
  <c r="B517" i="9"/>
  <c r="B516" i="9"/>
  <c r="C515" i="9"/>
  <c r="B515" i="9"/>
  <c r="D514" i="9"/>
  <c r="C514" i="9"/>
  <c r="B514" i="9"/>
  <c r="C513" i="9"/>
  <c r="B513" i="9"/>
  <c r="D525" i="9" s="1"/>
  <c r="B512" i="9"/>
  <c r="B511" i="9"/>
  <c r="C510" i="9"/>
  <c r="B510" i="9"/>
  <c r="B509" i="9"/>
  <c r="D521" i="9" s="1"/>
  <c r="B508" i="9"/>
  <c r="C508" i="9" s="1"/>
  <c r="C507" i="9"/>
  <c r="B507" i="9"/>
  <c r="D506" i="9"/>
  <c r="B506" i="9"/>
  <c r="C505" i="9"/>
  <c r="B505" i="9"/>
  <c r="D517" i="9" s="1"/>
  <c r="D504" i="9"/>
  <c r="B504" i="9"/>
  <c r="B503" i="9"/>
  <c r="B502" i="9"/>
  <c r="B501" i="9"/>
  <c r="C502" i="9" s="1"/>
  <c r="C500" i="9"/>
  <c r="B500" i="9"/>
  <c r="D512" i="9" s="1"/>
  <c r="B499" i="9"/>
  <c r="B498" i="9"/>
  <c r="B497" i="9"/>
  <c r="D509" i="9" s="1"/>
  <c r="D496" i="9"/>
  <c r="B496" i="9"/>
  <c r="C496" i="9" s="1"/>
  <c r="B495" i="9"/>
  <c r="C495" i="9" s="1"/>
  <c r="C494" i="9"/>
  <c r="B494" i="9"/>
  <c r="C493" i="9"/>
  <c r="B493" i="9"/>
  <c r="D492" i="9"/>
  <c r="C492" i="9"/>
  <c r="B492" i="9"/>
  <c r="D491" i="9"/>
  <c r="B491" i="9"/>
  <c r="B490" i="9"/>
  <c r="B489" i="9"/>
  <c r="B488" i="9"/>
  <c r="C487" i="9"/>
  <c r="B487" i="9"/>
  <c r="D499" i="9" s="1"/>
  <c r="B486" i="9"/>
  <c r="C485" i="9"/>
  <c r="B485" i="9"/>
  <c r="D484" i="9"/>
  <c r="B484" i="9"/>
  <c r="C484" i="9" s="1"/>
  <c r="D483" i="9"/>
  <c r="B483" i="9"/>
  <c r="C483" i="9" s="1"/>
  <c r="B482" i="9"/>
  <c r="B481" i="9"/>
  <c r="C480" i="9"/>
  <c r="B480" i="9"/>
  <c r="D479" i="9"/>
  <c r="C479" i="9"/>
  <c r="B479" i="9"/>
  <c r="D478" i="9"/>
  <c r="C478" i="9"/>
  <c r="B478" i="9"/>
  <c r="B477" i="9"/>
  <c r="B476" i="9"/>
  <c r="B475" i="9"/>
  <c r="C474" i="9"/>
  <c r="B474" i="9"/>
  <c r="D486" i="9" s="1"/>
  <c r="B473" i="9"/>
  <c r="C472" i="9"/>
  <c r="B472" i="9"/>
  <c r="D471" i="9"/>
  <c r="B471" i="9"/>
  <c r="C471" i="9" s="1"/>
  <c r="D470" i="9"/>
  <c r="B470" i="9"/>
  <c r="C470" i="9" s="1"/>
  <c r="B469" i="9"/>
  <c r="B468" i="9"/>
  <c r="C467" i="9"/>
  <c r="B467" i="9"/>
  <c r="D466" i="9"/>
  <c r="C466" i="9"/>
  <c r="B466" i="9"/>
  <c r="C465" i="9"/>
  <c r="B465" i="9"/>
  <c r="D477" i="9" s="1"/>
  <c r="B464" i="9"/>
  <c r="B463" i="9"/>
  <c r="B462" i="9"/>
  <c r="B461" i="9"/>
  <c r="D473" i="9" s="1"/>
  <c r="B460" i="9"/>
  <c r="C460" i="9" s="1"/>
  <c r="C459" i="9"/>
  <c r="B459" i="9"/>
  <c r="D458" i="9"/>
  <c r="B458" i="9"/>
  <c r="C458" i="9" s="1"/>
  <c r="C457" i="9"/>
  <c r="B457" i="9"/>
  <c r="D469" i="9" s="1"/>
  <c r="D456" i="9"/>
  <c r="B456" i="9"/>
  <c r="B455" i="9"/>
  <c r="B454" i="9"/>
  <c r="B453" i="9"/>
  <c r="C452" i="9"/>
  <c r="B452" i="9"/>
  <c r="D464" i="9" s="1"/>
  <c r="B451" i="9"/>
  <c r="D450" i="9"/>
  <c r="B450" i="9"/>
  <c r="B449" i="9"/>
  <c r="D461" i="9" s="1"/>
  <c r="D448" i="9"/>
  <c r="B448" i="9"/>
  <c r="C448" i="9" s="1"/>
  <c r="D447" i="9"/>
  <c r="B447" i="9"/>
  <c r="C447" i="9" s="1"/>
  <c r="C446" i="9"/>
  <c r="B446" i="9"/>
  <c r="C445" i="9"/>
  <c r="B445" i="9"/>
  <c r="D444" i="9"/>
  <c r="C444" i="9"/>
  <c r="B444" i="9"/>
  <c r="D443" i="9"/>
  <c r="B443" i="9"/>
  <c r="B442" i="9"/>
  <c r="D441" i="9"/>
  <c r="C441" i="9"/>
  <c r="B441" i="9"/>
  <c r="D440" i="9"/>
  <c r="C440" i="9"/>
  <c r="B440" i="9"/>
  <c r="D452" i="9" s="1"/>
  <c r="D439" i="9"/>
  <c r="B439" i="9"/>
  <c r="D451" i="9" s="1"/>
  <c r="B438" i="9"/>
  <c r="D437" i="9"/>
  <c r="C437" i="9"/>
  <c r="B437" i="9"/>
  <c r="D436" i="9"/>
  <c r="C436" i="9"/>
  <c r="B436" i="9"/>
  <c r="D435" i="9"/>
  <c r="B435" i="9"/>
  <c r="B434" i="9"/>
  <c r="D433" i="9"/>
  <c r="C433" i="9"/>
  <c r="B433" i="9"/>
  <c r="D445" i="9" s="1"/>
  <c r="D432" i="9"/>
  <c r="C432" i="9"/>
  <c r="B432" i="9"/>
  <c r="D431" i="9"/>
  <c r="B431" i="9"/>
  <c r="B430" i="9"/>
  <c r="D429" i="9"/>
  <c r="C429" i="9"/>
  <c r="B429" i="9"/>
  <c r="D428" i="9"/>
  <c r="C428" i="9"/>
  <c r="B428" i="9"/>
  <c r="D427" i="9"/>
  <c r="B427" i="9"/>
  <c r="B426" i="9"/>
  <c r="D425" i="9"/>
  <c r="C425" i="9"/>
  <c r="B425" i="9"/>
  <c r="D424" i="9"/>
  <c r="C424" i="9"/>
  <c r="B424" i="9"/>
  <c r="D423" i="9"/>
  <c r="B423" i="9"/>
  <c r="B422" i="9"/>
  <c r="D421" i="9"/>
  <c r="C421" i="9"/>
  <c r="B421" i="9"/>
  <c r="D420" i="9"/>
  <c r="C420" i="9"/>
  <c r="B420" i="9"/>
  <c r="D419" i="9"/>
  <c r="B419" i="9"/>
  <c r="B418" i="9"/>
  <c r="D417" i="9"/>
  <c r="C417" i="9"/>
  <c r="B417" i="9"/>
  <c r="D416" i="9"/>
  <c r="C416" i="9"/>
  <c r="B416" i="9"/>
  <c r="D415" i="9"/>
  <c r="B415" i="9"/>
  <c r="B414" i="9"/>
  <c r="D413" i="9"/>
  <c r="C413" i="9"/>
  <c r="B413" i="9"/>
  <c r="D412" i="9"/>
  <c r="C412" i="9"/>
  <c r="B412" i="9"/>
  <c r="D411" i="9"/>
  <c r="B411" i="9"/>
  <c r="B410" i="9"/>
  <c r="D409" i="9"/>
  <c r="C409" i="9"/>
  <c r="B409" i="9"/>
  <c r="D408" i="9"/>
  <c r="C408" i="9"/>
  <c r="B408" i="9"/>
  <c r="D407" i="9"/>
  <c r="B407" i="9"/>
  <c r="B406" i="9"/>
  <c r="D405" i="9"/>
  <c r="C405" i="9"/>
  <c r="B405" i="9"/>
  <c r="D404" i="9"/>
  <c r="C404" i="9"/>
  <c r="B404" i="9"/>
  <c r="D403" i="9"/>
  <c r="B403" i="9"/>
  <c r="B402" i="9"/>
  <c r="D401" i="9"/>
  <c r="C401" i="9"/>
  <c r="B401" i="9"/>
  <c r="D400" i="9"/>
  <c r="C400" i="9"/>
  <c r="B400" i="9"/>
  <c r="D399" i="9"/>
  <c r="B399" i="9"/>
  <c r="B398" i="9"/>
  <c r="D397" i="9"/>
  <c r="C397" i="9"/>
  <c r="B397" i="9"/>
  <c r="D396" i="9"/>
  <c r="C396" i="9"/>
  <c r="B396" i="9"/>
  <c r="D395" i="9"/>
  <c r="B395" i="9"/>
  <c r="B394" i="9"/>
  <c r="D393" i="9"/>
  <c r="C393" i="9"/>
  <c r="B393" i="9"/>
  <c r="D392" i="9"/>
  <c r="C392" i="9"/>
  <c r="B392" i="9"/>
  <c r="D391" i="9"/>
  <c r="B391" i="9"/>
  <c r="B390" i="9"/>
  <c r="D389" i="9"/>
  <c r="C389" i="9"/>
  <c r="B389" i="9"/>
  <c r="D388" i="9"/>
  <c r="C388" i="9"/>
  <c r="B388" i="9"/>
  <c r="D387" i="9"/>
  <c r="B387" i="9"/>
  <c r="B386" i="9"/>
  <c r="D385" i="9"/>
  <c r="C385" i="9"/>
  <c r="B385" i="9"/>
  <c r="D384" i="9"/>
  <c r="C384" i="9"/>
  <c r="B384" i="9"/>
  <c r="D383" i="9"/>
  <c r="B383" i="9"/>
  <c r="B382" i="9"/>
  <c r="D381" i="9"/>
  <c r="C381" i="9"/>
  <c r="B381" i="9"/>
  <c r="D380" i="9"/>
  <c r="C380" i="9"/>
  <c r="B380" i="9"/>
  <c r="D379" i="9"/>
  <c r="B379" i="9"/>
  <c r="B378" i="9"/>
  <c r="D377" i="9"/>
  <c r="C377" i="9"/>
  <c r="B377" i="9"/>
  <c r="D376" i="9"/>
  <c r="C376" i="9"/>
  <c r="B376" i="9"/>
  <c r="D375" i="9"/>
  <c r="B375" i="9"/>
  <c r="B374" i="9"/>
  <c r="D373" i="9"/>
  <c r="C373" i="9"/>
  <c r="B373" i="9"/>
  <c r="D372" i="9"/>
  <c r="C372" i="9"/>
  <c r="B372" i="9"/>
  <c r="D371" i="9"/>
  <c r="B371" i="9"/>
  <c r="B370" i="9"/>
  <c r="D369" i="9"/>
  <c r="C369" i="9"/>
  <c r="B369" i="9"/>
  <c r="D368" i="9"/>
  <c r="C368" i="9"/>
  <c r="B368" i="9"/>
  <c r="D367" i="9"/>
  <c r="B367" i="9"/>
  <c r="B366" i="9"/>
  <c r="D365" i="9"/>
  <c r="C365" i="9"/>
  <c r="B365" i="9"/>
  <c r="D364" i="9"/>
  <c r="C364" i="9"/>
  <c r="B364" i="9"/>
  <c r="D363" i="9"/>
  <c r="B363" i="9"/>
  <c r="B362" i="9"/>
  <c r="D361" i="9"/>
  <c r="C361" i="9"/>
  <c r="B361" i="9"/>
  <c r="D360" i="9"/>
  <c r="C360" i="9"/>
  <c r="B360" i="9"/>
  <c r="D359" i="9"/>
  <c r="B359" i="9"/>
  <c r="B358" i="9"/>
  <c r="D357" i="9"/>
  <c r="C357" i="9"/>
  <c r="B357" i="9"/>
  <c r="D356" i="9"/>
  <c r="C356" i="9"/>
  <c r="B356" i="9"/>
  <c r="D355" i="9"/>
  <c r="B355" i="9"/>
  <c r="B354" i="9"/>
  <c r="D353" i="9"/>
  <c r="C353" i="9"/>
  <c r="B353" i="9"/>
  <c r="D352" i="9"/>
  <c r="C352" i="9"/>
  <c r="B352" i="9"/>
  <c r="D351" i="9"/>
  <c r="B351" i="9"/>
  <c r="B350" i="9"/>
  <c r="D349" i="9"/>
  <c r="C349" i="9"/>
  <c r="B349" i="9"/>
  <c r="D348" i="9"/>
  <c r="C348" i="9"/>
  <c r="B348" i="9"/>
  <c r="D347" i="9"/>
  <c r="B347" i="9"/>
  <c r="B346" i="9"/>
  <c r="D345" i="9"/>
  <c r="C345" i="9"/>
  <c r="B345" i="9"/>
  <c r="D344" i="9"/>
  <c r="C344" i="9"/>
  <c r="B344" i="9"/>
  <c r="D343" i="9"/>
  <c r="B343" i="9"/>
  <c r="B342" i="9"/>
  <c r="D341" i="9"/>
  <c r="C341" i="9"/>
  <c r="B341" i="9"/>
  <c r="C340" i="9"/>
  <c r="B340" i="9"/>
  <c r="D339" i="9"/>
  <c r="B339" i="9"/>
  <c r="B338" i="9"/>
  <c r="D337" i="9"/>
  <c r="C337" i="9"/>
  <c r="B337" i="9"/>
  <c r="C336" i="9"/>
  <c r="B336" i="9"/>
  <c r="D335" i="9"/>
  <c r="B335" i="9"/>
  <c r="B334" i="9"/>
  <c r="D333" i="9"/>
  <c r="C333" i="9"/>
  <c r="B333" i="9"/>
  <c r="C332" i="9"/>
  <c r="B332" i="9"/>
  <c r="D331" i="9"/>
  <c r="B331" i="9"/>
  <c r="B330" i="9"/>
  <c r="D329" i="9"/>
  <c r="B329" i="9"/>
  <c r="D328" i="9"/>
  <c r="C328" i="9"/>
  <c r="B328" i="9"/>
  <c r="D340" i="9" s="1"/>
  <c r="D327" i="9"/>
  <c r="B327" i="9"/>
  <c r="B326" i="9"/>
  <c r="D325" i="9"/>
  <c r="B325" i="9"/>
  <c r="B324" i="9"/>
  <c r="D336" i="9" s="1"/>
  <c r="D323" i="9"/>
  <c r="B323" i="9"/>
  <c r="C323" i="9" s="1"/>
  <c r="B322" i="9"/>
  <c r="D321" i="9"/>
  <c r="C321" i="9"/>
  <c r="B321" i="9"/>
  <c r="B320" i="9"/>
  <c r="D332" i="9" s="1"/>
  <c r="D319" i="9"/>
  <c r="B319" i="9"/>
  <c r="B318" i="9"/>
  <c r="D317" i="9"/>
  <c r="C317" i="9"/>
  <c r="B317" i="9"/>
  <c r="C316" i="9"/>
  <c r="B316" i="9"/>
  <c r="D315" i="9"/>
  <c r="B315" i="9"/>
  <c r="B314" i="9"/>
  <c r="D313" i="9"/>
  <c r="B313" i="9"/>
  <c r="D312" i="9"/>
  <c r="C312" i="9"/>
  <c r="B312" i="9"/>
  <c r="D324" i="9" s="1"/>
  <c r="D311" i="9"/>
  <c r="B311" i="9"/>
  <c r="C311" i="9" s="1"/>
  <c r="B310" i="9"/>
  <c r="D309" i="9"/>
  <c r="B309" i="9"/>
  <c r="B308" i="9"/>
  <c r="D320" i="9" s="1"/>
  <c r="D307" i="9"/>
  <c r="B307" i="9"/>
  <c r="C307" i="9" s="1"/>
  <c r="B306" i="9"/>
  <c r="D305" i="9"/>
  <c r="C305" i="9"/>
  <c r="B305" i="9"/>
  <c r="B304" i="9"/>
  <c r="D316" i="9" s="1"/>
  <c r="D303" i="9"/>
  <c r="B303" i="9"/>
  <c r="B302" i="9"/>
  <c r="D301" i="9"/>
  <c r="C301" i="9"/>
  <c r="B301" i="9"/>
  <c r="C300" i="9"/>
  <c r="B300" i="9"/>
  <c r="D299" i="9"/>
  <c r="B299" i="9"/>
  <c r="B298" i="9"/>
  <c r="D297" i="9"/>
  <c r="B297" i="9"/>
  <c r="D296" i="9"/>
  <c r="C296" i="9"/>
  <c r="B296" i="9"/>
  <c r="D308" i="9" s="1"/>
  <c r="D295" i="9"/>
  <c r="B295" i="9"/>
  <c r="C295" i="9" s="1"/>
  <c r="B294" i="9"/>
  <c r="D293" i="9"/>
  <c r="B293" i="9"/>
  <c r="B292" i="9"/>
  <c r="D304" i="9" s="1"/>
  <c r="D291" i="9"/>
  <c r="B291" i="9"/>
  <c r="C291" i="9" s="1"/>
  <c r="B290" i="9"/>
  <c r="D289" i="9"/>
  <c r="C289" i="9"/>
  <c r="B289" i="9"/>
  <c r="B288" i="9"/>
  <c r="D300" i="9" s="1"/>
  <c r="D287" i="9"/>
  <c r="B287" i="9"/>
  <c r="B286" i="9"/>
  <c r="D285" i="9"/>
  <c r="C285" i="9"/>
  <c r="B285" i="9"/>
  <c r="C284" i="9"/>
  <c r="B284" i="9"/>
  <c r="D283" i="9"/>
  <c r="B283" i="9"/>
  <c r="B282" i="9"/>
  <c r="D281" i="9"/>
  <c r="B281" i="9"/>
  <c r="D280" i="9"/>
  <c r="C280" i="9"/>
  <c r="B280" i="9"/>
  <c r="D292" i="9" s="1"/>
  <c r="D279" i="9"/>
  <c r="B279" i="9"/>
  <c r="C279" i="9" s="1"/>
  <c r="B278" i="9"/>
  <c r="D277" i="9"/>
  <c r="B277" i="9"/>
  <c r="B276" i="9"/>
  <c r="D288" i="9" s="1"/>
  <c r="D275" i="9"/>
  <c r="B275" i="9"/>
  <c r="C275" i="9" s="1"/>
  <c r="B274" i="9"/>
  <c r="C273" i="9"/>
  <c r="B273" i="9"/>
  <c r="B272" i="9"/>
  <c r="D284" i="9" s="1"/>
  <c r="D271" i="9"/>
  <c r="B271" i="9"/>
  <c r="B270" i="9"/>
  <c r="D269" i="9"/>
  <c r="C269" i="9"/>
  <c r="B269" i="9"/>
  <c r="C268" i="9"/>
  <c r="B268" i="9"/>
  <c r="D267" i="9"/>
  <c r="B267" i="9"/>
  <c r="B266" i="9"/>
  <c r="B265" i="9"/>
  <c r="D264" i="9"/>
  <c r="C264" i="9"/>
  <c r="B264" i="9"/>
  <c r="D276" i="9" s="1"/>
  <c r="D263" i="9"/>
  <c r="B263" i="9"/>
  <c r="C263" i="9" s="1"/>
  <c r="B262" i="9"/>
  <c r="B261" i="9"/>
  <c r="D273" i="9" s="1"/>
  <c r="B260" i="9"/>
  <c r="D272" i="9" s="1"/>
  <c r="D259" i="9"/>
  <c r="B259" i="9"/>
  <c r="C259" i="9" s="1"/>
  <c r="B258" i="9"/>
  <c r="C257" i="9"/>
  <c r="B257" i="9"/>
  <c r="B256" i="9"/>
  <c r="D268" i="9" s="1"/>
  <c r="D255" i="9"/>
  <c r="B255" i="9"/>
  <c r="B254" i="9"/>
  <c r="D253" i="9"/>
  <c r="C253" i="9"/>
  <c r="B253" i="9"/>
  <c r="D265" i="9" s="1"/>
  <c r="C252" i="9"/>
  <c r="B252" i="9"/>
  <c r="D251" i="9"/>
  <c r="B251" i="9"/>
  <c r="B250" i="9"/>
  <c r="B249" i="9"/>
  <c r="D261" i="9" s="1"/>
  <c r="D248" i="9"/>
  <c r="C248" i="9"/>
  <c r="B248" i="9"/>
  <c r="D260" i="9" s="1"/>
  <c r="D247" i="9"/>
  <c r="B247" i="9"/>
  <c r="C247" i="9" s="1"/>
  <c r="B246" i="9"/>
  <c r="B245" i="9"/>
  <c r="D257" i="9" s="1"/>
  <c r="B244" i="9"/>
  <c r="D256" i="9" s="1"/>
  <c r="D243" i="9"/>
  <c r="B243" i="9"/>
  <c r="C243" i="9" s="1"/>
  <c r="B242" i="9"/>
  <c r="C241" i="9"/>
  <c r="B241" i="9"/>
  <c r="B240" i="9"/>
  <c r="D252" i="9" s="1"/>
  <c r="D239" i="9"/>
  <c r="B239" i="9"/>
  <c r="B238" i="9"/>
  <c r="D237" i="9"/>
  <c r="C237" i="9"/>
  <c r="B237" i="9"/>
  <c r="D249" i="9" s="1"/>
  <c r="C236" i="9"/>
  <c r="B236" i="9"/>
  <c r="D235" i="9"/>
  <c r="B235" i="9"/>
  <c r="B234" i="9"/>
  <c r="B233" i="9"/>
  <c r="D245" i="9" s="1"/>
  <c r="D232" i="9"/>
  <c r="C232" i="9"/>
  <c r="B232" i="9"/>
  <c r="D244" i="9" s="1"/>
  <c r="D231" i="9"/>
  <c r="B231" i="9"/>
  <c r="C231" i="9" s="1"/>
  <c r="B230" i="9"/>
  <c r="B229" i="9"/>
  <c r="D241" i="9" s="1"/>
  <c r="B228" i="9"/>
  <c r="D240" i="9" s="1"/>
  <c r="D227" i="9"/>
  <c r="B227" i="9"/>
  <c r="C227" i="9" s="1"/>
  <c r="B226" i="9"/>
  <c r="C225" i="9"/>
  <c r="B225" i="9"/>
  <c r="B224" i="9"/>
  <c r="D236" i="9" s="1"/>
  <c r="D223" i="9"/>
  <c r="B223" i="9"/>
  <c r="B222" i="9"/>
  <c r="D221" i="9"/>
  <c r="C221" i="9"/>
  <c r="B221" i="9"/>
  <c r="D233" i="9" s="1"/>
  <c r="C220" i="9"/>
  <c r="B220" i="9"/>
  <c r="D219" i="9"/>
  <c r="B219" i="9"/>
  <c r="B218" i="9"/>
  <c r="B217" i="9"/>
  <c r="D229" i="9" s="1"/>
  <c r="D216" i="9"/>
  <c r="C216" i="9"/>
  <c r="B216" i="9"/>
  <c r="D228" i="9" s="1"/>
  <c r="D215" i="9"/>
  <c r="B215" i="9"/>
  <c r="C215" i="9" s="1"/>
  <c r="B214" i="9"/>
  <c r="B213" i="9"/>
  <c r="D225" i="9" s="1"/>
  <c r="B212" i="9"/>
  <c r="D224" i="9" s="1"/>
  <c r="D211" i="9"/>
  <c r="B211" i="9"/>
  <c r="C211" i="9" s="1"/>
  <c r="B210" i="9"/>
  <c r="C209" i="9"/>
  <c r="B209" i="9"/>
  <c r="B208" i="9"/>
  <c r="D220" i="9" s="1"/>
  <c r="B207" i="9"/>
  <c r="B206" i="9"/>
  <c r="D205" i="9"/>
  <c r="C205" i="9"/>
  <c r="B205" i="9"/>
  <c r="D217" i="9" s="1"/>
  <c r="C204" i="9"/>
  <c r="B204" i="9"/>
  <c r="D203" i="9"/>
  <c r="B203" i="9"/>
  <c r="B202" i="9"/>
  <c r="B201" i="9"/>
  <c r="D213" i="9" s="1"/>
  <c r="D200" i="9"/>
  <c r="B200" i="9"/>
  <c r="D212" i="9" s="1"/>
  <c r="B199" i="9"/>
  <c r="C199" i="9" s="1"/>
  <c r="B198" i="9"/>
  <c r="B197" i="9"/>
  <c r="D209" i="9" s="1"/>
  <c r="B196" i="9"/>
  <c r="D208" i="9" s="1"/>
  <c r="D195" i="9"/>
  <c r="B195" i="9"/>
  <c r="C195" i="9" s="1"/>
  <c r="B194" i="9"/>
  <c r="C193" i="9"/>
  <c r="B193" i="9"/>
  <c r="B192" i="9"/>
  <c r="D204" i="9" s="1"/>
  <c r="B191" i="9"/>
  <c r="B190" i="9"/>
  <c r="D189" i="9"/>
  <c r="C189" i="9"/>
  <c r="B189" i="9"/>
  <c r="D201" i="9" s="1"/>
  <c r="C188" i="9"/>
  <c r="B188" i="9"/>
  <c r="D187" i="9"/>
  <c r="B187" i="9"/>
  <c r="B186" i="9"/>
  <c r="B185" i="9"/>
  <c r="D197" i="9" s="1"/>
  <c r="D184" i="9"/>
  <c r="B184" i="9"/>
  <c r="D196" i="9" s="1"/>
  <c r="B183" i="9"/>
  <c r="B182" i="9"/>
  <c r="B181" i="9"/>
  <c r="D193" i="9" s="1"/>
  <c r="B180" i="9"/>
  <c r="D192" i="9" s="1"/>
  <c r="B179" i="9"/>
  <c r="C179" i="9" s="1"/>
  <c r="B178" i="9"/>
  <c r="C177" i="9"/>
  <c r="B177" i="9"/>
  <c r="B176" i="9"/>
  <c r="D188" i="9" s="1"/>
  <c r="B175" i="9"/>
  <c r="B174" i="9"/>
  <c r="D173" i="9"/>
  <c r="C173" i="9"/>
  <c r="B173" i="9"/>
  <c r="D185" i="9" s="1"/>
  <c r="C172" i="9"/>
  <c r="B172" i="9"/>
  <c r="D171" i="9"/>
  <c r="B171" i="9"/>
  <c r="B170" i="9"/>
  <c r="B169" i="9"/>
  <c r="D181" i="9" s="1"/>
  <c r="D168" i="9"/>
  <c r="B168" i="9"/>
  <c r="D180" i="9" s="1"/>
  <c r="B167" i="9"/>
  <c r="B166" i="9"/>
  <c r="B165" i="9"/>
  <c r="D177" i="9" s="1"/>
  <c r="B164" i="9"/>
  <c r="D176" i="9" s="1"/>
  <c r="B163" i="9"/>
  <c r="C163" i="9" s="1"/>
  <c r="B162" i="9"/>
  <c r="C161" i="9"/>
  <c r="B161" i="9"/>
  <c r="B160" i="9"/>
  <c r="D172" i="9" s="1"/>
  <c r="B159" i="9"/>
  <c r="B158" i="9"/>
  <c r="D157" i="9"/>
  <c r="C157" i="9"/>
  <c r="B157" i="9"/>
  <c r="D169" i="9" s="1"/>
  <c r="C156" i="9"/>
  <c r="B156" i="9"/>
  <c r="D155" i="9"/>
  <c r="B155" i="9"/>
  <c r="B154" i="9"/>
  <c r="B153" i="9"/>
  <c r="D165" i="9" s="1"/>
  <c r="D152" i="9"/>
  <c r="B152" i="9"/>
  <c r="D164" i="9" s="1"/>
  <c r="B151" i="9"/>
  <c r="B150" i="9"/>
  <c r="B149" i="9"/>
  <c r="D161" i="9" s="1"/>
  <c r="B148" i="9"/>
  <c r="D160" i="9" s="1"/>
  <c r="B147" i="9"/>
  <c r="C147" i="9" s="1"/>
  <c r="B146" i="9"/>
  <c r="C145" i="9"/>
  <c r="B145" i="9"/>
  <c r="B144" i="9"/>
  <c r="D156" i="9" s="1"/>
  <c r="B143" i="9"/>
  <c r="B142" i="9"/>
  <c r="D141" i="9"/>
  <c r="C141" i="9"/>
  <c r="B141" i="9"/>
  <c r="D153" i="9" s="1"/>
  <c r="C140" i="9"/>
  <c r="B140" i="9"/>
  <c r="B139" i="9"/>
  <c r="B138" i="9"/>
  <c r="B137" i="9"/>
  <c r="D149" i="9" s="1"/>
  <c r="D136" i="9"/>
  <c r="B136" i="9"/>
  <c r="D148" i="9" s="1"/>
  <c r="B135" i="9"/>
  <c r="B134" i="9"/>
  <c r="B133" i="9"/>
  <c r="D145" i="9" s="1"/>
  <c r="B132" i="9"/>
  <c r="D144" i="9" s="1"/>
  <c r="D131" i="9"/>
  <c r="B131" i="9"/>
  <c r="C131" i="9" s="1"/>
  <c r="B130" i="9"/>
  <c r="C129" i="9"/>
  <c r="B129" i="9"/>
  <c r="B128" i="9"/>
  <c r="D140" i="9" s="1"/>
  <c r="B127" i="9"/>
  <c r="B126" i="9"/>
  <c r="D125" i="9"/>
  <c r="C125" i="9"/>
  <c r="B125" i="9"/>
  <c r="D137" i="9" s="1"/>
  <c r="C124" i="9"/>
  <c r="B124" i="9"/>
  <c r="B123" i="9"/>
  <c r="B122" i="9"/>
  <c r="B121" i="9"/>
  <c r="D133" i="9" s="1"/>
  <c r="D120" i="9"/>
  <c r="B120" i="9"/>
  <c r="D132" i="9" s="1"/>
  <c r="B119" i="9"/>
  <c r="B118" i="9"/>
  <c r="B117" i="9"/>
  <c r="D129" i="9" s="1"/>
  <c r="B116" i="9"/>
  <c r="D128" i="9" s="1"/>
  <c r="B115" i="9"/>
  <c r="C115" i="9" s="1"/>
  <c r="B114" i="9"/>
  <c r="C113" i="9"/>
  <c r="B113" i="9"/>
  <c r="B112" i="9"/>
  <c r="D124" i="9" s="1"/>
  <c r="B111" i="9"/>
  <c r="B110" i="9"/>
  <c r="C109" i="9"/>
  <c r="B109" i="9"/>
  <c r="D121" i="9" s="1"/>
  <c r="C108" i="9"/>
  <c r="B108" i="9"/>
  <c r="B107" i="9"/>
  <c r="B106" i="9"/>
  <c r="B105" i="9"/>
  <c r="D117" i="9" s="1"/>
  <c r="B104" i="9"/>
  <c r="D116" i="9" s="1"/>
  <c r="B103" i="9"/>
  <c r="C103" i="9" s="1"/>
  <c r="B102" i="9"/>
  <c r="B101" i="9"/>
  <c r="D113" i="9" s="1"/>
  <c r="B100" i="9"/>
  <c r="D112" i="9" s="1"/>
  <c r="B99" i="9"/>
  <c r="B98" i="9"/>
  <c r="B97" i="9"/>
  <c r="B96" i="9"/>
  <c r="D108" i="9" s="1"/>
  <c r="B95" i="9"/>
  <c r="B94" i="9"/>
  <c r="D93" i="9"/>
  <c r="B93" i="9"/>
  <c r="D105" i="9" s="1"/>
  <c r="B92" i="9"/>
  <c r="D104" i="9" s="1"/>
  <c r="B91" i="9"/>
  <c r="B90" i="9"/>
  <c r="B89" i="9"/>
  <c r="D101" i="9" s="1"/>
  <c r="D88" i="9"/>
  <c r="B88" i="9"/>
  <c r="D100" i="9" s="1"/>
  <c r="B87" i="9"/>
  <c r="D99" i="9" s="1"/>
  <c r="B86" i="9"/>
  <c r="B85" i="9"/>
  <c r="B84" i="9"/>
  <c r="D96" i="9" s="1"/>
  <c r="B83" i="9"/>
  <c r="B82" i="9"/>
  <c r="C81" i="9"/>
  <c r="B81" i="9"/>
  <c r="B80" i="9"/>
  <c r="D92" i="9" s="1"/>
  <c r="B79" i="9"/>
  <c r="B78" i="9"/>
  <c r="C77" i="9"/>
  <c r="B77" i="9"/>
  <c r="D89" i="9" s="1"/>
  <c r="C76" i="9"/>
  <c r="B76" i="9"/>
  <c r="B75" i="9"/>
  <c r="B74" i="9"/>
  <c r="B73" i="9"/>
  <c r="D85" i="9" s="1"/>
  <c r="D72" i="9"/>
  <c r="C72" i="9"/>
  <c r="B72" i="9"/>
  <c r="D84" i="9" s="1"/>
  <c r="B71" i="9"/>
  <c r="B70" i="9"/>
  <c r="B69" i="9"/>
  <c r="D81" i="9" s="1"/>
  <c r="B68" i="9"/>
  <c r="D80" i="9" s="1"/>
  <c r="D67" i="9"/>
  <c r="B67" i="9"/>
  <c r="B66" i="9"/>
  <c r="B65" i="9"/>
  <c r="B64" i="9"/>
  <c r="D76" i="9" s="1"/>
  <c r="B63" i="9"/>
  <c r="B62" i="9"/>
  <c r="B61" i="9"/>
  <c r="D73" i="9" s="1"/>
  <c r="C60" i="9"/>
  <c r="B60" i="9"/>
  <c r="B59" i="9"/>
  <c r="B58" i="9"/>
  <c r="B57" i="9"/>
  <c r="D69" i="9" s="1"/>
  <c r="B56" i="9"/>
  <c r="B55" i="9"/>
  <c r="B54" i="9"/>
  <c r="B53" i="9"/>
  <c r="B52" i="9"/>
  <c r="D64" i="9" s="1"/>
  <c r="B51" i="9"/>
  <c r="B50" i="9"/>
  <c r="C49" i="9"/>
  <c r="B49" i="9"/>
  <c r="D61" i="9" s="1"/>
  <c r="B48" i="9"/>
  <c r="D60" i="9" s="1"/>
  <c r="B47" i="9"/>
  <c r="B46" i="9"/>
  <c r="B45" i="9"/>
  <c r="D57" i="9" s="1"/>
  <c r="C44" i="9"/>
  <c r="B44" i="9"/>
  <c r="B43" i="9"/>
  <c r="B42" i="9"/>
  <c r="B41" i="9"/>
  <c r="D53" i="9" s="1"/>
  <c r="B40" i="9"/>
  <c r="D52" i="9" s="1"/>
  <c r="B39" i="9"/>
  <c r="C40" i="9" s="1"/>
  <c r="B38" i="9"/>
  <c r="B37" i="9"/>
  <c r="B36" i="9"/>
  <c r="D48" i="9" s="1"/>
  <c r="B35" i="9"/>
  <c r="B34" i="9"/>
  <c r="B33" i="9"/>
  <c r="D45" i="9" s="1"/>
  <c r="B32" i="9"/>
  <c r="D31" i="9"/>
  <c r="B31" i="9"/>
  <c r="B30" i="9"/>
  <c r="B29" i="9"/>
  <c r="D41" i="9" s="1"/>
  <c r="C28" i="9"/>
  <c r="B28" i="9"/>
  <c r="D40" i="9" s="1"/>
  <c r="B27" i="9"/>
  <c r="B26" i="9"/>
  <c r="B25" i="9"/>
  <c r="C24" i="9"/>
  <c r="B24" i="9"/>
  <c r="D36" i="9" s="1"/>
  <c r="B23" i="9"/>
  <c r="B22" i="9"/>
  <c r="B21" i="9"/>
  <c r="B20" i="9"/>
  <c r="C19" i="9"/>
  <c r="B19" i="9"/>
  <c r="B18" i="9"/>
  <c r="B17" i="9"/>
  <c r="C17" i="9" s="1"/>
  <c r="B16" i="9"/>
  <c r="D28" i="9" s="1"/>
  <c r="B15" i="9"/>
  <c r="C14" i="9"/>
  <c r="B14" i="9"/>
  <c r="C13" i="9"/>
  <c r="B13" i="9"/>
  <c r="C12" i="9"/>
  <c r="B12" i="9"/>
  <c r="B11" i="9"/>
  <c r="B10" i="9"/>
  <c r="D22" i="9" s="1"/>
  <c r="B9" i="9"/>
  <c r="D21" i="9" s="1"/>
  <c r="C8" i="9"/>
  <c r="B8" i="9"/>
  <c r="B7" i="9"/>
  <c r="W2" i="9"/>
  <c r="AA1" i="9"/>
  <c r="W1" i="9"/>
  <c r="C619" i="8"/>
  <c r="B619" i="8"/>
  <c r="D618" i="8"/>
  <c r="C618" i="8"/>
  <c r="B618" i="8"/>
  <c r="D617" i="8"/>
  <c r="C617" i="8"/>
  <c r="B617" i="8"/>
  <c r="B616" i="8"/>
  <c r="B615" i="8"/>
  <c r="C616" i="8" s="1"/>
  <c r="B614" i="8"/>
  <c r="C614" i="8" s="1"/>
  <c r="D613" i="8"/>
  <c r="B613" i="8"/>
  <c r="C613" i="8" s="1"/>
  <c r="B612" i="8"/>
  <c r="B611" i="8"/>
  <c r="B610" i="8"/>
  <c r="C610" i="8" s="1"/>
  <c r="B609" i="8"/>
  <c r="C609" i="8" s="1"/>
  <c r="B608" i="8"/>
  <c r="C607" i="8"/>
  <c r="B607" i="8"/>
  <c r="D619" i="8" s="1"/>
  <c r="C606" i="8"/>
  <c r="B606" i="8"/>
  <c r="D605" i="8"/>
  <c r="C605" i="8"/>
  <c r="B605" i="8"/>
  <c r="C604" i="8"/>
  <c r="B604" i="8"/>
  <c r="D616" i="8" s="1"/>
  <c r="B603" i="8"/>
  <c r="B602" i="8"/>
  <c r="D601" i="8"/>
  <c r="C601" i="8"/>
  <c r="B601" i="8"/>
  <c r="C602" i="8" s="1"/>
  <c r="B600" i="8"/>
  <c r="D612" i="8" s="1"/>
  <c r="B599" i="8"/>
  <c r="B598" i="8"/>
  <c r="B597" i="8"/>
  <c r="C596" i="8"/>
  <c r="B596" i="8"/>
  <c r="D608" i="8" s="1"/>
  <c r="C595" i="8"/>
  <c r="B595" i="8"/>
  <c r="D594" i="8"/>
  <c r="C594" i="8"/>
  <c r="B594" i="8"/>
  <c r="D606" i="8" s="1"/>
  <c r="D593" i="8"/>
  <c r="C593" i="8"/>
  <c r="B593" i="8"/>
  <c r="B592" i="8"/>
  <c r="D604" i="8" s="1"/>
  <c r="C591" i="8"/>
  <c r="B591" i="8"/>
  <c r="B590" i="8"/>
  <c r="C590" i="8" s="1"/>
  <c r="D589" i="8"/>
  <c r="B589" i="8"/>
  <c r="C589" i="8" s="1"/>
  <c r="C588" i="8"/>
  <c r="B588" i="8"/>
  <c r="D600" i="8" s="1"/>
  <c r="B587" i="8"/>
  <c r="C586" i="8"/>
  <c r="B586" i="8"/>
  <c r="D598" i="8" s="1"/>
  <c r="C585" i="8"/>
  <c r="B585" i="8"/>
  <c r="B584" i="8"/>
  <c r="D596" i="8" s="1"/>
  <c r="C583" i="8"/>
  <c r="B583" i="8"/>
  <c r="D595" i="8" s="1"/>
  <c r="C582" i="8"/>
  <c r="B582" i="8"/>
  <c r="D581" i="8"/>
  <c r="C581" i="8"/>
  <c r="B581" i="8"/>
  <c r="C580" i="8"/>
  <c r="B580" i="8"/>
  <c r="D592" i="8" s="1"/>
  <c r="B579" i="8"/>
  <c r="B578" i="8"/>
  <c r="D577" i="8"/>
  <c r="C577" i="8"/>
  <c r="B577" i="8"/>
  <c r="C578" i="8" s="1"/>
  <c r="C576" i="8"/>
  <c r="B576" i="8"/>
  <c r="D588" i="8" s="1"/>
  <c r="B575" i="8"/>
  <c r="B574" i="8"/>
  <c r="B573" i="8"/>
  <c r="C572" i="8"/>
  <c r="B572" i="8"/>
  <c r="D584" i="8" s="1"/>
  <c r="C571" i="8"/>
  <c r="B571" i="8"/>
  <c r="D570" i="8"/>
  <c r="C570" i="8"/>
  <c r="B570" i="8"/>
  <c r="D582" i="8" s="1"/>
  <c r="D569" i="8"/>
  <c r="C569" i="8"/>
  <c r="B569" i="8"/>
  <c r="B568" i="8"/>
  <c r="D580" i="8" s="1"/>
  <c r="B567" i="8"/>
  <c r="B566" i="8"/>
  <c r="C566" i="8" s="1"/>
  <c r="B565" i="8"/>
  <c r="C565" i="8" s="1"/>
  <c r="C564" i="8"/>
  <c r="B564" i="8"/>
  <c r="D576" i="8" s="1"/>
  <c r="B563" i="8"/>
  <c r="B562" i="8"/>
  <c r="B561" i="8"/>
  <c r="B560" i="8"/>
  <c r="D572" i="8" s="1"/>
  <c r="B559" i="8"/>
  <c r="D571" i="8" s="1"/>
  <c r="C558" i="8"/>
  <c r="B558" i="8"/>
  <c r="C559" i="8" s="1"/>
  <c r="D557" i="8"/>
  <c r="B557" i="8"/>
  <c r="B556" i="8"/>
  <c r="B555" i="8"/>
  <c r="D554" i="8"/>
  <c r="B554" i="8"/>
  <c r="B553" i="8"/>
  <c r="C554" i="8" s="1"/>
  <c r="C552" i="8"/>
  <c r="B552" i="8"/>
  <c r="B551" i="8"/>
  <c r="D563" i="8" s="1"/>
  <c r="B550" i="8"/>
  <c r="B549" i="8"/>
  <c r="B548" i="8"/>
  <c r="C547" i="8"/>
  <c r="B547" i="8"/>
  <c r="C546" i="8"/>
  <c r="B546" i="8"/>
  <c r="D558" i="8" s="1"/>
  <c r="D545" i="8"/>
  <c r="B545" i="8"/>
  <c r="B544" i="8"/>
  <c r="C543" i="8"/>
  <c r="B543" i="8"/>
  <c r="D555" i="8" s="1"/>
  <c r="D542" i="8"/>
  <c r="B542" i="8"/>
  <c r="C542" i="8" s="1"/>
  <c r="B541" i="8"/>
  <c r="C541" i="8" s="1"/>
  <c r="C540" i="8"/>
  <c r="B540" i="8"/>
  <c r="D552" i="8" s="1"/>
  <c r="B539" i="8"/>
  <c r="B538" i="8"/>
  <c r="D550" i="8" s="1"/>
  <c r="C537" i="8"/>
  <c r="B537" i="8"/>
  <c r="B536" i="8"/>
  <c r="B535" i="8"/>
  <c r="D547" i="8" s="1"/>
  <c r="B534" i="8"/>
  <c r="C535" i="8" s="1"/>
  <c r="D533" i="8"/>
  <c r="C533" i="8"/>
  <c r="B533" i="8"/>
  <c r="C532" i="8"/>
  <c r="B532" i="8"/>
  <c r="D544" i="8" s="1"/>
  <c r="B531" i="8"/>
  <c r="B530" i="8"/>
  <c r="B529" i="8"/>
  <c r="C530" i="8" s="1"/>
  <c r="C528" i="8"/>
  <c r="B528" i="8"/>
  <c r="C527" i="8"/>
  <c r="B527" i="8"/>
  <c r="B526" i="8"/>
  <c r="C526" i="8" s="1"/>
  <c r="B525" i="8"/>
  <c r="C524" i="8"/>
  <c r="B524" i="8"/>
  <c r="D536" i="8" s="1"/>
  <c r="C523" i="8"/>
  <c r="B523" i="8"/>
  <c r="C522" i="8"/>
  <c r="B522" i="8"/>
  <c r="D534" i="8" s="1"/>
  <c r="D521" i="8"/>
  <c r="C521" i="8"/>
  <c r="B521" i="8"/>
  <c r="B520" i="8"/>
  <c r="B519" i="8"/>
  <c r="B518" i="8"/>
  <c r="B517" i="8"/>
  <c r="C517" i="8" s="1"/>
  <c r="C516" i="8"/>
  <c r="B516" i="8"/>
  <c r="D528" i="8" s="1"/>
  <c r="B515" i="8"/>
  <c r="D514" i="8"/>
  <c r="B514" i="8"/>
  <c r="D526" i="8" s="1"/>
  <c r="B513" i="8"/>
  <c r="B512" i="8"/>
  <c r="C511" i="8"/>
  <c r="B511" i="8"/>
  <c r="D523" i="8" s="1"/>
  <c r="B510" i="8"/>
  <c r="D522" i="8" s="1"/>
  <c r="D509" i="8"/>
  <c r="C509" i="8"/>
  <c r="B509" i="8"/>
  <c r="D508" i="8"/>
  <c r="B508" i="8"/>
  <c r="B507" i="8"/>
  <c r="B506" i="8"/>
  <c r="C506" i="8" s="1"/>
  <c r="D505" i="8"/>
  <c r="B505" i="8"/>
  <c r="D517" i="8" s="1"/>
  <c r="B504" i="8"/>
  <c r="D516" i="8" s="1"/>
  <c r="B503" i="8"/>
  <c r="D502" i="8"/>
  <c r="B502" i="8"/>
  <c r="B501" i="8"/>
  <c r="B500" i="8"/>
  <c r="C499" i="8"/>
  <c r="B499" i="8"/>
  <c r="D498" i="8"/>
  <c r="C498" i="8"/>
  <c r="B498" i="8"/>
  <c r="C497" i="8"/>
  <c r="B497" i="8"/>
  <c r="B496" i="8"/>
  <c r="B495" i="8"/>
  <c r="B494" i="8"/>
  <c r="B493" i="8"/>
  <c r="D492" i="8"/>
  <c r="C492" i="8"/>
  <c r="B492" i="8"/>
  <c r="B491" i="8"/>
  <c r="B490" i="8"/>
  <c r="C490" i="8" s="1"/>
  <c r="B489" i="8"/>
  <c r="D488" i="8"/>
  <c r="C488" i="8"/>
  <c r="B488" i="8"/>
  <c r="C489" i="8" s="1"/>
  <c r="C487" i="8"/>
  <c r="B487" i="8"/>
  <c r="D486" i="8"/>
  <c r="C486" i="8"/>
  <c r="B486" i="8"/>
  <c r="D485" i="8"/>
  <c r="B485" i="8"/>
  <c r="D497" i="8" s="1"/>
  <c r="C484" i="8"/>
  <c r="B484" i="8"/>
  <c r="D496" i="8" s="1"/>
  <c r="C483" i="8"/>
  <c r="B483" i="8"/>
  <c r="B482" i="8"/>
  <c r="D494" i="8" s="1"/>
  <c r="C481" i="8"/>
  <c r="B481" i="8"/>
  <c r="D493" i="8" s="1"/>
  <c r="B480" i="8"/>
  <c r="C480" i="8" s="1"/>
  <c r="B479" i="8"/>
  <c r="B478" i="8"/>
  <c r="B477" i="8"/>
  <c r="B476" i="8"/>
  <c r="B475" i="8"/>
  <c r="D474" i="8"/>
  <c r="C474" i="8"/>
  <c r="B474" i="8"/>
  <c r="D473" i="8"/>
  <c r="C473" i="8"/>
  <c r="B473" i="8"/>
  <c r="D472" i="8"/>
  <c r="C472" i="8"/>
  <c r="B472" i="8"/>
  <c r="B471" i="8"/>
  <c r="D470" i="8"/>
  <c r="C470" i="8"/>
  <c r="B470" i="8"/>
  <c r="C469" i="8"/>
  <c r="B469" i="8"/>
  <c r="C468" i="8"/>
  <c r="B468" i="8"/>
  <c r="B467" i="8"/>
  <c r="D466" i="8"/>
  <c r="C466" i="8"/>
  <c r="B466" i="8"/>
  <c r="C467" i="8" s="1"/>
  <c r="B465" i="8"/>
  <c r="C465" i="8" s="1"/>
  <c r="D464" i="8"/>
  <c r="B464" i="8"/>
  <c r="C464" i="8" s="1"/>
  <c r="C463" i="8"/>
  <c r="B463" i="8"/>
  <c r="C462" i="8"/>
  <c r="B462" i="8"/>
  <c r="D461" i="8"/>
  <c r="C461" i="8"/>
  <c r="B461" i="8"/>
  <c r="D460" i="8"/>
  <c r="B460" i="8"/>
  <c r="C459" i="8"/>
  <c r="B459" i="8"/>
  <c r="D471" i="8" s="1"/>
  <c r="B458" i="8"/>
  <c r="C458" i="8" s="1"/>
  <c r="B457" i="8"/>
  <c r="D469" i="8" s="1"/>
  <c r="B456" i="8"/>
  <c r="D468" i="8" s="1"/>
  <c r="B455" i="8"/>
  <c r="C456" i="8" s="1"/>
  <c r="B454" i="8"/>
  <c r="D453" i="8"/>
  <c r="C453" i="8"/>
  <c r="B453" i="8"/>
  <c r="C454" i="8" s="1"/>
  <c r="B452" i="8"/>
  <c r="C452" i="8" s="1"/>
  <c r="C451" i="8"/>
  <c r="B451" i="8"/>
  <c r="D450" i="8"/>
  <c r="C450" i="8"/>
  <c r="B450" i="8"/>
  <c r="D462" i="8" s="1"/>
  <c r="B449" i="8"/>
  <c r="C449" i="8" s="1"/>
  <c r="D448" i="8"/>
  <c r="C448" i="8"/>
  <c r="B448" i="8"/>
  <c r="C447" i="8"/>
  <c r="B447" i="8"/>
  <c r="B446" i="8"/>
  <c r="D445" i="8"/>
  <c r="B445" i="8"/>
  <c r="C445" i="8" s="1"/>
  <c r="D444" i="8"/>
  <c r="B444" i="8"/>
  <c r="B443" i="8"/>
  <c r="D442" i="8"/>
  <c r="B442" i="8"/>
  <c r="C442" i="8" s="1"/>
  <c r="B441" i="8"/>
  <c r="C440" i="8"/>
  <c r="B440" i="8"/>
  <c r="D452" i="8" s="1"/>
  <c r="C439" i="8"/>
  <c r="B439" i="8"/>
  <c r="D438" i="8"/>
  <c r="C438" i="8"/>
  <c r="B438" i="8"/>
  <c r="D437" i="8"/>
  <c r="C437" i="8"/>
  <c r="B437" i="8"/>
  <c r="B436" i="8"/>
  <c r="C435" i="8"/>
  <c r="B435" i="8"/>
  <c r="D447" i="8" s="1"/>
  <c r="C434" i="8"/>
  <c r="B434" i="8"/>
  <c r="B433" i="8"/>
  <c r="C433" i="8" s="1"/>
  <c r="D432" i="8"/>
  <c r="B432" i="8"/>
  <c r="C432" i="8" s="1"/>
  <c r="C431" i="8"/>
  <c r="B431" i="8"/>
  <c r="B430" i="8"/>
  <c r="D429" i="8"/>
  <c r="B429" i="8"/>
  <c r="C429" i="8" s="1"/>
  <c r="D428" i="8"/>
  <c r="B428" i="8"/>
  <c r="B427" i="8"/>
  <c r="D439" i="8" s="1"/>
  <c r="C426" i="8"/>
  <c r="B426" i="8"/>
  <c r="D425" i="8"/>
  <c r="C425" i="8"/>
  <c r="B425" i="8"/>
  <c r="D424" i="8"/>
  <c r="C424" i="8"/>
  <c r="B424" i="8"/>
  <c r="B423" i="8"/>
  <c r="D422" i="8"/>
  <c r="C422" i="8"/>
  <c r="B422" i="8"/>
  <c r="D434" i="8" s="1"/>
  <c r="C421" i="8"/>
  <c r="B421" i="8"/>
  <c r="C420" i="8"/>
  <c r="B420" i="8"/>
  <c r="C419" i="8"/>
  <c r="B419" i="8"/>
  <c r="D418" i="8"/>
  <c r="B418" i="8"/>
  <c r="C418" i="8" s="1"/>
  <c r="B417" i="8"/>
  <c r="C417" i="8" s="1"/>
  <c r="B416" i="8"/>
  <c r="C416" i="8" s="1"/>
  <c r="B415" i="8"/>
  <c r="B414" i="8"/>
  <c r="D413" i="8"/>
  <c r="C413" i="8"/>
  <c r="B413" i="8"/>
  <c r="D412" i="8"/>
  <c r="C412" i="8"/>
  <c r="B412" i="8"/>
  <c r="C411" i="8"/>
  <c r="B411" i="8"/>
  <c r="D423" i="8" s="1"/>
  <c r="B410" i="8"/>
  <c r="C409" i="8"/>
  <c r="B409" i="8"/>
  <c r="D421" i="8" s="1"/>
  <c r="C408" i="8"/>
  <c r="B408" i="8"/>
  <c r="B407" i="8"/>
  <c r="D406" i="8"/>
  <c r="C406" i="8"/>
  <c r="B406" i="8"/>
  <c r="D405" i="8"/>
  <c r="B405" i="8"/>
  <c r="C405" i="8" s="1"/>
  <c r="B404" i="8"/>
  <c r="B403" i="8"/>
  <c r="B402" i="8"/>
  <c r="C401" i="8"/>
  <c r="B401" i="8"/>
  <c r="D400" i="8"/>
  <c r="B400" i="8"/>
  <c r="B399" i="8"/>
  <c r="B398" i="8"/>
  <c r="B397" i="8"/>
  <c r="D409" i="8" s="1"/>
  <c r="D396" i="8"/>
  <c r="C396" i="8"/>
  <c r="B396" i="8"/>
  <c r="D408" i="8" s="1"/>
  <c r="B395" i="8"/>
  <c r="C394" i="8"/>
  <c r="B394" i="8"/>
  <c r="D393" i="8"/>
  <c r="B393" i="8"/>
  <c r="B392" i="8"/>
  <c r="C391" i="8"/>
  <c r="B391" i="8"/>
  <c r="D390" i="8"/>
  <c r="B390" i="8"/>
  <c r="C389" i="8"/>
  <c r="B389" i="8"/>
  <c r="D401" i="8" s="1"/>
  <c r="C388" i="8"/>
  <c r="B388" i="8"/>
  <c r="B387" i="8"/>
  <c r="C386" i="8"/>
  <c r="B386" i="8"/>
  <c r="D385" i="8"/>
  <c r="B385" i="8"/>
  <c r="D397" i="8" s="1"/>
  <c r="B384" i="8"/>
  <c r="B383" i="8"/>
  <c r="B382" i="8"/>
  <c r="D394" i="8" s="1"/>
  <c r="D381" i="8"/>
  <c r="C381" i="8"/>
  <c r="B381" i="8"/>
  <c r="D380" i="8"/>
  <c r="B380" i="8"/>
  <c r="B379" i="8"/>
  <c r="D378" i="8"/>
  <c r="B378" i="8"/>
  <c r="B377" i="8"/>
  <c r="C376" i="8"/>
  <c r="B376" i="8"/>
  <c r="B375" i="8"/>
  <c r="C374" i="8"/>
  <c r="B374" i="8"/>
  <c r="D386" i="8" s="1"/>
  <c r="C373" i="8"/>
  <c r="B373" i="8"/>
  <c r="C372" i="8"/>
  <c r="B372" i="8"/>
  <c r="C371" i="8"/>
  <c r="B371" i="8"/>
  <c r="B370" i="8"/>
  <c r="D382" i="8" s="1"/>
  <c r="D369" i="8"/>
  <c r="B369" i="8"/>
  <c r="C369" i="8" s="1"/>
  <c r="D368" i="8"/>
  <c r="B368" i="8"/>
  <c r="C368" i="8" s="1"/>
  <c r="C367" i="8"/>
  <c r="B367" i="8"/>
  <c r="C366" i="8"/>
  <c r="B366" i="8"/>
  <c r="B365" i="8"/>
  <c r="D364" i="8"/>
  <c r="B364" i="8"/>
  <c r="B363" i="8"/>
  <c r="D375" i="8" s="1"/>
  <c r="D362" i="8"/>
  <c r="B362" i="8"/>
  <c r="C361" i="8"/>
  <c r="B361" i="8"/>
  <c r="B360" i="8"/>
  <c r="C359" i="8"/>
  <c r="B359" i="8"/>
  <c r="D371" i="8" s="1"/>
  <c r="D358" i="8"/>
  <c r="B358" i="8"/>
  <c r="D357" i="8"/>
  <c r="C357" i="8"/>
  <c r="B357" i="8"/>
  <c r="C358" i="8" s="1"/>
  <c r="D356" i="8"/>
  <c r="B356" i="8"/>
  <c r="B355" i="8"/>
  <c r="B354" i="8"/>
  <c r="B353" i="8"/>
  <c r="C353" i="8" s="1"/>
  <c r="D352" i="8"/>
  <c r="C352" i="8"/>
  <c r="B352" i="8"/>
  <c r="B351" i="8"/>
  <c r="B350" i="8"/>
  <c r="B349" i="8"/>
  <c r="B348" i="8"/>
  <c r="B347" i="8"/>
  <c r="C346" i="8"/>
  <c r="B346" i="8"/>
  <c r="C345" i="8"/>
  <c r="B345" i="8"/>
  <c r="D344" i="8"/>
  <c r="C344" i="8"/>
  <c r="B344" i="8"/>
  <c r="B343" i="8"/>
  <c r="D342" i="8"/>
  <c r="C342" i="8"/>
  <c r="B342" i="8"/>
  <c r="C343" i="8" s="1"/>
  <c r="B341" i="8"/>
  <c r="C340" i="8"/>
  <c r="B340" i="8"/>
  <c r="C341" i="8" s="1"/>
  <c r="C339" i="8"/>
  <c r="B339" i="8"/>
  <c r="D351" i="8" s="1"/>
  <c r="B338" i="8"/>
  <c r="D337" i="8"/>
  <c r="C337" i="8"/>
  <c r="B337" i="8"/>
  <c r="B336" i="8"/>
  <c r="B335" i="8"/>
  <c r="B334" i="8"/>
  <c r="B333" i="8"/>
  <c r="C332" i="8"/>
  <c r="B332" i="8"/>
  <c r="B331" i="8"/>
  <c r="D343" i="8" s="1"/>
  <c r="C330" i="8"/>
  <c r="B330" i="8"/>
  <c r="D329" i="8"/>
  <c r="B329" i="8"/>
  <c r="C329" i="8" s="1"/>
  <c r="C328" i="8"/>
  <c r="B328" i="8"/>
  <c r="B327" i="8"/>
  <c r="B326" i="8"/>
  <c r="C325" i="8"/>
  <c r="B325" i="8"/>
  <c r="C326" i="8" s="1"/>
  <c r="D324" i="8"/>
  <c r="B324" i="8"/>
  <c r="C324" i="8" s="1"/>
  <c r="C323" i="8"/>
  <c r="B323" i="8"/>
  <c r="D322" i="8"/>
  <c r="C322" i="8"/>
  <c r="B322" i="8"/>
  <c r="B321" i="8"/>
  <c r="D320" i="8"/>
  <c r="B320" i="8"/>
  <c r="C320" i="8" s="1"/>
  <c r="B319" i="8"/>
  <c r="D331" i="8" s="1"/>
  <c r="C318" i="8"/>
  <c r="B318" i="8"/>
  <c r="D330" i="8" s="1"/>
  <c r="B317" i="8"/>
  <c r="B316" i="8"/>
  <c r="D328" i="8" s="1"/>
  <c r="B315" i="8"/>
  <c r="B314" i="8"/>
  <c r="D326" i="8" s="1"/>
  <c r="C313" i="8"/>
  <c r="B313" i="8"/>
  <c r="C312" i="8"/>
  <c r="B312" i="8"/>
  <c r="C311" i="8"/>
  <c r="B311" i="8"/>
  <c r="D323" i="8" s="1"/>
  <c r="D310" i="8"/>
  <c r="B310" i="8"/>
  <c r="B309" i="8"/>
  <c r="B308" i="8"/>
  <c r="C308" i="8" s="1"/>
  <c r="B307" i="8"/>
  <c r="B306" i="8"/>
  <c r="B305" i="8"/>
  <c r="B304" i="8"/>
  <c r="C303" i="8"/>
  <c r="B303" i="8"/>
  <c r="B302" i="8"/>
  <c r="D314" i="8" s="1"/>
  <c r="B301" i="8"/>
  <c r="C301" i="8" s="1"/>
  <c r="D300" i="8"/>
  <c r="C300" i="8"/>
  <c r="B300" i="8"/>
  <c r="D312" i="8" s="1"/>
  <c r="B299" i="8"/>
  <c r="D298" i="8"/>
  <c r="C298" i="8"/>
  <c r="B298" i="8"/>
  <c r="B297" i="8"/>
  <c r="B296" i="8"/>
  <c r="D308" i="8" s="1"/>
  <c r="B295" i="8"/>
  <c r="D307" i="8" s="1"/>
  <c r="D294" i="8"/>
  <c r="C294" i="8"/>
  <c r="B294" i="8"/>
  <c r="B293" i="8"/>
  <c r="B292" i="8"/>
  <c r="B291" i="8"/>
  <c r="B290" i="8"/>
  <c r="D289" i="8"/>
  <c r="C289" i="8"/>
  <c r="B289" i="8"/>
  <c r="B288" i="8"/>
  <c r="B287" i="8"/>
  <c r="D286" i="8"/>
  <c r="C286" i="8"/>
  <c r="B286" i="8"/>
  <c r="B285" i="8"/>
  <c r="D297" i="8" s="1"/>
  <c r="C284" i="8"/>
  <c r="B284" i="8"/>
  <c r="B283" i="8"/>
  <c r="D282" i="8"/>
  <c r="B282" i="8"/>
  <c r="B281" i="8"/>
  <c r="D280" i="8"/>
  <c r="C280" i="8"/>
  <c r="B280" i="8"/>
  <c r="B279" i="8"/>
  <c r="B278" i="8"/>
  <c r="B277" i="8"/>
  <c r="C276" i="8"/>
  <c r="B276" i="8"/>
  <c r="C275" i="8"/>
  <c r="B275" i="8"/>
  <c r="B274" i="8"/>
  <c r="D273" i="8"/>
  <c r="B273" i="8"/>
  <c r="B272" i="8"/>
  <c r="C271" i="8"/>
  <c r="B271" i="8"/>
  <c r="D283" i="8" s="1"/>
  <c r="B270" i="8"/>
  <c r="C270" i="8" s="1"/>
  <c r="C269" i="8"/>
  <c r="B269" i="8"/>
  <c r="D281" i="8" s="1"/>
  <c r="D268" i="8"/>
  <c r="B268" i="8"/>
  <c r="B267" i="8"/>
  <c r="D279" i="8" s="1"/>
  <c r="B266" i="8"/>
  <c r="B265" i="8"/>
  <c r="C264" i="8"/>
  <c r="B264" i="8"/>
  <c r="B263" i="8"/>
  <c r="C262" i="8"/>
  <c r="B262" i="8"/>
  <c r="D274" i="8" s="1"/>
  <c r="B261" i="8"/>
  <c r="D260" i="8"/>
  <c r="B260" i="8"/>
  <c r="B259" i="8"/>
  <c r="D258" i="8"/>
  <c r="C258" i="8"/>
  <c r="B258" i="8"/>
  <c r="D270" i="8" s="1"/>
  <c r="B257" i="8"/>
  <c r="C257" i="8" s="1"/>
  <c r="C256" i="8"/>
  <c r="B256" i="8"/>
  <c r="B255" i="8"/>
  <c r="C254" i="8"/>
  <c r="B254" i="8"/>
  <c r="B253" i="8"/>
  <c r="B252" i="8"/>
  <c r="B251" i="8"/>
  <c r="B250" i="8"/>
  <c r="C250" i="8" s="1"/>
  <c r="C249" i="8"/>
  <c r="B249" i="8"/>
  <c r="D261" i="8" s="1"/>
  <c r="B248" i="8"/>
  <c r="C247" i="8"/>
  <c r="B247" i="8"/>
  <c r="D259" i="8" s="1"/>
  <c r="D246" i="8"/>
  <c r="B246" i="8"/>
  <c r="C246" i="8" s="1"/>
  <c r="D245" i="8"/>
  <c r="C245" i="8"/>
  <c r="B245" i="8"/>
  <c r="D257" i="8" s="1"/>
  <c r="B244" i="8"/>
  <c r="C244" i="8" s="1"/>
  <c r="B243" i="8"/>
  <c r="C242" i="8"/>
  <c r="B242" i="8"/>
  <c r="C241" i="8"/>
  <c r="B241" i="8"/>
  <c r="C240" i="8"/>
  <c r="B240" i="8"/>
  <c r="B239" i="8"/>
  <c r="B238" i="8"/>
  <c r="B237" i="8"/>
  <c r="C237" i="8" s="1"/>
  <c r="C236" i="8"/>
  <c r="B236" i="8"/>
  <c r="D248" i="8" s="1"/>
  <c r="B235" i="8"/>
  <c r="C234" i="8"/>
  <c r="B234" i="8"/>
  <c r="D233" i="8"/>
  <c r="B233" i="8"/>
  <c r="C233" i="8" s="1"/>
  <c r="D232" i="8"/>
  <c r="C232" i="8"/>
  <c r="B232" i="8"/>
  <c r="D244" i="8" s="1"/>
  <c r="B231" i="8"/>
  <c r="B230" i="8"/>
  <c r="C229" i="8"/>
  <c r="B229" i="8"/>
  <c r="C228" i="8"/>
  <c r="B228" i="8"/>
  <c r="C227" i="8"/>
  <c r="B227" i="8"/>
  <c r="D239" i="8" s="1"/>
  <c r="B226" i="8"/>
  <c r="B225" i="8"/>
  <c r="B224" i="8"/>
  <c r="C224" i="8" s="1"/>
  <c r="C223" i="8"/>
  <c r="B223" i="8"/>
  <c r="D235" i="8" s="1"/>
  <c r="B222" i="8"/>
  <c r="C221" i="8"/>
  <c r="B221" i="8"/>
  <c r="D220" i="8"/>
  <c r="B220" i="8"/>
  <c r="C220" i="8" s="1"/>
  <c r="C219" i="8"/>
  <c r="B219" i="8"/>
  <c r="D231" i="8" s="1"/>
  <c r="B218" i="8"/>
  <c r="B217" i="8"/>
  <c r="D229" i="8" s="1"/>
  <c r="C216" i="8"/>
  <c r="B216" i="8"/>
  <c r="B215" i="8"/>
  <c r="C214" i="8"/>
  <c r="B214" i="8"/>
  <c r="D226" i="8" s="1"/>
  <c r="B213" i="8"/>
  <c r="B212" i="8"/>
  <c r="B211" i="8"/>
  <c r="D210" i="8"/>
  <c r="C210" i="8"/>
  <c r="B210" i="8"/>
  <c r="D222" i="8" s="1"/>
  <c r="B209" i="8"/>
  <c r="B208" i="8"/>
  <c r="C208" i="8" s="1"/>
  <c r="B207" i="8"/>
  <c r="B206" i="8"/>
  <c r="D206" i="8" s="1"/>
  <c r="D205" i="8"/>
  <c r="B205" i="8"/>
  <c r="B204" i="8"/>
  <c r="C203" i="8"/>
  <c r="B203" i="8"/>
  <c r="B202" i="8"/>
  <c r="C202" i="8" s="1"/>
  <c r="C201" i="8"/>
  <c r="B201" i="8"/>
  <c r="D213" i="8" s="1"/>
  <c r="B200" i="8"/>
  <c r="B199" i="8"/>
  <c r="D198" i="8"/>
  <c r="B198" i="8"/>
  <c r="C198" i="8" s="1"/>
  <c r="D197" i="8"/>
  <c r="C197" i="8"/>
  <c r="B197" i="8"/>
  <c r="D209" i="8" s="1"/>
  <c r="B196" i="8"/>
  <c r="C196" i="8" s="1"/>
  <c r="B195" i="8"/>
  <c r="D194" i="8"/>
  <c r="B194" i="8"/>
  <c r="B193" i="8"/>
  <c r="D193" i="8" s="1"/>
  <c r="D192" i="8"/>
  <c r="C192" i="8"/>
  <c r="B192" i="8"/>
  <c r="B191" i="8"/>
  <c r="D190" i="8"/>
  <c r="B190" i="8"/>
  <c r="B189" i="8"/>
  <c r="D188" i="8"/>
  <c r="C188" i="8"/>
  <c r="B188" i="8"/>
  <c r="D200" i="8" s="1"/>
  <c r="B187" i="8"/>
  <c r="C186" i="8"/>
  <c r="B186" i="8"/>
  <c r="D185" i="8"/>
  <c r="B185" i="8"/>
  <c r="C185" i="8" s="1"/>
  <c r="C184" i="8"/>
  <c r="B184" i="8"/>
  <c r="D196" i="8" s="1"/>
  <c r="C183" i="8"/>
  <c r="B183" i="8"/>
  <c r="B182" i="8"/>
  <c r="C181" i="8"/>
  <c r="B181" i="8"/>
  <c r="C180" i="8"/>
  <c r="B180" i="8"/>
  <c r="D180" i="8" s="1"/>
  <c r="C179" i="8"/>
  <c r="B179" i="8"/>
  <c r="D191" i="8" s="1"/>
  <c r="B178" i="8"/>
  <c r="C177" i="8"/>
  <c r="B177" i="8"/>
  <c r="B176" i="8"/>
  <c r="B175" i="8"/>
  <c r="D187" i="8" s="1"/>
  <c r="D174" i="8"/>
  <c r="B174" i="8"/>
  <c r="C174" i="8" s="1"/>
  <c r="C173" i="8"/>
  <c r="B173" i="8"/>
  <c r="B172" i="8"/>
  <c r="B171" i="8"/>
  <c r="D170" i="8"/>
  <c r="B170" i="8"/>
  <c r="B169" i="8"/>
  <c r="C170" i="8" s="1"/>
  <c r="D168" i="8"/>
  <c r="C168" i="8"/>
  <c r="B168" i="8"/>
  <c r="B167" i="8"/>
  <c r="C166" i="8"/>
  <c r="B166" i="8"/>
  <c r="D178" i="8" s="1"/>
  <c r="B165" i="8"/>
  <c r="D164" i="8"/>
  <c r="C164" i="8"/>
  <c r="B164" i="8"/>
  <c r="B163" i="8"/>
  <c r="D162" i="8"/>
  <c r="C162" i="8"/>
  <c r="B162" i="8"/>
  <c r="D161" i="8"/>
  <c r="B161" i="8"/>
  <c r="C160" i="8"/>
  <c r="B160" i="8"/>
  <c r="D172" i="8" s="1"/>
  <c r="C159" i="8"/>
  <c r="B159" i="8"/>
  <c r="C158" i="8"/>
  <c r="B158" i="8"/>
  <c r="D158" i="8" s="1"/>
  <c r="C157" i="8"/>
  <c r="B157" i="8"/>
  <c r="B156" i="8"/>
  <c r="C155" i="8"/>
  <c r="B155" i="8"/>
  <c r="B154" i="8"/>
  <c r="C153" i="8"/>
  <c r="B153" i="8"/>
  <c r="D165" i="8" s="1"/>
  <c r="B152" i="8"/>
  <c r="B151" i="8"/>
  <c r="D150" i="8"/>
  <c r="B150" i="8"/>
  <c r="C150" i="8" s="1"/>
  <c r="D149" i="8"/>
  <c r="C149" i="8"/>
  <c r="B149" i="8"/>
  <c r="B148" i="8"/>
  <c r="B147" i="8"/>
  <c r="D146" i="8"/>
  <c r="B146" i="8"/>
  <c r="B145" i="8"/>
  <c r="D145" i="8" s="1"/>
  <c r="D144" i="8"/>
  <c r="C144" i="8"/>
  <c r="B144" i="8"/>
  <c r="B143" i="8"/>
  <c r="B142" i="8"/>
  <c r="B141" i="8"/>
  <c r="B140" i="8"/>
  <c r="D152" i="8" s="1"/>
  <c r="B139" i="8"/>
  <c r="B138" i="8"/>
  <c r="C138" i="8" s="1"/>
  <c r="D137" i="8"/>
  <c r="B137" i="8"/>
  <c r="B136" i="8"/>
  <c r="C135" i="8"/>
  <c r="B135" i="8"/>
  <c r="B134" i="8"/>
  <c r="C134" i="8" s="1"/>
  <c r="D133" i="8"/>
  <c r="C133" i="8"/>
  <c r="B133" i="8"/>
  <c r="D132" i="8"/>
  <c r="C132" i="8"/>
  <c r="B132" i="8"/>
  <c r="C131" i="8"/>
  <c r="B131" i="8"/>
  <c r="D143" i="8" s="1"/>
  <c r="B130" i="8"/>
  <c r="B129" i="8"/>
  <c r="B128" i="8"/>
  <c r="C128" i="8" s="1"/>
  <c r="B127" i="8"/>
  <c r="D139" i="8" s="1"/>
  <c r="D126" i="8"/>
  <c r="B126" i="8"/>
  <c r="B125" i="8"/>
  <c r="D124" i="8"/>
  <c r="B124" i="8"/>
  <c r="B123" i="8"/>
  <c r="D135" i="8" s="1"/>
  <c r="D122" i="8"/>
  <c r="B122" i="8"/>
  <c r="C122" i="8" s="1"/>
  <c r="C121" i="8"/>
  <c r="B121" i="8"/>
  <c r="B120" i="8"/>
  <c r="C119" i="8"/>
  <c r="B119" i="8"/>
  <c r="D131" i="8" s="1"/>
  <c r="D118" i="8"/>
  <c r="B118" i="8"/>
  <c r="D130" i="8" s="1"/>
  <c r="B117" i="8"/>
  <c r="C117" i="8" s="1"/>
  <c r="B116" i="8"/>
  <c r="B115" i="8"/>
  <c r="D114" i="8"/>
  <c r="B114" i="8"/>
  <c r="C114" i="8" s="1"/>
  <c r="B113" i="8"/>
  <c r="D125" i="8" s="1"/>
  <c r="B112" i="8"/>
  <c r="C112" i="8" s="1"/>
  <c r="D111" i="8"/>
  <c r="B111" i="8"/>
  <c r="C111" i="8" s="1"/>
  <c r="D110" i="8"/>
  <c r="B110" i="8"/>
  <c r="B109" i="8"/>
  <c r="D108" i="8"/>
  <c r="B108" i="8"/>
  <c r="B107" i="8"/>
  <c r="C107" i="8" s="1"/>
  <c r="D106" i="8"/>
  <c r="B106" i="8"/>
  <c r="C106" i="8" s="1"/>
  <c r="C105" i="8"/>
  <c r="B105" i="8"/>
  <c r="B104" i="8"/>
  <c r="C103" i="8"/>
  <c r="B103" i="8"/>
  <c r="D115" i="8" s="1"/>
  <c r="D102" i="8"/>
  <c r="B102" i="8"/>
  <c r="B101" i="8"/>
  <c r="D113" i="8" s="1"/>
  <c r="B100" i="8"/>
  <c r="C100" i="8" s="1"/>
  <c r="B99" i="8"/>
  <c r="C99" i="8" s="1"/>
  <c r="D98" i="8"/>
  <c r="B98" i="8"/>
  <c r="C98" i="8" s="1"/>
  <c r="B97" i="8"/>
  <c r="D109" i="8" s="1"/>
  <c r="B96" i="8"/>
  <c r="C96" i="8" s="1"/>
  <c r="D95" i="8"/>
  <c r="B95" i="8"/>
  <c r="C95" i="8" s="1"/>
  <c r="D94" i="8"/>
  <c r="B94" i="8"/>
  <c r="B93" i="8"/>
  <c r="D92" i="8"/>
  <c r="B92" i="8"/>
  <c r="B91" i="8"/>
  <c r="C91" i="8" s="1"/>
  <c r="D90" i="8"/>
  <c r="B90" i="8"/>
  <c r="C89" i="8"/>
  <c r="B89" i="8"/>
  <c r="B88" i="8"/>
  <c r="C87" i="8"/>
  <c r="B87" i="8"/>
  <c r="D99" i="8" s="1"/>
  <c r="B86" i="8"/>
  <c r="B85" i="8"/>
  <c r="D97" i="8" s="1"/>
  <c r="B84" i="8"/>
  <c r="C84" i="8" s="1"/>
  <c r="B83" i="8"/>
  <c r="C83" i="8" s="1"/>
  <c r="D82" i="8"/>
  <c r="B82" i="8"/>
  <c r="C82" i="8" s="1"/>
  <c r="B81" i="8"/>
  <c r="D93" i="8" s="1"/>
  <c r="B80" i="8"/>
  <c r="C80" i="8" s="1"/>
  <c r="D79" i="8"/>
  <c r="B79" i="8"/>
  <c r="C79" i="8" s="1"/>
  <c r="B78" i="8"/>
  <c r="B77" i="8"/>
  <c r="D76" i="8"/>
  <c r="B76" i="8"/>
  <c r="B75" i="8"/>
  <c r="C75" i="8" s="1"/>
  <c r="D74" i="8"/>
  <c r="B74" i="8"/>
  <c r="D86" i="8" s="1"/>
  <c r="C73" i="8"/>
  <c r="B73" i="8"/>
  <c r="B72" i="8"/>
  <c r="C71" i="8"/>
  <c r="B71" i="8"/>
  <c r="D83" i="8" s="1"/>
  <c r="B70" i="8"/>
  <c r="B69" i="8"/>
  <c r="D81" i="8" s="1"/>
  <c r="B68" i="8"/>
  <c r="C68" i="8" s="1"/>
  <c r="B67" i="8"/>
  <c r="B66" i="8"/>
  <c r="B65" i="8"/>
  <c r="D77" i="8" s="1"/>
  <c r="B64" i="8"/>
  <c r="C64" i="8" s="1"/>
  <c r="D63" i="8"/>
  <c r="B63" i="8"/>
  <c r="C63" i="8" s="1"/>
  <c r="B62" i="8"/>
  <c r="B61" i="8"/>
  <c r="D60" i="8"/>
  <c r="B60" i="8"/>
  <c r="B59" i="8"/>
  <c r="C59" i="8" s="1"/>
  <c r="D58" i="8"/>
  <c r="B58" i="8"/>
  <c r="D70" i="8" s="1"/>
  <c r="C57" i="8"/>
  <c r="B57" i="8"/>
  <c r="B56" i="8"/>
  <c r="C55" i="8"/>
  <c r="B55" i="8"/>
  <c r="D67" i="8" s="1"/>
  <c r="B54" i="8"/>
  <c r="B53" i="8"/>
  <c r="D65" i="8" s="1"/>
  <c r="B52" i="8"/>
  <c r="C52" i="8" s="1"/>
  <c r="B51" i="8"/>
  <c r="B50" i="8"/>
  <c r="B49" i="8"/>
  <c r="D61" i="8" s="1"/>
  <c r="B48" i="8"/>
  <c r="C48" i="8" s="1"/>
  <c r="D47" i="8"/>
  <c r="B47" i="8"/>
  <c r="C47" i="8" s="1"/>
  <c r="B46" i="8"/>
  <c r="B45" i="8"/>
  <c r="D44" i="8"/>
  <c r="B44" i="8"/>
  <c r="B43" i="8"/>
  <c r="C43" i="8" s="1"/>
  <c r="D42" i="8"/>
  <c r="B42" i="8"/>
  <c r="D54" i="8" s="1"/>
  <c r="C41" i="8"/>
  <c r="B41" i="8"/>
  <c r="B40" i="8"/>
  <c r="C39" i="8"/>
  <c r="B39" i="8"/>
  <c r="D51" i="8" s="1"/>
  <c r="B38" i="8"/>
  <c r="B37" i="8"/>
  <c r="D49" i="8" s="1"/>
  <c r="B36" i="8"/>
  <c r="C36" i="8" s="1"/>
  <c r="B35" i="8"/>
  <c r="B34" i="8"/>
  <c r="B33" i="8"/>
  <c r="D45" i="8" s="1"/>
  <c r="B32" i="8"/>
  <c r="C32" i="8" s="1"/>
  <c r="D31" i="8"/>
  <c r="B31" i="8"/>
  <c r="C31" i="8" s="1"/>
  <c r="D30" i="8"/>
  <c r="B30" i="8"/>
  <c r="B29" i="8"/>
  <c r="D28" i="8"/>
  <c r="B28" i="8"/>
  <c r="B27" i="8"/>
  <c r="C27" i="8" s="1"/>
  <c r="D26" i="8"/>
  <c r="B26" i="8"/>
  <c r="D38" i="8" s="1"/>
  <c r="C25" i="8"/>
  <c r="B25" i="8"/>
  <c r="B24" i="8"/>
  <c r="C23" i="8"/>
  <c r="B23" i="8"/>
  <c r="D35" i="8" s="1"/>
  <c r="D22" i="8"/>
  <c r="B22" i="8"/>
  <c r="B21" i="8"/>
  <c r="D33" i="8" s="1"/>
  <c r="B20" i="8"/>
  <c r="C20" i="8" s="1"/>
  <c r="C19" i="8"/>
  <c r="B19" i="8"/>
  <c r="B18" i="8"/>
  <c r="B17" i="8"/>
  <c r="B16" i="8"/>
  <c r="C16" i="8" s="1"/>
  <c r="B15" i="8"/>
  <c r="B14" i="8"/>
  <c r="C14" i="8" s="1"/>
  <c r="C13" i="8"/>
  <c r="B13" i="8"/>
  <c r="C12" i="8"/>
  <c r="B12" i="8"/>
  <c r="D24" i="8" s="1"/>
  <c r="B11" i="8"/>
  <c r="B10" i="8"/>
  <c r="B9" i="8"/>
  <c r="B8" i="8"/>
  <c r="C8" i="8" s="1"/>
  <c r="B7" i="8"/>
  <c r="U2" i="8"/>
  <c r="Y1" i="8"/>
  <c r="U1" i="8"/>
  <c r="C619" i="7"/>
  <c r="B619" i="7"/>
  <c r="B618" i="7"/>
  <c r="B617" i="7"/>
  <c r="C617" i="7" s="1"/>
  <c r="D616" i="7"/>
  <c r="C616" i="7"/>
  <c r="B616" i="7"/>
  <c r="C615" i="7"/>
  <c r="B615" i="7"/>
  <c r="C614" i="7"/>
  <c r="B614" i="7"/>
  <c r="D614" i="7" s="1"/>
  <c r="B613" i="7"/>
  <c r="C613" i="7" s="1"/>
  <c r="C612" i="7"/>
  <c r="B612" i="7"/>
  <c r="B611" i="7"/>
  <c r="D610" i="7"/>
  <c r="C610" i="7"/>
  <c r="B610" i="7"/>
  <c r="C611" i="7" s="1"/>
  <c r="C609" i="7"/>
  <c r="B609" i="7"/>
  <c r="C608" i="7"/>
  <c r="B608" i="7"/>
  <c r="C607" i="7"/>
  <c r="B607" i="7"/>
  <c r="D619" i="7" s="1"/>
  <c r="B606" i="7"/>
  <c r="C606" i="7" s="1"/>
  <c r="C605" i="7"/>
  <c r="B605" i="7"/>
  <c r="D604" i="7"/>
  <c r="C604" i="7"/>
  <c r="B604" i="7"/>
  <c r="B603" i="7"/>
  <c r="D615" i="7" s="1"/>
  <c r="D602" i="7"/>
  <c r="B602" i="7"/>
  <c r="C603" i="7" s="1"/>
  <c r="B601" i="7"/>
  <c r="C600" i="7"/>
  <c r="B600" i="7"/>
  <c r="D612" i="7" s="1"/>
  <c r="B599" i="7"/>
  <c r="D611" i="7" s="1"/>
  <c r="C598" i="7"/>
  <c r="B598" i="7"/>
  <c r="C599" i="7" s="1"/>
  <c r="B597" i="7"/>
  <c r="D609" i="7" s="1"/>
  <c r="D596" i="7"/>
  <c r="B596" i="7"/>
  <c r="C596" i="7" s="1"/>
  <c r="B595" i="7"/>
  <c r="D607" i="7" s="1"/>
  <c r="B594" i="7"/>
  <c r="B593" i="7"/>
  <c r="D592" i="7"/>
  <c r="C592" i="7"/>
  <c r="B592" i="7"/>
  <c r="C593" i="7" s="1"/>
  <c r="C591" i="7"/>
  <c r="B591" i="7"/>
  <c r="D603" i="7" s="1"/>
  <c r="B590" i="7"/>
  <c r="D589" i="7"/>
  <c r="B589" i="7"/>
  <c r="D601" i="7" s="1"/>
  <c r="B588" i="7"/>
  <c r="C587" i="7"/>
  <c r="B587" i="7"/>
  <c r="D599" i="7" s="1"/>
  <c r="B586" i="7"/>
  <c r="C586" i="7" s="1"/>
  <c r="C585" i="7"/>
  <c r="B585" i="7"/>
  <c r="D597" i="7" s="1"/>
  <c r="B584" i="7"/>
  <c r="C584" i="7" s="1"/>
  <c r="C583" i="7"/>
  <c r="B583" i="7"/>
  <c r="D595" i="7" s="1"/>
  <c r="D582" i="7"/>
  <c r="B582" i="7"/>
  <c r="B581" i="7"/>
  <c r="B580" i="7"/>
  <c r="B579" i="7"/>
  <c r="C578" i="7"/>
  <c r="B578" i="7"/>
  <c r="D590" i="7" s="1"/>
  <c r="B577" i="7"/>
  <c r="D576" i="7"/>
  <c r="B576" i="7"/>
  <c r="B575" i="7"/>
  <c r="D587" i="7" s="1"/>
  <c r="D574" i="7"/>
  <c r="B574" i="7"/>
  <c r="C574" i="7" s="1"/>
  <c r="B573" i="7"/>
  <c r="C573" i="7" s="1"/>
  <c r="C572" i="7"/>
  <c r="B572" i="7"/>
  <c r="D584" i="7" s="1"/>
  <c r="B571" i="7"/>
  <c r="D583" i="7" s="1"/>
  <c r="D570" i="7"/>
  <c r="C570" i="7"/>
  <c r="B570" i="7"/>
  <c r="C571" i="7" s="1"/>
  <c r="D569" i="7"/>
  <c r="B569" i="7"/>
  <c r="B568" i="7"/>
  <c r="B567" i="7"/>
  <c r="B566" i="7"/>
  <c r="C565" i="7"/>
  <c r="B565" i="7"/>
  <c r="D577" i="7" s="1"/>
  <c r="B564" i="7"/>
  <c r="C563" i="7"/>
  <c r="B563" i="7"/>
  <c r="B562" i="7"/>
  <c r="C562" i="7" s="1"/>
  <c r="D561" i="7"/>
  <c r="B561" i="7"/>
  <c r="C561" i="7" s="1"/>
  <c r="B560" i="7"/>
  <c r="C560" i="7" s="1"/>
  <c r="B559" i="7"/>
  <c r="B558" i="7"/>
  <c r="D557" i="7"/>
  <c r="C557" i="7"/>
  <c r="B557" i="7"/>
  <c r="C558" i="7" s="1"/>
  <c r="D556" i="7"/>
  <c r="C556" i="7"/>
  <c r="B556" i="7"/>
  <c r="B555" i="7"/>
  <c r="D554" i="7"/>
  <c r="B554" i="7"/>
  <c r="D566" i="7" s="1"/>
  <c r="B553" i="7"/>
  <c r="C552" i="7"/>
  <c r="B552" i="7"/>
  <c r="D564" i="7" s="1"/>
  <c r="B551" i="7"/>
  <c r="C550" i="7"/>
  <c r="B550" i="7"/>
  <c r="D562" i="7" s="1"/>
  <c r="B549" i="7"/>
  <c r="C549" i="7" s="1"/>
  <c r="D548" i="7"/>
  <c r="B548" i="7"/>
  <c r="C548" i="7" s="1"/>
  <c r="B547" i="7"/>
  <c r="B546" i="7"/>
  <c r="B545" i="7"/>
  <c r="D544" i="7"/>
  <c r="C544" i="7"/>
  <c r="B544" i="7"/>
  <c r="C545" i="7" s="1"/>
  <c r="C543" i="7"/>
  <c r="B543" i="7"/>
  <c r="D555" i="7" s="1"/>
  <c r="B542" i="7"/>
  <c r="D541" i="7"/>
  <c r="B541" i="7"/>
  <c r="B540" i="7"/>
  <c r="B539" i="7"/>
  <c r="D551" i="7" s="1"/>
  <c r="B538" i="7"/>
  <c r="C538" i="7" s="1"/>
  <c r="C537" i="7"/>
  <c r="B537" i="7"/>
  <c r="D549" i="7" s="1"/>
  <c r="B536" i="7"/>
  <c r="C536" i="7" s="1"/>
  <c r="C535" i="7"/>
  <c r="B535" i="7"/>
  <c r="D547" i="7" s="1"/>
  <c r="D534" i="7"/>
  <c r="B534" i="7"/>
  <c r="B533" i="7"/>
  <c r="B532" i="7"/>
  <c r="C531" i="7"/>
  <c r="B531" i="7"/>
  <c r="C530" i="7"/>
  <c r="B530" i="7"/>
  <c r="D542" i="7" s="1"/>
  <c r="B529" i="7"/>
  <c r="D528" i="7"/>
  <c r="B528" i="7"/>
  <c r="B527" i="7"/>
  <c r="D526" i="7"/>
  <c r="B526" i="7"/>
  <c r="C526" i="7" s="1"/>
  <c r="B525" i="7"/>
  <c r="C525" i="7" s="1"/>
  <c r="C524" i="7"/>
  <c r="B524" i="7"/>
  <c r="D536" i="7" s="1"/>
  <c r="B523" i="7"/>
  <c r="D522" i="7"/>
  <c r="C522" i="7"/>
  <c r="B522" i="7"/>
  <c r="C523" i="7" s="1"/>
  <c r="D521" i="7"/>
  <c r="B521" i="7"/>
  <c r="B520" i="7"/>
  <c r="B519" i="7"/>
  <c r="B518" i="7"/>
  <c r="C517" i="7"/>
  <c r="B517" i="7"/>
  <c r="D529" i="7" s="1"/>
  <c r="B516" i="7"/>
  <c r="B515" i="7"/>
  <c r="B514" i="7"/>
  <c r="C514" i="7" s="1"/>
  <c r="B513" i="7"/>
  <c r="C513" i="7" s="1"/>
  <c r="B512" i="7"/>
  <c r="B511" i="7"/>
  <c r="B510" i="7"/>
  <c r="D509" i="7"/>
  <c r="C509" i="7"/>
  <c r="B509" i="7"/>
  <c r="C510" i="7" s="1"/>
  <c r="D508" i="7"/>
  <c r="C508" i="7"/>
  <c r="B508" i="7"/>
  <c r="B507" i="7"/>
  <c r="D506" i="7"/>
  <c r="B506" i="7"/>
  <c r="B505" i="7"/>
  <c r="C504" i="7"/>
  <c r="B504" i="7"/>
  <c r="D516" i="7" s="1"/>
  <c r="B503" i="7"/>
  <c r="C502" i="7"/>
  <c r="B502" i="7"/>
  <c r="D514" i="7" s="1"/>
  <c r="B501" i="7"/>
  <c r="C501" i="7" s="1"/>
  <c r="B500" i="7"/>
  <c r="C500" i="7" s="1"/>
  <c r="B499" i="7"/>
  <c r="B498" i="7"/>
  <c r="B497" i="7"/>
  <c r="D496" i="7"/>
  <c r="C496" i="7"/>
  <c r="B496" i="7"/>
  <c r="C497" i="7" s="1"/>
  <c r="C495" i="7"/>
  <c r="B495" i="7"/>
  <c r="D507" i="7" s="1"/>
  <c r="B494" i="7"/>
  <c r="D493" i="7"/>
  <c r="B493" i="7"/>
  <c r="C492" i="7"/>
  <c r="B492" i="7"/>
  <c r="B491" i="7"/>
  <c r="D503" i="7" s="1"/>
  <c r="B490" i="7"/>
  <c r="C490" i="7" s="1"/>
  <c r="B489" i="7"/>
  <c r="D501" i="7" s="1"/>
  <c r="B488" i="7"/>
  <c r="C487" i="7"/>
  <c r="B487" i="7"/>
  <c r="D499" i="7" s="1"/>
  <c r="D486" i="7"/>
  <c r="B486" i="7"/>
  <c r="B485" i="7"/>
  <c r="B484" i="7"/>
  <c r="B483" i="7"/>
  <c r="C482" i="7"/>
  <c r="B482" i="7"/>
  <c r="D494" i="7" s="1"/>
  <c r="B481" i="7"/>
  <c r="D480" i="7"/>
  <c r="B480" i="7"/>
  <c r="D492" i="7" s="1"/>
  <c r="B479" i="7"/>
  <c r="D478" i="7"/>
  <c r="B478" i="7"/>
  <c r="C478" i="7" s="1"/>
  <c r="B477" i="7"/>
  <c r="C477" i="7" s="1"/>
  <c r="C476" i="7"/>
  <c r="B476" i="7"/>
  <c r="B475" i="7"/>
  <c r="D474" i="7"/>
  <c r="C474" i="7"/>
  <c r="B474" i="7"/>
  <c r="C475" i="7" s="1"/>
  <c r="D473" i="7"/>
  <c r="B473" i="7"/>
  <c r="B472" i="7"/>
  <c r="B471" i="7"/>
  <c r="C470" i="7"/>
  <c r="B470" i="7"/>
  <c r="C469" i="7"/>
  <c r="B469" i="7"/>
  <c r="D481" i="7" s="1"/>
  <c r="B468" i="7"/>
  <c r="B467" i="7"/>
  <c r="B466" i="7"/>
  <c r="C466" i="7" s="1"/>
  <c r="D465" i="7"/>
  <c r="B465" i="7"/>
  <c r="C465" i="7" s="1"/>
  <c r="B464" i="7"/>
  <c r="C464" i="7" s="1"/>
  <c r="B463" i="7"/>
  <c r="B462" i="7"/>
  <c r="D461" i="7"/>
  <c r="C461" i="7"/>
  <c r="B461" i="7"/>
  <c r="C462" i="7" s="1"/>
  <c r="D460" i="7"/>
  <c r="C460" i="7"/>
  <c r="B460" i="7"/>
  <c r="B459" i="7"/>
  <c r="D458" i="7"/>
  <c r="B458" i="7"/>
  <c r="C457" i="7"/>
  <c r="B457" i="7"/>
  <c r="C456" i="7"/>
  <c r="B456" i="7"/>
  <c r="D468" i="7" s="1"/>
  <c r="B455" i="7"/>
  <c r="C454" i="7"/>
  <c r="B454" i="7"/>
  <c r="B453" i="7"/>
  <c r="D452" i="7"/>
  <c r="B452" i="7"/>
  <c r="B451" i="7"/>
  <c r="B450" i="7"/>
  <c r="B449" i="7"/>
  <c r="D448" i="7"/>
  <c r="C448" i="7"/>
  <c r="B448" i="7"/>
  <c r="C449" i="7" s="1"/>
  <c r="C447" i="7"/>
  <c r="B447" i="7"/>
  <c r="D459" i="7" s="1"/>
  <c r="B446" i="7"/>
  <c r="D445" i="7"/>
  <c r="B445" i="7"/>
  <c r="B444" i="7"/>
  <c r="B443" i="7"/>
  <c r="B442" i="7"/>
  <c r="C442" i="7" s="1"/>
  <c r="C441" i="7"/>
  <c r="B441" i="7"/>
  <c r="D453" i="7" s="1"/>
  <c r="B440" i="7"/>
  <c r="C440" i="7" s="1"/>
  <c r="C439" i="7"/>
  <c r="B439" i="7"/>
  <c r="D451" i="7" s="1"/>
  <c r="D438" i="7"/>
  <c r="B438" i="7"/>
  <c r="B437" i="7"/>
  <c r="B436" i="7"/>
  <c r="C435" i="7"/>
  <c r="B435" i="7"/>
  <c r="C434" i="7"/>
  <c r="B434" i="7"/>
  <c r="D446" i="7" s="1"/>
  <c r="B433" i="7"/>
  <c r="D432" i="7"/>
  <c r="B432" i="7"/>
  <c r="B431" i="7"/>
  <c r="B430" i="7"/>
  <c r="B429" i="7"/>
  <c r="C429" i="7" s="1"/>
  <c r="C428" i="7"/>
  <c r="B428" i="7"/>
  <c r="D440" i="7" s="1"/>
  <c r="B427" i="7"/>
  <c r="D426" i="7"/>
  <c r="C426" i="7"/>
  <c r="B426" i="7"/>
  <c r="C427" i="7" s="1"/>
  <c r="D425" i="7"/>
  <c r="B425" i="7"/>
  <c r="B424" i="7"/>
  <c r="B423" i="7"/>
  <c r="B422" i="7"/>
  <c r="C421" i="7"/>
  <c r="B421" i="7"/>
  <c r="D433" i="7" s="1"/>
  <c r="B420" i="7"/>
  <c r="C419" i="7"/>
  <c r="B419" i="7"/>
  <c r="B418" i="7"/>
  <c r="C418" i="7" s="1"/>
  <c r="B417" i="7"/>
  <c r="B416" i="7"/>
  <c r="B415" i="7"/>
  <c r="B414" i="7"/>
  <c r="D413" i="7"/>
  <c r="C413" i="7"/>
  <c r="B413" i="7"/>
  <c r="C414" i="7" s="1"/>
  <c r="D412" i="7"/>
  <c r="C412" i="7"/>
  <c r="B412" i="7"/>
  <c r="B411" i="7"/>
  <c r="D410" i="7"/>
  <c r="B410" i="7"/>
  <c r="B409" i="7"/>
  <c r="C408" i="7"/>
  <c r="B408" i="7"/>
  <c r="D420" i="7" s="1"/>
  <c r="B407" i="7"/>
  <c r="C406" i="7"/>
  <c r="B406" i="7"/>
  <c r="B405" i="7"/>
  <c r="C405" i="7" s="1"/>
  <c r="D404" i="7"/>
  <c r="B404" i="7"/>
  <c r="B403" i="7"/>
  <c r="B402" i="7"/>
  <c r="B401" i="7"/>
  <c r="D400" i="7"/>
  <c r="C400" i="7"/>
  <c r="B400" i="7"/>
  <c r="C401" i="7" s="1"/>
  <c r="C399" i="7"/>
  <c r="B399" i="7"/>
  <c r="D411" i="7" s="1"/>
  <c r="B398" i="7"/>
  <c r="D397" i="7"/>
  <c r="B397" i="7"/>
  <c r="D409" i="7" s="1"/>
  <c r="B396" i="7"/>
  <c r="B395" i="7"/>
  <c r="B394" i="7"/>
  <c r="C394" i="7" s="1"/>
  <c r="B393" i="7"/>
  <c r="B392" i="7"/>
  <c r="C392" i="7" s="1"/>
  <c r="C391" i="7"/>
  <c r="B391" i="7"/>
  <c r="D403" i="7" s="1"/>
  <c r="D390" i="7"/>
  <c r="B390" i="7"/>
  <c r="B389" i="7"/>
  <c r="B388" i="7"/>
  <c r="B387" i="7"/>
  <c r="C386" i="7"/>
  <c r="B386" i="7"/>
  <c r="D398" i="7" s="1"/>
  <c r="B385" i="7"/>
  <c r="D384" i="7"/>
  <c r="B384" i="7"/>
  <c r="D396" i="7" s="1"/>
  <c r="B383" i="7"/>
  <c r="B382" i="7"/>
  <c r="B381" i="7"/>
  <c r="C381" i="7" s="1"/>
  <c r="C380" i="7"/>
  <c r="B380" i="7"/>
  <c r="B379" i="7"/>
  <c r="D378" i="7"/>
  <c r="C378" i="7"/>
  <c r="B378" i="7"/>
  <c r="C379" i="7" s="1"/>
  <c r="B377" i="7"/>
  <c r="B376" i="7"/>
  <c r="B375" i="7"/>
  <c r="C374" i="7"/>
  <c r="B374" i="7"/>
  <c r="D386" i="7" s="1"/>
  <c r="D373" i="7"/>
  <c r="C373" i="7"/>
  <c r="B373" i="7"/>
  <c r="D385" i="7" s="1"/>
  <c r="B372" i="7"/>
  <c r="B371" i="7"/>
  <c r="B370" i="7"/>
  <c r="D369" i="7"/>
  <c r="B369" i="7"/>
  <c r="D381" i="7" s="1"/>
  <c r="D368" i="7"/>
  <c r="B368" i="7"/>
  <c r="C368" i="7" s="1"/>
  <c r="B367" i="7"/>
  <c r="D366" i="7"/>
  <c r="B366" i="7"/>
  <c r="B365" i="7"/>
  <c r="C366" i="7" s="1"/>
  <c r="D364" i="7"/>
  <c r="C364" i="7"/>
  <c r="B364" i="7"/>
  <c r="B363" i="7"/>
  <c r="D362" i="7"/>
  <c r="C362" i="7"/>
  <c r="B362" i="7"/>
  <c r="D374" i="7" s="1"/>
  <c r="B361" i="7"/>
  <c r="B360" i="7"/>
  <c r="D372" i="7" s="1"/>
  <c r="B359" i="7"/>
  <c r="C358" i="7"/>
  <c r="B358" i="7"/>
  <c r="B357" i="7"/>
  <c r="C357" i="7" s="1"/>
  <c r="D356" i="7"/>
  <c r="B356" i="7"/>
  <c r="C356" i="7" s="1"/>
  <c r="C355" i="7"/>
  <c r="B355" i="7"/>
  <c r="B354" i="7"/>
  <c r="B353" i="7"/>
  <c r="D352" i="7"/>
  <c r="C352" i="7"/>
  <c r="B352" i="7"/>
  <c r="C353" i="7" s="1"/>
  <c r="C351" i="7"/>
  <c r="B351" i="7"/>
  <c r="D363" i="7" s="1"/>
  <c r="B350" i="7"/>
  <c r="D349" i="7"/>
  <c r="C349" i="7"/>
  <c r="B349" i="7"/>
  <c r="D361" i="7" s="1"/>
  <c r="B348" i="7"/>
  <c r="C347" i="7"/>
  <c r="B347" i="7"/>
  <c r="D359" i="7" s="1"/>
  <c r="D346" i="7"/>
  <c r="B346" i="7"/>
  <c r="C345" i="7"/>
  <c r="B345" i="7"/>
  <c r="B344" i="7"/>
  <c r="C343" i="7"/>
  <c r="B343" i="7"/>
  <c r="D355" i="7" s="1"/>
  <c r="D342" i="7"/>
  <c r="B342" i="7"/>
  <c r="B341" i="7"/>
  <c r="C341" i="7" s="1"/>
  <c r="D340" i="7"/>
  <c r="B340" i="7"/>
  <c r="C339" i="7"/>
  <c r="B339" i="7"/>
  <c r="D338" i="7"/>
  <c r="C338" i="7"/>
  <c r="B338" i="7"/>
  <c r="D350" i="7" s="1"/>
  <c r="B337" i="7"/>
  <c r="C337" i="7" s="1"/>
  <c r="D336" i="7"/>
  <c r="B336" i="7"/>
  <c r="D348" i="7" s="1"/>
  <c r="B335" i="7"/>
  <c r="D334" i="7"/>
  <c r="C334" i="7"/>
  <c r="B334" i="7"/>
  <c r="B333" i="7"/>
  <c r="D332" i="7"/>
  <c r="B332" i="7"/>
  <c r="C331" i="7"/>
  <c r="B331" i="7"/>
  <c r="D330" i="7"/>
  <c r="C330" i="7"/>
  <c r="B330" i="7"/>
  <c r="B329" i="7"/>
  <c r="D328" i="7"/>
  <c r="B328" i="7"/>
  <c r="D327" i="7"/>
  <c r="B327" i="7"/>
  <c r="C328" i="7" s="1"/>
  <c r="D326" i="7"/>
  <c r="B326" i="7"/>
  <c r="B325" i="7"/>
  <c r="D324" i="7"/>
  <c r="B324" i="7"/>
  <c r="C323" i="7"/>
  <c r="B323" i="7"/>
  <c r="C324" i="7" s="1"/>
  <c r="D322" i="7"/>
  <c r="C322" i="7"/>
  <c r="B322" i="7"/>
  <c r="B321" i="7"/>
  <c r="D320" i="7"/>
  <c r="B320" i="7"/>
  <c r="B319" i="7"/>
  <c r="D318" i="7"/>
  <c r="C318" i="7"/>
  <c r="B318" i="7"/>
  <c r="B317" i="7"/>
  <c r="D316" i="7"/>
  <c r="B316" i="7"/>
  <c r="C315" i="7"/>
  <c r="B315" i="7"/>
  <c r="C316" i="7" s="1"/>
  <c r="D314" i="7"/>
  <c r="C314" i="7"/>
  <c r="B314" i="7"/>
  <c r="B313" i="7"/>
  <c r="D312" i="7"/>
  <c r="B312" i="7"/>
  <c r="D311" i="7"/>
  <c r="B311" i="7"/>
  <c r="C312" i="7" s="1"/>
  <c r="D310" i="7"/>
  <c r="B310" i="7"/>
  <c r="B309" i="7"/>
  <c r="D308" i="7"/>
  <c r="B308" i="7"/>
  <c r="B307" i="7"/>
  <c r="C308" i="7" s="1"/>
  <c r="D306" i="7"/>
  <c r="C306" i="7"/>
  <c r="B306" i="7"/>
  <c r="B305" i="7"/>
  <c r="D304" i="7"/>
  <c r="B304" i="7"/>
  <c r="B303" i="7"/>
  <c r="D302" i="7"/>
  <c r="C302" i="7"/>
  <c r="B302" i="7"/>
  <c r="B301" i="7"/>
  <c r="D300" i="7"/>
  <c r="B300" i="7"/>
  <c r="C299" i="7"/>
  <c r="B299" i="7"/>
  <c r="C300" i="7" s="1"/>
  <c r="D298" i="7"/>
  <c r="C298" i="7"/>
  <c r="B298" i="7"/>
  <c r="B297" i="7"/>
  <c r="D296" i="7"/>
  <c r="B296" i="7"/>
  <c r="D295" i="7"/>
  <c r="B295" i="7"/>
  <c r="C296" i="7" s="1"/>
  <c r="D294" i="7"/>
  <c r="B294" i="7"/>
  <c r="B293" i="7"/>
  <c r="D292" i="7"/>
  <c r="B292" i="7"/>
  <c r="B291" i="7"/>
  <c r="C292" i="7" s="1"/>
  <c r="D290" i="7"/>
  <c r="C290" i="7"/>
  <c r="B290" i="7"/>
  <c r="B289" i="7"/>
  <c r="D288" i="7"/>
  <c r="B288" i="7"/>
  <c r="B287" i="7"/>
  <c r="D286" i="7"/>
  <c r="C286" i="7"/>
  <c r="B286" i="7"/>
  <c r="B285" i="7"/>
  <c r="D284" i="7"/>
  <c r="B284" i="7"/>
  <c r="C283" i="7"/>
  <c r="B283" i="7"/>
  <c r="C284" i="7" s="1"/>
  <c r="D282" i="7"/>
  <c r="C282" i="7"/>
  <c r="B282" i="7"/>
  <c r="B281" i="7"/>
  <c r="D280" i="7"/>
  <c r="B280" i="7"/>
  <c r="B279" i="7"/>
  <c r="C280" i="7" s="1"/>
  <c r="D278" i="7"/>
  <c r="B278" i="7"/>
  <c r="B277" i="7"/>
  <c r="D276" i="7"/>
  <c r="B276" i="7"/>
  <c r="B275" i="7"/>
  <c r="C276" i="7" s="1"/>
  <c r="D274" i="7"/>
  <c r="C274" i="7"/>
  <c r="B274" i="7"/>
  <c r="B273" i="7"/>
  <c r="D272" i="7"/>
  <c r="B272" i="7"/>
  <c r="B271" i="7"/>
  <c r="D270" i="7"/>
  <c r="C270" i="7"/>
  <c r="B270" i="7"/>
  <c r="B269" i="7"/>
  <c r="D268" i="7"/>
  <c r="B268" i="7"/>
  <c r="B267" i="7"/>
  <c r="D279" i="7" s="1"/>
  <c r="D266" i="7"/>
  <c r="C266" i="7"/>
  <c r="B266" i="7"/>
  <c r="B265" i="7"/>
  <c r="D264" i="7"/>
  <c r="C264" i="7"/>
  <c r="B264" i="7"/>
  <c r="B263" i="7"/>
  <c r="C263" i="7" s="1"/>
  <c r="D262" i="7"/>
  <c r="B262" i="7"/>
  <c r="B261" i="7"/>
  <c r="D260" i="7"/>
  <c r="C260" i="7"/>
  <c r="B260" i="7"/>
  <c r="B259" i="7"/>
  <c r="C259" i="7" s="1"/>
  <c r="D258" i="7"/>
  <c r="B258" i="7"/>
  <c r="B257" i="7"/>
  <c r="D256" i="7"/>
  <c r="C256" i="7"/>
  <c r="B256" i="7"/>
  <c r="D255" i="7"/>
  <c r="C255" i="7"/>
  <c r="B255" i="7"/>
  <c r="D267" i="7" s="1"/>
  <c r="D254" i="7"/>
  <c r="C254" i="7"/>
  <c r="B254" i="7"/>
  <c r="B253" i="7"/>
  <c r="B252" i="7"/>
  <c r="D251" i="7"/>
  <c r="B251" i="7"/>
  <c r="C251" i="7" s="1"/>
  <c r="D250" i="7"/>
  <c r="C250" i="7"/>
  <c r="B250" i="7"/>
  <c r="B249" i="7"/>
  <c r="B248" i="7"/>
  <c r="B247" i="7"/>
  <c r="D246" i="7"/>
  <c r="C246" i="7"/>
  <c r="B246" i="7"/>
  <c r="B245" i="7"/>
  <c r="D244" i="7"/>
  <c r="B244" i="7"/>
  <c r="B243" i="7"/>
  <c r="C244" i="7" s="1"/>
  <c r="D242" i="7"/>
  <c r="C242" i="7"/>
  <c r="B242" i="7"/>
  <c r="B241" i="7"/>
  <c r="D240" i="7"/>
  <c r="C240" i="7"/>
  <c r="B240" i="7"/>
  <c r="D252" i="7" s="1"/>
  <c r="B239" i="7"/>
  <c r="C239" i="7" s="1"/>
  <c r="D238" i="7"/>
  <c r="B238" i="7"/>
  <c r="B237" i="7"/>
  <c r="C236" i="7"/>
  <c r="B236" i="7"/>
  <c r="D236" i="7" s="1"/>
  <c r="B235" i="7"/>
  <c r="C235" i="7" s="1"/>
  <c r="D234" i="7"/>
  <c r="B234" i="7"/>
  <c r="B233" i="7"/>
  <c r="D232" i="7"/>
  <c r="C232" i="7"/>
  <c r="B232" i="7"/>
  <c r="D231" i="7"/>
  <c r="C231" i="7"/>
  <c r="B231" i="7"/>
  <c r="D243" i="7" s="1"/>
  <c r="D230" i="7"/>
  <c r="C230" i="7"/>
  <c r="B230" i="7"/>
  <c r="B229" i="7"/>
  <c r="B228" i="7"/>
  <c r="D227" i="7"/>
  <c r="B227" i="7"/>
  <c r="C227" i="7" s="1"/>
  <c r="D226" i="7"/>
  <c r="C226" i="7"/>
  <c r="B226" i="7"/>
  <c r="B225" i="7"/>
  <c r="B224" i="7"/>
  <c r="B223" i="7"/>
  <c r="D222" i="7"/>
  <c r="C222" i="7"/>
  <c r="B222" i="7"/>
  <c r="B221" i="7"/>
  <c r="D220" i="7"/>
  <c r="B220" i="7"/>
  <c r="B219" i="7"/>
  <c r="C220" i="7" s="1"/>
  <c r="D218" i="7"/>
  <c r="C218" i="7"/>
  <c r="B218" i="7"/>
  <c r="B217" i="7"/>
  <c r="D216" i="7"/>
  <c r="C216" i="7"/>
  <c r="B216" i="7"/>
  <c r="D228" i="7" s="1"/>
  <c r="B215" i="7"/>
  <c r="C215" i="7" s="1"/>
  <c r="D214" i="7"/>
  <c r="B214" i="7"/>
  <c r="B213" i="7"/>
  <c r="C212" i="7"/>
  <c r="B212" i="7"/>
  <c r="D212" i="7" s="1"/>
  <c r="B211" i="7"/>
  <c r="C211" i="7" s="1"/>
  <c r="D210" i="7"/>
  <c r="B210" i="7"/>
  <c r="B209" i="7"/>
  <c r="D208" i="7"/>
  <c r="C208" i="7"/>
  <c r="B208" i="7"/>
  <c r="D207" i="7"/>
  <c r="C207" i="7"/>
  <c r="B207" i="7"/>
  <c r="D219" i="7" s="1"/>
  <c r="D206" i="7"/>
  <c r="C206" i="7"/>
  <c r="B206" i="7"/>
  <c r="B205" i="7"/>
  <c r="B204" i="7"/>
  <c r="D203" i="7"/>
  <c r="B203" i="7"/>
  <c r="C203" i="7" s="1"/>
  <c r="D202" i="7"/>
  <c r="C202" i="7"/>
  <c r="B202" i="7"/>
  <c r="B201" i="7"/>
  <c r="B200" i="7"/>
  <c r="B199" i="7"/>
  <c r="D198" i="7"/>
  <c r="C198" i="7"/>
  <c r="B198" i="7"/>
  <c r="B197" i="7"/>
  <c r="D196" i="7"/>
  <c r="B196" i="7"/>
  <c r="B195" i="7"/>
  <c r="C196" i="7" s="1"/>
  <c r="D194" i="7"/>
  <c r="C194" i="7"/>
  <c r="B194" i="7"/>
  <c r="B193" i="7"/>
  <c r="D192" i="7"/>
  <c r="C192" i="7"/>
  <c r="B192" i="7"/>
  <c r="D204" i="7" s="1"/>
  <c r="B191" i="7"/>
  <c r="C191" i="7" s="1"/>
  <c r="D190" i="7"/>
  <c r="B190" i="7"/>
  <c r="B189" i="7"/>
  <c r="C188" i="7"/>
  <c r="B188" i="7"/>
  <c r="D188" i="7" s="1"/>
  <c r="B187" i="7"/>
  <c r="C187" i="7" s="1"/>
  <c r="D186" i="7"/>
  <c r="B186" i="7"/>
  <c r="B185" i="7"/>
  <c r="D184" i="7"/>
  <c r="C184" i="7"/>
  <c r="B184" i="7"/>
  <c r="D183" i="7"/>
  <c r="C183" i="7"/>
  <c r="B183" i="7"/>
  <c r="D195" i="7" s="1"/>
  <c r="D182" i="7"/>
  <c r="C182" i="7"/>
  <c r="B182" i="7"/>
  <c r="B181" i="7"/>
  <c r="B180" i="7"/>
  <c r="D179" i="7"/>
  <c r="B179" i="7"/>
  <c r="C179" i="7" s="1"/>
  <c r="D178" i="7"/>
  <c r="C178" i="7"/>
  <c r="B178" i="7"/>
  <c r="B177" i="7"/>
  <c r="B176" i="7"/>
  <c r="B175" i="7"/>
  <c r="D174" i="7"/>
  <c r="C174" i="7"/>
  <c r="B174" i="7"/>
  <c r="B173" i="7"/>
  <c r="D172" i="7"/>
  <c r="B172" i="7"/>
  <c r="B171" i="7"/>
  <c r="C172" i="7" s="1"/>
  <c r="D170" i="7"/>
  <c r="C170" i="7"/>
  <c r="B170" i="7"/>
  <c r="B169" i="7"/>
  <c r="D168" i="7"/>
  <c r="C168" i="7"/>
  <c r="B168" i="7"/>
  <c r="D180" i="7" s="1"/>
  <c r="B167" i="7"/>
  <c r="C167" i="7" s="1"/>
  <c r="B166" i="7"/>
  <c r="B165" i="7"/>
  <c r="C164" i="7"/>
  <c r="B164" i="7"/>
  <c r="D164" i="7" s="1"/>
  <c r="B163" i="7"/>
  <c r="C163" i="7" s="1"/>
  <c r="B162" i="7"/>
  <c r="B161" i="7"/>
  <c r="D160" i="7"/>
  <c r="C160" i="7"/>
  <c r="B160" i="7"/>
  <c r="D159" i="7"/>
  <c r="C159" i="7"/>
  <c r="B159" i="7"/>
  <c r="D171" i="7" s="1"/>
  <c r="D158" i="7"/>
  <c r="C158" i="7"/>
  <c r="B158" i="7"/>
  <c r="B157" i="7"/>
  <c r="B156" i="7"/>
  <c r="D155" i="7"/>
  <c r="B155" i="7"/>
  <c r="C155" i="7" s="1"/>
  <c r="D154" i="7"/>
  <c r="C154" i="7"/>
  <c r="B154" i="7"/>
  <c r="D166" i="7" s="1"/>
  <c r="B153" i="7"/>
  <c r="B152" i="7"/>
  <c r="B151" i="7"/>
  <c r="C150" i="7"/>
  <c r="B150" i="7"/>
  <c r="D150" i="7" s="1"/>
  <c r="B149" i="7"/>
  <c r="D148" i="7"/>
  <c r="B148" i="7"/>
  <c r="B147" i="7"/>
  <c r="C148" i="7" s="1"/>
  <c r="D146" i="7"/>
  <c r="C146" i="7"/>
  <c r="B146" i="7"/>
  <c r="B145" i="7"/>
  <c r="D144" i="7"/>
  <c r="C144" i="7"/>
  <c r="B144" i="7"/>
  <c r="D156" i="7" s="1"/>
  <c r="B143" i="7"/>
  <c r="C143" i="7" s="1"/>
  <c r="B142" i="7"/>
  <c r="B141" i="7"/>
  <c r="C140" i="7"/>
  <c r="B140" i="7"/>
  <c r="D140" i="7" s="1"/>
  <c r="B139" i="7"/>
  <c r="C139" i="7" s="1"/>
  <c r="B138" i="7"/>
  <c r="B137" i="7"/>
  <c r="D136" i="7"/>
  <c r="C136" i="7"/>
  <c r="B136" i="7"/>
  <c r="D135" i="7"/>
  <c r="C135" i="7"/>
  <c r="B135" i="7"/>
  <c r="D147" i="7" s="1"/>
  <c r="D134" i="7"/>
  <c r="C134" i="7"/>
  <c r="B134" i="7"/>
  <c r="B133" i="7"/>
  <c r="B132" i="7"/>
  <c r="D131" i="7"/>
  <c r="B131" i="7"/>
  <c r="C131" i="7" s="1"/>
  <c r="D130" i="7"/>
  <c r="C130" i="7"/>
  <c r="B130" i="7"/>
  <c r="D142" i="7" s="1"/>
  <c r="B129" i="7"/>
  <c r="B128" i="7"/>
  <c r="B127" i="7"/>
  <c r="C126" i="7"/>
  <c r="B126" i="7"/>
  <c r="D126" i="7" s="1"/>
  <c r="B125" i="7"/>
  <c r="D124" i="7"/>
  <c r="B124" i="7"/>
  <c r="B123" i="7"/>
  <c r="C124" i="7" s="1"/>
  <c r="D122" i="7"/>
  <c r="C122" i="7"/>
  <c r="B122" i="7"/>
  <c r="B121" i="7"/>
  <c r="D120" i="7"/>
  <c r="C120" i="7"/>
  <c r="B120" i="7"/>
  <c r="D132" i="7" s="1"/>
  <c r="B119" i="7"/>
  <c r="C119" i="7" s="1"/>
  <c r="B118" i="7"/>
  <c r="B117" i="7"/>
  <c r="C116" i="7"/>
  <c r="B116" i="7"/>
  <c r="D116" i="7" s="1"/>
  <c r="B115" i="7"/>
  <c r="C115" i="7" s="1"/>
  <c r="B114" i="7"/>
  <c r="B113" i="7"/>
  <c r="D112" i="7"/>
  <c r="C112" i="7"/>
  <c r="B112" i="7"/>
  <c r="D111" i="7"/>
  <c r="C111" i="7"/>
  <c r="B111" i="7"/>
  <c r="D123" i="7" s="1"/>
  <c r="D110" i="7"/>
  <c r="C110" i="7"/>
  <c r="B110" i="7"/>
  <c r="B109" i="7"/>
  <c r="B108" i="7"/>
  <c r="D107" i="7"/>
  <c r="B107" i="7"/>
  <c r="C107" i="7" s="1"/>
  <c r="D106" i="7"/>
  <c r="C106" i="7"/>
  <c r="B106" i="7"/>
  <c r="D118" i="7" s="1"/>
  <c r="B105" i="7"/>
  <c r="B104" i="7"/>
  <c r="B103" i="7"/>
  <c r="C102" i="7"/>
  <c r="B102" i="7"/>
  <c r="D102" i="7" s="1"/>
  <c r="B101" i="7"/>
  <c r="D100" i="7"/>
  <c r="B100" i="7"/>
  <c r="B99" i="7"/>
  <c r="C100" i="7" s="1"/>
  <c r="D98" i="7"/>
  <c r="C98" i="7"/>
  <c r="B98" i="7"/>
  <c r="B97" i="7"/>
  <c r="D96" i="7"/>
  <c r="C96" i="7"/>
  <c r="B96" i="7"/>
  <c r="D108" i="7" s="1"/>
  <c r="B95" i="7"/>
  <c r="C95" i="7" s="1"/>
  <c r="B94" i="7"/>
  <c r="B93" i="7"/>
  <c r="C92" i="7"/>
  <c r="B92" i="7"/>
  <c r="D92" i="7" s="1"/>
  <c r="B91" i="7"/>
  <c r="C91" i="7" s="1"/>
  <c r="B90" i="7"/>
  <c r="B89" i="7"/>
  <c r="D88" i="7"/>
  <c r="C88" i="7"/>
  <c r="B88" i="7"/>
  <c r="D87" i="7"/>
  <c r="C87" i="7"/>
  <c r="B87" i="7"/>
  <c r="D99" i="7" s="1"/>
  <c r="D86" i="7"/>
  <c r="C86" i="7"/>
  <c r="B86" i="7"/>
  <c r="B85" i="7"/>
  <c r="B84" i="7"/>
  <c r="D83" i="7"/>
  <c r="B83" i="7"/>
  <c r="C83" i="7" s="1"/>
  <c r="D82" i="7"/>
  <c r="C82" i="7"/>
  <c r="B82" i="7"/>
  <c r="D94" i="7" s="1"/>
  <c r="B81" i="7"/>
  <c r="B80" i="7"/>
  <c r="B79" i="7"/>
  <c r="C78" i="7"/>
  <c r="B78" i="7"/>
  <c r="D78" i="7" s="1"/>
  <c r="B77" i="7"/>
  <c r="D76" i="7"/>
  <c r="B76" i="7"/>
  <c r="B75" i="7"/>
  <c r="C76" i="7" s="1"/>
  <c r="D74" i="7"/>
  <c r="C74" i="7"/>
  <c r="B74" i="7"/>
  <c r="B73" i="7"/>
  <c r="D72" i="7"/>
  <c r="C72" i="7"/>
  <c r="B72" i="7"/>
  <c r="D84" i="7" s="1"/>
  <c r="B71" i="7"/>
  <c r="C71" i="7" s="1"/>
  <c r="B70" i="7"/>
  <c r="B69" i="7"/>
  <c r="C68" i="7"/>
  <c r="B68" i="7"/>
  <c r="D68" i="7" s="1"/>
  <c r="B67" i="7"/>
  <c r="C67" i="7" s="1"/>
  <c r="B66" i="7"/>
  <c r="B65" i="7"/>
  <c r="D64" i="7"/>
  <c r="C64" i="7"/>
  <c r="B64" i="7"/>
  <c r="D63" i="7"/>
  <c r="C63" i="7"/>
  <c r="B63" i="7"/>
  <c r="D75" i="7" s="1"/>
  <c r="C62" i="7"/>
  <c r="B62" i="7"/>
  <c r="B61" i="7"/>
  <c r="B60" i="7"/>
  <c r="D59" i="7"/>
  <c r="B59" i="7"/>
  <c r="C59" i="7" s="1"/>
  <c r="D58" i="7"/>
  <c r="C58" i="7"/>
  <c r="B58" i="7"/>
  <c r="D70" i="7" s="1"/>
  <c r="B57" i="7"/>
  <c r="B56" i="7"/>
  <c r="B55" i="7"/>
  <c r="C54" i="7"/>
  <c r="B54" i="7"/>
  <c r="D66" i="7" s="1"/>
  <c r="B53" i="7"/>
  <c r="B52" i="7"/>
  <c r="C52" i="7" s="1"/>
  <c r="B51" i="7"/>
  <c r="D50" i="7"/>
  <c r="B50" i="7"/>
  <c r="C50" i="7" s="1"/>
  <c r="D49" i="7"/>
  <c r="B49" i="7"/>
  <c r="B48" i="7"/>
  <c r="D60" i="7" s="1"/>
  <c r="B47" i="7"/>
  <c r="C48" i="7" s="1"/>
  <c r="C46" i="7"/>
  <c r="B46" i="7"/>
  <c r="B45" i="7"/>
  <c r="B44" i="7"/>
  <c r="C44" i="7" s="1"/>
  <c r="B43" i="7"/>
  <c r="B42" i="7"/>
  <c r="B41" i="7"/>
  <c r="C41" i="7" s="1"/>
  <c r="C40" i="7"/>
  <c r="B40" i="7"/>
  <c r="D52" i="7" s="1"/>
  <c r="B39" i="7"/>
  <c r="C39" i="7" s="1"/>
  <c r="C38" i="7"/>
  <c r="B38" i="7"/>
  <c r="D37" i="7"/>
  <c r="B37" i="7"/>
  <c r="D36" i="7"/>
  <c r="C36" i="7"/>
  <c r="B36" i="7"/>
  <c r="D48" i="7" s="1"/>
  <c r="B35" i="7"/>
  <c r="B34" i="7"/>
  <c r="C35" i="7" s="1"/>
  <c r="B33" i="7"/>
  <c r="C32" i="7"/>
  <c r="B32" i="7"/>
  <c r="D44" i="7" s="1"/>
  <c r="B31" i="7"/>
  <c r="C31" i="7" s="1"/>
  <c r="B30" i="7"/>
  <c r="D29" i="7"/>
  <c r="B29" i="7"/>
  <c r="D28" i="7"/>
  <c r="B28" i="7"/>
  <c r="C28" i="7" s="1"/>
  <c r="D27" i="7"/>
  <c r="C27" i="7"/>
  <c r="B27" i="7"/>
  <c r="D39" i="7" s="1"/>
  <c r="B26" i="7"/>
  <c r="C26" i="7" s="1"/>
  <c r="B25" i="7"/>
  <c r="C25" i="7" s="1"/>
  <c r="C24" i="7"/>
  <c r="B24" i="7"/>
  <c r="D23" i="7"/>
  <c r="C23" i="7"/>
  <c r="B23" i="7"/>
  <c r="D35" i="7" s="1"/>
  <c r="D22" i="7"/>
  <c r="C22" i="7"/>
  <c r="B22" i="7"/>
  <c r="B21" i="7"/>
  <c r="B20" i="7"/>
  <c r="B19" i="7"/>
  <c r="C19" i="7" s="1"/>
  <c r="C18" i="7"/>
  <c r="B18" i="7"/>
  <c r="D30" i="7" s="1"/>
  <c r="B17" i="7"/>
  <c r="C17" i="7" s="1"/>
  <c r="B16" i="7"/>
  <c r="B15" i="7"/>
  <c r="C16" i="7" s="1"/>
  <c r="B14" i="7"/>
  <c r="B13" i="7"/>
  <c r="C13" i="7" s="1"/>
  <c r="C12" i="7"/>
  <c r="B12" i="7"/>
  <c r="D24" i="7" s="1"/>
  <c r="B11" i="7"/>
  <c r="C11" i="7" s="1"/>
  <c r="B10" i="7"/>
  <c r="B9" i="7"/>
  <c r="C10" i="7" s="1"/>
  <c r="B8" i="7"/>
  <c r="B7" i="7"/>
  <c r="U2" i="7"/>
  <c r="Y1" i="7" s="1"/>
  <c r="U1" i="7"/>
  <c r="C619" i="6"/>
  <c r="B619" i="6"/>
  <c r="B618" i="6"/>
  <c r="B617" i="6"/>
  <c r="C616" i="6"/>
  <c r="B616" i="6"/>
  <c r="B615" i="6"/>
  <c r="C615" i="6" s="1"/>
  <c r="B614" i="6"/>
  <c r="C614" i="6" s="1"/>
  <c r="B613" i="6"/>
  <c r="D612" i="6"/>
  <c r="B612" i="6"/>
  <c r="C612" i="6" s="1"/>
  <c r="C611" i="6"/>
  <c r="B611" i="6"/>
  <c r="B610" i="6"/>
  <c r="B609" i="6"/>
  <c r="C610" i="6" s="1"/>
  <c r="C608" i="6"/>
  <c r="B608" i="6"/>
  <c r="D607" i="6"/>
  <c r="C607" i="6"/>
  <c r="B607" i="6"/>
  <c r="D619" i="6" s="1"/>
  <c r="B606" i="6"/>
  <c r="D618" i="6" s="1"/>
  <c r="B605" i="6"/>
  <c r="B604" i="6"/>
  <c r="C603" i="6"/>
  <c r="B603" i="6"/>
  <c r="D615" i="6" s="1"/>
  <c r="C602" i="6"/>
  <c r="B602" i="6"/>
  <c r="D614" i="6" s="1"/>
  <c r="B601" i="6"/>
  <c r="C601" i="6" s="1"/>
  <c r="B600" i="6"/>
  <c r="D599" i="6"/>
  <c r="B599" i="6"/>
  <c r="C599" i="6" s="1"/>
  <c r="C598" i="6"/>
  <c r="B598" i="6"/>
  <c r="D610" i="6" s="1"/>
  <c r="B597" i="6"/>
  <c r="B596" i="6"/>
  <c r="C597" i="6" s="1"/>
  <c r="C595" i="6"/>
  <c r="B595" i="6"/>
  <c r="C594" i="6"/>
  <c r="B594" i="6"/>
  <c r="D606" i="6" s="1"/>
  <c r="B593" i="6"/>
  <c r="C593" i="6" s="1"/>
  <c r="B592" i="6"/>
  <c r="B591" i="6"/>
  <c r="B590" i="6"/>
  <c r="D602" i="6" s="1"/>
  <c r="C589" i="6"/>
  <c r="B589" i="6"/>
  <c r="D601" i="6" s="1"/>
  <c r="B588" i="6"/>
  <c r="C588" i="6" s="1"/>
  <c r="C587" i="6"/>
  <c r="B587" i="6"/>
  <c r="C586" i="6"/>
  <c r="B586" i="6"/>
  <c r="D585" i="6"/>
  <c r="C585" i="6"/>
  <c r="B585" i="6"/>
  <c r="D597" i="6" s="1"/>
  <c r="B584" i="6"/>
  <c r="B583" i="6"/>
  <c r="C584" i="6" s="1"/>
  <c r="B582" i="6"/>
  <c r="C581" i="6"/>
  <c r="B581" i="6"/>
  <c r="D593" i="6" s="1"/>
  <c r="B580" i="6"/>
  <c r="C580" i="6" s="1"/>
  <c r="B579" i="6"/>
  <c r="B578" i="6"/>
  <c r="D577" i="6"/>
  <c r="B577" i="6"/>
  <c r="C577" i="6" s="1"/>
  <c r="C576" i="6"/>
  <c r="B576" i="6"/>
  <c r="D588" i="6" s="1"/>
  <c r="B575" i="6"/>
  <c r="C575" i="6" s="1"/>
  <c r="B574" i="6"/>
  <c r="D586" i="6" s="1"/>
  <c r="C573" i="6"/>
  <c r="B573" i="6"/>
  <c r="D572" i="6"/>
  <c r="C572" i="6"/>
  <c r="B572" i="6"/>
  <c r="D584" i="6" s="1"/>
  <c r="C571" i="6"/>
  <c r="B571" i="6"/>
  <c r="B570" i="6"/>
  <c r="B569" i="6"/>
  <c r="C568" i="6"/>
  <c r="B568" i="6"/>
  <c r="D580" i="6" s="1"/>
  <c r="B567" i="6"/>
  <c r="C567" i="6" s="1"/>
  <c r="B566" i="6"/>
  <c r="B565" i="6"/>
  <c r="D564" i="6"/>
  <c r="B564" i="6"/>
  <c r="C564" i="6" s="1"/>
  <c r="C563" i="6"/>
  <c r="B563" i="6"/>
  <c r="D575" i="6" s="1"/>
  <c r="B562" i="6"/>
  <c r="B561" i="6"/>
  <c r="C562" i="6" s="1"/>
  <c r="C560" i="6"/>
  <c r="B560" i="6"/>
  <c r="D559" i="6"/>
  <c r="C559" i="6"/>
  <c r="B559" i="6"/>
  <c r="D571" i="6" s="1"/>
  <c r="B558" i="6"/>
  <c r="D570" i="6" s="1"/>
  <c r="B557" i="6"/>
  <c r="B556" i="6"/>
  <c r="C555" i="6"/>
  <c r="B555" i="6"/>
  <c r="D567" i="6" s="1"/>
  <c r="C554" i="6"/>
  <c r="B554" i="6"/>
  <c r="D566" i="6" s="1"/>
  <c r="B553" i="6"/>
  <c r="C553" i="6" s="1"/>
  <c r="B552" i="6"/>
  <c r="D551" i="6"/>
  <c r="B551" i="6"/>
  <c r="C551" i="6" s="1"/>
  <c r="C550" i="6"/>
  <c r="B550" i="6"/>
  <c r="D562" i="6" s="1"/>
  <c r="B549" i="6"/>
  <c r="B548" i="6"/>
  <c r="C549" i="6" s="1"/>
  <c r="C547" i="6"/>
  <c r="B547" i="6"/>
  <c r="C546" i="6"/>
  <c r="B546" i="6"/>
  <c r="D558" i="6" s="1"/>
  <c r="B545" i="6"/>
  <c r="C545" i="6" s="1"/>
  <c r="B544" i="6"/>
  <c r="B543" i="6"/>
  <c r="B542" i="6"/>
  <c r="D554" i="6" s="1"/>
  <c r="C541" i="6"/>
  <c r="B541" i="6"/>
  <c r="D553" i="6" s="1"/>
  <c r="B540" i="6"/>
  <c r="C540" i="6" s="1"/>
  <c r="C539" i="6"/>
  <c r="B539" i="6"/>
  <c r="C538" i="6"/>
  <c r="B538" i="6"/>
  <c r="D537" i="6"/>
  <c r="C537" i="6"/>
  <c r="B537" i="6"/>
  <c r="D549" i="6" s="1"/>
  <c r="B536" i="6"/>
  <c r="B535" i="6"/>
  <c r="C536" i="6" s="1"/>
  <c r="B534" i="6"/>
  <c r="C533" i="6"/>
  <c r="B533" i="6"/>
  <c r="D545" i="6" s="1"/>
  <c r="B532" i="6"/>
  <c r="C532" i="6" s="1"/>
  <c r="B531" i="6"/>
  <c r="B530" i="6"/>
  <c r="D529" i="6"/>
  <c r="B529" i="6"/>
  <c r="C529" i="6" s="1"/>
  <c r="C528" i="6"/>
  <c r="B528" i="6"/>
  <c r="D540" i="6" s="1"/>
  <c r="B527" i="6"/>
  <c r="C527" i="6" s="1"/>
  <c r="B526" i="6"/>
  <c r="D538" i="6" s="1"/>
  <c r="C525" i="6"/>
  <c r="B525" i="6"/>
  <c r="D524" i="6"/>
  <c r="C524" i="6"/>
  <c r="B524" i="6"/>
  <c r="D536" i="6" s="1"/>
  <c r="C523" i="6"/>
  <c r="B523" i="6"/>
  <c r="B522" i="6"/>
  <c r="B521" i="6"/>
  <c r="C520" i="6"/>
  <c r="B520" i="6"/>
  <c r="D532" i="6" s="1"/>
  <c r="B519" i="6"/>
  <c r="C519" i="6" s="1"/>
  <c r="B518" i="6"/>
  <c r="B517" i="6"/>
  <c r="D516" i="6"/>
  <c r="B516" i="6"/>
  <c r="C516" i="6" s="1"/>
  <c r="C515" i="6"/>
  <c r="B515" i="6"/>
  <c r="D527" i="6" s="1"/>
  <c r="B514" i="6"/>
  <c r="B513" i="6"/>
  <c r="C514" i="6" s="1"/>
  <c r="C512" i="6"/>
  <c r="B512" i="6"/>
  <c r="D511" i="6"/>
  <c r="C511" i="6"/>
  <c r="B511" i="6"/>
  <c r="D523" i="6" s="1"/>
  <c r="B510" i="6"/>
  <c r="D522" i="6" s="1"/>
  <c r="B509" i="6"/>
  <c r="B508" i="6"/>
  <c r="C507" i="6"/>
  <c r="B507" i="6"/>
  <c r="D519" i="6" s="1"/>
  <c r="C506" i="6"/>
  <c r="B506" i="6"/>
  <c r="D518" i="6" s="1"/>
  <c r="B505" i="6"/>
  <c r="C505" i="6" s="1"/>
  <c r="B504" i="6"/>
  <c r="D503" i="6"/>
  <c r="B503" i="6"/>
  <c r="C503" i="6" s="1"/>
  <c r="C502" i="6"/>
  <c r="B502" i="6"/>
  <c r="D514" i="6" s="1"/>
  <c r="B501" i="6"/>
  <c r="B500" i="6"/>
  <c r="C501" i="6" s="1"/>
  <c r="C499" i="6"/>
  <c r="B499" i="6"/>
  <c r="C498" i="6"/>
  <c r="B498" i="6"/>
  <c r="D510" i="6" s="1"/>
  <c r="B497" i="6"/>
  <c r="C497" i="6" s="1"/>
  <c r="B496" i="6"/>
  <c r="B495" i="6"/>
  <c r="B494" i="6"/>
  <c r="D506" i="6" s="1"/>
  <c r="C493" i="6"/>
  <c r="B493" i="6"/>
  <c r="D505" i="6" s="1"/>
  <c r="B492" i="6"/>
  <c r="C492" i="6" s="1"/>
  <c r="C491" i="6"/>
  <c r="B491" i="6"/>
  <c r="C490" i="6"/>
  <c r="B490" i="6"/>
  <c r="D489" i="6"/>
  <c r="C489" i="6"/>
  <c r="B489" i="6"/>
  <c r="D501" i="6" s="1"/>
  <c r="B488" i="6"/>
  <c r="B487" i="6"/>
  <c r="C488" i="6" s="1"/>
  <c r="B486" i="6"/>
  <c r="C485" i="6"/>
  <c r="B485" i="6"/>
  <c r="D497" i="6" s="1"/>
  <c r="B484" i="6"/>
  <c r="C484" i="6" s="1"/>
  <c r="B483" i="6"/>
  <c r="B482" i="6"/>
  <c r="B481" i="6"/>
  <c r="C480" i="6"/>
  <c r="B480" i="6"/>
  <c r="D492" i="6" s="1"/>
  <c r="B479" i="6"/>
  <c r="C479" i="6" s="1"/>
  <c r="B478" i="6"/>
  <c r="D490" i="6" s="1"/>
  <c r="C477" i="6"/>
  <c r="B477" i="6"/>
  <c r="D476" i="6"/>
  <c r="C476" i="6"/>
  <c r="B476" i="6"/>
  <c r="D488" i="6" s="1"/>
  <c r="C475" i="6"/>
  <c r="B475" i="6"/>
  <c r="B474" i="6"/>
  <c r="B473" i="6"/>
  <c r="C472" i="6"/>
  <c r="B472" i="6"/>
  <c r="D484" i="6" s="1"/>
  <c r="B471" i="6"/>
  <c r="C471" i="6" s="1"/>
  <c r="B470" i="6"/>
  <c r="B469" i="6"/>
  <c r="B468" i="6"/>
  <c r="C467" i="6"/>
  <c r="B467" i="6"/>
  <c r="D479" i="6" s="1"/>
  <c r="B466" i="6"/>
  <c r="B465" i="6"/>
  <c r="C466" i="6" s="1"/>
  <c r="C464" i="6"/>
  <c r="B464" i="6"/>
  <c r="D463" i="6"/>
  <c r="C463" i="6"/>
  <c r="B463" i="6"/>
  <c r="D475" i="6" s="1"/>
  <c r="B462" i="6"/>
  <c r="D474" i="6" s="1"/>
  <c r="B461" i="6"/>
  <c r="B460" i="6"/>
  <c r="C459" i="6"/>
  <c r="B459" i="6"/>
  <c r="D471" i="6" s="1"/>
  <c r="C458" i="6"/>
  <c r="B458" i="6"/>
  <c r="D470" i="6" s="1"/>
  <c r="B457" i="6"/>
  <c r="C457" i="6" s="1"/>
  <c r="B456" i="6"/>
  <c r="D455" i="6"/>
  <c r="B455" i="6"/>
  <c r="C454" i="6"/>
  <c r="B454" i="6"/>
  <c r="D466" i="6" s="1"/>
  <c r="B453" i="6"/>
  <c r="B452" i="6"/>
  <c r="C453" i="6" s="1"/>
  <c r="C451" i="6"/>
  <c r="B451" i="6"/>
  <c r="C450" i="6"/>
  <c r="B450" i="6"/>
  <c r="D462" i="6" s="1"/>
  <c r="B449" i="6"/>
  <c r="C449" i="6" s="1"/>
  <c r="B448" i="6"/>
  <c r="B447" i="6"/>
  <c r="B446" i="6"/>
  <c r="C445" i="6"/>
  <c r="B445" i="6"/>
  <c r="D457" i="6" s="1"/>
  <c r="B444" i="6"/>
  <c r="C444" i="6" s="1"/>
  <c r="C443" i="6"/>
  <c r="B443" i="6"/>
  <c r="C442" i="6"/>
  <c r="B442" i="6"/>
  <c r="D441" i="6"/>
  <c r="C441" i="6"/>
  <c r="B441" i="6"/>
  <c r="D453" i="6" s="1"/>
  <c r="B440" i="6"/>
  <c r="B439" i="6"/>
  <c r="C440" i="6" s="1"/>
  <c r="B438" i="6"/>
  <c r="B437" i="6"/>
  <c r="B436" i="6"/>
  <c r="C436" i="6" s="1"/>
  <c r="B435" i="6"/>
  <c r="B434" i="6"/>
  <c r="D433" i="6"/>
  <c r="B433" i="6"/>
  <c r="D445" i="6" s="1"/>
  <c r="C432" i="6"/>
  <c r="B432" i="6"/>
  <c r="D444" i="6" s="1"/>
  <c r="B431" i="6"/>
  <c r="C431" i="6" s="1"/>
  <c r="B430" i="6"/>
  <c r="D442" i="6" s="1"/>
  <c r="C429" i="6"/>
  <c r="B429" i="6"/>
  <c r="D428" i="6"/>
  <c r="C428" i="6"/>
  <c r="B428" i="6"/>
  <c r="D440" i="6" s="1"/>
  <c r="C427" i="6"/>
  <c r="B427" i="6"/>
  <c r="B426" i="6"/>
  <c r="B425" i="6"/>
  <c r="C424" i="6"/>
  <c r="B424" i="6"/>
  <c r="D436" i="6" s="1"/>
  <c r="B423" i="6"/>
  <c r="C423" i="6" s="1"/>
  <c r="B422" i="6"/>
  <c r="B421" i="6"/>
  <c r="B420" i="6"/>
  <c r="D419" i="6"/>
  <c r="C419" i="6"/>
  <c r="B419" i="6"/>
  <c r="D431" i="6" s="1"/>
  <c r="B418" i="6"/>
  <c r="B417" i="6"/>
  <c r="C418" i="6" s="1"/>
  <c r="C416" i="6"/>
  <c r="B416" i="6"/>
  <c r="D415" i="6"/>
  <c r="C415" i="6"/>
  <c r="B415" i="6"/>
  <c r="D427" i="6" s="1"/>
  <c r="B414" i="6"/>
  <c r="D426" i="6" s="1"/>
  <c r="B413" i="6"/>
  <c r="B412" i="6"/>
  <c r="C411" i="6"/>
  <c r="B411" i="6"/>
  <c r="D423" i="6" s="1"/>
  <c r="C410" i="6"/>
  <c r="B410" i="6"/>
  <c r="D422" i="6" s="1"/>
  <c r="B409" i="6"/>
  <c r="C409" i="6" s="1"/>
  <c r="B408" i="6"/>
  <c r="D407" i="6"/>
  <c r="B407" i="6"/>
  <c r="C406" i="6"/>
  <c r="B406" i="6"/>
  <c r="D418" i="6" s="1"/>
  <c r="B405" i="6"/>
  <c r="B404" i="6"/>
  <c r="C403" i="6"/>
  <c r="B403" i="6"/>
  <c r="B402" i="6"/>
  <c r="D414" i="6" s="1"/>
  <c r="B401" i="6"/>
  <c r="C401" i="6" s="1"/>
  <c r="B400" i="6"/>
  <c r="D399" i="6"/>
  <c r="B399" i="6"/>
  <c r="B398" i="6"/>
  <c r="D397" i="6"/>
  <c r="C397" i="6"/>
  <c r="B397" i="6"/>
  <c r="D409" i="6" s="1"/>
  <c r="B396" i="6"/>
  <c r="C396" i="6" s="1"/>
  <c r="C395" i="6"/>
  <c r="B395" i="6"/>
  <c r="C394" i="6"/>
  <c r="B394" i="6"/>
  <c r="D393" i="6"/>
  <c r="C393" i="6"/>
  <c r="B393" i="6"/>
  <c r="D405" i="6" s="1"/>
  <c r="B392" i="6"/>
  <c r="B391" i="6"/>
  <c r="B390" i="6"/>
  <c r="B389" i="6"/>
  <c r="D401" i="6" s="1"/>
  <c r="B388" i="6"/>
  <c r="C388" i="6" s="1"/>
  <c r="B387" i="6"/>
  <c r="C386" i="6"/>
  <c r="B386" i="6"/>
  <c r="D385" i="6"/>
  <c r="B385" i="6"/>
  <c r="C385" i="6" s="1"/>
  <c r="D384" i="6"/>
  <c r="C384" i="6"/>
  <c r="B384" i="6"/>
  <c r="D396" i="6" s="1"/>
  <c r="B383" i="6"/>
  <c r="B382" i="6"/>
  <c r="C381" i="6"/>
  <c r="B381" i="6"/>
  <c r="D380" i="6"/>
  <c r="C380" i="6"/>
  <c r="B380" i="6"/>
  <c r="D392" i="6" s="1"/>
  <c r="C379" i="6"/>
  <c r="B379" i="6"/>
  <c r="B378" i="6"/>
  <c r="B377" i="6"/>
  <c r="B376" i="6"/>
  <c r="C376" i="6" s="1"/>
  <c r="D375" i="6"/>
  <c r="B375" i="6"/>
  <c r="C375" i="6" s="1"/>
  <c r="B374" i="6"/>
  <c r="C373" i="6"/>
  <c r="B373" i="6"/>
  <c r="D372" i="6"/>
  <c r="B372" i="6"/>
  <c r="C372" i="6" s="1"/>
  <c r="D371" i="6"/>
  <c r="C371" i="6"/>
  <c r="B371" i="6"/>
  <c r="D383" i="6" s="1"/>
  <c r="B370" i="6"/>
  <c r="B369" i="6"/>
  <c r="C368" i="6"/>
  <c r="B368" i="6"/>
  <c r="D367" i="6"/>
  <c r="C367" i="6"/>
  <c r="B367" i="6"/>
  <c r="D379" i="6" s="1"/>
  <c r="B366" i="6"/>
  <c r="D378" i="6" s="1"/>
  <c r="B365" i="6"/>
  <c r="D364" i="6"/>
  <c r="B364" i="6"/>
  <c r="C363" i="6"/>
  <c r="B363" i="6"/>
  <c r="C362" i="6"/>
  <c r="B362" i="6"/>
  <c r="D374" i="6" s="1"/>
  <c r="B361" i="6"/>
  <c r="C361" i="6" s="1"/>
  <c r="C360" i="6"/>
  <c r="B360" i="6"/>
  <c r="B359" i="6"/>
  <c r="B358" i="6"/>
  <c r="B357" i="6"/>
  <c r="B356" i="6"/>
  <c r="B355" i="6"/>
  <c r="C354" i="6"/>
  <c r="B354" i="6"/>
  <c r="D366" i="6" s="1"/>
  <c r="B353" i="6"/>
  <c r="C353" i="6" s="1"/>
  <c r="B352" i="6"/>
  <c r="D351" i="6"/>
  <c r="B351" i="6"/>
  <c r="B350" i="6"/>
  <c r="D349" i="6"/>
  <c r="C349" i="6"/>
  <c r="B349" i="6"/>
  <c r="D361" i="6" s="1"/>
  <c r="B348" i="6"/>
  <c r="C348" i="6" s="1"/>
  <c r="C347" i="6"/>
  <c r="B347" i="6"/>
  <c r="C346" i="6"/>
  <c r="B346" i="6"/>
  <c r="C345" i="6"/>
  <c r="B345" i="6"/>
  <c r="D357" i="6" s="1"/>
  <c r="B344" i="6"/>
  <c r="B343" i="6"/>
  <c r="B342" i="6"/>
  <c r="B341" i="6"/>
  <c r="C341" i="6" s="1"/>
  <c r="B340" i="6"/>
  <c r="C340" i="6" s="1"/>
  <c r="B339" i="6"/>
  <c r="C338" i="6"/>
  <c r="B338" i="6"/>
  <c r="D337" i="6"/>
  <c r="B337" i="6"/>
  <c r="C337" i="6" s="1"/>
  <c r="D336" i="6"/>
  <c r="C336" i="6"/>
  <c r="B336" i="6"/>
  <c r="D348" i="6" s="1"/>
  <c r="B335" i="6"/>
  <c r="B334" i="6"/>
  <c r="C333" i="6"/>
  <c r="B333" i="6"/>
  <c r="D332" i="6"/>
  <c r="C332" i="6"/>
  <c r="B332" i="6"/>
  <c r="D344" i="6" s="1"/>
  <c r="C331" i="6"/>
  <c r="B331" i="6"/>
  <c r="B330" i="6"/>
  <c r="B329" i="6"/>
  <c r="B328" i="6"/>
  <c r="C328" i="6" s="1"/>
  <c r="D327" i="6"/>
  <c r="B327" i="6"/>
  <c r="C327" i="6" s="1"/>
  <c r="B326" i="6"/>
  <c r="C325" i="6"/>
  <c r="B325" i="6"/>
  <c r="D324" i="6"/>
  <c r="B324" i="6"/>
  <c r="C324" i="6" s="1"/>
  <c r="D323" i="6"/>
  <c r="C323" i="6"/>
  <c r="B323" i="6"/>
  <c r="D335" i="6" s="1"/>
  <c r="B322" i="6"/>
  <c r="B321" i="6"/>
  <c r="C320" i="6"/>
  <c r="B320" i="6"/>
  <c r="D319" i="6"/>
  <c r="C319" i="6"/>
  <c r="B319" i="6"/>
  <c r="D331" i="6" s="1"/>
  <c r="B318" i="6"/>
  <c r="D330" i="6" s="1"/>
  <c r="B317" i="6"/>
  <c r="D316" i="6"/>
  <c r="B316" i="6"/>
  <c r="C315" i="6"/>
  <c r="B315" i="6"/>
  <c r="C314" i="6"/>
  <c r="B314" i="6"/>
  <c r="D326" i="6" s="1"/>
  <c r="B313" i="6"/>
  <c r="C313" i="6" s="1"/>
  <c r="C312" i="6"/>
  <c r="B312" i="6"/>
  <c r="B311" i="6"/>
  <c r="B310" i="6"/>
  <c r="B309" i="6"/>
  <c r="B308" i="6"/>
  <c r="B307" i="6"/>
  <c r="B306" i="6"/>
  <c r="D318" i="6" s="1"/>
  <c r="B305" i="6"/>
  <c r="C305" i="6" s="1"/>
  <c r="B304" i="6"/>
  <c r="D303" i="6"/>
  <c r="B303" i="6"/>
  <c r="B302" i="6"/>
  <c r="D301" i="6"/>
  <c r="C301" i="6"/>
  <c r="B301" i="6"/>
  <c r="D313" i="6" s="1"/>
  <c r="B300" i="6"/>
  <c r="C300" i="6" s="1"/>
  <c r="C299" i="6"/>
  <c r="B299" i="6"/>
  <c r="C298" i="6"/>
  <c r="B298" i="6"/>
  <c r="C297" i="6"/>
  <c r="B297" i="6"/>
  <c r="D309" i="6" s="1"/>
  <c r="B296" i="6"/>
  <c r="B295" i="6"/>
  <c r="B294" i="6"/>
  <c r="B293" i="6"/>
  <c r="C293" i="6" s="1"/>
  <c r="B292" i="6"/>
  <c r="C292" i="6" s="1"/>
  <c r="B291" i="6"/>
  <c r="C290" i="6"/>
  <c r="B290" i="6"/>
  <c r="D289" i="6"/>
  <c r="B289" i="6"/>
  <c r="C289" i="6" s="1"/>
  <c r="D288" i="6"/>
  <c r="C288" i="6"/>
  <c r="B288" i="6"/>
  <c r="D300" i="6" s="1"/>
  <c r="B287" i="6"/>
  <c r="B286" i="6"/>
  <c r="C285" i="6"/>
  <c r="B285" i="6"/>
  <c r="D284" i="6"/>
  <c r="C284" i="6"/>
  <c r="B284" i="6"/>
  <c r="D296" i="6" s="1"/>
  <c r="C283" i="6"/>
  <c r="B283" i="6"/>
  <c r="B282" i="6"/>
  <c r="B281" i="6"/>
  <c r="B280" i="6"/>
  <c r="C280" i="6" s="1"/>
  <c r="B279" i="6"/>
  <c r="B278" i="6"/>
  <c r="C277" i="6"/>
  <c r="B277" i="6"/>
  <c r="B276" i="6"/>
  <c r="C276" i="6" s="1"/>
  <c r="D275" i="6"/>
  <c r="C275" i="6"/>
  <c r="B275" i="6"/>
  <c r="D287" i="6" s="1"/>
  <c r="B274" i="6"/>
  <c r="B273" i="6"/>
  <c r="C272" i="6"/>
  <c r="B272" i="6"/>
  <c r="D271" i="6"/>
  <c r="B271" i="6"/>
  <c r="D283" i="6" s="1"/>
  <c r="B270" i="6"/>
  <c r="B269" i="6"/>
  <c r="D268" i="6"/>
  <c r="B268" i="6"/>
  <c r="C267" i="6"/>
  <c r="B267" i="6"/>
  <c r="D279" i="6" s="1"/>
  <c r="B266" i="6"/>
  <c r="D278" i="6" s="1"/>
  <c r="D265" i="6"/>
  <c r="B265" i="6"/>
  <c r="B264" i="6"/>
  <c r="D276" i="6" s="1"/>
  <c r="D263" i="6"/>
  <c r="B263" i="6"/>
  <c r="C263" i="6" s="1"/>
  <c r="C262" i="6"/>
  <c r="B262" i="6"/>
  <c r="D274" i="6" s="1"/>
  <c r="D261" i="6"/>
  <c r="B261" i="6"/>
  <c r="B260" i="6"/>
  <c r="B259" i="6"/>
  <c r="B258" i="6"/>
  <c r="C257" i="6"/>
  <c r="B257" i="6"/>
  <c r="D269" i="6" s="1"/>
  <c r="B256" i="6"/>
  <c r="B255" i="6"/>
  <c r="B254" i="6"/>
  <c r="B253" i="6"/>
  <c r="C253" i="6" s="1"/>
  <c r="D252" i="6"/>
  <c r="B252" i="6"/>
  <c r="C252" i="6" s="1"/>
  <c r="C251" i="6"/>
  <c r="B251" i="6"/>
  <c r="C250" i="6"/>
  <c r="B250" i="6"/>
  <c r="C249" i="6"/>
  <c r="B249" i="6"/>
  <c r="D249" i="6" s="1"/>
  <c r="B248" i="6"/>
  <c r="B247" i="6"/>
  <c r="B246" i="6"/>
  <c r="B245" i="6"/>
  <c r="C245" i="6" s="1"/>
  <c r="B244" i="6"/>
  <c r="D256" i="6" s="1"/>
  <c r="B243" i="6"/>
  <c r="B242" i="6"/>
  <c r="B241" i="6"/>
  <c r="D240" i="6"/>
  <c r="C240" i="6"/>
  <c r="B240" i="6"/>
  <c r="D239" i="6"/>
  <c r="B239" i="6"/>
  <c r="B238" i="6"/>
  <c r="D237" i="6"/>
  <c r="B237" i="6"/>
  <c r="B236" i="6"/>
  <c r="D235" i="6"/>
  <c r="C235" i="6"/>
  <c r="B235" i="6"/>
  <c r="B234" i="6"/>
  <c r="B233" i="6"/>
  <c r="B232" i="6"/>
  <c r="B231" i="6"/>
  <c r="B230" i="6"/>
  <c r="C229" i="6"/>
  <c r="B229" i="6"/>
  <c r="D241" i="6" s="1"/>
  <c r="D228" i="6"/>
  <c r="B228" i="6"/>
  <c r="C227" i="6"/>
  <c r="B227" i="6"/>
  <c r="D227" i="6" s="1"/>
  <c r="B226" i="6"/>
  <c r="B225" i="6"/>
  <c r="D224" i="6"/>
  <c r="C224" i="6"/>
  <c r="B224" i="6"/>
  <c r="C223" i="6"/>
  <c r="B223" i="6"/>
  <c r="D223" i="6" s="1"/>
  <c r="B222" i="6"/>
  <c r="D234" i="6" s="1"/>
  <c r="B221" i="6"/>
  <c r="B220" i="6"/>
  <c r="C219" i="6"/>
  <c r="B219" i="6"/>
  <c r="D231" i="6" s="1"/>
  <c r="C218" i="6"/>
  <c r="B218" i="6"/>
  <c r="D230" i="6" s="1"/>
  <c r="D217" i="6"/>
  <c r="B217" i="6"/>
  <c r="B216" i="6"/>
  <c r="C216" i="6" s="1"/>
  <c r="D215" i="6"/>
  <c r="B215" i="6"/>
  <c r="B214" i="6"/>
  <c r="D226" i="6" s="1"/>
  <c r="D213" i="6"/>
  <c r="C213" i="6"/>
  <c r="B213" i="6"/>
  <c r="B212" i="6"/>
  <c r="C212" i="6" s="1"/>
  <c r="D211" i="6"/>
  <c r="C211" i="6"/>
  <c r="B211" i="6"/>
  <c r="D210" i="6"/>
  <c r="C210" i="6"/>
  <c r="B210" i="6"/>
  <c r="D209" i="6"/>
  <c r="B209" i="6"/>
  <c r="D221" i="6" s="1"/>
  <c r="B208" i="6"/>
  <c r="C208" i="6" s="1"/>
  <c r="D207" i="6"/>
  <c r="B207" i="6"/>
  <c r="D219" i="6" s="1"/>
  <c r="B206" i="6"/>
  <c r="D218" i="6" s="1"/>
  <c r="D205" i="6"/>
  <c r="B205" i="6"/>
  <c r="B204" i="6"/>
  <c r="D203" i="6"/>
  <c r="C203" i="6"/>
  <c r="B203" i="6"/>
  <c r="C202" i="6"/>
  <c r="B202" i="6"/>
  <c r="D214" i="6" s="1"/>
  <c r="D201" i="6"/>
  <c r="C201" i="6"/>
  <c r="B201" i="6"/>
  <c r="B200" i="6"/>
  <c r="D199" i="6"/>
  <c r="B199" i="6"/>
  <c r="D198" i="6"/>
  <c r="C198" i="6"/>
  <c r="B198" i="6"/>
  <c r="C199" i="6" s="1"/>
  <c r="D197" i="6"/>
  <c r="B197" i="6"/>
  <c r="B196" i="6"/>
  <c r="D195" i="6"/>
  <c r="B195" i="6"/>
  <c r="C194" i="6"/>
  <c r="B194" i="6"/>
  <c r="D206" i="6" s="1"/>
  <c r="D193" i="6"/>
  <c r="B193" i="6"/>
  <c r="B192" i="6"/>
  <c r="C191" i="6"/>
  <c r="B191" i="6"/>
  <c r="B190" i="6"/>
  <c r="C190" i="6" s="1"/>
  <c r="D189" i="6"/>
  <c r="C189" i="6"/>
  <c r="B189" i="6"/>
  <c r="B188" i="6"/>
  <c r="C187" i="6"/>
  <c r="B187" i="6"/>
  <c r="D186" i="6"/>
  <c r="C186" i="6"/>
  <c r="B186" i="6"/>
  <c r="D185" i="6"/>
  <c r="B185" i="6"/>
  <c r="B184" i="6"/>
  <c r="D183" i="6"/>
  <c r="B183" i="6"/>
  <c r="B182" i="6"/>
  <c r="C183" i="6" s="1"/>
  <c r="D181" i="6"/>
  <c r="B181" i="6"/>
  <c r="B180" i="6"/>
  <c r="D179" i="6"/>
  <c r="B179" i="6"/>
  <c r="D191" i="6" s="1"/>
  <c r="C178" i="6"/>
  <c r="B178" i="6"/>
  <c r="D178" i="6" s="1"/>
  <c r="D177" i="6"/>
  <c r="C177" i="6"/>
  <c r="B177" i="6"/>
  <c r="B176" i="6"/>
  <c r="B175" i="6"/>
  <c r="D174" i="6"/>
  <c r="C174" i="6"/>
  <c r="B174" i="6"/>
  <c r="D173" i="6"/>
  <c r="B173" i="6"/>
  <c r="B172" i="6"/>
  <c r="B171" i="6"/>
  <c r="C171" i="6" s="1"/>
  <c r="C170" i="6"/>
  <c r="B170" i="6"/>
  <c r="D182" i="6" s="1"/>
  <c r="D169" i="6"/>
  <c r="B169" i="6"/>
  <c r="B168" i="6"/>
  <c r="C167" i="6"/>
  <c r="B167" i="6"/>
  <c r="B166" i="6"/>
  <c r="C166" i="6" s="1"/>
  <c r="D165" i="6"/>
  <c r="C165" i="6"/>
  <c r="B165" i="6"/>
  <c r="B164" i="6"/>
  <c r="C163" i="6"/>
  <c r="B163" i="6"/>
  <c r="D162" i="6"/>
  <c r="C162" i="6"/>
  <c r="B162" i="6"/>
  <c r="D161" i="6"/>
  <c r="B161" i="6"/>
  <c r="B160" i="6"/>
  <c r="B159" i="6"/>
  <c r="C159" i="6" s="1"/>
  <c r="B158" i="6"/>
  <c r="C158" i="6" s="1"/>
  <c r="D157" i="6"/>
  <c r="B157" i="6"/>
  <c r="B156" i="6"/>
  <c r="D155" i="6"/>
  <c r="B155" i="6"/>
  <c r="D167" i="6" s="1"/>
  <c r="C154" i="6"/>
  <c r="B154" i="6"/>
  <c r="D154" i="6" s="1"/>
  <c r="D153" i="6"/>
  <c r="C153" i="6"/>
  <c r="B153" i="6"/>
  <c r="B152" i="6"/>
  <c r="B151" i="6"/>
  <c r="D150" i="6"/>
  <c r="C150" i="6"/>
  <c r="B150" i="6"/>
  <c r="D149" i="6"/>
  <c r="B149" i="6"/>
  <c r="B148" i="6"/>
  <c r="B147" i="6"/>
  <c r="C147" i="6" s="1"/>
  <c r="C146" i="6"/>
  <c r="B146" i="6"/>
  <c r="D158" i="6" s="1"/>
  <c r="D145" i="6"/>
  <c r="B145" i="6"/>
  <c r="B144" i="6"/>
  <c r="C143" i="6"/>
  <c r="B143" i="6"/>
  <c r="B142" i="6"/>
  <c r="C142" i="6" s="1"/>
  <c r="D141" i="6"/>
  <c r="C141" i="6"/>
  <c r="B141" i="6"/>
  <c r="B140" i="6"/>
  <c r="C139" i="6"/>
  <c r="B139" i="6"/>
  <c r="D138" i="6"/>
  <c r="C138" i="6"/>
  <c r="B138" i="6"/>
  <c r="D137" i="6"/>
  <c r="B137" i="6"/>
  <c r="B136" i="6"/>
  <c r="B135" i="6"/>
  <c r="C135" i="6" s="1"/>
  <c r="B134" i="6"/>
  <c r="C134" i="6" s="1"/>
  <c r="D133" i="6"/>
  <c r="B133" i="6"/>
  <c r="B132" i="6"/>
  <c r="D131" i="6"/>
  <c r="B131" i="6"/>
  <c r="D143" i="6" s="1"/>
  <c r="C130" i="6"/>
  <c r="B130" i="6"/>
  <c r="D130" i="6" s="1"/>
  <c r="D129" i="6"/>
  <c r="C129" i="6"/>
  <c r="B129" i="6"/>
  <c r="B128" i="6"/>
  <c r="B127" i="6"/>
  <c r="D126" i="6"/>
  <c r="C126" i="6"/>
  <c r="B126" i="6"/>
  <c r="D125" i="6"/>
  <c r="B125" i="6"/>
  <c r="B124" i="6"/>
  <c r="B123" i="6"/>
  <c r="C123" i="6" s="1"/>
  <c r="C122" i="6"/>
  <c r="B122" i="6"/>
  <c r="D134" i="6" s="1"/>
  <c r="D121" i="6"/>
  <c r="B121" i="6"/>
  <c r="B120" i="6"/>
  <c r="C119" i="6"/>
  <c r="B119" i="6"/>
  <c r="B118" i="6"/>
  <c r="C118" i="6" s="1"/>
  <c r="D117" i="6"/>
  <c r="C117" i="6"/>
  <c r="B117" i="6"/>
  <c r="B116" i="6"/>
  <c r="C115" i="6"/>
  <c r="B115" i="6"/>
  <c r="D127" i="6" s="1"/>
  <c r="D114" i="6"/>
  <c r="C114" i="6"/>
  <c r="B114" i="6"/>
  <c r="D113" i="6"/>
  <c r="B113" i="6"/>
  <c r="B112" i="6"/>
  <c r="B111" i="6"/>
  <c r="C111" i="6" s="1"/>
  <c r="B110" i="6"/>
  <c r="C110" i="6" s="1"/>
  <c r="D109" i="6"/>
  <c r="B109" i="6"/>
  <c r="B108" i="6"/>
  <c r="D107" i="6"/>
  <c r="B107" i="6"/>
  <c r="D119" i="6" s="1"/>
  <c r="C106" i="6"/>
  <c r="B106" i="6"/>
  <c r="D106" i="6" s="1"/>
  <c r="D105" i="6"/>
  <c r="C105" i="6"/>
  <c r="B105" i="6"/>
  <c r="B104" i="6"/>
  <c r="B103" i="6"/>
  <c r="D102" i="6"/>
  <c r="C102" i="6"/>
  <c r="B102" i="6"/>
  <c r="D101" i="6"/>
  <c r="B101" i="6"/>
  <c r="B100" i="6"/>
  <c r="B99" i="6"/>
  <c r="C99" i="6" s="1"/>
  <c r="C98" i="6"/>
  <c r="B98" i="6"/>
  <c r="D110" i="6" s="1"/>
  <c r="D97" i="6"/>
  <c r="B97" i="6"/>
  <c r="B96" i="6"/>
  <c r="C95" i="6"/>
  <c r="B95" i="6"/>
  <c r="B94" i="6"/>
  <c r="C94" i="6" s="1"/>
  <c r="D93" i="6"/>
  <c r="C93" i="6"/>
  <c r="B93" i="6"/>
  <c r="B92" i="6"/>
  <c r="C91" i="6"/>
  <c r="B91" i="6"/>
  <c r="D90" i="6"/>
  <c r="C90" i="6"/>
  <c r="B90" i="6"/>
  <c r="D89" i="6"/>
  <c r="B89" i="6"/>
  <c r="B88" i="6"/>
  <c r="B87" i="6"/>
  <c r="C87" i="6" s="1"/>
  <c r="B86" i="6"/>
  <c r="C86" i="6" s="1"/>
  <c r="D85" i="6"/>
  <c r="B85" i="6"/>
  <c r="B84" i="6"/>
  <c r="D83" i="6"/>
  <c r="B83" i="6"/>
  <c r="D95" i="6" s="1"/>
  <c r="C82" i="6"/>
  <c r="B82" i="6"/>
  <c r="D82" i="6" s="1"/>
  <c r="D81" i="6"/>
  <c r="C81" i="6"/>
  <c r="B81" i="6"/>
  <c r="B80" i="6"/>
  <c r="B79" i="6"/>
  <c r="D78" i="6"/>
  <c r="C78" i="6"/>
  <c r="B78" i="6"/>
  <c r="D77" i="6"/>
  <c r="B77" i="6"/>
  <c r="B76" i="6"/>
  <c r="B75" i="6"/>
  <c r="C75" i="6" s="1"/>
  <c r="C74" i="6"/>
  <c r="B74" i="6"/>
  <c r="D86" i="6" s="1"/>
  <c r="D73" i="6"/>
  <c r="B73" i="6"/>
  <c r="B72" i="6"/>
  <c r="C71" i="6"/>
  <c r="B71" i="6"/>
  <c r="B70" i="6"/>
  <c r="C70" i="6" s="1"/>
  <c r="D69" i="6"/>
  <c r="C69" i="6"/>
  <c r="B69" i="6"/>
  <c r="B68" i="6"/>
  <c r="C67" i="6"/>
  <c r="B67" i="6"/>
  <c r="D79" i="6" s="1"/>
  <c r="D66" i="6"/>
  <c r="C66" i="6"/>
  <c r="B66" i="6"/>
  <c r="D65" i="6"/>
  <c r="B65" i="6"/>
  <c r="B64" i="6"/>
  <c r="B63" i="6"/>
  <c r="C63" i="6" s="1"/>
  <c r="B62" i="6"/>
  <c r="C62" i="6" s="1"/>
  <c r="D61" i="6"/>
  <c r="B61" i="6"/>
  <c r="B60" i="6"/>
  <c r="D59" i="6"/>
  <c r="C59" i="6"/>
  <c r="B59" i="6"/>
  <c r="D71" i="6" s="1"/>
  <c r="C58" i="6"/>
  <c r="B58" i="6"/>
  <c r="D58" i="6" s="1"/>
  <c r="D57" i="6"/>
  <c r="C57" i="6"/>
  <c r="B57" i="6"/>
  <c r="B56" i="6"/>
  <c r="B55" i="6"/>
  <c r="D54" i="6"/>
  <c r="C54" i="6"/>
  <c r="B54" i="6"/>
  <c r="D53" i="6"/>
  <c r="B53" i="6"/>
  <c r="B52" i="6"/>
  <c r="B51" i="6"/>
  <c r="C51" i="6" s="1"/>
  <c r="C50" i="6"/>
  <c r="B50" i="6"/>
  <c r="D62" i="6" s="1"/>
  <c r="D49" i="6"/>
  <c r="B49" i="6"/>
  <c r="B48" i="6"/>
  <c r="C47" i="6"/>
  <c r="B47" i="6"/>
  <c r="B46" i="6"/>
  <c r="C46" i="6" s="1"/>
  <c r="D45" i="6"/>
  <c r="C45" i="6"/>
  <c r="B45" i="6"/>
  <c r="B44" i="6"/>
  <c r="C43" i="6"/>
  <c r="B43" i="6"/>
  <c r="D55" i="6" s="1"/>
  <c r="D42" i="6"/>
  <c r="C42" i="6"/>
  <c r="B42" i="6"/>
  <c r="D41" i="6"/>
  <c r="B41" i="6"/>
  <c r="B40" i="6"/>
  <c r="B39" i="6"/>
  <c r="C39" i="6" s="1"/>
  <c r="B38" i="6"/>
  <c r="C38" i="6" s="1"/>
  <c r="D37" i="6"/>
  <c r="B37" i="6"/>
  <c r="B36" i="6"/>
  <c r="D35" i="6"/>
  <c r="C35" i="6"/>
  <c r="B35" i="6"/>
  <c r="D47" i="6" s="1"/>
  <c r="C34" i="6"/>
  <c r="B34" i="6"/>
  <c r="D34" i="6" s="1"/>
  <c r="D33" i="6"/>
  <c r="C33" i="6"/>
  <c r="B33" i="6"/>
  <c r="B32" i="6"/>
  <c r="B31" i="6"/>
  <c r="C30" i="6"/>
  <c r="B30" i="6"/>
  <c r="D29" i="6"/>
  <c r="B29" i="6"/>
  <c r="B28" i="6"/>
  <c r="D27" i="6"/>
  <c r="B27" i="6"/>
  <c r="C27" i="6" s="1"/>
  <c r="C26" i="6"/>
  <c r="B26" i="6"/>
  <c r="D38" i="6" s="1"/>
  <c r="D25" i="6"/>
  <c r="B25" i="6"/>
  <c r="B24" i="6"/>
  <c r="C23" i="6"/>
  <c r="B23" i="6"/>
  <c r="B22" i="6"/>
  <c r="C22" i="6" s="1"/>
  <c r="D21" i="6"/>
  <c r="C21" i="6"/>
  <c r="B21" i="6"/>
  <c r="B20" i="6"/>
  <c r="B19" i="6"/>
  <c r="D31" i="6" s="1"/>
  <c r="B18" i="6"/>
  <c r="C19" i="6" s="1"/>
  <c r="C17" i="6"/>
  <c r="B17" i="6"/>
  <c r="B16" i="6"/>
  <c r="B15" i="6"/>
  <c r="C15" i="6" s="1"/>
  <c r="B14" i="6"/>
  <c r="C14" i="6" s="1"/>
  <c r="C13" i="6"/>
  <c r="B13" i="6"/>
  <c r="B12" i="6"/>
  <c r="D24" i="6" s="1"/>
  <c r="B11" i="6"/>
  <c r="C12" i="6" s="1"/>
  <c r="C10" i="6"/>
  <c r="B10" i="6"/>
  <c r="D22" i="6" s="1"/>
  <c r="B9" i="6"/>
  <c r="B8" i="6"/>
  <c r="B7" i="6"/>
  <c r="U2" i="6"/>
  <c r="Y1" i="6" s="1"/>
  <c r="U1" i="6"/>
  <c r="C678" i="5"/>
  <c r="B678" i="5"/>
  <c r="C677" i="5"/>
  <c r="B677" i="5"/>
  <c r="C676" i="5"/>
  <c r="B676" i="5"/>
  <c r="C675" i="5"/>
  <c r="B675" i="5"/>
  <c r="C674" i="5"/>
  <c r="B674" i="5"/>
  <c r="C673" i="5"/>
  <c r="B673" i="5"/>
  <c r="C672" i="5"/>
  <c r="B672" i="5"/>
  <c r="C671" i="5"/>
  <c r="B671" i="5"/>
  <c r="C670" i="5"/>
  <c r="B670" i="5"/>
  <c r="C669" i="5"/>
  <c r="B669" i="5"/>
  <c r="C668" i="5"/>
  <c r="B668" i="5"/>
  <c r="C667" i="5"/>
  <c r="B667" i="5"/>
  <c r="C666" i="5"/>
  <c r="B666" i="5"/>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C619" i="4"/>
  <c r="B619" i="4"/>
  <c r="B618" i="4"/>
  <c r="B617" i="4"/>
  <c r="C616" i="4"/>
  <c r="B616" i="4"/>
  <c r="B615" i="4"/>
  <c r="C615" i="4" s="1"/>
  <c r="B614" i="4"/>
  <c r="C613" i="4"/>
  <c r="B613" i="4"/>
  <c r="C614" i="4" s="1"/>
  <c r="C612" i="4"/>
  <c r="B612" i="4"/>
  <c r="D611" i="4"/>
  <c r="B611" i="4"/>
  <c r="C611" i="4" s="1"/>
  <c r="B610" i="4"/>
  <c r="C609" i="4"/>
  <c r="B609" i="4"/>
  <c r="C610" i="4" s="1"/>
  <c r="D608" i="4"/>
  <c r="B608" i="4"/>
  <c r="D607" i="4"/>
  <c r="B607" i="4"/>
  <c r="C608" i="4" s="1"/>
  <c r="B606" i="4"/>
  <c r="D618" i="4" s="1"/>
  <c r="B605" i="4"/>
  <c r="C606" i="4" s="1"/>
  <c r="D604" i="4"/>
  <c r="B604" i="4"/>
  <c r="D616" i="4" s="1"/>
  <c r="B603" i="4"/>
  <c r="B602" i="4"/>
  <c r="D614" i="4" s="1"/>
  <c r="D601" i="4"/>
  <c r="B601" i="4"/>
  <c r="C602" i="4" s="1"/>
  <c r="B600" i="4"/>
  <c r="C599" i="4"/>
  <c r="B599" i="4"/>
  <c r="B598" i="4"/>
  <c r="D610" i="4" s="1"/>
  <c r="D597" i="4"/>
  <c r="B597" i="4"/>
  <c r="C598" i="4" s="1"/>
  <c r="C596" i="4"/>
  <c r="B596" i="4"/>
  <c r="C595" i="4"/>
  <c r="B595" i="4"/>
  <c r="B594" i="4"/>
  <c r="D606" i="4" s="1"/>
  <c r="B593" i="4"/>
  <c r="C592" i="4"/>
  <c r="B592" i="4"/>
  <c r="B591" i="4"/>
  <c r="B590" i="4"/>
  <c r="D602" i="4" s="1"/>
  <c r="C589" i="4"/>
  <c r="B589" i="4"/>
  <c r="C590" i="4" s="1"/>
  <c r="C588" i="4"/>
  <c r="B588" i="4"/>
  <c r="D600" i="4" s="1"/>
  <c r="D587" i="4"/>
  <c r="B587" i="4"/>
  <c r="D599" i="4" s="1"/>
  <c r="B586" i="4"/>
  <c r="D598" i="4" s="1"/>
  <c r="C585" i="4"/>
  <c r="B585" i="4"/>
  <c r="C586" i="4" s="1"/>
  <c r="D584" i="4"/>
  <c r="B584" i="4"/>
  <c r="D596" i="4" s="1"/>
  <c r="D583" i="4"/>
  <c r="B583" i="4"/>
  <c r="C584" i="4" s="1"/>
  <c r="B582" i="4"/>
  <c r="D594" i="4" s="1"/>
  <c r="B581" i="4"/>
  <c r="C582" i="4" s="1"/>
  <c r="D580" i="4"/>
  <c r="B580" i="4"/>
  <c r="D592" i="4" s="1"/>
  <c r="B579" i="4"/>
  <c r="B578" i="4"/>
  <c r="D590" i="4" s="1"/>
  <c r="D577" i="4"/>
  <c r="B577" i="4"/>
  <c r="C578" i="4" s="1"/>
  <c r="B576" i="4"/>
  <c r="C575" i="4"/>
  <c r="B575" i="4"/>
  <c r="B574" i="4"/>
  <c r="D586" i="4" s="1"/>
  <c r="D573" i="4"/>
  <c r="B573" i="4"/>
  <c r="C574" i="4" s="1"/>
  <c r="C572" i="4"/>
  <c r="B572" i="4"/>
  <c r="C571" i="4"/>
  <c r="B571" i="4"/>
  <c r="B570" i="4"/>
  <c r="D582" i="4" s="1"/>
  <c r="B569" i="4"/>
  <c r="C568" i="4"/>
  <c r="B568" i="4"/>
  <c r="B567" i="4"/>
  <c r="D579" i="4" s="1"/>
  <c r="B566" i="4"/>
  <c r="D578" i="4" s="1"/>
  <c r="C565" i="4"/>
  <c r="B565" i="4"/>
  <c r="C566" i="4" s="1"/>
  <c r="C564" i="4"/>
  <c r="B564" i="4"/>
  <c r="D563" i="4"/>
  <c r="B563" i="4"/>
  <c r="D575" i="4" s="1"/>
  <c r="B562" i="4"/>
  <c r="D574" i="4" s="1"/>
  <c r="C561" i="4"/>
  <c r="B561" i="4"/>
  <c r="C562" i="4" s="1"/>
  <c r="D560" i="4"/>
  <c r="B560" i="4"/>
  <c r="D572" i="4" s="1"/>
  <c r="D559" i="4"/>
  <c r="B559" i="4"/>
  <c r="C560" i="4" s="1"/>
  <c r="B558" i="4"/>
  <c r="D570" i="4" s="1"/>
  <c r="B557" i="4"/>
  <c r="C558" i="4" s="1"/>
  <c r="D556" i="4"/>
  <c r="B556" i="4"/>
  <c r="D568" i="4" s="1"/>
  <c r="B555" i="4"/>
  <c r="B554" i="4"/>
  <c r="D566" i="4" s="1"/>
  <c r="D553" i="4"/>
  <c r="B553" i="4"/>
  <c r="C554" i="4" s="1"/>
  <c r="B552" i="4"/>
  <c r="C551" i="4"/>
  <c r="B551" i="4"/>
  <c r="B550" i="4"/>
  <c r="D562" i="4" s="1"/>
  <c r="D549" i="4"/>
  <c r="B549" i="4"/>
  <c r="C550" i="4" s="1"/>
  <c r="C548" i="4"/>
  <c r="B548" i="4"/>
  <c r="C547" i="4"/>
  <c r="B547" i="4"/>
  <c r="B546" i="4"/>
  <c r="D558" i="4" s="1"/>
  <c r="B545" i="4"/>
  <c r="C544" i="4"/>
  <c r="B544" i="4"/>
  <c r="B543" i="4"/>
  <c r="B542" i="4"/>
  <c r="D554" i="4" s="1"/>
  <c r="C541" i="4"/>
  <c r="B541" i="4"/>
  <c r="C542" i="4" s="1"/>
  <c r="C540" i="4"/>
  <c r="B540" i="4"/>
  <c r="D539" i="4"/>
  <c r="B539" i="4"/>
  <c r="D551" i="4" s="1"/>
  <c r="B538" i="4"/>
  <c r="D550" i="4" s="1"/>
  <c r="C537" i="4"/>
  <c r="B537" i="4"/>
  <c r="C538" i="4" s="1"/>
  <c r="D536" i="4"/>
  <c r="B536" i="4"/>
  <c r="D548" i="4" s="1"/>
  <c r="D535" i="4"/>
  <c r="B535" i="4"/>
  <c r="C536" i="4" s="1"/>
  <c r="B534" i="4"/>
  <c r="D546" i="4" s="1"/>
  <c r="B533" i="4"/>
  <c r="C534" i="4" s="1"/>
  <c r="D532" i="4"/>
  <c r="B532" i="4"/>
  <c r="D544" i="4" s="1"/>
  <c r="B531" i="4"/>
  <c r="B530" i="4"/>
  <c r="D542" i="4" s="1"/>
  <c r="D529" i="4"/>
  <c r="B529" i="4"/>
  <c r="C530" i="4" s="1"/>
  <c r="B528" i="4"/>
  <c r="C527" i="4"/>
  <c r="B527" i="4"/>
  <c r="B526" i="4"/>
  <c r="D538" i="4" s="1"/>
  <c r="D525" i="4"/>
  <c r="B525" i="4"/>
  <c r="C526" i="4" s="1"/>
  <c r="C524" i="4"/>
  <c r="B524" i="4"/>
  <c r="C523" i="4"/>
  <c r="B523" i="4"/>
  <c r="B522" i="4"/>
  <c r="D534" i="4" s="1"/>
  <c r="B521" i="4"/>
  <c r="C520" i="4"/>
  <c r="B520" i="4"/>
  <c r="B519" i="4"/>
  <c r="B518" i="4"/>
  <c r="D530" i="4" s="1"/>
  <c r="C517" i="4"/>
  <c r="B517" i="4"/>
  <c r="C518" i="4" s="1"/>
  <c r="C516" i="4"/>
  <c r="B516" i="4"/>
  <c r="D528" i="4" s="1"/>
  <c r="D515" i="4"/>
  <c r="B515" i="4"/>
  <c r="D527" i="4" s="1"/>
  <c r="B514" i="4"/>
  <c r="D526" i="4" s="1"/>
  <c r="C513" i="4"/>
  <c r="B513" i="4"/>
  <c r="C514" i="4" s="1"/>
  <c r="D512" i="4"/>
  <c r="B512" i="4"/>
  <c r="D524" i="4" s="1"/>
  <c r="D511" i="4"/>
  <c r="B511" i="4"/>
  <c r="C512" i="4" s="1"/>
  <c r="B510" i="4"/>
  <c r="D522" i="4" s="1"/>
  <c r="B509" i="4"/>
  <c r="C510" i="4" s="1"/>
  <c r="D508" i="4"/>
  <c r="B508" i="4"/>
  <c r="D520" i="4" s="1"/>
  <c r="B507" i="4"/>
  <c r="B506" i="4"/>
  <c r="D518" i="4" s="1"/>
  <c r="D505" i="4"/>
  <c r="B505" i="4"/>
  <c r="C506" i="4" s="1"/>
  <c r="B504" i="4"/>
  <c r="C503" i="4"/>
  <c r="B503" i="4"/>
  <c r="B502" i="4"/>
  <c r="D514" i="4" s="1"/>
  <c r="D501" i="4"/>
  <c r="B501" i="4"/>
  <c r="C502" i="4" s="1"/>
  <c r="C500" i="4"/>
  <c r="B500" i="4"/>
  <c r="C499" i="4"/>
  <c r="B499" i="4"/>
  <c r="B498" i="4"/>
  <c r="D510" i="4" s="1"/>
  <c r="B497" i="4"/>
  <c r="C496" i="4"/>
  <c r="B496" i="4"/>
  <c r="B495" i="4"/>
  <c r="B494" i="4"/>
  <c r="D506" i="4" s="1"/>
  <c r="C493" i="4"/>
  <c r="B493" i="4"/>
  <c r="C494" i="4" s="1"/>
  <c r="C492" i="4"/>
  <c r="B492" i="4"/>
  <c r="D504" i="4" s="1"/>
  <c r="D491" i="4"/>
  <c r="B491" i="4"/>
  <c r="D503" i="4" s="1"/>
  <c r="B490" i="4"/>
  <c r="D502" i="4" s="1"/>
  <c r="C489" i="4"/>
  <c r="B489" i="4"/>
  <c r="C490" i="4" s="1"/>
  <c r="D488" i="4"/>
  <c r="B488" i="4"/>
  <c r="D500" i="4" s="1"/>
  <c r="D487" i="4"/>
  <c r="B487" i="4"/>
  <c r="C488" i="4" s="1"/>
  <c r="B486" i="4"/>
  <c r="D498" i="4" s="1"/>
  <c r="B485" i="4"/>
  <c r="C486" i="4" s="1"/>
  <c r="D484" i="4"/>
  <c r="B484" i="4"/>
  <c r="D496" i="4" s="1"/>
  <c r="B483" i="4"/>
  <c r="B482" i="4"/>
  <c r="D494" i="4" s="1"/>
  <c r="D481" i="4"/>
  <c r="B481" i="4"/>
  <c r="C482" i="4" s="1"/>
  <c r="B480" i="4"/>
  <c r="C479" i="4"/>
  <c r="B479" i="4"/>
  <c r="B478" i="4"/>
  <c r="D490" i="4" s="1"/>
  <c r="D477" i="4"/>
  <c r="B477" i="4"/>
  <c r="C478" i="4" s="1"/>
  <c r="C476" i="4"/>
  <c r="B476" i="4"/>
  <c r="C475" i="4"/>
  <c r="B475" i="4"/>
  <c r="B474" i="4"/>
  <c r="D486" i="4" s="1"/>
  <c r="B473" i="4"/>
  <c r="C472" i="4"/>
  <c r="B472" i="4"/>
  <c r="B471" i="4"/>
  <c r="B470" i="4"/>
  <c r="D482" i="4" s="1"/>
  <c r="C469" i="4"/>
  <c r="B469" i="4"/>
  <c r="C470" i="4" s="1"/>
  <c r="C468" i="4"/>
  <c r="B468" i="4"/>
  <c r="D480" i="4" s="1"/>
  <c r="D467" i="4"/>
  <c r="B467" i="4"/>
  <c r="D479" i="4" s="1"/>
  <c r="B466" i="4"/>
  <c r="D478" i="4" s="1"/>
  <c r="C465" i="4"/>
  <c r="B465" i="4"/>
  <c r="C466" i="4" s="1"/>
  <c r="D464" i="4"/>
  <c r="B464" i="4"/>
  <c r="D476" i="4" s="1"/>
  <c r="D463" i="4"/>
  <c r="B463" i="4"/>
  <c r="B462" i="4"/>
  <c r="D474" i="4" s="1"/>
  <c r="B461" i="4"/>
  <c r="C462" i="4" s="1"/>
  <c r="D460" i="4"/>
  <c r="B460" i="4"/>
  <c r="D472" i="4" s="1"/>
  <c r="B459" i="4"/>
  <c r="B458" i="4"/>
  <c r="D470" i="4" s="1"/>
  <c r="D457" i="4"/>
  <c r="B457" i="4"/>
  <c r="C458" i="4" s="1"/>
  <c r="B456" i="4"/>
  <c r="C455" i="4"/>
  <c r="B455" i="4"/>
  <c r="B454" i="4"/>
  <c r="D466" i="4" s="1"/>
  <c r="D453" i="4"/>
  <c r="B453" i="4"/>
  <c r="C452" i="4"/>
  <c r="B452" i="4"/>
  <c r="C451" i="4"/>
  <c r="B451" i="4"/>
  <c r="B450" i="4"/>
  <c r="D462" i="4" s="1"/>
  <c r="B449" i="4"/>
  <c r="C448" i="4"/>
  <c r="B448" i="4"/>
  <c r="B447" i="4"/>
  <c r="D459" i="4" s="1"/>
  <c r="B446" i="4"/>
  <c r="D458" i="4" s="1"/>
  <c r="C445" i="4"/>
  <c r="B445" i="4"/>
  <c r="C446" i="4" s="1"/>
  <c r="C444" i="4"/>
  <c r="B444" i="4"/>
  <c r="D456" i="4" s="1"/>
  <c r="D443" i="4"/>
  <c r="B443" i="4"/>
  <c r="D455" i="4" s="1"/>
  <c r="B442" i="4"/>
  <c r="D454" i="4" s="1"/>
  <c r="C441" i="4"/>
  <c r="B441" i="4"/>
  <c r="C442" i="4" s="1"/>
  <c r="D440" i="4"/>
  <c r="B440" i="4"/>
  <c r="D452" i="4" s="1"/>
  <c r="B439" i="4"/>
  <c r="B438" i="4"/>
  <c r="D450" i="4" s="1"/>
  <c r="B437" i="4"/>
  <c r="C438" i="4" s="1"/>
  <c r="D436" i="4"/>
  <c r="B436" i="4"/>
  <c r="D448" i="4" s="1"/>
  <c r="B435" i="4"/>
  <c r="B434" i="4"/>
  <c r="D446" i="4" s="1"/>
  <c r="D433" i="4"/>
  <c r="B433" i="4"/>
  <c r="C434" i="4" s="1"/>
  <c r="B432" i="4"/>
  <c r="C431" i="4"/>
  <c r="B431" i="4"/>
  <c r="B430" i="4"/>
  <c r="D442" i="4" s="1"/>
  <c r="B429" i="4"/>
  <c r="C428" i="4"/>
  <c r="B428" i="4"/>
  <c r="C427" i="4"/>
  <c r="B427" i="4"/>
  <c r="B426" i="4"/>
  <c r="D438" i="4" s="1"/>
  <c r="B425" i="4"/>
  <c r="C424" i="4"/>
  <c r="B424" i="4"/>
  <c r="B423" i="4"/>
  <c r="D435" i="4" s="1"/>
  <c r="B422" i="4"/>
  <c r="D434" i="4" s="1"/>
  <c r="C421" i="4"/>
  <c r="B421" i="4"/>
  <c r="C422" i="4" s="1"/>
  <c r="C420" i="4"/>
  <c r="B420" i="4"/>
  <c r="B419" i="4"/>
  <c r="B418" i="4"/>
  <c r="D430" i="4" s="1"/>
  <c r="C417" i="4"/>
  <c r="B417" i="4"/>
  <c r="D416" i="4"/>
  <c r="B416" i="4"/>
  <c r="D428" i="4" s="1"/>
  <c r="B415" i="4"/>
  <c r="B414" i="4"/>
  <c r="D426" i="4" s="1"/>
  <c r="D413" i="4"/>
  <c r="B413" i="4"/>
  <c r="D425" i="4" s="1"/>
  <c r="D412" i="4"/>
  <c r="B412" i="4"/>
  <c r="D424" i="4" s="1"/>
  <c r="B411" i="4"/>
  <c r="B410" i="4"/>
  <c r="D422" i="4" s="1"/>
  <c r="B409" i="4"/>
  <c r="B408" i="4"/>
  <c r="C407" i="4"/>
  <c r="B407" i="4"/>
  <c r="B406" i="4"/>
  <c r="D418" i="4" s="1"/>
  <c r="B405" i="4"/>
  <c r="B404" i="4"/>
  <c r="C403" i="4"/>
  <c r="B403" i="4"/>
  <c r="D415" i="4" s="1"/>
  <c r="B402" i="4"/>
  <c r="D414" i="4" s="1"/>
  <c r="B401" i="4"/>
  <c r="C401" i="4" s="1"/>
  <c r="C400" i="4"/>
  <c r="B400" i="4"/>
  <c r="B399" i="4"/>
  <c r="B398" i="4"/>
  <c r="D410" i="4" s="1"/>
  <c r="D397" i="4"/>
  <c r="C397" i="4"/>
  <c r="B397" i="4"/>
  <c r="C396" i="4"/>
  <c r="B396" i="4"/>
  <c r="D408" i="4" s="1"/>
  <c r="D395" i="4"/>
  <c r="B395" i="4"/>
  <c r="C395" i="4" s="1"/>
  <c r="B394" i="4"/>
  <c r="D406" i="4" s="1"/>
  <c r="C393" i="4"/>
  <c r="B393" i="4"/>
  <c r="D405" i="4" s="1"/>
  <c r="D392" i="4"/>
  <c r="B392" i="4"/>
  <c r="D404" i="4" s="1"/>
  <c r="B391" i="4"/>
  <c r="B390" i="4"/>
  <c r="D402" i="4" s="1"/>
  <c r="D389" i="4"/>
  <c r="B389" i="4"/>
  <c r="D401" i="4" s="1"/>
  <c r="D388" i="4"/>
  <c r="B388" i="4"/>
  <c r="D400" i="4" s="1"/>
  <c r="B387" i="4"/>
  <c r="B386" i="4"/>
  <c r="D398" i="4" s="1"/>
  <c r="D385" i="4"/>
  <c r="B385" i="4"/>
  <c r="B384" i="4"/>
  <c r="C383" i="4"/>
  <c r="B383" i="4"/>
  <c r="B382" i="4"/>
  <c r="D394" i="4" s="1"/>
  <c r="B381" i="4"/>
  <c r="B380" i="4"/>
  <c r="B379" i="4"/>
  <c r="C380" i="4" s="1"/>
  <c r="B378" i="4"/>
  <c r="D390" i="4" s="1"/>
  <c r="B377" i="4"/>
  <c r="C377" i="4" s="1"/>
  <c r="C376" i="4"/>
  <c r="B376" i="4"/>
  <c r="B375" i="4"/>
  <c r="B374" i="4"/>
  <c r="D386" i="4" s="1"/>
  <c r="C373" i="4"/>
  <c r="B373" i="4"/>
  <c r="C372" i="4"/>
  <c r="B372" i="4"/>
  <c r="D384" i="4" s="1"/>
  <c r="B371" i="4"/>
  <c r="C371" i="4" s="1"/>
  <c r="B370" i="4"/>
  <c r="D382" i="4" s="1"/>
  <c r="B369" i="4"/>
  <c r="D381" i="4" s="1"/>
  <c r="D368" i="4"/>
  <c r="B368" i="4"/>
  <c r="D380" i="4" s="1"/>
  <c r="B367" i="4"/>
  <c r="B366" i="4"/>
  <c r="D378" i="4" s="1"/>
  <c r="D365" i="4"/>
  <c r="B365" i="4"/>
  <c r="D377" i="4" s="1"/>
  <c r="D364" i="4"/>
  <c r="B364" i="4"/>
  <c r="D376" i="4" s="1"/>
  <c r="B363" i="4"/>
  <c r="D375" i="4" s="1"/>
  <c r="B362" i="4"/>
  <c r="D374" i="4" s="1"/>
  <c r="B361" i="4"/>
  <c r="C361" i="4" s="1"/>
  <c r="B360" i="4"/>
  <c r="C359" i="4"/>
  <c r="B359" i="4"/>
  <c r="B358" i="4"/>
  <c r="B357" i="4"/>
  <c r="B356" i="4"/>
  <c r="C355" i="4"/>
  <c r="B355" i="4"/>
  <c r="D367" i="4" s="1"/>
  <c r="B354" i="4"/>
  <c r="B353" i="4"/>
  <c r="C353" i="4" s="1"/>
  <c r="C352" i="4"/>
  <c r="B352" i="4"/>
  <c r="B351" i="4"/>
  <c r="B350" i="4"/>
  <c r="D349" i="4"/>
  <c r="C349" i="4"/>
  <c r="B349" i="4"/>
  <c r="C348" i="4"/>
  <c r="B348" i="4"/>
  <c r="D347" i="4"/>
  <c r="B347" i="4"/>
  <c r="C347" i="4" s="1"/>
  <c r="B346" i="4"/>
  <c r="C345" i="4"/>
  <c r="B345" i="4"/>
  <c r="D357" i="4" s="1"/>
  <c r="D344" i="4"/>
  <c r="B344" i="4"/>
  <c r="D356" i="4" s="1"/>
  <c r="B343" i="4"/>
  <c r="B342" i="4"/>
  <c r="B341" i="4"/>
  <c r="D340" i="4"/>
  <c r="B340" i="4"/>
  <c r="D352" i="4" s="1"/>
  <c r="B339" i="4"/>
  <c r="B338" i="4"/>
  <c r="D337" i="4"/>
  <c r="B337" i="4"/>
  <c r="C336" i="4"/>
  <c r="B336" i="4"/>
  <c r="D348" i="4" s="1"/>
  <c r="C335" i="4"/>
  <c r="B335" i="4"/>
  <c r="B334" i="4"/>
  <c r="B333" i="4"/>
  <c r="C332" i="4"/>
  <c r="B332" i="4"/>
  <c r="B331" i="4"/>
  <c r="C331" i="4" s="1"/>
  <c r="B330" i="4"/>
  <c r="B329" i="4"/>
  <c r="C329" i="4" s="1"/>
  <c r="C328" i="4"/>
  <c r="B328" i="4"/>
  <c r="B327" i="4"/>
  <c r="B326" i="4"/>
  <c r="C325" i="4"/>
  <c r="B325" i="4"/>
  <c r="B324" i="4"/>
  <c r="D336" i="4" s="1"/>
  <c r="B323" i="4"/>
  <c r="D335" i="4" s="1"/>
  <c r="B322" i="4"/>
  <c r="C321" i="4"/>
  <c r="B321" i="4"/>
  <c r="D333" i="4" s="1"/>
  <c r="D320" i="4"/>
  <c r="B320" i="4"/>
  <c r="D332" i="4" s="1"/>
  <c r="B319" i="4"/>
  <c r="B318" i="4"/>
  <c r="D317" i="4"/>
  <c r="B317" i="4"/>
  <c r="D316" i="4"/>
  <c r="C316" i="4"/>
  <c r="B316" i="4"/>
  <c r="D328" i="4" s="1"/>
  <c r="B315" i="4"/>
  <c r="C315" i="4" s="1"/>
  <c r="B314" i="4"/>
  <c r="B313" i="4"/>
  <c r="D325" i="4" s="1"/>
  <c r="B312" i="4"/>
  <c r="D324" i="4" s="1"/>
  <c r="C311" i="4"/>
  <c r="B311" i="4"/>
  <c r="B310" i="4"/>
  <c r="B309" i="4"/>
  <c r="C309" i="4" s="1"/>
  <c r="C308" i="4"/>
  <c r="B308" i="4"/>
  <c r="C307" i="4"/>
  <c r="B307" i="4"/>
  <c r="D319" i="4" s="1"/>
  <c r="B306" i="4"/>
  <c r="B305" i="4"/>
  <c r="C305" i="4" s="1"/>
  <c r="B304" i="4"/>
  <c r="B303" i="4"/>
  <c r="B302" i="4"/>
  <c r="C301" i="4"/>
  <c r="B301" i="4"/>
  <c r="C300" i="4"/>
  <c r="B300" i="4"/>
  <c r="D299" i="4"/>
  <c r="B299" i="4"/>
  <c r="C299" i="4" s="1"/>
  <c r="B298" i="4"/>
  <c r="B297" i="4"/>
  <c r="C297" i="4" s="1"/>
  <c r="D296" i="4"/>
  <c r="B296" i="4"/>
  <c r="D308" i="4" s="1"/>
  <c r="B295" i="4"/>
  <c r="B294" i="4"/>
  <c r="B293" i="4"/>
  <c r="D292" i="4"/>
  <c r="B292" i="4"/>
  <c r="D304" i="4" s="1"/>
  <c r="B291" i="4"/>
  <c r="D303" i="4" s="1"/>
  <c r="B290" i="4"/>
  <c r="B289" i="4"/>
  <c r="C289" i="4" s="1"/>
  <c r="C288" i="4"/>
  <c r="B288" i="4"/>
  <c r="D300" i="4" s="1"/>
  <c r="C287" i="4"/>
  <c r="B287" i="4"/>
  <c r="B286" i="4"/>
  <c r="B285" i="4"/>
  <c r="C285" i="4" s="1"/>
  <c r="C284" i="4"/>
  <c r="B284" i="4"/>
  <c r="C283" i="4"/>
  <c r="B283" i="4"/>
  <c r="D295" i="4" s="1"/>
  <c r="B282" i="4"/>
  <c r="B281" i="4"/>
  <c r="C280" i="4"/>
  <c r="B280" i="4"/>
  <c r="B279" i="4"/>
  <c r="B278" i="4"/>
  <c r="C277" i="4"/>
  <c r="B277" i="4"/>
  <c r="B276" i="4"/>
  <c r="D288" i="4" s="1"/>
  <c r="B275" i="4"/>
  <c r="D287" i="4" s="1"/>
  <c r="B274" i="4"/>
  <c r="B273" i="4"/>
  <c r="C273" i="4" s="1"/>
  <c r="D272" i="4"/>
  <c r="B272" i="4"/>
  <c r="D284" i="4" s="1"/>
  <c r="B271" i="4"/>
  <c r="B270" i="4"/>
  <c r="B269" i="4"/>
  <c r="D268" i="4"/>
  <c r="C268" i="4"/>
  <c r="B268" i="4"/>
  <c r="D280" i="4" s="1"/>
  <c r="B267" i="4"/>
  <c r="C267" i="4" s="1"/>
  <c r="B266" i="4"/>
  <c r="B265" i="4"/>
  <c r="D277" i="4" s="1"/>
  <c r="C264" i="4"/>
  <c r="B264" i="4"/>
  <c r="D276" i="4" s="1"/>
  <c r="C263" i="4"/>
  <c r="B263" i="4"/>
  <c r="B262" i="4"/>
  <c r="B261" i="4"/>
  <c r="C261" i="4" s="1"/>
  <c r="B260" i="4"/>
  <c r="B259" i="4"/>
  <c r="C260" i="4" s="1"/>
  <c r="B258" i="4"/>
  <c r="B257" i="4"/>
  <c r="C257" i="4" s="1"/>
  <c r="B256" i="4"/>
  <c r="D255" i="4"/>
  <c r="B255" i="4"/>
  <c r="B254" i="4"/>
  <c r="C253" i="4"/>
  <c r="B253" i="4"/>
  <c r="C252" i="4"/>
  <c r="B252" i="4"/>
  <c r="D264" i="4" s="1"/>
  <c r="B251" i="4"/>
  <c r="C251" i="4" s="1"/>
  <c r="B250" i="4"/>
  <c r="C249" i="4"/>
  <c r="B249" i="4"/>
  <c r="D261" i="4" s="1"/>
  <c r="D248" i="4"/>
  <c r="B248" i="4"/>
  <c r="D260" i="4" s="1"/>
  <c r="B247" i="4"/>
  <c r="B246" i="4"/>
  <c r="B245" i="4"/>
  <c r="D244" i="4"/>
  <c r="B244" i="4"/>
  <c r="D256" i="4" s="1"/>
  <c r="B243" i="4"/>
  <c r="B242" i="4"/>
  <c r="D241" i="4"/>
  <c r="B241" i="4"/>
  <c r="C240" i="4"/>
  <c r="B240" i="4"/>
  <c r="D252" i="4" s="1"/>
  <c r="D239" i="4"/>
  <c r="C239" i="4"/>
  <c r="B239" i="4"/>
  <c r="B238" i="4"/>
  <c r="B237" i="4"/>
  <c r="C237" i="4" s="1"/>
  <c r="C236" i="4"/>
  <c r="B236" i="4"/>
  <c r="B235" i="4"/>
  <c r="C235" i="4" s="1"/>
  <c r="B234" i="4"/>
  <c r="B233" i="4"/>
  <c r="C233" i="4" s="1"/>
  <c r="C232" i="4"/>
  <c r="B232" i="4"/>
  <c r="B231" i="4"/>
  <c r="B230" i="4"/>
  <c r="C229" i="4"/>
  <c r="B229" i="4"/>
  <c r="B228" i="4"/>
  <c r="D240" i="4" s="1"/>
  <c r="B227" i="4"/>
  <c r="B226" i="4"/>
  <c r="C225" i="4"/>
  <c r="B225" i="4"/>
  <c r="D237" i="4" s="1"/>
  <c r="D224" i="4"/>
  <c r="B224" i="4"/>
  <c r="D236" i="4" s="1"/>
  <c r="B223" i="4"/>
  <c r="B222" i="4"/>
  <c r="D221" i="4"/>
  <c r="B221" i="4"/>
  <c r="D220" i="4"/>
  <c r="C220" i="4"/>
  <c r="B220" i="4"/>
  <c r="D232" i="4" s="1"/>
  <c r="B219" i="4"/>
  <c r="C219" i="4" s="1"/>
  <c r="B218" i="4"/>
  <c r="B217" i="4"/>
  <c r="D229" i="4" s="1"/>
  <c r="B216" i="4"/>
  <c r="D228" i="4" s="1"/>
  <c r="C215" i="4"/>
  <c r="B215" i="4"/>
  <c r="B214" i="4"/>
  <c r="B213" i="4"/>
  <c r="C213" i="4" s="1"/>
  <c r="C212" i="4"/>
  <c r="B212" i="4"/>
  <c r="C211" i="4"/>
  <c r="B211" i="4"/>
  <c r="D223" i="4" s="1"/>
  <c r="B210" i="4"/>
  <c r="B209" i="4"/>
  <c r="C209" i="4" s="1"/>
  <c r="B208" i="4"/>
  <c r="B207" i="4"/>
  <c r="B206" i="4"/>
  <c r="C205" i="4"/>
  <c r="B205" i="4"/>
  <c r="C204" i="4"/>
  <c r="B204" i="4"/>
  <c r="D203" i="4"/>
  <c r="B203" i="4"/>
  <c r="C203" i="4" s="1"/>
  <c r="B202" i="4"/>
  <c r="B201" i="4"/>
  <c r="C201" i="4" s="1"/>
  <c r="D200" i="4"/>
  <c r="B200" i="4"/>
  <c r="D212" i="4" s="1"/>
  <c r="B199" i="4"/>
  <c r="B198" i="4"/>
  <c r="B197" i="4"/>
  <c r="B196" i="4"/>
  <c r="D208" i="4" s="1"/>
  <c r="B195" i="4"/>
  <c r="B194" i="4"/>
  <c r="B193" i="4"/>
  <c r="C193" i="4" s="1"/>
  <c r="B192" i="4"/>
  <c r="D204" i="4" s="1"/>
  <c r="C191" i="4"/>
  <c r="B191" i="4"/>
  <c r="B190" i="4"/>
  <c r="B189" i="4"/>
  <c r="C189" i="4" s="1"/>
  <c r="C188" i="4"/>
  <c r="B188" i="4"/>
  <c r="C187" i="4"/>
  <c r="B187" i="4"/>
  <c r="D199" i="4" s="1"/>
  <c r="B186" i="4"/>
  <c r="B185" i="4"/>
  <c r="C184" i="4"/>
  <c r="B184" i="4"/>
  <c r="B183" i="4"/>
  <c r="B182" i="4"/>
  <c r="C181" i="4"/>
  <c r="B181" i="4"/>
  <c r="B180" i="4"/>
  <c r="B179" i="4"/>
  <c r="B178" i="4"/>
  <c r="B177" i="4"/>
  <c r="C177" i="4" s="1"/>
  <c r="D176" i="4"/>
  <c r="B176" i="4"/>
  <c r="D188" i="4" s="1"/>
  <c r="D175" i="4"/>
  <c r="B175" i="4"/>
  <c r="B174" i="4"/>
  <c r="B173" i="4"/>
  <c r="D172" i="4"/>
  <c r="B172" i="4"/>
  <c r="D184" i="4" s="1"/>
  <c r="B171" i="4"/>
  <c r="C171" i="4" s="1"/>
  <c r="B170" i="4"/>
  <c r="B169" i="4"/>
  <c r="C168" i="4"/>
  <c r="B168" i="4"/>
  <c r="D180" i="4" s="1"/>
  <c r="C167" i="4"/>
  <c r="B167" i="4"/>
  <c r="B166" i="4"/>
  <c r="B165" i="4"/>
  <c r="C165" i="4" s="1"/>
  <c r="B164" i="4"/>
  <c r="C163" i="4"/>
  <c r="B163" i="4"/>
  <c r="C164" i="4" s="1"/>
  <c r="B162" i="4"/>
  <c r="B161" i="4"/>
  <c r="C161" i="4" s="1"/>
  <c r="B160" i="4"/>
  <c r="D159" i="4"/>
  <c r="B159" i="4"/>
  <c r="B158" i="4"/>
  <c r="C157" i="4"/>
  <c r="B157" i="4"/>
  <c r="C156" i="4"/>
  <c r="B156" i="4"/>
  <c r="D168" i="4" s="1"/>
  <c r="B155" i="4"/>
  <c r="C155" i="4" s="1"/>
  <c r="B154" i="4"/>
  <c r="C153" i="4"/>
  <c r="B153" i="4"/>
  <c r="D165" i="4" s="1"/>
  <c r="D152" i="4"/>
  <c r="B152" i="4"/>
  <c r="D164" i="4" s="1"/>
  <c r="B151" i="4"/>
  <c r="B150" i="4"/>
  <c r="B149" i="4"/>
  <c r="D148" i="4"/>
  <c r="B148" i="4"/>
  <c r="D160" i="4" s="1"/>
  <c r="B147" i="4"/>
  <c r="C147" i="4" s="1"/>
  <c r="B146" i="4"/>
  <c r="D145" i="4"/>
  <c r="B145" i="4"/>
  <c r="C144" i="4"/>
  <c r="B144" i="4"/>
  <c r="D156" i="4" s="1"/>
  <c r="D143" i="4"/>
  <c r="C143" i="4"/>
  <c r="B143" i="4"/>
  <c r="B142" i="4"/>
  <c r="B141" i="4"/>
  <c r="C141" i="4" s="1"/>
  <c r="C140" i="4"/>
  <c r="B140" i="4"/>
  <c r="B139" i="4"/>
  <c r="C139" i="4" s="1"/>
  <c r="B138" i="4"/>
  <c r="B137" i="4"/>
  <c r="C137" i="4" s="1"/>
  <c r="C136" i="4"/>
  <c r="B136" i="4"/>
  <c r="D135" i="4"/>
  <c r="B135" i="4"/>
  <c r="B134" i="4"/>
  <c r="C133" i="4"/>
  <c r="B133" i="4"/>
  <c r="B132" i="4"/>
  <c r="D144" i="4" s="1"/>
  <c r="B131" i="4"/>
  <c r="B130" i="4"/>
  <c r="C129" i="4"/>
  <c r="B129" i="4"/>
  <c r="D141" i="4" s="1"/>
  <c r="D128" i="4"/>
  <c r="B128" i="4"/>
  <c r="D140" i="4" s="1"/>
  <c r="B127" i="4"/>
  <c r="B126" i="4"/>
  <c r="D125" i="4"/>
  <c r="B125" i="4"/>
  <c r="D124" i="4"/>
  <c r="C124" i="4"/>
  <c r="B124" i="4"/>
  <c r="D136" i="4" s="1"/>
  <c r="B123" i="4"/>
  <c r="C123" i="4" s="1"/>
  <c r="B122" i="4"/>
  <c r="B121" i="4"/>
  <c r="B120" i="4"/>
  <c r="D132" i="4" s="1"/>
  <c r="C119" i="4"/>
  <c r="B119" i="4"/>
  <c r="B118" i="4"/>
  <c r="B117" i="4"/>
  <c r="C117" i="4" s="1"/>
  <c r="C116" i="4"/>
  <c r="B116" i="4"/>
  <c r="C115" i="4"/>
  <c r="B115" i="4"/>
  <c r="D127" i="4" s="1"/>
  <c r="B114" i="4"/>
  <c r="B113" i="4"/>
  <c r="C113" i="4" s="1"/>
  <c r="B112" i="4"/>
  <c r="D111" i="4"/>
  <c r="B111" i="4"/>
  <c r="B110" i="4"/>
  <c r="C109" i="4"/>
  <c r="B109" i="4"/>
  <c r="C108" i="4"/>
  <c r="B108" i="4"/>
  <c r="D107" i="4"/>
  <c r="B107" i="4"/>
  <c r="C107" i="4" s="1"/>
  <c r="B106" i="4"/>
  <c r="B105" i="4"/>
  <c r="D117" i="4" s="1"/>
  <c r="D104" i="4"/>
  <c r="B104" i="4"/>
  <c r="D116" i="4" s="1"/>
  <c r="B103" i="4"/>
  <c r="B102" i="4"/>
  <c r="B101" i="4"/>
  <c r="B100" i="4"/>
  <c r="D112" i="4" s="1"/>
  <c r="B99" i="4"/>
  <c r="B98" i="4"/>
  <c r="B97" i="4"/>
  <c r="B96" i="4"/>
  <c r="D108" i="4" s="1"/>
  <c r="D95" i="4"/>
  <c r="C95" i="4"/>
  <c r="B95" i="4"/>
  <c r="B94" i="4"/>
  <c r="B93" i="4"/>
  <c r="C93" i="4" s="1"/>
  <c r="C92" i="4"/>
  <c r="B92" i="4"/>
  <c r="C91" i="4"/>
  <c r="B91" i="4"/>
  <c r="D103" i="4" s="1"/>
  <c r="B90" i="4"/>
  <c r="B89" i="4"/>
  <c r="C88" i="4"/>
  <c r="B88" i="4"/>
  <c r="B87" i="4"/>
  <c r="B86" i="4"/>
  <c r="C85" i="4"/>
  <c r="B85" i="4"/>
  <c r="C84" i="4"/>
  <c r="B84" i="4"/>
  <c r="B83" i="4"/>
  <c r="B82" i="4"/>
  <c r="D81" i="4"/>
  <c r="B81" i="4"/>
  <c r="C81" i="4" s="1"/>
  <c r="D80" i="4"/>
  <c r="B80" i="4"/>
  <c r="D92" i="4" s="1"/>
  <c r="D79" i="4"/>
  <c r="B79" i="4"/>
  <c r="B78" i="4"/>
  <c r="B77" i="4"/>
  <c r="D76" i="4"/>
  <c r="B76" i="4"/>
  <c r="D88" i="4" s="1"/>
  <c r="B75" i="4"/>
  <c r="C75" i="4" s="1"/>
  <c r="B74" i="4"/>
  <c r="B73" i="4"/>
  <c r="C72" i="4"/>
  <c r="B72" i="4"/>
  <c r="D84" i="4" s="1"/>
  <c r="D71" i="4"/>
  <c r="C71" i="4"/>
  <c r="B71" i="4"/>
  <c r="B70" i="4"/>
  <c r="D69" i="4"/>
  <c r="C69" i="4"/>
  <c r="B69" i="4"/>
  <c r="B68" i="4"/>
  <c r="D67" i="4"/>
  <c r="C67" i="4"/>
  <c r="B67" i="4"/>
  <c r="C68" i="4" s="1"/>
  <c r="B66" i="4"/>
  <c r="B65" i="4"/>
  <c r="C65" i="4" s="1"/>
  <c r="C64" i="4"/>
  <c r="B64" i="4"/>
  <c r="D63" i="4"/>
  <c r="B63" i="4"/>
  <c r="B62" i="4"/>
  <c r="D61" i="4"/>
  <c r="B61" i="4"/>
  <c r="B60" i="4"/>
  <c r="B59" i="4"/>
  <c r="C59" i="4" s="1"/>
  <c r="B58" i="4"/>
  <c r="D57" i="4"/>
  <c r="C57" i="4"/>
  <c r="B57" i="4"/>
  <c r="B56" i="4"/>
  <c r="D68" i="4" s="1"/>
  <c r="D55" i="4"/>
  <c r="C55" i="4"/>
  <c r="B55" i="4"/>
  <c r="C56" i="4" s="1"/>
  <c r="B54" i="4"/>
  <c r="B53" i="4"/>
  <c r="D52" i="4"/>
  <c r="B52" i="4"/>
  <c r="D64" i="4" s="1"/>
  <c r="B51" i="4"/>
  <c r="C50" i="4"/>
  <c r="B50" i="4"/>
  <c r="C49" i="4"/>
  <c r="B49" i="4"/>
  <c r="D48" i="4"/>
  <c r="C48" i="4"/>
  <c r="B48" i="4"/>
  <c r="D47" i="4"/>
  <c r="B47" i="4"/>
  <c r="B46" i="4"/>
  <c r="B45" i="4"/>
  <c r="B44" i="4"/>
  <c r="D43" i="4"/>
  <c r="C43" i="4"/>
  <c r="B43" i="4"/>
  <c r="B42" i="4"/>
  <c r="C41" i="4"/>
  <c r="B41" i="4"/>
  <c r="D40" i="4"/>
  <c r="B40" i="4"/>
  <c r="B39" i="4"/>
  <c r="B38" i="4"/>
  <c r="D37" i="4"/>
  <c r="C37" i="4"/>
  <c r="B37" i="4"/>
  <c r="C36" i="4"/>
  <c r="B36" i="4"/>
  <c r="D35" i="4"/>
  <c r="C35" i="4"/>
  <c r="B35" i="4"/>
  <c r="B34" i="4"/>
  <c r="B33" i="4"/>
  <c r="B32" i="4"/>
  <c r="B31" i="4"/>
  <c r="D31" i="4" s="1"/>
  <c r="C30" i="4"/>
  <c r="B30" i="4"/>
  <c r="D42" i="4" s="1"/>
  <c r="B29" i="4"/>
  <c r="C29" i="4" s="1"/>
  <c r="B28" i="4"/>
  <c r="B27" i="4"/>
  <c r="B26" i="4"/>
  <c r="D25" i="4"/>
  <c r="B25" i="4"/>
  <c r="D24" i="4"/>
  <c r="B24" i="4"/>
  <c r="B23" i="4"/>
  <c r="B22" i="4"/>
  <c r="D21" i="4"/>
  <c r="B21" i="4"/>
  <c r="D33" i="4" s="1"/>
  <c r="B20" i="4"/>
  <c r="C19" i="4"/>
  <c r="B19" i="4"/>
  <c r="C18" i="4"/>
  <c r="B18" i="4"/>
  <c r="B17" i="4"/>
  <c r="B16" i="4"/>
  <c r="B15" i="4"/>
  <c r="C15" i="4" s="1"/>
  <c r="C14" i="4"/>
  <c r="B14" i="4"/>
  <c r="C13" i="4"/>
  <c r="B13" i="4"/>
  <c r="C12" i="4"/>
  <c r="B12" i="4"/>
  <c r="B11" i="4"/>
  <c r="D23" i="4" s="1"/>
  <c r="B10" i="4"/>
  <c r="B9" i="4"/>
  <c r="B8" i="4"/>
  <c r="B7" i="4"/>
  <c r="X2" i="4"/>
  <c r="AB1" i="4"/>
  <c r="X1" i="4"/>
  <c r="B1255" i="3"/>
  <c r="B1254" i="3"/>
  <c r="B1253" i="3"/>
  <c r="C1253" i="3" s="1"/>
  <c r="C1252" i="3"/>
  <c r="B1252" i="3"/>
  <c r="B1251" i="3"/>
  <c r="B1250" i="3"/>
  <c r="C1249" i="3"/>
  <c r="B1249" i="3"/>
  <c r="C1248" i="3"/>
  <c r="B1248" i="3"/>
  <c r="B1247" i="3"/>
  <c r="B1246" i="3"/>
  <c r="B1245" i="3"/>
  <c r="C1244" i="3"/>
  <c r="B1244" i="3"/>
  <c r="C1243" i="3"/>
  <c r="B1243" i="3"/>
  <c r="C1255" i="3" s="1"/>
  <c r="B1242" i="3"/>
  <c r="C1254" i="3" s="1"/>
  <c r="C1241" i="3"/>
  <c r="B1241" i="3"/>
  <c r="C1240" i="3"/>
  <c r="B1240" i="3"/>
  <c r="C1239" i="3"/>
  <c r="B1239" i="3"/>
  <c r="C1251" i="3" s="1"/>
  <c r="B1238" i="3"/>
  <c r="C1250" i="3" s="1"/>
  <c r="C1237" i="3"/>
  <c r="B1237" i="3"/>
  <c r="C1236" i="3"/>
  <c r="B1236" i="3"/>
  <c r="B1235" i="3"/>
  <c r="C1247" i="3" s="1"/>
  <c r="B1234" i="3"/>
  <c r="B1233" i="3"/>
  <c r="C1245" i="3" s="1"/>
  <c r="B1232" i="3"/>
  <c r="B1231" i="3"/>
  <c r="C1230" i="3"/>
  <c r="B1230" i="3"/>
  <c r="B1229" i="3"/>
  <c r="B1228" i="3"/>
  <c r="B1227" i="3"/>
  <c r="B1226" i="3"/>
  <c r="C1238" i="3" s="1"/>
  <c r="B1225" i="3"/>
  <c r="B1224" i="3"/>
  <c r="B1223" i="3"/>
  <c r="C1235" i="3" s="1"/>
  <c r="B1222" i="3"/>
  <c r="C1234" i="3" s="1"/>
  <c r="B1221" i="3"/>
  <c r="C1233" i="3" s="1"/>
  <c r="B1220" i="3"/>
  <c r="C1232" i="3" s="1"/>
  <c r="B1219" i="3"/>
  <c r="B1218" i="3"/>
  <c r="C1217" i="3"/>
  <c r="B1217" i="3"/>
  <c r="C1229" i="3" s="1"/>
  <c r="C1216" i="3"/>
  <c r="B1216" i="3"/>
  <c r="C1215" i="3"/>
  <c r="B1215" i="3"/>
  <c r="C1227" i="3" s="1"/>
  <c r="B1214" i="3"/>
  <c r="C1226" i="3" s="1"/>
  <c r="V1213" i="3"/>
  <c r="U1213" i="3"/>
  <c r="T1213" i="3"/>
  <c r="C1213" i="3"/>
  <c r="B1213" i="3"/>
  <c r="C1225" i="3" s="1"/>
  <c r="V1212" i="3"/>
  <c r="T1212" i="3"/>
  <c r="B1212" i="3"/>
  <c r="C1224" i="3" s="1"/>
  <c r="B1211" i="3"/>
  <c r="C1223" i="3" s="1"/>
  <c r="B1210" i="3"/>
  <c r="T1209" i="3"/>
  <c r="B1209" i="3"/>
  <c r="C1221" i="3" s="1"/>
  <c r="T1208" i="3"/>
  <c r="B1208" i="3"/>
  <c r="C1220" i="3" s="1"/>
  <c r="C1207" i="3"/>
  <c r="B1207" i="3"/>
  <c r="V1209" i="3" s="1"/>
  <c r="B1206" i="3"/>
  <c r="C1218" i="3" s="1"/>
  <c r="T1205" i="3"/>
  <c r="U1205" i="3" s="1"/>
  <c r="B1205" i="3"/>
  <c r="T1204" i="3"/>
  <c r="C1204" i="3"/>
  <c r="B1204" i="3"/>
  <c r="B1203" i="3"/>
  <c r="B1202" i="3"/>
  <c r="C1214" i="3" s="1"/>
  <c r="U1201" i="3"/>
  <c r="T1201" i="3"/>
  <c r="B1201" i="3"/>
  <c r="T1200" i="3"/>
  <c r="AE1188" i="3" s="1"/>
  <c r="B1200" i="3"/>
  <c r="B1199" i="3"/>
  <c r="B1198" i="3"/>
  <c r="C1210" i="3" s="1"/>
  <c r="V1197" i="3"/>
  <c r="U1197" i="3"/>
  <c r="T1197" i="3"/>
  <c r="AD1189" i="3" s="1"/>
  <c r="C1197" i="3"/>
  <c r="B1197" i="3"/>
  <c r="T1196" i="3"/>
  <c r="C1196" i="3"/>
  <c r="B1196" i="3"/>
  <c r="B1195" i="3"/>
  <c r="B1194" i="3"/>
  <c r="T1193" i="3"/>
  <c r="B1193" i="3"/>
  <c r="T1192" i="3"/>
  <c r="AC1188" i="3" s="1"/>
  <c r="B1192" i="3"/>
  <c r="B1191" i="3"/>
  <c r="C1203" i="3" s="1"/>
  <c r="B1190" i="3"/>
  <c r="AH1189" i="3"/>
  <c r="AG1189" i="3"/>
  <c r="AF1189" i="3"/>
  <c r="AE1189" i="3"/>
  <c r="AC1189" i="3"/>
  <c r="AB1189" i="3"/>
  <c r="AA1189" i="3"/>
  <c r="T1189" i="3"/>
  <c r="U1189" i="3" s="1"/>
  <c r="B1189" i="3"/>
  <c r="C1201" i="3" s="1"/>
  <c r="AH1188" i="3"/>
  <c r="AF1188" i="3"/>
  <c r="AD1188" i="3"/>
  <c r="AB1188" i="3"/>
  <c r="AA1188" i="3"/>
  <c r="T1188" i="3"/>
  <c r="B1188" i="3"/>
  <c r="C1200" i="3" s="1"/>
  <c r="B1187" i="3"/>
  <c r="C1199" i="3" s="1"/>
  <c r="B1186" i="3"/>
  <c r="C1185" i="3"/>
  <c r="B1185" i="3"/>
  <c r="B1184" i="3"/>
  <c r="C1183" i="3"/>
  <c r="B1183" i="3"/>
  <c r="C1195" i="3" s="1"/>
  <c r="B1182" i="3"/>
  <c r="C1194" i="3" s="1"/>
  <c r="C1181" i="3"/>
  <c r="B1181" i="3"/>
  <c r="C1180" i="3"/>
  <c r="B1180" i="3"/>
  <c r="C1192" i="3" s="1"/>
  <c r="B1179" i="3"/>
  <c r="C1191" i="3" s="1"/>
  <c r="B1178" i="3"/>
  <c r="C1190" i="3" s="1"/>
  <c r="C1177" i="3"/>
  <c r="B1177" i="3"/>
  <c r="B1176" i="3"/>
  <c r="B1175" i="3"/>
  <c r="C1174" i="3"/>
  <c r="B1174" i="3"/>
  <c r="C1186" i="3" s="1"/>
  <c r="C1173" i="3"/>
  <c r="B1173" i="3"/>
  <c r="B1172" i="3"/>
  <c r="C1184" i="3" s="1"/>
  <c r="B1171" i="3"/>
  <c r="B1170" i="3"/>
  <c r="C1169" i="3"/>
  <c r="B1169" i="3"/>
  <c r="B1168" i="3"/>
  <c r="C1167" i="3"/>
  <c r="B1167" i="3"/>
  <c r="C1179" i="3" s="1"/>
  <c r="B1166" i="3"/>
  <c r="C1178" i="3" s="1"/>
  <c r="C1165" i="3"/>
  <c r="B1165" i="3"/>
  <c r="B1164" i="3"/>
  <c r="B1163" i="3"/>
  <c r="C1175" i="3" s="1"/>
  <c r="B1162" i="3"/>
  <c r="C1161" i="3"/>
  <c r="B1161" i="3"/>
  <c r="C1160" i="3"/>
  <c r="B1160" i="3"/>
  <c r="C1172" i="3" s="1"/>
  <c r="B1159" i="3"/>
  <c r="C1171" i="3" s="1"/>
  <c r="B1158" i="3"/>
  <c r="B1157" i="3"/>
  <c r="C1156" i="3"/>
  <c r="B1156" i="3"/>
  <c r="C1168" i="3" s="1"/>
  <c r="C1155" i="3"/>
  <c r="B1155" i="3"/>
  <c r="B1154" i="3"/>
  <c r="C1166" i="3" s="1"/>
  <c r="B1153" i="3"/>
  <c r="B1152" i="3"/>
  <c r="C1164" i="3" s="1"/>
  <c r="B1151" i="3"/>
  <c r="B1150" i="3"/>
  <c r="C1162" i="3" s="1"/>
  <c r="B1149" i="3"/>
  <c r="B1148" i="3"/>
  <c r="B1147" i="3"/>
  <c r="C1146" i="3"/>
  <c r="B1146" i="3"/>
  <c r="C1158" i="3" s="1"/>
  <c r="B1145" i="3"/>
  <c r="C1157" i="3" s="1"/>
  <c r="B1144" i="3"/>
  <c r="B1143" i="3"/>
  <c r="B1142" i="3"/>
  <c r="B1141" i="3"/>
  <c r="C1153" i="3" s="1"/>
  <c r="B1140" i="3"/>
  <c r="C1152" i="3" s="1"/>
  <c r="C1139" i="3"/>
  <c r="B1139" i="3"/>
  <c r="B1138" i="3"/>
  <c r="C1150" i="3" s="1"/>
  <c r="B1137" i="3"/>
  <c r="C1149" i="3" s="1"/>
  <c r="C1136" i="3"/>
  <c r="B1136" i="3"/>
  <c r="C1148" i="3" s="1"/>
  <c r="B1135" i="3"/>
  <c r="B1134" i="3"/>
  <c r="B1133" i="3"/>
  <c r="C1145" i="3" s="1"/>
  <c r="C1132" i="3"/>
  <c r="B1132" i="3"/>
  <c r="B1131" i="3"/>
  <c r="C1143" i="3" s="1"/>
  <c r="B1130" i="3"/>
  <c r="B1129" i="3"/>
  <c r="C1141" i="3" s="1"/>
  <c r="B1128" i="3"/>
  <c r="B1127" i="3"/>
  <c r="B1126" i="3"/>
  <c r="C1138" i="3" s="1"/>
  <c r="B1125" i="3"/>
  <c r="C1137" i="3" s="1"/>
  <c r="B1124" i="3"/>
  <c r="B1123" i="3"/>
  <c r="C1135" i="3" s="1"/>
  <c r="B1122" i="3"/>
  <c r="C1134" i="3" s="1"/>
  <c r="C1121" i="3"/>
  <c r="B1121" i="3"/>
  <c r="B1120" i="3"/>
  <c r="C1119" i="3"/>
  <c r="B1119" i="3"/>
  <c r="C1131" i="3" s="1"/>
  <c r="B1118" i="3"/>
  <c r="B1117" i="3"/>
  <c r="B1116" i="3"/>
  <c r="B1115" i="3"/>
  <c r="B1114" i="3"/>
  <c r="C1126" i="3" s="1"/>
  <c r="B1113" i="3"/>
  <c r="C1125" i="3" s="1"/>
  <c r="C1112" i="3"/>
  <c r="B1112" i="3"/>
  <c r="C1124" i="3" s="1"/>
  <c r="B1111" i="3"/>
  <c r="C1123" i="3" s="1"/>
  <c r="B1110" i="3"/>
  <c r="C1122" i="3" s="1"/>
  <c r="B1109" i="3"/>
  <c r="B1108" i="3"/>
  <c r="B1107" i="3"/>
  <c r="C1106" i="3"/>
  <c r="B1106" i="3"/>
  <c r="C1118" i="3" s="1"/>
  <c r="B1105" i="3"/>
  <c r="B1104" i="3"/>
  <c r="C1116" i="3" s="1"/>
  <c r="B1103" i="3"/>
  <c r="B1102" i="3"/>
  <c r="C1102" i="3" s="1"/>
  <c r="C1101" i="3"/>
  <c r="B1101" i="3"/>
  <c r="C1113" i="3" s="1"/>
  <c r="B1100" i="3"/>
  <c r="C1099" i="3"/>
  <c r="B1099" i="3"/>
  <c r="C1111" i="3" s="1"/>
  <c r="B1098" i="3"/>
  <c r="B1097" i="3"/>
  <c r="C1109" i="3" s="1"/>
  <c r="B1096" i="3"/>
  <c r="B1095" i="3"/>
  <c r="B1094" i="3"/>
  <c r="C1093" i="3"/>
  <c r="B1093" i="3"/>
  <c r="C1105" i="3" s="1"/>
  <c r="C1092" i="3"/>
  <c r="B1092" i="3"/>
  <c r="C1104" i="3" s="1"/>
  <c r="B1091" i="3"/>
  <c r="C1103" i="3" s="1"/>
  <c r="B1090" i="3"/>
  <c r="B1089" i="3"/>
  <c r="C1089" i="3" s="1"/>
  <c r="B1088" i="3"/>
  <c r="C1100" i="3" s="1"/>
  <c r="B1087" i="3"/>
  <c r="C1086" i="3"/>
  <c r="B1086" i="3"/>
  <c r="C1098" i="3" s="1"/>
  <c r="B1085" i="3"/>
  <c r="C1084" i="3"/>
  <c r="B1084" i="3"/>
  <c r="C1096" i="3" s="1"/>
  <c r="B1083" i="3"/>
  <c r="B1082" i="3"/>
  <c r="B1081" i="3"/>
  <c r="B1080" i="3"/>
  <c r="C1080" i="3" s="1"/>
  <c r="C1079" i="3"/>
  <c r="B1079" i="3"/>
  <c r="C1091" i="3" s="1"/>
  <c r="B1078" i="3"/>
  <c r="C1090" i="3" s="1"/>
  <c r="B1077" i="3"/>
  <c r="B1076" i="3"/>
  <c r="B1075" i="3"/>
  <c r="B1074" i="3"/>
  <c r="C1073" i="3"/>
  <c r="B1073" i="3"/>
  <c r="C1085" i="3" s="1"/>
  <c r="B1072" i="3"/>
  <c r="C1071" i="3"/>
  <c r="B1071" i="3"/>
  <c r="C1083" i="3" s="1"/>
  <c r="B1070" i="3"/>
  <c r="B1069" i="3"/>
  <c r="B1068" i="3"/>
  <c r="B1067" i="3"/>
  <c r="C1067" i="3" s="1"/>
  <c r="B1066" i="3"/>
  <c r="C1078" i="3" s="1"/>
  <c r="B1065" i="3"/>
  <c r="C1077" i="3" s="1"/>
  <c r="C1064" i="3"/>
  <c r="B1064" i="3"/>
  <c r="C1076" i="3" s="1"/>
  <c r="B1063" i="3"/>
  <c r="C1075" i="3" s="1"/>
  <c r="B1062" i="3"/>
  <c r="C1074" i="3" s="1"/>
  <c r="B1061" i="3"/>
  <c r="B1060" i="3"/>
  <c r="B1059" i="3"/>
  <c r="C1058" i="3"/>
  <c r="B1058" i="3"/>
  <c r="C1070" i="3" s="1"/>
  <c r="B1057" i="3"/>
  <c r="B1056" i="3"/>
  <c r="C1068" i="3" s="1"/>
  <c r="B1055" i="3"/>
  <c r="B1054" i="3"/>
  <c r="B1053" i="3"/>
  <c r="C1065" i="3" s="1"/>
  <c r="B1052" i="3"/>
  <c r="C1051" i="3"/>
  <c r="B1051" i="3"/>
  <c r="C1063" i="3" s="1"/>
  <c r="B1050" i="3"/>
  <c r="C1062" i="3" s="1"/>
  <c r="B1049" i="3"/>
  <c r="C1061" i="3" s="1"/>
  <c r="B1048" i="3"/>
  <c r="B1047" i="3"/>
  <c r="B1046" i="3"/>
  <c r="C1045" i="3"/>
  <c r="B1045" i="3"/>
  <c r="C1057" i="3" s="1"/>
  <c r="B1044" i="3"/>
  <c r="C1056" i="3" s="1"/>
  <c r="B1043" i="3"/>
  <c r="C1055" i="3" s="1"/>
  <c r="B1042" i="3"/>
  <c r="B1041" i="3"/>
  <c r="C1041" i="3" s="1"/>
  <c r="B1040" i="3"/>
  <c r="C1052" i="3" s="1"/>
  <c r="B1039" i="3"/>
  <c r="C1038" i="3"/>
  <c r="B1038" i="3"/>
  <c r="C1050" i="3" s="1"/>
  <c r="B1037" i="3"/>
  <c r="C1049" i="3" s="1"/>
  <c r="C1036" i="3"/>
  <c r="B1036" i="3"/>
  <c r="C1048" i="3" s="1"/>
  <c r="B1035" i="3"/>
  <c r="B1034" i="3"/>
  <c r="B1033" i="3"/>
  <c r="B1032" i="3"/>
  <c r="C1032" i="3" s="1"/>
  <c r="B1031" i="3"/>
  <c r="C1043" i="3" s="1"/>
  <c r="B1030" i="3"/>
  <c r="C1042" i="3" s="1"/>
  <c r="B1029" i="3"/>
  <c r="B1028" i="3"/>
  <c r="C1040" i="3" s="1"/>
  <c r="B1027" i="3"/>
  <c r="C1039" i="3" s="1"/>
  <c r="B1026" i="3"/>
  <c r="C1025" i="3"/>
  <c r="B1025" i="3"/>
  <c r="C1037" i="3" s="1"/>
  <c r="B1024" i="3"/>
  <c r="C1023" i="3"/>
  <c r="B1023" i="3"/>
  <c r="C1035" i="3" s="1"/>
  <c r="B1022" i="3"/>
  <c r="B1021" i="3"/>
  <c r="B1020" i="3"/>
  <c r="B1019" i="3"/>
  <c r="C1019" i="3" s="1"/>
  <c r="C1018" i="3"/>
  <c r="B1018" i="3"/>
  <c r="C1030" i="3" s="1"/>
  <c r="B1017" i="3"/>
  <c r="C1029" i="3" s="1"/>
  <c r="C1016" i="3"/>
  <c r="B1016" i="3"/>
  <c r="C1028" i="3" s="1"/>
  <c r="B1015" i="3"/>
  <c r="B1014" i="3"/>
  <c r="C1026" i="3" s="1"/>
  <c r="B1013" i="3"/>
  <c r="B1012" i="3"/>
  <c r="C1024" i="3" s="1"/>
  <c r="B1011" i="3"/>
  <c r="C1010" i="3"/>
  <c r="B1010" i="3"/>
  <c r="C1022" i="3" s="1"/>
  <c r="B1009" i="3"/>
  <c r="B1008" i="3"/>
  <c r="C1020" i="3" s="1"/>
  <c r="B1007" i="3"/>
  <c r="B1006" i="3"/>
  <c r="B1005" i="3"/>
  <c r="C1017" i="3" s="1"/>
  <c r="B1004" i="3"/>
  <c r="C1003" i="3"/>
  <c r="B1003" i="3"/>
  <c r="C1015" i="3" s="1"/>
  <c r="B1002" i="3"/>
  <c r="C1014" i="3" s="1"/>
  <c r="B1001" i="3"/>
  <c r="C1013" i="3" s="1"/>
  <c r="B1000" i="3"/>
  <c r="C999" i="3"/>
  <c r="B999" i="3"/>
  <c r="C1011" i="3" s="1"/>
  <c r="B998" i="3"/>
  <c r="B997" i="3"/>
  <c r="C1009" i="3" s="1"/>
  <c r="B996" i="3"/>
  <c r="C1008" i="3" s="1"/>
  <c r="C995" i="3"/>
  <c r="B995" i="3"/>
  <c r="C1007" i="3" s="1"/>
  <c r="B994" i="3"/>
  <c r="C1006" i="3" s="1"/>
  <c r="B993" i="3"/>
  <c r="C1005" i="3" s="1"/>
  <c r="B992" i="3"/>
  <c r="C1004" i="3" s="1"/>
  <c r="C991" i="3"/>
  <c r="B991" i="3"/>
  <c r="B990" i="3"/>
  <c r="C1002" i="3" s="1"/>
  <c r="B989" i="3"/>
  <c r="C1001" i="3" s="1"/>
  <c r="B988" i="3"/>
  <c r="C1000" i="3" s="1"/>
  <c r="C987" i="3"/>
  <c r="B987" i="3"/>
  <c r="B986" i="3"/>
  <c r="C998" i="3" s="1"/>
  <c r="B985" i="3"/>
  <c r="B984" i="3"/>
  <c r="C996" i="3" s="1"/>
  <c r="C983" i="3"/>
  <c r="B983" i="3"/>
  <c r="B982" i="3"/>
  <c r="C994" i="3" s="1"/>
  <c r="B981" i="3"/>
  <c r="C993" i="3" s="1"/>
  <c r="B980" i="3"/>
  <c r="C992" i="3" s="1"/>
  <c r="C979" i="3"/>
  <c r="B979" i="3"/>
  <c r="B978" i="3"/>
  <c r="C990" i="3" s="1"/>
  <c r="B977" i="3"/>
  <c r="B976" i="3"/>
  <c r="C988" i="3" s="1"/>
  <c r="C975" i="3"/>
  <c r="B975" i="3"/>
  <c r="B974" i="3"/>
  <c r="C986" i="3" s="1"/>
  <c r="B973" i="3"/>
  <c r="C985" i="3" s="1"/>
  <c r="B972" i="3"/>
  <c r="C984" i="3" s="1"/>
  <c r="C971" i="3"/>
  <c r="B971" i="3"/>
  <c r="B970" i="3"/>
  <c r="C982" i="3" s="1"/>
  <c r="B969" i="3"/>
  <c r="B968" i="3"/>
  <c r="C980" i="3" s="1"/>
  <c r="C967" i="3"/>
  <c r="B967" i="3"/>
  <c r="B966" i="3"/>
  <c r="C978" i="3" s="1"/>
  <c r="B965" i="3"/>
  <c r="C977" i="3" s="1"/>
  <c r="B964" i="3"/>
  <c r="C976" i="3" s="1"/>
  <c r="C963" i="3"/>
  <c r="B963" i="3"/>
  <c r="B962" i="3"/>
  <c r="C974" i="3" s="1"/>
  <c r="B961" i="3"/>
  <c r="B960" i="3"/>
  <c r="C972" i="3" s="1"/>
  <c r="C959" i="3"/>
  <c r="B959" i="3"/>
  <c r="B958" i="3"/>
  <c r="C970" i="3" s="1"/>
  <c r="B957" i="3"/>
  <c r="C969" i="3" s="1"/>
  <c r="B956" i="3"/>
  <c r="C968" i="3" s="1"/>
  <c r="C955" i="3"/>
  <c r="B955" i="3"/>
  <c r="B954" i="3"/>
  <c r="C966" i="3" s="1"/>
  <c r="B953" i="3"/>
  <c r="B952" i="3"/>
  <c r="C964" i="3" s="1"/>
  <c r="C951" i="3"/>
  <c r="B951" i="3"/>
  <c r="B950" i="3"/>
  <c r="C962" i="3" s="1"/>
  <c r="B949" i="3"/>
  <c r="C961" i="3" s="1"/>
  <c r="B948" i="3"/>
  <c r="C960" i="3" s="1"/>
  <c r="C947" i="3"/>
  <c r="B947" i="3"/>
  <c r="B946" i="3"/>
  <c r="C958" i="3" s="1"/>
  <c r="B945" i="3"/>
  <c r="B944" i="3"/>
  <c r="C956" i="3" s="1"/>
  <c r="C943" i="3"/>
  <c r="B943" i="3"/>
  <c r="B942" i="3"/>
  <c r="C954" i="3" s="1"/>
  <c r="B941" i="3"/>
  <c r="C953" i="3" s="1"/>
  <c r="B940" i="3"/>
  <c r="C952" i="3" s="1"/>
  <c r="C939" i="3"/>
  <c r="B939" i="3"/>
  <c r="B938" i="3"/>
  <c r="C950" i="3" s="1"/>
  <c r="B937" i="3"/>
  <c r="B936" i="3"/>
  <c r="C948" i="3" s="1"/>
  <c r="C935" i="3"/>
  <c r="B935" i="3"/>
  <c r="B934" i="3"/>
  <c r="C946" i="3" s="1"/>
  <c r="B933" i="3"/>
  <c r="C945" i="3" s="1"/>
  <c r="B932" i="3"/>
  <c r="C944" i="3" s="1"/>
  <c r="C931" i="3"/>
  <c r="B931" i="3"/>
  <c r="B930" i="3"/>
  <c r="C942" i="3" s="1"/>
  <c r="B929" i="3"/>
  <c r="B928" i="3"/>
  <c r="C940" i="3" s="1"/>
  <c r="C927" i="3"/>
  <c r="B927" i="3"/>
  <c r="B926" i="3"/>
  <c r="C938" i="3" s="1"/>
  <c r="B925" i="3"/>
  <c r="C937" i="3" s="1"/>
  <c r="B924" i="3"/>
  <c r="C936" i="3" s="1"/>
  <c r="C923" i="3"/>
  <c r="B923" i="3"/>
  <c r="B922" i="3"/>
  <c r="C934" i="3" s="1"/>
  <c r="B921" i="3"/>
  <c r="B920" i="3"/>
  <c r="C932" i="3" s="1"/>
  <c r="C919" i="3"/>
  <c r="B919" i="3"/>
  <c r="B918" i="3"/>
  <c r="C930" i="3" s="1"/>
  <c r="B917" i="3"/>
  <c r="C929" i="3" s="1"/>
  <c r="B916" i="3"/>
  <c r="C928" i="3" s="1"/>
  <c r="C915" i="3"/>
  <c r="B915" i="3"/>
  <c r="B914" i="3"/>
  <c r="C926" i="3" s="1"/>
  <c r="B913" i="3"/>
  <c r="B912" i="3"/>
  <c r="C924" i="3" s="1"/>
  <c r="C911" i="3"/>
  <c r="B911" i="3"/>
  <c r="B910" i="3"/>
  <c r="C922" i="3" s="1"/>
  <c r="B909" i="3"/>
  <c r="C921" i="3" s="1"/>
  <c r="B908" i="3"/>
  <c r="C920" i="3" s="1"/>
  <c r="C907" i="3"/>
  <c r="B907" i="3"/>
  <c r="B906" i="3"/>
  <c r="C918" i="3" s="1"/>
  <c r="B905" i="3"/>
  <c r="B904" i="3"/>
  <c r="C916" i="3" s="1"/>
  <c r="C903" i="3"/>
  <c r="B903" i="3"/>
  <c r="B902" i="3"/>
  <c r="C914" i="3" s="1"/>
  <c r="B901" i="3"/>
  <c r="C913" i="3" s="1"/>
  <c r="B900" i="3"/>
  <c r="C912" i="3" s="1"/>
  <c r="C899" i="3"/>
  <c r="B899" i="3"/>
  <c r="B898" i="3"/>
  <c r="C910" i="3" s="1"/>
  <c r="B897" i="3"/>
  <c r="B896" i="3"/>
  <c r="C895" i="3"/>
  <c r="B895" i="3"/>
  <c r="B894" i="3"/>
  <c r="C906" i="3" s="1"/>
  <c r="B893" i="3"/>
  <c r="C905" i="3" s="1"/>
  <c r="B892" i="3"/>
  <c r="C904" i="3" s="1"/>
  <c r="C891" i="3"/>
  <c r="B891" i="3"/>
  <c r="B890" i="3"/>
  <c r="C902" i="3" s="1"/>
  <c r="B889" i="3"/>
  <c r="B888" i="3"/>
  <c r="C887" i="3"/>
  <c r="B887" i="3"/>
  <c r="B886" i="3"/>
  <c r="C898" i="3" s="1"/>
  <c r="B885" i="3"/>
  <c r="C897" i="3" s="1"/>
  <c r="B884" i="3"/>
  <c r="C896" i="3" s="1"/>
  <c r="C883" i="3"/>
  <c r="B883" i="3"/>
  <c r="B882" i="3"/>
  <c r="C894" i="3" s="1"/>
  <c r="B881" i="3"/>
  <c r="B880" i="3"/>
  <c r="C879" i="3"/>
  <c r="B879" i="3"/>
  <c r="B878" i="3"/>
  <c r="C890" i="3" s="1"/>
  <c r="B877" i="3"/>
  <c r="C889" i="3" s="1"/>
  <c r="B876" i="3"/>
  <c r="C888" i="3" s="1"/>
  <c r="C875" i="3"/>
  <c r="B875" i="3"/>
  <c r="B874" i="3"/>
  <c r="C886" i="3" s="1"/>
  <c r="B873" i="3"/>
  <c r="B872" i="3"/>
  <c r="C871" i="3"/>
  <c r="B871" i="3"/>
  <c r="V1200" i="3" s="1"/>
  <c r="B870" i="3"/>
  <c r="B869" i="3"/>
  <c r="C881" i="3" s="1"/>
  <c r="B868" i="3"/>
  <c r="C880" i="3" s="1"/>
  <c r="C867" i="3"/>
  <c r="B867" i="3"/>
  <c r="B866" i="3"/>
  <c r="C878" i="3" s="1"/>
  <c r="B865" i="3"/>
  <c r="B864" i="3"/>
  <c r="C863" i="3"/>
  <c r="B863" i="3"/>
  <c r="B862" i="3"/>
  <c r="B861" i="3"/>
  <c r="C873" i="3" s="1"/>
  <c r="B860" i="3"/>
  <c r="C872" i="3" s="1"/>
  <c r="C859" i="3"/>
  <c r="B859" i="3"/>
  <c r="B858" i="3"/>
  <c r="C870" i="3" s="1"/>
  <c r="B857" i="3"/>
  <c r="B856" i="3"/>
  <c r="C855" i="3"/>
  <c r="B855" i="3"/>
  <c r="B854" i="3"/>
  <c r="B853" i="3"/>
  <c r="C865" i="3" s="1"/>
  <c r="B852" i="3"/>
  <c r="C864" i="3" s="1"/>
  <c r="C851" i="3"/>
  <c r="B851" i="3"/>
  <c r="B850" i="3"/>
  <c r="C862" i="3" s="1"/>
  <c r="B849" i="3"/>
  <c r="B848" i="3"/>
  <c r="C847" i="3"/>
  <c r="B847" i="3"/>
  <c r="B846" i="3"/>
  <c r="B845" i="3"/>
  <c r="C857" i="3" s="1"/>
  <c r="B844" i="3"/>
  <c r="C856" i="3" s="1"/>
  <c r="C843" i="3"/>
  <c r="B843" i="3"/>
  <c r="B842" i="3"/>
  <c r="C854" i="3" s="1"/>
  <c r="B841" i="3"/>
  <c r="B840" i="3"/>
  <c r="C839" i="3"/>
  <c r="B839" i="3"/>
  <c r="B838" i="3"/>
  <c r="B837" i="3"/>
  <c r="C849" i="3" s="1"/>
  <c r="B836" i="3"/>
  <c r="C848" i="3" s="1"/>
  <c r="C835" i="3"/>
  <c r="B835" i="3"/>
  <c r="B834" i="3"/>
  <c r="C846" i="3" s="1"/>
  <c r="B833" i="3"/>
  <c r="B832" i="3"/>
  <c r="C831" i="3"/>
  <c r="B831" i="3"/>
  <c r="B830" i="3"/>
  <c r="B829" i="3"/>
  <c r="C841" i="3" s="1"/>
  <c r="B828" i="3"/>
  <c r="C840" i="3" s="1"/>
  <c r="C827" i="3"/>
  <c r="B827" i="3"/>
  <c r="B826" i="3"/>
  <c r="C838" i="3" s="1"/>
  <c r="B825" i="3"/>
  <c r="B824" i="3"/>
  <c r="C823" i="3"/>
  <c r="B823" i="3"/>
  <c r="B822" i="3"/>
  <c r="B821" i="3"/>
  <c r="C833" i="3" s="1"/>
  <c r="B820" i="3"/>
  <c r="C832" i="3" s="1"/>
  <c r="C819" i="3"/>
  <c r="B819" i="3"/>
  <c r="B818" i="3"/>
  <c r="C830" i="3" s="1"/>
  <c r="B817" i="3"/>
  <c r="B816" i="3"/>
  <c r="C815" i="3"/>
  <c r="B815" i="3"/>
  <c r="B814" i="3"/>
  <c r="B813" i="3"/>
  <c r="C825" i="3" s="1"/>
  <c r="B812" i="3"/>
  <c r="C824" i="3" s="1"/>
  <c r="C811" i="3"/>
  <c r="B811" i="3"/>
  <c r="B810" i="3"/>
  <c r="C822" i="3" s="1"/>
  <c r="B809" i="3"/>
  <c r="B808" i="3"/>
  <c r="C807" i="3"/>
  <c r="B807" i="3"/>
  <c r="B806" i="3"/>
  <c r="B805" i="3"/>
  <c r="C817" i="3" s="1"/>
  <c r="B804" i="3"/>
  <c r="C816" i="3" s="1"/>
  <c r="C803" i="3"/>
  <c r="B803" i="3"/>
  <c r="B802" i="3"/>
  <c r="C814" i="3" s="1"/>
  <c r="B801" i="3"/>
  <c r="B800" i="3"/>
  <c r="C799" i="3"/>
  <c r="B799" i="3"/>
  <c r="B798" i="3"/>
  <c r="B797" i="3"/>
  <c r="C809" i="3" s="1"/>
  <c r="B796" i="3"/>
  <c r="C808" i="3" s="1"/>
  <c r="C795" i="3"/>
  <c r="B795" i="3"/>
  <c r="B794" i="3"/>
  <c r="C806" i="3" s="1"/>
  <c r="B793" i="3"/>
  <c r="B792" i="3"/>
  <c r="C791" i="3"/>
  <c r="B791" i="3"/>
  <c r="B790" i="3"/>
  <c r="B789" i="3"/>
  <c r="C801" i="3" s="1"/>
  <c r="B788" i="3"/>
  <c r="C800" i="3" s="1"/>
  <c r="C787" i="3"/>
  <c r="B787" i="3"/>
  <c r="B786" i="3"/>
  <c r="C798" i="3" s="1"/>
  <c r="B785" i="3"/>
  <c r="B784" i="3"/>
  <c r="C783" i="3"/>
  <c r="B783" i="3"/>
  <c r="B782" i="3"/>
  <c r="B781" i="3"/>
  <c r="C793" i="3" s="1"/>
  <c r="B780" i="3"/>
  <c r="C792" i="3" s="1"/>
  <c r="C779" i="3"/>
  <c r="B779" i="3"/>
  <c r="B778" i="3"/>
  <c r="C790" i="3" s="1"/>
  <c r="B777" i="3"/>
  <c r="B776" i="3"/>
  <c r="C775" i="3"/>
  <c r="B775" i="3"/>
  <c r="B774" i="3"/>
  <c r="B773" i="3"/>
  <c r="C785" i="3" s="1"/>
  <c r="B772" i="3"/>
  <c r="C784" i="3" s="1"/>
  <c r="C771" i="3"/>
  <c r="B771" i="3"/>
  <c r="B770" i="3"/>
  <c r="C782" i="3" s="1"/>
  <c r="B769" i="3"/>
  <c r="B768" i="3"/>
  <c r="C767" i="3"/>
  <c r="B767" i="3"/>
  <c r="B766" i="3"/>
  <c r="B765" i="3"/>
  <c r="C777" i="3" s="1"/>
  <c r="B764" i="3"/>
  <c r="C776" i="3" s="1"/>
  <c r="C763" i="3"/>
  <c r="B763" i="3"/>
  <c r="B762" i="3"/>
  <c r="C774" i="3" s="1"/>
  <c r="B761" i="3"/>
  <c r="B760" i="3"/>
  <c r="C759" i="3"/>
  <c r="B759" i="3"/>
  <c r="B758" i="3"/>
  <c r="B757" i="3"/>
  <c r="C769" i="3" s="1"/>
  <c r="B756" i="3"/>
  <c r="C768" i="3" s="1"/>
  <c r="C755" i="3"/>
  <c r="B755" i="3"/>
  <c r="B754" i="3"/>
  <c r="C766" i="3" s="1"/>
  <c r="B753" i="3"/>
  <c r="B752" i="3"/>
  <c r="C751" i="3"/>
  <c r="B751" i="3"/>
  <c r="B750" i="3"/>
  <c r="B749" i="3"/>
  <c r="C761" i="3" s="1"/>
  <c r="B748" i="3"/>
  <c r="C760" i="3" s="1"/>
  <c r="C747" i="3"/>
  <c r="B747" i="3"/>
  <c r="B746" i="3"/>
  <c r="C758" i="3" s="1"/>
  <c r="B745" i="3"/>
  <c r="B744" i="3"/>
  <c r="C743" i="3"/>
  <c r="B743" i="3"/>
  <c r="B742" i="3"/>
  <c r="B741" i="3"/>
  <c r="C753" i="3" s="1"/>
  <c r="B740" i="3"/>
  <c r="C752" i="3" s="1"/>
  <c r="C739" i="3"/>
  <c r="B739" i="3"/>
  <c r="B738" i="3"/>
  <c r="C750" i="3" s="1"/>
  <c r="B737" i="3"/>
  <c r="B736" i="3"/>
  <c r="C735" i="3"/>
  <c r="B735" i="3"/>
  <c r="B734" i="3"/>
  <c r="B733" i="3"/>
  <c r="C745" i="3" s="1"/>
  <c r="B732" i="3"/>
  <c r="C744" i="3" s="1"/>
  <c r="C731" i="3"/>
  <c r="B731" i="3"/>
  <c r="B730" i="3"/>
  <c r="C742" i="3" s="1"/>
  <c r="B729" i="3"/>
  <c r="B728" i="3"/>
  <c r="C727" i="3"/>
  <c r="B727" i="3"/>
  <c r="B726" i="3"/>
  <c r="B725" i="3"/>
  <c r="C737" i="3" s="1"/>
  <c r="B724" i="3"/>
  <c r="C736" i="3" s="1"/>
  <c r="C723" i="3"/>
  <c r="B723" i="3"/>
  <c r="B722" i="3"/>
  <c r="C734" i="3" s="1"/>
  <c r="B721" i="3"/>
  <c r="B720" i="3"/>
  <c r="C719" i="3"/>
  <c r="B719" i="3"/>
  <c r="B718" i="3"/>
  <c r="B717" i="3"/>
  <c r="C729" i="3" s="1"/>
  <c r="B716" i="3"/>
  <c r="C728" i="3" s="1"/>
  <c r="C715" i="3"/>
  <c r="B715" i="3"/>
  <c r="B714" i="3"/>
  <c r="C726" i="3" s="1"/>
  <c r="B713" i="3"/>
  <c r="B712" i="3"/>
  <c r="C711" i="3"/>
  <c r="B711" i="3"/>
  <c r="B710" i="3"/>
  <c r="B709" i="3"/>
  <c r="C721" i="3" s="1"/>
  <c r="B708" i="3"/>
  <c r="C720" i="3" s="1"/>
  <c r="C707" i="3"/>
  <c r="B707" i="3"/>
  <c r="B706" i="3"/>
  <c r="C718" i="3" s="1"/>
  <c r="B705" i="3"/>
  <c r="B704" i="3"/>
  <c r="C703" i="3"/>
  <c r="B703" i="3"/>
  <c r="B702" i="3"/>
  <c r="B701" i="3"/>
  <c r="C713" i="3" s="1"/>
  <c r="B700" i="3"/>
  <c r="C712" i="3" s="1"/>
  <c r="B699" i="3"/>
  <c r="B698" i="3"/>
  <c r="C710" i="3" s="1"/>
  <c r="B697" i="3"/>
  <c r="B696" i="3"/>
  <c r="B695" i="3"/>
  <c r="B694" i="3"/>
  <c r="B693" i="3"/>
  <c r="C705" i="3" s="1"/>
  <c r="B692" i="3"/>
  <c r="C691" i="3"/>
  <c r="B691" i="3"/>
  <c r="B690" i="3"/>
  <c r="C702" i="3" s="1"/>
  <c r="B689" i="3"/>
  <c r="B688" i="3"/>
  <c r="B687" i="3"/>
  <c r="C699" i="3" s="1"/>
  <c r="B686" i="3"/>
  <c r="C698" i="3" s="1"/>
  <c r="B685" i="3"/>
  <c r="B684" i="3"/>
  <c r="C683" i="3"/>
  <c r="B683" i="3"/>
  <c r="C695" i="3" s="1"/>
  <c r="B682" i="3"/>
  <c r="C694" i="3" s="1"/>
  <c r="B681" i="3"/>
  <c r="B680" i="3"/>
  <c r="C679" i="3"/>
  <c r="B679" i="3"/>
  <c r="B678" i="3"/>
  <c r="B677" i="3"/>
  <c r="B676" i="3"/>
  <c r="C688" i="3" s="1"/>
  <c r="B675" i="3"/>
  <c r="B674" i="3"/>
  <c r="B673" i="3"/>
  <c r="C685" i="3" s="1"/>
  <c r="B672" i="3"/>
  <c r="C684" i="3" s="1"/>
  <c r="B671" i="3"/>
  <c r="B670" i="3"/>
  <c r="B669" i="3"/>
  <c r="C681" i="3" s="1"/>
  <c r="B668" i="3"/>
  <c r="C680" i="3" s="1"/>
  <c r="B667" i="3"/>
  <c r="B666" i="3"/>
  <c r="C678" i="3" s="1"/>
  <c r="B665" i="3"/>
  <c r="C677" i="3" s="1"/>
  <c r="B664" i="3"/>
  <c r="B663" i="3"/>
  <c r="C675" i="3" s="1"/>
  <c r="B662" i="3"/>
  <c r="C674" i="3" s="1"/>
  <c r="B661" i="3"/>
  <c r="B660" i="3"/>
  <c r="B659" i="3"/>
  <c r="B658" i="3"/>
  <c r="C670" i="3" s="1"/>
  <c r="B657" i="3"/>
  <c r="B656" i="3"/>
  <c r="C655" i="3"/>
  <c r="B655" i="3"/>
  <c r="C667" i="3" s="1"/>
  <c r="B654" i="3"/>
  <c r="B653" i="3"/>
  <c r="B652" i="3"/>
  <c r="C664" i="3" s="1"/>
  <c r="B651" i="3"/>
  <c r="C663" i="3" s="1"/>
  <c r="B650" i="3"/>
  <c r="B649" i="3"/>
  <c r="C661" i="3" s="1"/>
  <c r="B648" i="3"/>
  <c r="C660" i="3" s="1"/>
  <c r="B647" i="3"/>
  <c r="B646" i="3"/>
  <c r="B645" i="3"/>
  <c r="C657" i="3" s="1"/>
  <c r="B644" i="3"/>
  <c r="C656" i="3" s="1"/>
  <c r="C643" i="3"/>
  <c r="B643" i="3"/>
  <c r="B642" i="3"/>
  <c r="C654" i="3" s="1"/>
  <c r="B641" i="3"/>
  <c r="C653" i="3" s="1"/>
  <c r="B640" i="3"/>
  <c r="B639" i="3"/>
  <c r="C651" i="3" s="1"/>
  <c r="B638" i="3"/>
  <c r="C650" i="3" s="1"/>
  <c r="B637" i="3"/>
  <c r="B636" i="3"/>
  <c r="C635" i="3"/>
  <c r="B635" i="3"/>
  <c r="C647" i="3" s="1"/>
  <c r="B634" i="3"/>
  <c r="C646" i="3" s="1"/>
  <c r="B633" i="3"/>
  <c r="B632" i="3"/>
  <c r="C631" i="3"/>
  <c r="B631" i="3"/>
  <c r="B630" i="3"/>
  <c r="B629" i="3"/>
  <c r="B628" i="3"/>
  <c r="C640" i="3" s="1"/>
  <c r="B627" i="3"/>
  <c r="B626" i="3"/>
  <c r="B625" i="3"/>
  <c r="C637" i="3" s="1"/>
  <c r="B624" i="3"/>
  <c r="C636" i="3" s="1"/>
  <c r="B623" i="3"/>
  <c r="B622" i="3"/>
  <c r="B621" i="3"/>
  <c r="C633" i="3" s="1"/>
  <c r="B620" i="3"/>
  <c r="C632" i="3" s="1"/>
  <c r="B619" i="3"/>
  <c r="B618" i="3"/>
  <c r="C630" i="3" s="1"/>
  <c r="B617" i="3"/>
  <c r="C629" i="3" s="1"/>
  <c r="B616" i="3"/>
  <c r="B615" i="3"/>
  <c r="C627" i="3" s="1"/>
  <c r="B614" i="3"/>
  <c r="C626" i="3" s="1"/>
  <c r="B613" i="3"/>
  <c r="B612" i="3"/>
  <c r="B611" i="3"/>
  <c r="B610" i="3"/>
  <c r="C622" i="3" s="1"/>
  <c r="B609" i="3"/>
  <c r="B608" i="3"/>
  <c r="C607" i="3"/>
  <c r="B607" i="3"/>
  <c r="C619" i="3" s="1"/>
  <c r="B606" i="3"/>
  <c r="B605" i="3"/>
  <c r="B604" i="3"/>
  <c r="C616" i="3" s="1"/>
  <c r="B603" i="3"/>
  <c r="C615" i="3" s="1"/>
  <c r="B602" i="3"/>
  <c r="B601" i="3"/>
  <c r="C613" i="3" s="1"/>
  <c r="B600" i="3"/>
  <c r="C612" i="3" s="1"/>
  <c r="B599" i="3"/>
  <c r="B598" i="3"/>
  <c r="B597" i="3"/>
  <c r="C609" i="3" s="1"/>
  <c r="B596" i="3"/>
  <c r="C608" i="3" s="1"/>
  <c r="C595" i="3"/>
  <c r="B595" i="3"/>
  <c r="B594" i="3"/>
  <c r="C606" i="3" s="1"/>
  <c r="B593" i="3"/>
  <c r="C605" i="3" s="1"/>
  <c r="B592" i="3"/>
  <c r="B591" i="3"/>
  <c r="B590" i="3"/>
  <c r="C602" i="3" s="1"/>
  <c r="B589" i="3"/>
  <c r="B588" i="3"/>
  <c r="C587" i="3"/>
  <c r="B587" i="3"/>
  <c r="C599" i="3" s="1"/>
  <c r="B586" i="3"/>
  <c r="C598" i="3" s="1"/>
  <c r="B585" i="3"/>
  <c r="B584" i="3"/>
  <c r="C583" i="3"/>
  <c r="B583" i="3"/>
  <c r="B582" i="3"/>
  <c r="B581" i="3"/>
  <c r="B580" i="3"/>
  <c r="C592" i="3" s="1"/>
  <c r="B579" i="3"/>
  <c r="B578" i="3"/>
  <c r="B577" i="3"/>
  <c r="C589" i="3" s="1"/>
  <c r="B576" i="3"/>
  <c r="C588" i="3" s="1"/>
  <c r="B575" i="3"/>
  <c r="B574" i="3"/>
  <c r="B573" i="3"/>
  <c r="C585" i="3" s="1"/>
  <c r="B572" i="3"/>
  <c r="C584" i="3" s="1"/>
  <c r="B571" i="3"/>
  <c r="B570" i="3"/>
  <c r="C582" i="3" s="1"/>
  <c r="B569" i="3"/>
  <c r="C581" i="3" s="1"/>
  <c r="B568" i="3"/>
  <c r="B567" i="3"/>
  <c r="C579" i="3" s="1"/>
  <c r="B566" i="3"/>
  <c r="C578" i="3" s="1"/>
  <c r="B565" i="3"/>
  <c r="B564" i="3"/>
  <c r="C563" i="3"/>
  <c r="B563" i="3"/>
  <c r="C575" i="3" s="1"/>
  <c r="B562" i="3"/>
  <c r="C574" i="3" s="1"/>
  <c r="B561" i="3"/>
  <c r="B560" i="3"/>
  <c r="C559" i="3"/>
  <c r="B559" i="3"/>
  <c r="C571" i="3" s="1"/>
  <c r="B558" i="3"/>
  <c r="B557" i="3"/>
  <c r="B556" i="3"/>
  <c r="C568" i="3" s="1"/>
  <c r="B555" i="3"/>
  <c r="C567" i="3" s="1"/>
  <c r="B554" i="3"/>
  <c r="B553" i="3"/>
  <c r="C565" i="3" s="1"/>
  <c r="B552" i="3"/>
  <c r="C564" i="3" s="1"/>
  <c r="B551" i="3"/>
  <c r="B550" i="3"/>
  <c r="B549" i="3"/>
  <c r="C561" i="3" s="1"/>
  <c r="B548" i="3"/>
  <c r="C560" i="3" s="1"/>
  <c r="C547" i="3"/>
  <c r="B547" i="3"/>
  <c r="B546" i="3"/>
  <c r="C558" i="3" s="1"/>
  <c r="B545" i="3"/>
  <c r="C557" i="3" s="1"/>
  <c r="B544" i="3"/>
  <c r="B543" i="3"/>
  <c r="B542" i="3"/>
  <c r="C554" i="3" s="1"/>
  <c r="B541" i="3"/>
  <c r="B540" i="3"/>
  <c r="C539" i="3"/>
  <c r="B539" i="3"/>
  <c r="C551" i="3" s="1"/>
  <c r="B538" i="3"/>
  <c r="C550" i="3" s="1"/>
  <c r="B537" i="3"/>
  <c r="B536" i="3"/>
  <c r="C535" i="3"/>
  <c r="B535" i="3"/>
  <c r="B534" i="3"/>
  <c r="B533" i="3"/>
  <c r="B532" i="3"/>
  <c r="C544" i="3" s="1"/>
  <c r="B531" i="3"/>
  <c r="B530" i="3"/>
  <c r="B529" i="3"/>
  <c r="C541" i="3" s="1"/>
  <c r="B528" i="3"/>
  <c r="C540" i="3" s="1"/>
  <c r="B527" i="3"/>
  <c r="B526" i="3"/>
  <c r="B525" i="3"/>
  <c r="C537" i="3" s="1"/>
  <c r="B524" i="3"/>
  <c r="C536" i="3" s="1"/>
  <c r="B523" i="3"/>
  <c r="B522" i="3"/>
  <c r="C534" i="3" s="1"/>
  <c r="B521" i="3"/>
  <c r="C533" i="3" s="1"/>
  <c r="B520" i="3"/>
  <c r="B519" i="3"/>
  <c r="C531" i="3" s="1"/>
  <c r="B518" i="3"/>
  <c r="C530" i="3" s="1"/>
  <c r="B517" i="3"/>
  <c r="B516" i="3"/>
  <c r="C515" i="3"/>
  <c r="B515" i="3"/>
  <c r="C527" i="3" s="1"/>
  <c r="B514" i="3"/>
  <c r="C526" i="3" s="1"/>
  <c r="B513" i="3"/>
  <c r="B512" i="3"/>
  <c r="C511" i="3"/>
  <c r="B511" i="3"/>
  <c r="C523" i="3" s="1"/>
  <c r="B510" i="3"/>
  <c r="B509" i="3"/>
  <c r="B508" i="3"/>
  <c r="C520" i="3" s="1"/>
  <c r="B507" i="3"/>
  <c r="C519" i="3" s="1"/>
  <c r="B506" i="3"/>
  <c r="B505" i="3"/>
  <c r="C517" i="3" s="1"/>
  <c r="B504" i="3"/>
  <c r="C516" i="3" s="1"/>
  <c r="B503" i="3"/>
  <c r="B502" i="3"/>
  <c r="B501" i="3"/>
  <c r="C513" i="3" s="1"/>
  <c r="B500" i="3"/>
  <c r="C512" i="3" s="1"/>
  <c r="C499" i="3"/>
  <c r="B499" i="3"/>
  <c r="B498" i="3"/>
  <c r="C510" i="3" s="1"/>
  <c r="B497" i="3"/>
  <c r="C509" i="3" s="1"/>
  <c r="B496" i="3"/>
  <c r="B495" i="3"/>
  <c r="B494" i="3"/>
  <c r="C506" i="3" s="1"/>
  <c r="B493" i="3"/>
  <c r="B492" i="3"/>
  <c r="C491" i="3"/>
  <c r="B491" i="3"/>
  <c r="C503" i="3" s="1"/>
  <c r="B490" i="3"/>
  <c r="C502" i="3" s="1"/>
  <c r="B489" i="3"/>
  <c r="B488" i="3"/>
  <c r="C487" i="3"/>
  <c r="B487" i="3"/>
  <c r="B486" i="3"/>
  <c r="B485" i="3"/>
  <c r="B484" i="3"/>
  <c r="C496" i="3" s="1"/>
  <c r="B483" i="3"/>
  <c r="B482" i="3"/>
  <c r="B481" i="3"/>
  <c r="C493" i="3" s="1"/>
  <c r="B480" i="3"/>
  <c r="C492" i="3" s="1"/>
  <c r="B479" i="3"/>
  <c r="B478" i="3"/>
  <c r="B477" i="3"/>
  <c r="C489" i="3" s="1"/>
  <c r="B476" i="3"/>
  <c r="C488" i="3" s="1"/>
  <c r="B475" i="3"/>
  <c r="B474" i="3"/>
  <c r="C486" i="3" s="1"/>
  <c r="B473" i="3"/>
  <c r="C485" i="3" s="1"/>
  <c r="B472" i="3"/>
  <c r="B471" i="3"/>
  <c r="C471" i="3" s="1"/>
  <c r="B470" i="3"/>
  <c r="C482" i="3" s="1"/>
  <c r="B469" i="3"/>
  <c r="B468" i="3"/>
  <c r="C467" i="3"/>
  <c r="B467" i="3"/>
  <c r="C479" i="3" s="1"/>
  <c r="B466" i="3"/>
  <c r="C478" i="3" s="1"/>
  <c r="B465" i="3"/>
  <c r="C477" i="3" s="1"/>
  <c r="C464" i="3"/>
  <c r="B464" i="3"/>
  <c r="B463" i="3"/>
  <c r="C475" i="3" s="1"/>
  <c r="B462" i="3"/>
  <c r="C474" i="3" s="1"/>
  <c r="B461" i="3"/>
  <c r="C473" i="3" s="1"/>
  <c r="B460" i="3"/>
  <c r="C472" i="3" s="1"/>
  <c r="B459" i="3"/>
  <c r="B458" i="3"/>
  <c r="C457" i="3"/>
  <c r="B457" i="3"/>
  <c r="C469" i="3" s="1"/>
  <c r="C456" i="3"/>
  <c r="B456" i="3"/>
  <c r="C468" i="3" s="1"/>
  <c r="C455" i="3"/>
  <c r="B455" i="3"/>
  <c r="B454" i="3"/>
  <c r="B453" i="3"/>
  <c r="C465" i="3" s="1"/>
  <c r="C452" i="3"/>
  <c r="B452" i="3"/>
  <c r="B451" i="3"/>
  <c r="C463" i="3" s="1"/>
  <c r="B450" i="3"/>
  <c r="B449" i="3"/>
  <c r="B448" i="3"/>
  <c r="C460" i="3" s="1"/>
  <c r="B447" i="3"/>
  <c r="C447" i="3" s="1"/>
  <c r="B446" i="3"/>
  <c r="C458" i="3" s="1"/>
  <c r="C445" i="3"/>
  <c r="B445" i="3"/>
  <c r="B444" i="3"/>
  <c r="C443" i="3"/>
  <c r="B443" i="3"/>
  <c r="B442" i="3"/>
  <c r="C454" i="3" s="1"/>
  <c r="B441" i="3"/>
  <c r="C440" i="3"/>
  <c r="B440" i="3"/>
  <c r="B439" i="3"/>
  <c r="C451" i="3" s="1"/>
  <c r="B438" i="3"/>
  <c r="C450" i="3" s="1"/>
  <c r="B437" i="3"/>
  <c r="C437" i="3" s="1"/>
  <c r="B436" i="3"/>
  <c r="B435" i="3"/>
  <c r="B434" i="3"/>
  <c r="C433" i="3"/>
  <c r="B433" i="3"/>
  <c r="C432" i="3"/>
  <c r="B432" i="3"/>
  <c r="C444" i="3" s="1"/>
  <c r="C431" i="3"/>
  <c r="B431" i="3"/>
  <c r="B430" i="3"/>
  <c r="B429" i="3"/>
  <c r="C441" i="3" s="1"/>
  <c r="C428" i="3"/>
  <c r="B428" i="3"/>
  <c r="B427" i="3"/>
  <c r="B426" i="3"/>
  <c r="B425" i="3"/>
  <c r="B424" i="3"/>
  <c r="C436" i="3" s="1"/>
  <c r="B423" i="3"/>
  <c r="C423" i="3" s="1"/>
  <c r="B422" i="3"/>
  <c r="C434" i="3" s="1"/>
  <c r="C421" i="3"/>
  <c r="B421" i="3"/>
  <c r="B420" i="3"/>
  <c r="C419" i="3"/>
  <c r="B419" i="3"/>
  <c r="B418" i="3"/>
  <c r="C430" i="3" s="1"/>
  <c r="B417" i="3"/>
  <c r="C416" i="3"/>
  <c r="B416" i="3"/>
  <c r="B415" i="3"/>
  <c r="C427" i="3" s="1"/>
  <c r="B414" i="3"/>
  <c r="C426" i="3" s="1"/>
  <c r="B413" i="3"/>
  <c r="C413" i="3" s="1"/>
  <c r="B412" i="3"/>
  <c r="B411" i="3"/>
  <c r="B410" i="3"/>
  <c r="C409" i="3"/>
  <c r="B409" i="3"/>
  <c r="C408" i="3"/>
  <c r="B408" i="3"/>
  <c r="C420" i="3" s="1"/>
  <c r="C407" i="3"/>
  <c r="B407" i="3"/>
  <c r="B406" i="3"/>
  <c r="B405" i="3"/>
  <c r="C417" i="3" s="1"/>
  <c r="C404" i="3"/>
  <c r="B404" i="3"/>
  <c r="B403" i="3"/>
  <c r="B402" i="3"/>
  <c r="B401" i="3"/>
  <c r="B400" i="3"/>
  <c r="C412" i="3" s="1"/>
  <c r="B399" i="3"/>
  <c r="C399" i="3" s="1"/>
  <c r="B398" i="3"/>
  <c r="C410" i="3" s="1"/>
  <c r="C397" i="3"/>
  <c r="B397" i="3"/>
  <c r="B396" i="3"/>
  <c r="C395" i="3"/>
  <c r="B395" i="3"/>
  <c r="B394" i="3"/>
  <c r="C406" i="3" s="1"/>
  <c r="B393" i="3"/>
  <c r="C405" i="3" s="1"/>
  <c r="C392" i="3"/>
  <c r="B392" i="3"/>
  <c r="B391" i="3"/>
  <c r="C403" i="3" s="1"/>
  <c r="B390" i="3"/>
  <c r="C402" i="3" s="1"/>
  <c r="B389" i="3"/>
  <c r="C389" i="3" s="1"/>
  <c r="B388" i="3"/>
  <c r="B387" i="3"/>
  <c r="B386" i="3"/>
  <c r="C385" i="3"/>
  <c r="B385" i="3"/>
  <c r="C384" i="3"/>
  <c r="B384" i="3"/>
  <c r="C396" i="3" s="1"/>
  <c r="C383" i="3"/>
  <c r="B383" i="3"/>
  <c r="B382" i="3"/>
  <c r="B381" i="3"/>
  <c r="C393" i="3" s="1"/>
  <c r="C380" i="3"/>
  <c r="B380" i="3"/>
  <c r="B379" i="3"/>
  <c r="C391" i="3" s="1"/>
  <c r="B378" i="3"/>
  <c r="B377" i="3"/>
  <c r="C376" i="3"/>
  <c r="B376" i="3"/>
  <c r="C388" i="3" s="1"/>
  <c r="B375" i="3"/>
  <c r="C375" i="3" s="1"/>
  <c r="B374" i="3"/>
  <c r="C386" i="3" s="1"/>
  <c r="C373" i="3"/>
  <c r="B373" i="3"/>
  <c r="B372" i="3"/>
  <c r="C371" i="3"/>
  <c r="B371" i="3"/>
  <c r="B370" i="3"/>
  <c r="C382" i="3" s="1"/>
  <c r="B369" i="3"/>
  <c r="C368" i="3"/>
  <c r="B368" i="3"/>
  <c r="B367" i="3"/>
  <c r="C379" i="3" s="1"/>
  <c r="B366" i="3"/>
  <c r="C378" i="3" s="1"/>
  <c r="B365" i="3"/>
  <c r="C365" i="3" s="1"/>
  <c r="B364" i="3"/>
  <c r="B363" i="3"/>
  <c r="B362" i="3"/>
  <c r="C361" i="3"/>
  <c r="B361" i="3"/>
  <c r="C360" i="3"/>
  <c r="B360" i="3"/>
  <c r="C372" i="3" s="1"/>
  <c r="C359" i="3"/>
  <c r="B359" i="3"/>
  <c r="B358" i="3"/>
  <c r="B357" i="3"/>
  <c r="C369" i="3" s="1"/>
  <c r="C356" i="3"/>
  <c r="B356" i="3"/>
  <c r="B355" i="3"/>
  <c r="C367" i="3" s="1"/>
  <c r="B354" i="3"/>
  <c r="B353" i="3"/>
  <c r="C352" i="3"/>
  <c r="B352" i="3"/>
  <c r="C364" i="3" s="1"/>
  <c r="B351" i="3"/>
  <c r="C351" i="3" s="1"/>
  <c r="B350" i="3"/>
  <c r="C362" i="3" s="1"/>
  <c r="C349" i="3"/>
  <c r="B349" i="3"/>
  <c r="B348" i="3"/>
  <c r="C347" i="3"/>
  <c r="B347" i="3"/>
  <c r="B346" i="3"/>
  <c r="C358" i="3" s="1"/>
  <c r="B345" i="3"/>
  <c r="C344" i="3"/>
  <c r="B344" i="3"/>
  <c r="B343" i="3"/>
  <c r="C355" i="3" s="1"/>
  <c r="B342" i="3"/>
  <c r="C354" i="3" s="1"/>
  <c r="B341" i="3"/>
  <c r="C341" i="3" s="1"/>
  <c r="B340" i="3"/>
  <c r="B339" i="3"/>
  <c r="B338" i="3"/>
  <c r="C337" i="3"/>
  <c r="B337" i="3"/>
  <c r="C336" i="3"/>
  <c r="B336" i="3"/>
  <c r="C348" i="3" s="1"/>
  <c r="C335" i="3"/>
  <c r="B335" i="3"/>
  <c r="B334" i="3"/>
  <c r="B333" i="3"/>
  <c r="C345" i="3" s="1"/>
  <c r="B332" i="3"/>
  <c r="C332" i="3" s="1"/>
  <c r="B331" i="3"/>
  <c r="C343" i="3" s="1"/>
  <c r="B330" i="3"/>
  <c r="B329" i="3"/>
  <c r="B328" i="3"/>
  <c r="C340" i="3" s="1"/>
  <c r="B327" i="3"/>
  <c r="C327" i="3" s="1"/>
  <c r="B326" i="3"/>
  <c r="C338" i="3" s="1"/>
  <c r="C325" i="3"/>
  <c r="B325" i="3"/>
  <c r="B324" i="3"/>
  <c r="C323" i="3"/>
  <c r="B323" i="3"/>
  <c r="B322" i="3"/>
  <c r="C334" i="3" s="1"/>
  <c r="B321" i="3"/>
  <c r="C333" i="3" s="1"/>
  <c r="C320" i="3"/>
  <c r="B320" i="3"/>
  <c r="B319" i="3"/>
  <c r="C331" i="3" s="1"/>
  <c r="B318" i="3"/>
  <c r="C330" i="3" s="1"/>
  <c r="B317" i="3"/>
  <c r="C317" i="3" s="1"/>
  <c r="B316" i="3"/>
  <c r="B315" i="3"/>
  <c r="B314" i="3"/>
  <c r="C313" i="3"/>
  <c r="B313" i="3"/>
  <c r="C312" i="3"/>
  <c r="B312" i="3"/>
  <c r="C324" i="3" s="1"/>
  <c r="C311" i="3"/>
  <c r="B311" i="3"/>
  <c r="B310" i="3"/>
  <c r="B309" i="3"/>
  <c r="C321" i="3" s="1"/>
  <c r="B308" i="3"/>
  <c r="C308" i="3" s="1"/>
  <c r="B307" i="3"/>
  <c r="C319" i="3" s="1"/>
  <c r="B306" i="3"/>
  <c r="B305" i="3"/>
  <c r="C304" i="3"/>
  <c r="B304" i="3"/>
  <c r="C316" i="3" s="1"/>
  <c r="B303" i="3"/>
  <c r="C303" i="3" s="1"/>
  <c r="B302" i="3"/>
  <c r="C314" i="3" s="1"/>
  <c r="C301" i="3"/>
  <c r="B301" i="3"/>
  <c r="B300" i="3"/>
  <c r="C299" i="3"/>
  <c r="B299" i="3"/>
  <c r="B298" i="3"/>
  <c r="C310" i="3" s="1"/>
  <c r="B297" i="3"/>
  <c r="C309" i="3" s="1"/>
  <c r="C296" i="3"/>
  <c r="B296" i="3"/>
  <c r="B295" i="3"/>
  <c r="C307" i="3" s="1"/>
  <c r="B294" i="3"/>
  <c r="C306" i="3" s="1"/>
  <c r="B293" i="3"/>
  <c r="C293" i="3" s="1"/>
  <c r="B292" i="3"/>
  <c r="B291" i="3"/>
  <c r="B290" i="3"/>
  <c r="C289" i="3"/>
  <c r="B289" i="3"/>
  <c r="C288" i="3"/>
  <c r="B288" i="3"/>
  <c r="C300" i="3" s="1"/>
  <c r="C287" i="3"/>
  <c r="B287" i="3"/>
  <c r="B286" i="3"/>
  <c r="B285" i="3"/>
  <c r="C297" i="3" s="1"/>
  <c r="B284" i="3"/>
  <c r="C284" i="3" s="1"/>
  <c r="B283" i="3"/>
  <c r="B282" i="3"/>
  <c r="B281" i="3"/>
  <c r="C280" i="3"/>
  <c r="B280" i="3"/>
  <c r="C292" i="3" s="1"/>
  <c r="B279" i="3"/>
  <c r="C279" i="3" s="1"/>
  <c r="B278" i="3"/>
  <c r="C290" i="3" s="1"/>
  <c r="C277" i="3"/>
  <c r="B277" i="3"/>
  <c r="B276" i="3"/>
  <c r="C275" i="3"/>
  <c r="B275" i="3"/>
  <c r="B274" i="3"/>
  <c r="C286" i="3" s="1"/>
  <c r="B273" i="3"/>
  <c r="C285" i="3" s="1"/>
  <c r="C272" i="3"/>
  <c r="B272" i="3"/>
  <c r="B271" i="3"/>
  <c r="C283" i="3" s="1"/>
  <c r="B270" i="3"/>
  <c r="C282" i="3" s="1"/>
  <c r="B269" i="3"/>
  <c r="C269" i="3" s="1"/>
  <c r="B268" i="3"/>
  <c r="B267" i="3"/>
  <c r="B266" i="3"/>
  <c r="C265" i="3"/>
  <c r="B265" i="3"/>
  <c r="C264" i="3"/>
  <c r="B264" i="3"/>
  <c r="C276" i="3" s="1"/>
  <c r="C263" i="3"/>
  <c r="B263" i="3"/>
  <c r="B262" i="3"/>
  <c r="B261" i="3"/>
  <c r="C273" i="3" s="1"/>
  <c r="B260" i="3"/>
  <c r="C260" i="3" s="1"/>
  <c r="B259" i="3"/>
  <c r="C271" i="3" s="1"/>
  <c r="B258" i="3"/>
  <c r="B257" i="3"/>
  <c r="B256" i="3"/>
  <c r="C268" i="3" s="1"/>
  <c r="B255" i="3"/>
  <c r="C255" i="3" s="1"/>
  <c r="B254" i="3"/>
  <c r="C266" i="3" s="1"/>
  <c r="C253" i="3"/>
  <c r="B253" i="3"/>
  <c r="B252" i="3"/>
  <c r="C251" i="3"/>
  <c r="B251" i="3"/>
  <c r="B250" i="3"/>
  <c r="C262" i="3" s="1"/>
  <c r="B249" i="3"/>
  <c r="C248" i="3"/>
  <c r="B248" i="3"/>
  <c r="B247" i="3"/>
  <c r="B246" i="3"/>
  <c r="C258" i="3" s="1"/>
  <c r="B245" i="3"/>
  <c r="C245" i="3" s="1"/>
  <c r="B244" i="3"/>
  <c r="B243" i="3"/>
  <c r="B242" i="3"/>
  <c r="C241" i="3"/>
  <c r="B241" i="3"/>
  <c r="C240" i="3"/>
  <c r="B240" i="3"/>
  <c r="C252" i="3" s="1"/>
  <c r="C239" i="3"/>
  <c r="B239" i="3"/>
  <c r="B238" i="3"/>
  <c r="B237" i="3"/>
  <c r="C249" i="3" s="1"/>
  <c r="B236" i="3"/>
  <c r="C236" i="3" s="1"/>
  <c r="B235" i="3"/>
  <c r="B234" i="3"/>
  <c r="B233" i="3"/>
  <c r="B232" i="3"/>
  <c r="C244" i="3" s="1"/>
  <c r="B231" i="3"/>
  <c r="C231" i="3" s="1"/>
  <c r="B230" i="3"/>
  <c r="C242" i="3" s="1"/>
  <c r="C229" i="3"/>
  <c r="B229" i="3"/>
  <c r="B228" i="3"/>
  <c r="C227" i="3"/>
  <c r="B227" i="3"/>
  <c r="B226" i="3"/>
  <c r="C238" i="3" s="1"/>
  <c r="B225" i="3"/>
  <c r="C237" i="3" s="1"/>
  <c r="C224" i="3"/>
  <c r="B224" i="3"/>
  <c r="B223" i="3"/>
  <c r="C235" i="3" s="1"/>
  <c r="B222" i="3"/>
  <c r="C234" i="3" s="1"/>
  <c r="B221" i="3"/>
  <c r="C221" i="3" s="1"/>
  <c r="B220" i="3"/>
  <c r="B219" i="3"/>
  <c r="B218" i="3"/>
  <c r="C217" i="3"/>
  <c r="B217" i="3"/>
  <c r="C216" i="3"/>
  <c r="B216" i="3"/>
  <c r="C228" i="3" s="1"/>
  <c r="C215" i="3"/>
  <c r="B215" i="3"/>
  <c r="B214" i="3"/>
  <c r="B213" i="3"/>
  <c r="C225" i="3" s="1"/>
  <c r="B212" i="3"/>
  <c r="C212" i="3" s="1"/>
  <c r="B211" i="3"/>
  <c r="C223" i="3" s="1"/>
  <c r="B210" i="3"/>
  <c r="B209" i="3"/>
  <c r="C208" i="3"/>
  <c r="B208" i="3"/>
  <c r="C220" i="3" s="1"/>
  <c r="B207" i="3"/>
  <c r="C207" i="3" s="1"/>
  <c r="B206" i="3"/>
  <c r="C218" i="3" s="1"/>
  <c r="C205" i="3"/>
  <c r="B205" i="3"/>
  <c r="B204" i="3"/>
  <c r="C203" i="3"/>
  <c r="B203" i="3"/>
  <c r="B202" i="3"/>
  <c r="C214" i="3" s="1"/>
  <c r="B201" i="3"/>
  <c r="C200" i="3"/>
  <c r="B200" i="3"/>
  <c r="B199" i="3"/>
  <c r="C211" i="3" s="1"/>
  <c r="B198" i="3"/>
  <c r="C210" i="3" s="1"/>
  <c r="B197" i="3"/>
  <c r="C197" i="3" s="1"/>
  <c r="B196" i="3"/>
  <c r="B195" i="3"/>
  <c r="B194" i="3"/>
  <c r="C193" i="3"/>
  <c r="B193" i="3"/>
  <c r="C192" i="3"/>
  <c r="B192" i="3"/>
  <c r="C204" i="3" s="1"/>
  <c r="C191" i="3"/>
  <c r="B191" i="3"/>
  <c r="B190" i="3"/>
  <c r="B189" i="3"/>
  <c r="C201" i="3" s="1"/>
  <c r="B188" i="3"/>
  <c r="C188" i="3" s="1"/>
  <c r="B187" i="3"/>
  <c r="C199" i="3" s="1"/>
  <c r="B186" i="3"/>
  <c r="B185" i="3"/>
  <c r="B184" i="3"/>
  <c r="C196" i="3" s="1"/>
  <c r="B183" i="3"/>
  <c r="C183" i="3" s="1"/>
  <c r="B182" i="3"/>
  <c r="C194" i="3" s="1"/>
  <c r="C181" i="3"/>
  <c r="B181" i="3"/>
  <c r="B180" i="3"/>
  <c r="C179" i="3"/>
  <c r="B179" i="3"/>
  <c r="B178" i="3"/>
  <c r="C190" i="3" s="1"/>
  <c r="B177" i="3"/>
  <c r="C189" i="3" s="1"/>
  <c r="C176" i="3"/>
  <c r="B176" i="3"/>
  <c r="B175" i="3"/>
  <c r="C187" i="3" s="1"/>
  <c r="B174" i="3"/>
  <c r="C186" i="3" s="1"/>
  <c r="B173" i="3"/>
  <c r="C173" i="3" s="1"/>
  <c r="B172" i="3"/>
  <c r="B171" i="3"/>
  <c r="B170" i="3"/>
  <c r="C169" i="3"/>
  <c r="B169" i="3"/>
  <c r="C168" i="3"/>
  <c r="B168" i="3"/>
  <c r="C180" i="3" s="1"/>
  <c r="C167" i="3"/>
  <c r="B167" i="3"/>
  <c r="B166" i="3"/>
  <c r="B165" i="3"/>
  <c r="C177" i="3" s="1"/>
  <c r="B164" i="3"/>
  <c r="C164" i="3" s="1"/>
  <c r="B163" i="3"/>
  <c r="C175" i="3" s="1"/>
  <c r="B162" i="3"/>
  <c r="B161" i="3"/>
  <c r="C160" i="3"/>
  <c r="B160" i="3"/>
  <c r="C172" i="3" s="1"/>
  <c r="B159" i="3"/>
  <c r="C159" i="3" s="1"/>
  <c r="B158" i="3"/>
  <c r="C170" i="3" s="1"/>
  <c r="C157" i="3"/>
  <c r="B157" i="3"/>
  <c r="B156" i="3"/>
  <c r="C155" i="3"/>
  <c r="B155" i="3"/>
  <c r="B154" i="3"/>
  <c r="C166" i="3" s="1"/>
  <c r="B153" i="3"/>
  <c r="C165" i="3" s="1"/>
  <c r="C152" i="3"/>
  <c r="B152" i="3"/>
  <c r="B151" i="3"/>
  <c r="C163" i="3" s="1"/>
  <c r="B150" i="3"/>
  <c r="C162" i="3" s="1"/>
  <c r="B149" i="3"/>
  <c r="C149" i="3" s="1"/>
  <c r="B148" i="3"/>
  <c r="B147" i="3"/>
  <c r="B146" i="3"/>
  <c r="C145" i="3"/>
  <c r="B145" i="3"/>
  <c r="C144" i="3"/>
  <c r="B144" i="3"/>
  <c r="C156" i="3" s="1"/>
  <c r="C143" i="3"/>
  <c r="B143" i="3"/>
  <c r="B142" i="3"/>
  <c r="B141" i="3"/>
  <c r="C153" i="3" s="1"/>
  <c r="B140" i="3"/>
  <c r="C140" i="3" s="1"/>
  <c r="B139" i="3"/>
  <c r="B138" i="3"/>
  <c r="B137" i="3"/>
  <c r="C136" i="3"/>
  <c r="B136" i="3"/>
  <c r="C148" i="3" s="1"/>
  <c r="B135" i="3"/>
  <c r="C135" i="3" s="1"/>
  <c r="B134" i="3"/>
  <c r="C146" i="3" s="1"/>
  <c r="C133" i="3"/>
  <c r="B133" i="3"/>
  <c r="B132" i="3"/>
  <c r="C131" i="3"/>
  <c r="B131" i="3"/>
  <c r="B130" i="3"/>
  <c r="C142" i="3" s="1"/>
  <c r="B129" i="3"/>
  <c r="C141" i="3" s="1"/>
  <c r="C128" i="3"/>
  <c r="B128" i="3"/>
  <c r="B127" i="3"/>
  <c r="C139" i="3" s="1"/>
  <c r="B126" i="3"/>
  <c r="C138" i="3" s="1"/>
  <c r="B125" i="3"/>
  <c r="C125" i="3" s="1"/>
  <c r="B124" i="3"/>
  <c r="B123" i="3"/>
  <c r="B122" i="3"/>
  <c r="C121" i="3"/>
  <c r="B121" i="3"/>
  <c r="C120" i="3"/>
  <c r="B120" i="3"/>
  <c r="C132" i="3" s="1"/>
  <c r="C119" i="3"/>
  <c r="B119" i="3"/>
  <c r="B118" i="3"/>
  <c r="B117" i="3"/>
  <c r="C129" i="3" s="1"/>
  <c r="B116" i="3"/>
  <c r="C116" i="3" s="1"/>
  <c r="B115" i="3"/>
  <c r="C127" i="3" s="1"/>
  <c r="B114" i="3"/>
  <c r="B113" i="3"/>
  <c r="B112" i="3"/>
  <c r="C124" i="3" s="1"/>
  <c r="B111" i="3"/>
  <c r="C111" i="3" s="1"/>
  <c r="B110" i="3"/>
  <c r="C122" i="3" s="1"/>
  <c r="C109" i="3"/>
  <c r="B109" i="3"/>
  <c r="B108" i="3"/>
  <c r="C107" i="3"/>
  <c r="B107" i="3"/>
  <c r="B106" i="3"/>
  <c r="C118" i="3" s="1"/>
  <c r="B105" i="3"/>
  <c r="C104" i="3"/>
  <c r="B104" i="3"/>
  <c r="B103" i="3"/>
  <c r="C115" i="3" s="1"/>
  <c r="B102" i="3"/>
  <c r="C114" i="3" s="1"/>
  <c r="B101" i="3"/>
  <c r="C101" i="3" s="1"/>
  <c r="B100" i="3"/>
  <c r="B99" i="3"/>
  <c r="B98" i="3"/>
  <c r="C97" i="3"/>
  <c r="B97" i="3"/>
  <c r="C96" i="3"/>
  <c r="B96" i="3"/>
  <c r="C108" i="3" s="1"/>
  <c r="C95" i="3"/>
  <c r="B95" i="3"/>
  <c r="B94" i="3"/>
  <c r="B93" i="3"/>
  <c r="C105" i="3" s="1"/>
  <c r="B92" i="3"/>
  <c r="C92" i="3" s="1"/>
  <c r="B91" i="3"/>
  <c r="B90" i="3"/>
  <c r="C102" i="3" s="1"/>
  <c r="B89" i="3"/>
  <c r="B88" i="3"/>
  <c r="C100" i="3" s="1"/>
  <c r="B87" i="3"/>
  <c r="C87" i="3" s="1"/>
  <c r="B86" i="3"/>
  <c r="C98" i="3" s="1"/>
  <c r="C85" i="3"/>
  <c r="B85" i="3"/>
  <c r="B84" i="3"/>
  <c r="C83" i="3"/>
  <c r="B83" i="3"/>
  <c r="B82" i="3"/>
  <c r="C94" i="3" s="1"/>
  <c r="B81" i="3"/>
  <c r="C93" i="3" s="1"/>
  <c r="C80" i="3"/>
  <c r="B80" i="3"/>
  <c r="B79" i="3"/>
  <c r="C91" i="3" s="1"/>
  <c r="B78" i="3"/>
  <c r="C90" i="3" s="1"/>
  <c r="B77" i="3"/>
  <c r="C77" i="3" s="1"/>
  <c r="B76" i="3"/>
  <c r="C88" i="3" s="1"/>
  <c r="B75" i="3"/>
  <c r="B74" i="3"/>
  <c r="C73" i="3"/>
  <c r="B73" i="3"/>
  <c r="C72" i="3"/>
  <c r="B72" i="3"/>
  <c r="C84" i="3" s="1"/>
  <c r="C71" i="3"/>
  <c r="B71" i="3"/>
  <c r="B70" i="3"/>
  <c r="B69" i="3"/>
  <c r="C81" i="3" s="1"/>
  <c r="B68" i="3"/>
  <c r="C68" i="3" s="1"/>
  <c r="B67" i="3"/>
  <c r="B66" i="3"/>
  <c r="B65" i="3"/>
  <c r="C64" i="3"/>
  <c r="B64" i="3"/>
  <c r="B63" i="3"/>
  <c r="C63" i="3" s="1"/>
  <c r="B62" i="3"/>
  <c r="C74" i="3" s="1"/>
  <c r="C61" i="3"/>
  <c r="B61" i="3"/>
  <c r="B60" i="3"/>
  <c r="C59" i="3"/>
  <c r="B59" i="3"/>
  <c r="B58" i="3"/>
  <c r="C70" i="3" s="1"/>
  <c r="B57" i="3"/>
  <c r="C69" i="3" s="1"/>
  <c r="C56" i="3"/>
  <c r="B56" i="3"/>
  <c r="B55" i="3"/>
  <c r="C67" i="3" s="1"/>
  <c r="B54" i="3"/>
  <c r="C66" i="3" s="1"/>
  <c r="B53" i="3"/>
  <c r="C53" i="3" s="1"/>
  <c r="B52" i="3"/>
  <c r="B51" i="3"/>
  <c r="B50" i="3"/>
  <c r="C49" i="3"/>
  <c r="B49" i="3"/>
  <c r="C48" i="3"/>
  <c r="B48" i="3"/>
  <c r="C60" i="3" s="1"/>
  <c r="C47" i="3"/>
  <c r="B47" i="3"/>
  <c r="B46" i="3"/>
  <c r="B45" i="3"/>
  <c r="C57" i="3" s="1"/>
  <c r="B44" i="3"/>
  <c r="C44" i="3" s="1"/>
  <c r="B43" i="3"/>
  <c r="C55" i="3" s="1"/>
  <c r="B42" i="3"/>
  <c r="B41" i="3"/>
  <c r="C40" i="3"/>
  <c r="B40" i="3"/>
  <c r="C52" i="3" s="1"/>
  <c r="B39" i="3"/>
  <c r="C51" i="3" s="1"/>
  <c r="B38" i="3"/>
  <c r="C50" i="3" s="1"/>
  <c r="C37" i="3"/>
  <c r="B37" i="3"/>
  <c r="B36" i="3"/>
  <c r="C35" i="3"/>
  <c r="B35" i="3"/>
  <c r="B34" i="3"/>
  <c r="C46" i="3" s="1"/>
  <c r="B33" i="3"/>
  <c r="B32" i="3"/>
  <c r="B31" i="3"/>
  <c r="B30" i="3"/>
  <c r="B29" i="3"/>
  <c r="C41" i="3" s="1"/>
  <c r="B28" i="3"/>
  <c r="B27" i="3"/>
  <c r="C26" i="3"/>
  <c r="B26" i="3"/>
  <c r="B25" i="3"/>
  <c r="B24" i="3"/>
  <c r="C36" i="3" s="1"/>
  <c r="C23" i="3"/>
  <c r="B23" i="3"/>
  <c r="B22" i="3"/>
  <c r="C34" i="3" s="1"/>
  <c r="B21" i="3"/>
  <c r="C20" i="3"/>
  <c r="B20" i="3"/>
  <c r="C32" i="3" s="1"/>
  <c r="C19" i="3"/>
  <c r="B19" i="3"/>
  <c r="B18" i="3"/>
  <c r="B17" i="3"/>
  <c r="C29" i="3" s="1"/>
  <c r="B16" i="3"/>
  <c r="C28" i="3" s="1"/>
  <c r="B15" i="3"/>
  <c r="B14" i="3"/>
  <c r="B13" i="3"/>
  <c r="C25" i="3" s="1"/>
  <c r="B12" i="3"/>
  <c r="B11" i="3"/>
  <c r="B10" i="3"/>
  <c r="C22" i="3" s="1"/>
  <c r="B9" i="3"/>
  <c r="C21" i="3" s="1"/>
  <c r="B8" i="3"/>
  <c r="B7" i="3"/>
  <c r="V1188" i="3" s="1"/>
  <c r="N29" i="1"/>
  <c r="N28" i="1"/>
  <c r="Q23" i="1"/>
  <c r="Q22" i="1"/>
  <c r="Q21" i="1"/>
  <c r="P21" i="1"/>
  <c r="Q20" i="1"/>
  <c r="Q19" i="1"/>
  <c r="Q18" i="1"/>
  <c r="Q17" i="1"/>
  <c r="P17" i="1"/>
  <c r="Q16" i="1"/>
  <c r="D83" i="3" l="1"/>
  <c r="D164" i="3"/>
  <c r="V1189" i="3"/>
  <c r="W1189" i="3" s="1"/>
  <c r="X1189" i="3" s="1"/>
  <c r="X1190" i="3" s="1"/>
  <c r="T1190" i="3" s="1"/>
  <c r="AB1190" i="3" s="1"/>
  <c r="V1192" i="3"/>
  <c r="C259" i="3"/>
  <c r="D334" i="3"/>
  <c r="D343" i="3"/>
  <c r="D413" i="3"/>
  <c r="C671" i="3"/>
  <c r="C659" i="3"/>
  <c r="D841" i="3"/>
  <c r="C1130" i="3"/>
  <c r="C1142" i="3"/>
  <c r="D78" i="3"/>
  <c r="D82" i="3"/>
  <c r="C112" i="3"/>
  <c r="D242" i="3"/>
  <c r="D263" i="3"/>
  <c r="C256" i="3"/>
  <c r="D451" i="3"/>
  <c r="C448" i="3"/>
  <c r="C507" i="3"/>
  <c r="C495" i="3"/>
  <c r="D755" i="3"/>
  <c r="C1021" i="3"/>
  <c r="C1033" i="3"/>
  <c r="D105" i="3"/>
  <c r="D152" i="3"/>
  <c r="C42" i="3"/>
  <c r="D57" i="3"/>
  <c r="D74" i="3"/>
  <c r="C117" i="3"/>
  <c r="C151" i="3"/>
  <c r="C261" i="3"/>
  <c r="D276" i="3"/>
  <c r="C295" i="3"/>
  <c r="D306" i="3" s="1"/>
  <c r="C424" i="3"/>
  <c r="C453" i="3"/>
  <c r="D737" i="3"/>
  <c r="C39" i="3"/>
  <c r="C27" i="3"/>
  <c r="D240" i="3"/>
  <c r="D1178" i="3"/>
  <c r="D102" i="3"/>
  <c r="C33" i="3"/>
  <c r="C43" i="3"/>
  <c r="D54" i="3" s="1"/>
  <c r="C31" i="3"/>
  <c r="C76" i="3"/>
  <c r="D222" i="3"/>
  <c r="D218" i="3"/>
  <c r="C232" i="3"/>
  <c r="D403" i="3"/>
  <c r="C400" i="3"/>
  <c r="C429" i="3"/>
  <c r="D438" i="3" s="1"/>
  <c r="D843" i="3"/>
  <c r="D197" i="3"/>
  <c r="D444" i="3"/>
  <c r="D825" i="3"/>
  <c r="D873" i="3"/>
  <c r="C1054" i="3"/>
  <c r="C1066" i="3"/>
  <c r="D312" i="3"/>
  <c r="C381" i="3"/>
  <c r="D389" i="3" s="1"/>
  <c r="C439" i="3"/>
  <c r="D541" i="3"/>
  <c r="D552" i="3"/>
  <c r="D1195" i="3"/>
  <c r="C213" i="3"/>
  <c r="D221" i="3" s="1"/>
  <c r="C247" i="3"/>
  <c r="C357" i="3"/>
  <c r="D368" i="3" s="1"/>
  <c r="D396" i="3"/>
  <c r="C415" i="3"/>
  <c r="C623" i="3"/>
  <c r="C611" i="3"/>
  <c r="D769" i="3"/>
  <c r="C78" i="3"/>
  <c r="D207" i="3"/>
  <c r="D47" i="3"/>
  <c r="C54" i="3"/>
  <c r="D64" i="3" s="1"/>
  <c r="C79" i="3"/>
  <c r="C184" i="3"/>
  <c r="D195" i="3" s="1"/>
  <c r="D238" i="3"/>
  <c r="C328" i="3"/>
  <c r="C603" i="3"/>
  <c r="C591" i="3"/>
  <c r="D710" i="3"/>
  <c r="D127" i="3"/>
  <c r="C45" i="3"/>
  <c r="D56" i="3" s="1"/>
  <c r="C103" i="3"/>
  <c r="D112" i="3" s="1"/>
  <c r="D149" i="3"/>
  <c r="D395" i="3"/>
  <c r="D415" i="3"/>
  <c r="D761" i="3"/>
  <c r="D77" i="3"/>
  <c r="D262" i="3"/>
  <c r="P19" i="1"/>
  <c r="P23" i="1"/>
  <c r="P16" i="1"/>
  <c r="P22" i="1"/>
  <c r="P20" i="1"/>
  <c r="P18" i="1"/>
  <c r="D150" i="3"/>
  <c r="D146" i="3"/>
  <c r="D315" i="3"/>
  <c r="D482" i="3"/>
  <c r="D594" i="3"/>
  <c r="D637" i="3"/>
  <c r="D963" i="3"/>
  <c r="D1011" i="3"/>
  <c r="D1009" i="3"/>
  <c r="C1159" i="3"/>
  <c r="C1147" i="3"/>
  <c r="D1158" i="3" s="1"/>
  <c r="D245" i="3"/>
  <c r="D55" i="3"/>
  <c r="C555" i="3"/>
  <c r="C543" i="3"/>
  <c r="D801" i="3"/>
  <c r="D804" i="3"/>
  <c r="C30" i="3"/>
  <c r="D39" i="3" s="1"/>
  <c r="C62" i="3"/>
  <c r="D72" i="3" s="1"/>
  <c r="C86" i="3"/>
  <c r="D96" i="3" s="1"/>
  <c r="C110" i="3"/>
  <c r="C134" i="3"/>
  <c r="C158" i="3"/>
  <c r="D169" i="3" s="1"/>
  <c r="C182" i="3"/>
  <c r="D193" i="3" s="1"/>
  <c r="C206" i="3"/>
  <c r="D214" i="3" s="1"/>
  <c r="C230" i="3"/>
  <c r="C254" i="3"/>
  <c r="D264" i="3" s="1"/>
  <c r="C278" i="3"/>
  <c r="D287" i="3" s="1"/>
  <c r="C302" i="3"/>
  <c r="D311" i="3" s="1"/>
  <c r="C326" i="3"/>
  <c r="D337" i="3" s="1"/>
  <c r="C350" i="3"/>
  <c r="C374" i="3"/>
  <c r="D382" i="3" s="1"/>
  <c r="C398" i="3"/>
  <c r="C422" i="3"/>
  <c r="C446" i="3"/>
  <c r="D457" i="3" s="1"/>
  <c r="C470" i="3"/>
  <c r="D481" i="3" s="1"/>
  <c r="C480" i="3"/>
  <c r="D490" i="3" s="1"/>
  <c r="C500" i="3"/>
  <c r="C514" i="3"/>
  <c r="D523" i="3" s="1"/>
  <c r="C521" i="3"/>
  <c r="D530" i="3" s="1"/>
  <c r="C548" i="3"/>
  <c r="C562" i="3"/>
  <c r="C569" i="3"/>
  <c r="C596" i="3"/>
  <c r="C610" i="3"/>
  <c r="D617" i="3" s="1"/>
  <c r="C617" i="3"/>
  <c r="C644" i="3"/>
  <c r="C639" i="3"/>
  <c r="C658" i="3"/>
  <c r="D667" i="3" s="1"/>
  <c r="C665" i="3"/>
  <c r="D674" i="3" s="1"/>
  <c r="C692" i="3"/>
  <c r="C687" i="3"/>
  <c r="C706" i="3"/>
  <c r="D716" i="3" s="1"/>
  <c r="C1047" i="3"/>
  <c r="C1059" i="3"/>
  <c r="D1100" i="3"/>
  <c r="C1144" i="3"/>
  <c r="D444" i="4"/>
  <c r="C432" i="4"/>
  <c r="D1154" i="3"/>
  <c r="C481" i="3"/>
  <c r="C494" i="3"/>
  <c r="D503" i="3" s="1"/>
  <c r="C501" i="3"/>
  <c r="C528" i="3"/>
  <c r="D538" i="3" s="1"/>
  <c r="C542" i="3"/>
  <c r="C549" i="3"/>
  <c r="C576" i="3"/>
  <c r="D585" i="3" s="1"/>
  <c r="C590" i="3"/>
  <c r="C597" i="3"/>
  <c r="C624" i="3"/>
  <c r="C638" i="3"/>
  <c r="C645" i="3"/>
  <c r="D656" i="3" s="1"/>
  <c r="C672" i="3"/>
  <c r="C686" i="3"/>
  <c r="D695" i="3" s="1"/>
  <c r="C693" i="3"/>
  <c r="C714" i="3"/>
  <c r="D724" i="3" s="1"/>
  <c r="C722" i="3"/>
  <c r="D732" i="3" s="1"/>
  <c r="C730" i="3"/>
  <c r="C738" i="3"/>
  <c r="D745" i="3" s="1"/>
  <c r="C746" i="3"/>
  <c r="D753" i="3" s="1"/>
  <c r="C754" i="3"/>
  <c r="C762" i="3"/>
  <c r="C770" i="3"/>
  <c r="C778" i="3"/>
  <c r="C786" i="3"/>
  <c r="D796" i="3" s="1"/>
  <c r="C794" i="3"/>
  <c r="C802" i="3"/>
  <c r="D811" i="3" s="1"/>
  <c r="C810" i="3"/>
  <c r="D820" i="3" s="1"/>
  <c r="C818" i="3"/>
  <c r="C826" i="3"/>
  <c r="D835" i="3" s="1"/>
  <c r="C834" i="3"/>
  <c r="D844" i="3" s="1"/>
  <c r="C842" i="3"/>
  <c r="C850" i="3"/>
  <c r="C858" i="3"/>
  <c r="C866" i="3"/>
  <c r="C874" i="3"/>
  <c r="C882" i="3"/>
  <c r="D892" i="3" s="1"/>
  <c r="C1110" i="3"/>
  <c r="C1114" i="3"/>
  <c r="D852" i="3"/>
  <c r="D876" i="3"/>
  <c r="D1191" i="3"/>
  <c r="C38" i="3"/>
  <c r="D45" i="3" s="1"/>
  <c r="C58" i="3"/>
  <c r="D67" i="3" s="1"/>
  <c r="C65" i="3"/>
  <c r="D76" i="3" s="1"/>
  <c r="C82" i="3"/>
  <c r="D93" i="3" s="1"/>
  <c r="C75" i="3"/>
  <c r="D79" i="3" s="1"/>
  <c r="C89" i="3"/>
  <c r="C106" i="3"/>
  <c r="C99" i="3"/>
  <c r="C113" i="3"/>
  <c r="D124" i="3" s="1"/>
  <c r="C130" i="3"/>
  <c r="D139" i="3" s="1"/>
  <c r="C123" i="3"/>
  <c r="D132" i="3" s="1"/>
  <c r="C137" i="3"/>
  <c r="D147" i="3" s="1"/>
  <c r="C154" i="3"/>
  <c r="C147" i="3"/>
  <c r="D155" i="3" s="1"/>
  <c r="C161" i="3"/>
  <c r="D172" i="3" s="1"/>
  <c r="C178" i="3"/>
  <c r="D187" i="3" s="1"/>
  <c r="C171" i="3"/>
  <c r="C185" i="3"/>
  <c r="C202" i="3"/>
  <c r="C195" i="3"/>
  <c r="C209" i="3"/>
  <c r="D220" i="3" s="1"/>
  <c r="C226" i="3"/>
  <c r="D237" i="3" s="1"/>
  <c r="C219" i="3"/>
  <c r="D227" i="3" s="1"/>
  <c r="C233" i="3"/>
  <c r="C250" i="3"/>
  <c r="C243" i="3"/>
  <c r="D251" i="3" s="1"/>
  <c r="C257" i="3"/>
  <c r="D268" i="3" s="1"/>
  <c r="C274" i="3"/>
  <c r="D283" i="3" s="1"/>
  <c r="C267" i="3"/>
  <c r="D274" i="3" s="1"/>
  <c r="C281" i="3"/>
  <c r="D290" i="3" s="1"/>
  <c r="C298" i="3"/>
  <c r="C291" i="3"/>
  <c r="C305" i="3"/>
  <c r="D316" i="3" s="1"/>
  <c r="C322" i="3"/>
  <c r="C315" i="3"/>
  <c r="D319" i="3" s="1"/>
  <c r="C329" i="3"/>
  <c r="D340" i="3" s="1"/>
  <c r="C346" i="3"/>
  <c r="D355" i="3" s="1"/>
  <c r="C339" i="3"/>
  <c r="D341" i="3" s="1"/>
  <c r="C353" i="3"/>
  <c r="D362" i="3" s="1"/>
  <c r="C370" i="3"/>
  <c r="D381" i="3" s="1"/>
  <c r="C363" i="3"/>
  <c r="D372" i="3" s="1"/>
  <c r="C377" i="3"/>
  <c r="D387" i="3" s="1"/>
  <c r="C394" i="3"/>
  <c r="D402" i="3" s="1"/>
  <c r="C387" i="3"/>
  <c r="C401" i="3"/>
  <c r="D412" i="3" s="1"/>
  <c r="C418" i="3"/>
  <c r="D429" i="3" s="1"/>
  <c r="C411" i="3"/>
  <c r="D420" i="3" s="1"/>
  <c r="C425" i="3"/>
  <c r="D436" i="3" s="1"/>
  <c r="C442" i="3"/>
  <c r="D452" i="3" s="1"/>
  <c r="C435" i="3"/>
  <c r="C449" i="3"/>
  <c r="D460" i="3" s="1"/>
  <c r="C466" i="3"/>
  <c r="C459" i="3"/>
  <c r="C476" i="3"/>
  <c r="C508" i="3"/>
  <c r="C522" i="3"/>
  <c r="C529" i="3"/>
  <c r="D540" i="3" s="1"/>
  <c r="C556" i="3"/>
  <c r="D558" i="3" s="1"/>
  <c r="C570" i="3"/>
  <c r="C577" i="3"/>
  <c r="C604" i="3"/>
  <c r="C618" i="3"/>
  <c r="D627" i="3" s="1"/>
  <c r="C625" i="3"/>
  <c r="D636" i="3" s="1"/>
  <c r="C652" i="3"/>
  <c r="D663" i="3" s="1"/>
  <c r="C666" i="3"/>
  <c r="C673" i="3"/>
  <c r="C700" i="3"/>
  <c r="D709" i="3" s="1"/>
  <c r="C1027" i="3"/>
  <c r="C1031" i="3"/>
  <c r="D1042" i="3" s="1"/>
  <c r="C1082" i="3"/>
  <c r="C1094" i="3"/>
  <c r="D1104" i="3" s="1"/>
  <c r="C1115" i="3"/>
  <c r="C1127" i="3"/>
  <c r="C1163" i="3"/>
  <c r="D1182" i="3"/>
  <c r="C483" i="3"/>
  <c r="D485" i="3" s="1"/>
  <c r="D520" i="3"/>
  <c r="C701" i="3"/>
  <c r="D730" i="3"/>
  <c r="D826" i="3"/>
  <c r="D922" i="3"/>
  <c r="D954" i="3"/>
  <c r="D962" i="3"/>
  <c r="D970" i="3"/>
  <c r="D1010" i="3"/>
  <c r="D1039" i="3"/>
  <c r="C1154" i="3"/>
  <c r="D1160" i="3" s="1"/>
  <c r="D1183" i="3"/>
  <c r="C126" i="3"/>
  <c r="D135" i="3" s="1"/>
  <c r="C150" i="3"/>
  <c r="D154" i="3"/>
  <c r="C174" i="3"/>
  <c r="D185" i="3" s="1"/>
  <c r="C198" i="3"/>
  <c r="D202" i="3" s="1"/>
  <c r="C222" i="3"/>
  <c r="D232" i="3" s="1"/>
  <c r="C246" i="3"/>
  <c r="D257" i="3" s="1"/>
  <c r="C270" i="3"/>
  <c r="C294" i="3"/>
  <c r="C318" i="3"/>
  <c r="D329" i="3" s="1"/>
  <c r="C342" i="3"/>
  <c r="D346" i="3" s="1"/>
  <c r="C366" i="3"/>
  <c r="D375" i="3" s="1"/>
  <c r="D370" i="3"/>
  <c r="C390" i="3"/>
  <c r="D394" i="3" s="1"/>
  <c r="C414" i="3"/>
  <c r="D424" i="3" s="1"/>
  <c r="C438" i="3"/>
  <c r="D442" i="3"/>
  <c r="C462" i="3"/>
  <c r="D473" i="3" s="1"/>
  <c r="D522" i="3"/>
  <c r="C708" i="3"/>
  <c r="C716" i="3"/>
  <c r="D727" i="3" s="1"/>
  <c r="C724" i="3"/>
  <c r="C732" i="3"/>
  <c r="C740" i="3"/>
  <c r="C748" i="3"/>
  <c r="D756" i="3" s="1"/>
  <c r="C756" i="3"/>
  <c r="D764" i="3" s="1"/>
  <c r="C764" i="3"/>
  <c r="D774" i="3" s="1"/>
  <c r="C772" i="3"/>
  <c r="C780" i="3"/>
  <c r="C788" i="3"/>
  <c r="C796" i="3"/>
  <c r="C804" i="3"/>
  <c r="C812" i="3"/>
  <c r="D823" i="3" s="1"/>
  <c r="C820" i="3"/>
  <c r="C828" i="3"/>
  <c r="C836" i="3"/>
  <c r="C844" i="3"/>
  <c r="C852" i="3"/>
  <c r="D863" i="3" s="1"/>
  <c r="C860" i="3"/>
  <c r="D870" i="3" s="1"/>
  <c r="C868" i="3"/>
  <c r="C876" i="3"/>
  <c r="C884" i="3"/>
  <c r="C892" i="3"/>
  <c r="C900" i="3"/>
  <c r="C908" i="3"/>
  <c r="D919" i="3" s="1"/>
  <c r="D959" i="3"/>
  <c r="D967" i="3"/>
  <c r="C1012" i="3"/>
  <c r="D1015" i="3" s="1"/>
  <c r="V1208" i="3"/>
  <c r="W1209" i="3" s="1"/>
  <c r="X1209" i="3" s="1"/>
  <c r="X1210" i="3" s="1"/>
  <c r="T1210" i="3" s="1"/>
  <c r="AG1190" i="3" s="1"/>
  <c r="C1087" i="3"/>
  <c r="D1096" i="3" s="1"/>
  <c r="V1205" i="3"/>
  <c r="C1108" i="3"/>
  <c r="C1120" i="3"/>
  <c r="C1117" i="3"/>
  <c r="D1128" i="3" s="1"/>
  <c r="C1129" i="3"/>
  <c r="D1136" i="3" s="1"/>
  <c r="C1176" i="3"/>
  <c r="C1188" i="3"/>
  <c r="V1196" i="3"/>
  <c r="W1197" i="3" s="1"/>
  <c r="X1197" i="3" s="1"/>
  <c r="X1198" i="3" s="1"/>
  <c r="T1198" i="3" s="1"/>
  <c r="AD1190" i="3" s="1"/>
  <c r="V1193" i="3"/>
  <c r="W1193" i="3" s="1"/>
  <c r="X1193" i="3" s="1"/>
  <c r="X1194" i="3" s="1"/>
  <c r="T1194" i="3" s="1"/>
  <c r="AC1190" i="3" s="1"/>
  <c r="D624" i="3"/>
  <c r="D672" i="3"/>
  <c r="C717" i="3"/>
  <c r="C725" i="3"/>
  <c r="C733" i="3"/>
  <c r="D744" i="3" s="1"/>
  <c r="C741" i="3"/>
  <c r="D752" i="3" s="1"/>
  <c r="C749" i="3"/>
  <c r="C757" i="3"/>
  <c r="C765" i="3"/>
  <c r="C773" i="3"/>
  <c r="C781" i="3"/>
  <c r="C789" i="3"/>
  <c r="D800" i="3" s="1"/>
  <c r="C797" i="3"/>
  <c r="C805" i="3"/>
  <c r="C813" i="3"/>
  <c r="C821" i="3"/>
  <c r="C829" i="3"/>
  <c r="D840" i="3" s="1"/>
  <c r="C837" i="3"/>
  <c r="D848" i="3" s="1"/>
  <c r="C845" i="3"/>
  <c r="C853" i="3"/>
  <c r="C861" i="3"/>
  <c r="C869" i="3"/>
  <c r="C877" i="3"/>
  <c r="C885" i="3"/>
  <c r="D896" i="3" s="1"/>
  <c r="C893" i="3"/>
  <c r="C901" i="3"/>
  <c r="C909" i="3"/>
  <c r="C917" i="3"/>
  <c r="D923" i="3" s="1"/>
  <c r="C925" i="3"/>
  <c r="D936" i="3" s="1"/>
  <c r="C933" i="3"/>
  <c r="D944" i="3" s="1"/>
  <c r="C941" i="3"/>
  <c r="D952" i="3" s="1"/>
  <c r="C949" i="3"/>
  <c r="D960" i="3" s="1"/>
  <c r="C957" i="3"/>
  <c r="C965" i="3"/>
  <c r="C973" i="3"/>
  <c r="C981" i="3"/>
  <c r="D992" i="3" s="1"/>
  <c r="C989" i="3"/>
  <c r="D995" i="3" s="1"/>
  <c r="C997" i="3"/>
  <c r="D1008" i="3" s="1"/>
  <c r="D1024" i="3"/>
  <c r="C1034" i="3"/>
  <c r="D1045" i="3" s="1"/>
  <c r="C1046" i="3"/>
  <c r="D1107" i="3"/>
  <c r="D1124" i="3"/>
  <c r="AG1188" i="3"/>
  <c r="U1209" i="3"/>
  <c r="C195" i="4"/>
  <c r="C196" i="4"/>
  <c r="D207" i="4"/>
  <c r="C709" i="3"/>
  <c r="C24" i="3"/>
  <c r="D31" i="3" s="1"/>
  <c r="C490" i="3"/>
  <c r="C497" i="3"/>
  <c r="C524" i="3"/>
  <c r="D535" i="3" s="1"/>
  <c r="C538" i="3"/>
  <c r="D548" i="3" s="1"/>
  <c r="C545" i="3"/>
  <c r="C572" i="3"/>
  <c r="C586" i="3"/>
  <c r="D593" i="3" s="1"/>
  <c r="C593" i="3"/>
  <c r="D596" i="3" s="1"/>
  <c r="C620" i="3"/>
  <c r="D630" i="3" s="1"/>
  <c r="C634" i="3"/>
  <c r="D644" i="3" s="1"/>
  <c r="C641" i="3"/>
  <c r="C668" i="3"/>
  <c r="C682" i="3"/>
  <c r="C689" i="3"/>
  <c r="D700" i="3" s="1"/>
  <c r="D929" i="3"/>
  <c r="D945" i="3"/>
  <c r="D953" i="3"/>
  <c r="D961" i="3"/>
  <c r="D969" i="3"/>
  <c r="C1088" i="3"/>
  <c r="D1099" i="3" s="1"/>
  <c r="D1095" i="3"/>
  <c r="D1116" i="3"/>
  <c r="D1112" i="3"/>
  <c r="D1159" i="3"/>
  <c r="D1177" i="3"/>
  <c r="D1237" i="3"/>
  <c r="D1246" i="3"/>
  <c r="D129" i="3"/>
  <c r="D153" i="3"/>
  <c r="D201" i="3"/>
  <c r="D225" i="3"/>
  <c r="D273" i="3"/>
  <c r="D345" i="3"/>
  <c r="D369" i="3"/>
  <c r="D417" i="3"/>
  <c r="D441" i="3"/>
  <c r="C504" i="3"/>
  <c r="D515" i="3" s="1"/>
  <c r="C518" i="3"/>
  <c r="C525" i="3"/>
  <c r="C552" i="3"/>
  <c r="C566" i="3"/>
  <c r="D577" i="3" s="1"/>
  <c r="C573" i="3"/>
  <c r="C600" i="3"/>
  <c r="D611" i="3" s="1"/>
  <c r="C614" i="3"/>
  <c r="D616" i="3" s="1"/>
  <c r="C621" i="3"/>
  <c r="D632" i="3" s="1"/>
  <c r="C648" i="3"/>
  <c r="D657" i="3" s="1"/>
  <c r="C662" i="3"/>
  <c r="D673" i="3" s="1"/>
  <c r="C669" i="3"/>
  <c r="C696" i="3"/>
  <c r="D702" i="3"/>
  <c r="D1017" i="3"/>
  <c r="D1025" i="3"/>
  <c r="D1050" i="3"/>
  <c r="C1060" i="3"/>
  <c r="D1071" i="3" s="1"/>
  <c r="C1072" i="3"/>
  <c r="D1083" i="3" s="1"/>
  <c r="C1069" i="3"/>
  <c r="D1074" i="3" s="1"/>
  <c r="C1081" i="3"/>
  <c r="D1086" i="3" s="1"/>
  <c r="C1097" i="3"/>
  <c r="D1113" i="3"/>
  <c r="C1170" i="3"/>
  <c r="D1181" i="3" s="1"/>
  <c r="C1182" i="3"/>
  <c r="D1189" i="3" s="1"/>
  <c r="D1252" i="3"/>
  <c r="D1251" i="3"/>
  <c r="C169" i="4"/>
  <c r="D169" i="4"/>
  <c r="D181" i="4"/>
  <c r="C461" i="3"/>
  <c r="C484" i="3"/>
  <c r="D495" i="3" s="1"/>
  <c r="C498" i="3"/>
  <c r="C505" i="3"/>
  <c r="D516" i="3" s="1"/>
  <c r="C532" i="3"/>
  <c r="D543" i="3" s="1"/>
  <c r="C546" i="3"/>
  <c r="D550" i="3" s="1"/>
  <c r="C553" i="3"/>
  <c r="C580" i="3"/>
  <c r="D591" i="3" s="1"/>
  <c r="C594" i="3"/>
  <c r="D605" i="3" s="1"/>
  <c r="C601" i="3"/>
  <c r="D612" i="3" s="1"/>
  <c r="C628" i="3"/>
  <c r="C642" i="3"/>
  <c r="C649" i="3"/>
  <c r="D660" i="3" s="1"/>
  <c r="C676" i="3"/>
  <c r="D687" i="3" s="1"/>
  <c r="C690" i="3"/>
  <c r="C697" i="3"/>
  <c r="D1026" i="3"/>
  <c r="D1030" i="3"/>
  <c r="C1044" i="3"/>
  <c r="D1049" i="3" s="1"/>
  <c r="D1109" i="3"/>
  <c r="C1140" i="3"/>
  <c r="D1151" i="3" s="1"/>
  <c r="C1128" i="3"/>
  <c r="D1133" i="3" s="1"/>
  <c r="D1186" i="3"/>
  <c r="D1226" i="3"/>
  <c r="D496" i="3"/>
  <c r="D544" i="3"/>
  <c r="D688" i="3"/>
  <c r="C704" i="3"/>
  <c r="D715" i="3" s="1"/>
  <c r="D718" i="3"/>
  <c r="D758" i="3"/>
  <c r="D766" i="3"/>
  <c r="D806" i="3"/>
  <c r="D814" i="3"/>
  <c r="D854" i="3"/>
  <c r="D862" i="3"/>
  <c r="D902" i="3"/>
  <c r="D910" i="3"/>
  <c r="D950" i="3"/>
  <c r="D958" i="3"/>
  <c r="D966" i="3"/>
  <c r="D998" i="3"/>
  <c r="D1006" i="3"/>
  <c r="D1051" i="3"/>
  <c r="D1047" i="3"/>
  <c r="C1053" i="3"/>
  <c r="D1060" i="3" s="1"/>
  <c r="D1085" i="3"/>
  <c r="D1101" i="3"/>
  <c r="C1095" i="3"/>
  <c r="D1106" i="3" s="1"/>
  <c r="C1107" i="3"/>
  <c r="D1111" i="3" s="1"/>
  <c r="D1179" i="3"/>
  <c r="C121" i="4"/>
  <c r="D121" i="4"/>
  <c r="D133" i="4"/>
  <c r="D1180" i="3"/>
  <c r="C185" i="4"/>
  <c r="D197" i="4"/>
  <c r="D576" i="4"/>
  <c r="C604" i="4"/>
  <c r="C603" i="4"/>
  <c r="D615" i="4"/>
  <c r="C237" i="6"/>
  <c r="D248" i="6"/>
  <c r="D236" i="6"/>
  <c r="C236" i="6"/>
  <c r="D322" i="6"/>
  <c r="C310" i="6"/>
  <c r="C1151" i="3"/>
  <c r="C1189" i="3"/>
  <c r="C1193" i="3"/>
  <c r="C1205" i="3"/>
  <c r="D1214" i="3" s="1"/>
  <c r="C1212" i="3"/>
  <c r="C1222" i="3"/>
  <c r="D1232" i="3" s="1"/>
  <c r="D34" i="4"/>
  <c r="C23" i="4"/>
  <c r="C22" i="4"/>
  <c r="D56" i="4"/>
  <c r="C44" i="4"/>
  <c r="D78" i="4"/>
  <c r="C66" i="4"/>
  <c r="C105" i="4"/>
  <c r="C227" i="4"/>
  <c r="C228" i="4"/>
  <c r="D227" i="4"/>
  <c r="C243" i="4"/>
  <c r="C244" i="4"/>
  <c r="C259" i="4"/>
  <c r="D483" i="4"/>
  <c r="D1240" i="3"/>
  <c r="D1247" i="3"/>
  <c r="D28" i="4"/>
  <c r="C17" i="4"/>
  <c r="C32" i="4"/>
  <c r="D44" i="4"/>
  <c r="D72" i="4"/>
  <c r="C60" i="4"/>
  <c r="C73" i="4"/>
  <c r="D73" i="4"/>
  <c r="C89" i="4"/>
  <c r="D101" i="4"/>
  <c r="C97" i="4"/>
  <c r="D97" i="4"/>
  <c r="C179" i="4"/>
  <c r="C180" i="4"/>
  <c r="D179" i="4"/>
  <c r="D309" i="4"/>
  <c r="D341" i="4"/>
  <c r="C1187" i="3"/>
  <c r="U1193" i="3"/>
  <c r="C1209" i="3"/>
  <c r="D20" i="4"/>
  <c r="C8" i="4"/>
  <c r="C16" i="4"/>
  <c r="D45" i="4"/>
  <c r="C34" i="4"/>
  <c r="D51" i="4"/>
  <c r="C39" i="4"/>
  <c r="C9" i="4"/>
  <c r="C33" i="4"/>
  <c r="C61" i="4"/>
  <c r="C83" i="4"/>
  <c r="D83" i="4"/>
  <c r="C99" i="4"/>
  <c r="C100" i="4"/>
  <c r="C131" i="4"/>
  <c r="C132" i="4"/>
  <c r="D131" i="4"/>
  <c r="D213" i="4"/>
  <c r="D245" i="4"/>
  <c r="D315" i="4"/>
  <c r="C303" i="4"/>
  <c r="C304" i="4"/>
  <c r="V1204" i="3"/>
  <c r="V1201" i="3"/>
  <c r="W1201" i="3" s="1"/>
  <c r="X1201" i="3" s="1"/>
  <c r="X1202" i="3" s="1"/>
  <c r="T1202" i="3" s="1"/>
  <c r="AE1190" i="3" s="1"/>
  <c r="C1133" i="3"/>
  <c r="D1241" i="3"/>
  <c r="D22" i="4"/>
  <c r="C10" i="4"/>
  <c r="D271" i="4"/>
  <c r="W1213" i="3"/>
  <c r="X1213" i="3" s="1"/>
  <c r="X1214" i="3" s="1"/>
  <c r="T1214" i="3" s="1"/>
  <c r="AH1190" i="3" s="1"/>
  <c r="C1219" i="3"/>
  <c r="C1231" i="3"/>
  <c r="D38" i="4"/>
  <c r="C26" i="4"/>
  <c r="D219" i="4"/>
  <c r="C207" i="4"/>
  <c r="C208" i="4"/>
  <c r="C411" i="4"/>
  <c r="D423" i="4"/>
  <c r="C412" i="4"/>
  <c r="C484" i="4"/>
  <c r="C483" i="4"/>
  <c r="D495" i="4"/>
  <c r="C546" i="4"/>
  <c r="C545" i="4"/>
  <c r="D557" i="4"/>
  <c r="D588" i="4"/>
  <c r="C576" i="4"/>
  <c r="C27" i="4"/>
  <c r="D39" i="4"/>
  <c r="C28" i="4"/>
  <c r="C281" i="4"/>
  <c r="D293" i="4"/>
  <c r="C313" i="4"/>
  <c r="D313" i="4"/>
  <c r="C369" i="4"/>
  <c r="C387" i="4"/>
  <c r="C388" i="4"/>
  <c r="D399" i="4"/>
  <c r="C1198" i="3"/>
  <c r="D1206" i="3" s="1"/>
  <c r="D1243" i="3"/>
  <c r="D27" i="4"/>
  <c r="D109" i="4"/>
  <c r="C265" i="4"/>
  <c r="D265" i="4"/>
  <c r="C1208" i="3"/>
  <c r="D1219" i="3" s="1"/>
  <c r="C1206" i="3"/>
  <c r="D32" i="4"/>
  <c r="D85" i="4"/>
  <c r="D149" i="4"/>
  <c r="D191" i="4"/>
  <c r="C217" i="4"/>
  <c r="D217" i="4"/>
  <c r="C363" i="4"/>
  <c r="C364" i="4"/>
  <c r="D1164" i="3"/>
  <c r="D1184" i="3"/>
  <c r="C1211" i="3"/>
  <c r="D1222" i="3" s="1"/>
  <c r="C1246" i="3"/>
  <c r="D1254" i="3" s="1"/>
  <c r="D123" i="4"/>
  <c r="C111" i="4"/>
  <c r="C112" i="4"/>
  <c r="C275" i="4"/>
  <c r="C276" i="4"/>
  <c r="D275" i="4"/>
  <c r="C291" i="4"/>
  <c r="C292" i="4"/>
  <c r="C323" i="4"/>
  <c r="C324" i="4"/>
  <c r="D323" i="4"/>
  <c r="C339" i="4"/>
  <c r="C340" i="4"/>
  <c r="D351" i="4"/>
  <c r="C1202" i="3"/>
  <c r="D1211" i="3" s="1"/>
  <c r="D29" i="4"/>
  <c r="D62" i="4"/>
  <c r="D98" i="4"/>
  <c r="C86" i="4"/>
  <c r="D105" i="4"/>
  <c r="D137" i="4"/>
  <c r="C125" i="4"/>
  <c r="D150" i="4"/>
  <c r="C138" i="4"/>
  <c r="C152" i="4"/>
  <c r="C151" i="4"/>
  <c r="D163" i="4"/>
  <c r="D194" i="4"/>
  <c r="C182" i="4"/>
  <c r="D201" i="4"/>
  <c r="D233" i="4"/>
  <c r="C221" i="4"/>
  <c r="D246" i="4"/>
  <c r="C234" i="4"/>
  <c r="C248" i="4"/>
  <c r="C247" i="4"/>
  <c r="D259" i="4"/>
  <c r="D290" i="4"/>
  <c r="C278" i="4"/>
  <c r="D297" i="4"/>
  <c r="D329" i="4"/>
  <c r="C317" i="4"/>
  <c r="C344" i="4"/>
  <c r="C343" i="4"/>
  <c r="D355" i="4"/>
  <c r="C356" i="4"/>
  <c r="D383" i="4"/>
  <c r="C392" i="4"/>
  <c r="C391" i="4"/>
  <c r="D403" i="4"/>
  <c r="C404" i="4"/>
  <c r="C426" i="4"/>
  <c r="C425" i="4"/>
  <c r="D437" i="4"/>
  <c r="D468" i="4"/>
  <c r="C456" i="4"/>
  <c r="D507" i="4"/>
  <c r="C45" i="4"/>
  <c r="D74" i="4"/>
  <c r="C62" i="4"/>
  <c r="D99" i="4"/>
  <c r="C87" i="4"/>
  <c r="D93" i="4"/>
  <c r="D151" i="4"/>
  <c r="D195" i="4"/>
  <c r="C183" i="4"/>
  <c r="D189" i="4"/>
  <c r="D247" i="4"/>
  <c r="D291" i="4"/>
  <c r="C279" i="4"/>
  <c r="D285" i="4"/>
  <c r="D343" i="4"/>
  <c r="C357" i="4"/>
  <c r="D369" i="4"/>
  <c r="D396" i="4"/>
  <c r="C384" i="4"/>
  <c r="D391" i="4"/>
  <c r="C405" i="4"/>
  <c r="D417" i="4"/>
  <c r="D431" i="4"/>
  <c r="C419" i="4"/>
  <c r="C450" i="4"/>
  <c r="C449" i="4"/>
  <c r="D461" i="4"/>
  <c r="D492" i="4"/>
  <c r="C480" i="4"/>
  <c r="D531" i="4"/>
  <c r="C11" i="4"/>
  <c r="C40" i="4"/>
  <c r="C51" i="4"/>
  <c r="D75" i="4"/>
  <c r="C63" i="4"/>
  <c r="D87" i="4"/>
  <c r="D100" i="4"/>
  <c r="D119" i="4"/>
  <c r="C145" i="4"/>
  <c r="D157" i="4"/>
  <c r="D183" i="4"/>
  <c r="D196" i="4"/>
  <c r="D215" i="4"/>
  <c r="C241" i="4"/>
  <c r="D253" i="4"/>
  <c r="D279" i="4"/>
  <c r="D311" i="4"/>
  <c r="C337" i="4"/>
  <c r="D362" i="4"/>
  <c r="C350" i="4"/>
  <c r="D371" i="4"/>
  <c r="C385" i="4"/>
  <c r="D419" i="4"/>
  <c r="C474" i="4"/>
  <c r="C473" i="4"/>
  <c r="D485" i="4"/>
  <c r="D516" i="4"/>
  <c r="C504" i="4"/>
  <c r="D555" i="4"/>
  <c r="C25" i="4"/>
  <c r="D36" i="4"/>
  <c r="D58" i="4"/>
  <c r="C47" i="4"/>
  <c r="D113" i="4"/>
  <c r="C101" i="4"/>
  <c r="D126" i="4"/>
  <c r="C114" i="4"/>
  <c r="C128" i="4"/>
  <c r="C127" i="4"/>
  <c r="D139" i="4"/>
  <c r="D170" i="4"/>
  <c r="C158" i="4"/>
  <c r="D177" i="4"/>
  <c r="D209" i="4"/>
  <c r="C197" i="4"/>
  <c r="D222" i="4"/>
  <c r="C210" i="4"/>
  <c r="C224" i="4"/>
  <c r="C223" i="4"/>
  <c r="D235" i="4"/>
  <c r="D266" i="4"/>
  <c r="C254" i="4"/>
  <c r="D273" i="4"/>
  <c r="D305" i="4"/>
  <c r="C293" i="4"/>
  <c r="C320" i="4"/>
  <c r="C319" i="4"/>
  <c r="D331" i="4"/>
  <c r="D363" i="4"/>
  <c r="D411" i="4"/>
  <c r="D432" i="4"/>
  <c r="C436" i="4"/>
  <c r="C435" i="4"/>
  <c r="D447" i="4"/>
  <c r="C498" i="4"/>
  <c r="C497" i="4"/>
  <c r="D509" i="4"/>
  <c r="D540" i="4"/>
  <c r="C528" i="4"/>
  <c r="C24" i="4"/>
  <c r="C46" i="4"/>
  <c r="C52" i="4"/>
  <c r="C76" i="4"/>
  <c r="D120" i="4"/>
  <c r="C120" i="4"/>
  <c r="D171" i="4"/>
  <c r="C159" i="4"/>
  <c r="C172" i="4"/>
  <c r="D216" i="4"/>
  <c r="C216" i="4"/>
  <c r="D267" i="4"/>
  <c r="C255" i="4"/>
  <c r="D312" i="4"/>
  <c r="C312" i="4"/>
  <c r="C379" i="4"/>
  <c r="C460" i="4"/>
  <c r="C459" i="4"/>
  <c r="D471" i="4"/>
  <c r="C522" i="4"/>
  <c r="C521" i="4"/>
  <c r="D533" i="4"/>
  <c r="D564" i="4"/>
  <c r="C552" i="4"/>
  <c r="D603" i="4"/>
  <c r="D41" i="4"/>
  <c r="D65" i="4"/>
  <c r="C53" i="4"/>
  <c r="D89" i="4"/>
  <c r="C77" i="4"/>
  <c r="D102" i="4"/>
  <c r="C90" i="4"/>
  <c r="C104" i="4"/>
  <c r="C103" i="4"/>
  <c r="D115" i="4"/>
  <c r="D146" i="4"/>
  <c r="C134" i="4"/>
  <c r="D153" i="4"/>
  <c r="D185" i="4"/>
  <c r="C173" i="4"/>
  <c r="D198" i="4"/>
  <c r="C186" i="4"/>
  <c r="C200" i="4"/>
  <c r="C199" i="4"/>
  <c r="D211" i="4"/>
  <c r="D242" i="4"/>
  <c r="C230" i="4"/>
  <c r="D249" i="4"/>
  <c r="D281" i="4"/>
  <c r="C269" i="4"/>
  <c r="C296" i="4"/>
  <c r="C295" i="4"/>
  <c r="D307" i="4"/>
  <c r="D338" i="4"/>
  <c r="C326" i="4"/>
  <c r="C333" i="4"/>
  <c r="D345" i="4"/>
  <c r="D359" i="4"/>
  <c r="C368" i="4"/>
  <c r="C367" i="4"/>
  <c r="D379" i="4"/>
  <c r="D407" i="4"/>
  <c r="C416" i="4"/>
  <c r="C415" i="4"/>
  <c r="D427" i="4"/>
  <c r="C430" i="4"/>
  <c r="C429" i="4"/>
  <c r="D441" i="4"/>
  <c r="C508" i="4"/>
  <c r="C507" i="4"/>
  <c r="D519" i="4"/>
  <c r="C570" i="4"/>
  <c r="C569" i="4"/>
  <c r="D581" i="4"/>
  <c r="D612" i="4"/>
  <c r="C600" i="4"/>
  <c r="D26" i="4"/>
  <c r="C20" i="4"/>
  <c r="C31" i="4"/>
  <c r="C38" i="4"/>
  <c r="D49" i="4"/>
  <c r="D54" i="4"/>
  <c r="C42" i="4"/>
  <c r="D60" i="4"/>
  <c r="D53" i="4"/>
  <c r="D59" i="4"/>
  <c r="D77" i="4"/>
  <c r="D96" i="4"/>
  <c r="C96" i="4"/>
  <c r="D147" i="4"/>
  <c r="C135" i="4"/>
  <c r="C148" i="4"/>
  <c r="C160" i="4"/>
  <c r="D173" i="4"/>
  <c r="D192" i="4"/>
  <c r="C192" i="4"/>
  <c r="D243" i="4"/>
  <c r="C231" i="4"/>
  <c r="C256" i="4"/>
  <c r="D269" i="4"/>
  <c r="D339" i="4"/>
  <c r="C327" i="4"/>
  <c r="D372" i="4"/>
  <c r="C360" i="4"/>
  <c r="D373" i="4"/>
  <c r="C381" i="4"/>
  <c r="D393" i="4"/>
  <c r="D420" i="4"/>
  <c r="C408" i="4"/>
  <c r="D429" i="4"/>
  <c r="C454" i="4"/>
  <c r="C453" i="4"/>
  <c r="D465" i="4"/>
  <c r="C532" i="4"/>
  <c r="C531" i="4"/>
  <c r="D543" i="4"/>
  <c r="C594" i="4"/>
  <c r="C593" i="4"/>
  <c r="D605" i="4"/>
  <c r="D167" i="4"/>
  <c r="D205" i="4"/>
  <c r="D231" i="4"/>
  <c r="D263" i="4"/>
  <c r="D301" i="4"/>
  <c r="D327" i="4"/>
  <c r="D421" i="4"/>
  <c r="C409" i="4"/>
  <c r="C440" i="4"/>
  <c r="C439" i="4"/>
  <c r="D451" i="4"/>
  <c r="C556" i="4"/>
  <c r="C555" i="4"/>
  <c r="D567" i="4"/>
  <c r="C618" i="4"/>
  <c r="C617" i="4"/>
  <c r="C1242" i="3"/>
  <c r="D1253" i="3" s="1"/>
  <c r="C21" i="4"/>
  <c r="C80" i="4"/>
  <c r="C79" i="4"/>
  <c r="D91" i="4"/>
  <c r="D122" i="4"/>
  <c r="C110" i="4"/>
  <c r="D129" i="4"/>
  <c r="D161" i="4"/>
  <c r="C149" i="4"/>
  <c r="D155" i="4"/>
  <c r="D174" i="4"/>
  <c r="C162" i="4"/>
  <c r="C176" i="4"/>
  <c r="C175" i="4"/>
  <c r="D187" i="4"/>
  <c r="D193" i="4"/>
  <c r="D218" i="4"/>
  <c r="C206" i="4"/>
  <c r="D225" i="4"/>
  <c r="D257" i="4"/>
  <c r="C245" i="4"/>
  <c r="D251" i="4"/>
  <c r="D270" i="4"/>
  <c r="C258" i="4"/>
  <c r="C272" i="4"/>
  <c r="C271" i="4"/>
  <c r="D283" i="4"/>
  <c r="D289" i="4"/>
  <c r="D314" i="4"/>
  <c r="C302" i="4"/>
  <c r="D321" i="4"/>
  <c r="D353" i="4"/>
  <c r="C341" i="4"/>
  <c r="D360" i="4"/>
  <c r="D361" i="4"/>
  <c r="D387" i="4"/>
  <c r="D409" i="4"/>
  <c r="D439" i="4"/>
  <c r="C464" i="4"/>
  <c r="C463" i="4"/>
  <c r="D475" i="4"/>
  <c r="D552" i="4"/>
  <c r="C580" i="4"/>
  <c r="C579" i="4"/>
  <c r="D591" i="4"/>
  <c r="D489" i="4"/>
  <c r="D499" i="4"/>
  <c r="D513" i="4"/>
  <c r="D523" i="4"/>
  <c r="D537" i="4"/>
  <c r="D547" i="4"/>
  <c r="D561" i="4"/>
  <c r="D571" i="4"/>
  <c r="D585" i="4"/>
  <c r="D595" i="4"/>
  <c r="D609" i="4"/>
  <c r="D619" i="4"/>
  <c r="D103" i="6"/>
  <c r="D187" i="6"/>
  <c r="C175" i="6"/>
  <c r="D282" i="6"/>
  <c r="C270" i="6"/>
  <c r="D30" i="4"/>
  <c r="D70" i="4"/>
  <c r="C58" i="4"/>
  <c r="D94" i="4"/>
  <c r="C82" i="4"/>
  <c r="D118" i="4"/>
  <c r="C106" i="4"/>
  <c r="D142" i="4"/>
  <c r="C130" i="4"/>
  <c r="D166" i="4"/>
  <c r="C154" i="4"/>
  <c r="D190" i="4"/>
  <c r="C178" i="4"/>
  <c r="D214" i="4"/>
  <c r="C202" i="4"/>
  <c r="D238" i="4"/>
  <c r="C226" i="4"/>
  <c r="D262" i="4"/>
  <c r="C250" i="4"/>
  <c r="D286" i="4"/>
  <c r="C274" i="4"/>
  <c r="D310" i="4"/>
  <c r="C298" i="4"/>
  <c r="D334" i="4"/>
  <c r="C322" i="4"/>
  <c r="D358" i="4"/>
  <c r="C346" i="4"/>
  <c r="C351" i="4"/>
  <c r="C365" i="4"/>
  <c r="C375" i="4"/>
  <c r="C389" i="4"/>
  <c r="C399" i="4"/>
  <c r="C413" i="4"/>
  <c r="C423" i="4"/>
  <c r="C437" i="4"/>
  <c r="C447" i="4"/>
  <c r="C461" i="4"/>
  <c r="C471" i="4"/>
  <c r="C485" i="4"/>
  <c r="C495" i="4"/>
  <c r="C509" i="4"/>
  <c r="C519" i="4"/>
  <c r="C533" i="4"/>
  <c r="C543" i="4"/>
  <c r="C557" i="4"/>
  <c r="C567" i="4"/>
  <c r="C581" i="4"/>
  <c r="C591" i="4"/>
  <c r="C605" i="4"/>
  <c r="D520" i="6"/>
  <c r="C509" i="6"/>
  <c r="D508" i="6"/>
  <c r="C508" i="6"/>
  <c r="D568" i="6"/>
  <c r="C557" i="6"/>
  <c r="D556" i="6"/>
  <c r="C556" i="6"/>
  <c r="D616" i="6"/>
  <c r="C605" i="6"/>
  <c r="D604" i="6"/>
  <c r="C604" i="6"/>
  <c r="D139" i="6"/>
  <c r="C127" i="6"/>
  <c r="D247" i="6"/>
  <c r="C247" i="6"/>
  <c r="D259" i="6"/>
  <c r="C248" i="6"/>
  <c r="D314" i="6"/>
  <c r="C302" i="6"/>
  <c r="D370" i="6"/>
  <c r="C358" i="6"/>
  <c r="C1228" i="3"/>
  <c r="D1236" i="3" s="1"/>
  <c r="D66" i="4"/>
  <c r="C54" i="4"/>
  <c r="D90" i="4"/>
  <c r="C78" i="4"/>
  <c r="D114" i="4"/>
  <c r="C102" i="4"/>
  <c r="D138" i="4"/>
  <c r="C126" i="4"/>
  <c r="D162" i="4"/>
  <c r="C150" i="4"/>
  <c r="D186" i="4"/>
  <c r="C174" i="4"/>
  <c r="D210" i="4"/>
  <c r="C198" i="4"/>
  <c r="D234" i="4"/>
  <c r="C222" i="4"/>
  <c r="D258" i="4"/>
  <c r="C246" i="4"/>
  <c r="D282" i="4"/>
  <c r="C270" i="4"/>
  <c r="D306" i="4"/>
  <c r="C294" i="4"/>
  <c r="D330" i="4"/>
  <c r="C318" i="4"/>
  <c r="D354" i="4"/>
  <c r="C342" i="4"/>
  <c r="C433" i="4"/>
  <c r="C443" i="4"/>
  <c r="C457" i="4"/>
  <c r="C467" i="4"/>
  <c r="C481" i="4"/>
  <c r="C491" i="4"/>
  <c r="C505" i="4"/>
  <c r="C515" i="4"/>
  <c r="C529" i="4"/>
  <c r="C539" i="4"/>
  <c r="C553" i="4"/>
  <c r="C563" i="4"/>
  <c r="C577" i="4"/>
  <c r="C587" i="4"/>
  <c r="C601" i="4"/>
  <c r="D175" i="6"/>
  <c r="D472" i="6"/>
  <c r="C461" i="6"/>
  <c r="D460" i="6"/>
  <c r="C460" i="6"/>
  <c r="C468" i="6"/>
  <c r="D480" i="6"/>
  <c r="C469" i="6"/>
  <c r="D468" i="6"/>
  <c r="D43" i="6"/>
  <c r="C31" i="6"/>
  <c r="D91" i="6"/>
  <c r="C79" i="6"/>
  <c r="D243" i="6"/>
  <c r="C232" i="6"/>
  <c r="C231" i="6"/>
  <c r="D362" i="6"/>
  <c r="C350" i="6"/>
  <c r="D86" i="4"/>
  <c r="C74" i="4"/>
  <c r="D110" i="4"/>
  <c r="C98" i="4"/>
  <c r="D134" i="4"/>
  <c r="C122" i="4"/>
  <c r="D158" i="4"/>
  <c r="C146" i="4"/>
  <c r="D182" i="4"/>
  <c r="C170" i="4"/>
  <c r="D206" i="4"/>
  <c r="C194" i="4"/>
  <c r="D230" i="4"/>
  <c r="C218" i="4"/>
  <c r="D254" i="4"/>
  <c r="C242" i="4"/>
  <c r="D278" i="4"/>
  <c r="C266" i="4"/>
  <c r="D302" i="4"/>
  <c r="C290" i="4"/>
  <c r="D326" i="4"/>
  <c r="C314" i="4"/>
  <c r="D350" i="4"/>
  <c r="C338" i="4"/>
  <c r="C477" i="4"/>
  <c r="C487" i="4"/>
  <c r="C501" i="4"/>
  <c r="C511" i="4"/>
  <c r="C525" i="4"/>
  <c r="C535" i="4"/>
  <c r="C549" i="4"/>
  <c r="C559" i="4"/>
  <c r="C573" i="4"/>
  <c r="C583" i="4"/>
  <c r="C597" i="4"/>
  <c r="C607" i="4"/>
  <c r="D449" i="6"/>
  <c r="C437" i="6"/>
  <c r="D270" i="6"/>
  <c r="C259" i="6"/>
  <c r="C258" i="6"/>
  <c r="D50" i="4"/>
  <c r="D82" i="4"/>
  <c r="C70" i="4"/>
  <c r="D106" i="4"/>
  <c r="C94" i="4"/>
  <c r="D130" i="4"/>
  <c r="C118" i="4"/>
  <c r="D154" i="4"/>
  <c r="C142" i="4"/>
  <c r="D178" i="4"/>
  <c r="C166" i="4"/>
  <c r="D202" i="4"/>
  <c r="C190" i="4"/>
  <c r="D226" i="4"/>
  <c r="C214" i="4"/>
  <c r="D250" i="4"/>
  <c r="C238" i="4"/>
  <c r="D274" i="4"/>
  <c r="C262" i="4"/>
  <c r="D298" i="4"/>
  <c r="C286" i="4"/>
  <c r="D322" i="4"/>
  <c r="C310" i="4"/>
  <c r="D346" i="4"/>
  <c r="C334" i="4"/>
  <c r="D370" i="4"/>
  <c r="C358" i="4"/>
  <c r="D163" i="6"/>
  <c r="C151" i="6"/>
  <c r="D46" i="4"/>
  <c r="D449" i="4"/>
  <c r="D473" i="4"/>
  <c r="D497" i="4"/>
  <c r="D521" i="4"/>
  <c r="D545" i="4"/>
  <c r="D569" i="4"/>
  <c r="D593" i="4"/>
  <c r="D617" i="4"/>
  <c r="C241" i="6"/>
  <c r="D253" i="6"/>
  <c r="D410" i="6"/>
  <c r="C398" i="6"/>
  <c r="D294" i="4"/>
  <c r="C282" i="4"/>
  <c r="D318" i="4"/>
  <c r="C306" i="4"/>
  <c r="D342" i="4"/>
  <c r="C330" i="4"/>
  <c r="D366" i="4"/>
  <c r="C354" i="4"/>
  <c r="D115" i="6"/>
  <c r="C103" i="6"/>
  <c r="D445" i="4"/>
  <c r="D469" i="4"/>
  <c r="D493" i="4"/>
  <c r="D517" i="4"/>
  <c r="D541" i="4"/>
  <c r="D565" i="4"/>
  <c r="D589" i="4"/>
  <c r="D613" i="4"/>
  <c r="D67" i="6"/>
  <c r="C55" i="6"/>
  <c r="D151" i="6"/>
  <c r="D39" i="6"/>
  <c r="D63" i="6"/>
  <c r="D87" i="6"/>
  <c r="D111" i="6"/>
  <c r="D135" i="6"/>
  <c r="D159" i="6"/>
  <c r="D258" i="6"/>
  <c r="D293" i="6"/>
  <c r="C282" i="6"/>
  <c r="C281" i="6"/>
  <c r="D306" i="6"/>
  <c r="C294" i="6"/>
  <c r="C309" i="6"/>
  <c r="D308" i="6"/>
  <c r="C308" i="6"/>
  <c r="D320" i="6"/>
  <c r="D341" i="6"/>
  <c r="C330" i="6"/>
  <c r="C329" i="6"/>
  <c r="D354" i="6"/>
  <c r="C342" i="6"/>
  <c r="C357" i="6"/>
  <c r="D356" i="6"/>
  <c r="C356" i="6"/>
  <c r="D368" i="6"/>
  <c r="D389" i="6"/>
  <c r="C378" i="6"/>
  <c r="C377" i="6"/>
  <c r="D402" i="6"/>
  <c r="C390" i="6"/>
  <c r="C420" i="6"/>
  <c r="C421" i="6"/>
  <c r="D67" i="7"/>
  <c r="C56" i="7"/>
  <c r="D55" i="7"/>
  <c r="C55" i="7"/>
  <c r="C534" i="7"/>
  <c r="D533" i="7"/>
  <c r="C533" i="7"/>
  <c r="D545" i="7"/>
  <c r="C588" i="7"/>
  <c r="D600" i="7"/>
  <c r="C589" i="7"/>
  <c r="D30" i="6"/>
  <c r="D52" i="6"/>
  <c r="C40" i="6"/>
  <c r="D76" i="6"/>
  <c r="C64" i="6"/>
  <c r="C83" i="6"/>
  <c r="D100" i="6"/>
  <c r="C88" i="6"/>
  <c r="C107" i="6"/>
  <c r="D124" i="6"/>
  <c r="C112" i="6"/>
  <c r="C131" i="6"/>
  <c r="D148" i="6"/>
  <c r="C136" i="6"/>
  <c r="C155" i="6"/>
  <c r="D172" i="6"/>
  <c r="C160" i="6"/>
  <c r="C179" i="6"/>
  <c r="D196" i="6"/>
  <c r="C184" i="6"/>
  <c r="C246" i="6"/>
  <c r="D257" i="6"/>
  <c r="D281" i="6"/>
  <c r="C296" i="6"/>
  <c r="D295" i="6"/>
  <c r="C295" i="6"/>
  <c r="D307" i="6"/>
  <c r="D328" i="6"/>
  <c r="C317" i="6"/>
  <c r="C316" i="6"/>
  <c r="D329" i="6"/>
  <c r="C344" i="6"/>
  <c r="D343" i="6"/>
  <c r="C343" i="6"/>
  <c r="D355" i="6"/>
  <c r="D376" i="6"/>
  <c r="C365" i="6"/>
  <c r="C364" i="6"/>
  <c r="D377" i="6"/>
  <c r="C392" i="6"/>
  <c r="D391" i="6"/>
  <c r="C391" i="6"/>
  <c r="D403" i="6"/>
  <c r="D420" i="6"/>
  <c r="C272" i="7"/>
  <c r="D283" i="7"/>
  <c r="D271" i="7"/>
  <c r="C271" i="7"/>
  <c r="D530" i="7"/>
  <c r="C519" i="7"/>
  <c r="C518" i="7"/>
  <c r="D20" i="6"/>
  <c r="C8" i="6"/>
  <c r="D28" i="6"/>
  <c r="D26" i="6"/>
  <c r="D48" i="6"/>
  <c r="C36" i="6"/>
  <c r="C41" i="6"/>
  <c r="D50" i="6"/>
  <c r="D72" i="6"/>
  <c r="C60" i="6"/>
  <c r="C65" i="6"/>
  <c r="D74" i="6"/>
  <c r="D96" i="6"/>
  <c r="C84" i="6"/>
  <c r="C89" i="6"/>
  <c r="D98" i="6"/>
  <c r="D120" i="6"/>
  <c r="C108" i="6"/>
  <c r="C113" i="6"/>
  <c r="D122" i="6"/>
  <c r="D144" i="6"/>
  <c r="C132" i="6"/>
  <c r="C137" i="6"/>
  <c r="D146" i="6"/>
  <c r="D168" i="6"/>
  <c r="C156" i="6"/>
  <c r="C161" i="6"/>
  <c r="D170" i="6"/>
  <c r="D192" i="6"/>
  <c r="C180" i="6"/>
  <c r="C185" i="6"/>
  <c r="D194" i="6"/>
  <c r="D216" i="6"/>
  <c r="C204" i="6"/>
  <c r="C209" i="6"/>
  <c r="D232" i="6"/>
  <c r="C221" i="6"/>
  <c r="D225" i="6"/>
  <c r="C225" i="6"/>
  <c r="D315" i="6"/>
  <c r="C304" i="6"/>
  <c r="C303" i="6"/>
  <c r="D363" i="6"/>
  <c r="C352" i="6"/>
  <c r="C351" i="6"/>
  <c r="D411" i="6"/>
  <c r="C400" i="6"/>
  <c r="C399" i="6"/>
  <c r="C407" i="6"/>
  <c r="C408" i="6"/>
  <c r="D91" i="7"/>
  <c r="C80" i="7"/>
  <c r="D79" i="7"/>
  <c r="C79" i="7"/>
  <c r="D105" i="7"/>
  <c r="C93" i="7"/>
  <c r="C94" i="7"/>
  <c r="D163" i="7"/>
  <c r="C152" i="7"/>
  <c r="D151" i="7"/>
  <c r="C151" i="7"/>
  <c r="D177" i="7"/>
  <c r="C165" i="7"/>
  <c r="C166" i="7"/>
  <c r="D211" i="7"/>
  <c r="C200" i="7"/>
  <c r="D199" i="7"/>
  <c r="C199" i="7"/>
  <c r="C320" i="7"/>
  <c r="D331" i="7"/>
  <c r="C319" i="7"/>
  <c r="C362" i="4"/>
  <c r="C366" i="4"/>
  <c r="C370" i="4"/>
  <c r="C374" i="4"/>
  <c r="C378" i="4"/>
  <c r="C382" i="4"/>
  <c r="C386" i="4"/>
  <c r="C390" i="4"/>
  <c r="C394" i="4"/>
  <c r="C398" i="4"/>
  <c r="C402" i="4"/>
  <c r="C406" i="4"/>
  <c r="C410" i="4"/>
  <c r="C414" i="4"/>
  <c r="C418" i="4"/>
  <c r="C9" i="6"/>
  <c r="C16" i="6"/>
  <c r="C214" i="6"/>
  <c r="C220" i="6"/>
  <c r="D254" i="6"/>
  <c r="C243" i="6"/>
  <c r="C264" i="6"/>
  <c r="C311" i="6"/>
  <c r="C359" i="6"/>
  <c r="D450" i="6"/>
  <c r="C438" i="6"/>
  <c r="D20" i="7"/>
  <c r="C8" i="7"/>
  <c r="D225" i="7"/>
  <c r="C213" i="7"/>
  <c r="C214" i="7"/>
  <c r="D395" i="7"/>
  <c r="C383" i="7"/>
  <c r="C384" i="7"/>
  <c r="D44" i="6"/>
  <c r="C32" i="6"/>
  <c r="C37" i="6"/>
  <c r="D46" i="6"/>
  <c r="D68" i="6"/>
  <c r="C56" i="6"/>
  <c r="C61" i="6"/>
  <c r="D70" i="6"/>
  <c r="D92" i="6"/>
  <c r="C80" i="6"/>
  <c r="C85" i="6"/>
  <c r="D94" i="6"/>
  <c r="D116" i="6"/>
  <c r="C104" i="6"/>
  <c r="C109" i="6"/>
  <c r="D118" i="6"/>
  <c r="D140" i="6"/>
  <c r="C128" i="6"/>
  <c r="C133" i="6"/>
  <c r="D142" i="6"/>
  <c r="D164" i="6"/>
  <c r="C152" i="6"/>
  <c r="C157" i="6"/>
  <c r="D166" i="6"/>
  <c r="D188" i="6"/>
  <c r="C176" i="6"/>
  <c r="C181" i="6"/>
  <c r="D190" i="6"/>
  <c r="C195" i="6"/>
  <c r="D212" i="6"/>
  <c r="C200" i="6"/>
  <c r="C205" i="6"/>
  <c r="D222" i="6"/>
  <c r="C215" i="6"/>
  <c r="D220" i="6"/>
  <c r="C226" i="6"/>
  <c r="C242" i="6"/>
  <c r="C265" i="6"/>
  <c r="C271" i="6"/>
  <c r="D297" i="6"/>
  <c r="D311" i="6"/>
  <c r="D345" i="6"/>
  <c r="D359" i="6"/>
  <c r="D498" i="6"/>
  <c r="C486" i="6"/>
  <c r="D546" i="6"/>
  <c r="C534" i="6"/>
  <c r="D594" i="6"/>
  <c r="C582" i="6"/>
  <c r="C33" i="7"/>
  <c r="D45" i="7"/>
  <c r="D33" i="7"/>
  <c r="D259" i="7"/>
  <c r="C248" i="7"/>
  <c r="D247" i="7"/>
  <c r="C247" i="7"/>
  <c r="C288" i="7"/>
  <c r="D299" i="7"/>
  <c r="C287" i="7"/>
  <c r="D51" i="6"/>
  <c r="D75" i="6"/>
  <c r="D99" i="6"/>
  <c r="D123" i="6"/>
  <c r="D147" i="6"/>
  <c r="D171" i="6"/>
  <c r="D266" i="6"/>
  <c r="C254" i="6"/>
  <c r="D458" i="6"/>
  <c r="C446" i="6"/>
  <c r="C455" i="6"/>
  <c r="D467" i="6"/>
  <c r="C456" i="6"/>
  <c r="D32" i="7"/>
  <c r="C20" i="7"/>
  <c r="C377" i="7"/>
  <c r="D376" i="7"/>
  <c r="C376" i="7"/>
  <c r="D388" i="7"/>
  <c r="C488" i="7"/>
  <c r="D500" i="7"/>
  <c r="C489" i="7"/>
  <c r="D40" i="6"/>
  <c r="C28" i="6"/>
  <c r="D64" i="6"/>
  <c r="C52" i="6"/>
  <c r="D88" i="6"/>
  <c r="C76" i="6"/>
  <c r="D112" i="6"/>
  <c r="C100" i="6"/>
  <c r="D136" i="6"/>
  <c r="C124" i="6"/>
  <c r="D160" i="6"/>
  <c r="C148" i="6"/>
  <c r="D184" i="6"/>
  <c r="C172" i="6"/>
  <c r="D208" i="6"/>
  <c r="C196" i="6"/>
  <c r="D245" i="6"/>
  <c r="C234" i="6"/>
  <c r="D267" i="6"/>
  <c r="C256" i="6"/>
  <c r="D260" i="6"/>
  <c r="C260" i="6"/>
  <c r="D272" i="6"/>
  <c r="D305" i="6"/>
  <c r="D353" i="6"/>
  <c r="D437" i="6"/>
  <c r="C426" i="6"/>
  <c r="D425" i="6"/>
  <c r="C425" i="6"/>
  <c r="D459" i="6"/>
  <c r="C448" i="6"/>
  <c r="D447" i="6"/>
  <c r="C447" i="6"/>
  <c r="D507" i="6"/>
  <c r="C496" i="6"/>
  <c r="D495" i="6"/>
  <c r="C495" i="6"/>
  <c r="D555" i="6"/>
  <c r="C544" i="6"/>
  <c r="D543" i="6"/>
  <c r="C543" i="6"/>
  <c r="D603" i="6"/>
  <c r="C592" i="6"/>
  <c r="D591" i="6"/>
  <c r="C591" i="6"/>
  <c r="D54" i="7"/>
  <c r="C43" i="7"/>
  <c r="D42" i="7"/>
  <c r="C42" i="7"/>
  <c r="D115" i="7"/>
  <c r="C104" i="7"/>
  <c r="D103" i="7"/>
  <c r="C103" i="7"/>
  <c r="D129" i="7"/>
  <c r="C117" i="7"/>
  <c r="C118" i="7"/>
  <c r="D273" i="7"/>
  <c r="C261" i="7"/>
  <c r="C262" i="7"/>
  <c r="C11" i="6"/>
  <c r="C18" i="6"/>
  <c r="D23" i="6"/>
  <c r="C182" i="6"/>
  <c r="C206" i="6"/>
  <c r="C222" i="6"/>
  <c r="C233" i="6"/>
  <c r="D250" i="6"/>
  <c r="C238" i="6"/>
  <c r="C244" i="6"/>
  <c r="C255" i="6"/>
  <c r="C266" i="6"/>
  <c r="C279" i="6"/>
  <c r="D291" i="6"/>
  <c r="C402" i="6"/>
  <c r="D432" i="6"/>
  <c r="D187" i="7"/>
  <c r="C176" i="7"/>
  <c r="D175" i="7"/>
  <c r="C175" i="7"/>
  <c r="D36" i="6"/>
  <c r="C24" i="6"/>
  <c r="C29" i="6"/>
  <c r="D60" i="6"/>
  <c r="C48" i="6"/>
  <c r="C53" i="6"/>
  <c r="D84" i="6"/>
  <c r="C72" i="6"/>
  <c r="C77" i="6"/>
  <c r="D108" i="6"/>
  <c r="C96" i="6"/>
  <c r="C101" i="6"/>
  <c r="D132" i="6"/>
  <c r="C120" i="6"/>
  <c r="C125" i="6"/>
  <c r="D156" i="6"/>
  <c r="C144" i="6"/>
  <c r="C149" i="6"/>
  <c r="D180" i="6"/>
  <c r="C168" i="6"/>
  <c r="C173" i="6"/>
  <c r="D204" i="6"/>
  <c r="C192" i="6"/>
  <c r="C197" i="6"/>
  <c r="C217" i="6"/>
  <c r="C228" i="6"/>
  <c r="D233" i="6"/>
  <c r="C239" i="6"/>
  <c r="D244" i="6"/>
  <c r="D255" i="6"/>
  <c r="C261" i="6"/>
  <c r="D273" i="6"/>
  <c r="C273" i="6"/>
  <c r="D285" i="6"/>
  <c r="D292" i="6"/>
  <c r="C306" i="6"/>
  <c r="D340" i="6"/>
  <c r="D388" i="6"/>
  <c r="C433" i="6"/>
  <c r="C434" i="6"/>
  <c r="D485" i="6"/>
  <c r="C474" i="6"/>
  <c r="D473" i="6"/>
  <c r="C473" i="6"/>
  <c r="D533" i="6"/>
  <c r="C522" i="6"/>
  <c r="D521" i="6"/>
  <c r="C521" i="6"/>
  <c r="D581" i="6"/>
  <c r="C570" i="6"/>
  <c r="D569" i="6"/>
  <c r="C569" i="6"/>
  <c r="C618" i="6"/>
  <c r="D617" i="6"/>
  <c r="C617" i="6"/>
  <c r="D201" i="7"/>
  <c r="C189" i="7"/>
  <c r="C190" i="7"/>
  <c r="D347" i="7"/>
  <c r="C336" i="7"/>
  <c r="C335" i="7"/>
  <c r="D456" i="7"/>
  <c r="C445" i="7"/>
  <c r="C444" i="7"/>
  <c r="D298" i="6"/>
  <c r="C286" i="6"/>
  <c r="C322" i="6"/>
  <c r="D321" i="6"/>
  <c r="C321" i="6"/>
  <c r="D333" i="6"/>
  <c r="D346" i="6"/>
  <c r="C334" i="6"/>
  <c r="C370" i="6"/>
  <c r="D369" i="6"/>
  <c r="C369" i="6"/>
  <c r="D381" i="6"/>
  <c r="D394" i="6"/>
  <c r="C382" i="6"/>
  <c r="C481" i="6"/>
  <c r="D493" i="6"/>
  <c r="C482" i="6"/>
  <c r="D235" i="7"/>
  <c r="C224" i="7"/>
  <c r="D223" i="7"/>
  <c r="C223" i="7"/>
  <c r="C304" i="7"/>
  <c r="D315" i="7"/>
  <c r="C303" i="7"/>
  <c r="D32" i="6"/>
  <c r="C20" i="6"/>
  <c r="C25" i="6"/>
  <c r="D56" i="6"/>
  <c r="C44" i="6"/>
  <c r="C49" i="6"/>
  <c r="D80" i="6"/>
  <c r="C68" i="6"/>
  <c r="C73" i="6"/>
  <c r="D104" i="6"/>
  <c r="C92" i="6"/>
  <c r="C97" i="6"/>
  <c r="D128" i="6"/>
  <c r="C116" i="6"/>
  <c r="C121" i="6"/>
  <c r="D152" i="6"/>
  <c r="C140" i="6"/>
  <c r="C145" i="6"/>
  <c r="D176" i="6"/>
  <c r="C164" i="6"/>
  <c r="C169" i="6"/>
  <c r="D200" i="6"/>
  <c r="C188" i="6"/>
  <c r="C193" i="6"/>
  <c r="D202" i="6"/>
  <c r="C207" i="6"/>
  <c r="D280" i="6"/>
  <c r="C269" i="6"/>
  <c r="C268" i="6"/>
  <c r="C274" i="6"/>
  <c r="C287" i="6"/>
  <c r="C307" i="6"/>
  <c r="C335" i="6"/>
  <c r="C355" i="6"/>
  <c r="C383" i="6"/>
  <c r="C389" i="6"/>
  <c r="C405" i="6"/>
  <c r="D404" i="6"/>
  <c r="C404" i="6"/>
  <c r="D416" i="6"/>
  <c r="D424" i="6"/>
  <c r="C413" i="6"/>
  <c r="D412" i="6"/>
  <c r="C412" i="6"/>
  <c r="D481" i="6"/>
  <c r="D26" i="7"/>
  <c r="C14" i="7"/>
  <c r="D81" i="7"/>
  <c r="C69" i="7"/>
  <c r="C70" i="7"/>
  <c r="D139" i="7"/>
  <c r="C128" i="7"/>
  <c r="D127" i="7"/>
  <c r="C127" i="7"/>
  <c r="D153" i="7"/>
  <c r="C141" i="7"/>
  <c r="C142" i="7"/>
  <c r="D249" i="7"/>
  <c r="C237" i="7"/>
  <c r="C238" i="7"/>
  <c r="D302" i="6"/>
  <c r="D350" i="6"/>
  <c r="D398" i="6"/>
  <c r="D429" i="6"/>
  <c r="D446" i="6"/>
  <c r="D451" i="6"/>
  <c r="D464" i="6"/>
  <c r="D477" i="6"/>
  <c r="D494" i="6"/>
  <c r="D499" i="6"/>
  <c r="D512" i="6"/>
  <c r="D525" i="6"/>
  <c r="D542" i="6"/>
  <c r="D547" i="6"/>
  <c r="D560" i="6"/>
  <c r="D573" i="6"/>
  <c r="D590" i="6"/>
  <c r="D595" i="6"/>
  <c r="D608" i="6"/>
  <c r="C29" i="7"/>
  <c r="D46" i="7"/>
  <c r="C370" i="7"/>
  <c r="C452" i="7"/>
  <c r="D464" i="7"/>
  <c r="C582" i="7"/>
  <c r="D581" i="7"/>
  <c r="C581" i="7"/>
  <c r="D593" i="7"/>
  <c r="D318" i="8"/>
  <c r="C307" i="8"/>
  <c r="C306" i="8"/>
  <c r="C504" i="6"/>
  <c r="C517" i="6"/>
  <c r="C530" i="6"/>
  <c r="C552" i="6"/>
  <c r="C565" i="6"/>
  <c r="C578" i="6"/>
  <c r="C600" i="6"/>
  <c r="C613" i="6"/>
  <c r="C51" i="7"/>
  <c r="C60" i="7"/>
  <c r="D77" i="7"/>
  <c r="C65" i="7"/>
  <c r="C84" i="7"/>
  <c r="D101" i="7"/>
  <c r="C89" i="7"/>
  <c r="C108" i="7"/>
  <c r="D125" i="7"/>
  <c r="C113" i="7"/>
  <c r="C132" i="7"/>
  <c r="D149" i="7"/>
  <c r="C137" i="7"/>
  <c r="C156" i="7"/>
  <c r="D173" i="7"/>
  <c r="C161" i="7"/>
  <c r="C180" i="7"/>
  <c r="D197" i="7"/>
  <c r="C185" i="7"/>
  <c r="C204" i="7"/>
  <c r="D221" i="7"/>
  <c r="C209" i="7"/>
  <c r="C228" i="7"/>
  <c r="D245" i="7"/>
  <c r="C233" i="7"/>
  <c r="C252" i="7"/>
  <c r="D269" i="7"/>
  <c r="C257" i="7"/>
  <c r="D289" i="7"/>
  <c r="C277" i="7"/>
  <c r="D287" i="7"/>
  <c r="D305" i="7"/>
  <c r="C293" i="7"/>
  <c r="D303" i="7"/>
  <c r="D321" i="7"/>
  <c r="C309" i="7"/>
  <c r="D319" i="7"/>
  <c r="D337" i="7"/>
  <c r="C325" i="7"/>
  <c r="D335" i="7"/>
  <c r="D383" i="7"/>
  <c r="C372" i="7"/>
  <c r="D377" i="7"/>
  <c r="D434" i="7"/>
  <c r="C423" i="7"/>
  <c r="C438" i="7"/>
  <c r="D437" i="7"/>
  <c r="C437" i="7"/>
  <c r="D449" i="7"/>
  <c r="D457" i="7"/>
  <c r="D517" i="7"/>
  <c r="C506" i="7"/>
  <c r="D523" i="7"/>
  <c r="C511" i="7"/>
  <c r="D159" i="8"/>
  <c r="C147" i="8"/>
  <c r="C189" i="8"/>
  <c r="C190" i="8"/>
  <c r="D201" i="8"/>
  <c r="C290" i="8"/>
  <c r="D302" i="8"/>
  <c r="D229" i="6"/>
  <c r="D246" i="6"/>
  <c r="D251" i="6"/>
  <c r="D264" i="6"/>
  <c r="D277" i="6"/>
  <c r="D294" i="6"/>
  <c r="D299" i="6"/>
  <c r="D312" i="6"/>
  <c r="D325" i="6"/>
  <c r="D342" i="6"/>
  <c r="D347" i="6"/>
  <c r="D360" i="6"/>
  <c r="D373" i="6"/>
  <c r="D390" i="6"/>
  <c r="D395" i="6"/>
  <c r="D408" i="6"/>
  <c r="C417" i="6"/>
  <c r="D421" i="6"/>
  <c r="D438" i="6"/>
  <c r="C430" i="6"/>
  <c r="C439" i="6"/>
  <c r="D443" i="6"/>
  <c r="C452" i="6"/>
  <c r="D456" i="6"/>
  <c r="C465" i="6"/>
  <c r="D469" i="6"/>
  <c r="D486" i="6"/>
  <c r="C478" i="6"/>
  <c r="C487" i="6"/>
  <c r="D491" i="6"/>
  <c r="C500" i="6"/>
  <c r="D504" i="6"/>
  <c r="C513" i="6"/>
  <c r="D517" i="6"/>
  <c r="D534" i="6"/>
  <c r="C526" i="6"/>
  <c r="C535" i="6"/>
  <c r="D539" i="6"/>
  <c r="C548" i="6"/>
  <c r="D552" i="6"/>
  <c r="C561" i="6"/>
  <c r="D565" i="6"/>
  <c r="D582" i="6"/>
  <c r="C574" i="6"/>
  <c r="C583" i="6"/>
  <c r="D587" i="6"/>
  <c r="C596" i="6"/>
  <c r="D600" i="6"/>
  <c r="C609" i="6"/>
  <c r="D613" i="6"/>
  <c r="C9" i="7"/>
  <c r="C15" i="7"/>
  <c r="C21" i="7"/>
  <c r="D25" i="7"/>
  <c r="C34" i="7"/>
  <c r="D38" i="7"/>
  <c r="C47" i="7"/>
  <c r="D51" i="7"/>
  <c r="C75" i="7"/>
  <c r="C99" i="7"/>
  <c r="C123" i="7"/>
  <c r="C147" i="7"/>
  <c r="C171" i="7"/>
  <c r="C195" i="7"/>
  <c r="C219" i="7"/>
  <c r="C243" i="7"/>
  <c r="C267" i="7"/>
  <c r="D343" i="7"/>
  <c r="C332" i="7"/>
  <c r="D353" i="7"/>
  <c r="C360" i="7"/>
  <c r="C365" i="7"/>
  <c r="C371" i="7"/>
  <c r="D405" i="7"/>
  <c r="C422" i="7"/>
  <c r="C430" i="7"/>
  <c r="D442" i="7"/>
  <c r="C453" i="7"/>
  <c r="C467" i="7"/>
  <c r="C505" i="7"/>
  <c r="C512" i="7"/>
  <c r="C521" i="7"/>
  <c r="D520" i="7"/>
  <c r="C520" i="7"/>
  <c r="D532" i="7"/>
  <c r="D539" i="7"/>
  <c r="C527" i="7"/>
  <c r="C528" i="7"/>
  <c r="C566" i="7"/>
  <c r="D578" i="7"/>
  <c r="C567" i="7"/>
  <c r="C618" i="7"/>
  <c r="D242" i="6"/>
  <c r="D290" i="6"/>
  <c r="C291" i="6"/>
  <c r="D338" i="6"/>
  <c r="C339" i="6"/>
  <c r="D386" i="6"/>
  <c r="C387" i="6"/>
  <c r="D417" i="6"/>
  <c r="D434" i="6"/>
  <c r="C435" i="6"/>
  <c r="D439" i="6"/>
  <c r="D452" i="6"/>
  <c r="D465" i="6"/>
  <c r="D482" i="6"/>
  <c r="C483" i="6"/>
  <c r="D487" i="6"/>
  <c r="D500" i="6"/>
  <c r="D513" i="6"/>
  <c r="D530" i="6"/>
  <c r="C531" i="6"/>
  <c r="D535" i="6"/>
  <c r="D548" i="6"/>
  <c r="D561" i="6"/>
  <c r="D578" i="6"/>
  <c r="C579" i="6"/>
  <c r="D583" i="6"/>
  <c r="D596" i="6"/>
  <c r="D609" i="6"/>
  <c r="D21" i="7"/>
  <c r="C30" i="7"/>
  <c r="D34" i="7"/>
  <c r="D47" i="7"/>
  <c r="D73" i="7"/>
  <c r="C61" i="7"/>
  <c r="C66" i="7"/>
  <c r="D97" i="7"/>
  <c r="C85" i="7"/>
  <c r="C90" i="7"/>
  <c r="D121" i="7"/>
  <c r="C109" i="7"/>
  <c r="C114" i="7"/>
  <c r="D145" i="7"/>
  <c r="C133" i="7"/>
  <c r="C138" i="7"/>
  <c r="D169" i="7"/>
  <c r="C157" i="7"/>
  <c r="C162" i="7"/>
  <c r="D193" i="7"/>
  <c r="C181" i="7"/>
  <c r="C186" i="7"/>
  <c r="D217" i="7"/>
  <c r="C205" i="7"/>
  <c r="C210" i="7"/>
  <c r="D241" i="7"/>
  <c r="C229" i="7"/>
  <c r="C234" i="7"/>
  <c r="D265" i="7"/>
  <c r="C253" i="7"/>
  <c r="C258" i="7"/>
  <c r="C278" i="7"/>
  <c r="C294" i="7"/>
  <c r="C310" i="7"/>
  <c r="C326" i="7"/>
  <c r="C342" i="7"/>
  <c r="C348" i="7"/>
  <c r="D354" i="7"/>
  <c r="C354" i="7"/>
  <c r="D360" i="7"/>
  <c r="D365" i="7"/>
  <c r="C393" i="7"/>
  <c r="D421" i="7"/>
  <c r="C410" i="7"/>
  <c r="D427" i="7"/>
  <c r="C415" i="7"/>
  <c r="D430" i="7"/>
  <c r="D466" i="7"/>
  <c r="D495" i="7"/>
  <c r="C484" i="7"/>
  <c r="C499" i="7"/>
  <c r="D498" i="7"/>
  <c r="C498" i="7"/>
  <c r="D510" i="7"/>
  <c r="D518" i="7"/>
  <c r="D540" i="7"/>
  <c r="C66" i="8"/>
  <c r="D78" i="8"/>
  <c r="D66" i="8"/>
  <c r="D238" i="6"/>
  <c r="C230" i="6"/>
  <c r="D286" i="6"/>
  <c r="C278" i="6"/>
  <c r="D304" i="6"/>
  <c r="D317" i="6"/>
  <c r="D334" i="6"/>
  <c r="C326" i="6"/>
  <c r="D339" i="6"/>
  <c r="D352" i="6"/>
  <c r="D365" i="6"/>
  <c r="D382" i="6"/>
  <c r="C374" i="6"/>
  <c r="D387" i="6"/>
  <c r="D400" i="6"/>
  <c r="D413" i="6"/>
  <c r="D430" i="6"/>
  <c r="C422" i="6"/>
  <c r="D435" i="6"/>
  <c r="D448" i="6"/>
  <c r="D461" i="6"/>
  <c r="D478" i="6"/>
  <c r="C470" i="6"/>
  <c r="D483" i="6"/>
  <c r="D496" i="6"/>
  <c r="D509" i="6"/>
  <c r="D526" i="6"/>
  <c r="C518" i="6"/>
  <c r="D531" i="6"/>
  <c r="D544" i="6"/>
  <c r="D557" i="6"/>
  <c r="D574" i="6"/>
  <c r="C566" i="6"/>
  <c r="D579" i="6"/>
  <c r="D592" i="6"/>
  <c r="D605" i="6"/>
  <c r="D43" i="7"/>
  <c r="D56" i="7"/>
  <c r="D80" i="7"/>
  <c r="D90" i="7"/>
  <c r="D104" i="7"/>
  <c r="D114" i="7"/>
  <c r="D128" i="7"/>
  <c r="D138" i="7"/>
  <c r="D152" i="7"/>
  <c r="D162" i="7"/>
  <c r="D176" i="7"/>
  <c r="D200" i="7"/>
  <c r="D224" i="7"/>
  <c r="D248" i="7"/>
  <c r="D285" i="7"/>
  <c r="C273" i="7"/>
  <c r="D301" i="7"/>
  <c r="C289" i="7"/>
  <c r="D317" i="7"/>
  <c r="C305" i="7"/>
  <c r="D333" i="7"/>
  <c r="C321" i="7"/>
  <c r="C409" i="7"/>
  <c r="C416" i="7"/>
  <c r="C425" i="7"/>
  <c r="D424" i="7"/>
  <c r="C424" i="7"/>
  <c r="D436" i="7"/>
  <c r="D443" i="7"/>
  <c r="C431" i="7"/>
  <c r="C432" i="7"/>
  <c r="D488" i="7"/>
  <c r="C483" i="7"/>
  <c r="D504" i="7"/>
  <c r="C493" i="7"/>
  <c r="D513" i="7"/>
  <c r="D571" i="7"/>
  <c r="C559" i="7"/>
  <c r="C569" i="7"/>
  <c r="D568" i="7"/>
  <c r="C568" i="7"/>
  <c r="D580" i="7"/>
  <c r="C67" i="8"/>
  <c r="D609" i="8"/>
  <c r="C597" i="8"/>
  <c r="D69" i="7"/>
  <c r="C57" i="7"/>
  <c r="D71" i="7"/>
  <c r="D93" i="7"/>
  <c r="C81" i="7"/>
  <c r="D95" i="7"/>
  <c r="D117" i="7"/>
  <c r="C105" i="7"/>
  <c r="D119" i="7"/>
  <c r="D141" i="7"/>
  <c r="C129" i="7"/>
  <c r="D143" i="7"/>
  <c r="D165" i="7"/>
  <c r="C153" i="7"/>
  <c r="D167" i="7"/>
  <c r="D189" i="7"/>
  <c r="C177" i="7"/>
  <c r="D191" i="7"/>
  <c r="D213" i="7"/>
  <c r="C201" i="7"/>
  <c r="D215" i="7"/>
  <c r="D237" i="7"/>
  <c r="C225" i="7"/>
  <c r="D239" i="7"/>
  <c r="D261" i="7"/>
  <c r="C249" i="7"/>
  <c r="D263" i="7"/>
  <c r="C268" i="7"/>
  <c r="C361" i="7"/>
  <c r="D399" i="7"/>
  <c r="C388" i="7"/>
  <c r="D407" i="7"/>
  <c r="C395" i="7"/>
  <c r="C403" i="7"/>
  <c r="D402" i="7"/>
  <c r="C402" i="7"/>
  <c r="D414" i="7"/>
  <c r="D422" i="7"/>
  <c r="C417" i="7"/>
  <c r="D429" i="7"/>
  <c r="D444" i="7"/>
  <c r="C553" i="7"/>
  <c r="D565" i="7"/>
  <c r="C554" i="7"/>
  <c r="D588" i="7"/>
  <c r="D154" i="8"/>
  <c r="C143" i="8"/>
  <c r="D142" i="8"/>
  <c r="C142" i="8"/>
  <c r="D395" i="8"/>
  <c r="C383" i="8"/>
  <c r="C318" i="6"/>
  <c r="C366" i="6"/>
  <c r="C414" i="6"/>
  <c r="C462" i="6"/>
  <c r="C510" i="6"/>
  <c r="C558" i="6"/>
  <c r="C606" i="6"/>
  <c r="D65" i="7"/>
  <c r="C53" i="7"/>
  <c r="D62" i="7"/>
  <c r="C279" i="7"/>
  <c r="C295" i="7"/>
  <c r="C311" i="7"/>
  <c r="C327" i="7"/>
  <c r="D379" i="7"/>
  <c r="C367" i="7"/>
  <c r="D392" i="7"/>
  <c r="C387" i="7"/>
  <c r="D408" i="7"/>
  <c r="C397" i="7"/>
  <c r="D417" i="7"/>
  <c r="D482" i="7"/>
  <c r="C471" i="7"/>
  <c r="C486" i="7"/>
  <c r="D485" i="7"/>
  <c r="C485" i="7"/>
  <c r="D497" i="7"/>
  <c r="D505" i="7"/>
  <c r="C50" i="8"/>
  <c r="D62" i="8"/>
  <c r="D50" i="8"/>
  <c r="D31" i="7"/>
  <c r="D61" i="7"/>
  <c r="C49" i="7"/>
  <c r="D53" i="7"/>
  <c r="D89" i="7"/>
  <c r="C77" i="7"/>
  <c r="D113" i="7"/>
  <c r="C101" i="7"/>
  <c r="D137" i="7"/>
  <c r="C125" i="7"/>
  <c r="D161" i="7"/>
  <c r="C149" i="7"/>
  <c r="D185" i="7"/>
  <c r="C173" i="7"/>
  <c r="D209" i="7"/>
  <c r="C197" i="7"/>
  <c r="D233" i="7"/>
  <c r="C221" i="7"/>
  <c r="D257" i="7"/>
  <c r="C245" i="7"/>
  <c r="D281" i="7"/>
  <c r="C269" i="7"/>
  <c r="D297" i="7"/>
  <c r="C285" i="7"/>
  <c r="D313" i="7"/>
  <c r="C301" i="7"/>
  <c r="D329" i="7"/>
  <c r="C317" i="7"/>
  <c r="D345" i="7"/>
  <c r="C333" i="7"/>
  <c r="C344" i="7"/>
  <c r="D344" i="7"/>
  <c r="C396" i="7"/>
  <c r="C404" i="7"/>
  <c r="D416" i="7"/>
  <c r="C515" i="7"/>
  <c r="C547" i="7"/>
  <c r="D546" i="7"/>
  <c r="C546" i="7"/>
  <c r="D558" i="7"/>
  <c r="D613" i="7"/>
  <c r="C601" i="7"/>
  <c r="C602" i="7"/>
  <c r="C51" i="8"/>
  <c r="D183" i="8"/>
  <c r="C171" i="8"/>
  <c r="D377" i="8"/>
  <c r="D389" i="8"/>
  <c r="C378" i="8"/>
  <c r="C377" i="8"/>
  <c r="D515" i="6"/>
  <c r="D528" i="6"/>
  <c r="D541" i="6"/>
  <c r="D563" i="6"/>
  <c r="D576" i="6"/>
  <c r="D589" i="6"/>
  <c r="D611" i="6"/>
  <c r="D40" i="7"/>
  <c r="D57" i="7"/>
  <c r="C45" i="7"/>
  <c r="D351" i="7"/>
  <c r="C340" i="7"/>
  <c r="D357" i="7"/>
  <c r="C390" i="7"/>
  <c r="D389" i="7"/>
  <c r="C389" i="7"/>
  <c r="D401" i="7"/>
  <c r="D469" i="7"/>
  <c r="C458" i="7"/>
  <c r="D475" i="7"/>
  <c r="C463" i="7"/>
  <c r="D543" i="7"/>
  <c r="C532" i="7"/>
  <c r="C17" i="8"/>
  <c r="D29" i="8"/>
  <c r="C18" i="8"/>
  <c r="D347" i="8"/>
  <c r="C335" i="8"/>
  <c r="C349" i="8"/>
  <c r="D361" i="8"/>
  <c r="D349" i="8"/>
  <c r="D85" i="7"/>
  <c r="C73" i="7"/>
  <c r="D109" i="7"/>
  <c r="C97" i="7"/>
  <c r="D133" i="7"/>
  <c r="C121" i="7"/>
  <c r="D157" i="7"/>
  <c r="C145" i="7"/>
  <c r="D181" i="7"/>
  <c r="C169" i="7"/>
  <c r="D205" i="7"/>
  <c r="C193" i="7"/>
  <c r="D229" i="7"/>
  <c r="C217" i="7"/>
  <c r="D253" i="7"/>
  <c r="C241" i="7"/>
  <c r="D277" i="7"/>
  <c r="C265" i="7"/>
  <c r="C275" i="7"/>
  <c r="C291" i="7"/>
  <c r="C307" i="7"/>
  <c r="C382" i="7"/>
  <c r="D394" i="7"/>
  <c r="C473" i="7"/>
  <c r="D472" i="7"/>
  <c r="C472" i="7"/>
  <c r="D484" i="7"/>
  <c r="D491" i="7"/>
  <c r="C479" i="7"/>
  <c r="C480" i="7"/>
  <c r="C540" i="7"/>
  <c r="D552" i="7"/>
  <c r="C541" i="7"/>
  <c r="C595" i="7"/>
  <c r="D594" i="7"/>
  <c r="C594" i="7"/>
  <c r="D606" i="7"/>
  <c r="C34" i="8"/>
  <c r="D46" i="8"/>
  <c r="D34" i="8"/>
  <c r="D262" i="6"/>
  <c r="D310" i="6"/>
  <c r="D358" i="6"/>
  <c r="D406" i="6"/>
  <c r="D454" i="6"/>
  <c r="D502" i="6"/>
  <c r="C494" i="6"/>
  <c r="D550" i="6"/>
  <c r="C542" i="6"/>
  <c r="D598" i="6"/>
  <c r="C590" i="6"/>
  <c r="C37" i="7"/>
  <c r="D41" i="7"/>
  <c r="D275" i="7"/>
  <c r="D293" i="7"/>
  <c r="C281" i="7"/>
  <c r="D291" i="7"/>
  <c r="D309" i="7"/>
  <c r="C297" i="7"/>
  <c r="D307" i="7"/>
  <c r="D325" i="7"/>
  <c r="C313" i="7"/>
  <c r="D323" i="7"/>
  <c r="D341" i="7"/>
  <c r="C329" i="7"/>
  <c r="D339" i="7"/>
  <c r="C346" i="7"/>
  <c r="D370" i="7"/>
  <c r="C369" i="7"/>
  <c r="C375" i="7"/>
  <c r="D382" i="7"/>
  <c r="D418" i="7"/>
  <c r="D447" i="7"/>
  <c r="C436" i="7"/>
  <c r="D455" i="7"/>
  <c r="C443" i="7"/>
  <c r="C451" i="7"/>
  <c r="D450" i="7"/>
  <c r="C450" i="7"/>
  <c r="D462" i="7"/>
  <c r="D470" i="7"/>
  <c r="D553" i="7"/>
  <c r="D591" i="7"/>
  <c r="C579" i="7"/>
  <c r="C580" i="7"/>
  <c r="D21" i="8"/>
  <c r="C9" i="8"/>
  <c r="C35" i="8"/>
  <c r="D148" i="8"/>
  <c r="C136" i="8"/>
  <c r="D387" i="7"/>
  <c r="D435" i="7"/>
  <c r="D483" i="7"/>
  <c r="D531" i="7"/>
  <c r="D579" i="7"/>
  <c r="C15" i="8"/>
  <c r="D27" i="8"/>
  <c r="D43" i="8"/>
  <c r="D59" i="8"/>
  <c r="D75" i="8"/>
  <c r="D91" i="8"/>
  <c r="D107" i="8"/>
  <c r="D123" i="8"/>
  <c r="C129" i="8"/>
  <c r="D140" i="8"/>
  <c r="C146" i="8"/>
  <c r="C176" i="8"/>
  <c r="D182" i="8"/>
  <c r="C182" i="8"/>
  <c r="D254" i="8"/>
  <c r="D266" i="8"/>
  <c r="C268" i="8"/>
  <c r="C304" i="8"/>
  <c r="D316" i="8"/>
  <c r="C333" i="8"/>
  <c r="D345" i="8"/>
  <c r="D359" i="8"/>
  <c r="C347" i="8"/>
  <c r="C362" i="8"/>
  <c r="D374" i="8"/>
  <c r="D573" i="8"/>
  <c r="C561" i="8"/>
  <c r="D431" i="7"/>
  <c r="D479" i="7"/>
  <c r="D527" i="7"/>
  <c r="D575" i="7"/>
  <c r="C576" i="7"/>
  <c r="C28" i="8"/>
  <c r="C33" i="8"/>
  <c r="C44" i="8"/>
  <c r="C49" i="8"/>
  <c r="C60" i="8"/>
  <c r="C65" i="8"/>
  <c r="C76" i="8"/>
  <c r="C81" i="8"/>
  <c r="C92" i="8"/>
  <c r="C97" i="8"/>
  <c r="C108" i="8"/>
  <c r="C113" i="8"/>
  <c r="C124" i="8"/>
  <c r="D129" i="8"/>
  <c r="C141" i="8"/>
  <c r="D189" i="8"/>
  <c r="C178" i="8"/>
  <c r="C194" i="8"/>
  <c r="C207" i="8"/>
  <c r="D276" i="8"/>
  <c r="D288" i="8"/>
  <c r="D317" i="8"/>
  <c r="C305" i="8"/>
  <c r="C334" i="8"/>
  <c r="D346" i="8"/>
  <c r="D334" i="8"/>
  <c r="D360" i="8"/>
  <c r="C348" i="8"/>
  <c r="D402" i="8"/>
  <c r="D525" i="8"/>
  <c r="C513" i="8"/>
  <c r="D574" i="8"/>
  <c r="D562" i="8"/>
  <c r="C562" i="8"/>
  <c r="D358" i="7"/>
  <c r="D375" i="7"/>
  <c r="D380" i="7"/>
  <c r="D393" i="7"/>
  <c r="D406" i="7"/>
  <c r="D423" i="7"/>
  <c r="D428" i="7"/>
  <c r="D441" i="7"/>
  <c r="D454" i="7"/>
  <c r="D471" i="7"/>
  <c r="D476" i="7"/>
  <c r="D489" i="7"/>
  <c r="D502" i="7"/>
  <c r="D519" i="7"/>
  <c r="D524" i="7"/>
  <c r="D537" i="7"/>
  <c r="D550" i="7"/>
  <c r="D567" i="7"/>
  <c r="D572" i="7"/>
  <c r="D585" i="7"/>
  <c r="D598" i="7"/>
  <c r="D23" i="8"/>
  <c r="D41" i="8"/>
  <c r="D39" i="8"/>
  <c r="D57" i="8"/>
  <c r="D55" i="8"/>
  <c r="D73" i="8"/>
  <c r="D71" i="8"/>
  <c r="D89" i="8"/>
  <c r="D87" i="8"/>
  <c r="D105" i="8"/>
  <c r="D103" i="8"/>
  <c r="D121" i="8"/>
  <c r="D119" i="8"/>
  <c r="C148" i="8"/>
  <c r="D153" i="8"/>
  <c r="D177" i="8"/>
  <c r="D202" i="8"/>
  <c r="C191" i="8"/>
  <c r="D207" i="8"/>
  <c r="C195" i="8"/>
  <c r="D214" i="8"/>
  <c r="D228" i="8"/>
  <c r="D240" i="8"/>
  <c r="D241" i="8"/>
  <c r="D253" i="8"/>
  <c r="C255" i="8"/>
  <c r="D303" i="8"/>
  <c r="C291" i="8"/>
  <c r="D313" i="8"/>
  <c r="C351" i="8"/>
  <c r="C350" i="8"/>
  <c r="D376" i="8"/>
  <c r="C365" i="8"/>
  <c r="C364" i="8"/>
  <c r="C384" i="8"/>
  <c r="D410" i="8"/>
  <c r="C398" i="8"/>
  <c r="D519" i="8"/>
  <c r="C507" i="8"/>
  <c r="C508" i="8"/>
  <c r="C23" i="9"/>
  <c r="D35" i="9"/>
  <c r="C350" i="7"/>
  <c r="D371" i="7"/>
  <c r="C363" i="7"/>
  <c r="C385" i="7"/>
  <c r="C398" i="7"/>
  <c r="D419" i="7"/>
  <c r="C411" i="7"/>
  <c r="C420" i="7"/>
  <c r="C433" i="7"/>
  <c r="C446" i="7"/>
  <c r="D467" i="7"/>
  <c r="C459" i="7"/>
  <c r="C468" i="7"/>
  <c r="C481" i="7"/>
  <c r="C494" i="7"/>
  <c r="D515" i="7"/>
  <c r="C507" i="7"/>
  <c r="C516" i="7"/>
  <c r="C529" i="7"/>
  <c r="C542" i="7"/>
  <c r="D563" i="7"/>
  <c r="C555" i="7"/>
  <c r="C564" i="7"/>
  <c r="C577" i="7"/>
  <c r="C590" i="7"/>
  <c r="C10" i="8"/>
  <c r="C24" i="8"/>
  <c r="C29" i="8"/>
  <c r="C40" i="8"/>
  <c r="C45" i="8"/>
  <c r="C56" i="8"/>
  <c r="C61" i="8"/>
  <c r="C72" i="8"/>
  <c r="C77" i="8"/>
  <c r="C88" i="8"/>
  <c r="C93" i="8"/>
  <c r="C104" i="8"/>
  <c r="C109" i="8"/>
  <c r="D127" i="8"/>
  <c r="C120" i="8"/>
  <c r="C125" i="8"/>
  <c r="D136" i="8"/>
  <c r="C154" i="8"/>
  <c r="C172" i="8"/>
  <c r="C209" i="8"/>
  <c r="D227" i="8"/>
  <c r="C215" i="8"/>
  <c r="D262" i="8"/>
  <c r="C277" i="8"/>
  <c r="D304" i="8"/>
  <c r="C292" i="8"/>
  <c r="D311" i="8"/>
  <c r="C299" i="8"/>
  <c r="D411" i="8"/>
  <c r="C400" i="8"/>
  <c r="C399" i="8"/>
  <c r="C477" i="8"/>
  <c r="D489" i="8"/>
  <c r="D611" i="8"/>
  <c r="C600" i="8"/>
  <c r="C599" i="8"/>
  <c r="D367" i="7"/>
  <c r="C359" i="7"/>
  <c r="D415" i="7"/>
  <c r="C407" i="7"/>
  <c r="D463" i="7"/>
  <c r="C455" i="7"/>
  <c r="D511" i="7"/>
  <c r="C503" i="7"/>
  <c r="D559" i="7"/>
  <c r="C551" i="7"/>
  <c r="D608" i="7"/>
  <c r="C11" i="8"/>
  <c r="C30" i="8"/>
  <c r="D40" i="8"/>
  <c r="C46" i="8"/>
  <c r="D56" i="8"/>
  <c r="C62" i="8"/>
  <c r="D72" i="8"/>
  <c r="C78" i="8"/>
  <c r="D88" i="8"/>
  <c r="C94" i="8"/>
  <c r="D104" i="8"/>
  <c r="C110" i="8"/>
  <c r="C115" i="8"/>
  <c r="D120" i="8"/>
  <c r="C126" i="8"/>
  <c r="C137" i="8"/>
  <c r="D167" i="8"/>
  <c r="C161" i="8"/>
  <c r="D166" i="8"/>
  <c r="D184" i="8"/>
  <c r="D215" i="8"/>
  <c r="C222" i="8"/>
  <c r="D275" i="8"/>
  <c r="C263" i="8"/>
  <c r="D290" i="8"/>
  <c r="D278" i="8"/>
  <c r="C278" i="8"/>
  <c r="C285" i="8"/>
  <c r="D327" i="8"/>
  <c r="C315" i="8"/>
  <c r="D372" i="8"/>
  <c r="D384" i="8"/>
  <c r="D392" i="8"/>
  <c r="C392" i="8"/>
  <c r="D404" i="8"/>
  <c r="C393" i="8"/>
  <c r="C478" i="8"/>
  <c r="D490" i="8"/>
  <c r="D568" i="8"/>
  <c r="C557" i="8"/>
  <c r="C556" i="8"/>
  <c r="D77" i="9"/>
  <c r="C65" i="9"/>
  <c r="D477" i="7"/>
  <c r="D490" i="7"/>
  <c r="D512" i="7"/>
  <c r="D525" i="7"/>
  <c r="D538" i="7"/>
  <c r="D560" i="7"/>
  <c r="D573" i="7"/>
  <c r="D586" i="7"/>
  <c r="D618" i="7"/>
  <c r="D37" i="8"/>
  <c r="D53" i="8"/>
  <c r="D69" i="8"/>
  <c r="D85" i="8"/>
  <c r="D101" i="8"/>
  <c r="D117" i="8"/>
  <c r="D179" i="8"/>
  <c r="C167" i="8"/>
  <c r="D306" i="8"/>
  <c r="D309" i="8"/>
  <c r="C309" i="8"/>
  <c r="D321" i="8"/>
  <c r="C310" i="8"/>
  <c r="C317" i="8"/>
  <c r="C316" i="8"/>
  <c r="D512" i="8"/>
  <c r="C500" i="8"/>
  <c r="D500" i="8"/>
  <c r="D68" i="9"/>
  <c r="C56" i="9"/>
  <c r="D128" i="8"/>
  <c r="C116" i="8"/>
  <c r="D156" i="8"/>
  <c r="C156" i="8"/>
  <c r="C205" i="8"/>
  <c r="D204" i="8"/>
  <c r="C204" i="8"/>
  <c r="D216" i="8"/>
  <c r="D255" i="8"/>
  <c r="C243" i="8"/>
  <c r="D249" i="8"/>
  <c r="C272" i="8"/>
  <c r="D284" i="8"/>
  <c r="C338" i="8"/>
  <c r="D350" i="8"/>
  <c r="D391" i="8"/>
  <c r="C380" i="8"/>
  <c r="C379" i="8"/>
  <c r="D426" i="8"/>
  <c r="C414" i="8"/>
  <c r="D513" i="8"/>
  <c r="C502" i="8"/>
  <c r="D501" i="8"/>
  <c r="C501" i="8"/>
  <c r="D560" i="8"/>
  <c r="C548" i="8"/>
  <c r="D579" i="8"/>
  <c r="C568" i="8"/>
  <c r="C567" i="8"/>
  <c r="D56" i="9"/>
  <c r="C491" i="7"/>
  <c r="C539" i="7"/>
  <c r="D617" i="7"/>
  <c r="D25" i="8"/>
  <c r="D20" i="8"/>
  <c r="C26" i="8"/>
  <c r="D36" i="8"/>
  <c r="C42" i="8"/>
  <c r="D52" i="8"/>
  <c r="C58" i="8"/>
  <c r="D68" i="8"/>
  <c r="C74" i="8"/>
  <c r="D84" i="8"/>
  <c r="C90" i="8"/>
  <c r="D100" i="8"/>
  <c r="D116" i="8"/>
  <c r="C127" i="8"/>
  <c r="C218" i="8"/>
  <c r="D217" i="8"/>
  <c r="C217" i="8"/>
  <c r="C231" i="8"/>
  <c r="D230" i="8"/>
  <c r="C230" i="8"/>
  <c r="D242" i="8"/>
  <c r="D236" i="8"/>
  <c r="C266" i="8"/>
  <c r="D265" i="8"/>
  <c r="C265" i="8"/>
  <c r="D277" i="8"/>
  <c r="D285" i="8"/>
  <c r="C274" i="8"/>
  <c r="C273" i="8"/>
  <c r="D379" i="8"/>
  <c r="D399" i="8"/>
  <c r="C387" i="8"/>
  <c r="C518" i="8"/>
  <c r="D530" i="8"/>
  <c r="D561" i="8"/>
  <c r="C549" i="8"/>
  <c r="C574" i="8"/>
  <c r="C575" i="8"/>
  <c r="D586" i="8"/>
  <c r="D224" i="8"/>
  <c r="C213" i="8"/>
  <c r="D237" i="8"/>
  <c r="C226" i="8"/>
  <c r="D263" i="8"/>
  <c r="C251" i="8"/>
  <c r="D299" i="8"/>
  <c r="C287" i="8"/>
  <c r="D366" i="8"/>
  <c r="C355" i="8"/>
  <c r="C354" i="8"/>
  <c r="D414" i="8"/>
  <c r="C402" i="8"/>
  <c r="C403" i="8"/>
  <c r="D507" i="8"/>
  <c r="C496" i="8"/>
  <c r="C495" i="8"/>
  <c r="D531" i="8"/>
  <c r="C519" i="8"/>
  <c r="D109" i="9"/>
  <c r="C97" i="9"/>
  <c r="C21" i="8"/>
  <c r="C37" i="8"/>
  <c r="C53" i="8"/>
  <c r="C69" i="8"/>
  <c r="C85" i="8"/>
  <c r="C101" i="8"/>
  <c r="C145" i="8"/>
  <c r="D163" i="8"/>
  <c r="C152" i="8"/>
  <c r="D157" i="8"/>
  <c r="D169" i="8"/>
  <c r="C169" i="8"/>
  <c r="D211" i="8"/>
  <c r="C200" i="8"/>
  <c r="C212" i="8"/>
  <c r="D218" i="8"/>
  <c r="C225" i="8"/>
  <c r="D250" i="8"/>
  <c r="C239" i="8"/>
  <c r="C238" i="8"/>
  <c r="C253" i="8"/>
  <c r="D252" i="8"/>
  <c r="C252" i="8"/>
  <c r="D264" i="8"/>
  <c r="C281" i="8"/>
  <c r="D293" i="8"/>
  <c r="C297" i="8"/>
  <c r="C296" i="8"/>
  <c r="D354" i="8"/>
  <c r="D467" i="8"/>
  <c r="C455" i="8"/>
  <c r="C39" i="9"/>
  <c r="D51" i="9"/>
  <c r="D391" i="7"/>
  <c r="D439" i="7"/>
  <c r="D487" i="7"/>
  <c r="D535" i="7"/>
  <c r="C575" i="7"/>
  <c r="D605" i="7"/>
  <c r="C597" i="7"/>
  <c r="C22" i="8"/>
  <c r="D32" i="8"/>
  <c r="C38" i="8"/>
  <c r="D48" i="8"/>
  <c r="C54" i="8"/>
  <c r="D64" i="8"/>
  <c r="C70" i="8"/>
  <c r="D80" i="8"/>
  <c r="C86" i="8"/>
  <c r="D96" i="8"/>
  <c r="C102" i="8"/>
  <c r="D112" i="8"/>
  <c r="C123" i="8"/>
  <c r="D141" i="8"/>
  <c r="C130" i="8"/>
  <c r="C140" i="8"/>
  <c r="C151" i="8"/>
  <c r="D176" i="8"/>
  <c r="C165" i="8"/>
  <c r="C175" i="8"/>
  <c r="D181" i="8"/>
  <c r="C193" i="8"/>
  <c r="C199" i="8"/>
  <c r="C206" i="8"/>
  <c r="D212" i="8"/>
  <c r="D225" i="8"/>
  <c r="D238" i="8"/>
  <c r="D272" i="8"/>
  <c r="C261" i="8"/>
  <c r="C260" i="8"/>
  <c r="C267" i="8"/>
  <c r="C283" i="8"/>
  <c r="C282" i="8"/>
  <c r="D301" i="8"/>
  <c r="D296" i="8"/>
  <c r="D332" i="8"/>
  <c r="C404" i="8"/>
  <c r="D416" i="8"/>
  <c r="D610" i="8"/>
  <c r="D477" i="8"/>
  <c r="D518" i="8"/>
  <c r="D549" i="8"/>
  <c r="D585" i="8"/>
  <c r="C573" i="8"/>
  <c r="C598" i="8"/>
  <c r="D20" i="9"/>
  <c r="D27" i="9"/>
  <c r="C15" i="9"/>
  <c r="C183" i="9"/>
  <c r="C184" i="9"/>
  <c r="C167" i="9"/>
  <c r="C168" i="9"/>
  <c r="D138" i="8"/>
  <c r="D155" i="8"/>
  <c r="D160" i="8"/>
  <c r="D173" i="8"/>
  <c r="D186" i="8"/>
  <c r="D203" i="8"/>
  <c r="D208" i="8"/>
  <c r="D221" i="8"/>
  <c r="D234" i="8"/>
  <c r="D251" i="8"/>
  <c r="D256" i="8"/>
  <c r="D269" i="8"/>
  <c r="D295" i="8"/>
  <c r="C321" i="8"/>
  <c r="D338" i="8"/>
  <c r="D353" i="8"/>
  <c r="D367" i="8"/>
  <c r="C430" i="8"/>
  <c r="D440" i="8"/>
  <c r="D458" i="8"/>
  <c r="D480" i="8"/>
  <c r="D478" i="8"/>
  <c r="D537" i="8"/>
  <c r="C525" i="8"/>
  <c r="D556" i="8"/>
  <c r="C544" i="8"/>
  <c r="C550" i="8"/>
  <c r="D587" i="8"/>
  <c r="C611" i="8"/>
  <c r="C16" i="9"/>
  <c r="D24" i="9"/>
  <c r="D44" i="9"/>
  <c r="C32" i="9"/>
  <c r="D94" i="9"/>
  <c r="C82" i="9"/>
  <c r="C99" i="9"/>
  <c r="D111" i="9"/>
  <c r="D115" i="9"/>
  <c r="C151" i="9"/>
  <c r="C152" i="9"/>
  <c r="D134" i="8"/>
  <c r="D151" i="8"/>
  <c r="D199" i="8"/>
  <c r="D247" i="8"/>
  <c r="C248" i="8"/>
  <c r="C288" i="8"/>
  <c r="D305" i="8"/>
  <c r="C336" i="8"/>
  <c r="C360" i="8"/>
  <c r="C370" i="8"/>
  <c r="D387" i="8"/>
  <c r="C375" i="8"/>
  <c r="C410" i="8"/>
  <c r="D427" i="8"/>
  <c r="D430" i="8"/>
  <c r="C436" i="8"/>
  <c r="C446" i="8"/>
  <c r="C457" i="8"/>
  <c r="D491" i="8"/>
  <c r="C485" i="8"/>
  <c r="D532" i="8"/>
  <c r="C520" i="8"/>
  <c r="C538" i="8"/>
  <c r="D599" i="8"/>
  <c r="C587" i="8"/>
  <c r="D37" i="9"/>
  <c r="D25" i="9"/>
  <c r="C25" i="9"/>
  <c r="D78" i="9"/>
  <c r="C66" i="9"/>
  <c r="C83" i="9"/>
  <c r="D95" i="9"/>
  <c r="C118" i="8"/>
  <c r="D147" i="8"/>
  <c r="C139" i="8"/>
  <c r="D195" i="8"/>
  <c r="C187" i="8"/>
  <c r="D243" i="8"/>
  <c r="C235" i="8"/>
  <c r="D291" i="8"/>
  <c r="C279" i="8"/>
  <c r="C293" i="8"/>
  <c r="C302" i="8"/>
  <c r="D319" i="8"/>
  <c r="C331" i="8"/>
  <c r="D336" i="8"/>
  <c r="D341" i="8"/>
  <c r="D363" i="8"/>
  <c r="C356" i="8"/>
  <c r="D373" i="8"/>
  <c r="D365" i="8"/>
  <c r="D370" i="8"/>
  <c r="D388" i="8"/>
  <c r="C385" i="8"/>
  <c r="C390" i="8"/>
  <c r="C415" i="8"/>
  <c r="D433" i="8"/>
  <c r="D443" i="8"/>
  <c r="D449" i="8"/>
  <c r="C441" i="8"/>
  <c r="D459" i="8"/>
  <c r="D457" i="8"/>
  <c r="D481" i="8"/>
  <c r="C479" i="8"/>
  <c r="C514" i="8"/>
  <c r="D539" i="8"/>
  <c r="D538" i="8"/>
  <c r="C545" i="8"/>
  <c r="C551" i="8"/>
  <c r="D575" i="8"/>
  <c r="C563" i="8"/>
  <c r="C612" i="8"/>
  <c r="C10" i="9"/>
  <c r="D38" i="9"/>
  <c r="C26" i="9"/>
  <c r="C33" i="9"/>
  <c r="D62" i="9"/>
  <c r="C50" i="9"/>
  <c r="C67" i="9"/>
  <c r="D79" i="9"/>
  <c r="D83" i="9"/>
  <c r="C92" i="9"/>
  <c r="C135" i="9"/>
  <c r="C136" i="9"/>
  <c r="D536" i="9"/>
  <c r="C524" i="9"/>
  <c r="D524" i="9"/>
  <c r="D287" i="8"/>
  <c r="D292" i="8"/>
  <c r="D339" i="8"/>
  <c r="C327" i="8"/>
  <c r="D407" i="8"/>
  <c r="C395" i="8"/>
  <c r="D441" i="8"/>
  <c r="D503" i="8"/>
  <c r="C491" i="8"/>
  <c r="D551" i="8"/>
  <c r="C539" i="8"/>
  <c r="C18" i="9"/>
  <c r="D46" i="9"/>
  <c r="C34" i="9"/>
  <c r="C51" i="9"/>
  <c r="D63" i="9"/>
  <c r="D523" i="9"/>
  <c r="C512" i="9"/>
  <c r="C511" i="9"/>
  <c r="D511" i="9"/>
  <c r="D315" i="8"/>
  <c r="D325" i="8"/>
  <c r="D340" i="8"/>
  <c r="D398" i="8"/>
  <c r="D482" i="8"/>
  <c r="D504" i="8"/>
  <c r="D510" i="8"/>
  <c r="D527" i="8"/>
  <c r="C515" i="8"/>
  <c r="C35" i="9"/>
  <c r="D47" i="9"/>
  <c r="D97" i="9"/>
  <c r="C93" i="9"/>
  <c r="C119" i="9"/>
  <c r="C120" i="9"/>
  <c r="D487" i="8"/>
  <c r="C476" i="8"/>
  <c r="D98" i="9"/>
  <c r="C86" i="9"/>
  <c r="D493" i="9"/>
  <c r="C481" i="9"/>
  <c r="D501" i="9"/>
  <c r="C489" i="9"/>
  <c r="D417" i="8"/>
  <c r="C427" i="8"/>
  <c r="D455" i="8"/>
  <c r="C443" i="8"/>
  <c r="C475" i="8"/>
  <c r="C504" i="8"/>
  <c r="C534" i="8"/>
  <c r="D546" i="8"/>
  <c r="C553" i="8"/>
  <c r="D565" i="8"/>
  <c r="D614" i="8"/>
  <c r="D32" i="9"/>
  <c r="C20" i="9"/>
  <c r="D65" i="9"/>
  <c r="C61" i="9"/>
  <c r="D82" i="9"/>
  <c r="C70" i="9"/>
  <c r="C87" i="9"/>
  <c r="D179" i="9"/>
  <c r="C475" i="9"/>
  <c r="D487" i="9"/>
  <c r="D175" i="8"/>
  <c r="D223" i="8"/>
  <c r="D271" i="8"/>
  <c r="C314" i="8"/>
  <c r="C382" i="8"/>
  <c r="C397" i="8"/>
  <c r="D419" i="8"/>
  <c r="C407" i="8"/>
  <c r="D435" i="8"/>
  <c r="C423" i="8"/>
  <c r="D456" i="8"/>
  <c r="C460" i="8"/>
  <c r="D465" i="8"/>
  <c r="D483" i="8"/>
  <c r="C471" i="8"/>
  <c r="C482" i="8"/>
  <c r="C493" i="8"/>
  <c r="C510" i="8"/>
  <c r="C529" i="8"/>
  <c r="D541" i="8"/>
  <c r="D553" i="8"/>
  <c r="D590" i="8"/>
  <c r="D602" i="8"/>
  <c r="D33" i="9"/>
  <c r="C21" i="9"/>
  <c r="C29" i="9"/>
  <c r="D49" i="9"/>
  <c r="C45" i="9"/>
  <c r="D66" i="9"/>
  <c r="C54" i="9"/>
  <c r="C71" i="9"/>
  <c r="C104" i="9"/>
  <c r="D163" i="9"/>
  <c r="D171" i="8"/>
  <c r="C163" i="8"/>
  <c r="D219" i="8"/>
  <c r="C211" i="8"/>
  <c r="D267" i="8"/>
  <c r="C259" i="8"/>
  <c r="C295" i="8"/>
  <c r="C319" i="8"/>
  <c r="D333" i="8"/>
  <c r="D348" i="8"/>
  <c r="C363" i="8"/>
  <c r="D420" i="8"/>
  <c r="D436" i="8"/>
  <c r="C428" i="8"/>
  <c r="D446" i="8"/>
  <c r="C444" i="8"/>
  <c r="D454" i="8"/>
  <c r="D484" i="8"/>
  <c r="D476" i="8"/>
  <c r="D495" i="8"/>
  <c r="C494" i="8"/>
  <c r="D506" i="8"/>
  <c r="C505" i="8"/>
  <c r="D529" i="8"/>
  <c r="D566" i="8"/>
  <c r="D578" i="8"/>
  <c r="D597" i="8"/>
  <c r="D603" i="8"/>
  <c r="C592" i="8"/>
  <c r="C615" i="8"/>
  <c r="D34" i="9"/>
  <c r="C22" i="9"/>
  <c r="D29" i="9"/>
  <c r="D50" i="9"/>
  <c r="C38" i="9"/>
  <c r="C55" i="9"/>
  <c r="C88" i="9"/>
  <c r="D147" i="9"/>
  <c r="D465" i="9"/>
  <c r="C453" i="9"/>
  <c r="C454" i="9"/>
  <c r="D110" i="9"/>
  <c r="C98" i="9"/>
  <c r="D126" i="9"/>
  <c r="C114" i="9"/>
  <c r="D142" i="9"/>
  <c r="C130" i="9"/>
  <c r="D158" i="9"/>
  <c r="C146" i="9"/>
  <c r="D174" i="9"/>
  <c r="C162" i="9"/>
  <c r="D190" i="9"/>
  <c r="C178" i="9"/>
  <c r="D206" i="9"/>
  <c r="C194" i="9"/>
  <c r="D222" i="9"/>
  <c r="C210" i="9"/>
  <c r="D238" i="9"/>
  <c r="C226" i="9"/>
  <c r="D254" i="9"/>
  <c r="C242" i="9"/>
  <c r="D270" i="9"/>
  <c r="C258" i="9"/>
  <c r="D286" i="9"/>
  <c r="C274" i="9"/>
  <c r="D302" i="9"/>
  <c r="C290" i="9"/>
  <c r="D318" i="9"/>
  <c r="C306" i="9"/>
  <c r="D334" i="9"/>
  <c r="C322" i="9"/>
  <c r="C339" i="9"/>
  <c r="D350" i="9"/>
  <c r="C338" i="9"/>
  <c r="C355" i="9"/>
  <c r="D366" i="9"/>
  <c r="C354" i="9"/>
  <c r="C371" i="9"/>
  <c r="D382" i="9"/>
  <c r="C370" i="9"/>
  <c r="C387" i="9"/>
  <c r="D398" i="9"/>
  <c r="C386" i="9"/>
  <c r="C403" i="9"/>
  <c r="D414" i="9"/>
  <c r="C402" i="9"/>
  <c r="C419" i="9"/>
  <c r="D430" i="9"/>
  <c r="C418" i="9"/>
  <c r="C435" i="9"/>
  <c r="D446" i="9"/>
  <c r="C434" i="9"/>
  <c r="C517" i="9"/>
  <c r="D516" i="9"/>
  <c r="C516" i="9"/>
  <c r="D528" i="9"/>
  <c r="C66" i="10"/>
  <c r="D78" i="10"/>
  <c r="C108" i="10"/>
  <c r="D119" i="10"/>
  <c r="C107" i="10"/>
  <c r="C200" i="9"/>
  <c r="C488" i="9"/>
  <c r="D500" i="9"/>
  <c r="C504" i="9"/>
  <c r="D503" i="9"/>
  <c r="C503" i="9"/>
  <c r="D515" i="9"/>
  <c r="D541" i="9"/>
  <c r="C530" i="9"/>
  <c r="C529" i="9"/>
  <c r="D619" i="9"/>
  <c r="C607" i="9"/>
  <c r="D36" i="10"/>
  <c r="C24" i="10"/>
  <c r="D42" i="9"/>
  <c r="C30" i="9"/>
  <c r="D58" i="9"/>
  <c r="C46" i="9"/>
  <c r="D74" i="9"/>
  <c r="C62" i="9"/>
  <c r="D90" i="9"/>
  <c r="C78" i="9"/>
  <c r="D106" i="9"/>
  <c r="C94" i="9"/>
  <c r="D122" i="9"/>
  <c r="C110" i="9"/>
  <c r="D138" i="9"/>
  <c r="C126" i="9"/>
  <c r="D154" i="9"/>
  <c r="C142" i="9"/>
  <c r="D170" i="9"/>
  <c r="C158" i="9"/>
  <c r="D186" i="9"/>
  <c r="C174" i="9"/>
  <c r="D202" i="9"/>
  <c r="C190" i="9"/>
  <c r="D218" i="9"/>
  <c r="C206" i="9"/>
  <c r="D234" i="9"/>
  <c r="C222" i="9"/>
  <c r="D250" i="9"/>
  <c r="C238" i="9"/>
  <c r="D266" i="9"/>
  <c r="C254" i="9"/>
  <c r="D282" i="9"/>
  <c r="C270" i="9"/>
  <c r="D298" i="9"/>
  <c r="C286" i="9"/>
  <c r="D314" i="9"/>
  <c r="C302" i="9"/>
  <c r="D330" i="9"/>
  <c r="C318" i="9"/>
  <c r="C335" i="9"/>
  <c r="D346" i="9"/>
  <c r="C334" i="9"/>
  <c r="C351" i="9"/>
  <c r="D362" i="9"/>
  <c r="C350" i="9"/>
  <c r="C367" i="9"/>
  <c r="D378" i="9"/>
  <c r="C366" i="9"/>
  <c r="C383" i="9"/>
  <c r="D394" i="9"/>
  <c r="C382" i="9"/>
  <c r="C399" i="9"/>
  <c r="D410" i="9"/>
  <c r="C398" i="9"/>
  <c r="C415" i="9"/>
  <c r="D426" i="9"/>
  <c r="C414" i="9"/>
  <c r="C431" i="9"/>
  <c r="D442" i="9"/>
  <c r="C430" i="9"/>
  <c r="C469" i="9"/>
  <c r="D468" i="9"/>
  <c r="C468" i="9"/>
  <c r="D480" i="9"/>
  <c r="D488" i="9"/>
  <c r="C477" i="9"/>
  <c r="C476" i="9"/>
  <c r="C482" i="9"/>
  <c r="C491" i="9"/>
  <c r="D490" i="9"/>
  <c r="C490" i="9"/>
  <c r="D502" i="9"/>
  <c r="D549" i="9"/>
  <c r="C538" i="9"/>
  <c r="C537" i="9"/>
  <c r="D56" i="10"/>
  <c r="C44" i="10"/>
  <c r="D335" i="8"/>
  <c r="D383" i="8"/>
  <c r="D431" i="8"/>
  <c r="D479" i="8"/>
  <c r="D26" i="9"/>
  <c r="C31" i="9"/>
  <c r="C36" i="9"/>
  <c r="C41" i="9"/>
  <c r="C47" i="9"/>
  <c r="C52" i="9"/>
  <c r="C57" i="9"/>
  <c r="C63" i="9"/>
  <c r="C68" i="9"/>
  <c r="C73" i="9"/>
  <c r="C79" i="9"/>
  <c r="C84" i="9"/>
  <c r="C89" i="9"/>
  <c r="C95" i="9"/>
  <c r="C100" i="9"/>
  <c r="C105" i="9"/>
  <c r="C111" i="9"/>
  <c r="C116" i="9"/>
  <c r="C121" i="9"/>
  <c r="C127" i="9"/>
  <c r="C132" i="9"/>
  <c r="C137" i="9"/>
  <c r="C143" i="9"/>
  <c r="C148" i="9"/>
  <c r="C153" i="9"/>
  <c r="C159" i="9"/>
  <c r="C164" i="9"/>
  <c r="C169" i="9"/>
  <c r="C175" i="9"/>
  <c r="C180" i="9"/>
  <c r="C185" i="9"/>
  <c r="C191" i="9"/>
  <c r="C196" i="9"/>
  <c r="C201" i="9"/>
  <c r="C207" i="9"/>
  <c r="C212" i="9"/>
  <c r="C217" i="9"/>
  <c r="C223" i="9"/>
  <c r="C228" i="9"/>
  <c r="C233" i="9"/>
  <c r="C239" i="9"/>
  <c r="C244" i="9"/>
  <c r="C249" i="9"/>
  <c r="C255" i="9"/>
  <c r="C260" i="9"/>
  <c r="C265" i="9"/>
  <c r="C271" i="9"/>
  <c r="C276" i="9"/>
  <c r="C281" i="9"/>
  <c r="C287" i="9"/>
  <c r="C292" i="9"/>
  <c r="C297" i="9"/>
  <c r="C303" i="9"/>
  <c r="C308" i="9"/>
  <c r="C313" i="9"/>
  <c r="C319" i="9"/>
  <c r="C324" i="9"/>
  <c r="C329" i="9"/>
  <c r="C462" i="9"/>
  <c r="D474" i="9"/>
  <c r="D476" i="9"/>
  <c r="D47" i="10"/>
  <c r="C36" i="10"/>
  <c r="C35" i="10"/>
  <c r="D106" i="10"/>
  <c r="C94" i="10"/>
  <c r="D475" i="8"/>
  <c r="D127" i="9"/>
  <c r="D143" i="9"/>
  <c r="D159" i="9"/>
  <c r="D175" i="9"/>
  <c r="D191" i="9"/>
  <c r="D207" i="9"/>
  <c r="C456" i="9"/>
  <c r="D455" i="9"/>
  <c r="C455" i="9"/>
  <c r="D467" i="9"/>
  <c r="D475" i="9"/>
  <c r="C464" i="9"/>
  <c r="C463" i="9"/>
  <c r="D510" i="9"/>
  <c r="C499" i="9"/>
  <c r="C498" i="9"/>
  <c r="D73" i="10"/>
  <c r="C62" i="10"/>
  <c r="C61" i="10"/>
  <c r="D54" i="9"/>
  <c r="C42" i="9"/>
  <c r="D70" i="9"/>
  <c r="C58" i="9"/>
  <c r="D86" i="9"/>
  <c r="C74" i="9"/>
  <c r="D102" i="9"/>
  <c r="C90" i="9"/>
  <c r="D118" i="9"/>
  <c r="C106" i="9"/>
  <c r="D134" i="9"/>
  <c r="C122" i="9"/>
  <c r="D150" i="9"/>
  <c r="C138" i="9"/>
  <c r="D166" i="9"/>
  <c r="C154" i="9"/>
  <c r="D182" i="9"/>
  <c r="C170" i="9"/>
  <c r="D198" i="9"/>
  <c r="C186" i="9"/>
  <c r="D214" i="9"/>
  <c r="C202" i="9"/>
  <c r="D230" i="9"/>
  <c r="C218" i="9"/>
  <c r="D246" i="9"/>
  <c r="C234" i="9"/>
  <c r="D262" i="9"/>
  <c r="C250" i="9"/>
  <c r="D278" i="9"/>
  <c r="C266" i="9"/>
  <c r="D294" i="9"/>
  <c r="C282" i="9"/>
  <c r="D310" i="9"/>
  <c r="C298" i="9"/>
  <c r="D326" i="9"/>
  <c r="C314" i="9"/>
  <c r="C331" i="9"/>
  <c r="D342" i="9"/>
  <c r="C330" i="9"/>
  <c r="C347" i="9"/>
  <c r="D358" i="9"/>
  <c r="C346" i="9"/>
  <c r="C363" i="9"/>
  <c r="D374" i="9"/>
  <c r="C362" i="9"/>
  <c r="C379" i="9"/>
  <c r="D390" i="9"/>
  <c r="C378" i="9"/>
  <c r="C395" i="9"/>
  <c r="D406" i="9"/>
  <c r="C394" i="9"/>
  <c r="C411" i="9"/>
  <c r="D422" i="9"/>
  <c r="C410" i="9"/>
  <c r="C427" i="9"/>
  <c r="D438" i="9"/>
  <c r="C426" i="9"/>
  <c r="C443" i="9"/>
  <c r="C442" i="9"/>
  <c r="D454" i="9"/>
  <c r="D463" i="9"/>
  <c r="D498" i="9"/>
  <c r="C552" i="9"/>
  <c r="D551" i="9"/>
  <c r="C551" i="9"/>
  <c r="D563" i="9"/>
  <c r="C565" i="9"/>
  <c r="D564" i="9"/>
  <c r="C564" i="9"/>
  <c r="D576" i="9"/>
  <c r="D589" i="9"/>
  <c r="C578" i="9"/>
  <c r="C577" i="9"/>
  <c r="D31" i="10"/>
  <c r="C19" i="10"/>
  <c r="D515" i="8"/>
  <c r="D524" i="8"/>
  <c r="D543" i="8"/>
  <c r="D548" i="8"/>
  <c r="D567" i="8"/>
  <c r="D591" i="8"/>
  <c r="D615" i="8"/>
  <c r="C27" i="9"/>
  <c r="C37" i="9"/>
  <c r="C43" i="9"/>
  <c r="C48" i="9"/>
  <c r="C53" i="9"/>
  <c r="C59" i="9"/>
  <c r="C64" i="9"/>
  <c r="C69" i="9"/>
  <c r="C75" i="9"/>
  <c r="C80" i="9"/>
  <c r="C85" i="9"/>
  <c r="C91" i="9"/>
  <c r="C96" i="9"/>
  <c r="C101" i="9"/>
  <c r="C107" i="9"/>
  <c r="C112" i="9"/>
  <c r="C117" i="9"/>
  <c r="C123" i="9"/>
  <c r="C128" i="9"/>
  <c r="C133" i="9"/>
  <c r="C139" i="9"/>
  <c r="C144" i="9"/>
  <c r="C149" i="9"/>
  <c r="C155" i="9"/>
  <c r="C160" i="9"/>
  <c r="C165" i="9"/>
  <c r="C171" i="9"/>
  <c r="C176" i="9"/>
  <c r="C181" i="9"/>
  <c r="C187" i="9"/>
  <c r="C192" i="9"/>
  <c r="C197" i="9"/>
  <c r="C203" i="9"/>
  <c r="C208" i="9"/>
  <c r="C213" i="9"/>
  <c r="C219" i="9"/>
  <c r="C224" i="9"/>
  <c r="C229" i="9"/>
  <c r="C235" i="9"/>
  <c r="C240" i="9"/>
  <c r="C245" i="9"/>
  <c r="C251" i="9"/>
  <c r="C256" i="9"/>
  <c r="C261" i="9"/>
  <c r="C267" i="9"/>
  <c r="C272" i="9"/>
  <c r="C277" i="9"/>
  <c r="C283" i="9"/>
  <c r="C288" i="9"/>
  <c r="C293" i="9"/>
  <c r="C299" i="9"/>
  <c r="C304" i="9"/>
  <c r="C309" i="9"/>
  <c r="C315" i="9"/>
  <c r="C320" i="9"/>
  <c r="C325" i="9"/>
  <c r="D32" i="10"/>
  <c r="C20" i="10"/>
  <c r="C21" i="10"/>
  <c r="C29" i="10"/>
  <c r="D41" i="10"/>
  <c r="D415" i="8"/>
  <c r="D463" i="8"/>
  <c r="D511" i="8"/>
  <c r="C503" i="8"/>
  <c r="D520" i="8"/>
  <c r="C512" i="8"/>
  <c r="C531" i="8"/>
  <c r="C536" i="8"/>
  <c r="C555" i="8"/>
  <c r="C560" i="8"/>
  <c r="C579" i="8"/>
  <c r="C584" i="8"/>
  <c r="C603" i="8"/>
  <c r="C608" i="8"/>
  <c r="C9" i="9"/>
  <c r="D43" i="9"/>
  <c r="D59" i="9"/>
  <c r="D75" i="9"/>
  <c r="D91" i="9"/>
  <c r="D107" i="9"/>
  <c r="D123" i="9"/>
  <c r="D139" i="9"/>
  <c r="D571" i="9"/>
  <c r="C559" i="9"/>
  <c r="D584" i="9"/>
  <c r="C572" i="9"/>
  <c r="D597" i="9"/>
  <c r="C586" i="9"/>
  <c r="C585" i="9"/>
  <c r="C128" i="10"/>
  <c r="D139" i="10"/>
  <c r="D127" i="10"/>
  <c r="C127" i="10"/>
  <c r="D198" i="10"/>
  <c r="C186" i="10"/>
  <c r="D114" i="9"/>
  <c r="C102" i="9"/>
  <c r="D130" i="9"/>
  <c r="C118" i="9"/>
  <c r="D146" i="9"/>
  <c r="C134" i="9"/>
  <c r="D162" i="9"/>
  <c r="C150" i="9"/>
  <c r="D178" i="9"/>
  <c r="C166" i="9"/>
  <c r="D194" i="9"/>
  <c r="C182" i="9"/>
  <c r="D210" i="9"/>
  <c r="C198" i="9"/>
  <c r="D226" i="9"/>
  <c r="C214" i="9"/>
  <c r="D242" i="9"/>
  <c r="C230" i="9"/>
  <c r="D258" i="9"/>
  <c r="C246" i="9"/>
  <c r="D274" i="9"/>
  <c r="C262" i="9"/>
  <c r="D290" i="9"/>
  <c r="C278" i="9"/>
  <c r="D306" i="9"/>
  <c r="C294" i="9"/>
  <c r="D322" i="9"/>
  <c r="C310" i="9"/>
  <c r="C327" i="9"/>
  <c r="D338" i="9"/>
  <c r="C326" i="9"/>
  <c r="C343" i="9"/>
  <c r="D354" i="9"/>
  <c r="C342" i="9"/>
  <c r="C359" i="9"/>
  <c r="D370" i="9"/>
  <c r="C358" i="9"/>
  <c r="C375" i="9"/>
  <c r="D386" i="9"/>
  <c r="C374" i="9"/>
  <c r="C391" i="9"/>
  <c r="D402" i="9"/>
  <c r="C390" i="9"/>
  <c r="C407" i="9"/>
  <c r="D418" i="9"/>
  <c r="C406" i="9"/>
  <c r="C423" i="9"/>
  <c r="D434" i="9"/>
  <c r="C422" i="9"/>
  <c r="C439" i="9"/>
  <c r="C438" i="9"/>
  <c r="D462" i="9"/>
  <c r="C451" i="9"/>
  <c r="C450" i="9"/>
  <c r="D559" i="9"/>
  <c r="D572" i="9"/>
  <c r="D51" i="10"/>
  <c r="C39" i="10"/>
  <c r="D513" i="9"/>
  <c r="C501" i="9"/>
  <c r="C613" i="9"/>
  <c r="D612" i="9"/>
  <c r="C612" i="9"/>
  <c r="D355" i="8"/>
  <c r="D403" i="8"/>
  <c r="D451" i="8"/>
  <c r="D499" i="8"/>
  <c r="D535" i="8"/>
  <c r="D540" i="8"/>
  <c r="D559" i="8"/>
  <c r="D564" i="8"/>
  <c r="D583" i="8"/>
  <c r="D607" i="8"/>
  <c r="C11" i="9"/>
  <c r="D30" i="9"/>
  <c r="D23" i="9"/>
  <c r="D39" i="9"/>
  <c r="D55" i="9"/>
  <c r="D71" i="9"/>
  <c r="D87" i="9"/>
  <c r="D103" i="9"/>
  <c r="D119" i="9"/>
  <c r="D135" i="9"/>
  <c r="D151" i="9"/>
  <c r="D167" i="9"/>
  <c r="D183" i="9"/>
  <c r="D199" i="9"/>
  <c r="C600" i="9"/>
  <c r="D599" i="9"/>
  <c r="C599" i="9"/>
  <c r="D611" i="9"/>
  <c r="D497" i="9"/>
  <c r="D545" i="9"/>
  <c r="C546" i="9"/>
  <c r="D593" i="9"/>
  <c r="C594" i="9"/>
  <c r="D72" i="10"/>
  <c r="C60" i="10"/>
  <c r="D65" i="10"/>
  <c r="C71" i="10"/>
  <c r="D94" i="10"/>
  <c r="D87" i="10"/>
  <c r="D113" i="10"/>
  <c r="D154" i="10"/>
  <c r="D142" i="10"/>
  <c r="D246" i="10"/>
  <c r="C246" i="10"/>
  <c r="D258" i="10"/>
  <c r="C247" i="10"/>
  <c r="C288" i="10"/>
  <c r="D300" i="10"/>
  <c r="C296" i="10"/>
  <c r="D296" i="10"/>
  <c r="D308" i="10"/>
  <c r="C158" i="10"/>
  <c r="C157" i="10"/>
  <c r="D177" i="10"/>
  <c r="C165" i="10"/>
  <c r="C172" i="10"/>
  <c r="D183" i="10"/>
  <c r="C171" i="10"/>
  <c r="D218" i="10"/>
  <c r="C206" i="10"/>
  <c r="D225" i="10"/>
  <c r="C214" i="10"/>
  <c r="C213" i="10"/>
  <c r="D415" i="10"/>
  <c r="C403" i="10"/>
  <c r="D494" i="11"/>
  <c r="C483" i="11"/>
  <c r="C482" i="11"/>
  <c r="D459" i="9"/>
  <c r="D472" i="9"/>
  <c r="D489" i="9"/>
  <c r="D494" i="9"/>
  <c r="D507" i="9"/>
  <c r="D520" i="9"/>
  <c r="D537" i="9"/>
  <c r="D555" i="9"/>
  <c r="D568" i="9"/>
  <c r="D585" i="9"/>
  <c r="D603" i="9"/>
  <c r="D616" i="9"/>
  <c r="C14" i="10"/>
  <c r="D30" i="10"/>
  <c r="D45" i="10"/>
  <c r="D55" i="10"/>
  <c r="D84" i="10"/>
  <c r="C72" i="10"/>
  <c r="D82" i="10"/>
  <c r="D165" i="10"/>
  <c r="D209" i="10"/>
  <c r="C198" i="10"/>
  <c r="C197" i="10"/>
  <c r="D219" i="10"/>
  <c r="C208" i="10"/>
  <c r="D207" i="10"/>
  <c r="D251" i="10"/>
  <c r="C239" i="10"/>
  <c r="D257" i="10"/>
  <c r="D269" i="10"/>
  <c r="C257" i="10"/>
  <c r="C397" i="10"/>
  <c r="D409" i="10"/>
  <c r="C404" i="10"/>
  <c r="C413" i="10"/>
  <c r="D412" i="10"/>
  <c r="C412" i="10"/>
  <c r="D424" i="10"/>
  <c r="C426" i="10"/>
  <c r="D425" i="10"/>
  <c r="C425" i="10"/>
  <c r="D437" i="10"/>
  <c r="D463" i="10"/>
  <c r="C451" i="10"/>
  <c r="D607" i="10"/>
  <c r="C596" i="10"/>
  <c r="C595" i="10"/>
  <c r="D95" i="11"/>
  <c r="C83" i="11"/>
  <c r="C84" i="11"/>
  <c r="D317" i="11"/>
  <c r="C306" i="11"/>
  <c r="C305" i="11"/>
  <c r="D349" i="11"/>
  <c r="C337" i="11"/>
  <c r="D337" i="11"/>
  <c r="D485" i="9"/>
  <c r="C486" i="9"/>
  <c r="D533" i="9"/>
  <c r="C525" i="9"/>
  <c r="C534" i="9"/>
  <c r="D581" i="9"/>
  <c r="C573" i="9"/>
  <c r="C582" i="9"/>
  <c r="C608" i="9"/>
  <c r="D20" i="10"/>
  <c r="C8" i="10"/>
  <c r="D35" i="10"/>
  <c r="C40" i="10"/>
  <c r="D68" i="10"/>
  <c r="C56" i="10"/>
  <c r="C89" i="10"/>
  <c r="C122" i="10"/>
  <c r="D178" i="10"/>
  <c r="D166" i="10"/>
  <c r="D202" i="10"/>
  <c r="C190" i="10"/>
  <c r="C207" i="10"/>
  <c r="C240" i="10"/>
  <c r="C374" i="10"/>
  <c r="D386" i="10"/>
  <c r="D481" i="9"/>
  <c r="C473" i="9"/>
  <c r="D529" i="9"/>
  <c r="C521" i="9"/>
  <c r="D577" i="9"/>
  <c r="C569" i="9"/>
  <c r="C15" i="10"/>
  <c r="C26" i="10"/>
  <c r="C31" i="10"/>
  <c r="D48" i="10"/>
  <c r="C46" i="10"/>
  <c r="C57" i="10"/>
  <c r="C73" i="10"/>
  <c r="C78" i="10"/>
  <c r="D109" i="10"/>
  <c r="C104" i="10"/>
  <c r="D115" i="10"/>
  <c r="D122" i="10"/>
  <c r="C137" i="10"/>
  <c r="D157" i="10"/>
  <c r="C152" i="10"/>
  <c r="D163" i="10"/>
  <c r="C166" i="10"/>
  <c r="C192" i="10"/>
  <c r="D203" i="10"/>
  <c r="D191" i="10"/>
  <c r="D253" i="10"/>
  <c r="C242" i="10"/>
  <c r="D241" i="10"/>
  <c r="C241" i="10"/>
  <c r="C258" i="10"/>
  <c r="D349" i="10"/>
  <c r="C338" i="10"/>
  <c r="C337" i="10"/>
  <c r="D460" i="9"/>
  <c r="D482" i="9"/>
  <c r="D495" i="9"/>
  <c r="D508" i="9"/>
  <c r="D543" i="9"/>
  <c r="D556" i="9"/>
  <c r="D573" i="9"/>
  <c r="C574" i="9"/>
  <c r="D591" i="9"/>
  <c r="D604" i="9"/>
  <c r="C9" i="10"/>
  <c r="D28" i="10"/>
  <c r="D26" i="10"/>
  <c r="C41" i="10"/>
  <c r="D80" i="10"/>
  <c r="C68" i="10"/>
  <c r="C90" i="10"/>
  <c r="C124" i="10"/>
  <c r="C123" i="10"/>
  <c r="C132" i="10"/>
  <c r="D143" i="10"/>
  <c r="D137" i="10"/>
  <c r="D193" i="10"/>
  <c r="C182" i="10"/>
  <c r="D181" i="10"/>
  <c r="C181" i="10"/>
  <c r="C191" i="10"/>
  <c r="D229" i="10"/>
  <c r="C217" i="10"/>
  <c r="D327" i="10"/>
  <c r="C315" i="10"/>
  <c r="D321" i="10"/>
  <c r="D337" i="10"/>
  <c r="D44" i="10"/>
  <c r="C47" i="10"/>
  <c r="D75" i="10"/>
  <c r="C92" i="10"/>
  <c r="C91" i="10"/>
  <c r="D97" i="10"/>
  <c r="D103" i="10"/>
  <c r="C131" i="10"/>
  <c r="C138" i="10"/>
  <c r="D213" i="10"/>
  <c r="C201" i="10"/>
  <c r="D217" i="10"/>
  <c r="D233" i="10"/>
  <c r="C233" i="10"/>
  <c r="D245" i="10"/>
  <c r="C461" i="9"/>
  <c r="C509" i="9"/>
  <c r="D535" i="9"/>
  <c r="D548" i="9"/>
  <c r="C557" i="9"/>
  <c r="D583" i="9"/>
  <c r="D596" i="9"/>
  <c r="C605" i="9"/>
  <c r="C10" i="10"/>
  <c r="D29" i="10"/>
  <c r="C32" i="10"/>
  <c r="C63" i="10"/>
  <c r="C74" i="10"/>
  <c r="C79" i="10"/>
  <c r="D131" i="10"/>
  <c r="C176" i="10"/>
  <c r="D187" i="10"/>
  <c r="D175" i="10"/>
  <c r="D201" i="10"/>
  <c r="D230" i="10"/>
  <c r="C218" i="10"/>
  <c r="C301" i="10"/>
  <c r="D313" i="10"/>
  <c r="D60" i="10"/>
  <c r="C48" i="10"/>
  <c r="D214" i="10"/>
  <c r="C202" i="10"/>
  <c r="C549" i="9"/>
  <c r="C597" i="9"/>
  <c r="C11" i="10"/>
  <c r="C33" i="10"/>
  <c r="D61" i="10"/>
  <c r="D66" i="10"/>
  <c r="D76" i="10"/>
  <c r="C64" i="10"/>
  <c r="C93" i="10"/>
  <c r="D105" i="10"/>
  <c r="C134" i="10"/>
  <c r="C133" i="10"/>
  <c r="D169" i="10"/>
  <c r="D197" i="10"/>
  <c r="C185" i="10"/>
  <c r="D294" i="10"/>
  <c r="C294" i="10"/>
  <c r="D306" i="10"/>
  <c r="D309" i="10"/>
  <c r="D449" i="9"/>
  <c r="D453" i="9"/>
  <c r="D457" i="9"/>
  <c r="C449" i="9"/>
  <c r="D505" i="9"/>
  <c r="C497" i="9"/>
  <c r="C506" i="9"/>
  <c r="D553" i="9"/>
  <c r="C545" i="9"/>
  <c r="C554" i="9"/>
  <c r="D601" i="9"/>
  <c r="C593" i="9"/>
  <c r="C602" i="9"/>
  <c r="D24" i="10"/>
  <c r="C28" i="10"/>
  <c r="C49" i="10"/>
  <c r="C54" i="10"/>
  <c r="C100" i="10"/>
  <c r="C99" i="10"/>
  <c r="C141" i="10"/>
  <c r="C148" i="10"/>
  <c r="C147" i="10"/>
  <c r="C156" i="10"/>
  <c r="D167" i="10"/>
  <c r="C155" i="10"/>
  <c r="C162" i="10"/>
  <c r="D185" i="10"/>
  <c r="D240" i="10"/>
  <c r="C229" i="10"/>
  <c r="C228" i="10"/>
  <c r="D329" i="10"/>
  <c r="C329" i="10"/>
  <c r="D341" i="10"/>
  <c r="D68" i="11"/>
  <c r="C57" i="11"/>
  <c r="C56" i="11"/>
  <c r="D161" i="11"/>
  <c r="C149" i="11"/>
  <c r="D275" i="10"/>
  <c r="C264" i="10"/>
  <c r="D288" i="10"/>
  <c r="C277" i="10"/>
  <c r="D301" i="10"/>
  <c r="C290" i="10"/>
  <c r="D314" i="10"/>
  <c r="C303" i="10"/>
  <c r="C302" i="10"/>
  <c r="D316" i="10"/>
  <c r="C316" i="10"/>
  <c r="D328" i="10"/>
  <c r="C336" i="10"/>
  <c r="D348" i="10"/>
  <c r="C310" i="10"/>
  <c r="D336" i="10"/>
  <c r="C325" i="10"/>
  <c r="C324" i="10"/>
  <c r="D387" i="10"/>
  <c r="C375" i="10"/>
  <c r="C376" i="10"/>
  <c r="D390" i="10"/>
  <c r="C390" i="10"/>
  <c r="D402" i="10"/>
  <c r="C452" i="10"/>
  <c r="D559" i="10"/>
  <c r="C548" i="10"/>
  <c r="C547" i="10"/>
  <c r="C273" i="11"/>
  <c r="C274" i="11"/>
  <c r="D273" i="11"/>
  <c r="D285" i="11"/>
  <c r="D118" i="10"/>
  <c r="C224" i="10"/>
  <c r="C230" i="10"/>
  <c r="C235" i="10"/>
  <c r="D266" i="10"/>
  <c r="C255" i="10"/>
  <c r="D271" i="10"/>
  <c r="C259" i="10"/>
  <c r="C265" i="10"/>
  <c r="C297" i="10"/>
  <c r="D324" i="10"/>
  <c r="D351" i="10"/>
  <c r="C339" i="10"/>
  <c r="C461" i="10"/>
  <c r="D460" i="10"/>
  <c r="C460" i="10"/>
  <c r="D472" i="10"/>
  <c r="C474" i="10"/>
  <c r="D473" i="10"/>
  <c r="C473" i="10"/>
  <c r="D485" i="10"/>
  <c r="D511" i="10"/>
  <c r="C499" i="10"/>
  <c r="D123" i="11"/>
  <c r="C111" i="11"/>
  <c r="D99" i="10"/>
  <c r="D123" i="10"/>
  <c r="D147" i="10"/>
  <c r="D171" i="10"/>
  <c r="D194" i="10"/>
  <c r="C187" i="10"/>
  <c r="D210" i="10"/>
  <c r="C203" i="10"/>
  <c r="C219" i="10"/>
  <c r="C225" i="10"/>
  <c r="C236" i="10"/>
  <c r="C248" i="10"/>
  <c r="C254" i="10"/>
  <c r="C260" i="10"/>
  <c r="D265" i="10"/>
  <c r="C278" i="10"/>
  <c r="C291" i="10"/>
  <c r="C361" i="10"/>
  <c r="D373" i="10"/>
  <c r="D377" i="10"/>
  <c r="C377" i="10"/>
  <c r="D389" i="10"/>
  <c r="C391" i="10"/>
  <c r="C500" i="10"/>
  <c r="C522" i="10"/>
  <c r="D521" i="10"/>
  <c r="C521" i="10"/>
  <c r="D533" i="10"/>
  <c r="D64" i="10"/>
  <c r="C52" i="10"/>
  <c r="C95" i="10"/>
  <c r="C119" i="10"/>
  <c r="C143" i="10"/>
  <c r="C167" i="10"/>
  <c r="D220" i="10"/>
  <c r="C220" i="10"/>
  <c r="D248" i="10"/>
  <c r="D254" i="10"/>
  <c r="C266" i="10"/>
  <c r="D278" i="10"/>
  <c r="D291" i="10"/>
  <c r="C279" i="10"/>
  <c r="C340" i="10"/>
  <c r="C362" i="10"/>
  <c r="D374" i="10"/>
  <c r="C384" i="10"/>
  <c r="D396" i="10"/>
  <c r="C509" i="10"/>
  <c r="D508" i="10"/>
  <c r="C508" i="10"/>
  <c r="D520" i="10"/>
  <c r="D227" i="10"/>
  <c r="C216" i="10"/>
  <c r="C231" i="10"/>
  <c r="C249" i="10"/>
  <c r="C292" i="10"/>
  <c r="C348" i="10"/>
  <c r="D360" i="10"/>
  <c r="D367" i="10"/>
  <c r="C355" i="10"/>
  <c r="D397" i="10"/>
  <c r="D47" i="11"/>
  <c r="C35" i="11"/>
  <c r="C36" i="11"/>
  <c r="D74" i="11"/>
  <c r="C62" i="11"/>
  <c r="D116" i="11"/>
  <c r="C105" i="11"/>
  <c r="C104" i="11"/>
  <c r="C115" i="10"/>
  <c r="C139" i="10"/>
  <c r="C163" i="10"/>
  <c r="D190" i="10"/>
  <c r="C183" i="10"/>
  <c r="D206" i="10"/>
  <c r="C199" i="10"/>
  <c r="C215" i="10"/>
  <c r="C226" i="10"/>
  <c r="C237" i="10"/>
  <c r="C261" i="10"/>
  <c r="C267" i="10"/>
  <c r="D273" i="10"/>
  <c r="D339" i="10"/>
  <c r="C327" i="10"/>
  <c r="C349" i="10"/>
  <c r="D361" i="10"/>
  <c r="C356" i="10"/>
  <c r="D364" i="10"/>
  <c r="C364" i="10"/>
  <c r="D376" i="10"/>
  <c r="D190" i="11"/>
  <c r="C178" i="11"/>
  <c r="C178" i="10"/>
  <c r="C189" i="10"/>
  <c r="C194" i="10"/>
  <c r="D199" i="10"/>
  <c r="D215" i="10"/>
  <c r="D226" i="10"/>
  <c r="C238" i="10"/>
  <c r="D268" i="10"/>
  <c r="C268" i="10"/>
  <c r="D280" i="10"/>
  <c r="D286" i="10"/>
  <c r="C313" i="10"/>
  <c r="D342" i="10"/>
  <c r="C342" i="10"/>
  <c r="D354" i="10"/>
  <c r="D20" i="11"/>
  <c r="C9" i="11"/>
  <c r="C8" i="11"/>
  <c r="D186" i="10"/>
  <c r="D223" i="10"/>
  <c r="C212" i="10"/>
  <c r="D239" i="10"/>
  <c r="C227" i="10"/>
  <c r="D256" i="10"/>
  <c r="C262" i="10"/>
  <c r="D281" i="10"/>
  <c r="C281" i="10"/>
  <c r="D299" i="10"/>
  <c r="C287" i="10"/>
  <c r="D293" i="10"/>
  <c r="D319" i="10"/>
  <c r="C307" i="10"/>
  <c r="C314" i="10"/>
  <c r="D326" i="10"/>
  <c r="C328" i="10"/>
  <c r="D334" i="10"/>
  <c r="C365" i="10"/>
  <c r="D399" i="10"/>
  <c r="C387" i="10"/>
  <c r="C570" i="10"/>
  <c r="D569" i="10"/>
  <c r="C569" i="10"/>
  <c r="D581" i="10"/>
  <c r="D375" i="10"/>
  <c r="D423" i="10"/>
  <c r="C424" i="10"/>
  <c r="D471" i="10"/>
  <c r="C472" i="10"/>
  <c r="D489" i="10"/>
  <c r="D519" i="10"/>
  <c r="C520" i="10"/>
  <c r="D537" i="10"/>
  <c r="D567" i="10"/>
  <c r="C568" i="10"/>
  <c r="D585" i="10"/>
  <c r="D615" i="10"/>
  <c r="C616" i="10"/>
  <c r="D39" i="11"/>
  <c r="D27" i="11"/>
  <c r="C27" i="11"/>
  <c r="D33" i="11"/>
  <c r="D60" i="11"/>
  <c r="D66" i="11"/>
  <c r="C54" i="11"/>
  <c r="C61" i="11"/>
  <c r="D87" i="11"/>
  <c r="C75" i="11"/>
  <c r="D114" i="11"/>
  <c r="C102" i="11"/>
  <c r="C176" i="11"/>
  <c r="D188" i="11"/>
  <c r="C192" i="11"/>
  <c r="D204" i="11"/>
  <c r="D192" i="11"/>
  <c r="D219" i="11"/>
  <c r="C208" i="11"/>
  <c r="C207" i="11"/>
  <c r="C227" i="11"/>
  <c r="D239" i="11"/>
  <c r="C228" i="11"/>
  <c r="D253" i="11"/>
  <c r="C241" i="11"/>
  <c r="C288" i="11"/>
  <c r="C289" i="11"/>
  <c r="D339" i="11"/>
  <c r="C328" i="11"/>
  <c r="C327" i="11"/>
  <c r="C408" i="11"/>
  <c r="D420" i="11"/>
  <c r="C123" i="12"/>
  <c r="D135" i="12"/>
  <c r="C124" i="12"/>
  <c r="C350" i="10"/>
  <c r="C363" i="10"/>
  <c r="C372" i="10"/>
  <c r="C385" i="10"/>
  <c r="C398" i="10"/>
  <c r="C411" i="10"/>
  <c r="C420" i="10"/>
  <c r="C433" i="10"/>
  <c r="C446" i="10"/>
  <c r="C459" i="10"/>
  <c r="C468" i="10"/>
  <c r="C481" i="10"/>
  <c r="C494" i="10"/>
  <c r="C507" i="10"/>
  <c r="C516" i="10"/>
  <c r="C529" i="10"/>
  <c r="C542" i="10"/>
  <c r="C555" i="10"/>
  <c r="C577" i="10"/>
  <c r="C590" i="10"/>
  <c r="C603" i="10"/>
  <c r="C14" i="11"/>
  <c r="D46" i="11"/>
  <c r="C34" i="11"/>
  <c r="C48" i="11"/>
  <c r="D67" i="11"/>
  <c r="C55" i="11"/>
  <c r="D94" i="11"/>
  <c r="C82" i="11"/>
  <c r="C96" i="11"/>
  <c r="C103" i="11"/>
  <c r="D122" i="11"/>
  <c r="C110" i="11"/>
  <c r="D160" i="11"/>
  <c r="C148" i="11"/>
  <c r="C177" i="11"/>
  <c r="D189" i="11"/>
  <c r="D177" i="11"/>
  <c r="C193" i="11"/>
  <c r="D207" i="11"/>
  <c r="D241" i="11"/>
  <c r="D293" i="11"/>
  <c r="C282" i="11"/>
  <c r="D281" i="11"/>
  <c r="C281" i="11"/>
  <c r="D237" i="10"/>
  <c r="D250" i="10"/>
  <c r="D267" i="10"/>
  <c r="D272" i="10"/>
  <c r="D285" i="10"/>
  <c r="D298" i="10"/>
  <c r="D315" i="10"/>
  <c r="D320" i="10"/>
  <c r="D333" i="10"/>
  <c r="D346" i="10"/>
  <c r="D363" i="10"/>
  <c r="D368" i="10"/>
  <c r="D381" i="10"/>
  <c r="D394" i="10"/>
  <c r="D411" i="10"/>
  <c r="D416" i="10"/>
  <c r="D429" i="10"/>
  <c r="D459" i="10"/>
  <c r="D464" i="10"/>
  <c r="D477" i="10"/>
  <c r="D507" i="10"/>
  <c r="D512" i="10"/>
  <c r="D525" i="10"/>
  <c r="D555" i="10"/>
  <c r="C556" i="10"/>
  <c r="D573" i="10"/>
  <c r="D603" i="10"/>
  <c r="C604" i="10"/>
  <c r="C15" i="11"/>
  <c r="D48" i="11"/>
  <c r="D54" i="11"/>
  <c r="C42" i="11"/>
  <c r="C49" i="11"/>
  <c r="D75" i="11"/>
  <c r="C63" i="11"/>
  <c r="D96" i="11"/>
  <c r="D102" i="11"/>
  <c r="C90" i="11"/>
  <c r="C97" i="11"/>
  <c r="C112" i="11"/>
  <c r="D227" i="11"/>
  <c r="C606" i="11"/>
  <c r="D618" i="11"/>
  <c r="D606" i="11"/>
  <c r="C76" i="10"/>
  <c r="C80" i="10"/>
  <c r="C84" i="10"/>
  <c r="D263" i="10"/>
  <c r="D311" i="10"/>
  <c r="C312" i="10"/>
  <c r="D359" i="10"/>
  <c r="C351" i="10"/>
  <c r="C360" i="10"/>
  <c r="C373" i="10"/>
  <c r="C386" i="10"/>
  <c r="D407" i="10"/>
  <c r="C399" i="10"/>
  <c r="C408" i="10"/>
  <c r="C421" i="10"/>
  <c r="C434" i="10"/>
  <c r="D455" i="10"/>
  <c r="C456" i="10"/>
  <c r="C469" i="10"/>
  <c r="C482" i="10"/>
  <c r="D503" i="10"/>
  <c r="C504" i="10"/>
  <c r="C517" i="10"/>
  <c r="C530" i="10"/>
  <c r="D551" i="10"/>
  <c r="C552" i="10"/>
  <c r="C578" i="10"/>
  <c r="D599" i="10"/>
  <c r="C600" i="10"/>
  <c r="D28" i="11"/>
  <c r="D34" i="11"/>
  <c r="C22" i="11"/>
  <c r="C29" i="11"/>
  <c r="D55" i="11"/>
  <c r="C43" i="11"/>
  <c r="D76" i="11"/>
  <c r="D82" i="11"/>
  <c r="C70" i="11"/>
  <c r="C77" i="11"/>
  <c r="C114" i="11"/>
  <c r="D125" i="11"/>
  <c r="D132" i="11"/>
  <c r="C120" i="11"/>
  <c r="D149" i="11"/>
  <c r="D170" i="11"/>
  <c r="C158" i="11"/>
  <c r="D234" i="11"/>
  <c r="C223" i="11"/>
  <c r="C222" i="11"/>
  <c r="C275" i="11"/>
  <c r="D287" i="11"/>
  <c r="D275" i="11"/>
  <c r="D310" i="11"/>
  <c r="C299" i="11"/>
  <c r="C298" i="11"/>
  <c r="C321" i="11"/>
  <c r="D333" i="11"/>
  <c r="C322" i="11"/>
  <c r="C395" i="11"/>
  <c r="D407" i="11"/>
  <c r="D259" i="10"/>
  <c r="C251" i="10"/>
  <c r="D307" i="10"/>
  <c r="C299" i="10"/>
  <c r="D355" i="10"/>
  <c r="C347" i="10"/>
  <c r="D403" i="10"/>
  <c r="C395" i="10"/>
  <c r="D408" i="10"/>
  <c r="D421" i="10"/>
  <c r="D451" i="10"/>
  <c r="C443" i="10"/>
  <c r="D456" i="10"/>
  <c r="D469" i="10"/>
  <c r="D499" i="10"/>
  <c r="C491" i="10"/>
  <c r="D504" i="10"/>
  <c r="C513" i="10"/>
  <c r="D517" i="10"/>
  <c r="D547" i="10"/>
  <c r="C539" i="10"/>
  <c r="C561" i="10"/>
  <c r="D565" i="10"/>
  <c r="D595" i="10"/>
  <c r="C587" i="10"/>
  <c r="C609" i="10"/>
  <c r="D613" i="10"/>
  <c r="C16" i="11"/>
  <c r="D35" i="11"/>
  <c r="C23" i="11"/>
  <c r="D29" i="11"/>
  <c r="D56" i="11"/>
  <c r="D62" i="11"/>
  <c r="C50" i="11"/>
  <c r="C64" i="11"/>
  <c r="D83" i="11"/>
  <c r="C71" i="11"/>
  <c r="D104" i="11"/>
  <c r="D110" i="11"/>
  <c r="C98" i="11"/>
  <c r="C113" i="11"/>
  <c r="C129" i="11"/>
  <c r="C130" i="11"/>
  <c r="C137" i="11"/>
  <c r="C160" i="11"/>
  <c r="D159" i="11"/>
  <c r="C159" i="11"/>
  <c r="D222" i="11"/>
  <c r="C211" i="11"/>
  <c r="D278" i="11"/>
  <c r="C266" i="11"/>
  <c r="D288" i="11"/>
  <c r="C276" i="11"/>
  <c r="D42" i="11"/>
  <c r="C30" i="11"/>
  <c r="C44" i="11"/>
  <c r="D63" i="11"/>
  <c r="C51" i="11"/>
  <c r="D90" i="11"/>
  <c r="C78" i="11"/>
  <c r="D134" i="11"/>
  <c r="C122" i="11"/>
  <c r="D152" i="11"/>
  <c r="C152" i="11"/>
  <c r="D164" i="11"/>
  <c r="C153" i="11"/>
  <c r="C210" i="11"/>
  <c r="C216" i="11"/>
  <c r="C245" i="11"/>
  <c r="C244" i="11"/>
  <c r="D256" i="11"/>
  <c r="C259" i="11"/>
  <c r="D271" i="11"/>
  <c r="C277" i="11"/>
  <c r="D312" i="11"/>
  <c r="C300" i="11"/>
  <c r="C347" i="11"/>
  <c r="D359" i="11"/>
  <c r="D604" i="11"/>
  <c r="C592" i="11"/>
  <c r="C409" i="10"/>
  <c r="C435" i="10"/>
  <c r="C457" i="10"/>
  <c r="C483" i="10"/>
  <c r="C505" i="10"/>
  <c r="D539" i="10"/>
  <c r="C531" i="10"/>
  <c r="C540" i="10"/>
  <c r="D544" i="10"/>
  <c r="C553" i="10"/>
  <c r="D557" i="10"/>
  <c r="D587" i="10"/>
  <c r="C579" i="10"/>
  <c r="C588" i="10"/>
  <c r="C601" i="10"/>
  <c r="D605" i="10"/>
  <c r="C10" i="11"/>
  <c r="D30" i="11"/>
  <c r="C24" i="11"/>
  <c r="D43" i="11"/>
  <c r="C31" i="11"/>
  <c r="D64" i="11"/>
  <c r="D70" i="11"/>
  <c r="C58" i="11"/>
  <c r="C65" i="11"/>
  <c r="C72" i="11"/>
  <c r="D91" i="11"/>
  <c r="C79" i="11"/>
  <c r="D118" i="11"/>
  <c r="C107" i="11"/>
  <c r="C106" i="11"/>
  <c r="D127" i="11"/>
  <c r="C115" i="11"/>
  <c r="D135" i="11"/>
  <c r="C123" i="11"/>
  <c r="C138" i="11"/>
  <c r="C144" i="11"/>
  <c r="C145" i="11"/>
  <c r="C162" i="11"/>
  <c r="D173" i="11"/>
  <c r="C181" i="11"/>
  <c r="D193" i="11"/>
  <c r="D215" i="11"/>
  <c r="D305" i="11"/>
  <c r="D300" i="11"/>
  <c r="C443" i="11"/>
  <c r="D455" i="11"/>
  <c r="D470" i="11"/>
  <c r="C458" i="11"/>
  <c r="C459" i="11"/>
  <c r="C335" i="10"/>
  <c r="C383" i="10"/>
  <c r="C405" i="10"/>
  <c r="C431" i="10"/>
  <c r="D444" i="10"/>
  <c r="C453" i="10"/>
  <c r="D457" i="10"/>
  <c r="C479" i="10"/>
  <c r="D492" i="10"/>
  <c r="C501" i="10"/>
  <c r="D505" i="10"/>
  <c r="C527" i="10"/>
  <c r="D540" i="10"/>
  <c r="C549" i="10"/>
  <c r="D553" i="10"/>
  <c r="C575" i="10"/>
  <c r="C597" i="10"/>
  <c r="D601" i="10"/>
  <c r="D23" i="11"/>
  <c r="C11" i="11"/>
  <c r="C18" i="11"/>
  <c r="D44" i="11"/>
  <c r="D50" i="11"/>
  <c r="C38" i="11"/>
  <c r="C45" i="11"/>
  <c r="C52" i="11"/>
  <c r="D71" i="11"/>
  <c r="C59" i="11"/>
  <c r="D92" i="11"/>
  <c r="D98" i="11"/>
  <c r="C86" i="11"/>
  <c r="C93" i="11"/>
  <c r="C100" i="11"/>
  <c r="D115" i="11"/>
  <c r="D136" i="11"/>
  <c r="C124" i="11"/>
  <c r="D144" i="11"/>
  <c r="C161" i="11"/>
  <c r="D209" i="11"/>
  <c r="C197" i="11"/>
  <c r="D51" i="11"/>
  <c r="C39" i="11"/>
  <c r="D78" i="11"/>
  <c r="C66" i="11"/>
  <c r="D99" i="11"/>
  <c r="C87" i="11"/>
  <c r="C205" i="11"/>
  <c r="C206" i="11"/>
  <c r="D217" i="11"/>
  <c r="D362" i="11"/>
  <c r="C350" i="11"/>
  <c r="D287" i="10"/>
  <c r="D335" i="10"/>
  <c r="D383" i="10"/>
  <c r="D431" i="10"/>
  <c r="C423" i="10"/>
  <c r="D479" i="10"/>
  <c r="C471" i="10"/>
  <c r="C519" i="10"/>
  <c r="C567" i="10"/>
  <c r="C576" i="10"/>
  <c r="C12" i="11"/>
  <c r="D52" i="11"/>
  <c r="D58" i="11"/>
  <c r="C46" i="11"/>
  <c r="C53" i="11"/>
  <c r="C60" i="11"/>
  <c r="D79" i="11"/>
  <c r="C67" i="11"/>
  <c r="D106" i="11"/>
  <c r="C94" i="11"/>
  <c r="C101" i="11"/>
  <c r="D137" i="11"/>
  <c r="D202" i="11"/>
  <c r="C190" i="11"/>
  <c r="D205" i="11"/>
  <c r="D266" i="11"/>
  <c r="C255" i="11"/>
  <c r="C254" i="11"/>
  <c r="C352" i="11"/>
  <c r="D351" i="11"/>
  <c r="C351" i="11"/>
  <c r="C360" i="11"/>
  <c r="D372" i="11"/>
  <c r="D450" i="11"/>
  <c r="C438" i="11"/>
  <c r="D235" i="10"/>
  <c r="D283" i="10"/>
  <c r="C275" i="10"/>
  <c r="D331" i="10"/>
  <c r="C323" i="10"/>
  <c r="D379" i="10"/>
  <c r="C371" i="10"/>
  <c r="D427" i="10"/>
  <c r="C419" i="10"/>
  <c r="D475" i="10"/>
  <c r="C467" i="10"/>
  <c r="D523" i="10"/>
  <c r="C515" i="10"/>
  <c r="D571" i="10"/>
  <c r="C563" i="10"/>
  <c r="C572" i="10"/>
  <c r="D619" i="10"/>
  <c r="D32" i="11"/>
  <c r="D38" i="11"/>
  <c r="C26" i="11"/>
  <c r="C33" i="11"/>
  <c r="C40" i="11"/>
  <c r="D59" i="11"/>
  <c r="C47" i="11"/>
  <c r="D80" i="11"/>
  <c r="D86" i="11"/>
  <c r="C74" i="11"/>
  <c r="C81" i="11"/>
  <c r="C88" i="11"/>
  <c r="C133" i="11"/>
  <c r="D163" i="11"/>
  <c r="D175" i="11"/>
  <c r="D203" i="11"/>
  <c r="D191" i="11"/>
  <c r="C191" i="11"/>
  <c r="D220" i="11"/>
  <c r="D232" i="11"/>
  <c r="D238" i="11"/>
  <c r="C226" i="11"/>
  <c r="D282" i="11"/>
  <c r="C271" i="11"/>
  <c r="C270" i="11"/>
  <c r="D338" i="11"/>
  <c r="C326" i="11"/>
  <c r="D244" i="11"/>
  <c r="C236" i="11"/>
  <c r="D265" i="11"/>
  <c r="C409" i="11"/>
  <c r="D583" i="11"/>
  <c r="C571" i="11"/>
  <c r="C115" i="12"/>
  <c r="D127" i="12"/>
  <c r="D115" i="12"/>
  <c r="C515" i="11"/>
  <c r="D527" i="11"/>
  <c r="D575" i="11"/>
  <c r="C564" i="11"/>
  <c r="C563" i="11"/>
  <c r="D613" i="11"/>
  <c r="C602" i="11"/>
  <c r="C601" i="11"/>
  <c r="D47" i="12"/>
  <c r="C35" i="12"/>
  <c r="D289" i="12"/>
  <c r="C278" i="12"/>
  <c r="C277" i="12"/>
  <c r="D431" i="12"/>
  <c r="C419" i="12"/>
  <c r="C580" i="12"/>
  <c r="D592" i="12"/>
  <c r="D129" i="11"/>
  <c r="D139" i="11"/>
  <c r="C164" i="11"/>
  <c r="D181" i="11"/>
  <c r="D210" i="11"/>
  <c r="D254" i="11"/>
  <c r="C247" i="11"/>
  <c r="D264" i="11"/>
  <c r="D261" i="11"/>
  <c r="D279" i="11"/>
  <c r="C301" i="11"/>
  <c r="D311" i="11"/>
  <c r="D316" i="11"/>
  <c r="D321" i="11"/>
  <c r="D350" i="11"/>
  <c r="C339" i="11"/>
  <c r="C338" i="11"/>
  <c r="C365" i="11"/>
  <c r="D364" i="11"/>
  <c r="C378" i="11"/>
  <c r="D377" i="11"/>
  <c r="D389" i="11"/>
  <c r="C396" i="11"/>
  <c r="D422" i="11"/>
  <c r="C410" i="11"/>
  <c r="D458" i="11"/>
  <c r="C446" i="11"/>
  <c r="D515" i="11"/>
  <c r="C503" i="11"/>
  <c r="D528" i="11"/>
  <c r="C517" i="11"/>
  <c r="C516" i="11"/>
  <c r="D554" i="11"/>
  <c r="C542" i="11"/>
  <c r="C572" i="11"/>
  <c r="C586" i="11"/>
  <c r="D598" i="11"/>
  <c r="D586" i="11"/>
  <c r="D601" i="11"/>
  <c r="D21" i="12"/>
  <c r="C10" i="12"/>
  <c r="C9" i="12"/>
  <c r="D35" i="12"/>
  <c r="C247" i="12"/>
  <c r="D259" i="12"/>
  <c r="D247" i="12"/>
  <c r="D323" i="12"/>
  <c r="C311" i="12"/>
  <c r="D111" i="11"/>
  <c r="C125" i="11"/>
  <c r="C135" i="11"/>
  <c r="C154" i="11"/>
  <c r="C169" i="11"/>
  <c r="C179" i="11"/>
  <c r="C184" i="11"/>
  <c r="C198" i="11"/>
  <c r="C203" i="11"/>
  <c r="C213" i="11"/>
  <c r="D230" i="11"/>
  <c r="C218" i="11"/>
  <c r="C237" i="11"/>
  <c r="C242" i="11"/>
  <c r="D247" i="11"/>
  <c r="C252" i="11"/>
  <c r="C267" i="11"/>
  <c r="D276" i="11"/>
  <c r="D298" i="11"/>
  <c r="C286" i="11"/>
  <c r="C291" i="11"/>
  <c r="C296" i="11"/>
  <c r="D314" i="11"/>
  <c r="D340" i="11"/>
  <c r="C364" i="11"/>
  <c r="C377" i="11"/>
  <c r="D383" i="11"/>
  <c r="D396" i="11"/>
  <c r="C426" i="11"/>
  <c r="D425" i="11"/>
  <c r="D437" i="11"/>
  <c r="C439" i="11"/>
  <c r="C448" i="11"/>
  <c r="D447" i="11"/>
  <c r="D459" i="11"/>
  <c r="D503" i="11"/>
  <c r="C36" i="12"/>
  <c r="D148" i="11"/>
  <c r="C233" i="11"/>
  <c r="D291" i="11"/>
  <c r="C312" i="11"/>
  <c r="D345" i="11"/>
  <c r="C432" i="11"/>
  <c r="D444" i="11"/>
  <c r="C447" i="11"/>
  <c r="C461" i="11"/>
  <c r="D460" i="11"/>
  <c r="D472" i="11"/>
  <c r="C505" i="11"/>
  <c r="C504" i="11"/>
  <c r="C543" i="11"/>
  <c r="C587" i="11"/>
  <c r="C91" i="11"/>
  <c r="C95" i="11"/>
  <c r="C121" i="11"/>
  <c r="C136" i="11"/>
  <c r="C150" i="11"/>
  <c r="C165" i="11"/>
  <c r="D182" i="11"/>
  <c r="C170" i="11"/>
  <c r="C194" i="11"/>
  <c r="D199" i="11"/>
  <c r="C204" i="11"/>
  <c r="C219" i="11"/>
  <c r="D250" i="11"/>
  <c r="C238" i="11"/>
  <c r="C248" i="11"/>
  <c r="D270" i="11"/>
  <c r="C272" i="11"/>
  <c r="C287" i="11"/>
  <c r="D307" i="11"/>
  <c r="C340" i="11"/>
  <c r="C353" i="11"/>
  <c r="C359" i="11"/>
  <c r="D378" i="11"/>
  <c r="C367" i="11"/>
  <c r="C372" i="11"/>
  <c r="D410" i="11"/>
  <c r="C398" i="11"/>
  <c r="C413" i="11"/>
  <c r="D412" i="11"/>
  <c r="D424" i="11"/>
  <c r="D445" i="11"/>
  <c r="C433" i="11"/>
  <c r="C460" i="11"/>
  <c r="D542" i="11"/>
  <c r="C531" i="11"/>
  <c r="C530" i="11"/>
  <c r="C86" i="12"/>
  <c r="D98" i="12"/>
  <c r="C117" i="11"/>
  <c r="D121" i="11"/>
  <c r="C126" i="11"/>
  <c r="D131" i="11"/>
  <c r="D158" i="11"/>
  <c r="C151" i="11"/>
  <c r="D168" i="11"/>
  <c r="D183" i="11"/>
  <c r="C185" i="11"/>
  <c r="D251" i="11"/>
  <c r="C258" i="11"/>
  <c r="C268" i="11"/>
  <c r="D290" i="11"/>
  <c r="C292" i="11"/>
  <c r="C303" i="11"/>
  <c r="C313" i="11"/>
  <c r="D330" i="11"/>
  <c r="C319" i="11"/>
  <c r="D353" i="11"/>
  <c r="C346" i="11"/>
  <c r="C366" i="11"/>
  <c r="C385" i="11"/>
  <c r="C400" i="11"/>
  <c r="D399" i="11"/>
  <c r="D411" i="11"/>
  <c r="C412" i="11"/>
  <c r="C419" i="11"/>
  <c r="D431" i="11"/>
  <c r="D433" i="11"/>
  <c r="C22" i="12"/>
  <c r="D34" i="12"/>
  <c r="D22" i="12"/>
  <c r="C77" i="12"/>
  <c r="D89" i="12"/>
  <c r="D432" i="11"/>
  <c r="C420" i="11"/>
  <c r="D446" i="11"/>
  <c r="C435" i="11"/>
  <c r="C434" i="11"/>
  <c r="C467" i="11"/>
  <c r="D479" i="11"/>
  <c r="D518" i="11"/>
  <c r="C506" i="11"/>
  <c r="D608" i="11"/>
  <c r="C596" i="11"/>
  <c r="C30" i="12"/>
  <c r="D42" i="12"/>
  <c r="C31" i="12"/>
  <c r="D30" i="12"/>
  <c r="C78" i="12"/>
  <c r="D90" i="12"/>
  <c r="D78" i="12"/>
  <c r="D326" i="11"/>
  <c r="C314" i="11"/>
  <c r="C348" i="11"/>
  <c r="C361" i="11"/>
  <c r="D367" i="11"/>
  <c r="D398" i="11"/>
  <c r="C387" i="11"/>
  <c r="C386" i="11"/>
  <c r="D426" i="11"/>
  <c r="C415" i="11"/>
  <c r="D467" i="11"/>
  <c r="C455" i="11"/>
  <c r="D480" i="11"/>
  <c r="C469" i="11"/>
  <c r="C468" i="11"/>
  <c r="C480" i="11"/>
  <c r="D492" i="11"/>
  <c r="C481" i="11"/>
  <c r="D506" i="11"/>
  <c r="C494" i="11"/>
  <c r="D565" i="11"/>
  <c r="C554" i="11"/>
  <c r="D553" i="11"/>
  <c r="D596" i="11"/>
  <c r="C70" i="12"/>
  <c r="D70" i="12"/>
  <c r="D82" i="12"/>
  <c r="C137" i="12"/>
  <c r="D149" i="12"/>
  <c r="C109" i="11"/>
  <c r="D126" i="11"/>
  <c r="D154" i="11"/>
  <c r="C142" i="11"/>
  <c r="C147" i="11"/>
  <c r="C157" i="11"/>
  <c r="D174" i="11"/>
  <c r="D218" i="11"/>
  <c r="C225" i="11"/>
  <c r="C230" i="11"/>
  <c r="C235" i="11"/>
  <c r="C240" i="11"/>
  <c r="D257" i="11"/>
  <c r="D259" i="11"/>
  <c r="D286" i="11"/>
  <c r="D301" i="11"/>
  <c r="C309" i="11"/>
  <c r="D327" i="11"/>
  <c r="D335" i="11"/>
  <c r="D348" i="11"/>
  <c r="C355" i="11"/>
  <c r="D361" i="11"/>
  <c r="D419" i="11"/>
  <c r="C407" i="11"/>
  <c r="C414" i="11"/>
  <c r="C421" i="11"/>
  <c r="C496" i="11"/>
  <c r="D495" i="11"/>
  <c r="D507" i="11"/>
  <c r="C507" i="11"/>
  <c r="C553" i="11"/>
  <c r="D580" i="11"/>
  <c r="C569" i="11"/>
  <c r="D568" i="11"/>
  <c r="C568" i="11"/>
  <c r="D609" i="11"/>
  <c r="C598" i="11"/>
  <c r="C597" i="11"/>
  <c r="C613" i="11"/>
  <c r="C612" i="11"/>
  <c r="D27" i="12"/>
  <c r="C15" i="12"/>
  <c r="D141" i="12"/>
  <c r="D129" i="12"/>
  <c r="C129" i="12"/>
  <c r="D113" i="11"/>
  <c r="D155" i="11"/>
  <c r="C172" i="11"/>
  <c r="D176" i="11"/>
  <c r="D194" i="11"/>
  <c r="C260" i="11"/>
  <c r="D277" i="11"/>
  <c r="D292" i="11"/>
  <c r="D309" i="11"/>
  <c r="C315" i="11"/>
  <c r="C325" i="11"/>
  <c r="D374" i="11"/>
  <c r="C362" i="11"/>
  <c r="C457" i="11"/>
  <c r="C456" i="11"/>
  <c r="C495" i="11"/>
  <c r="C509" i="11"/>
  <c r="D508" i="11"/>
  <c r="D520" i="11"/>
  <c r="D551" i="11"/>
  <c r="C539" i="11"/>
  <c r="D560" i="11"/>
  <c r="C549" i="11"/>
  <c r="D548" i="11"/>
  <c r="D603" i="11"/>
  <c r="C591" i="11"/>
  <c r="D48" i="12"/>
  <c r="D60" i="12"/>
  <c r="C48" i="12"/>
  <c r="D146" i="12"/>
  <c r="C134" i="12"/>
  <c r="C529" i="11"/>
  <c r="C547" i="11"/>
  <c r="C29" i="12"/>
  <c r="D41" i="12"/>
  <c r="C42" i="12"/>
  <c r="D54" i="12"/>
  <c r="C61" i="12"/>
  <c r="C92" i="12"/>
  <c r="D206" i="12"/>
  <c r="D194" i="12"/>
  <c r="C194" i="12"/>
  <c r="C223" i="12"/>
  <c r="D235" i="12"/>
  <c r="C261" i="12"/>
  <c r="D273" i="12"/>
  <c r="D331" i="12"/>
  <c r="C319" i="12"/>
  <c r="D346" i="11"/>
  <c r="D394" i="11"/>
  <c r="D442" i="11"/>
  <c r="D490" i="11"/>
  <c r="D538" i="11"/>
  <c r="C558" i="11"/>
  <c r="C573" i="11"/>
  <c r="D582" i="11"/>
  <c r="D592" i="11"/>
  <c r="D619" i="11"/>
  <c r="C17" i="12"/>
  <c r="D57" i="12"/>
  <c r="C57" i="12"/>
  <c r="C64" i="12"/>
  <c r="D76" i="12"/>
  <c r="C102" i="12"/>
  <c r="C183" i="12"/>
  <c r="D195" i="12"/>
  <c r="D245" i="12"/>
  <c r="C234" i="12"/>
  <c r="C233" i="12"/>
  <c r="D283" i="12"/>
  <c r="C271" i="12"/>
  <c r="C272" i="12"/>
  <c r="D271" i="12"/>
  <c r="D393" i="12"/>
  <c r="C381" i="12"/>
  <c r="C382" i="12"/>
  <c r="D413" i="12"/>
  <c r="C401" i="12"/>
  <c r="D150" i="11"/>
  <c r="D198" i="11"/>
  <c r="D246" i="11"/>
  <c r="D294" i="11"/>
  <c r="D342" i="11"/>
  <c r="C334" i="11"/>
  <c r="D347" i="11"/>
  <c r="D360" i="11"/>
  <c r="D373" i="11"/>
  <c r="D390" i="11"/>
  <c r="C382" i="11"/>
  <c r="D395" i="11"/>
  <c r="D408" i="11"/>
  <c r="D421" i="11"/>
  <c r="D438" i="11"/>
  <c r="C430" i="11"/>
  <c r="D443" i="11"/>
  <c r="D456" i="11"/>
  <c r="D486" i="11"/>
  <c r="C478" i="11"/>
  <c r="D491" i="11"/>
  <c r="D504" i="11"/>
  <c r="D534" i="11"/>
  <c r="C526" i="11"/>
  <c r="D543" i="11"/>
  <c r="C535" i="11"/>
  <c r="D539" i="11"/>
  <c r="D558" i="11"/>
  <c r="D573" i="11"/>
  <c r="C578" i="11"/>
  <c r="C588" i="11"/>
  <c r="C593" i="11"/>
  <c r="C607" i="11"/>
  <c r="C18" i="12"/>
  <c r="C45" i="12"/>
  <c r="D44" i="12"/>
  <c r="C44" i="12"/>
  <c r="C51" i="12"/>
  <c r="D63" i="12"/>
  <c r="D77" i="12"/>
  <c r="D91" i="12"/>
  <c r="C80" i="12"/>
  <c r="D79" i="12"/>
  <c r="C79" i="12"/>
  <c r="C95" i="12"/>
  <c r="C96" i="12"/>
  <c r="D107" i="12"/>
  <c r="C116" i="12"/>
  <c r="C138" i="12"/>
  <c r="C143" i="12"/>
  <c r="D155" i="12"/>
  <c r="D343" i="11"/>
  <c r="D356" i="11"/>
  <c r="D369" i="11"/>
  <c r="D386" i="11"/>
  <c r="D391" i="11"/>
  <c r="D404" i="11"/>
  <c r="D417" i="11"/>
  <c r="D434" i="11"/>
  <c r="D439" i="11"/>
  <c r="D452" i="11"/>
  <c r="D482" i="11"/>
  <c r="D487" i="11"/>
  <c r="D500" i="11"/>
  <c r="D530" i="11"/>
  <c r="D535" i="11"/>
  <c r="D571" i="11"/>
  <c r="D578" i="11"/>
  <c r="D588" i="11"/>
  <c r="C608" i="11"/>
  <c r="C19" i="12"/>
  <c r="D31" i="12"/>
  <c r="D64" i="12"/>
  <c r="C65" i="12"/>
  <c r="D138" i="12"/>
  <c r="D160" i="12"/>
  <c r="C160" i="12"/>
  <c r="D172" i="12"/>
  <c r="C161" i="12"/>
  <c r="C184" i="12"/>
  <c r="C211" i="12"/>
  <c r="D223" i="12"/>
  <c r="C374" i="11"/>
  <c r="C422" i="11"/>
  <c r="C444" i="11"/>
  <c r="D478" i="11"/>
  <c r="C470" i="11"/>
  <c r="C492" i="11"/>
  <c r="D526" i="11"/>
  <c r="C518" i="11"/>
  <c r="C540" i="11"/>
  <c r="C545" i="11"/>
  <c r="D562" i="11"/>
  <c r="C559" i="11"/>
  <c r="D577" i="11"/>
  <c r="D591" i="11"/>
  <c r="C603" i="11"/>
  <c r="C11" i="12"/>
  <c r="C52" i="12"/>
  <c r="C88" i="12"/>
  <c r="D137" i="12"/>
  <c r="C126" i="12"/>
  <c r="D125" i="12"/>
  <c r="C125" i="12"/>
  <c r="C169" i="12"/>
  <c r="D181" i="12"/>
  <c r="D540" i="11"/>
  <c r="D611" i="11"/>
  <c r="C599" i="11"/>
  <c r="C111" i="12"/>
  <c r="D123" i="12"/>
  <c r="D111" i="12"/>
  <c r="C146" i="12"/>
  <c r="D158" i="12"/>
  <c r="C186" i="12"/>
  <c r="D185" i="12"/>
  <c r="C185" i="12"/>
  <c r="D197" i="12"/>
  <c r="C281" i="12"/>
  <c r="D293" i="12"/>
  <c r="D281" i="12"/>
  <c r="D587" i="11"/>
  <c r="D597" i="11"/>
  <c r="D612" i="11"/>
  <c r="C26" i="12"/>
  <c r="D38" i="12"/>
  <c r="C147" i="12"/>
  <c r="D159" i="12"/>
  <c r="C148" i="12"/>
  <c r="C178" i="12"/>
  <c r="D190" i="12"/>
  <c r="D249" i="12"/>
  <c r="C238" i="12"/>
  <c r="C237" i="12"/>
  <c r="D294" i="12"/>
  <c r="D282" i="12"/>
  <c r="C282" i="12"/>
  <c r="D130" i="11"/>
  <c r="D178" i="11"/>
  <c r="D226" i="11"/>
  <c r="D274" i="11"/>
  <c r="D322" i="11"/>
  <c r="D370" i="11"/>
  <c r="D418" i="11"/>
  <c r="D466" i="11"/>
  <c r="D514" i="11"/>
  <c r="D549" i="11"/>
  <c r="D563" i="11"/>
  <c r="C551" i="11"/>
  <c r="C575" i="11"/>
  <c r="C585" i="11"/>
  <c r="C600" i="11"/>
  <c r="C21" i="12"/>
  <c r="D26" i="12"/>
  <c r="D86" i="12"/>
  <c r="C74" i="12"/>
  <c r="C98" i="12"/>
  <c r="D147" i="12"/>
  <c r="C213" i="12"/>
  <c r="C214" i="12"/>
  <c r="C222" i="12"/>
  <c r="D221" i="12"/>
  <c r="C221" i="12"/>
  <c r="D233" i="12"/>
  <c r="D237" i="12"/>
  <c r="C267" i="12"/>
  <c r="D279" i="12"/>
  <c r="C268" i="12"/>
  <c r="C356" i="12"/>
  <c r="D368" i="12"/>
  <c r="D318" i="11"/>
  <c r="D366" i="11"/>
  <c r="D414" i="11"/>
  <c r="D462" i="11"/>
  <c r="C463" i="11"/>
  <c r="D510" i="11"/>
  <c r="C511" i="11"/>
  <c r="C556" i="11"/>
  <c r="C561" i="11"/>
  <c r="C566" i="11"/>
  <c r="D570" i="11"/>
  <c r="D585" i="11"/>
  <c r="C27" i="12"/>
  <c r="C40" i="12"/>
  <c r="C83" i="12"/>
  <c r="D95" i="12"/>
  <c r="C155" i="12"/>
  <c r="D167" i="12"/>
  <c r="C171" i="12"/>
  <c r="D183" i="12"/>
  <c r="D171" i="12"/>
  <c r="C380" i="12"/>
  <c r="D392" i="12"/>
  <c r="D169" i="12"/>
  <c r="C312" i="12"/>
  <c r="D375" i="12"/>
  <c r="C363" i="12"/>
  <c r="D380" i="12"/>
  <c r="D61" i="12"/>
  <c r="C66" i="12"/>
  <c r="D88" i="12"/>
  <c r="D97" i="12"/>
  <c r="D106" i="12"/>
  <c r="D120" i="12"/>
  <c r="D157" i="12"/>
  <c r="D166" i="12"/>
  <c r="D180" i="12"/>
  <c r="D198" i="12"/>
  <c r="D208" i="12"/>
  <c r="D242" i="12"/>
  <c r="D265" i="12"/>
  <c r="D262" i="12"/>
  <c r="D267" i="12"/>
  <c r="D287" i="12"/>
  <c r="D377" i="12"/>
  <c r="C365" i="12"/>
  <c r="D385" i="12"/>
  <c r="C373" i="12"/>
  <c r="C420" i="12"/>
  <c r="D432" i="12"/>
  <c r="D420" i="12"/>
  <c r="C62" i="12"/>
  <c r="C107" i="12"/>
  <c r="C130" i="12"/>
  <c r="C135" i="12"/>
  <c r="C144" i="12"/>
  <c r="C153" i="12"/>
  <c r="C167" i="12"/>
  <c r="C176" i="12"/>
  <c r="C199" i="12"/>
  <c r="C204" i="12"/>
  <c r="C243" i="12"/>
  <c r="C244" i="12"/>
  <c r="C248" i="12"/>
  <c r="C253" i="12"/>
  <c r="C263" i="12"/>
  <c r="D277" i="12"/>
  <c r="C299" i="12"/>
  <c r="D304" i="12"/>
  <c r="D351" i="12"/>
  <c r="C339" i="12"/>
  <c r="D378" i="12"/>
  <c r="D366" i="12"/>
  <c r="D386" i="12"/>
  <c r="C374" i="12"/>
  <c r="D412" i="12"/>
  <c r="D579" i="11"/>
  <c r="D40" i="12"/>
  <c r="D53" i="12"/>
  <c r="C58" i="12"/>
  <c r="C71" i="12"/>
  <c r="D75" i="12"/>
  <c r="D84" i="12"/>
  <c r="D102" i="12"/>
  <c r="C112" i="12"/>
  <c r="C195" i="12"/>
  <c r="D199" i="12"/>
  <c r="D217" i="12"/>
  <c r="D214" i="12"/>
  <c r="D219" i="12"/>
  <c r="C224" i="12"/>
  <c r="D238" i="12"/>
  <c r="D243" i="12"/>
  <c r="D261" i="12"/>
  <c r="C258" i="12"/>
  <c r="C283" i="12"/>
  <c r="D299" i="12"/>
  <c r="D317" i="12"/>
  <c r="C305" i="12"/>
  <c r="D322" i="12"/>
  <c r="C330" i="12"/>
  <c r="C340" i="12"/>
  <c r="D352" i="12"/>
  <c r="C358" i="12"/>
  <c r="C366" i="12"/>
  <c r="D405" i="12"/>
  <c r="C393" i="12"/>
  <c r="C404" i="12"/>
  <c r="D416" i="12"/>
  <c r="C54" i="12"/>
  <c r="C67" i="12"/>
  <c r="C103" i="12"/>
  <c r="D112" i="12"/>
  <c r="C117" i="12"/>
  <c r="D134" i="12"/>
  <c r="C131" i="12"/>
  <c r="D143" i="12"/>
  <c r="C163" i="12"/>
  <c r="C200" i="12"/>
  <c r="C205" i="12"/>
  <c r="C215" i="12"/>
  <c r="C239" i="12"/>
  <c r="C249" i="12"/>
  <c r="D327" i="12"/>
  <c r="C315" i="12"/>
  <c r="D343" i="12"/>
  <c r="C331" i="12"/>
  <c r="D358" i="12"/>
  <c r="D394" i="12"/>
  <c r="C394" i="12"/>
  <c r="D406" i="12"/>
  <c r="D404" i="12"/>
  <c r="C50" i="12"/>
  <c r="C85" i="12"/>
  <c r="C99" i="12"/>
  <c r="D103" i="12"/>
  <c r="D117" i="12"/>
  <c r="C122" i="12"/>
  <c r="D131" i="12"/>
  <c r="C159" i="12"/>
  <c r="D163" i="12"/>
  <c r="C168" i="12"/>
  <c r="C191" i="12"/>
  <c r="D213" i="12"/>
  <c r="D215" i="12"/>
  <c r="C220" i="12"/>
  <c r="D252" i="12"/>
  <c r="C259" i="12"/>
  <c r="C264" i="12"/>
  <c r="C300" i="12"/>
  <c r="C306" i="12"/>
  <c r="C332" i="12"/>
  <c r="D332" i="12"/>
  <c r="D344" i="12"/>
  <c r="C350" i="12"/>
  <c r="D371" i="12"/>
  <c r="C359" i="12"/>
  <c r="D417" i="12"/>
  <c r="C405" i="12"/>
  <c r="D50" i="12"/>
  <c r="D94" i="12"/>
  <c r="C104" i="12"/>
  <c r="D121" i="12"/>
  <c r="C173" i="12"/>
  <c r="D177" i="12"/>
  <c r="D204" i="12"/>
  <c r="C201" i="12"/>
  <c r="D220" i="12"/>
  <c r="C240" i="12"/>
  <c r="C269" i="12"/>
  <c r="C285" i="12"/>
  <c r="D297" i="12"/>
  <c r="C290" i="12"/>
  <c r="C295" i="12"/>
  <c r="D316" i="12"/>
  <c r="D324" i="12"/>
  <c r="C406" i="12"/>
  <c r="C308" i="12"/>
  <c r="D320" i="12"/>
  <c r="D329" i="12"/>
  <c r="C317" i="12"/>
  <c r="C318" i="12"/>
  <c r="D363" i="12"/>
  <c r="C351" i="12"/>
  <c r="D409" i="12"/>
  <c r="C397" i="12"/>
  <c r="D419" i="12"/>
  <c r="C407" i="12"/>
  <c r="D445" i="12"/>
  <c r="C433" i="12"/>
  <c r="C498" i="12"/>
  <c r="D510" i="12"/>
  <c r="D619" i="12"/>
  <c r="C607" i="12"/>
  <c r="D559" i="11"/>
  <c r="D607" i="11"/>
  <c r="C38" i="12"/>
  <c r="D108" i="12"/>
  <c r="C100" i="12"/>
  <c r="D164" i="12"/>
  <c r="D200" i="12"/>
  <c r="D211" i="12"/>
  <c r="C226" i="12"/>
  <c r="D231" i="12"/>
  <c r="C236" i="12"/>
  <c r="D255" i="12"/>
  <c r="C260" i="12"/>
  <c r="D275" i="12"/>
  <c r="D298" i="12"/>
  <c r="D308" i="12"/>
  <c r="D321" i="12"/>
  <c r="C309" i="12"/>
  <c r="D347" i="12"/>
  <c r="C335" i="12"/>
  <c r="D355" i="12"/>
  <c r="C343" i="12"/>
  <c r="C378" i="12"/>
  <c r="C87" i="12"/>
  <c r="C179" i="12"/>
  <c r="D191" i="12"/>
  <c r="C202" i="12"/>
  <c r="C227" i="12"/>
  <c r="D239" i="12"/>
  <c r="C251" i="12"/>
  <c r="D260" i="12"/>
  <c r="C286" i="12"/>
  <c r="C296" i="12"/>
  <c r="C336" i="12"/>
  <c r="D348" i="12"/>
  <c r="C344" i="12"/>
  <c r="D356" i="12"/>
  <c r="D365" i="12"/>
  <c r="C353" i="12"/>
  <c r="D411" i="12"/>
  <c r="C399" i="12"/>
  <c r="D423" i="12"/>
  <c r="C411" i="12"/>
  <c r="C436" i="12"/>
  <c r="D448" i="12"/>
  <c r="D523" i="12"/>
  <c r="C511" i="12"/>
  <c r="C546" i="12"/>
  <c r="D558" i="12"/>
  <c r="D425" i="12"/>
  <c r="C413" i="12"/>
  <c r="D537" i="12"/>
  <c r="C525" i="12"/>
  <c r="C526" i="12"/>
  <c r="D341" i="12"/>
  <c r="C329" i="12"/>
  <c r="D349" i="12"/>
  <c r="C337" i="12"/>
  <c r="C352" i="12"/>
  <c r="C360" i="12"/>
  <c r="D379" i="12"/>
  <c r="C367" i="12"/>
  <c r="D395" i="12"/>
  <c r="C383" i="12"/>
  <c r="C398" i="12"/>
  <c r="D433" i="12"/>
  <c r="C421" i="12"/>
  <c r="C450" i="12"/>
  <c r="D462" i="12"/>
  <c r="D571" i="12"/>
  <c r="C559" i="12"/>
  <c r="D357" i="12"/>
  <c r="C345" i="12"/>
  <c r="D388" i="12"/>
  <c r="C384" i="12"/>
  <c r="D396" i="12"/>
  <c r="D403" i="12"/>
  <c r="C391" i="12"/>
  <c r="C414" i="12"/>
  <c r="D441" i="12"/>
  <c r="C429" i="12"/>
  <c r="C430" i="12"/>
  <c r="C484" i="12"/>
  <c r="D496" i="12"/>
  <c r="C594" i="12"/>
  <c r="D606" i="12"/>
  <c r="D309" i="12"/>
  <c r="C297" i="12"/>
  <c r="C316" i="12"/>
  <c r="D335" i="12"/>
  <c r="C323" i="12"/>
  <c r="D354" i="12"/>
  <c r="C354" i="12"/>
  <c r="D389" i="12"/>
  <c r="C377" i="12"/>
  <c r="D397" i="12"/>
  <c r="C385" i="12"/>
  <c r="C400" i="12"/>
  <c r="C408" i="12"/>
  <c r="D427" i="12"/>
  <c r="C415" i="12"/>
  <c r="D443" i="12"/>
  <c r="C431" i="12"/>
  <c r="D475" i="12"/>
  <c r="C463" i="12"/>
  <c r="D498" i="12"/>
  <c r="D585" i="12"/>
  <c r="C573" i="12"/>
  <c r="C574" i="12"/>
  <c r="C91" i="12"/>
  <c r="C139" i="12"/>
  <c r="C187" i="12"/>
  <c r="C235" i="12"/>
  <c r="D315" i="12"/>
  <c r="C303" i="12"/>
  <c r="D337" i="12"/>
  <c r="C325" i="12"/>
  <c r="C364" i="12"/>
  <c r="D383" i="12"/>
  <c r="C371" i="12"/>
  <c r="D402" i="12"/>
  <c r="C402" i="12"/>
  <c r="C434" i="12"/>
  <c r="D489" i="12"/>
  <c r="C477" i="12"/>
  <c r="C478" i="12"/>
  <c r="C532" i="12"/>
  <c r="D544" i="12"/>
  <c r="C231" i="12"/>
  <c r="C279" i="12"/>
  <c r="C284" i="12"/>
  <c r="D296" i="12"/>
  <c r="D306" i="12"/>
  <c r="D311" i="12"/>
  <c r="D345" i="12"/>
  <c r="C333" i="12"/>
  <c r="C334" i="12"/>
  <c r="D361" i="12"/>
  <c r="C349" i="12"/>
  <c r="D369" i="12"/>
  <c r="C357" i="12"/>
  <c r="D364" i="12"/>
  <c r="D391" i="12"/>
  <c r="C379" i="12"/>
  <c r="D399" i="12"/>
  <c r="C387" i="12"/>
  <c r="D467" i="12"/>
  <c r="C455" i="12"/>
  <c r="D481" i="12"/>
  <c r="C469" i="12"/>
  <c r="D515" i="12"/>
  <c r="C503" i="12"/>
  <c r="D529" i="12"/>
  <c r="C517" i="12"/>
  <c r="D563" i="12"/>
  <c r="C551" i="12"/>
  <c r="D577" i="12"/>
  <c r="C565" i="12"/>
  <c r="D611" i="12"/>
  <c r="C599" i="12"/>
  <c r="D447" i="12"/>
  <c r="C435" i="12"/>
  <c r="C442" i="12"/>
  <c r="D461" i="12"/>
  <c r="C449" i="12"/>
  <c r="C456" i="12"/>
  <c r="D476" i="12"/>
  <c r="D495" i="12"/>
  <c r="C483" i="12"/>
  <c r="C490" i="12"/>
  <c r="D509" i="12"/>
  <c r="C497" i="12"/>
  <c r="C504" i="12"/>
  <c r="D524" i="12"/>
  <c r="D543" i="12"/>
  <c r="C531" i="12"/>
  <c r="C538" i="12"/>
  <c r="D557" i="12"/>
  <c r="C545" i="12"/>
  <c r="C552" i="12"/>
  <c r="D591" i="12"/>
  <c r="C579" i="12"/>
  <c r="C586" i="12"/>
  <c r="D605" i="12"/>
  <c r="C593" i="12"/>
  <c r="C600" i="12"/>
  <c r="D313" i="12"/>
  <c r="C301" i="12"/>
  <c r="D325" i="12"/>
  <c r="C313" i="12"/>
  <c r="C320" i="12"/>
  <c r="D326" i="12"/>
  <c r="D359" i="12"/>
  <c r="C347" i="12"/>
  <c r="D373" i="12"/>
  <c r="C361" i="12"/>
  <c r="C368" i="12"/>
  <c r="D374" i="12"/>
  <c r="D407" i="12"/>
  <c r="C395" i="12"/>
  <c r="D421" i="12"/>
  <c r="C409" i="12"/>
  <c r="C416" i="12"/>
  <c r="D422" i="12"/>
  <c r="D455" i="12"/>
  <c r="C443" i="12"/>
  <c r="D469" i="12"/>
  <c r="C457" i="12"/>
  <c r="C464" i="12"/>
  <c r="D484" i="12"/>
  <c r="D503" i="12"/>
  <c r="C491" i="12"/>
  <c r="D517" i="12"/>
  <c r="C505" i="12"/>
  <c r="C512" i="12"/>
  <c r="D532" i="12"/>
  <c r="D551" i="12"/>
  <c r="C539" i="12"/>
  <c r="D565" i="12"/>
  <c r="C553" i="12"/>
  <c r="C560" i="12"/>
  <c r="D580" i="12"/>
  <c r="D599" i="12"/>
  <c r="C587" i="12"/>
  <c r="D613" i="12"/>
  <c r="C601" i="12"/>
  <c r="C608" i="12"/>
  <c r="D319" i="12"/>
  <c r="C307" i="12"/>
  <c r="D339" i="12"/>
  <c r="C327" i="12"/>
  <c r="D353" i="12"/>
  <c r="C341" i="12"/>
  <c r="D387" i="12"/>
  <c r="C375" i="12"/>
  <c r="D401" i="12"/>
  <c r="C389" i="12"/>
  <c r="D435" i="12"/>
  <c r="C423" i="12"/>
  <c r="D449" i="12"/>
  <c r="C437" i="12"/>
  <c r="C444" i="12"/>
  <c r="D464" i="12"/>
  <c r="D483" i="12"/>
  <c r="C471" i="12"/>
  <c r="D497" i="12"/>
  <c r="C485" i="12"/>
  <c r="D531" i="12"/>
  <c r="C519" i="12"/>
  <c r="D545" i="12"/>
  <c r="C533" i="12"/>
  <c r="D546" i="12"/>
  <c r="D579" i="12"/>
  <c r="C567" i="12"/>
  <c r="D593" i="12"/>
  <c r="C581" i="12"/>
  <c r="D594" i="12"/>
  <c r="C615" i="12"/>
  <c r="D305" i="12"/>
  <c r="C293" i="12"/>
  <c r="D333" i="12"/>
  <c r="C321" i="12"/>
  <c r="C328" i="12"/>
  <c r="D367" i="12"/>
  <c r="C355" i="12"/>
  <c r="D381" i="12"/>
  <c r="C369" i="12"/>
  <c r="C376" i="12"/>
  <c r="D415" i="12"/>
  <c r="C403" i="12"/>
  <c r="D429" i="12"/>
  <c r="C417" i="12"/>
  <c r="C424" i="12"/>
  <c r="D463" i="12"/>
  <c r="C451" i="12"/>
  <c r="D477" i="12"/>
  <c r="C465" i="12"/>
  <c r="D478" i="12"/>
  <c r="D511" i="12"/>
  <c r="C499" i="12"/>
  <c r="D525" i="12"/>
  <c r="C513" i="12"/>
  <c r="D526" i="12"/>
  <c r="D559" i="12"/>
  <c r="C547" i="12"/>
  <c r="D573" i="12"/>
  <c r="C561" i="12"/>
  <c r="D574" i="12"/>
  <c r="D607" i="12"/>
  <c r="C595" i="12"/>
  <c r="D457" i="12"/>
  <c r="C445" i="12"/>
  <c r="D472" i="12"/>
  <c r="D491" i="12"/>
  <c r="C479" i="12"/>
  <c r="D505" i="12"/>
  <c r="C493" i="12"/>
  <c r="C500" i="12"/>
  <c r="D520" i="12"/>
  <c r="D539" i="12"/>
  <c r="C527" i="12"/>
  <c r="D553" i="12"/>
  <c r="C541" i="12"/>
  <c r="C548" i="12"/>
  <c r="D568" i="12"/>
  <c r="D587" i="12"/>
  <c r="C575" i="12"/>
  <c r="D601" i="12"/>
  <c r="C589" i="12"/>
  <c r="C596" i="12"/>
  <c r="D616" i="12"/>
  <c r="D437" i="12"/>
  <c r="C425" i="12"/>
  <c r="C432" i="12"/>
  <c r="D452" i="12"/>
  <c r="D471" i="12"/>
  <c r="C459" i="12"/>
  <c r="D485" i="12"/>
  <c r="C473" i="12"/>
  <c r="C480" i="12"/>
  <c r="D486" i="12"/>
  <c r="D519" i="12"/>
  <c r="C507" i="12"/>
  <c r="D533" i="12"/>
  <c r="C521" i="12"/>
  <c r="C528" i="12"/>
  <c r="D534" i="12"/>
  <c r="D567" i="12"/>
  <c r="C555" i="12"/>
  <c r="D581" i="12"/>
  <c r="C569" i="12"/>
  <c r="C576" i="12"/>
  <c r="D582" i="12"/>
  <c r="D615" i="12"/>
  <c r="C603" i="12"/>
  <c r="C617" i="12"/>
  <c r="D451" i="12"/>
  <c r="C439" i="12"/>
  <c r="C446" i="12"/>
  <c r="D465" i="12"/>
  <c r="C453" i="12"/>
  <c r="D480" i="12"/>
  <c r="D499" i="12"/>
  <c r="C487" i="12"/>
  <c r="C494" i="12"/>
  <c r="D513" i="12"/>
  <c r="C501" i="12"/>
  <c r="D528" i="12"/>
  <c r="D547" i="12"/>
  <c r="C535" i="12"/>
  <c r="C542" i="12"/>
  <c r="D561" i="12"/>
  <c r="C549" i="12"/>
  <c r="D576" i="12"/>
  <c r="D595" i="12"/>
  <c r="C583" i="12"/>
  <c r="C590" i="12"/>
  <c r="D609" i="12"/>
  <c r="C597" i="12"/>
  <c r="D446" i="12"/>
  <c r="D479" i="12"/>
  <c r="C467" i="12"/>
  <c r="D493" i="12"/>
  <c r="C481" i="12"/>
  <c r="C488" i="12"/>
  <c r="D494" i="12"/>
  <c r="D527" i="12"/>
  <c r="C515" i="12"/>
  <c r="D541" i="12"/>
  <c r="C529" i="12"/>
  <c r="C536" i="12"/>
  <c r="D542" i="12"/>
  <c r="D575" i="12"/>
  <c r="C563" i="12"/>
  <c r="D589" i="12"/>
  <c r="C577" i="12"/>
  <c r="C584" i="12"/>
  <c r="D590" i="12"/>
  <c r="C611" i="12"/>
  <c r="D440" i="12"/>
  <c r="D459" i="12"/>
  <c r="C447" i="12"/>
  <c r="C454" i="12"/>
  <c r="D473" i="12"/>
  <c r="C461" i="12"/>
  <c r="D488" i="12"/>
  <c r="D507" i="12"/>
  <c r="C495" i="12"/>
  <c r="C502" i="12"/>
  <c r="D521" i="12"/>
  <c r="C509" i="12"/>
  <c r="D536" i="12"/>
  <c r="D555" i="12"/>
  <c r="C543" i="12"/>
  <c r="C550" i="12"/>
  <c r="D569" i="12"/>
  <c r="C557" i="12"/>
  <c r="D584" i="12"/>
  <c r="D603" i="12"/>
  <c r="C591" i="12"/>
  <c r="C598" i="12"/>
  <c r="D617" i="12"/>
  <c r="C605" i="12"/>
  <c r="D439" i="12"/>
  <c r="C427" i="12"/>
  <c r="D453" i="12"/>
  <c r="C441" i="12"/>
  <c r="C448" i="12"/>
  <c r="D468" i="12"/>
  <c r="D487" i="12"/>
  <c r="C475" i="12"/>
  <c r="D501" i="12"/>
  <c r="C489" i="12"/>
  <c r="C496" i="12"/>
  <c r="D516" i="12"/>
  <c r="D535" i="12"/>
  <c r="C523" i="12"/>
  <c r="D549" i="12"/>
  <c r="C537" i="12"/>
  <c r="C544" i="12"/>
  <c r="D564" i="12"/>
  <c r="D583" i="12"/>
  <c r="C571" i="12"/>
  <c r="D597" i="12"/>
  <c r="C585" i="12"/>
  <c r="C592" i="12"/>
  <c r="D612" i="12"/>
  <c r="D1215" i="3" l="1"/>
  <c r="D789" i="3"/>
  <c r="D419" i="3"/>
  <c r="D474" i="3"/>
  <c r="D785" i="3"/>
  <c r="D1200" i="3"/>
  <c r="D1130" i="3"/>
  <c r="D472" i="3"/>
  <c r="D508" i="3"/>
  <c r="D507" i="3"/>
  <c r="D984" i="3"/>
  <c r="D888" i="3"/>
  <c r="D792" i="3"/>
  <c r="D911" i="3"/>
  <c r="D815" i="3"/>
  <c r="D719" i="3"/>
  <c r="D298" i="3"/>
  <c r="D914" i="3"/>
  <c r="D818" i="3"/>
  <c r="D722" i="3"/>
  <c r="D1174" i="3"/>
  <c r="D1171" i="3"/>
  <c r="D1034" i="3"/>
  <c r="D1132" i="3"/>
  <c r="D1146" i="3"/>
  <c r="D877" i="3"/>
  <c r="D781" i="3"/>
  <c r="D649" i="3"/>
  <c r="D868" i="3"/>
  <c r="D1091" i="3"/>
  <c r="D655" i="3"/>
  <c r="D780" i="3"/>
  <c r="D772" i="3"/>
  <c r="D461" i="3"/>
  <c r="D176" i="3"/>
  <c r="D307" i="3"/>
  <c r="D689" i="3"/>
  <c r="D113" i="3"/>
  <c r="D678" i="3"/>
  <c r="D406" i="3"/>
  <c r="D979" i="3"/>
  <c r="D304" i="3"/>
  <c r="D138" i="3"/>
  <c r="D795" i="3"/>
  <c r="D407" i="3"/>
  <c r="D44" i="3"/>
  <c r="D489" i="3"/>
  <c r="D705" i="3"/>
  <c r="D455" i="3"/>
  <c r="D296" i="3"/>
  <c r="D1140" i="3"/>
  <c r="D180" i="3"/>
  <c r="D183" i="3"/>
  <c r="D1255" i="3"/>
  <c r="D1224" i="3"/>
  <c r="D1176" i="3"/>
  <c r="D1157" i="3"/>
  <c r="D990" i="3"/>
  <c r="D894" i="3"/>
  <c r="D798" i="3"/>
  <c r="D653" i="3"/>
  <c r="D646" i="3"/>
  <c r="D707" i="3"/>
  <c r="D563" i="3"/>
  <c r="D321" i="3"/>
  <c r="D1066" i="3"/>
  <c r="D693" i="3"/>
  <c r="D501" i="3"/>
  <c r="D1078" i="3"/>
  <c r="D976" i="3"/>
  <c r="D880" i="3"/>
  <c r="D784" i="3"/>
  <c r="D598" i="3"/>
  <c r="D1131" i="3"/>
  <c r="D999" i="3"/>
  <c r="D903" i="3"/>
  <c r="D807" i="3"/>
  <c r="D692" i="3"/>
  <c r="D449" i="3"/>
  <c r="D305" i="3"/>
  <c r="D161" i="3"/>
  <c r="D1002" i="3"/>
  <c r="D906" i="3"/>
  <c r="D810" i="3"/>
  <c r="D714" i="3"/>
  <c r="D1138" i="3"/>
  <c r="D1137" i="3"/>
  <c r="D1038" i="3"/>
  <c r="D533" i="3"/>
  <c r="D398" i="3"/>
  <c r="D397" i="3"/>
  <c r="D302" i="3"/>
  <c r="D301" i="3"/>
  <c r="D206" i="3"/>
  <c r="D205" i="3"/>
  <c r="D110" i="3"/>
  <c r="D109" i="3"/>
  <c r="D1120" i="3"/>
  <c r="D836" i="3"/>
  <c r="D1125" i="3"/>
  <c r="D869" i="3"/>
  <c r="D773" i="3"/>
  <c r="D635" i="3"/>
  <c r="D1087" i="3"/>
  <c r="D628" i="3"/>
  <c r="D433" i="3"/>
  <c r="D145" i="3"/>
  <c r="D748" i="3"/>
  <c r="D432" i="3"/>
  <c r="D159" i="3"/>
  <c r="D1170" i="3"/>
  <c r="D595" i="3"/>
  <c r="D120" i="3"/>
  <c r="D668" i="3"/>
  <c r="D143" i="3"/>
  <c r="D89" i="3"/>
  <c r="D351" i="3"/>
  <c r="D931" i="3"/>
  <c r="D531" i="3"/>
  <c r="D168" i="3"/>
  <c r="D777" i="3"/>
  <c r="D416" i="3"/>
  <c r="D108" i="3"/>
  <c r="D747" i="3"/>
  <c r="D399" i="3"/>
  <c r="D192" i="3"/>
  <c r="D1090" i="3"/>
  <c r="D122" i="3"/>
  <c r="D480" i="3"/>
  <c r="D272" i="3"/>
  <c r="D58" i="3"/>
  <c r="D106" i="3"/>
  <c r="D662" i="3"/>
  <c r="D447" i="3"/>
  <c r="D246" i="3"/>
  <c r="D48" i="3"/>
  <c r="D793" i="3"/>
  <c r="D156" i="3"/>
  <c r="D1204" i="3"/>
  <c r="D1203" i="3"/>
  <c r="D567" i="3"/>
  <c r="D141" i="3"/>
  <c r="D140" i="3"/>
  <c r="D885" i="3"/>
  <c r="D884" i="3"/>
  <c r="D650" i="3"/>
  <c r="D486" i="3"/>
  <c r="D1239" i="3"/>
  <c r="D1238" i="3"/>
  <c r="D1242" i="3"/>
  <c r="D1220" i="3"/>
  <c r="D1202" i="3"/>
  <c r="D1162" i="3"/>
  <c r="D1135" i="3"/>
  <c r="D982" i="3"/>
  <c r="D886" i="3"/>
  <c r="D790" i="3"/>
  <c r="D640" i="3"/>
  <c r="D1076" i="3"/>
  <c r="D639" i="3"/>
  <c r="D1108" i="3"/>
  <c r="D680" i="3"/>
  <c r="D536" i="3"/>
  <c r="D297" i="3"/>
  <c r="D1041" i="3"/>
  <c r="D679" i="3"/>
  <c r="D35" i="3"/>
  <c r="D32" i="3"/>
  <c r="D1069" i="3"/>
  <c r="D968" i="3"/>
  <c r="D872" i="3"/>
  <c r="D776" i="3"/>
  <c r="D576" i="3"/>
  <c r="D1119" i="3"/>
  <c r="D991" i="3"/>
  <c r="D895" i="3"/>
  <c r="D799" i="3"/>
  <c r="D666" i="3"/>
  <c r="D418" i="3"/>
  <c r="D130" i="3"/>
  <c r="D994" i="3"/>
  <c r="D898" i="3"/>
  <c r="D802" i="3"/>
  <c r="D712" i="3"/>
  <c r="D1126" i="3"/>
  <c r="D711" i="3"/>
  <c r="D519" i="3"/>
  <c r="D405" i="3"/>
  <c r="D309" i="3"/>
  <c r="D213" i="3"/>
  <c r="D212" i="3"/>
  <c r="D117" i="3"/>
  <c r="D116" i="3"/>
  <c r="D1082" i="3"/>
  <c r="D812" i="3"/>
  <c r="D1129" i="3"/>
  <c r="D861" i="3"/>
  <c r="D765" i="3"/>
  <c r="D608" i="3"/>
  <c r="D1070" i="3"/>
  <c r="D621" i="3"/>
  <c r="D409" i="3"/>
  <c r="D121" i="3"/>
  <c r="D713" i="3"/>
  <c r="D125" i="3"/>
  <c r="D1167" i="3"/>
  <c r="D658" i="3"/>
  <c r="D378" i="3"/>
  <c r="D70" i="3"/>
  <c r="D1027" i="3"/>
  <c r="D191" i="3"/>
  <c r="D219" i="3"/>
  <c r="D622" i="3"/>
  <c r="D317" i="3"/>
  <c r="D883" i="3"/>
  <c r="D454" i="3"/>
  <c r="D729" i="3"/>
  <c r="D104" i="3"/>
  <c r="D685" i="3"/>
  <c r="D184" i="3"/>
  <c r="D43" i="3"/>
  <c r="D1001" i="3"/>
  <c r="D706" i="3"/>
  <c r="D464" i="3"/>
  <c r="D255" i="3"/>
  <c r="D53" i="3"/>
  <c r="D410" i="3"/>
  <c r="D216" i="3"/>
  <c r="D52" i="3"/>
  <c r="D1142" i="3"/>
  <c r="D1023" i="3"/>
  <c r="D1022" i="3"/>
  <c r="D1230" i="3"/>
  <c r="D1228" i="3"/>
  <c r="D1156" i="3"/>
  <c r="D1118" i="3"/>
  <c r="D974" i="3"/>
  <c r="D878" i="3"/>
  <c r="D782" i="3"/>
  <c r="D592" i="3"/>
  <c r="D1055" i="3"/>
  <c r="D1092" i="3"/>
  <c r="D529" i="3"/>
  <c r="D993" i="3"/>
  <c r="D652" i="3"/>
  <c r="D651" i="3"/>
  <c r="D720" i="3"/>
  <c r="D864" i="3"/>
  <c r="D768" i="3"/>
  <c r="D502" i="3"/>
  <c r="D1115" i="3"/>
  <c r="D983" i="3"/>
  <c r="D887" i="3"/>
  <c r="D791" i="3"/>
  <c r="D425" i="3"/>
  <c r="D281" i="3"/>
  <c r="D137" i="3"/>
  <c r="D986" i="3"/>
  <c r="D890" i="3"/>
  <c r="D794" i="3"/>
  <c r="D664" i="3"/>
  <c r="D1117" i="3"/>
  <c r="D684" i="3"/>
  <c r="D487" i="3"/>
  <c r="D388" i="3"/>
  <c r="D292" i="3"/>
  <c r="D196" i="3"/>
  <c r="D100" i="3"/>
  <c r="D1061" i="3"/>
  <c r="D788" i="3"/>
  <c r="D1121" i="3"/>
  <c r="D853" i="3"/>
  <c r="D757" i="3"/>
  <c r="D601" i="3"/>
  <c r="D1028" i="3"/>
  <c r="D1058" i="3"/>
  <c r="D607" i="3"/>
  <c r="D385" i="3"/>
  <c r="D97" i="3"/>
  <c r="D696" i="3"/>
  <c r="D690" i="3"/>
  <c r="D367" i="3"/>
  <c r="D88" i="3"/>
  <c r="D575" i="3"/>
  <c r="D294" i="3"/>
  <c r="D59" i="3"/>
  <c r="D1097" i="3"/>
  <c r="D647" i="3"/>
  <c r="D348" i="3"/>
  <c r="D66" i="3"/>
  <c r="D1019" i="3"/>
  <c r="D602" i="3"/>
  <c r="D339" i="3"/>
  <c r="D170" i="3"/>
  <c r="D198" i="3"/>
  <c r="D634" i="3"/>
  <c r="D450" i="3"/>
  <c r="D1123" i="3"/>
  <c r="D686" i="3"/>
  <c r="D379" i="3"/>
  <c r="D75" i="3"/>
  <c r="D590" i="3"/>
  <c r="D366" i="3"/>
  <c r="D151" i="3"/>
  <c r="D1225" i="3"/>
  <c r="D1003" i="3"/>
  <c r="D101" i="3"/>
  <c r="D435" i="3"/>
  <c r="D33" i="3"/>
  <c r="D199" i="3"/>
  <c r="D619" i="3"/>
  <c r="D414" i="3"/>
  <c r="D208" i="3"/>
  <c r="D1234" i="3"/>
  <c r="D670" i="3"/>
  <c r="D955" i="3"/>
  <c r="D270" i="3"/>
  <c r="D68" i="3"/>
  <c r="D333" i="3"/>
  <c r="D332" i="3"/>
  <c r="D1143" i="3"/>
  <c r="D817" i="3"/>
  <c r="D526" i="3"/>
  <c r="D889" i="3"/>
  <c r="D1250" i="3"/>
  <c r="D1248" i="3"/>
  <c r="D1198" i="3"/>
  <c r="D1196" i="3"/>
  <c r="D1245" i="3"/>
  <c r="D1059" i="3"/>
  <c r="D1080" i="3"/>
  <c r="D654" i="3"/>
  <c r="D510" i="3"/>
  <c r="D249" i="3"/>
  <c r="D1172" i="3"/>
  <c r="D985" i="3"/>
  <c r="D645" i="3"/>
  <c r="D1057" i="3"/>
  <c r="D856" i="3"/>
  <c r="D760" i="3"/>
  <c r="D488" i="3"/>
  <c r="W1205" i="3"/>
  <c r="X1205" i="3" s="1"/>
  <c r="X1206" i="3" s="1"/>
  <c r="T1206" i="3" s="1"/>
  <c r="AF1190" i="3" s="1"/>
  <c r="D975" i="3"/>
  <c r="D879" i="3"/>
  <c r="D783" i="3"/>
  <c r="D618" i="3"/>
  <c r="D250" i="3"/>
  <c r="D978" i="3"/>
  <c r="D882" i="3"/>
  <c r="D786" i="3"/>
  <c r="D1122" i="3"/>
  <c r="D677" i="3"/>
  <c r="D470" i="3"/>
  <c r="D469" i="3"/>
  <c r="D467" i="3"/>
  <c r="D374" i="3"/>
  <c r="D373" i="3"/>
  <c r="D371" i="3"/>
  <c r="D278" i="3"/>
  <c r="D277" i="3"/>
  <c r="D275" i="3"/>
  <c r="D182" i="3"/>
  <c r="D181" i="3"/>
  <c r="D179" i="3"/>
  <c r="D86" i="3"/>
  <c r="D85" i="3"/>
  <c r="D1020" i="3"/>
  <c r="D845" i="3"/>
  <c r="D749" i="3"/>
  <c r="D587" i="3"/>
  <c r="D1012" i="3"/>
  <c r="D1053" i="3"/>
  <c r="D580" i="3"/>
  <c r="D361" i="3"/>
  <c r="D73" i="3"/>
  <c r="D648" i="3"/>
  <c r="D691" i="3"/>
  <c r="D354" i="3"/>
  <c r="D565" i="3"/>
  <c r="D46" i="3"/>
  <c r="D626" i="3"/>
  <c r="D344" i="3"/>
  <c r="D971" i="3"/>
  <c r="D614" i="3"/>
  <c r="D331" i="3"/>
  <c r="D174" i="3"/>
  <c r="D51" i="3"/>
  <c r="D613" i="3"/>
  <c r="D258" i="3"/>
  <c r="D787" i="3"/>
  <c r="D1077" i="3"/>
  <c r="D1075" i="3"/>
  <c r="D675" i="3"/>
  <c r="D383" i="3"/>
  <c r="D63" i="3"/>
  <c r="D336" i="3"/>
  <c r="D142" i="3"/>
  <c r="D1227" i="3"/>
  <c r="D907" i="3"/>
  <c r="D38" i="3"/>
  <c r="D37" i="3"/>
  <c r="D427" i="3"/>
  <c r="D661" i="3"/>
  <c r="D1044" i="3"/>
  <c r="D609" i="3"/>
  <c r="D175" i="3"/>
  <c r="D1235" i="3"/>
  <c r="D682" i="3"/>
  <c r="D859" i="3"/>
  <c r="D404" i="3"/>
  <c r="D1213" i="3"/>
  <c r="D1148" i="3"/>
  <c r="D1152" i="3"/>
  <c r="D1218" i="3"/>
  <c r="D659" i="3"/>
  <c r="D977" i="3"/>
  <c r="D631" i="3"/>
  <c r="D1098" i="3"/>
  <c r="D871" i="3"/>
  <c r="D775" i="3"/>
  <c r="D401" i="3"/>
  <c r="D874" i="3"/>
  <c r="D778" i="3"/>
  <c r="D568" i="3"/>
  <c r="D1105" i="3"/>
  <c r="D477" i="3"/>
  <c r="D285" i="3"/>
  <c r="D284" i="3"/>
  <c r="D189" i="3"/>
  <c r="D188" i="3"/>
  <c r="D1004" i="3"/>
  <c r="D740" i="3"/>
  <c r="D1079" i="3"/>
  <c r="D837" i="3"/>
  <c r="D741" i="3"/>
  <c r="D560" i="3"/>
  <c r="D996" i="3"/>
  <c r="D1037" i="3"/>
  <c r="D573" i="3"/>
  <c r="D41" i="3"/>
  <c r="D1161" i="3"/>
  <c r="D638" i="3"/>
  <c r="D324" i="3"/>
  <c r="D40" i="3"/>
  <c r="D256" i="3"/>
  <c r="D997" i="3"/>
  <c r="D534" i="3"/>
  <c r="D327" i="3"/>
  <c r="D107" i="3"/>
  <c r="D335" i="3"/>
  <c r="D144" i="3"/>
  <c r="D1127" i="3"/>
  <c r="D569" i="3"/>
  <c r="D228" i="3"/>
  <c r="D739" i="3"/>
  <c r="D392" i="3"/>
  <c r="D1065" i="3"/>
  <c r="D642" i="3"/>
  <c r="D498" i="3"/>
  <c r="D328" i="3"/>
  <c r="D87" i="3"/>
  <c r="D50" i="3"/>
  <c r="D641" i="3"/>
  <c r="D431" i="3"/>
  <c r="D162" i="3"/>
  <c r="D547" i="3"/>
  <c r="D1032" i="3"/>
  <c r="D1029" i="3"/>
  <c r="D599" i="3"/>
  <c r="D360" i="3"/>
  <c r="D166" i="3"/>
  <c r="D1153" i="3"/>
  <c r="D578" i="3"/>
  <c r="D763" i="3"/>
  <c r="D236" i="3"/>
  <c r="D1208" i="3"/>
  <c r="D1209" i="3"/>
  <c r="D1210" i="3"/>
  <c r="D1021" i="3"/>
  <c r="D564" i="3"/>
  <c r="D465" i="3"/>
  <c r="D604" i="3"/>
  <c r="D603" i="3"/>
  <c r="D1036" i="3"/>
  <c r="D767" i="3"/>
  <c r="D570" i="3"/>
  <c r="D226" i="3"/>
  <c r="D1165" i="3"/>
  <c r="D866" i="3"/>
  <c r="D770" i="3"/>
  <c r="D1093" i="3"/>
  <c r="D364" i="3"/>
  <c r="D988" i="3"/>
  <c r="D1229" i="3"/>
  <c r="D1054" i="3"/>
  <c r="D829" i="3"/>
  <c r="D733" i="3"/>
  <c r="D553" i="3"/>
  <c r="D980" i="3"/>
  <c r="D717" i="3"/>
  <c r="D559" i="3"/>
  <c r="D313" i="3"/>
  <c r="D956" i="3"/>
  <c r="D1102" i="3"/>
  <c r="D320" i="3"/>
  <c r="D211" i="3"/>
  <c r="D915" i="3"/>
  <c r="D223" i="3"/>
  <c r="D949" i="3"/>
  <c r="D524" i="3"/>
  <c r="D293" i="3"/>
  <c r="D114" i="3"/>
  <c r="D875" i="3"/>
  <c r="D314" i="3"/>
  <c r="D136" i="3"/>
  <c r="D1056" i="3"/>
  <c r="D542" i="3"/>
  <c r="D224" i="3"/>
  <c r="D633" i="3"/>
  <c r="D363" i="3"/>
  <c r="D1014" i="3"/>
  <c r="D643" i="3"/>
  <c r="D1103" i="3"/>
  <c r="D499" i="3"/>
  <c r="D295" i="3"/>
  <c r="D517" i="3"/>
  <c r="D681" i="3"/>
  <c r="D1035" i="3"/>
  <c r="D620" i="3"/>
  <c r="D423" i="3"/>
  <c r="D475" i="3"/>
  <c r="D352" i="3"/>
  <c r="D123" i="3"/>
  <c r="D1141" i="3"/>
  <c r="D546" i="3"/>
  <c r="D671" i="3"/>
  <c r="D190" i="3"/>
  <c r="D92" i="3"/>
  <c r="D1168" i="3"/>
  <c r="D1249" i="3"/>
  <c r="D1233" i="3"/>
  <c r="D1064" i="3"/>
  <c r="D1062" i="3"/>
  <c r="D942" i="3"/>
  <c r="D846" i="3"/>
  <c r="D750" i="3"/>
  <c r="D557" i="3"/>
  <c r="D1201" i="3"/>
  <c r="D1067" i="3"/>
  <c r="D625" i="3"/>
  <c r="D484" i="3"/>
  <c r="D177" i="3"/>
  <c r="D1149" i="3"/>
  <c r="D597" i="3"/>
  <c r="D1040" i="3"/>
  <c r="D928" i="3"/>
  <c r="D832" i="3"/>
  <c r="D736" i="3"/>
  <c r="D1199" i="3"/>
  <c r="D1081" i="3"/>
  <c r="D951" i="3"/>
  <c r="D855" i="3"/>
  <c r="D759" i="3"/>
  <c r="D377" i="3"/>
  <c r="D233" i="3"/>
  <c r="D1114" i="3"/>
  <c r="D858" i="3"/>
  <c r="D762" i="3"/>
  <c r="D494" i="3"/>
  <c r="D1084" i="3"/>
  <c r="D629" i="3"/>
  <c r="D446" i="3"/>
  <c r="D445" i="3"/>
  <c r="D350" i="3"/>
  <c r="D349" i="3"/>
  <c r="D347" i="3"/>
  <c r="D254" i="3"/>
  <c r="D253" i="3"/>
  <c r="D158" i="3"/>
  <c r="D157" i="3"/>
  <c r="D69" i="3"/>
  <c r="D972" i="3"/>
  <c r="D1197" i="3"/>
  <c r="D1046" i="3"/>
  <c r="D821" i="3"/>
  <c r="D725" i="3"/>
  <c r="D539" i="3"/>
  <c r="D964" i="3"/>
  <c r="D698" i="3"/>
  <c r="D532" i="3"/>
  <c r="D289" i="3"/>
  <c r="D916" i="3"/>
  <c r="D989" i="3"/>
  <c r="D586" i="3"/>
  <c r="D303" i="3"/>
  <c r="D215" i="3"/>
  <c r="D867" i="3"/>
  <c r="D456" i="3"/>
  <c r="D901" i="3"/>
  <c r="D514" i="3"/>
  <c r="D60" i="3"/>
  <c r="D827" i="3"/>
  <c r="D513" i="3"/>
  <c r="D318" i="3"/>
  <c r="D103" i="3"/>
  <c r="D957" i="3"/>
  <c r="D463" i="3"/>
  <c r="D173" i="3"/>
  <c r="D623" i="3"/>
  <c r="D1007" i="3"/>
  <c r="D571" i="3"/>
  <c r="D282" i="3"/>
  <c r="D1016" i="3"/>
  <c r="D286" i="3"/>
  <c r="D71" i="3"/>
  <c r="D384" i="3"/>
  <c r="D458" i="3"/>
  <c r="D973" i="3"/>
  <c r="D610" i="3"/>
  <c r="D386" i="3"/>
  <c r="D128" i="3"/>
  <c r="D434" i="3"/>
  <c r="D947" i="3"/>
  <c r="D506" i="3"/>
  <c r="D115" i="3"/>
  <c r="D1110" i="3"/>
  <c r="D537" i="3"/>
  <c r="D574" i="3"/>
  <c r="D80" i="3"/>
  <c r="D1221" i="3"/>
  <c r="D1231" i="3"/>
  <c r="D1068" i="3"/>
  <c r="D934" i="3"/>
  <c r="D838" i="3"/>
  <c r="D742" i="3"/>
  <c r="D1166" i="3"/>
  <c r="D1018" i="3"/>
  <c r="D1192" i="3"/>
  <c r="D1193" i="3"/>
  <c r="D606" i="3"/>
  <c r="D583" i="3"/>
  <c r="D920" i="3"/>
  <c r="D824" i="3"/>
  <c r="D728" i="3"/>
  <c r="D1187" i="3"/>
  <c r="D1073" i="3"/>
  <c r="D943" i="3"/>
  <c r="D847" i="3"/>
  <c r="D751" i="3"/>
  <c r="D1089" i="3"/>
  <c r="D946" i="3"/>
  <c r="D850" i="3"/>
  <c r="D754" i="3"/>
  <c r="D1205" i="3"/>
  <c r="D1088" i="3"/>
  <c r="D615" i="3"/>
  <c r="D453" i="3"/>
  <c r="D357" i="3"/>
  <c r="D356" i="3"/>
  <c r="D261" i="3"/>
  <c r="D260" i="3"/>
  <c r="D165" i="3"/>
  <c r="D49" i="3"/>
  <c r="D948" i="3"/>
  <c r="D1188" i="3"/>
  <c r="D1013" i="3"/>
  <c r="D813" i="3"/>
  <c r="D704" i="3"/>
  <c r="D512" i="3"/>
  <c r="D940" i="3"/>
  <c r="D1150" i="3"/>
  <c r="D703" i="3"/>
  <c r="D525" i="3"/>
  <c r="D521" i="3"/>
  <c r="D265" i="3"/>
  <c r="D941" i="3"/>
  <c r="D554" i="3"/>
  <c r="D269" i="3"/>
  <c r="D160" i="3"/>
  <c r="D819" i="3"/>
  <c r="D448" i="3"/>
  <c r="D171" i="3"/>
  <c r="D905" i="3"/>
  <c r="D504" i="3"/>
  <c r="D234" i="3"/>
  <c r="D779" i="3"/>
  <c r="D288" i="3"/>
  <c r="D94" i="3"/>
  <c r="D909" i="3"/>
  <c r="D443" i="3"/>
  <c r="D34" i="3"/>
  <c r="D582" i="3"/>
  <c r="D359" i="3"/>
  <c r="D965" i="3"/>
  <c r="D561" i="3"/>
  <c r="D252" i="3"/>
  <c r="D987" i="3"/>
  <c r="D468" i="3"/>
  <c r="D243" i="3"/>
  <c r="D61" i="3"/>
  <c r="D376" i="3"/>
  <c r="D437" i="3"/>
  <c r="D925" i="3"/>
  <c r="D600" i="3"/>
  <c r="D390" i="3"/>
  <c r="D111" i="3"/>
  <c r="D899" i="3"/>
  <c r="D518" i="3"/>
  <c r="D310" i="3"/>
  <c r="D119" i="3"/>
  <c r="D1094" i="3"/>
  <c r="D527" i="3"/>
  <c r="D462" i="3"/>
  <c r="D126" i="3"/>
  <c r="D308" i="3"/>
  <c r="D1244" i="3"/>
  <c r="D1144" i="3"/>
  <c r="D1223" i="3"/>
  <c r="D926" i="3"/>
  <c r="D830" i="3"/>
  <c r="D734" i="3"/>
  <c r="D1169" i="3"/>
  <c r="D708" i="3"/>
  <c r="D1033" i="3"/>
  <c r="D556" i="3"/>
  <c r="D555" i="3"/>
  <c r="D912" i="3"/>
  <c r="D816" i="3"/>
  <c r="D694" i="3"/>
  <c r="D1175" i="3"/>
  <c r="D1048" i="3"/>
  <c r="D935" i="3"/>
  <c r="D839" i="3"/>
  <c r="D743" i="3"/>
  <c r="D500" i="3"/>
  <c r="D353" i="3"/>
  <c r="D209" i="3"/>
  <c r="D1052" i="3"/>
  <c r="D938" i="3"/>
  <c r="D842" i="3"/>
  <c r="D746" i="3"/>
  <c r="D1185" i="3"/>
  <c r="D1072" i="3"/>
  <c r="D588" i="3"/>
  <c r="D244" i="3"/>
  <c r="D148" i="3"/>
  <c r="R1227" i="3"/>
  <c r="D932" i="3"/>
  <c r="D1173" i="3"/>
  <c r="D1005" i="3"/>
  <c r="D805" i="3"/>
  <c r="D697" i="3"/>
  <c r="D505" i="3"/>
  <c r="D924" i="3"/>
  <c r="D1155" i="3"/>
  <c r="D676" i="3"/>
  <c r="D511" i="3"/>
  <c r="D241" i="3"/>
  <c r="D860" i="3"/>
  <c r="D897" i="3"/>
  <c r="D566" i="3"/>
  <c r="D203" i="3"/>
  <c r="D118" i="3"/>
  <c r="D771" i="3"/>
  <c r="D391" i="3"/>
  <c r="D163" i="3"/>
  <c r="D857" i="3"/>
  <c r="D493" i="3"/>
  <c r="D204" i="3"/>
  <c r="D271" i="3"/>
  <c r="D731" i="3"/>
  <c r="D483" i="3"/>
  <c r="D280" i="3"/>
  <c r="D90" i="3"/>
  <c r="D913" i="3"/>
  <c r="D430" i="3"/>
  <c r="D36" i="3"/>
  <c r="D572" i="3"/>
  <c r="D338" i="3"/>
  <c r="D917" i="3"/>
  <c r="D551" i="3"/>
  <c r="D248" i="3"/>
  <c r="D939" i="3"/>
  <c r="D440" i="3"/>
  <c r="D235" i="3"/>
  <c r="D62" i="3"/>
  <c r="D330" i="3"/>
  <c r="D291" i="3"/>
  <c r="D881" i="3"/>
  <c r="D589" i="3"/>
  <c r="D365" i="3"/>
  <c r="D91" i="3"/>
  <c r="D300" i="3"/>
  <c r="D851" i="3"/>
  <c r="D497" i="3"/>
  <c r="D267" i="3"/>
  <c r="D98" i="3"/>
  <c r="D981" i="3"/>
  <c r="D479" i="3"/>
  <c r="D408" i="3"/>
  <c r="D99" i="3"/>
  <c r="D1207" i="3"/>
  <c r="D1217" i="3"/>
  <c r="D1216" i="3"/>
  <c r="D918" i="3"/>
  <c r="D822" i="3"/>
  <c r="D726" i="3"/>
  <c r="D1139" i="3"/>
  <c r="D701" i="3"/>
  <c r="D509" i="3"/>
  <c r="D1147" i="3"/>
  <c r="D584" i="3"/>
  <c r="D393" i="3"/>
  <c r="D528" i="3"/>
  <c r="D937" i="3"/>
  <c r="D549" i="3"/>
  <c r="D1212" i="3"/>
  <c r="D1000" i="3"/>
  <c r="D904" i="3"/>
  <c r="D808" i="3"/>
  <c r="D699" i="3"/>
  <c r="D1134" i="3"/>
  <c r="D1031" i="3"/>
  <c r="D927" i="3"/>
  <c r="D831" i="3"/>
  <c r="D735" i="3"/>
  <c r="D466" i="3"/>
  <c r="D322" i="3"/>
  <c r="D178" i="3"/>
  <c r="D1043" i="3"/>
  <c r="D930" i="3"/>
  <c r="D834" i="3"/>
  <c r="D738" i="3"/>
  <c r="D1190" i="3"/>
  <c r="D1063" i="3"/>
  <c r="D581" i="3"/>
  <c r="D422" i="3"/>
  <c r="D421" i="3"/>
  <c r="D326" i="3"/>
  <c r="D325" i="3"/>
  <c r="D323" i="3"/>
  <c r="D230" i="3"/>
  <c r="D229" i="3"/>
  <c r="D134" i="3"/>
  <c r="D133" i="3"/>
  <c r="D131" i="3"/>
  <c r="D30" i="3"/>
  <c r="D900" i="3"/>
  <c r="D1163" i="3"/>
  <c r="D893" i="3"/>
  <c r="D797" i="3"/>
  <c r="D683" i="3"/>
  <c r="D492" i="3"/>
  <c r="D908" i="3"/>
  <c r="D1145" i="3"/>
  <c r="D669" i="3"/>
  <c r="D665" i="3"/>
  <c r="D491" i="3"/>
  <c r="D217" i="3"/>
  <c r="D828" i="3"/>
  <c r="D849" i="3"/>
  <c r="D545" i="3"/>
  <c r="D210" i="3"/>
  <c r="D84" i="3"/>
  <c r="D723" i="3"/>
  <c r="D358" i="3"/>
  <c r="D167" i="3"/>
  <c r="D809" i="3"/>
  <c r="D476" i="3"/>
  <c r="D200" i="3"/>
  <c r="D194" i="3"/>
  <c r="D721" i="3"/>
  <c r="D439" i="3"/>
  <c r="D247" i="3"/>
  <c r="D65" i="3"/>
  <c r="D865" i="3"/>
  <c r="D426" i="3"/>
  <c r="D1194" i="3"/>
  <c r="D562" i="3"/>
  <c r="D342" i="3"/>
  <c r="D921" i="3"/>
  <c r="D478" i="3"/>
  <c r="D231" i="3"/>
  <c r="D891" i="3"/>
  <c r="D411" i="3"/>
  <c r="D239" i="3"/>
  <c r="D42" i="3"/>
  <c r="D279" i="3"/>
  <c r="D266" i="3"/>
  <c r="D833" i="3"/>
  <c r="D579" i="3"/>
  <c r="D299" i="3"/>
  <c r="D95" i="3"/>
  <c r="D186" i="3"/>
  <c r="D803" i="3"/>
  <c r="D459" i="3"/>
  <c r="D259" i="3"/>
  <c r="D81" i="3"/>
  <c r="D933" i="3"/>
  <c r="D471" i="3"/>
  <c r="D400" i="3"/>
  <c r="D380" i="3"/>
  <c r="D428" i="3"/>
  <c r="R1228" i="3" l="1"/>
</calcChain>
</file>

<file path=xl/sharedStrings.xml><?xml version="1.0" encoding="utf-8"?>
<sst xmlns="http://schemas.openxmlformats.org/spreadsheetml/2006/main" count="152" uniqueCount="73">
  <si>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</si>
  <si>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</si>
  <si>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</si>
  <si>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</si>
  <si>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</si>
  <si>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</si>
  <si>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</si>
  <si>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</si>
  <si>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</si>
  <si>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</si>
  <si>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</si>
  <si>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</si>
  <si>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</si>
  <si>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</si>
  <si>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</si>
  <si>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</si>
  <si>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</si>
  <si>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</si>
  <si>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</si>
  <si>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</si>
  <si>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</si>
  <si>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</si>
  <si>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</si>
  <si>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</si>
  <si>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</si>
  <si>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</si>
  <si>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</si>
  <si>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</si>
  <si>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</si>
  <si>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</si>
  <si>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</si>
  <si>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</si>
  <si>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</si>
  <si>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</si>
  <si>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</si>
  <si>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</si>
  <si>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</si>
  <si>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</si>
  <si>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</si>
  <si>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</si>
  <si>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</si>
  <si>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</si>
  <si>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</si>
  <si>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</si>
  <si>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</si>
  <si>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</si>
  <si>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</si>
  <si>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</si>
  <si>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</si>
  <si>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</si>
  <si>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</si>
  <si>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</si>
  <si>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</si>
  <si>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</si>
  <si>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</si>
  <si>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</si>
  <si>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</si>
  <si>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</si>
  <si>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</si>
  <si>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</si>
  <si>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</si>
  <si>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</si>
  <si>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</si>
  <si>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</si>
  <si>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since 2010</t>
  </si>
  <si>
    <t xml:space="preserve"> yoy</t>
  </si>
  <si>
    <t>Industrial Production: Consumer Goods</t>
  </si>
  <si>
    <t xml:space="preserve"> since 2010 </t>
  </si>
  <si>
    <t>Industrial Production: Business Equipment</t>
  </si>
  <si>
    <t>Industrial Production: Construction supplies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</si>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</sst>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5"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7">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9"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1"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1"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9" fillId="3" borderId="19"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2" fillId="2" borderId="0" xfId="0" applyFont="1" applyFill="1"/>
    <xf numFmtId="14" fontId="13" fillId="2" borderId="22" xfId="0" applyNumberFormat="1" applyFont="1" applyFill="1" applyBorder="1" applyAlignment="1">
      <alignment horizontal="center"/>
    </xf>
    <xf numFmtId="14" fontId="5" fillId="2" borderId="22" xfId="0" applyNumberFormat="1" applyFont="1" applyFill="1" applyBorder="1" applyAlignment="1">
      <alignment horizontal="center"/>
    </xf>
    <xf numFmtId="0" fontId="5" fillId="2" borderId="23" xfId="0" applyFont="1" applyFill="1" applyBorder="1" applyAlignment="1">
      <alignment horizontal="center"/>
    </xf>
    <xf numFmtId="10" fontId="0" fillId="2" borderId="25" xfId="7" applyNumberFormat="1" applyFont="1" applyFill="1" applyBorder="1" applyAlignment="1">
      <alignment horizontal="center" vertical="center"/>
    </xf>
    <xf numFmtId="10" fontId="0" fillId="2" borderId="26"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8" xfId="7" applyNumberFormat="1" applyFont="1" applyFill="1" applyBorder="1" applyAlignment="1">
      <alignment horizontal="center" vertical="center"/>
    </xf>
    <xf numFmtId="10" fontId="0" fillId="2" borderId="30"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4" fontId="5" fillId="2" borderId="32" xfId="0" applyNumberFormat="1" applyFont="1" applyFill="1" applyBorder="1" applyAlignment="1">
      <alignment horizontal="center"/>
    </xf>
    <xf numFmtId="0" fontId="0" fillId="2" borderId="0" xfId="0" applyFill="1" applyAlignment="1">
      <alignment horizontal="left" vertical="center"/>
    </xf>
    <xf numFmtId="164" fontId="11"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9" fillId="3" borderId="20" xfId="0" applyNumberFormat="1" applyFont="1" applyFill="1" applyBorder="1" applyAlignment="1">
      <alignment horizontal="center" vertical="center"/>
    </xf>
    <xf numFmtId="164" fontId="1" fillId="2" borderId="18"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9" fillId="3" borderId="2" xfId="0" applyNumberFormat="1" applyFont="1" applyFill="1" applyBorder="1" applyAlignment="1">
      <alignment horizontal="center" vertical="center"/>
    </xf>
    <xf numFmtId="165" fontId="0" fillId="2" borderId="0" xfId="0" applyNumberFormat="1" applyFill="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9" fillId="3" borderId="21" xfId="0" applyNumberFormat="1" applyFont="1" applyFill="1" applyBorder="1" applyAlignment="1">
      <alignment horizontal="center" vertical="center"/>
    </xf>
    <xf numFmtId="165" fontId="9" fillId="3" borderId="17"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9" fillId="3" borderId="3" xfId="0" applyNumberFormat="1" applyFont="1" applyFill="1" applyBorder="1" applyAlignment="1">
      <alignment horizontal="center" vertical="center"/>
    </xf>
    <xf numFmtId="165" fontId="9" fillId="3" borderId="9" xfId="0" applyNumberFormat="1" applyFont="1" applyFill="1" applyBorder="1" applyAlignment="1">
      <alignment horizontal="center" vertical="center"/>
    </xf>
    <xf numFmtId="0" fontId="5" fillId="2" borderId="37" xfId="0" applyFont="1" applyFill="1" applyBorder="1"/>
    <xf numFmtId="165" fontId="0" fillId="2" borderId="16" xfId="7" applyNumberFormat="1" applyFont="1" applyFill="1" applyBorder="1"/>
    <xf numFmtId="165" fontId="0" fillId="2" borderId="17" xfId="7" applyNumberFormat="1" applyFont="1" applyFill="1" applyBorder="1"/>
    <xf numFmtId="0" fontId="0" fillId="2" borderId="0" xfId="0" applyFill="1"/>
    <xf numFmtId="0" fontId="6" fillId="2" borderId="0" xfId="3" applyFill="1"/>
    <xf numFmtId="164" fontId="0" fillId="2" borderId="0" xfId="0" applyNumberFormat="1" applyFill="1" applyAlignment="1">
      <alignment horizontal="left" vertical="center" wrapText="1"/>
    </xf>
    <xf numFmtId="166" fontId="0" fillId="0" borderId="0" xfId="0" applyNumberFormat="1"/>
    <xf numFmtId="0" fontId="0" fillId="2" borderId="0" xfId="0" applyFill="1" applyAlignment="1">
      <alignment wrapText="1"/>
    </xf>
    <xf numFmtId="0" fontId="0" fillId="2" borderId="0" xfId="0" applyFill="1"/>
    <xf numFmtId="164" fontId="0" fillId="2" borderId="0" xfId="0" applyNumberFormat="1" applyFill="1" applyAlignment="1">
      <alignment horizontal="left" vertical="center" wrapText="1"/>
    </xf>
    <xf numFmtId="0" fontId="5" fillId="4" borderId="7" xfId="0" applyFont="1" applyFill="1" applyBorder="1" applyAlignment="1">
      <alignment horizontal="center"/>
    </xf>
    <xf numFmtId="0" fontId="0" fillId="0" borderId="33" xfId="0" applyBorder="1"/>
    <xf numFmtId="0" fontId="0" fillId="0" borderId="4" xfId="0" applyBorder="1"/>
    <xf numFmtId="0" fontId="14" fillId="2" borderId="24" xfId="0" applyFont="1" applyFill="1" applyBorder="1" applyAlignment="1">
      <alignment horizontal="center" vertical="center"/>
    </xf>
    <xf numFmtId="0" fontId="0" fillId="0" borderId="34" xfId="0" applyBorder="1"/>
    <xf numFmtId="0" fontId="5" fillId="2" borderId="14" xfId="0" applyFont="1" applyFill="1" applyBorder="1" applyAlignment="1">
      <alignment horizontal="center" vertical="center"/>
    </xf>
    <xf numFmtId="0" fontId="0" fillId="0" borderId="14" xfId="0" applyBorder="1"/>
    <xf numFmtId="0" fontId="10" fillId="3" borderId="32" xfId="0" applyFont="1" applyFill="1" applyBorder="1" applyAlignment="1">
      <alignment horizontal="center"/>
    </xf>
    <xf numFmtId="0" fontId="0" fillId="0" borderId="16" xfId="0" applyBorder="1"/>
    <xf numFmtId="0" fontId="0" fillId="0" borderId="17" xfId="0" applyBorder="1"/>
    <xf numFmtId="0" fontId="0" fillId="2" borderId="0" xfId="0" applyFill="1" applyAlignment="1">
      <alignment vertical="center" wrapText="1"/>
    </xf>
    <xf numFmtId="0" fontId="6" fillId="2" borderId="0" xfId="3" applyFill="1"/>
    <xf numFmtId="0" fontId="0" fillId="2" borderId="27" xfId="0" applyFill="1" applyBorder="1"/>
    <xf numFmtId="0" fontId="0" fillId="0" borderId="35" xfId="0" applyBorder="1"/>
    <xf numFmtId="0" fontId="0" fillId="2" borderId="29" xfId="0" applyFill="1" applyBorder="1"/>
    <xf numFmtId="0" fontId="0" fillId="0" borderId="36" xfId="0" applyBorder="1"/>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cent" xfId="7" builtinId="5"/>
  </cellStyles>
  <dxfs count="71">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'Industrial Production'!$B$343:$B$620</c:f>
              <c:numCache>
                <c:formatCode>0.0</c:formatCode>
                <c:ptCount val="278"/>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104.4824</c:v>
                </c:pt>
                <c:pt idx="271">
                  <c:v>104.36969999999999</c:v>
                </c:pt>
                <c:pt idx="272">
                  <c:v>104.574</c:v>
                </c:pt>
                <c:pt idx="273">
                  <c:v>104.59269999999999</c:v>
                </c:pt>
                <c:pt idx="274">
                  <c:v>103.9846</c:v>
                </c:pt>
                <c:pt idx="275">
                  <c:v>102.9256</c:v>
                </c:pt>
                <c:pt idx="276">
                  <c:v>102.9525</c:v>
                </c:pt>
              </c:numCache>
            </c:numRef>
          </c:val>
          <c:smooth val="0"/>
          <c:extLst>
            <c:ext xmlns:c16="http://schemas.microsoft.com/office/drawing/2014/chart" uri="{C3380CC4-5D6E-409C-BE32-E72D297353CC}">
              <c16:uniqueId val="{00000000-8D76-4BC8-89BF-C0FB873C25B8}"/>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Table10[[#Headers],[Industrial Production ]]</c:f>
          <c:strCache>
            <c:ptCount val="1"/>
            <c:pt idx="0">
              <c:v>Industrial Production </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start'!$A$1099:$A$1258</c:f>
              <c:numCache>
                <c:formatCode>m/d/yyyy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'IP from start'!$B$1099:$B$1258</c:f>
              <c:numCache>
                <c:formatCode>General</c:formatCode>
                <c:ptCount val="160"/>
                <c:pt idx="0">
                  <c:v>89.193600000000004</c:v>
                </c:pt>
                <c:pt idx="1">
                  <c:v>89.508899999999997</c:v>
                </c:pt>
                <c:pt idx="2">
                  <c:v>90.144900000000007</c:v>
                </c:pt>
                <c:pt idx="3">
                  <c:v>90.474000000000004</c:v>
                </c:pt>
                <c:pt idx="4">
                  <c:v>91.713099999999997</c:v>
                </c:pt>
                <c:pt idx="5">
                  <c:v>91.928700000000006</c:v>
                </c:pt>
                <c:pt idx="6">
                  <c:v>92.273700000000005</c:v>
                </c:pt>
                <c:pt idx="7">
                  <c:v>92.614999999999995</c:v>
                </c:pt>
                <c:pt idx="8">
                  <c:v>92.866799999999998</c:v>
                </c:pt>
                <c:pt idx="9">
                  <c:v>92.613799999999998</c:v>
                </c:pt>
                <c:pt idx="10">
                  <c:v>92.677199999999999</c:v>
                </c:pt>
                <c:pt idx="11">
                  <c:v>93.574100000000001</c:v>
                </c:pt>
                <c:pt idx="12">
                  <c:v>93.379300000000001</c:v>
                </c:pt>
                <c:pt idx="13">
                  <c:v>93.005099999999999</c:v>
                </c:pt>
                <c:pt idx="14">
                  <c:v>93.977999999999994</c:v>
                </c:pt>
                <c:pt idx="15">
                  <c:v>93.652500000000003</c:v>
                </c:pt>
                <c:pt idx="16">
                  <c:v>93.787800000000004</c:v>
                </c:pt>
                <c:pt idx="17">
                  <c:v>94.037800000000004</c:v>
                </c:pt>
                <c:pt idx="18">
                  <c:v>94.514600000000002</c:v>
                </c:pt>
                <c:pt idx="19">
                  <c:v>95.126300000000001</c:v>
                </c:pt>
                <c:pt idx="20">
                  <c:v>95.0732</c:v>
                </c:pt>
                <c:pt idx="21">
                  <c:v>95.729100000000003</c:v>
                </c:pt>
                <c:pt idx="22">
                  <c:v>95.745500000000007</c:v>
                </c:pt>
                <c:pt idx="23">
                  <c:v>96.214699999999993</c:v>
                </c:pt>
                <c:pt idx="24">
                  <c:v>96.805099999999996</c:v>
                </c:pt>
                <c:pt idx="25">
                  <c:v>97.103300000000004</c:v>
                </c:pt>
                <c:pt idx="26">
                  <c:v>96.597300000000004</c:v>
                </c:pt>
                <c:pt idx="27">
                  <c:v>97.300600000000003</c:v>
                </c:pt>
                <c:pt idx="28">
                  <c:v>97.504599999999996</c:v>
                </c:pt>
                <c:pt idx="29">
                  <c:v>97.490300000000005</c:v>
                </c:pt>
                <c:pt idx="30">
                  <c:v>97.723399999999998</c:v>
                </c:pt>
                <c:pt idx="31">
                  <c:v>97.313000000000002</c:v>
                </c:pt>
                <c:pt idx="32">
                  <c:v>97.240499999999997</c:v>
                </c:pt>
                <c:pt idx="33">
                  <c:v>97.561000000000007</c:v>
                </c:pt>
                <c:pt idx="34">
                  <c:v>97.9589</c:v>
                </c:pt>
                <c:pt idx="35">
                  <c:v>98.206100000000006</c:v>
                </c:pt>
                <c:pt idx="36">
                  <c:v>98.198999999999998</c:v>
                </c:pt>
                <c:pt idx="37">
                  <c:v>98.683499999999995</c:v>
                </c:pt>
                <c:pt idx="38">
                  <c:v>99.099400000000003</c:v>
                </c:pt>
                <c:pt idx="39">
                  <c:v>98.989800000000002</c:v>
                </c:pt>
                <c:pt idx="40">
                  <c:v>99.078199999999995</c:v>
                </c:pt>
                <c:pt idx="41">
                  <c:v>99.214100000000002</c:v>
                </c:pt>
                <c:pt idx="42">
                  <c:v>98.913200000000003</c:v>
                </c:pt>
                <c:pt idx="43">
                  <c:v>99.489099999999993</c:v>
                </c:pt>
                <c:pt idx="44">
                  <c:v>100.0172</c:v>
                </c:pt>
                <c:pt idx="45">
                  <c:v>99.903800000000004</c:v>
                </c:pt>
                <c:pt idx="46">
                  <c:v>100.14790000000001</c:v>
                </c:pt>
                <c:pt idx="47">
                  <c:v>100.35760000000001</c:v>
                </c:pt>
                <c:pt idx="48">
                  <c:v>99.982799999999997</c:v>
                </c:pt>
                <c:pt idx="49">
                  <c:v>100.74850000000001</c:v>
                </c:pt>
                <c:pt idx="50">
                  <c:v>101.73909999999999</c:v>
                </c:pt>
                <c:pt idx="51">
                  <c:v>101.8023</c:v>
                </c:pt>
                <c:pt idx="52">
                  <c:v>102.2116</c:v>
                </c:pt>
                <c:pt idx="53">
                  <c:v>102.5637</c:v>
                </c:pt>
                <c:pt idx="54">
                  <c:v>102.8425</c:v>
                </c:pt>
                <c:pt idx="55">
                  <c:v>102.6499</c:v>
                </c:pt>
                <c:pt idx="56">
                  <c:v>102.96469999999999</c:v>
                </c:pt>
                <c:pt idx="57">
                  <c:v>102.9704</c:v>
                </c:pt>
                <c:pt idx="58">
                  <c:v>103.60169999999999</c:v>
                </c:pt>
                <c:pt idx="59">
                  <c:v>103.592</c:v>
                </c:pt>
                <c:pt idx="60">
                  <c:v>102.798</c:v>
                </c:pt>
                <c:pt idx="61">
                  <c:v>102.1554</c:v>
                </c:pt>
                <c:pt idx="62">
                  <c:v>101.8077</c:v>
                </c:pt>
                <c:pt idx="63">
                  <c:v>101.2285</c:v>
                </c:pt>
                <c:pt idx="64">
                  <c:v>100.75360000000001</c:v>
                </c:pt>
                <c:pt idx="65">
                  <c:v>100.4529</c:v>
                </c:pt>
                <c:pt idx="66">
                  <c:v>101.11</c:v>
                </c:pt>
                <c:pt idx="67">
                  <c:v>100.8802</c:v>
                </c:pt>
                <c:pt idx="68">
                  <c:v>100.608</c:v>
                </c:pt>
                <c:pt idx="69">
                  <c:v>100.151</c:v>
                </c:pt>
                <c:pt idx="70">
                  <c:v>99.381699999999995</c:v>
                </c:pt>
                <c:pt idx="71">
                  <c:v>98.857200000000006</c:v>
                </c:pt>
                <c:pt idx="72">
                  <c:v>99.408600000000007</c:v>
                </c:pt>
                <c:pt idx="73">
                  <c:v>98.894599999999997</c:v>
                </c:pt>
                <c:pt idx="74">
                  <c:v>98.138499999999993</c:v>
                </c:pt>
                <c:pt idx="75">
                  <c:v>98.436400000000006</c:v>
                </c:pt>
                <c:pt idx="76">
                  <c:v>98.209599999999995</c:v>
                </c:pt>
                <c:pt idx="77">
                  <c:v>98.676599999999993</c:v>
                </c:pt>
                <c:pt idx="78">
                  <c:v>98.837100000000007</c:v>
                </c:pt>
                <c:pt idx="79">
                  <c:v>98.730199999999996</c:v>
                </c:pt>
                <c:pt idx="80">
                  <c:v>98.628699999999995</c:v>
                </c:pt>
                <c:pt idx="81">
                  <c:v>98.712599999999995</c:v>
                </c:pt>
                <c:pt idx="82">
                  <c:v>98.300399999999996</c:v>
                </c:pt>
                <c:pt idx="83">
                  <c:v>98.906300000000002</c:v>
                </c:pt>
                <c:pt idx="84">
                  <c:v>98.734899999999996</c:v>
                </c:pt>
                <c:pt idx="85">
                  <c:v>98.4178</c:v>
                </c:pt>
                <c:pt idx="86">
                  <c:v>99.072599999999994</c:v>
                </c:pt>
                <c:pt idx="87">
                  <c:v>100.0545</c:v>
                </c:pt>
                <c:pt idx="88">
                  <c:v>100.139</c:v>
                </c:pt>
                <c:pt idx="89">
                  <c:v>100.31480000000001</c:v>
                </c:pt>
                <c:pt idx="90">
                  <c:v>100.1418</c:v>
                </c:pt>
                <c:pt idx="91">
                  <c:v>99.687799999999996</c:v>
                </c:pt>
                <c:pt idx="92">
                  <c:v>99.782899999999998</c:v>
                </c:pt>
                <c:pt idx="93">
                  <c:v>101.0401</c:v>
                </c:pt>
                <c:pt idx="94">
                  <c:v>101.226</c:v>
                </c:pt>
                <c:pt idx="95">
                  <c:v>101.3878</c:v>
                </c:pt>
                <c:pt idx="96">
                  <c:v>101.345</c:v>
                </c:pt>
                <c:pt idx="97">
                  <c:v>101.7068</c:v>
                </c:pt>
                <c:pt idx="98">
                  <c:v>102.27849999999999</c:v>
                </c:pt>
                <c:pt idx="99">
                  <c:v>103.434</c:v>
                </c:pt>
                <c:pt idx="100">
                  <c:v>102.4735</c:v>
                </c:pt>
                <c:pt idx="101">
                  <c:v>103.2508</c:v>
                </c:pt>
                <c:pt idx="102">
                  <c:v>103.4588</c:v>
                </c:pt>
                <c:pt idx="103">
                  <c:v>104.1802</c:v>
                </c:pt>
                <c:pt idx="104">
                  <c:v>104.1665</c:v>
                </c:pt>
                <c:pt idx="105">
                  <c:v>104.0476</c:v>
                </c:pt>
                <c:pt idx="106">
                  <c:v>103.9603</c:v>
                </c:pt>
                <c:pt idx="107">
                  <c:v>103.869</c:v>
                </c:pt>
                <c:pt idx="108">
                  <c:v>103.2684</c:v>
                </c:pt>
                <c:pt idx="109">
                  <c:v>102.81570000000001</c:v>
                </c:pt>
                <c:pt idx="110">
                  <c:v>102.9</c:v>
                </c:pt>
                <c:pt idx="111">
                  <c:v>102.3826</c:v>
                </c:pt>
                <c:pt idx="112">
                  <c:v>102.57559999999999</c:v>
                </c:pt>
                <c:pt idx="113">
                  <c:v>102.5928</c:v>
                </c:pt>
                <c:pt idx="114">
                  <c:v>102.2012</c:v>
                </c:pt>
                <c:pt idx="115">
                  <c:v>102.90860000000001</c:v>
                </c:pt>
                <c:pt idx="116">
                  <c:v>102.57899999999999</c:v>
                </c:pt>
                <c:pt idx="117">
                  <c:v>101.7775</c:v>
                </c:pt>
                <c:pt idx="118">
                  <c:v>102.0979</c:v>
                </c:pt>
                <c:pt idx="119">
                  <c:v>101.7632</c:v>
                </c:pt>
                <c:pt idx="120">
                  <c:v>101.303</c:v>
                </c:pt>
                <c:pt idx="121">
                  <c:v>101.7038</c:v>
                </c:pt>
                <c:pt idx="122">
                  <c:v>97.874600000000001</c:v>
                </c:pt>
                <c:pt idx="123">
                  <c:v>84.959000000000003</c:v>
                </c:pt>
                <c:pt idx="124">
                  <c:v>86.334500000000006</c:v>
                </c:pt>
                <c:pt idx="125">
                  <c:v>91.752300000000005</c:v>
                </c:pt>
                <c:pt idx="126">
                  <c:v>95.243899999999996</c:v>
                </c:pt>
                <c:pt idx="127">
                  <c:v>96.1173</c:v>
                </c:pt>
                <c:pt idx="128">
                  <c:v>96.071100000000001</c:v>
                </c:pt>
                <c:pt idx="129">
                  <c:v>96.825000000000003</c:v>
                </c:pt>
                <c:pt idx="130">
                  <c:v>97.118300000000005</c:v>
                </c:pt>
                <c:pt idx="131">
                  <c:v>98.138000000000005</c:v>
                </c:pt>
                <c:pt idx="132">
                  <c:v>99.264499999999998</c:v>
                </c:pt>
                <c:pt idx="133">
                  <c:v>96.223100000000002</c:v>
                </c:pt>
                <c:pt idx="134">
                  <c:v>98.862099999999998</c:v>
                </c:pt>
                <c:pt idx="135">
                  <c:v>99.024600000000007</c:v>
                </c:pt>
                <c:pt idx="136">
                  <c:v>99.778499999999994</c:v>
                </c:pt>
                <c:pt idx="137">
                  <c:v>100.1923</c:v>
                </c:pt>
                <c:pt idx="138">
                  <c:v>100.8724</c:v>
                </c:pt>
                <c:pt idx="139">
                  <c:v>100.837</c:v>
                </c:pt>
                <c:pt idx="140">
                  <c:v>99.849800000000002</c:v>
                </c:pt>
                <c:pt idx="141">
                  <c:v>101.36020000000001</c:v>
                </c:pt>
                <c:pt idx="142">
                  <c:v>101.961</c:v>
                </c:pt>
                <c:pt idx="143">
                  <c:v>101.7587</c:v>
                </c:pt>
                <c:pt idx="144">
                  <c:v>102.146</c:v>
                </c:pt>
                <c:pt idx="145">
                  <c:v>102.89870000000001</c:v>
                </c:pt>
                <c:pt idx="146">
                  <c:v>103.57170000000001</c:v>
                </c:pt>
                <c:pt idx="147">
                  <c:v>104.2709</c:v>
                </c:pt>
                <c:pt idx="148">
                  <c:v>104.16459999999999</c:v>
                </c:pt>
                <c:pt idx="149">
                  <c:v>103.9464</c:v>
                </c:pt>
                <c:pt idx="150">
                  <c:v>104.4824</c:v>
                </c:pt>
                <c:pt idx="151">
                  <c:v>104.36969999999999</c:v>
                </c:pt>
                <c:pt idx="152">
                  <c:v>104.574</c:v>
                </c:pt>
                <c:pt idx="153">
                  <c:v>104.59269999999999</c:v>
                </c:pt>
                <c:pt idx="154">
                  <c:v>103.9846</c:v>
                </c:pt>
                <c:pt idx="155">
                  <c:v>102.9256</c:v>
                </c:pt>
                <c:pt idx="156">
                  <c:v>102.9525</c:v>
                </c:pt>
              </c:numCache>
            </c:numRef>
          </c:val>
          <c:smooth val="0"/>
          <c:extLst>
            <c:ext xmlns:c16="http://schemas.microsoft.com/office/drawing/2014/chart" uri="{C3380CC4-5D6E-409C-BE32-E72D297353CC}">
              <c16:uniqueId val="{00000000-FACC-474A-ADE0-C0CAAEB2FE4F}"/>
            </c:ext>
          </c:extLst>
        </c:ser>
        <c:dLbls>
          <c:showLegendKey val="0"/>
          <c:showVal val="0"/>
          <c:showCatName val="0"/>
          <c:showSerName val="0"/>
          <c:showPercent val="0"/>
          <c:showBubbleSize val="0"/>
        </c:dLbls>
        <c:smooth val="0"/>
        <c:axId val="790404160"/>
        <c:axId val="790405808"/>
      </c:lineChart>
      <c:dateAx>
        <c:axId val="790404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5808"/>
        <c:crosses val="autoZero"/>
        <c:auto val="0"/>
        <c:lblOffset val="100"/>
        <c:baseTimeUnit val="months"/>
      </c:dateAx>
      <c:valAx>
        <c:axId val="7904058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416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Table10[[#Headers],[yoy]]</c:f>
          <c:strCache>
            <c:ptCount val="1"/>
            <c:pt idx="0">
              <c:v>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start'!$A$1099:$A$1260</c:f>
              <c:numCache>
                <c:formatCode>m/d/yyyy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'IP from start'!$C$1099:$C$1260</c:f>
              <c:numCache>
                <c:formatCode>0.00%</c:formatCode>
                <c:ptCount val="162"/>
                <c:pt idx="0">
                  <c:v>8.1984168340524712E-3</c:v>
                </c:pt>
                <c:pt idx="1">
                  <c:v>1.7886872270742243E-2</c:v>
                </c:pt>
                <c:pt idx="2">
                  <c:v>4.1531918433558454E-2</c:v>
                </c:pt>
                <c:pt idx="3">
                  <c:v>5.3741098861166653E-2</c:v>
                </c:pt>
                <c:pt idx="4">
                  <c:v>7.8989071648993922E-2</c:v>
                </c:pt>
                <c:pt idx="5">
                  <c:v>8.4989914750429996E-2</c:v>
                </c:pt>
                <c:pt idx="6">
                  <c:v>7.659163379384451E-2</c:v>
                </c:pt>
                <c:pt idx="7">
                  <c:v>6.9046198170911052E-2</c:v>
                </c:pt>
                <c:pt idx="8">
                  <c:v>6.3017461925447604E-2</c:v>
                </c:pt>
                <c:pt idx="9">
                  <c:v>5.7853448590957243E-2</c:v>
                </c:pt>
                <c:pt idx="10">
                  <c:v>5.4175425186317586E-2</c:v>
                </c:pt>
                <c:pt idx="11">
                  <c:v>6.0548464385856281E-2</c:v>
                </c:pt>
                <c:pt idx="12">
                  <c:v>4.6928254942058586E-2</c:v>
                </c:pt>
                <c:pt idx="13">
                  <c:v>3.9059802991657837E-2</c:v>
                </c:pt>
                <c:pt idx="14">
                  <c:v>4.2521540320084525E-2</c:v>
                </c:pt>
                <c:pt idx="15">
                  <c:v>3.513164002917965E-2</c:v>
                </c:pt>
                <c:pt idx="16">
                  <c:v>2.262163202421472E-2</c:v>
                </c:pt>
                <c:pt idx="17">
                  <c:v>2.2942780655007607E-2</c:v>
                </c:pt>
                <c:pt idx="18">
                  <c:v>2.4285359750394708E-2</c:v>
                </c:pt>
                <c:pt idx="19">
                  <c:v>2.7115478054310919E-2</c:v>
                </c:pt>
                <c:pt idx="20">
                  <c:v>2.3758759858205539E-2</c:v>
                </c:pt>
                <c:pt idx="21">
                  <c:v>3.3637535658832755E-2</c:v>
                </c:pt>
                <c:pt idx="22">
                  <c:v>3.3107387793330049E-2</c:v>
                </c:pt>
                <c:pt idx="23">
                  <c:v>2.8219347020168956E-2</c:v>
                </c:pt>
                <c:pt idx="24">
                  <c:v>3.6686931686144522E-2</c:v>
                </c:pt>
                <c:pt idx="25">
                  <c:v>4.406425024004066E-2</c:v>
                </c:pt>
                <c:pt idx="26">
                  <c:v>2.7871416714550318E-2</c:v>
                </c:pt>
                <c:pt idx="27">
                  <c:v>3.8953578388190378E-2</c:v>
                </c:pt>
                <c:pt idx="28">
                  <c:v>3.9629887895866966E-2</c:v>
                </c:pt>
                <c:pt idx="29">
                  <c:v>3.6713959705565215E-2</c:v>
                </c:pt>
                <c:pt idx="30">
                  <c:v>3.395031032242634E-2</c:v>
                </c:pt>
                <c:pt idx="31">
                  <c:v>2.2987333681642214E-2</c:v>
                </c:pt>
                <c:pt idx="32">
                  <c:v>2.2796119200784209E-2</c:v>
                </c:pt>
                <c:pt idx="33">
                  <c:v>1.913629189034478E-2</c:v>
                </c:pt>
                <c:pt idx="34">
                  <c:v>2.3117535549973551E-2</c:v>
                </c:pt>
                <c:pt idx="35">
                  <c:v>2.0697460990888223E-2</c:v>
                </c:pt>
                <c:pt idx="36">
                  <c:v>1.4399034761598328E-2</c:v>
                </c:pt>
                <c:pt idx="37">
                  <c:v>1.6273391326556263E-2</c:v>
                </c:pt>
                <c:pt idx="38">
                  <c:v>2.590238029427322E-2</c:v>
                </c:pt>
                <c:pt idx="39">
                  <c:v>1.7360632925182369E-2</c:v>
                </c:pt>
                <c:pt idx="40">
                  <c:v>1.6138725762681955E-2</c:v>
                </c:pt>
                <c:pt idx="41">
                  <c:v>1.7681759108342032E-2</c:v>
                </c:pt>
                <c:pt idx="42">
                  <c:v>1.2175180151325122E-2</c:v>
                </c:pt>
                <c:pt idx="43">
                  <c:v>2.2361863265956152E-2</c:v>
                </c:pt>
                <c:pt idx="44">
                  <c:v>2.8554974521932789E-2</c:v>
                </c:pt>
                <c:pt idx="45">
                  <c:v>2.4013693996576466E-2</c:v>
                </c:pt>
                <c:pt idx="46">
                  <c:v>2.2346106377266459E-2</c:v>
                </c:pt>
                <c:pt idx="47">
                  <c:v>2.1908007751046E-2</c:v>
                </c:pt>
                <c:pt idx="48">
                  <c:v>1.816515443130785E-2</c:v>
                </c:pt>
                <c:pt idx="49">
                  <c:v>2.0925483996818234E-2</c:v>
                </c:pt>
                <c:pt idx="50">
                  <c:v>2.663689184798284E-2</c:v>
                </c:pt>
                <c:pt idx="51">
                  <c:v>2.8412018207936575E-2</c:v>
                </c:pt>
                <c:pt idx="52">
                  <c:v>3.1625524080978552E-2</c:v>
                </c:pt>
                <c:pt idx="53">
                  <c:v>3.376133029478668E-2</c:v>
                </c:pt>
                <c:pt idx="54">
                  <c:v>3.9724728347682592E-2</c:v>
                </c:pt>
                <c:pt idx="55">
                  <c:v>3.177031453696947E-2</c:v>
                </c:pt>
                <c:pt idx="56">
                  <c:v>2.946993117183835E-2</c:v>
                </c:pt>
                <c:pt idx="57">
                  <c:v>3.069552909899317E-2</c:v>
                </c:pt>
                <c:pt idx="58">
                  <c:v>3.4486993736263932E-2</c:v>
                </c:pt>
                <c:pt idx="59">
                  <c:v>3.2228749990035568E-2</c:v>
                </c:pt>
                <c:pt idx="60">
                  <c:v>2.8156842976992086E-2</c:v>
                </c:pt>
                <c:pt idx="61">
                  <c:v>1.3964475897904118E-2</c:v>
                </c:pt>
                <c:pt idx="62">
                  <c:v>6.7427370597934863E-4</c:v>
                </c:pt>
                <c:pt idx="63">
                  <c:v>-5.6364148943590237E-3</c:v>
                </c:pt>
                <c:pt idx="64">
                  <c:v>-1.4264525748545158E-2</c:v>
                </c:pt>
                <c:pt idx="65">
                  <c:v>-2.0580380777994532E-2</c:v>
                </c:pt>
                <c:pt idx="66">
                  <c:v>-1.6846148236380889E-2</c:v>
                </c:pt>
                <c:pt idx="67">
                  <c:v>-1.7240153180860383E-2</c:v>
                </c:pt>
                <c:pt idx="68">
                  <c:v>-2.288842681035335E-2</c:v>
                </c:pt>
                <c:pt idx="69">
                  <c:v>-2.7380684157777398E-2</c:v>
                </c:pt>
                <c:pt idx="70">
                  <c:v>-4.0732922336216483E-2</c:v>
                </c:pt>
                <c:pt idx="71">
                  <c:v>-4.5706232141478037E-2</c:v>
                </c:pt>
                <c:pt idx="72">
                  <c:v>-3.2971458588688447E-2</c:v>
                </c:pt>
                <c:pt idx="73">
                  <c:v>-3.1919996397645187E-2</c:v>
                </c:pt>
                <c:pt idx="74">
                  <c:v>-3.6040495954628222E-2</c:v>
                </c:pt>
                <c:pt idx="75">
                  <c:v>-2.7582153247356137E-2</c:v>
                </c:pt>
                <c:pt idx="76">
                  <c:v>-2.5249718124216017E-2</c:v>
                </c:pt>
                <c:pt idx="77">
                  <c:v>-1.768291408212213E-2</c:v>
                </c:pt>
                <c:pt idx="78">
                  <c:v>-2.247947779645923E-2</c:v>
                </c:pt>
                <c:pt idx="79">
                  <c:v>-2.1312408183171778E-2</c:v>
                </c:pt>
                <c:pt idx="80">
                  <c:v>-1.9673385814249454E-2</c:v>
                </c:pt>
                <c:pt idx="81">
                  <c:v>-1.4362312907509675E-2</c:v>
                </c:pt>
                <c:pt idx="82">
                  <c:v>-1.0880272726266495E-2</c:v>
                </c:pt>
                <c:pt idx="83">
                  <c:v>4.9667601348202966E-4</c:v>
                </c:pt>
                <c:pt idx="84">
                  <c:v>-6.7770796490445578E-3</c:v>
                </c:pt>
                <c:pt idx="85">
                  <c:v>-4.8212945904022794E-3</c:v>
                </c:pt>
                <c:pt idx="86">
                  <c:v>9.5181809381639296E-3</c:v>
                </c:pt>
                <c:pt idx="87">
                  <c:v>1.6438024958247133E-2</c:v>
                </c:pt>
                <c:pt idx="88">
                  <c:v>1.9645737280265894E-2</c:v>
                </c:pt>
                <c:pt idx="89">
                  <c:v>1.660170699030988E-2</c:v>
                </c:pt>
                <c:pt idx="90">
                  <c:v>1.3200508715856665E-2</c:v>
                </c:pt>
                <c:pt idx="91">
                  <c:v>9.6991599328270315E-3</c:v>
                </c:pt>
                <c:pt idx="92">
                  <c:v>1.170247605413032E-2</c:v>
                </c:pt>
                <c:pt idx="93">
                  <c:v>2.3578550255995697E-2</c:v>
                </c:pt>
                <c:pt idx="94">
                  <c:v>2.9761832098343474E-2</c:v>
                </c:pt>
                <c:pt idx="95">
                  <c:v>2.5089402798406137E-2</c:v>
                </c:pt>
                <c:pt idx="96">
                  <c:v>2.6435434684189713E-2</c:v>
                </c:pt>
                <c:pt idx="97">
                  <c:v>3.3418751486011693E-2</c:v>
                </c:pt>
                <c:pt idx="98">
                  <c:v>3.2359098277424836E-2</c:v>
                </c:pt>
                <c:pt idx="99">
                  <c:v>3.3776591757492098E-2</c:v>
                </c:pt>
                <c:pt idx="100">
                  <c:v>2.3312595492265806E-2</c:v>
                </c:pt>
                <c:pt idx="101">
                  <c:v>2.926786476173E-2</c:v>
                </c:pt>
                <c:pt idx="102">
                  <c:v>3.3123031541274404E-2</c:v>
                </c:pt>
                <c:pt idx="103">
                  <c:v>4.5064691968325146E-2</c:v>
                </c:pt>
                <c:pt idx="104">
                  <c:v>4.3931375015157918E-2</c:v>
                </c:pt>
                <c:pt idx="105">
                  <c:v>2.9765409970892821E-2</c:v>
                </c:pt>
                <c:pt idx="106">
                  <c:v>2.7011834904076073E-2</c:v>
                </c:pt>
                <c:pt idx="107">
                  <c:v>2.4472372415616093E-2</c:v>
                </c:pt>
                <c:pt idx="108">
                  <c:v>1.8978736000789392E-2</c:v>
                </c:pt>
                <c:pt idx="109">
                  <c:v>1.0902909146684445E-2</c:v>
                </c:pt>
                <c:pt idx="110">
                  <c:v>6.0765459016314449E-3</c:v>
                </c:pt>
                <c:pt idx="111">
                  <c:v>-1.0164936094514387E-2</c:v>
                </c:pt>
                <c:pt idx="112">
                  <c:v>9.9635515523518732E-4</c:v>
                </c:pt>
                <c:pt idx="113">
                  <c:v>-6.372831978057325E-3</c:v>
                </c:pt>
                <c:pt idx="114">
                  <c:v>-1.2155563374019383E-2</c:v>
                </c:pt>
                <c:pt idx="115">
                  <c:v>-1.2205774225812508E-2</c:v>
                </c:pt>
                <c:pt idx="116">
                  <c:v>-1.5240024384039069E-2</c:v>
                </c:pt>
                <c:pt idx="117">
                  <c:v>-2.1817898730965436E-2</c:v>
                </c:pt>
                <c:pt idx="118">
                  <c:v>-1.7914530835328561E-2</c:v>
                </c:pt>
                <c:pt idx="119">
                  <c:v>-2.027361387902071E-2</c:v>
                </c:pt>
                <c:pt idx="120">
                  <c:v>-1.9031959437737028E-2</c:v>
                </c:pt>
                <c:pt idx="121">
                  <c:v>-1.0814496229661477E-2</c:v>
                </c:pt>
                <c:pt idx="122">
                  <c:v>-4.8837706511175943E-2</c:v>
                </c:pt>
                <c:pt idx="123">
                  <c:v>-0.17018126126900462</c:v>
                </c:pt>
                <c:pt idx="124">
                  <c:v>-0.1583329758734045</c:v>
                </c:pt>
                <c:pt idx="125">
                  <c:v>-0.10566530984630493</c:v>
                </c:pt>
                <c:pt idx="126">
                  <c:v>-6.8074543156049078E-2</c:v>
                </c:pt>
                <c:pt idx="127">
                  <c:v>-6.5993512689901584E-2</c:v>
                </c:pt>
                <c:pt idx="128">
                  <c:v>-6.344280993185733E-2</c:v>
                </c:pt>
                <c:pt idx="129">
                  <c:v>-4.866006730367714E-2</c:v>
                </c:pt>
                <c:pt idx="130">
                  <c:v>-4.8772795522728583E-2</c:v>
                </c:pt>
                <c:pt idx="131">
                  <c:v>-3.562387975220898E-2</c:v>
                </c:pt>
                <c:pt idx="132">
                  <c:v>-2.0122799917080433E-2</c:v>
                </c:pt>
                <c:pt idx="133">
                  <c:v>-5.3888841911511651E-2</c:v>
                </c:pt>
                <c:pt idx="134">
                  <c:v>1.0089440978558248E-2</c:v>
                </c:pt>
                <c:pt idx="135">
                  <c:v>0.1655575042079121</c:v>
                </c:pt>
                <c:pt idx="136">
                  <c:v>0.15571990339898867</c:v>
                </c:pt>
                <c:pt idx="137">
                  <c:v>9.1986794881436185E-2</c:v>
                </c:pt>
                <c:pt idx="138">
                  <c:v>5.9095648120247098E-2</c:v>
                </c:pt>
                <c:pt idx="139">
                  <c:v>4.9103543274727893E-2</c:v>
                </c:pt>
                <c:pt idx="140">
                  <c:v>3.9332327828035703E-2</c:v>
                </c:pt>
                <c:pt idx="141">
                  <c:v>4.6839142783372097E-2</c:v>
                </c:pt>
                <c:pt idx="142">
                  <c:v>4.986392883730454E-2</c:v>
                </c:pt>
                <c:pt idx="143">
                  <c:v>3.6893965640220905E-2</c:v>
                </c:pt>
                <c:pt idx="144">
                  <c:v>2.9028504651713378E-2</c:v>
                </c:pt>
                <c:pt idx="145">
                  <c:v>6.9376272433542496E-2</c:v>
                </c:pt>
                <c:pt idx="146">
                  <c:v>4.7638073639949069E-2</c:v>
                </c:pt>
                <c:pt idx="147">
                  <c:v>5.2979764624143805E-2</c:v>
                </c:pt>
                <c:pt idx="148">
                  <c:v>4.3958367784642974E-2</c:v>
                </c:pt>
                <c:pt idx="149">
                  <c:v>3.7468947214506443E-2</c:v>
                </c:pt>
                <c:pt idx="150">
                  <c:v>3.5787787343217761E-2</c:v>
                </c:pt>
                <c:pt idx="151">
                  <c:v>3.5033767367136974E-2</c:v>
                </c:pt>
                <c:pt idx="152">
                  <c:v>4.7313064222462099E-2</c:v>
                </c:pt>
                <c:pt idx="153">
                  <c:v>3.1891215684262536E-2</c:v>
                </c:pt>
                <c:pt idx="154">
                  <c:v>1.9846804170221968E-2</c:v>
                </c:pt>
                <c:pt idx="155">
                  <c:v>1.1467324169825266E-2</c:v>
                </c:pt>
                <c:pt idx="156">
                  <c:v>7.8955612554578725E-3</c:v>
                </c:pt>
              </c:numCache>
            </c:numRef>
          </c:val>
          <c:smooth val="0"/>
          <c:extLst>
            <c:ext xmlns:c16="http://schemas.microsoft.com/office/drawing/2014/chart" uri="{C3380CC4-5D6E-409C-BE32-E72D297353CC}">
              <c16:uniqueId val="{00000000-6311-4E7D-8D6A-D7FB66D0A97D}"/>
            </c:ext>
          </c:extLst>
        </c:ser>
        <c:dLbls>
          <c:showLegendKey val="0"/>
          <c:showVal val="0"/>
          <c:showCatName val="0"/>
          <c:showSerName val="0"/>
          <c:showPercent val="0"/>
          <c:showBubbleSize val="0"/>
        </c:dLbls>
        <c:smooth val="0"/>
        <c:axId val="494111504"/>
        <c:axId val="493979456"/>
      </c:lineChart>
      <c:dateAx>
        <c:axId val="49411150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79456"/>
        <c:crosses val="autoZero"/>
        <c:auto val="0"/>
        <c:lblOffset val="100"/>
        <c:baseTimeUnit val="months"/>
      </c:dateAx>
      <c:valAx>
        <c:axId val="4939794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Production'!$V$1</c:f>
          <c:strCache>
            <c:ptCount val="1"/>
            <c:pt idx="0">
              <c:v>Industrial Production Index </c:v>
            </c:pt>
          </c:strCache>
        </c:strRef>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Production'!$A$8:$A$627</c:f>
              <c:numCache>
                <c:formatCode>mmm\-yy</c:formatCode>
                <c:ptCount val="620"/>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pt idx="610">
                  <c:v>44896</c:v>
                </c:pt>
                <c:pt idx="611">
                  <c:v>44927</c:v>
                </c:pt>
              </c:numCache>
            </c:numRef>
          </c:cat>
          <c:val>
            <c:numRef>
              <c:f>'Industrial Production'!$B$8:$B$627</c:f>
              <c:numCache>
                <c:formatCode>0.0</c:formatCode>
                <c:ptCount val="620"/>
                <c:pt idx="0">
                  <c:v>40.5837</c:v>
                </c:pt>
                <c:pt idx="1">
                  <c:v>40.865499999999997</c:v>
                </c:pt>
                <c:pt idx="2">
                  <c:v>41.265599999999999</c:v>
                </c:pt>
                <c:pt idx="3">
                  <c:v>41.270600000000002</c:v>
                </c:pt>
                <c:pt idx="4">
                  <c:v>41.378599999999999</c:v>
                </c:pt>
                <c:pt idx="5">
                  <c:v>41.334699999999998</c:v>
                </c:pt>
                <c:pt idx="6">
                  <c:v>41.904600000000002</c:v>
                </c:pt>
                <c:pt idx="7">
                  <c:v>42.228400000000001</c:v>
                </c:pt>
                <c:pt idx="8">
                  <c:v>42.774500000000003</c:v>
                </c:pt>
                <c:pt idx="9">
                  <c:v>43.279499999999999</c:v>
                </c:pt>
                <c:pt idx="10">
                  <c:v>43.769500000000001</c:v>
                </c:pt>
                <c:pt idx="11">
                  <c:v>44.084699999999998</c:v>
                </c:pt>
                <c:pt idx="12">
                  <c:v>44.724200000000003</c:v>
                </c:pt>
                <c:pt idx="13">
                  <c:v>44.743499999999997</c:v>
                </c:pt>
                <c:pt idx="14">
                  <c:v>44.678199999999997</c:v>
                </c:pt>
                <c:pt idx="15">
                  <c:v>44.9741</c:v>
                </c:pt>
                <c:pt idx="16">
                  <c:v>45.025700000000001</c:v>
                </c:pt>
                <c:pt idx="17">
                  <c:v>45.1952</c:v>
                </c:pt>
                <c:pt idx="18">
                  <c:v>45.130800000000001</c:v>
                </c:pt>
                <c:pt idx="19">
                  <c:v>45.486199999999997</c:v>
                </c:pt>
                <c:pt idx="20">
                  <c:v>45.853099999999998</c:v>
                </c:pt>
                <c:pt idx="21">
                  <c:v>46.065399999999997</c:v>
                </c:pt>
                <c:pt idx="22">
                  <c:v>45.934399999999997</c:v>
                </c:pt>
                <c:pt idx="23">
                  <c:v>45.629800000000003</c:v>
                </c:pt>
                <c:pt idx="24">
                  <c:v>45.495100000000001</c:v>
                </c:pt>
                <c:pt idx="25">
                  <c:v>45.495199999999997</c:v>
                </c:pt>
                <c:pt idx="26">
                  <c:v>45.362499999999997</c:v>
                </c:pt>
                <c:pt idx="27">
                  <c:v>45.7241</c:v>
                </c:pt>
                <c:pt idx="28">
                  <c:v>45.639000000000003</c:v>
                </c:pt>
                <c:pt idx="29">
                  <c:v>45.719299999999997</c:v>
                </c:pt>
                <c:pt idx="30">
                  <c:v>45.235700000000001</c:v>
                </c:pt>
                <c:pt idx="31">
                  <c:v>45.242100000000001</c:v>
                </c:pt>
                <c:pt idx="32">
                  <c:v>45.101100000000002</c:v>
                </c:pt>
                <c:pt idx="33">
                  <c:v>43.6158</c:v>
                </c:pt>
                <c:pt idx="34">
                  <c:v>42.055300000000003</c:v>
                </c:pt>
                <c:pt idx="35">
                  <c:v>41.475000000000001</c:v>
                </c:pt>
                <c:pt idx="36">
                  <c:v>40.529000000000003</c:v>
                </c:pt>
                <c:pt idx="37">
                  <c:v>40.079599999999999</c:v>
                </c:pt>
                <c:pt idx="38">
                  <c:v>40.152700000000003</c:v>
                </c:pt>
                <c:pt idx="39">
                  <c:v>40.039900000000003</c:v>
                </c:pt>
                <c:pt idx="40">
                  <c:v>40.298699999999997</c:v>
                </c:pt>
                <c:pt idx="41">
                  <c:v>40.709400000000002</c:v>
                </c:pt>
                <c:pt idx="42">
                  <c:v>41.1098</c:v>
                </c:pt>
                <c:pt idx="43">
                  <c:v>41.637999999999998</c:v>
                </c:pt>
                <c:pt idx="44">
                  <c:v>41.817100000000003</c:v>
                </c:pt>
                <c:pt idx="45">
                  <c:v>41.876399999999997</c:v>
                </c:pt>
                <c:pt idx="46">
                  <c:v>42.448399999999999</c:v>
                </c:pt>
                <c:pt idx="47">
                  <c:v>43.014899999999997</c:v>
                </c:pt>
                <c:pt idx="48">
                  <c:v>43.451500000000003</c:v>
                </c:pt>
                <c:pt idx="49">
                  <c:v>43.535899999999998</c:v>
                </c:pt>
                <c:pt idx="50">
                  <c:v>43.759300000000003</c:v>
                </c:pt>
                <c:pt idx="51">
                  <c:v>43.935899999999997</c:v>
                </c:pt>
                <c:pt idx="52">
                  <c:v>43.991799999999998</c:v>
                </c:pt>
                <c:pt idx="53">
                  <c:v>44.2254</c:v>
                </c:pt>
                <c:pt idx="54">
                  <c:v>44.536499999999997</c:v>
                </c:pt>
                <c:pt idx="55">
                  <c:v>44.677500000000002</c:v>
                </c:pt>
                <c:pt idx="56">
                  <c:v>44.669499999999999</c:v>
                </c:pt>
                <c:pt idx="57">
                  <c:v>45.353999999999999</c:v>
                </c:pt>
                <c:pt idx="58">
                  <c:v>45.835700000000003</c:v>
                </c:pt>
                <c:pt idx="59">
                  <c:v>45.5276</c:v>
                </c:pt>
                <c:pt idx="60">
                  <c:v>46.256700000000002</c:v>
                </c:pt>
                <c:pt idx="61">
                  <c:v>46.835599999999999</c:v>
                </c:pt>
                <c:pt idx="62">
                  <c:v>47.2898</c:v>
                </c:pt>
                <c:pt idx="63">
                  <c:v>47.660699999999999</c:v>
                </c:pt>
                <c:pt idx="64">
                  <c:v>48.019599999999997</c:v>
                </c:pt>
                <c:pt idx="65">
                  <c:v>48.081899999999997</c:v>
                </c:pt>
                <c:pt idx="66">
                  <c:v>48.131500000000003</c:v>
                </c:pt>
                <c:pt idx="67">
                  <c:v>48.330800000000004</c:v>
                </c:pt>
                <c:pt idx="68">
                  <c:v>48.401400000000002</c:v>
                </c:pt>
                <c:pt idx="69">
                  <c:v>48.492400000000004</c:v>
                </c:pt>
                <c:pt idx="70">
                  <c:v>48.564</c:v>
                </c:pt>
                <c:pt idx="71">
                  <c:v>47.869300000000003</c:v>
                </c:pt>
                <c:pt idx="72">
                  <c:v>48.128300000000003</c:v>
                </c:pt>
                <c:pt idx="73">
                  <c:v>49.055300000000003</c:v>
                </c:pt>
                <c:pt idx="74">
                  <c:v>50.026000000000003</c:v>
                </c:pt>
                <c:pt idx="75">
                  <c:v>50.271700000000003</c:v>
                </c:pt>
                <c:pt idx="76">
                  <c:v>50.593899999999998</c:v>
                </c:pt>
                <c:pt idx="77">
                  <c:v>50.549900000000001</c:v>
                </c:pt>
                <c:pt idx="78">
                  <c:v>50.7622</c:v>
                </c:pt>
                <c:pt idx="79">
                  <c:v>50.885599999999997</c:v>
                </c:pt>
                <c:pt idx="80">
                  <c:v>51.2821</c:v>
                </c:pt>
                <c:pt idx="81">
                  <c:v>51.673699999999997</c:v>
                </c:pt>
                <c:pt idx="82">
                  <c:v>51.940399999999997</c:v>
                </c:pt>
                <c:pt idx="83">
                  <c:v>51.650700000000001</c:v>
                </c:pt>
                <c:pt idx="84">
                  <c:v>51.909700000000001</c:v>
                </c:pt>
                <c:pt idx="85">
                  <c:v>52.066699999999997</c:v>
                </c:pt>
                <c:pt idx="86">
                  <c:v>51.454799999999999</c:v>
                </c:pt>
                <c:pt idx="87">
                  <c:v>51.906100000000002</c:v>
                </c:pt>
                <c:pt idx="88">
                  <c:v>51.906700000000001</c:v>
                </c:pt>
                <c:pt idx="89">
                  <c:v>51.825800000000001</c:v>
                </c:pt>
                <c:pt idx="90">
                  <c:v>51.49</c:v>
                </c:pt>
                <c:pt idx="91">
                  <c:v>51.484699999999997</c:v>
                </c:pt>
                <c:pt idx="92">
                  <c:v>51.842100000000002</c:v>
                </c:pt>
                <c:pt idx="93">
                  <c:v>51.759099999999997</c:v>
                </c:pt>
                <c:pt idx="94">
                  <c:v>51.797400000000003</c:v>
                </c:pt>
                <c:pt idx="95">
                  <c:v>52.067700000000002</c:v>
                </c:pt>
                <c:pt idx="96">
                  <c:v>52.0899</c:v>
                </c:pt>
                <c:pt idx="97">
                  <c:v>51.868699999999997</c:v>
                </c:pt>
                <c:pt idx="98">
                  <c:v>50.845399999999998</c:v>
                </c:pt>
                <c:pt idx="99">
                  <c:v>49.594700000000003</c:v>
                </c:pt>
                <c:pt idx="100">
                  <c:v>48.9621</c:v>
                </c:pt>
                <c:pt idx="101">
                  <c:v>48.609000000000002</c:v>
                </c:pt>
                <c:pt idx="102">
                  <c:v>48.764600000000002</c:v>
                </c:pt>
                <c:pt idx="103">
                  <c:v>49.5764</c:v>
                </c:pt>
                <c:pt idx="104">
                  <c:v>50.205800000000004</c:v>
                </c:pt>
                <c:pt idx="105">
                  <c:v>51.041800000000002</c:v>
                </c:pt>
                <c:pt idx="106">
                  <c:v>51.390599999999999</c:v>
                </c:pt>
                <c:pt idx="107">
                  <c:v>51.065600000000003</c:v>
                </c:pt>
                <c:pt idx="108">
                  <c:v>50.855400000000003</c:v>
                </c:pt>
                <c:pt idx="109">
                  <c:v>51.110700000000001</c:v>
                </c:pt>
                <c:pt idx="110">
                  <c:v>50.886400000000002</c:v>
                </c:pt>
                <c:pt idx="111">
                  <c:v>51.178800000000003</c:v>
                </c:pt>
                <c:pt idx="112">
                  <c:v>51.449599999999997</c:v>
                </c:pt>
                <c:pt idx="113">
                  <c:v>51.776400000000002</c:v>
                </c:pt>
                <c:pt idx="114">
                  <c:v>51.712899999999998</c:v>
                </c:pt>
                <c:pt idx="115">
                  <c:v>51.460500000000003</c:v>
                </c:pt>
                <c:pt idx="116">
                  <c:v>51.0625</c:v>
                </c:pt>
                <c:pt idx="117">
                  <c:v>50.472999999999999</c:v>
                </c:pt>
                <c:pt idx="118">
                  <c:v>49.936399999999999</c:v>
                </c:pt>
                <c:pt idx="119">
                  <c:v>48.9114</c:v>
                </c:pt>
                <c:pt idx="120">
                  <c:v>49.910200000000003</c:v>
                </c:pt>
                <c:pt idx="121">
                  <c:v>49.569099999999999</c:v>
                </c:pt>
                <c:pt idx="122">
                  <c:v>49.114600000000003</c:v>
                </c:pt>
                <c:pt idx="123">
                  <c:v>48.780500000000004</c:v>
                </c:pt>
                <c:pt idx="124">
                  <c:v>48.660600000000002</c:v>
                </c:pt>
                <c:pt idx="125">
                  <c:v>48.4863</c:v>
                </c:pt>
                <c:pt idx="126">
                  <c:v>48.056899999999999</c:v>
                </c:pt>
                <c:pt idx="127">
                  <c:v>47.930300000000003</c:v>
                </c:pt>
                <c:pt idx="128">
                  <c:v>47.473799999999997</c:v>
                </c:pt>
                <c:pt idx="129">
                  <c:v>47.32</c:v>
                </c:pt>
                <c:pt idx="130">
                  <c:v>46.981299999999997</c:v>
                </c:pt>
                <c:pt idx="131">
                  <c:v>47.8523</c:v>
                </c:pt>
                <c:pt idx="132">
                  <c:v>47.566699999999997</c:v>
                </c:pt>
                <c:pt idx="133">
                  <c:v>47.959899999999998</c:v>
                </c:pt>
                <c:pt idx="134">
                  <c:v>48.556399999999996</c:v>
                </c:pt>
                <c:pt idx="135">
                  <c:v>48.864699999999999</c:v>
                </c:pt>
                <c:pt idx="136">
                  <c:v>49.155799999999999</c:v>
                </c:pt>
                <c:pt idx="137">
                  <c:v>49.887300000000003</c:v>
                </c:pt>
                <c:pt idx="138">
                  <c:v>50.484299999999998</c:v>
                </c:pt>
                <c:pt idx="139">
                  <c:v>51.216000000000001</c:v>
                </c:pt>
                <c:pt idx="140">
                  <c:v>51.613900000000001</c:v>
                </c:pt>
                <c:pt idx="141">
                  <c:v>51.841999999999999</c:v>
                </c:pt>
                <c:pt idx="142">
                  <c:v>52.094799999999999</c:v>
                </c:pt>
                <c:pt idx="143">
                  <c:v>53.134799999999998</c:v>
                </c:pt>
                <c:pt idx="144">
                  <c:v>53.376300000000001</c:v>
                </c:pt>
                <c:pt idx="145">
                  <c:v>53.631399999999999</c:v>
                </c:pt>
                <c:pt idx="146">
                  <c:v>53.949100000000001</c:v>
                </c:pt>
                <c:pt idx="147">
                  <c:v>54.239600000000003</c:v>
                </c:pt>
                <c:pt idx="148">
                  <c:v>54.428800000000003</c:v>
                </c:pt>
                <c:pt idx="149">
                  <c:v>54.586500000000001</c:v>
                </c:pt>
                <c:pt idx="150">
                  <c:v>54.652999999999999</c:v>
                </c:pt>
                <c:pt idx="151">
                  <c:v>54.494900000000001</c:v>
                </c:pt>
                <c:pt idx="152">
                  <c:v>54.477200000000003</c:v>
                </c:pt>
                <c:pt idx="153">
                  <c:v>54.659399999999998</c:v>
                </c:pt>
                <c:pt idx="154">
                  <c:v>54.6892</c:v>
                </c:pt>
                <c:pt idx="155">
                  <c:v>54.650500000000001</c:v>
                </c:pt>
                <c:pt idx="156">
                  <c:v>54.816899999999997</c:v>
                </c:pt>
                <c:pt idx="157">
                  <c:v>54.897799999999997</c:v>
                </c:pt>
                <c:pt idx="158">
                  <c:v>54.783299999999997</c:v>
                </c:pt>
                <c:pt idx="159">
                  <c:v>54.870399999999997</c:v>
                </c:pt>
                <c:pt idx="160">
                  <c:v>54.8401</c:v>
                </c:pt>
                <c:pt idx="161">
                  <c:v>54.558199999999999</c:v>
                </c:pt>
                <c:pt idx="162">
                  <c:v>54.738100000000003</c:v>
                </c:pt>
                <c:pt idx="163">
                  <c:v>54.941600000000001</c:v>
                </c:pt>
                <c:pt idx="164">
                  <c:v>54.753799999999998</c:v>
                </c:pt>
                <c:pt idx="165">
                  <c:v>54.939</c:v>
                </c:pt>
                <c:pt idx="166">
                  <c:v>55.494500000000002</c:v>
                </c:pt>
                <c:pt idx="167">
                  <c:v>55.780200000000001</c:v>
                </c:pt>
                <c:pt idx="168">
                  <c:v>55.3994</c:v>
                </c:pt>
                <c:pt idx="169">
                  <c:v>55.000100000000003</c:v>
                </c:pt>
                <c:pt idx="170">
                  <c:v>55.064100000000003</c:v>
                </c:pt>
                <c:pt idx="171">
                  <c:v>55.170499999999997</c:v>
                </c:pt>
                <c:pt idx="172">
                  <c:v>54.958799999999997</c:v>
                </c:pt>
                <c:pt idx="173">
                  <c:v>55.294400000000003</c:v>
                </c:pt>
                <c:pt idx="174">
                  <c:v>55.2029</c:v>
                </c:pt>
                <c:pt idx="175">
                  <c:v>55.351100000000002</c:v>
                </c:pt>
                <c:pt idx="176">
                  <c:v>55.585700000000003</c:v>
                </c:pt>
                <c:pt idx="177">
                  <c:v>55.802999999999997</c:v>
                </c:pt>
                <c:pt idx="178">
                  <c:v>56.344099999999997</c:v>
                </c:pt>
                <c:pt idx="179">
                  <c:v>56.125900000000001</c:v>
                </c:pt>
                <c:pt idx="180">
                  <c:v>56.877899999999997</c:v>
                </c:pt>
                <c:pt idx="181">
                  <c:v>56.951599999999999</c:v>
                </c:pt>
                <c:pt idx="182">
                  <c:v>57.317700000000002</c:v>
                </c:pt>
                <c:pt idx="183">
                  <c:v>57.677399999999999</c:v>
                </c:pt>
                <c:pt idx="184">
                  <c:v>57.987499999999997</c:v>
                </c:pt>
                <c:pt idx="185">
                  <c:v>58.378999999999998</c:v>
                </c:pt>
                <c:pt idx="186">
                  <c:v>58.817100000000003</c:v>
                </c:pt>
                <c:pt idx="187">
                  <c:v>59.039099999999998</c:v>
                </c:pt>
                <c:pt idx="188">
                  <c:v>59.834000000000003</c:v>
                </c:pt>
                <c:pt idx="189">
                  <c:v>60.136699999999998</c:v>
                </c:pt>
                <c:pt idx="190">
                  <c:v>60.4739</c:v>
                </c:pt>
                <c:pt idx="191">
                  <c:v>60.459400000000002</c:v>
                </c:pt>
                <c:pt idx="192">
                  <c:v>60.764299999999999</c:v>
                </c:pt>
                <c:pt idx="193">
                  <c:v>60.894799999999996</c:v>
                </c:pt>
                <c:pt idx="194">
                  <c:v>61.247500000000002</c:v>
                </c:pt>
                <c:pt idx="195">
                  <c:v>61.135300000000001</c:v>
                </c:pt>
                <c:pt idx="196">
                  <c:v>61.299500000000002</c:v>
                </c:pt>
                <c:pt idx="197">
                  <c:v>61.311</c:v>
                </c:pt>
                <c:pt idx="198">
                  <c:v>61.623399999999997</c:v>
                </c:pt>
                <c:pt idx="199">
                  <c:v>61.4255</c:v>
                </c:pt>
                <c:pt idx="200">
                  <c:v>61.694000000000003</c:v>
                </c:pt>
                <c:pt idx="201">
                  <c:v>61.849400000000003</c:v>
                </c:pt>
                <c:pt idx="202">
                  <c:v>62.117100000000001</c:v>
                </c:pt>
                <c:pt idx="203">
                  <c:v>62.310299999999998</c:v>
                </c:pt>
                <c:pt idx="204">
                  <c:v>62.035299999999999</c:v>
                </c:pt>
                <c:pt idx="205">
                  <c:v>62.195</c:v>
                </c:pt>
                <c:pt idx="206">
                  <c:v>62.1753</c:v>
                </c:pt>
                <c:pt idx="207">
                  <c:v>61.832099999999997</c:v>
                </c:pt>
                <c:pt idx="208">
                  <c:v>61.824599999999997</c:v>
                </c:pt>
                <c:pt idx="209">
                  <c:v>61.228499999999997</c:v>
                </c:pt>
                <c:pt idx="210">
                  <c:v>61.833399999999997</c:v>
                </c:pt>
                <c:pt idx="211">
                  <c:v>61.622100000000003</c:v>
                </c:pt>
                <c:pt idx="212">
                  <c:v>61.553699999999999</c:v>
                </c:pt>
                <c:pt idx="213">
                  <c:v>61.7575</c:v>
                </c:pt>
                <c:pt idx="214">
                  <c:v>62.1111</c:v>
                </c:pt>
                <c:pt idx="215">
                  <c:v>61.778100000000002</c:v>
                </c:pt>
                <c:pt idx="216">
                  <c:v>62.342599999999997</c:v>
                </c:pt>
                <c:pt idx="217">
                  <c:v>62.644599999999997</c:v>
                </c:pt>
                <c:pt idx="218">
                  <c:v>62.510399999999997</c:v>
                </c:pt>
                <c:pt idx="219">
                  <c:v>62.689799999999998</c:v>
                </c:pt>
                <c:pt idx="220">
                  <c:v>62.892299999999999</c:v>
                </c:pt>
                <c:pt idx="221">
                  <c:v>62.793300000000002</c:v>
                </c:pt>
                <c:pt idx="222">
                  <c:v>63.024099999999997</c:v>
                </c:pt>
                <c:pt idx="223">
                  <c:v>63.032800000000002</c:v>
                </c:pt>
                <c:pt idx="224">
                  <c:v>62.646599999999999</c:v>
                </c:pt>
                <c:pt idx="225">
                  <c:v>61.868099999999998</c:v>
                </c:pt>
                <c:pt idx="226">
                  <c:v>61.4345</c:v>
                </c:pt>
                <c:pt idx="227">
                  <c:v>61.2241</c:v>
                </c:pt>
                <c:pt idx="228">
                  <c:v>60.779000000000003</c:v>
                </c:pt>
                <c:pt idx="229">
                  <c:v>60.4377</c:v>
                </c:pt>
                <c:pt idx="230">
                  <c:v>60.598199999999999</c:v>
                </c:pt>
                <c:pt idx="231">
                  <c:v>61.204099999999997</c:v>
                </c:pt>
                <c:pt idx="232">
                  <c:v>61.692300000000003</c:v>
                </c:pt>
                <c:pt idx="233">
                  <c:v>61.856900000000003</c:v>
                </c:pt>
                <c:pt idx="234">
                  <c:v>61.868099999999998</c:v>
                </c:pt>
                <c:pt idx="235">
                  <c:v>62.3855</c:v>
                </c:pt>
                <c:pt idx="236">
                  <c:v>62.322899999999997</c:v>
                </c:pt>
                <c:pt idx="237">
                  <c:v>62.242699999999999</c:v>
                </c:pt>
                <c:pt idx="238">
                  <c:v>61.970500000000001</c:v>
                </c:pt>
                <c:pt idx="239">
                  <c:v>61.647100000000002</c:v>
                </c:pt>
                <c:pt idx="240">
                  <c:v>62.0794</c:v>
                </c:pt>
                <c:pt idx="241">
                  <c:v>62.595500000000001</c:v>
                </c:pt>
                <c:pt idx="242">
                  <c:v>63.072600000000001</c:v>
                </c:pt>
                <c:pt idx="243">
                  <c:v>63.2761</c:v>
                </c:pt>
                <c:pt idx="244">
                  <c:v>63.310200000000002</c:v>
                </c:pt>
                <c:pt idx="245">
                  <c:v>63.876899999999999</c:v>
                </c:pt>
                <c:pt idx="246">
                  <c:v>63.522100000000002</c:v>
                </c:pt>
                <c:pt idx="247">
                  <c:v>63.721699999999998</c:v>
                </c:pt>
                <c:pt idx="248">
                  <c:v>64.155600000000007</c:v>
                </c:pt>
                <c:pt idx="249">
                  <c:v>64.414400000000001</c:v>
                </c:pt>
                <c:pt idx="250">
                  <c:v>64.516099999999994</c:v>
                </c:pt>
                <c:pt idx="251">
                  <c:v>64.773799999999994</c:v>
                </c:pt>
                <c:pt idx="252">
                  <c:v>65.080500000000001</c:v>
                </c:pt>
                <c:pt idx="253">
                  <c:v>65.017600000000002</c:v>
                </c:pt>
                <c:pt idx="254">
                  <c:v>65.204099999999997</c:v>
                </c:pt>
                <c:pt idx="255">
                  <c:v>64.943299999999994</c:v>
                </c:pt>
                <c:pt idx="256">
                  <c:v>65.098399999999998</c:v>
                </c:pt>
                <c:pt idx="257">
                  <c:v>65.255399999999995</c:v>
                </c:pt>
                <c:pt idx="258">
                  <c:v>65.194599999999994</c:v>
                </c:pt>
                <c:pt idx="259">
                  <c:v>65.528199999999998</c:v>
                </c:pt>
                <c:pt idx="260">
                  <c:v>66.015199999999993</c:v>
                </c:pt>
                <c:pt idx="261">
                  <c:v>66.3292</c:v>
                </c:pt>
                <c:pt idx="262">
                  <c:v>66.703800000000001</c:v>
                </c:pt>
                <c:pt idx="263">
                  <c:v>66.916399999999996</c:v>
                </c:pt>
                <c:pt idx="264">
                  <c:v>66.964200000000005</c:v>
                </c:pt>
                <c:pt idx="265">
                  <c:v>67.633499999999998</c:v>
                </c:pt>
                <c:pt idx="266">
                  <c:v>68.0334</c:v>
                </c:pt>
                <c:pt idx="267">
                  <c:v>68.353099999999998</c:v>
                </c:pt>
                <c:pt idx="268">
                  <c:v>68.800200000000004</c:v>
                </c:pt>
                <c:pt idx="269">
                  <c:v>68.886300000000006</c:v>
                </c:pt>
                <c:pt idx="270">
                  <c:v>69.341200000000001</c:v>
                </c:pt>
                <c:pt idx="271">
                  <c:v>69.557400000000001</c:v>
                </c:pt>
                <c:pt idx="272">
                  <c:v>70.119</c:v>
                </c:pt>
                <c:pt idx="273">
                  <c:v>70.594200000000001</c:v>
                </c:pt>
                <c:pt idx="274">
                  <c:v>71.281400000000005</c:v>
                </c:pt>
                <c:pt idx="275">
                  <c:v>71.430300000000003</c:v>
                </c:pt>
                <c:pt idx="276">
                  <c:v>71.334299999999999</c:v>
                </c:pt>
                <c:pt idx="277">
                  <c:v>71.445099999999996</c:v>
                </c:pt>
                <c:pt idx="278">
                  <c:v>71.328900000000004</c:v>
                </c:pt>
                <c:pt idx="279">
                  <c:v>71.66</c:v>
                </c:pt>
                <c:pt idx="280">
                  <c:v>71.896699999999996</c:v>
                </c:pt>
                <c:pt idx="281">
                  <c:v>71.592399999999998</c:v>
                </c:pt>
                <c:pt idx="282">
                  <c:v>72.533900000000003</c:v>
                </c:pt>
                <c:pt idx="283">
                  <c:v>72.824700000000007</c:v>
                </c:pt>
                <c:pt idx="284">
                  <c:v>72.712999999999994</c:v>
                </c:pt>
                <c:pt idx="285">
                  <c:v>72.888400000000004</c:v>
                </c:pt>
                <c:pt idx="286">
                  <c:v>73.142899999999997</c:v>
                </c:pt>
                <c:pt idx="287">
                  <c:v>72.747100000000003</c:v>
                </c:pt>
                <c:pt idx="288">
                  <c:v>73.787099999999995</c:v>
                </c:pt>
                <c:pt idx="289">
                  <c:v>73.674899999999994</c:v>
                </c:pt>
                <c:pt idx="290">
                  <c:v>74.415300000000002</c:v>
                </c:pt>
                <c:pt idx="291">
                  <c:v>74.971800000000002</c:v>
                </c:pt>
                <c:pt idx="292">
                  <c:v>75.531700000000001</c:v>
                </c:pt>
                <c:pt idx="293">
                  <c:v>75.532300000000006</c:v>
                </c:pt>
                <c:pt idx="294">
                  <c:v>75.912899999999993</c:v>
                </c:pt>
                <c:pt idx="295">
                  <c:v>76.403199999999998</c:v>
                </c:pt>
                <c:pt idx="296">
                  <c:v>76.393100000000004</c:v>
                </c:pt>
                <c:pt idx="297">
                  <c:v>77.0672</c:v>
                </c:pt>
                <c:pt idx="298">
                  <c:v>77.554299999999998</c:v>
                </c:pt>
                <c:pt idx="299">
                  <c:v>77.694500000000005</c:v>
                </c:pt>
                <c:pt idx="300">
                  <c:v>78.611999999999995</c:v>
                </c:pt>
                <c:pt idx="301">
                  <c:v>79.102099999999993</c:v>
                </c:pt>
                <c:pt idx="302">
                  <c:v>79.168300000000002</c:v>
                </c:pt>
                <c:pt idx="303">
                  <c:v>79.608400000000003</c:v>
                </c:pt>
                <c:pt idx="304">
                  <c:v>79.980199999999996</c:v>
                </c:pt>
                <c:pt idx="305">
                  <c:v>80.649199999999993</c:v>
                </c:pt>
                <c:pt idx="306">
                  <c:v>81.454800000000006</c:v>
                </c:pt>
                <c:pt idx="307">
                  <c:v>82.212000000000003</c:v>
                </c:pt>
                <c:pt idx="308">
                  <c:v>82.930899999999994</c:v>
                </c:pt>
                <c:pt idx="309">
                  <c:v>83.591899999999995</c:v>
                </c:pt>
                <c:pt idx="310">
                  <c:v>83.9696</c:v>
                </c:pt>
                <c:pt idx="311">
                  <c:v>84.346699999999998</c:v>
                </c:pt>
                <c:pt idx="312">
                  <c:v>84.486500000000007</c:v>
                </c:pt>
                <c:pt idx="313">
                  <c:v>84.521199999999993</c:v>
                </c:pt>
                <c:pt idx="314">
                  <c:v>84.827500000000001</c:v>
                </c:pt>
                <c:pt idx="315">
                  <c:v>85.3596</c:v>
                </c:pt>
                <c:pt idx="316">
                  <c:v>84.846599999999995</c:v>
                </c:pt>
                <c:pt idx="317">
                  <c:v>84.506100000000004</c:v>
                </c:pt>
                <c:pt idx="318">
                  <c:v>86.246399999999994</c:v>
                </c:pt>
                <c:pt idx="319">
                  <c:v>86.170699999999997</c:v>
                </c:pt>
                <c:pt idx="320">
                  <c:v>86.767099999999999</c:v>
                </c:pt>
                <c:pt idx="321">
                  <c:v>86.692899999999995</c:v>
                </c:pt>
                <c:pt idx="322">
                  <c:v>87.063299999999998</c:v>
                </c:pt>
                <c:pt idx="323">
                  <c:v>87.425200000000004</c:v>
                </c:pt>
                <c:pt idx="324">
                  <c:v>87.926000000000002</c:v>
                </c:pt>
                <c:pt idx="325">
                  <c:v>88.110100000000003</c:v>
                </c:pt>
                <c:pt idx="326">
                  <c:v>88.310599999999994</c:v>
                </c:pt>
                <c:pt idx="327">
                  <c:v>88.848699999999994</c:v>
                </c:pt>
                <c:pt idx="328">
                  <c:v>88.797799999999995</c:v>
                </c:pt>
                <c:pt idx="329">
                  <c:v>89.311899999999994</c:v>
                </c:pt>
                <c:pt idx="330">
                  <c:v>89.710899999999995</c:v>
                </c:pt>
                <c:pt idx="331">
                  <c:v>89.333100000000002</c:v>
                </c:pt>
                <c:pt idx="332">
                  <c:v>90.492400000000004</c:v>
                </c:pt>
                <c:pt idx="333">
                  <c:v>90.965000000000003</c:v>
                </c:pt>
                <c:pt idx="334">
                  <c:v>91.680400000000006</c:v>
                </c:pt>
                <c:pt idx="335">
                  <c:v>91.626099999999994</c:v>
                </c:pt>
                <c:pt idx="336">
                  <c:v>91.962599999999995</c:v>
                </c:pt>
                <c:pt idx="337">
                  <c:v>92.311800000000005</c:v>
                </c:pt>
                <c:pt idx="338">
                  <c:v>92.887200000000007</c:v>
                </c:pt>
                <c:pt idx="339">
                  <c:v>93.162000000000006</c:v>
                </c:pt>
                <c:pt idx="340">
                  <c:v>93.216800000000006</c:v>
                </c:pt>
                <c:pt idx="341">
                  <c:v>93.04</c:v>
                </c:pt>
                <c:pt idx="342">
                  <c:v>92.79</c:v>
                </c:pt>
                <c:pt idx="343">
                  <c:v>93.154700000000005</c:v>
                </c:pt>
                <c:pt idx="344">
                  <c:v>92.836100000000002</c:v>
                </c:pt>
                <c:pt idx="345">
                  <c:v>92.839500000000001</c:v>
                </c:pt>
                <c:pt idx="346">
                  <c:v>92.5334</c:v>
                </c:pt>
                <c:pt idx="347">
                  <c:v>92.0304</c:v>
                </c:pt>
                <c:pt idx="348">
                  <c:v>91.407899999999998</c:v>
                </c:pt>
                <c:pt idx="349">
                  <c:v>91.1751</c:v>
                </c:pt>
                <c:pt idx="350">
                  <c:v>90.8767</c:v>
                </c:pt>
                <c:pt idx="351">
                  <c:v>90.375</c:v>
                </c:pt>
                <c:pt idx="352">
                  <c:v>89.8626</c:v>
                </c:pt>
                <c:pt idx="353">
                  <c:v>89.328800000000001</c:v>
                </c:pt>
                <c:pt idx="354">
                  <c:v>89.220100000000002</c:v>
                </c:pt>
                <c:pt idx="355">
                  <c:v>88.747799999999998</c:v>
                </c:pt>
                <c:pt idx="356">
                  <c:v>88.475499999999997</c:v>
                </c:pt>
                <c:pt idx="357">
                  <c:v>87.963099999999997</c:v>
                </c:pt>
                <c:pt idx="358">
                  <c:v>87.932900000000004</c:v>
                </c:pt>
                <c:pt idx="359">
                  <c:v>88.545199999999994</c:v>
                </c:pt>
                <c:pt idx="360">
                  <c:v>88.536199999999994</c:v>
                </c:pt>
                <c:pt idx="361">
                  <c:v>89.209699999999998</c:v>
                </c:pt>
                <c:pt idx="362">
                  <c:v>89.638900000000007</c:v>
                </c:pt>
                <c:pt idx="363">
                  <c:v>90.027100000000004</c:v>
                </c:pt>
                <c:pt idx="364">
                  <c:v>90.764499999999998</c:v>
                </c:pt>
                <c:pt idx="365">
                  <c:v>90.743700000000004</c:v>
                </c:pt>
                <c:pt idx="366">
                  <c:v>90.626800000000003</c:v>
                </c:pt>
                <c:pt idx="367">
                  <c:v>90.724100000000007</c:v>
                </c:pt>
                <c:pt idx="368">
                  <c:v>90.487899999999996</c:v>
                </c:pt>
                <c:pt idx="369">
                  <c:v>90.982299999999995</c:v>
                </c:pt>
                <c:pt idx="370">
                  <c:v>90.491900000000001</c:v>
                </c:pt>
                <c:pt idx="371">
                  <c:v>91.239500000000007</c:v>
                </c:pt>
                <c:pt idx="372">
                  <c:v>91.338399999999993</c:v>
                </c:pt>
                <c:pt idx="373">
                  <c:v>91.069000000000003</c:v>
                </c:pt>
                <c:pt idx="374">
                  <c:v>90.491299999999995</c:v>
                </c:pt>
                <c:pt idx="375">
                  <c:v>90.469700000000003</c:v>
                </c:pt>
                <c:pt idx="376">
                  <c:v>90.5899</c:v>
                </c:pt>
                <c:pt idx="377">
                  <c:v>91.061400000000006</c:v>
                </c:pt>
                <c:pt idx="378">
                  <c:v>90.845200000000006</c:v>
                </c:pt>
                <c:pt idx="379">
                  <c:v>91.445300000000003</c:v>
                </c:pt>
                <c:pt idx="380">
                  <c:v>91.5595</c:v>
                </c:pt>
                <c:pt idx="381">
                  <c:v>92.176299999999998</c:v>
                </c:pt>
                <c:pt idx="382">
                  <c:v>92.253200000000007</c:v>
                </c:pt>
                <c:pt idx="383">
                  <c:v>92.406700000000001</c:v>
                </c:pt>
                <c:pt idx="384">
                  <c:v>92.968699999999998</c:v>
                </c:pt>
                <c:pt idx="385">
                  <c:v>92.6</c:v>
                </c:pt>
                <c:pt idx="386">
                  <c:v>92.976100000000002</c:v>
                </c:pt>
                <c:pt idx="387">
                  <c:v>93.644599999999997</c:v>
                </c:pt>
                <c:pt idx="388">
                  <c:v>92.930300000000003</c:v>
                </c:pt>
                <c:pt idx="389">
                  <c:v>93.610900000000001</c:v>
                </c:pt>
                <c:pt idx="390">
                  <c:v>93.695800000000006</c:v>
                </c:pt>
                <c:pt idx="391">
                  <c:v>93.7958</c:v>
                </c:pt>
                <c:pt idx="392">
                  <c:v>94.622600000000006</c:v>
                </c:pt>
                <c:pt idx="393">
                  <c:v>94.849100000000007</c:v>
                </c:pt>
                <c:pt idx="394">
                  <c:v>95.584100000000007</c:v>
                </c:pt>
                <c:pt idx="395">
                  <c:v>95.9285</c:v>
                </c:pt>
                <c:pt idx="396">
                  <c:v>96.628699999999995</c:v>
                </c:pt>
                <c:pt idx="397">
                  <c:v>96.490700000000004</c:v>
                </c:pt>
                <c:pt idx="398">
                  <c:v>96.680899999999994</c:v>
                </c:pt>
                <c:pt idx="399">
                  <c:v>96.792500000000004</c:v>
                </c:pt>
                <c:pt idx="400">
                  <c:v>97.19</c:v>
                </c:pt>
                <c:pt idx="401">
                  <c:v>96.898099999999999</c:v>
                </c:pt>
                <c:pt idx="402">
                  <c:v>97.222300000000004</c:v>
                </c:pt>
                <c:pt idx="403">
                  <c:v>95.346299999999999</c:v>
                </c:pt>
                <c:pt idx="404">
                  <c:v>96.498099999999994</c:v>
                </c:pt>
                <c:pt idx="405">
                  <c:v>97.564599999999999</c:v>
                </c:pt>
                <c:pt idx="406">
                  <c:v>98.022199999999998</c:v>
                </c:pt>
                <c:pt idx="407">
                  <c:v>98.204400000000007</c:v>
                </c:pt>
                <c:pt idx="408">
                  <c:v>98.240399999999994</c:v>
                </c:pt>
                <c:pt idx="409">
                  <c:v>98.474199999999996</c:v>
                </c:pt>
                <c:pt idx="410">
                  <c:v>98.776499999999999</c:v>
                </c:pt>
                <c:pt idx="411">
                  <c:v>98.788399999999996</c:v>
                </c:pt>
                <c:pt idx="412">
                  <c:v>99.106899999999996</c:v>
                </c:pt>
                <c:pt idx="413">
                  <c:v>99.035700000000006</c:v>
                </c:pt>
                <c:pt idx="414">
                  <c:v>99.458299999999994</c:v>
                </c:pt>
                <c:pt idx="415">
                  <c:v>99.254400000000004</c:v>
                </c:pt>
                <c:pt idx="416">
                  <c:v>99.151399999999995</c:v>
                </c:pt>
                <c:pt idx="417">
                  <c:v>99.097399999999993</c:v>
                </c:pt>
                <c:pt idx="418">
                  <c:v>100.1117</c:v>
                </c:pt>
                <c:pt idx="419">
                  <c:v>99.7226</c:v>
                </c:pt>
                <c:pt idx="420">
                  <c:v>100.6919</c:v>
                </c:pt>
                <c:pt idx="421">
                  <c:v>100.8857</c:v>
                </c:pt>
                <c:pt idx="422">
                  <c:v>101.57769999999999</c:v>
                </c:pt>
                <c:pt idx="423">
                  <c:v>101.6481</c:v>
                </c:pt>
                <c:pt idx="424">
                  <c:v>101.6741</c:v>
                </c:pt>
                <c:pt idx="425">
                  <c:v>101.56270000000001</c:v>
                </c:pt>
                <c:pt idx="426">
                  <c:v>101.77509999999999</c:v>
                </c:pt>
                <c:pt idx="427">
                  <c:v>102.0279</c:v>
                </c:pt>
                <c:pt idx="428">
                  <c:v>101.7289</c:v>
                </c:pt>
                <c:pt idx="429">
                  <c:v>102.3185</c:v>
                </c:pt>
                <c:pt idx="430">
                  <c:v>102.3074</c:v>
                </c:pt>
                <c:pt idx="431">
                  <c:v>102.1686</c:v>
                </c:pt>
                <c:pt idx="432">
                  <c:v>101.76730000000001</c:v>
                </c:pt>
                <c:pt idx="433">
                  <c:v>101.3986</c:v>
                </c:pt>
                <c:pt idx="434">
                  <c:v>100.7238</c:v>
                </c:pt>
                <c:pt idx="435">
                  <c:v>100.1399</c:v>
                </c:pt>
                <c:pt idx="436">
                  <c:v>99.914100000000005</c:v>
                </c:pt>
                <c:pt idx="437">
                  <c:v>99.494299999999996</c:v>
                </c:pt>
                <c:pt idx="438">
                  <c:v>97.936700000000002</c:v>
                </c:pt>
                <c:pt idx="439">
                  <c:v>93.658500000000004</c:v>
                </c:pt>
                <c:pt idx="440">
                  <c:v>94.584500000000006</c:v>
                </c:pt>
                <c:pt idx="441">
                  <c:v>93.345500000000001</c:v>
                </c:pt>
                <c:pt idx="442">
                  <c:v>90.718299999999999</c:v>
                </c:pt>
                <c:pt idx="443">
                  <c:v>88.468299999999999</c:v>
                </c:pt>
                <c:pt idx="444">
                  <c:v>87.936000000000007</c:v>
                </c:pt>
                <c:pt idx="445">
                  <c:v>86.550299999999993</c:v>
                </c:pt>
                <c:pt idx="446">
                  <c:v>85.859800000000007</c:v>
                </c:pt>
                <c:pt idx="447">
                  <c:v>84.999099999999999</c:v>
                </c:pt>
                <c:pt idx="448">
                  <c:v>84.727699999999999</c:v>
                </c:pt>
                <c:pt idx="449">
                  <c:v>85.709100000000007</c:v>
                </c:pt>
                <c:pt idx="450">
                  <c:v>86.633300000000006</c:v>
                </c:pt>
                <c:pt idx="451">
                  <c:v>87.361500000000007</c:v>
                </c:pt>
                <c:pt idx="452">
                  <c:v>87.5488</c:v>
                </c:pt>
                <c:pt idx="453">
                  <c:v>87.914400000000001</c:v>
                </c:pt>
                <c:pt idx="454">
                  <c:v>88.231800000000007</c:v>
                </c:pt>
                <c:pt idx="455">
                  <c:v>89.193600000000004</c:v>
                </c:pt>
                <c:pt idx="456">
                  <c:v>89.508899999999997</c:v>
                </c:pt>
                <c:pt idx="457">
                  <c:v>90.144900000000007</c:v>
                </c:pt>
                <c:pt idx="458">
                  <c:v>90.474000000000004</c:v>
                </c:pt>
                <c:pt idx="459">
                  <c:v>91.713099999999997</c:v>
                </c:pt>
                <c:pt idx="460">
                  <c:v>91.928700000000006</c:v>
                </c:pt>
                <c:pt idx="461">
                  <c:v>92.273700000000005</c:v>
                </c:pt>
                <c:pt idx="462">
                  <c:v>92.614999999999995</c:v>
                </c:pt>
                <c:pt idx="463">
                  <c:v>92.866799999999998</c:v>
                </c:pt>
                <c:pt idx="464">
                  <c:v>92.613799999999998</c:v>
                </c:pt>
                <c:pt idx="465">
                  <c:v>92.677199999999999</c:v>
                </c:pt>
                <c:pt idx="466">
                  <c:v>93.574100000000001</c:v>
                </c:pt>
                <c:pt idx="467">
                  <c:v>93.379300000000001</c:v>
                </c:pt>
                <c:pt idx="468">
                  <c:v>93.005099999999999</c:v>
                </c:pt>
                <c:pt idx="469">
                  <c:v>93.977999999999994</c:v>
                </c:pt>
                <c:pt idx="470">
                  <c:v>93.652500000000003</c:v>
                </c:pt>
                <c:pt idx="471">
                  <c:v>93.787800000000004</c:v>
                </c:pt>
                <c:pt idx="472">
                  <c:v>94.037800000000004</c:v>
                </c:pt>
                <c:pt idx="473">
                  <c:v>94.514600000000002</c:v>
                </c:pt>
                <c:pt idx="474">
                  <c:v>95.126300000000001</c:v>
                </c:pt>
                <c:pt idx="475">
                  <c:v>95.0732</c:v>
                </c:pt>
                <c:pt idx="476">
                  <c:v>95.729100000000003</c:v>
                </c:pt>
                <c:pt idx="477">
                  <c:v>95.745500000000007</c:v>
                </c:pt>
                <c:pt idx="478">
                  <c:v>96.214699999999993</c:v>
                </c:pt>
                <c:pt idx="479">
                  <c:v>96.805099999999996</c:v>
                </c:pt>
                <c:pt idx="480">
                  <c:v>97.103300000000004</c:v>
                </c:pt>
                <c:pt idx="481">
                  <c:v>96.597300000000004</c:v>
                </c:pt>
                <c:pt idx="482">
                  <c:v>97.300600000000003</c:v>
                </c:pt>
                <c:pt idx="483">
                  <c:v>97.504599999999996</c:v>
                </c:pt>
                <c:pt idx="484">
                  <c:v>97.490300000000005</c:v>
                </c:pt>
                <c:pt idx="485">
                  <c:v>97.723399999999998</c:v>
                </c:pt>
                <c:pt idx="486">
                  <c:v>97.313000000000002</c:v>
                </c:pt>
                <c:pt idx="487">
                  <c:v>97.240499999999997</c:v>
                </c:pt>
                <c:pt idx="488">
                  <c:v>97.561000000000007</c:v>
                </c:pt>
                <c:pt idx="489">
                  <c:v>97.9589</c:v>
                </c:pt>
                <c:pt idx="490">
                  <c:v>98.206100000000006</c:v>
                </c:pt>
                <c:pt idx="491">
                  <c:v>98.198999999999998</c:v>
                </c:pt>
                <c:pt idx="492">
                  <c:v>98.683499999999995</c:v>
                </c:pt>
                <c:pt idx="493">
                  <c:v>99.099400000000003</c:v>
                </c:pt>
                <c:pt idx="494">
                  <c:v>98.989800000000002</c:v>
                </c:pt>
                <c:pt idx="495">
                  <c:v>99.078199999999995</c:v>
                </c:pt>
                <c:pt idx="496">
                  <c:v>99.214100000000002</c:v>
                </c:pt>
                <c:pt idx="497">
                  <c:v>98.913200000000003</c:v>
                </c:pt>
                <c:pt idx="498">
                  <c:v>99.489099999999993</c:v>
                </c:pt>
                <c:pt idx="499">
                  <c:v>100.0172</c:v>
                </c:pt>
                <c:pt idx="500">
                  <c:v>99.903800000000004</c:v>
                </c:pt>
                <c:pt idx="501">
                  <c:v>100.14790000000001</c:v>
                </c:pt>
                <c:pt idx="502">
                  <c:v>100.35760000000001</c:v>
                </c:pt>
                <c:pt idx="503">
                  <c:v>99.982799999999997</c:v>
                </c:pt>
                <c:pt idx="504">
                  <c:v>100.74850000000001</c:v>
                </c:pt>
                <c:pt idx="505">
                  <c:v>101.73909999999999</c:v>
                </c:pt>
                <c:pt idx="506">
                  <c:v>101.8023</c:v>
                </c:pt>
                <c:pt idx="507">
                  <c:v>102.2116</c:v>
                </c:pt>
                <c:pt idx="508">
                  <c:v>102.5637</c:v>
                </c:pt>
                <c:pt idx="509">
                  <c:v>102.8425</c:v>
                </c:pt>
                <c:pt idx="510">
                  <c:v>102.6499</c:v>
                </c:pt>
                <c:pt idx="511">
                  <c:v>102.96469999999999</c:v>
                </c:pt>
                <c:pt idx="512">
                  <c:v>102.9704</c:v>
                </c:pt>
                <c:pt idx="513">
                  <c:v>103.60169999999999</c:v>
                </c:pt>
                <c:pt idx="514">
                  <c:v>103.592</c:v>
                </c:pt>
                <c:pt idx="515">
                  <c:v>102.798</c:v>
                </c:pt>
                <c:pt idx="516">
                  <c:v>102.1554</c:v>
                </c:pt>
                <c:pt idx="517">
                  <c:v>101.8077</c:v>
                </c:pt>
                <c:pt idx="518">
                  <c:v>101.2285</c:v>
                </c:pt>
                <c:pt idx="519">
                  <c:v>100.75360000000001</c:v>
                </c:pt>
                <c:pt idx="520">
                  <c:v>100.4529</c:v>
                </c:pt>
                <c:pt idx="521">
                  <c:v>101.11</c:v>
                </c:pt>
                <c:pt idx="522">
                  <c:v>100.8802</c:v>
                </c:pt>
                <c:pt idx="523">
                  <c:v>100.608</c:v>
                </c:pt>
                <c:pt idx="524">
                  <c:v>100.151</c:v>
                </c:pt>
                <c:pt idx="525">
                  <c:v>99.381699999999995</c:v>
                </c:pt>
                <c:pt idx="526">
                  <c:v>98.857200000000006</c:v>
                </c:pt>
                <c:pt idx="527">
                  <c:v>99.408600000000007</c:v>
                </c:pt>
                <c:pt idx="528">
                  <c:v>98.894599999999997</c:v>
                </c:pt>
                <c:pt idx="529">
                  <c:v>98.138499999999993</c:v>
                </c:pt>
                <c:pt idx="530">
                  <c:v>98.436400000000006</c:v>
                </c:pt>
                <c:pt idx="531">
                  <c:v>98.209599999999995</c:v>
                </c:pt>
                <c:pt idx="532">
                  <c:v>98.676599999999993</c:v>
                </c:pt>
                <c:pt idx="533">
                  <c:v>98.837100000000007</c:v>
                </c:pt>
                <c:pt idx="534">
                  <c:v>98.730199999999996</c:v>
                </c:pt>
                <c:pt idx="535">
                  <c:v>98.628699999999995</c:v>
                </c:pt>
                <c:pt idx="536">
                  <c:v>98.712599999999995</c:v>
                </c:pt>
                <c:pt idx="537">
                  <c:v>98.300399999999996</c:v>
                </c:pt>
                <c:pt idx="538">
                  <c:v>98.906300000000002</c:v>
                </c:pt>
                <c:pt idx="539">
                  <c:v>98.734899999999996</c:v>
                </c:pt>
                <c:pt idx="540">
                  <c:v>98.4178</c:v>
                </c:pt>
                <c:pt idx="541">
                  <c:v>99.072599999999994</c:v>
                </c:pt>
                <c:pt idx="542">
                  <c:v>100.0545</c:v>
                </c:pt>
                <c:pt idx="543">
                  <c:v>100.139</c:v>
                </c:pt>
                <c:pt idx="544">
                  <c:v>100.31480000000001</c:v>
                </c:pt>
                <c:pt idx="545">
                  <c:v>100.1418</c:v>
                </c:pt>
                <c:pt idx="546">
                  <c:v>99.687799999999996</c:v>
                </c:pt>
                <c:pt idx="547">
                  <c:v>99.782899999999998</c:v>
                </c:pt>
                <c:pt idx="548">
                  <c:v>101.0401</c:v>
                </c:pt>
                <c:pt idx="549">
                  <c:v>101.226</c:v>
                </c:pt>
                <c:pt idx="550">
                  <c:v>101.3878</c:v>
                </c:pt>
                <c:pt idx="551">
                  <c:v>101.345</c:v>
                </c:pt>
                <c:pt idx="552">
                  <c:v>101.7068</c:v>
                </c:pt>
                <c:pt idx="553">
                  <c:v>102.27849999999999</c:v>
                </c:pt>
                <c:pt idx="554">
                  <c:v>103.434</c:v>
                </c:pt>
                <c:pt idx="555">
                  <c:v>102.4735</c:v>
                </c:pt>
                <c:pt idx="556">
                  <c:v>103.2508</c:v>
                </c:pt>
                <c:pt idx="557">
                  <c:v>103.4588</c:v>
                </c:pt>
                <c:pt idx="558">
                  <c:v>104.1802</c:v>
                </c:pt>
                <c:pt idx="559">
                  <c:v>104.1665</c:v>
                </c:pt>
                <c:pt idx="560">
                  <c:v>104.0476</c:v>
                </c:pt>
                <c:pt idx="561">
                  <c:v>103.9603</c:v>
                </c:pt>
                <c:pt idx="562">
                  <c:v>103.869</c:v>
                </c:pt>
                <c:pt idx="563">
                  <c:v>103.2684</c:v>
                </c:pt>
                <c:pt idx="564">
                  <c:v>102.81570000000001</c:v>
                </c:pt>
                <c:pt idx="565">
                  <c:v>102.9</c:v>
                </c:pt>
                <c:pt idx="566">
                  <c:v>102.3826</c:v>
                </c:pt>
                <c:pt idx="567">
                  <c:v>102.57559999999999</c:v>
                </c:pt>
                <c:pt idx="568">
                  <c:v>102.5928</c:v>
                </c:pt>
                <c:pt idx="569">
                  <c:v>102.2012</c:v>
                </c:pt>
                <c:pt idx="570">
                  <c:v>102.90860000000001</c:v>
                </c:pt>
                <c:pt idx="571">
                  <c:v>102.57899999999999</c:v>
                </c:pt>
                <c:pt idx="572">
                  <c:v>101.7775</c:v>
                </c:pt>
                <c:pt idx="573">
                  <c:v>102.0979</c:v>
                </c:pt>
                <c:pt idx="574">
                  <c:v>101.7632</c:v>
                </c:pt>
                <c:pt idx="575">
                  <c:v>101.303</c:v>
                </c:pt>
                <c:pt idx="576">
                  <c:v>101.7038</c:v>
                </c:pt>
                <c:pt idx="577">
                  <c:v>97.874600000000001</c:v>
                </c:pt>
                <c:pt idx="578">
                  <c:v>84.959000000000003</c:v>
                </c:pt>
                <c:pt idx="579">
                  <c:v>86.334500000000006</c:v>
                </c:pt>
                <c:pt idx="580">
                  <c:v>91.752300000000005</c:v>
                </c:pt>
                <c:pt idx="581">
                  <c:v>95.243899999999996</c:v>
                </c:pt>
                <c:pt idx="582">
                  <c:v>96.1173</c:v>
                </c:pt>
                <c:pt idx="583">
                  <c:v>96.071100000000001</c:v>
                </c:pt>
                <c:pt idx="584">
                  <c:v>96.825000000000003</c:v>
                </c:pt>
                <c:pt idx="585">
                  <c:v>97.118300000000005</c:v>
                </c:pt>
                <c:pt idx="586">
                  <c:v>98.138000000000005</c:v>
                </c:pt>
                <c:pt idx="587">
                  <c:v>99.264499999999998</c:v>
                </c:pt>
                <c:pt idx="588">
                  <c:v>96.223100000000002</c:v>
                </c:pt>
                <c:pt idx="589">
                  <c:v>98.862099999999998</c:v>
                </c:pt>
                <c:pt idx="590">
                  <c:v>99.024600000000007</c:v>
                </c:pt>
                <c:pt idx="591">
                  <c:v>99.778499999999994</c:v>
                </c:pt>
                <c:pt idx="592">
                  <c:v>100.1923</c:v>
                </c:pt>
                <c:pt idx="593">
                  <c:v>100.8724</c:v>
                </c:pt>
                <c:pt idx="594">
                  <c:v>100.837</c:v>
                </c:pt>
                <c:pt idx="595">
                  <c:v>99.849800000000002</c:v>
                </c:pt>
                <c:pt idx="596">
                  <c:v>101.36020000000001</c:v>
                </c:pt>
                <c:pt idx="597">
                  <c:v>101.961</c:v>
                </c:pt>
                <c:pt idx="598">
                  <c:v>101.7587</c:v>
                </c:pt>
                <c:pt idx="599">
                  <c:v>102.146</c:v>
                </c:pt>
                <c:pt idx="600">
                  <c:v>102.89870000000001</c:v>
                </c:pt>
                <c:pt idx="601">
                  <c:v>103.57170000000001</c:v>
                </c:pt>
                <c:pt idx="602">
                  <c:v>104.2709</c:v>
                </c:pt>
                <c:pt idx="603">
                  <c:v>104.16459999999999</c:v>
                </c:pt>
                <c:pt idx="604">
                  <c:v>103.9464</c:v>
                </c:pt>
                <c:pt idx="605">
                  <c:v>104.4824</c:v>
                </c:pt>
                <c:pt idx="606">
                  <c:v>104.36969999999999</c:v>
                </c:pt>
                <c:pt idx="607">
                  <c:v>104.574</c:v>
                </c:pt>
                <c:pt idx="608">
                  <c:v>104.59269999999999</c:v>
                </c:pt>
                <c:pt idx="609">
                  <c:v>103.9846</c:v>
                </c:pt>
                <c:pt idx="610">
                  <c:v>102.9256</c:v>
                </c:pt>
                <c:pt idx="611">
                  <c:v>102.9525</c:v>
                </c:pt>
              </c:numCache>
            </c:numRef>
          </c:val>
          <c:smooth val="0"/>
          <c:extLst>
            <c:ext xmlns:c16="http://schemas.microsoft.com/office/drawing/2014/chart" uri="{C3380CC4-5D6E-409C-BE32-E72D297353CC}">
              <c16:uniqueId val="{00000000-2439-4DBC-B12A-D775026F0DB3}"/>
            </c:ext>
          </c:extLst>
        </c:ser>
        <c:dLbls>
          <c:showLegendKey val="0"/>
          <c:showVal val="0"/>
          <c:showCatName val="0"/>
          <c:showSerName val="0"/>
          <c:showPercent val="0"/>
          <c:showBubbleSize val="0"/>
        </c:dLbls>
        <c:smooth val="0"/>
        <c:axId val="489545072"/>
        <c:axId val="489545464"/>
      </c:lineChart>
      <c:dateAx>
        <c:axId val="4895450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Production'!$X$1</c:f>
          <c:strCache>
            <c:ptCount val="1"/>
            <c:pt idx="0">
              <c:v>Industrial Production Index  since 2000 - </c:v>
            </c:pt>
          </c:strCache>
        </c:strRef>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Production'!$A$343:$A$630</c:f>
              <c:numCache>
                <c:formatCode>mmm\-yy</c:formatCode>
                <c:ptCount val="28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'Industrial Production'!$B$343:$B$630</c:f>
              <c:numCache>
                <c:formatCode>0.0</c:formatCode>
                <c:ptCount val="288"/>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104.4824</c:v>
                </c:pt>
                <c:pt idx="271">
                  <c:v>104.36969999999999</c:v>
                </c:pt>
                <c:pt idx="272">
                  <c:v>104.574</c:v>
                </c:pt>
                <c:pt idx="273">
                  <c:v>104.59269999999999</c:v>
                </c:pt>
                <c:pt idx="274">
                  <c:v>103.9846</c:v>
                </c:pt>
                <c:pt idx="275">
                  <c:v>102.9256</c:v>
                </c:pt>
                <c:pt idx="276">
                  <c:v>102.9525</c:v>
                </c:pt>
              </c:numCache>
            </c:numRef>
          </c:val>
          <c:smooth val="0"/>
          <c:extLst>
            <c:ext xmlns:c16="http://schemas.microsoft.com/office/drawing/2014/chart" uri="{C3380CC4-5D6E-409C-BE32-E72D297353CC}">
              <c16:uniqueId val="{00000000-E462-4FC2-B98D-76CAA706ADE6}"/>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Production'!$A$20:$A$622</c:f>
              <c:numCache>
                <c:formatCode>mmm\-yy</c:formatCode>
                <c:ptCount val="60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'Industrial Production'!$D$20:$D$622</c:f>
              <c:numCache>
                <c:formatCode>0.0%</c:formatCode>
                <c:ptCount val="603"/>
                <c:pt idx="0">
                  <c:v>0.1020237188822114</c:v>
                </c:pt>
                <c:pt idx="1">
                  <c:v>9.489667323292264E-2</c:v>
                </c:pt>
                <c:pt idx="2">
                  <c:v>8.2698421930130606E-2</c:v>
                </c:pt>
                <c:pt idx="3">
                  <c:v>8.973700406584828E-2</c:v>
                </c:pt>
                <c:pt idx="4">
                  <c:v>8.8139763065932672E-2</c:v>
                </c:pt>
                <c:pt idx="5">
                  <c:v>9.339610545135206E-2</c:v>
                </c:pt>
                <c:pt idx="6">
                  <c:v>7.6989161094486017E-2</c:v>
                </c:pt>
                <c:pt idx="7">
                  <c:v>7.7147133208930393E-2</c:v>
                </c:pt>
                <c:pt idx="8">
                  <c:v>7.1972787525277776E-2</c:v>
                </c:pt>
                <c:pt idx="9">
                  <c:v>6.4369967305537221E-2</c:v>
                </c:pt>
                <c:pt idx="10">
                  <c:v>4.9461382926466964E-2</c:v>
                </c:pt>
                <c:pt idx="11">
                  <c:v>3.5048440842287802E-2</c:v>
                </c:pt>
                <c:pt idx="12">
                  <c:v>1.723675325662611E-2</c:v>
                </c:pt>
                <c:pt idx="13">
                  <c:v>1.6800205616458248E-2</c:v>
                </c:pt>
                <c:pt idx="14">
                  <c:v>1.5316194475157916E-2</c:v>
                </c:pt>
                <c:pt idx="15">
                  <c:v>1.667626478350873E-2</c:v>
                </c:pt>
                <c:pt idx="16">
                  <c:v>1.3621109721781169E-2</c:v>
                </c:pt>
                <c:pt idx="17">
                  <c:v>1.1596364215668857E-2</c:v>
                </c:pt>
                <c:pt idx="18">
                  <c:v>2.3243549859519588E-3</c:v>
                </c:pt>
                <c:pt idx="19">
                  <c:v>-5.3664627953092583E-3</c:v>
                </c:pt>
                <c:pt idx="20">
                  <c:v>-1.6400199768390696E-2</c:v>
                </c:pt>
                <c:pt idx="21">
                  <c:v>-5.3176570701654532E-2</c:v>
                </c:pt>
                <c:pt idx="22">
                  <c:v>-8.4448692047789764E-2</c:v>
                </c:pt>
                <c:pt idx="23">
                  <c:v>-9.1054530153540036E-2</c:v>
                </c:pt>
                <c:pt idx="24">
                  <c:v>-0.10915681029385577</c:v>
                </c:pt>
                <c:pt idx="25">
                  <c:v>-0.11903673354551685</c:v>
                </c:pt>
                <c:pt idx="26">
                  <c:v>-0.1148481675392669</c:v>
                </c:pt>
                <c:pt idx="27">
                  <c:v>-0.12431518608348764</c:v>
                </c:pt>
                <c:pt idx="28">
                  <c:v>-0.11701176625254729</c:v>
                </c:pt>
                <c:pt idx="29">
                  <c:v>-0.10957954299387775</c:v>
                </c:pt>
                <c:pt idx="30">
                  <c:v>-9.1208934536218103E-2</c:v>
                </c:pt>
                <c:pt idx="31">
                  <c:v>-7.9662526717371701E-2</c:v>
                </c:pt>
                <c:pt idx="32">
                  <c:v>-7.2814188567462856E-2</c:v>
                </c:pt>
                <c:pt idx="33">
                  <c:v>-3.9880043470485543E-2</c:v>
                </c:pt>
                <c:pt idx="34">
                  <c:v>9.3472166409464888E-3</c:v>
                </c:pt>
                <c:pt idx="35">
                  <c:v>3.7128390596744928E-2</c:v>
                </c:pt>
                <c:pt idx="36">
                  <c:v>7.2108860322238372E-2</c:v>
                </c:pt>
                <c:pt idx="37">
                  <c:v>8.6235890577750246E-2</c:v>
                </c:pt>
                <c:pt idx="38">
                  <c:v>8.9822104117531318E-2</c:v>
                </c:pt>
                <c:pt idx="39">
                  <c:v>9.7302940317033598E-2</c:v>
                </c:pt>
                <c:pt idx="40">
                  <c:v>9.1643154741964411E-2</c:v>
                </c:pt>
                <c:pt idx="41">
                  <c:v>8.6368258927913402E-2</c:v>
                </c:pt>
                <c:pt idx="42">
                  <c:v>8.3354820505086302E-2</c:v>
                </c:pt>
                <c:pt idx="43">
                  <c:v>7.299822277727086E-2</c:v>
                </c:pt>
                <c:pt idx="44">
                  <c:v>6.8211329814836408E-2</c:v>
                </c:pt>
                <c:pt idx="45">
                  <c:v>8.3044387769722394E-2</c:v>
                </c:pt>
                <c:pt idx="46">
                  <c:v>7.9798060704290463E-2</c:v>
                </c:pt>
                <c:pt idx="47">
                  <c:v>5.8414642368109712E-2</c:v>
                </c:pt>
                <c:pt idx="48">
                  <c:v>6.4559336271475073E-2</c:v>
                </c:pt>
                <c:pt idx="49">
                  <c:v>7.5792621721383999E-2</c:v>
                </c:pt>
                <c:pt idx="50">
                  <c:v>8.0679992595859534E-2</c:v>
                </c:pt>
                <c:pt idx="51">
                  <c:v>8.4778051661625276E-2</c:v>
                </c:pt>
                <c:pt idx="52">
                  <c:v>9.1557972167540302E-2</c:v>
                </c:pt>
                <c:pt idx="53">
                  <c:v>8.7201020228194592E-2</c:v>
                </c:pt>
                <c:pt idx="54">
                  <c:v>8.0720308061926871E-2</c:v>
                </c:pt>
                <c:pt idx="55">
                  <c:v>8.1770466118292237E-2</c:v>
                </c:pt>
                <c:pt idx="56">
                  <c:v>8.354470052272811E-2</c:v>
                </c:pt>
                <c:pt idx="57">
                  <c:v>6.9197865678881781E-2</c:v>
                </c:pt>
                <c:pt idx="58">
                  <c:v>5.9523471878906553E-2</c:v>
                </c:pt>
                <c:pt idx="59">
                  <c:v>5.1434734095361999E-2</c:v>
                </c:pt>
                <c:pt idx="60">
                  <c:v>4.0461165625736394E-2</c:v>
                </c:pt>
                <c:pt idx="61">
                  <c:v>4.7393435762539675E-2</c:v>
                </c:pt>
                <c:pt idx="62">
                  <c:v>5.7860257391657476E-2</c:v>
                </c:pt>
                <c:pt idx="63">
                  <c:v>5.4783081238840479E-2</c:v>
                </c:pt>
                <c:pt idx="64">
                  <c:v>5.3609359511532811E-2</c:v>
                </c:pt>
                <c:pt idx="65">
                  <c:v>5.1329086412974602E-2</c:v>
                </c:pt>
                <c:pt idx="66">
                  <c:v>5.4656513925391836E-2</c:v>
                </c:pt>
                <c:pt idx="67">
                  <c:v>5.286070166436295E-2</c:v>
                </c:pt>
                <c:pt idx="68">
                  <c:v>5.9516873478866257E-2</c:v>
                </c:pt>
                <c:pt idx="69">
                  <c:v>6.560409466225621E-2</c:v>
                </c:pt>
                <c:pt idx="70">
                  <c:v>6.9524750844246697E-2</c:v>
                </c:pt>
                <c:pt idx="71">
                  <c:v>7.8994261457760978E-2</c:v>
                </c:pt>
                <c:pt idx="72">
                  <c:v>7.8569157855149618E-2</c:v>
                </c:pt>
                <c:pt idx="73">
                  <c:v>6.1387862269724057E-2</c:v>
                </c:pt>
                <c:pt idx="74">
                  <c:v>2.8561148202934379E-2</c:v>
                </c:pt>
                <c:pt idx="75">
                  <c:v>3.251133341422708E-2</c:v>
                </c:pt>
                <c:pt idx="76">
                  <c:v>2.5947792125137672E-2</c:v>
                </c:pt>
                <c:pt idx="77">
                  <c:v>2.5240406014650871E-2</c:v>
                </c:pt>
                <c:pt idx="78">
                  <c:v>1.4337440063669462E-2</c:v>
                </c:pt>
                <c:pt idx="79">
                  <c:v>1.1773468328957504E-2</c:v>
                </c:pt>
                <c:pt idx="80">
                  <c:v>1.09199896260099E-2</c:v>
                </c:pt>
                <c:pt idx="81">
                  <c:v>1.6526782483158729E-3</c:v>
                </c:pt>
                <c:pt idx="82">
                  <c:v>-2.7531555398108906E-3</c:v>
                </c:pt>
                <c:pt idx="83">
                  <c:v>8.0734627023448195E-3</c:v>
                </c:pt>
                <c:pt idx="84">
                  <c:v>3.4714128573272288E-3</c:v>
                </c:pt>
                <c:pt idx="85">
                  <c:v>-3.8028144668281342E-3</c:v>
                </c:pt>
                <c:pt idx="86">
                  <c:v>-1.1843404308247254E-2</c:v>
                </c:pt>
                <c:pt idx="87">
                  <c:v>-4.4530411647185957E-2</c:v>
                </c:pt>
                <c:pt idx="88">
                  <c:v>-5.6728707469363322E-2</c:v>
                </c:pt>
                <c:pt idx="89">
                  <c:v>-6.2069471190025031E-2</c:v>
                </c:pt>
                <c:pt idx="90">
                  <c:v>-5.2930666148766757E-2</c:v>
                </c:pt>
                <c:pt idx="91">
                  <c:v>-3.7065380588796229E-2</c:v>
                </c:pt>
                <c:pt idx="92">
                  <c:v>-3.1563150412502551E-2</c:v>
                </c:pt>
                <c:pt idx="93">
                  <c:v>-1.3858432623441956E-2</c:v>
                </c:pt>
                <c:pt idx="94">
                  <c:v>-7.8536760532382718E-3</c:v>
                </c:pt>
                <c:pt idx="95">
                  <c:v>-1.9246096908448012E-2</c:v>
                </c:pt>
                <c:pt idx="96">
                  <c:v>-2.3699411978137741E-2</c:v>
                </c:pt>
                <c:pt idx="97">
                  <c:v>-1.461382297994736E-2</c:v>
                </c:pt>
                <c:pt idx="98">
                  <c:v>8.0636596427609817E-4</c:v>
                </c:pt>
                <c:pt idx="99">
                  <c:v>3.1940913041111234E-2</c:v>
                </c:pt>
                <c:pt idx="100">
                  <c:v>5.0804601926796381E-2</c:v>
                </c:pt>
                <c:pt idx="101">
                  <c:v>6.5160772696414251E-2</c:v>
                </c:pt>
                <c:pt idx="102">
                  <c:v>6.045984177046456E-2</c:v>
                </c:pt>
                <c:pt idx="103">
                  <c:v>3.8003969630711461E-2</c:v>
                </c:pt>
                <c:pt idx="104">
                  <c:v>1.7063765541033036E-2</c:v>
                </c:pt>
                <c:pt idx="105">
                  <c:v>-1.1143807624339327E-2</c:v>
                </c:pt>
                <c:pt idx="106">
                  <c:v>-2.8297003732200055E-2</c:v>
                </c:pt>
                <c:pt idx="107">
                  <c:v>-4.2184954254919221E-2</c:v>
                </c:pt>
                <c:pt idx="108">
                  <c:v>-1.8586030195416804E-2</c:v>
                </c:pt>
                <c:pt idx="109">
                  <c:v>-3.0161981737679242E-2</c:v>
                </c:pt>
                <c:pt idx="110">
                  <c:v>-3.4818733492642411E-2</c:v>
                </c:pt>
                <c:pt idx="111">
                  <c:v>-4.6861200340766074E-2</c:v>
                </c:pt>
                <c:pt idx="112">
                  <c:v>-5.4208390347057989E-2</c:v>
                </c:pt>
                <c:pt idx="113">
                  <c:v>-6.3544394743551155E-2</c:v>
                </c:pt>
                <c:pt idx="114">
                  <c:v>-7.0698026991330959E-2</c:v>
                </c:pt>
                <c:pt idx="115">
                  <c:v>-6.8600188494087708E-2</c:v>
                </c:pt>
                <c:pt idx="116">
                  <c:v>-7.0280538555691607E-2</c:v>
                </c:pt>
                <c:pt idx="117">
                  <c:v>-6.2469042854595501E-2</c:v>
                </c:pt>
                <c:pt idx="118">
                  <c:v>-5.9177273491881704E-2</c:v>
                </c:pt>
                <c:pt idx="119">
                  <c:v>-2.1653438666650326E-2</c:v>
                </c:pt>
                <c:pt idx="120">
                  <c:v>-4.6954329976638155E-2</c:v>
                </c:pt>
                <c:pt idx="121">
                  <c:v>-3.2463772793938188E-2</c:v>
                </c:pt>
                <c:pt idx="122">
                  <c:v>-1.1365255952405322E-2</c:v>
                </c:pt>
                <c:pt idx="123">
                  <c:v>1.7260995684750177E-3</c:v>
                </c:pt>
                <c:pt idx="124">
                  <c:v>1.0176611056994713E-2</c:v>
                </c:pt>
                <c:pt idx="125">
                  <c:v>2.8894759963123674E-2</c:v>
                </c:pt>
                <c:pt idx="126">
                  <c:v>5.051095680328941E-2</c:v>
                </c:pt>
                <c:pt idx="127">
                  <c:v>6.8551626006930863E-2</c:v>
                </c:pt>
                <c:pt idx="128">
                  <c:v>8.7208102153187736E-2</c:v>
                </c:pt>
                <c:pt idx="129">
                  <c:v>9.5562130177514762E-2</c:v>
                </c:pt>
                <c:pt idx="130">
                  <c:v>0.10884117723434648</c:v>
                </c:pt>
                <c:pt idx="131">
                  <c:v>0.11039176800279191</c:v>
                </c:pt>
                <c:pt idx="132">
                  <c:v>0.12213586395524607</c:v>
                </c:pt>
                <c:pt idx="133">
                  <c:v>0.11825504223319903</c:v>
                </c:pt>
                <c:pt idx="134">
                  <c:v>0.11106053990823053</c:v>
                </c:pt>
                <c:pt idx="135">
                  <c:v>0.10999555916643311</c:v>
                </c:pt>
                <c:pt idx="136">
                  <c:v>0.10727116637304251</c:v>
                </c:pt>
                <c:pt idx="137">
                  <c:v>9.4196318501903242E-2</c:v>
                </c:pt>
                <c:pt idx="138">
                  <c:v>8.2574186430236757E-2</c:v>
                </c:pt>
                <c:pt idx="139">
                  <c:v>6.4021009059668857E-2</c:v>
                </c:pt>
                <c:pt idx="140">
                  <c:v>5.5475366131991624E-2</c:v>
                </c:pt>
                <c:pt idx="141">
                  <c:v>5.434589714902973E-2</c:v>
                </c:pt>
                <c:pt idx="142">
                  <c:v>4.9801515698303864E-2</c:v>
                </c:pt>
                <c:pt idx="143">
                  <c:v>2.8525561402320185E-2</c:v>
                </c:pt>
                <c:pt idx="144">
                  <c:v>2.6989506578762416E-2</c:v>
                </c:pt>
                <c:pt idx="145">
                  <c:v>2.3613032663700694E-2</c:v>
                </c:pt>
                <c:pt idx="146">
                  <c:v>1.5462723196494391E-2</c:v>
                </c:pt>
                <c:pt idx="147">
                  <c:v>1.1629879276395725E-2</c:v>
                </c:pt>
                <c:pt idx="148">
                  <c:v>7.5566611793755709E-3</c:v>
                </c:pt>
                <c:pt idx="149">
                  <c:v>-5.184432048217333E-4</c:v>
                </c:pt>
                <c:pt idx="150">
                  <c:v>1.5570965912210524E-3</c:v>
                </c:pt>
                <c:pt idx="151">
                  <c:v>8.1970973430541185E-3</c:v>
                </c:pt>
                <c:pt idx="152">
                  <c:v>5.07735346163156E-3</c:v>
                </c:pt>
                <c:pt idx="153">
                  <c:v>5.1153141088266995E-3</c:v>
                </c:pt>
                <c:pt idx="154">
                  <c:v>1.4725027976273241E-2</c:v>
                </c:pt>
                <c:pt idx="155">
                  <c:v>2.0671357078160302E-2</c:v>
                </c:pt>
                <c:pt idx="156">
                  <c:v>1.0626284959565448E-2</c:v>
                </c:pt>
                <c:pt idx="157">
                  <c:v>1.8634626524197094E-3</c:v>
                </c:pt>
                <c:pt idx="158">
                  <c:v>5.1256496048979593E-3</c:v>
                </c:pt>
                <c:pt idx="159">
                  <c:v>5.4692511809646092E-3</c:v>
                </c:pt>
                <c:pt idx="160">
                  <c:v>2.1644745359690612E-3</c:v>
                </c:pt>
                <c:pt idx="161">
                  <c:v>1.349384693776561E-2</c:v>
                </c:pt>
                <c:pt idx="162">
                  <c:v>8.4913433239370163E-3</c:v>
                </c:pt>
                <c:pt idx="163">
                  <c:v>7.4533686678218561E-3</c:v>
                </c:pt>
                <c:pt idx="164">
                  <c:v>1.5193466024276023E-2</c:v>
                </c:pt>
                <c:pt idx="165">
                  <c:v>1.5726533063943594E-2</c:v>
                </c:pt>
                <c:pt idx="166">
                  <c:v>1.5309625278180635E-2</c:v>
                </c:pt>
                <c:pt idx="167">
                  <c:v>6.1975396287571715E-3</c:v>
                </c:pt>
                <c:pt idx="168">
                  <c:v>2.6688014671638987E-2</c:v>
                </c:pt>
                <c:pt idx="169">
                  <c:v>3.5481753669538707E-2</c:v>
                </c:pt>
                <c:pt idx="170">
                  <c:v>4.0926847074591224E-2</c:v>
                </c:pt>
                <c:pt idx="171">
                  <c:v>4.5439138670122656E-2</c:v>
                </c:pt>
                <c:pt idx="172">
                  <c:v>5.5108554044120336E-2</c:v>
                </c:pt>
                <c:pt idx="173">
                  <c:v>5.5785034289186512E-2</c:v>
                </c:pt>
                <c:pt idx="174">
                  <c:v>6.5471198071115899E-2</c:v>
                </c:pt>
                <c:pt idx="175">
                  <c:v>6.6629208814278224E-2</c:v>
                </c:pt>
                <c:pt idx="176">
                  <c:v>7.6427930205070729E-2</c:v>
                </c:pt>
                <c:pt idx="177">
                  <c:v>7.766069924556028E-2</c:v>
                </c:pt>
                <c:pt idx="178">
                  <c:v>7.3296050518155464E-2</c:v>
                </c:pt>
                <c:pt idx="179">
                  <c:v>7.7210343174897875E-2</c:v>
                </c:pt>
                <c:pt idx="180">
                  <c:v>6.8328823673166589E-2</c:v>
                </c:pt>
                <c:pt idx="181">
                  <c:v>6.9237738711467239E-2</c:v>
                </c:pt>
                <c:pt idx="182">
                  <c:v>6.8561718282485168E-2</c:v>
                </c:pt>
                <c:pt idx="183">
                  <c:v>5.9952425039963703E-2</c:v>
                </c:pt>
                <c:pt idx="184">
                  <c:v>5.7115757706402329E-2</c:v>
                </c:pt>
                <c:pt idx="185">
                  <c:v>5.0223539286387266E-2</c:v>
                </c:pt>
                <c:pt idx="186">
                  <c:v>4.7712314956024571E-2</c:v>
                </c:pt>
                <c:pt idx="187">
                  <c:v>4.0420670369297668E-2</c:v>
                </c:pt>
                <c:pt idx="188">
                  <c:v>3.1086004612761963E-2</c:v>
                </c:pt>
                <c:pt idx="189">
                  <c:v>2.848011280964877E-2</c:v>
                </c:pt>
                <c:pt idx="190">
                  <c:v>2.7172052736800508E-2</c:v>
                </c:pt>
                <c:pt idx="191">
                  <c:v>3.0613932655633298E-2</c:v>
                </c:pt>
                <c:pt idx="192">
                  <c:v>2.0916887053747033E-2</c:v>
                </c:pt>
                <c:pt idx="193">
                  <c:v>2.1351576817725058E-2</c:v>
                </c:pt>
                <c:pt idx="194">
                  <c:v>1.5148373402996003E-2</c:v>
                </c:pt>
                <c:pt idx="195">
                  <c:v>1.1397670413001916E-2</c:v>
                </c:pt>
                <c:pt idx="196">
                  <c:v>8.5661383861205202E-3</c:v>
                </c:pt>
                <c:pt idx="197">
                  <c:v>-1.3455986690806402E-3</c:v>
                </c:pt>
                <c:pt idx="198">
                  <c:v>3.4077963890340496E-3</c:v>
                </c:pt>
                <c:pt idx="199">
                  <c:v>3.2006251475365064E-3</c:v>
                </c:pt>
                <c:pt idx="200">
                  <c:v>-2.2741271436444942E-3</c:v>
                </c:pt>
                <c:pt idx="201">
                  <c:v>-1.4858672840804038E-3</c:v>
                </c:pt>
                <c:pt idx="202">
                  <c:v>-9.659175975697879E-5</c:v>
                </c:pt>
                <c:pt idx="203">
                  <c:v>-8.5411240196242993E-3</c:v>
                </c:pt>
                <c:pt idx="204">
                  <c:v>4.9536312389880906E-3</c:v>
                </c:pt>
                <c:pt idx="205">
                  <c:v>7.2288769193664549E-3</c:v>
                </c:pt>
                <c:pt idx="206">
                  <c:v>5.3896000501806518E-3</c:v>
                </c:pt>
                <c:pt idx="207">
                  <c:v>1.3871435710577536E-2</c:v>
                </c:pt>
                <c:pt idx="208">
                  <c:v>1.7269824632913149E-2</c:v>
                </c:pt>
                <c:pt idx="209">
                  <c:v>2.5556726034444831E-2</c:v>
                </c:pt>
                <c:pt idx="210">
                  <c:v>1.9256583011770332E-2</c:v>
                </c:pt>
                <c:pt idx="211">
                  <c:v>2.2892760876373874E-2</c:v>
                </c:pt>
                <c:pt idx="212">
                  <c:v>1.7755228361576968E-2</c:v>
                </c:pt>
                <c:pt idx="213">
                  <c:v>1.7908756021535526E-3</c:v>
                </c:pt>
                <c:pt idx="214">
                  <c:v>-1.0893382986293923E-2</c:v>
                </c:pt>
                <c:pt idx="215">
                  <c:v>-8.9675791259362456E-3</c:v>
                </c:pt>
                <c:pt idx="216">
                  <c:v>-2.5080763394532694E-2</c:v>
                </c:pt>
                <c:pt idx="217">
                  <c:v>-3.5228894429847064E-2</c:v>
                </c:pt>
                <c:pt idx="218">
                  <c:v>-3.0590109805728304E-2</c:v>
                </c:pt>
                <c:pt idx="219">
                  <c:v>-2.3699230177796092E-2</c:v>
                </c:pt>
                <c:pt idx="220">
                  <c:v>-1.9080237167347924E-2</c:v>
                </c:pt>
                <c:pt idx="221">
                  <c:v>-1.4912419000116238E-2</c:v>
                </c:pt>
                <c:pt idx="222">
                  <c:v>-1.8342189733768492E-2</c:v>
                </c:pt>
                <c:pt idx="223">
                  <c:v>-1.0269256640986935E-2</c:v>
                </c:pt>
                <c:pt idx="224">
                  <c:v>-5.1670800969246906E-3</c:v>
                </c:pt>
                <c:pt idx="225">
                  <c:v>6.054816617933975E-3</c:v>
                </c:pt>
                <c:pt idx="226">
                  <c:v>8.7247393565504944E-3</c:v>
                </c:pt>
                <c:pt idx="227">
                  <c:v>6.9090439875800838E-3</c:v>
                </c:pt>
                <c:pt idx="228">
                  <c:v>2.1395547804340252E-2</c:v>
                </c:pt>
                <c:pt idx="229">
                  <c:v>3.5702880817767749E-2</c:v>
                </c:pt>
                <c:pt idx="230">
                  <c:v>4.0832896026614697E-2</c:v>
                </c:pt>
                <c:pt idx="231">
                  <c:v>3.3853941157536878E-2</c:v>
                </c:pt>
                <c:pt idx="232">
                  <c:v>2.6225314990687632E-2</c:v>
                </c:pt>
                <c:pt idx="233">
                  <c:v>3.2656017356188172E-2</c:v>
                </c:pt>
                <c:pt idx="234">
                  <c:v>2.6734294410204994E-2</c:v>
                </c:pt>
                <c:pt idx="235">
                  <c:v>2.1418438579477572E-2</c:v>
                </c:pt>
                <c:pt idx="236">
                  <c:v>2.9406526333017397E-2</c:v>
                </c:pt>
                <c:pt idx="237">
                  <c:v>3.4890838604366474E-2</c:v>
                </c:pt>
                <c:pt idx="238">
                  <c:v>4.1077609507749545E-2</c:v>
                </c:pt>
                <c:pt idx="239">
                  <c:v>5.0719336351588193E-2</c:v>
                </c:pt>
                <c:pt idx="240">
                  <c:v>4.834292857211895E-2</c:v>
                </c:pt>
                <c:pt idx="241">
                  <c:v>3.8694474842440756E-2</c:v>
                </c:pt>
                <c:pt idx="242">
                  <c:v>3.3794389322780345E-2</c:v>
                </c:pt>
                <c:pt idx="243">
                  <c:v>2.6348020816706372E-2</c:v>
                </c:pt>
                <c:pt idx="244">
                  <c:v>2.824505371962174E-2</c:v>
                </c:pt>
                <c:pt idx="245">
                  <c:v>2.1580571380264157E-2</c:v>
                </c:pt>
                <c:pt idx="246">
                  <c:v>2.6329419210007105E-2</c:v>
                </c:pt>
                <c:pt idx="247">
                  <c:v>2.8349840007407208E-2</c:v>
                </c:pt>
                <c:pt idx="248">
                  <c:v>2.8985778326443615E-2</c:v>
                </c:pt>
                <c:pt idx="249">
                  <c:v>2.972627238629871E-2</c:v>
                </c:pt>
                <c:pt idx="250">
                  <c:v>3.3909365259214473E-2</c:v>
                </c:pt>
                <c:pt idx="251">
                  <c:v>3.3078189020869578E-2</c:v>
                </c:pt>
                <c:pt idx="252">
                  <c:v>2.8944153778781734E-2</c:v>
                </c:pt>
                <c:pt idx="253">
                  <c:v>4.0233721330839592E-2</c:v>
                </c:pt>
                <c:pt idx="254">
                  <c:v>4.339144317611935E-2</c:v>
                </c:pt>
                <c:pt idx="255">
                  <c:v>5.2504261409568105E-2</c:v>
                </c:pt>
                <c:pt idx="256">
                  <c:v>5.6864684846325037E-2</c:v>
                </c:pt>
                <c:pt idx="257">
                  <c:v>5.5641372208277189E-2</c:v>
                </c:pt>
                <c:pt idx="258">
                  <c:v>6.3603427277719421E-2</c:v>
                </c:pt>
                <c:pt idx="259">
                  <c:v>6.1488031107218011E-2</c:v>
                </c:pt>
                <c:pt idx="260">
                  <c:v>6.2164471212690517E-2</c:v>
                </c:pt>
                <c:pt idx="261">
                  <c:v>6.4300489075701212E-2</c:v>
                </c:pt>
                <c:pt idx="262">
                  <c:v>6.8625775443078268E-2</c:v>
                </c:pt>
                <c:pt idx="263">
                  <c:v>6.7455810533740709E-2</c:v>
                </c:pt>
                <c:pt idx="264">
                  <c:v>6.526024353311162E-2</c:v>
                </c:pt>
                <c:pt idx="265">
                  <c:v>5.6356687144684198E-2</c:v>
                </c:pt>
                <c:pt idx="266">
                  <c:v>4.843944297947779E-2</c:v>
                </c:pt>
                <c:pt idx="267">
                  <c:v>4.8379663833827566E-2</c:v>
                </c:pt>
                <c:pt idx="268">
                  <c:v>4.5007136607160901E-2</c:v>
                </c:pt>
                <c:pt idx="269">
                  <c:v>3.9283573076213878E-2</c:v>
                </c:pt>
                <c:pt idx="270">
                  <c:v>4.6043333544847825E-2</c:v>
                </c:pt>
                <c:pt idx="271">
                  <c:v>4.6972716058967211E-2</c:v>
                </c:pt>
                <c:pt idx="272">
                  <c:v>3.6994252627675722E-2</c:v>
                </c:pt>
                <c:pt idx="273">
                  <c:v>3.2498420550130233E-2</c:v>
                </c:pt>
                <c:pt idx="274">
                  <c:v>2.6114806948236036E-2</c:v>
                </c:pt>
                <c:pt idx="275">
                  <c:v>1.8434753878956139E-2</c:v>
                </c:pt>
                <c:pt idx="276">
                  <c:v>3.4384580769699802E-2</c:v>
                </c:pt>
                <c:pt idx="277">
                  <c:v>3.1209978011088199E-2</c:v>
                </c:pt>
                <c:pt idx="278">
                  <c:v>4.3269978928596929E-2</c:v>
                </c:pt>
                <c:pt idx="279">
                  <c:v>4.6215461903432953E-2</c:v>
                </c:pt>
                <c:pt idx="280">
                  <c:v>5.0558648727966726E-2</c:v>
                </c:pt>
                <c:pt idx="281">
                  <c:v>5.5032377738419284E-2</c:v>
                </c:pt>
                <c:pt idx="282">
                  <c:v>4.6585113994973254E-2</c:v>
                </c:pt>
                <c:pt idx="283">
                  <c:v>4.913854777293955E-2</c:v>
                </c:pt>
                <c:pt idx="284">
                  <c:v>5.0611307469090955E-2</c:v>
                </c:pt>
                <c:pt idx="285">
                  <c:v>5.733148210140427E-2</c:v>
                </c:pt>
                <c:pt idx="286">
                  <c:v>6.0312074035894128E-2</c:v>
                </c:pt>
                <c:pt idx="287">
                  <c:v>6.8008209261949989E-2</c:v>
                </c:pt>
                <c:pt idx="288">
                  <c:v>6.5389478648706881E-2</c:v>
                </c:pt>
                <c:pt idx="289">
                  <c:v>7.3664165136294715E-2</c:v>
                </c:pt>
                <c:pt idx="290">
                  <c:v>6.3871273783751459E-2</c:v>
                </c:pt>
                <c:pt idx="291">
                  <c:v>6.1844586898007002E-2</c:v>
                </c:pt>
                <c:pt idx="292">
                  <c:v>5.8895801365519321E-2</c:v>
                </c:pt>
                <c:pt idx="293">
                  <c:v>6.7744527837759291E-2</c:v>
                </c:pt>
                <c:pt idx="294">
                  <c:v>7.3003402583750765E-2</c:v>
                </c:pt>
                <c:pt idx="295">
                  <c:v>7.6028229184118015E-2</c:v>
                </c:pt>
                <c:pt idx="296">
                  <c:v>8.5581027605896212E-2</c:v>
                </c:pt>
                <c:pt idx="297">
                  <c:v>8.4662476384246427E-2</c:v>
                </c:pt>
                <c:pt idx="298">
                  <c:v>8.2720107073366689E-2</c:v>
                </c:pt>
                <c:pt idx="299">
                  <c:v>8.5619960228844938E-2</c:v>
                </c:pt>
                <c:pt idx="300">
                  <c:v>7.4727776929730982E-2</c:v>
                </c:pt>
                <c:pt idx="301">
                  <c:v>6.8507662881263587E-2</c:v>
                </c:pt>
                <c:pt idx="302">
                  <c:v>7.1483156768555073E-2</c:v>
                </c:pt>
                <c:pt idx="303">
                  <c:v>7.2243632581486333E-2</c:v>
                </c:pt>
                <c:pt idx="304">
                  <c:v>6.0845059152140141E-2</c:v>
                </c:pt>
                <c:pt idx="305">
                  <c:v>4.7823165015896132E-2</c:v>
                </c:pt>
                <c:pt idx="306">
                  <c:v>5.8825262599625658E-2</c:v>
                </c:pt>
                <c:pt idx="307">
                  <c:v>4.8152337858220123E-2</c:v>
                </c:pt>
                <c:pt idx="308">
                  <c:v>4.6257788110342535E-2</c:v>
                </c:pt>
                <c:pt idx="309">
                  <c:v>3.709689575186112E-2</c:v>
                </c:pt>
                <c:pt idx="310">
                  <c:v>3.684309559650157E-2</c:v>
                </c:pt>
                <c:pt idx="311">
                  <c:v>3.6498167681723238E-2</c:v>
                </c:pt>
                <c:pt idx="312">
                  <c:v>4.0710646079551112E-2</c:v>
                </c:pt>
                <c:pt idx="313">
                  <c:v>4.246153627728913E-2</c:v>
                </c:pt>
                <c:pt idx="314">
                  <c:v>4.1060976687984356E-2</c:v>
                </c:pt>
                <c:pt idx="315">
                  <c:v>4.0875308694042538E-2</c:v>
                </c:pt>
                <c:pt idx="316">
                  <c:v>4.6568748777204981E-2</c:v>
                </c:pt>
                <c:pt idx="317">
                  <c:v>5.6869267425665018E-2</c:v>
                </c:pt>
                <c:pt idx="318">
                  <c:v>4.0169792594241631E-2</c:v>
                </c:pt>
                <c:pt idx="319">
                  <c:v>3.6699249280788077E-2</c:v>
                </c:pt>
                <c:pt idx="320">
                  <c:v>4.293447631648406E-2</c:v>
                </c:pt>
                <c:pt idx="321">
                  <c:v>4.9278545301864506E-2</c:v>
                </c:pt>
                <c:pt idx="322">
                  <c:v>5.3031529932819087E-2</c:v>
                </c:pt>
                <c:pt idx="323">
                  <c:v>4.8051362764969255E-2</c:v>
                </c:pt>
                <c:pt idx="324">
                  <c:v>4.5909059891272121E-2</c:v>
                </c:pt>
                <c:pt idx="325">
                  <c:v>4.7686928059325805E-2</c:v>
                </c:pt>
                <c:pt idx="326">
                  <c:v>5.1823903359279791E-2</c:v>
                </c:pt>
                <c:pt idx="327">
                  <c:v>4.8546574119824069E-2</c:v>
                </c:pt>
                <c:pt idx="328">
                  <c:v>4.9764746423898019E-2</c:v>
                </c:pt>
                <c:pt idx="329">
                  <c:v>4.1742477766120889E-2</c:v>
                </c:pt>
                <c:pt idx="330">
                  <c:v>3.4322473634753541E-2</c:v>
                </c:pt>
                <c:pt idx="331">
                  <c:v>4.2779216214370752E-2</c:v>
                </c:pt>
                <c:pt idx="332">
                  <c:v>2.5899412547352025E-2</c:v>
                </c:pt>
                <c:pt idx="333">
                  <c:v>2.0606826801517038E-2</c:v>
                </c:pt>
                <c:pt idx="334">
                  <c:v>9.3040606280076696E-3</c:v>
                </c:pt>
                <c:pt idx="335">
                  <c:v>4.4124981855607334E-3</c:v>
                </c:pt>
                <c:pt idx="336">
                  <c:v>-6.0317998838657983E-3</c:v>
                </c:pt>
                <c:pt idx="337">
                  <c:v>-1.2313702040259259E-2</c:v>
                </c:pt>
                <c:pt idx="338">
                  <c:v>-2.1644532292931722E-2</c:v>
                </c:pt>
                <c:pt idx="339">
                  <c:v>-2.9915630836607265E-2</c:v>
                </c:pt>
                <c:pt idx="340">
                  <c:v>-3.5982784219153692E-2</c:v>
                </c:pt>
                <c:pt idx="341">
                  <c:v>-3.9888220120378383E-2</c:v>
                </c:pt>
                <c:pt idx="342">
                  <c:v>-3.8472895786183896E-2</c:v>
                </c:pt>
                <c:pt idx="343">
                  <c:v>-4.7307328562058673E-2</c:v>
                </c:pt>
                <c:pt idx="344">
                  <c:v>-4.6970952032668378E-2</c:v>
                </c:pt>
                <c:pt idx="345">
                  <c:v>-5.2525056683846896E-2</c:v>
                </c:pt>
                <c:pt idx="346">
                  <c:v>-4.9717183200876619E-2</c:v>
                </c:pt>
                <c:pt idx="347">
                  <c:v>-3.7870095099010827E-2</c:v>
                </c:pt>
                <c:pt idx="348">
                  <c:v>-3.1416321784003401E-2</c:v>
                </c:pt>
                <c:pt idx="349">
                  <c:v>-2.1556324040225922E-2</c:v>
                </c:pt>
                <c:pt idx="350">
                  <c:v>-1.3620653038677603E-2</c:v>
                </c:pt>
                <c:pt idx="351">
                  <c:v>-3.849515905947393E-3</c:v>
                </c:pt>
                <c:pt idx="352">
                  <c:v>1.0036433399434221E-2</c:v>
                </c:pt>
                <c:pt idx="353">
                  <c:v>1.5839236617977662E-2</c:v>
                </c:pt>
                <c:pt idx="354">
                  <c:v>1.5766626578540045E-2</c:v>
                </c:pt>
                <c:pt idx="355">
                  <c:v>2.2268721027450925E-2</c:v>
                </c:pt>
                <c:pt idx="356">
                  <c:v>2.2745279766715074E-2</c:v>
                </c:pt>
                <c:pt idx="357">
                  <c:v>3.432348336973115E-2</c:v>
                </c:pt>
                <c:pt idx="358">
                  <c:v>2.9101735527885437E-2</c:v>
                </c:pt>
                <c:pt idx="359">
                  <c:v>3.0428526899256118E-2</c:v>
                </c:pt>
                <c:pt idx="360">
                  <c:v>3.165033059923511E-2</c:v>
                </c:pt>
                <c:pt idx="361">
                  <c:v>2.0841903963358298E-2</c:v>
                </c:pt>
                <c:pt idx="362">
                  <c:v>9.5092643930256692E-3</c:v>
                </c:pt>
                <c:pt idx="363">
                  <c:v>4.9162974259972687E-3</c:v>
                </c:pt>
                <c:pt idx="364">
                  <c:v>-1.9236595805628644E-3</c:v>
                </c:pt>
                <c:pt idx="365">
                  <c:v>3.5010694957336112E-3</c:v>
                </c:pt>
                <c:pt idx="366">
                  <c:v>2.4098831692170811E-3</c:v>
                </c:pt>
                <c:pt idx="367">
                  <c:v>7.9493761856000329E-3</c:v>
                </c:pt>
                <c:pt idx="368">
                  <c:v>1.1842467335411737E-2</c:v>
                </c:pt>
                <c:pt idx="369">
                  <c:v>1.3123431700451656E-2</c:v>
                </c:pt>
                <c:pt idx="370">
                  <c:v>1.9463620500840467E-2</c:v>
                </c:pt>
                <c:pt idx="371">
                  <c:v>1.2792704913990037E-2</c:v>
                </c:pt>
                <c:pt idx="372">
                  <c:v>1.7849009835950766E-2</c:v>
                </c:pt>
                <c:pt idx="373">
                  <c:v>1.6811428696922023E-2</c:v>
                </c:pt>
                <c:pt idx="374">
                  <c:v>2.7458993295488152E-2</c:v>
                </c:pt>
                <c:pt idx="375">
                  <c:v>3.5093517498123609E-2</c:v>
                </c:pt>
                <c:pt idx="376">
                  <c:v>2.5835109653504447E-2</c:v>
                </c:pt>
                <c:pt idx="377">
                  <c:v>2.7997592832967585E-2</c:v>
                </c:pt>
                <c:pt idx="378">
                  <c:v>3.1378652917270253E-2</c:v>
                </c:pt>
                <c:pt idx="379">
                  <c:v>2.5703890741240902E-2</c:v>
                </c:pt>
                <c:pt idx="380">
                  <c:v>3.3454748005395461E-2</c:v>
                </c:pt>
                <c:pt idx="381">
                  <c:v>2.8996607587850776E-2</c:v>
                </c:pt>
                <c:pt idx="382">
                  <c:v>3.6106064613476818E-2</c:v>
                </c:pt>
                <c:pt idx="383">
                  <c:v>3.8111955085507854E-2</c:v>
                </c:pt>
                <c:pt idx="384">
                  <c:v>3.9368088399644147E-2</c:v>
                </c:pt>
                <c:pt idx="385">
                  <c:v>4.201619870410378E-2</c:v>
                </c:pt>
                <c:pt idx="386">
                  <c:v>3.9846799338754707E-2</c:v>
                </c:pt>
                <c:pt idx="387">
                  <c:v>3.3615392665460764E-2</c:v>
                </c:pt>
                <c:pt idx="388">
                  <c:v>4.5837579347102024E-2</c:v>
                </c:pt>
                <c:pt idx="389">
                  <c:v>3.5115568806623997E-2</c:v>
                </c:pt>
                <c:pt idx="390">
                  <c:v>3.7637759643441848E-2</c:v>
                </c:pt>
                <c:pt idx="391">
                  <c:v>1.6530590921981576E-2</c:v>
                </c:pt>
                <c:pt idx="392">
                  <c:v>1.9820846182624322E-2</c:v>
                </c:pt>
                <c:pt idx="393">
                  <c:v>2.8629686523119265E-2</c:v>
                </c:pt>
                <c:pt idx="394">
                  <c:v>2.5507380411595563E-2</c:v>
                </c:pt>
                <c:pt idx="395">
                  <c:v>2.3724961820522653E-2</c:v>
                </c:pt>
                <c:pt idx="396">
                  <c:v>1.6679309563307786E-2</c:v>
                </c:pt>
                <c:pt idx="397">
                  <c:v>2.0556385226762706E-2</c:v>
                </c:pt>
                <c:pt idx="398">
                  <c:v>2.1675429169567152E-2</c:v>
                </c:pt>
                <c:pt idx="399">
                  <c:v>2.0620399307797521E-2</c:v>
                </c:pt>
                <c:pt idx="400">
                  <c:v>1.9723222553760657E-2</c:v>
                </c:pt>
                <c:pt idx="401">
                  <c:v>2.2060288075824049E-2</c:v>
                </c:pt>
                <c:pt idx="402">
                  <c:v>2.2998838743786044E-2</c:v>
                </c:pt>
                <c:pt idx="403">
                  <c:v>4.098848093738304E-2</c:v>
                </c:pt>
                <c:pt idx="404">
                  <c:v>2.7495878157186533E-2</c:v>
                </c:pt>
                <c:pt idx="405">
                  <c:v>1.5710616350602519E-2</c:v>
                </c:pt>
                <c:pt idx="406">
                  <c:v>2.1316599709045512E-2</c:v>
                </c:pt>
                <c:pt idx="407">
                  <c:v>1.5459592441886444E-2</c:v>
                </c:pt>
                <c:pt idx="408">
                  <c:v>2.4954092206465061E-2</c:v>
                </c:pt>
                <c:pt idx="409">
                  <c:v>2.4488647787948556E-2</c:v>
                </c:pt>
                <c:pt idx="410">
                  <c:v>2.8358972022697649E-2</c:v>
                </c:pt>
                <c:pt idx="411">
                  <c:v>2.894773070522454E-2</c:v>
                </c:pt>
                <c:pt idx="412">
                  <c:v>2.5903342754137196E-2</c:v>
                </c:pt>
                <c:pt idx="413">
                  <c:v>2.5516051282517323E-2</c:v>
                </c:pt>
                <c:pt idx="414">
                  <c:v>2.3294184597967196E-2</c:v>
                </c:pt>
                <c:pt idx="415">
                  <c:v>2.7943345584679355E-2</c:v>
                </c:pt>
                <c:pt idx="416">
                  <c:v>2.5995598650145137E-2</c:v>
                </c:pt>
                <c:pt idx="417">
                  <c:v>3.2504384575175606E-2</c:v>
                </c:pt>
                <c:pt idx="418">
                  <c:v>2.1932501395940756E-2</c:v>
                </c:pt>
                <c:pt idx="419">
                  <c:v>2.4528040785137952E-2</c:v>
                </c:pt>
                <c:pt idx="420">
                  <c:v>1.0680104357947381E-2</c:v>
                </c:pt>
                <c:pt idx="421">
                  <c:v>5.083971266492693E-3</c:v>
                </c:pt>
                <c:pt idx="422">
                  <c:v>-8.4063726585657667E-3</c:v>
                </c:pt>
                <c:pt idx="423">
                  <c:v>-1.4837463759775167E-2</c:v>
                </c:pt>
                <c:pt idx="424">
                  <c:v>-1.7310209778104661E-2</c:v>
                </c:pt>
                <c:pt idx="425">
                  <c:v>-2.0365744510533995E-2</c:v>
                </c:pt>
                <c:pt idx="426">
                  <c:v>-3.7714529388819008E-2</c:v>
                </c:pt>
                <c:pt idx="427">
                  <c:v>-8.203050342112303E-2</c:v>
                </c:pt>
                <c:pt idx="428">
                  <c:v>-7.0229797038992764E-2</c:v>
                </c:pt>
                <c:pt idx="429">
                  <c:v>-8.7696750831960976E-2</c:v>
                </c:pt>
                <c:pt idx="430">
                  <c:v>-0.11327724094249293</c:v>
                </c:pt>
                <c:pt idx="431">
                  <c:v>-0.13409501549399716</c:v>
                </c:pt>
                <c:pt idx="432">
                  <c:v>-0.13591104411731467</c:v>
                </c:pt>
                <c:pt idx="433">
                  <c:v>-0.14643496064048231</c:v>
                </c:pt>
                <c:pt idx="434">
                  <c:v>-0.14757187477041167</c:v>
                </c:pt>
                <c:pt idx="435">
                  <c:v>-0.15119647612989426</c:v>
                </c:pt>
                <c:pt idx="436">
                  <c:v>-0.15199456332990044</c:v>
                </c:pt>
                <c:pt idx="437">
                  <c:v>-0.13855266080569428</c:v>
                </c:pt>
                <c:pt idx="438">
                  <c:v>-0.11541536523080721</c:v>
                </c:pt>
                <c:pt idx="439">
                  <c:v>-6.723362001313278E-2</c:v>
                </c:pt>
                <c:pt idx="440">
                  <c:v>-7.4385337978210009E-2</c:v>
                </c:pt>
                <c:pt idx="441">
                  <c:v>-5.8182772602857133E-2</c:v>
                </c:pt>
                <c:pt idx="442">
                  <c:v>-2.7409023317235798E-2</c:v>
                </c:pt>
                <c:pt idx="443">
                  <c:v>8.1984168340524712E-3</c:v>
                </c:pt>
                <c:pt idx="444">
                  <c:v>1.7886872270742243E-2</c:v>
                </c:pt>
                <c:pt idx="445">
                  <c:v>4.1531918433558454E-2</c:v>
                </c:pt>
                <c:pt idx="446">
                  <c:v>5.3741098861166653E-2</c:v>
                </c:pt>
                <c:pt idx="447">
                  <c:v>7.8989071648993922E-2</c:v>
                </c:pt>
                <c:pt idx="448">
                  <c:v>8.4989914750429996E-2</c:v>
                </c:pt>
                <c:pt idx="449">
                  <c:v>7.659163379384451E-2</c:v>
                </c:pt>
                <c:pt idx="450">
                  <c:v>6.9046198170911052E-2</c:v>
                </c:pt>
                <c:pt idx="451">
                  <c:v>6.3017461925447604E-2</c:v>
                </c:pt>
                <c:pt idx="452">
                  <c:v>5.7853448590957243E-2</c:v>
                </c:pt>
                <c:pt idx="453">
                  <c:v>5.4175425186317586E-2</c:v>
                </c:pt>
                <c:pt idx="454">
                  <c:v>6.0548464385856281E-2</c:v>
                </c:pt>
                <c:pt idx="455">
                  <c:v>4.6928254942058586E-2</c:v>
                </c:pt>
                <c:pt idx="456">
                  <c:v>3.9059802991657837E-2</c:v>
                </c:pt>
                <c:pt idx="457">
                  <c:v>4.2521540320084525E-2</c:v>
                </c:pt>
                <c:pt idx="458">
                  <c:v>3.513164002917965E-2</c:v>
                </c:pt>
                <c:pt idx="459">
                  <c:v>2.262163202421472E-2</c:v>
                </c:pt>
                <c:pt idx="460">
                  <c:v>2.2942780655007607E-2</c:v>
                </c:pt>
                <c:pt idx="461">
                  <c:v>2.4285359750394708E-2</c:v>
                </c:pt>
                <c:pt idx="462">
                  <c:v>2.7115478054310919E-2</c:v>
                </c:pt>
                <c:pt idx="463">
                  <c:v>2.3758759858205539E-2</c:v>
                </c:pt>
                <c:pt idx="464">
                  <c:v>3.3637535658832755E-2</c:v>
                </c:pt>
                <c:pt idx="465">
                  <c:v>3.3107387793330049E-2</c:v>
                </c:pt>
                <c:pt idx="466">
                  <c:v>2.8219347020168956E-2</c:v>
                </c:pt>
                <c:pt idx="467">
                  <c:v>3.6686931686144522E-2</c:v>
                </c:pt>
                <c:pt idx="468">
                  <c:v>4.406425024004066E-2</c:v>
                </c:pt>
                <c:pt idx="469">
                  <c:v>2.7871416714550318E-2</c:v>
                </c:pt>
                <c:pt idx="470">
                  <c:v>3.8953578388190378E-2</c:v>
                </c:pt>
                <c:pt idx="471">
                  <c:v>3.9629887895866966E-2</c:v>
                </c:pt>
                <c:pt idx="472">
                  <c:v>3.6713959705565215E-2</c:v>
                </c:pt>
                <c:pt idx="473">
                  <c:v>3.395031032242634E-2</c:v>
                </c:pt>
                <c:pt idx="474">
                  <c:v>2.2987333681642214E-2</c:v>
                </c:pt>
                <c:pt idx="475">
                  <c:v>2.2796119200784209E-2</c:v>
                </c:pt>
                <c:pt idx="476">
                  <c:v>1.913629189034478E-2</c:v>
                </c:pt>
                <c:pt idx="477">
                  <c:v>2.3117535549973551E-2</c:v>
                </c:pt>
                <c:pt idx="478">
                  <c:v>2.0697460990888223E-2</c:v>
                </c:pt>
                <c:pt idx="479">
                  <c:v>1.4399034761598328E-2</c:v>
                </c:pt>
                <c:pt idx="480">
                  <c:v>1.6273391326556263E-2</c:v>
                </c:pt>
                <c:pt idx="481">
                  <c:v>2.590238029427322E-2</c:v>
                </c:pt>
                <c:pt idx="482">
                  <c:v>1.7360632925182369E-2</c:v>
                </c:pt>
                <c:pt idx="483">
                  <c:v>1.6138725762681955E-2</c:v>
                </c:pt>
                <c:pt idx="484">
                  <c:v>1.7681759108342032E-2</c:v>
                </c:pt>
                <c:pt idx="485">
                  <c:v>1.2175180151325122E-2</c:v>
                </c:pt>
                <c:pt idx="486">
                  <c:v>2.2361863265956152E-2</c:v>
                </c:pt>
                <c:pt idx="487">
                  <c:v>2.8554974521932789E-2</c:v>
                </c:pt>
                <c:pt idx="488">
                  <c:v>2.4013693996576466E-2</c:v>
                </c:pt>
                <c:pt idx="489">
                  <c:v>2.2346106377266459E-2</c:v>
                </c:pt>
                <c:pt idx="490">
                  <c:v>2.1908007751046E-2</c:v>
                </c:pt>
                <c:pt idx="491">
                  <c:v>1.816515443130785E-2</c:v>
                </c:pt>
                <c:pt idx="492">
                  <c:v>2.0925483996818234E-2</c:v>
                </c:pt>
                <c:pt idx="493">
                  <c:v>2.663689184798284E-2</c:v>
                </c:pt>
                <c:pt idx="494">
                  <c:v>2.8412018207936575E-2</c:v>
                </c:pt>
                <c:pt idx="495">
                  <c:v>3.1625524080978552E-2</c:v>
                </c:pt>
                <c:pt idx="496">
                  <c:v>3.376133029478668E-2</c:v>
                </c:pt>
                <c:pt idx="497">
                  <c:v>3.9724728347682592E-2</c:v>
                </c:pt>
                <c:pt idx="498">
                  <c:v>3.177031453696947E-2</c:v>
                </c:pt>
                <c:pt idx="499">
                  <c:v>2.946993117183835E-2</c:v>
                </c:pt>
                <c:pt idx="500">
                  <c:v>3.069552909899317E-2</c:v>
                </c:pt>
                <c:pt idx="501">
                  <c:v>3.4486993736263932E-2</c:v>
                </c:pt>
                <c:pt idx="502">
                  <c:v>3.2228749990035568E-2</c:v>
                </c:pt>
                <c:pt idx="503">
                  <c:v>2.8156842976992086E-2</c:v>
                </c:pt>
                <c:pt idx="504">
                  <c:v>1.3964475897904118E-2</c:v>
                </c:pt>
                <c:pt idx="505">
                  <c:v>6.7427370597934863E-4</c:v>
                </c:pt>
                <c:pt idx="506">
                  <c:v>-5.6364148943590237E-3</c:v>
                </c:pt>
                <c:pt idx="507">
                  <c:v>-1.4264525748545158E-2</c:v>
                </c:pt>
                <c:pt idx="508">
                  <c:v>-2.0580380777994532E-2</c:v>
                </c:pt>
                <c:pt idx="509">
                  <c:v>-1.6846148236380889E-2</c:v>
                </c:pt>
                <c:pt idx="510">
                  <c:v>-1.7240153180860383E-2</c:v>
                </c:pt>
                <c:pt idx="511">
                  <c:v>-2.288842681035335E-2</c:v>
                </c:pt>
                <c:pt idx="512">
                  <c:v>-2.7380684157777398E-2</c:v>
                </c:pt>
                <c:pt idx="513">
                  <c:v>-4.0732922336216483E-2</c:v>
                </c:pt>
                <c:pt idx="514">
                  <c:v>-4.5706232141478037E-2</c:v>
                </c:pt>
                <c:pt idx="515">
                  <c:v>-3.2971458588688447E-2</c:v>
                </c:pt>
                <c:pt idx="516">
                  <c:v>-3.1919996397645187E-2</c:v>
                </c:pt>
                <c:pt idx="517">
                  <c:v>-3.6040495954628222E-2</c:v>
                </c:pt>
                <c:pt idx="518">
                  <c:v>-2.7582153247356137E-2</c:v>
                </c:pt>
                <c:pt idx="519">
                  <c:v>-2.5249718124216017E-2</c:v>
                </c:pt>
                <c:pt idx="520">
                  <c:v>-1.768291408212213E-2</c:v>
                </c:pt>
                <c:pt idx="521">
                  <c:v>-2.247947779645923E-2</c:v>
                </c:pt>
                <c:pt idx="522">
                  <c:v>-2.1312408183171778E-2</c:v>
                </c:pt>
                <c:pt idx="523">
                  <c:v>-1.9673385814249454E-2</c:v>
                </c:pt>
                <c:pt idx="524">
                  <c:v>-1.4362312907509675E-2</c:v>
                </c:pt>
                <c:pt idx="525">
                  <c:v>-1.0880272726266495E-2</c:v>
                </c:pt>
                <c:pt idx="526">
                  <c:v>4.9667601348202966E-4</c:v>
                </c:pt>
                <c:pt idx="527">
                  <c:v>-6.7770796490445578E-3</c:v>
                </c:pt>
                <c:pt idx="528">
                  <c:v>-4.8212945904022794E-3</c:v>
                </c:pt>
                <c:pt idx="529">
                  <c:v>9.5181809381639296E-3</c:v>
                </c:pt>
                <c:pt idx="530">
                  <c:v>1.6438024958247133E-2</c:v>
                </c:pt>
                <c:pt idx="531">
                  <c:v>1.9645737280265894E-2</c:v>
                </c:pt>
                <c:pt idx="532">
                  <c:v>1.660170699030988E-2</c:v>
                </c:pt>
                <c:pt idx="533">
                  <c:v>1.3200508715856665E-2</c:v>
                </c:pt>
                <c:pt idx="534">
                  <c:v>9.6991599328270315E-3</c:v>
                </c:pt>
                <c:pt idx="535">
                  <c:v>1.170247605413032E-2</c:v>
                </c:pt>
                <c:pt idx="536">
                  <c:v>2.3578550255995697E-2</c:v>
                </c:pt>
                <c:pt idx="537">
                  <c:v>2.9761832098343474E-2</c:v>
                </c:pt>
                <c:pt idx="538">
                  <c:v>2.5089402798406137E-2</c:v>
                </c:pt>
                <c:pt idx="539">
                  <c:v>2.6435434684189713E-2</c:v>
                </c:pt>
                <c:pt idx="540">
                  <c:v>3.3418751486011693E-2</c:v>
                </c:pt>
                <c:pt idx="541">
                  <c:v>3.2359098277424836E-2</c:v>
                </c:pt>
                <c:pt idx="542">
                  <c:v>3.3776591757492098E-2</c:v>
                </c:pt>
                <c:pt idx="543">
                  <c:v>2.3312595492265806E-2</c:v>
                </c:pt>
                <c:pt idx="544">
                  <c:v>2.926786476173E-2</c:v>
                </c:pt>
                <c:pt idx="545">
                  <c:v>3.3123031541274404E-2</c:v>
                </c:pt>
                <c:pt idx="546">
                  <c:v>4.5064691968325146E-2</c:v>
                </c:pt>
                <c:pt idx="547">
                  <c:v>4.3931375015157918E-2</c:v>
                </c:pt>
                <c:pt idx="548">
                  <c:v>2.9765409970892821E-2</c:v>
                </c:pt>
                <c:pt idx="549">
                  <c:v>2.7011834904076073E-2</c:v>
                </c:pt>
                <c:pt idx="550">
                  <c:v>2.4472372415616093E-2</c:v>
                </c:pt>
                <c:pt idx="551">
                  <c:v>1.8978736000789392E-2</c:v>
                </c:pt>
                <c:pt idx="552">
                  <c:v>1.0902909146684445E-2</c:v>
                </c:pt>
                <c:pt idx="553">
                  <c:v>6.0765459016314449E-3</c:v>
                </c:pt>
                <c:pt idx="554">
                  <c:v>-1.0164936094514387E-2</c:v>
                </c:pt>
                <c:pt idx="555">
                  <c:v>9.9635515523518732E-4</c:v>
                </c:pt>
                <c:pt idx="556">
                  <c:v>-6.372831978057325E-3</c:v>
                </c:pt>
                <c:pt idx="557">
                  <c:v>-1.2155563374019383E-2</c:v>
                </c:pt>
                <c:pt idx="558">
                  <c:v>-1.2205774225812508E-2</c:v>
                </c:pt>
                <c:pt idx="559">
                  <c:v>-1.5240024384039069E-2</c:v>
                </c:pt>
                <c:pt idx="560">
                  <c:v>-2.1817898730965436E-2</c:v>
                </c:pt>
                <c:pt idx="561">
                  <c:v>-1.7914530835328561E-2</c:v>
                </c:pt>
                <c:pt idx="562">
                  <c:v>-2.027361387902071E-2</c:v>
                </c:pt>
                <c:pt idx="563">
                  <c:v>-1.9031959437737028E-2</c:v>
                </c:pt>
                <c:pt idx="564">
                  <c:v>-1.0814496229661477E-2</c:v>
                </c:pt>
                <c:pt idx="565">
                  <c:v>-4.8837706511175943E-2</c:v>
                </c:pt>
                <c:pt idx="566">
                  <c:v>-0.17018126126900462</c:v>
                </c:pt>
                <c:pt idx="567">
                  <c:v>-0.1583329758734045</c:v>
                </c:pt>
                <c:pt idx="568">
                  <c:v>-0.10566530984630493</c:v>
                </c:pt>
                <c:pt idx="569">
                  <c:v>-6.8074543156049078E-2</c:v>
                </c:pt>
                <c:pt idx="570">
                  <c:v>-6.5993512689901584E-2</c:v>
                </c:pt>
                <c:pt idx="571">
                  <c:v>-6.344280993185733E-2</c:v>
                </c:pt>
                <c:pt idx="572">
                  <c:v>-4.866006730367714E-2</c:v>
                </c:pt>
                <c:pt idx="573">
                  <c:v>-4.8772795522728583E-2</c:v>
                </c:pt>
                <c:pt idx="574">
                  <c:v>-3.562387975220898E-2</c:v>
                </c:pt>
                <c:pt idx="575">
                  <c:v>-2.0122799917080433E-2</c:v>
                </c:pt>
                <c:pt idx="576">
                  <c:v>-5.3888841911511651E-2</c:v>
                </c:pt>
                <c:pt idx="577">
                  <c:v>1.0089440978558248E-2</c:v>
                </c:pt>
                <c:pt idx="578">
                  <c:v>0.1655575042079121</c:v>
                </c:pt>
                <c:pt idx="579">
                  <c:v>0.15571990339898867</c:v>
                </c:pt>
                <c:pt idx="580">
                  <c:v>9.1986794881436185E-2</c:v>
                </c:pt>
                <c:pt idx="581">
                  <c:v>5.9095648120247098E-2</c:v>
                </c:pt>
                <c:pt idx="582">
                  <c:v>4.9103543274727893E-2</c:v>
                </c:pt>
                <c:pt idx="583">
                  <c:v>3.9332327828035703E-2</c:v>
                </c:pt>
                <c:pt idx="584">
                  <c:v>4.6839142783372097E-2</c:v>
                </c:pt>
                <c:pt idx="585">
                  <c:v>4.986392883730454E-2</c:v>
                </c:pt>
                <c:pt idx="586">
                  <c:v>3.6893965640220905E-2</c:v>
                </c:pt>
                <c:pt idx="587">
                  <c:v>2.9028504651713378E-2</c:v>
                </c:pt>
                <c:pt idx="588">
                  <c:v>6.9376272433542496E-2</c:v>
                </c:pt>
                <c:pt idx="589">
                  <c:v>4.7638073639949069E-2</c:v>
                </c:pt>
                <c:pt idx="590">
                  <c:v>5.2979764624143805E-2</c:v>
                </c:pt>
                <c:pt idx="591">
                  <c:v>4.3958367784642974E-2</c:v>
                </c:pt>
                <c:pt idx="592">
                  <c:v>3.7468947214506443E-2</c:v>
                </c:pt>
                <c:pt idx="593">
                  <c:v>3.5787787343217761E-2</c:v>
                </c:pt>
                <c:pt idx="594">
                  <c:v>3.5033767367136974E-2</c:v>
                </c:pt>
                <c:pt idx="595">
                  <c:v>4.7313064222462099E-2</c:v>
                </c:pt>
                <c:pt idx="596">
                  <c:v>3.1891215684262536E-2</c:v>
                </c:pt>
                <c:pt idx="597">
                  <c:v>1.9846804170221968E-2</c:v>
                </c:pt>
                <c:pt idx="598">
                  <c:v>1.1467324169825266E-2</c:v>
                </c:pt>
                <c:pt idx="599">
                  <c:v>7.8955612554578725E-3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539-4637-BB6C-6B8A2DC1430E}"/>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'Industrial Production'!$D$343:$D$620</c:f>
              <c:numCache>
                <c:formatCode>0.0%</c:formatCode>
                <c:ptCount val="278"/>
                <c:pt idx="0">
                  <c:v>4.8051362764969255E-2</c:v>
                </c:pt>
                <c:pt idx="1">
                  <c:v>4.5909059891272121E-2</c:v>
                </c:pt>
                <c:pt idx="2">
                  <c:v>4.7686928059325805E-2</c:v>
                </c:pt>
                <c:pt idx="3">
                  <c:v>5.1823903359279791E-2</c:v>
                </c:pt>
                <c:pt idx="4">
                  <c:v>4.8546574119824069E-2</c:v>
                </c:pt>
                <c:pt idx="5">
                  <c:v>4.9764746423898019E-2</c:v>
                </c:pt>
                <c:pt idx="6">
                  <c:v>4.1742477766120889E-2</c:v>
                </c:pt>
                <c:pt idx="7">
                  <c:v>3.4322473634753541E-2</c:v>
                </c:pt>
                <c:pt idx="8">
                  <c:v>4.2779216214370752E-2</c:v>
                </c:pt>
                <c:pt idx="9">
                  <c:v>2.5899412547352025E-2</c:v>
                </c:pt>
                <c:pt idx="10">
                  <c:v>2.0606826801517038E-2</c:v>
                </c:pt>
                <c:pt idx="11">
                  <c:v>9.3040606280076696E-3</c:v>
                </c:pt>
                <c:pt idx="12">
                  <c:v>4.4124981855607334E-3</c:v>
                </c:pt>
                <c:pt idx="13">
                  <c:v>-6.0317998838657983E-3</c:v>
                </c:pt>
                <c:pt idx="14">
                  <c:v>-1.2313702040259259E-2</c:v>
                </c:pt>
                <c:pt idx="15">
                  <c:v>-2.1644532292931722E-2</c:v>
                </c:pt>
                <c:pt idx="16">
                  <c:v>-2.9915630836607265E-2</c:v>
                </c:pt>
                <c:pt idx="17">
                  <c:v>-3.5982784219153692E-2</c:v>
                </c:pt>
                <c:pt idx="18">
                  <c:v>-3.9888220120378383E-2</c:v>
                </c:pt>
                <c:pt idx="19">
                  <c:v>-3.8472895786183896E-2</c:v>
                </c:pt>
                <c:pt idx="20">
                  <c:v>-4.7307328562058673E-2</c:v>
                </c:pt>
                <c:pt idx="21">
                  <c:v>-4.6970952032668378E-2</c:v>
                </c:pt>
                <c:pt idx="22">
                  <c:v>-5.2525056683846896E-2</c:v>
                </c:pt>
                <c:pt idx="23">
                  <c:v>-4.9717183200876619E-2</c:v>
                </c:pt>
                <c:pt idx="24">
                  <c:v>-3.7870095099010827E-2</c:v>
                </c:pt>
                <c:pt idx="25">
                  <c:v>-3.1416321784003401E-2</c:v>
                </c:pt>
                <c:pt idx="26">
                  <c:v>-2.1556324040225922E-2</c:v>
                </c:pt>
                <c:pt idx="27">
                  <c:v>-1.3620653038677603E-2</c:v>
                </c:pt>
                <c:pt idx="28">
                  <c:v>-3.849515905947393E-3</c:v>
                </c:pt>
                <c:pt idx="29">
                  <c:v>1.0036433399434221E-2</c:v>
                </c:pt>
                <c:pt idx="30">
                  <c:v>1.5839236617977662E-2</c:v>
                </c:pt>
                <c:pt idx="31">
                  <c:v>1.5766626578540045E-2</c:v>
                </c:pt>
                <c:pt idx="32">
                  <c:v>2.2268721027450925E-2</c:v>
                </c:pt>
                <c:pt idx="33">
                  <c:v>2.2745279766715074E-2</c:v>
                </c:pt>
                <c:pt idx="34">
                  <c:v>3.432348336973115E-2</c:v>
                </c:pt>
                <c:pt idx="35">
                  <c:v>2.9101735527885437E-2</c:v>
                </c:pt>
                <c:pt idx="36">
                  <c:v>3.0428526899256118E-2</c:v>
                </c:pt>
                <c:pt idx="37">
                  <c:v>3.165033059923511E-2</c:v>
                </c:pt>
                <c:pt idx="38">
                  <c:v>2.0841903963358298E-2</c:v>
                </c:pt>
                <c:pt idx="39">
                  <c:v>9.5092643930256692E-3</c:v>
                </c:pt>
                <c:pt idx="40">
                  <c:v>4.9162974259972687E-3</c:v>
                </c:pt>
                <c:pt idx="41">
                  <c:v>-1.9236595805628644E-3</c:v>
                </c:pt>
                <c:pt idx="42">
                  <c:v>3.5010694957336112E-3</c:v>
                </c:pt>
                <c:pt idx="43">
                  <c:v>2.4098831692170811E-3</c:v>
                </c:pt>
                <c:pt idx="44">
                  <c:v>7.9493761856000329E-3</c:v>
                </c:pt>
                <c:pt idx="45">
                  <c:v>1.1842467335411737E-2</c:v>
                </c:pt>
                <c:pt idx="46">
                  <c:v>1.3123431700451656E-2</c:v>
                </c:pt>
                <c:pt idx="47">
                  <c:v>1.9463620500840467E-2</c:v>
                </c:pt>
                <c:pt idx="48">
                  <c:v>1.2792704913990037E-2</c:v>
                </c:pt>
                <c:pt idx="49">
                  <c:v>1.7849009835950766E-2</c:v>
                </c:pt>
                <c:pt idx="50">
                  <c:v>1.6811428696922023E-2</c:v>
                </c:pt>
                <c:pt idx="51">
                  <c:v>2.7458993295488152E-2</c:v>
                </c:pt>
                <c:pt idx="52">
                  <c:v>3.5093517498123609E-2</c:v>
                </c:pt>
                <c:pt idx="53">
                  <c:v>2.5835109653504447E-2</c:v>
                </c:pt>
                <c:pt idx="54">
                  <c:v>2.7997592832967585E-2</c:v>
                </c:pt>
                <c:pt idx="55">
                  <c:v>3.1378652917270253E-2</c:v>
                </c:pt>
                <c:pt idx="56">
                  <c:v>2.5703890741240902E-2</c:v>
                </c:pt>
                <c:pt idx="57">
                  <c:v>3.3454748005395461E-2</c:v>
                </c:pt>
                <c:pt idx="58">
                  <c:v>2.8996607587850776E-2</c:v>
                </c:pt>
                <c:pt idx="59">
                  <c:v>3.6106064613476818E-2</c:v>
                </c:pt>
                <c:pt idx="60">
                  <c:v>3.8111955085507854E-2</c:v>
                </c:pt>
                <c:pt idx="61">
                  <c:v>3.9368088399644147E-2</c:v>
                </c:pt>
                <c:pt idx="62">
                  <c:v>4.201619870410378E-2</c:v>
                </c:pt>
                <c:pt idx="63">
                  <c:v>3.9846799338754707E-2</c:v>
                </c:pt>
                <c:pt idx="64">
                  <c:v>3.3615392665460764E-2</c:v>
                </c:pt>
                <c:pt idx="65">
                  <c:v>4.5837579347102024E-2</c:v>
                </c:pt>
                <c:pt idx="66">
                  <c:v>3.5115568806623997E-2</c:v>
                </c:pt>
                <c:pt idx="67">
                  <c:v>3.7637759643441848E-2</c:v>
                </c:pt>
                <c:pt idx="68">
                  <c:v>1.6530590921981576E-2</c:v>
                </c:pt>
                <c:pt idx="69">
                  <c:v>1.9820846182624322E-2</c:v>
                </c:pt>
                <c:pt idx="70">
                  <c:v>2.8629686523119265E-2</c:v>
                </c:pt>
                <c:pt idx="71">
                  <c:v>2.5507380411595563E-2</c:v>
                </c:pt>
                <c:pt idx="72">
                  <c:v>2.3724961820522653E-2</c:v>
                </c:pt>
                <c:pt idx="73">
                  <c:v>1.6679309563307786E-2</c:v>
                </c:pt>
                <c:pt idx="74">
                  <c:v>2.0556385226762706E-2</c:v>
                </c:pt>
                <c:pt idx="75">
                  <c:v>2.1675429169567152E-2</c:v>
                </c:pt>
                <c:pt idx="76">
                  <c:v>2.0620399307797521E-2</c:v>
                </c:pt>
                <c:pt idx="77">
                  <c:v>1.9723222553760657E-2</c:v>
                </c:pt>
                <c:pt idx="78">
                  <c:v>2.2060288075824049E-2</c:v>
                </c:pt>
                <c:pt idx="79">
                  <c:v>2.2998838743786044E-2</c:v>
                </c:pt>
                <c:pt idx="80">
                  <c:v>4.098848093738304E-2</c:v>
                </c:pt>
                <c:pt idx="81">
                  <c:v>2.7495878157186533E-2</c:v>
                </c:pt>
                <c:pt idx="82">
                  <c:v>1.5710616350602519E-2</c:v>
                </c:pt>
                <c:pt idx="83">
                  <c:v>2.1316599709045512E-2</c:v>
                </c:pt>
                <c:pt idx="84">
                  <c:v>1.5459592441886444E-2</c:v>
                </c:pt>
                <c:pt idx="85">
                  <c:v>2.4954092206465061E-2</c:v>
                </c:pt>
                <c:pt idx="86">
                  <c:v>2.4488647787948556E-2</c:v>
                </c:pt>
                <c:pt idx="87">
                  <c:v>2.8358972022697649E-2</c:v>
                </c:pt>
                <c:pt idx="88">
                  <c:v>2.894773070522454E-2</c:v>
                </c:pt>
                <c:pt idx="89">
                  <c:v>2.5903342754137196E-2</c:v>
                </c:pt>
                <c:pt idx="90">
                  <c:v>2.5516051282517323E-2</c:v>
                </c:pt>
                <c:pt idx="91">
                  <c:v>2.3294184597967196E-2</c:v>
                </c:pt>
                <c:pt idx="92">
                  <c:v>2.7943345584679355E-2</c:v>
                </c:pt>
                <c:pt idx="93">
                  <c:v>2.5995598650145137E-2</c:v>
                </c:pt>
                <c:pt idx="94">
                  <c:v>3.2504384575175606E-2</c:v>
                </c:pt>
                <c:pt idx="95">
                  <c:v>2.1932501395940756E-2</c:v>
                </c:pt>
                <c:pt idx="96">
                  <c:v>2.4528040785137952E-2</c:v>
                </c:pt>
                <c:pt idx="97">
                  <c:v>1.0680104357947381E-2</c:v>
                </c:pt>
                <c:pt idx="98">
                  <c:v>5.083971266492693E-3</c:v>
                </c:pt>
                <c:pt idx="99">
                  <c:v>-8.4063726585657667E-3</c:v>
                </c:pt>
                <c:pt idx="100">
                  <c:v>-1.4837463759775167E-2</c:v>
                </c:pt>
                <c:pt idx="101">
                  <c:v>-1.7310209778104661E-2</c:v>
                </c:pt>
                <c:pt idx="102">
                  <c:v>-2.0365744510533995E-2</c:v>
                </c:pt>
                <c:pt idx="103">
                  <c:v>-3.7714529388819008E-2</c:v>
                </c:pt>
                <c:pt idx="104">
                  <c:v>-8.203050342112303E-2</c:v>
                </c:pt>
                <c:pt idx="105">
                  <c:v>-7.0229797038992764E-2</c:v>
                </c:pt>
                <c:pt idx="106">
                  <c:v>-8.7696750831960976E-2</c:v>
                </c:pt>
                <c:pt idx="107">
                  <c:v>-0.11327724094249293</c:v>
                </c:pt>
                <c:pt idx="108">
                  <c:v>-0.13409501549399716</c:v>
                </c:pt>
                <c:pt idx="109">
                  <c:v>-0.13591104411731467</c:v>
                </c:pt>
                <c:pt idx="110">
                  <c:v>-0.14643496064048231</c:v>
                </c:pt>
                <c:pt idx="111">
                  <c:v>-0.14757187477041167</c:v>
                </c:pt>
                <c:pt idx="112">
                  <c:v>-0.15119647612989426</c:v>
                </c:pt>
                <c:pt idx="113">
                  <c:v>-0.15199456332990044</c:v>
                </c:pt>
                <c:pt idx="114">
                  <c:v>-0.13855266080569428</c:v>
                </c:pt>
                <c:pt idx="115">
                  <c:v>-0.11541536523080721</c:v>
                </c:pt>
                <c:pt idx="116">
                  <c:v>-6.723362001313278E-2</c:v>
                </c:pt>
                <c:pt idx="117">
                  <c:v>-7.4385337978210009E-2</c:v>
                </c:pt>
                <c:pt idx="118">
                  <c:v>-5.8182772602857133E-2</c:v>
                </c:pt>
                <c:pt idx="119">
                  <c:v>-2.7409023317235798E-2</c:v>
                </c:pt>
                <c:pt idx="120">
                  <c:v>8.1984168340524712E-3</c:v>
                </c:pt>
                <c:pt idx="121">
                  <c:v>1.7886872270742243E-2</c:v>
                </c:pt>
                <c:pt idx="122">
                  <c:v>4.1531918433558454E-2</c:v>
                </c:pt>
                <c:pt idx="123">
                  <c:v>5.3741098861166653E-2</c:v>
                </c:pt>
                <c:pt idx="124">
                  <c:v>7.8989071648993922E-2</c:v>
                </c:pt>
                <c:pt idx="125">
                  <c:v>8.4989914750429996E-2</c:v>
                </c:pt>
                <c:pt idx="126">
                  <c:v>7.659163379384451E-2</c:v>
                </c:pt>
                <c:pt idx="127">
                  <c:v>6.9046198170911052E-2</c:v>
                </c:pt>
                <c:pt idx="128">
                  <c:v>6.3017461925447604E-2</c:v>
                </c:pt>
                <c:pt idx="129">
                  <c:v>5.7853448590957243E-2</c:v>
                </c:pt>
                <c:pt idx="130">
                  <c:v>5.4175425186317586E-2</c:v>
                </c:pt>
                <c:pt idx="131">
                  <c:v>6.0548464385856281E-2</c:v>
                </c:pt>
                <c:pt idx="132">
                  <c:v>4.6928254942058586E-2</c:v>
                </c:pt>
                <c:pt idx="133">
                  <c:v>3.9059802991657837E-2</c:v>
                </c:pt>
                <c:pt idx="134">
                  <c:v>4.2521540320084525E-2</c:v>
                </c:pt>
                <c:pt idx="135">
                  <c:v>3.513164002917965E-2</c:v>
                </c:pt>
                <c:pt idx="136">
                  <c:v>2.262163202421472E-2</c:v>
                </c:pt>
                <c:pt idx="137">
                  <c:v>2.2942780655007607E-2</c:v>
                </c:pt>
                <c:pt idx="138">
                  <c:v>2.4285359750394708E-2</c:v>
                </c:pt>
                <c:pt idx="139">
                  <c:v>2.7115478054310919E-2</c:v>
                </c:pt>
                <c:pt idx="140">
                  <c:v>2.3758759858205539E-2</c:v>
                </c:pt>
                <c:pt idx="141">
                  <c:v>3.3637535658832755E-2</c:v>
                </c:pt>
                <c:pt idx="142">
                  <c:v>3.3107387793330049E-2</c:v>
                </c:pt>
                <c:pt idx="143">
                  <c:v>2.8219347020168956E-2</c:v>
                </c:pt>
                <c:pt idx="144">
                  <c:v>3.6686931686144522E-2</c:v>
                </c:pt>
                <c:pt idx="145">
                  <c:v>4.406425024004066E-2</c:v>
                </c:pt>
                <c:pt idx="146">
                  <c:v>2.7871416714550318E-2</c:v>
                </c:pt>
                <c:pt idx="147">
                  <c:v>3.8953578388190378E-2</c:v>
                </c:pt>
                <c:pt idx="148">
                  <c:v>3.9629887895866966E-2</c:v>
                </c:pt>
                <c:pt idx="149">
                  <c:v>3.6713959705565215E-2</c:v>
                </c:pt>
                <c:pt idx="150">
                  <c:v>3.395031032242634E-2</c:v>
                </c:pt>
                <c:pt idx="151">
                  <c:v>2.2987333681642214E-2</c:v>
                </c:pt>
                <c:pt idx="152">
                  <c:v>2.2796119200784209E-2</c:v>
                </c:pt>
                <c:pt idx="153">
                  <c:v>1.913629189034478E-2</c:v>
                </c:pt>
                <c:pt idx="154">
                  <c:v>2.3117535549973551E-2</c:v>
                </c:pt>
                <c:pt idx="155">
                  <c:v>2.0697460990888223E-2</c:v>
                </c:pt>
                <c:pt idx="156">
                  <c:v>1.4399034761598328E-2</c:v>
                </c:pt>
                <c:pt idx="157">
                  <c:v>1.6273391326556263E-2</c:v>
                </c:pt>
                <c:pt idx="158">
                  <c:v>2.590238029427322E-2</c:v>
                </c:pt>
                <c:pt idx="159">
                  <c:v>1.7360632925182369E-2</c:v>
                </c:pt>
                <c:pt idx="160">
                  <c:v>1.6138725762681955E-2</c:v>
                </c:pt>
                <c:pt idx="161">
                  <c:v>1.7681759108342032E-2</c:v>
                </c:pt>
                <c:pt idx="162">
                  <c:v>1.2175180151325122E-2</c:v>
                </c:pt>
                <c:pt idx="163">
                  <c:v>2.2361863265956152E-2</c:v>
                </c:pt>
                <c:pt idx="164">
                  <c:v>2.8554974521932789E-2</c:v>
                </c:pt>
                <c:pt idx="165">
                  <c:v>2.4013693996576466E-2</c:v>
                </c:pt>
                <c:pt idx="166">
                  <c:v>2.2346106377266459E-2</c:v>
                </c:pt>
                <c:pt idx="167">
                  <c:v>2.1908007751046E-2</c:v>
                </c:pt>
                <c:pt idx="168">
                  <c:v>1.816515443130785E-2</c:v>
                </c:pt>
                <c:pt idx="169">
                  <c:v>2.0925483996818234E-2</c:v>
                </c:pt>
                <c:pt idx="170">
                  <c:v>2.663689184798284E-2</c:v>
                </c:pt>
                <c:pt idx="171">
                  <c:v>2.8412018207936575E-2</c:v>
                </c:pt>
                <c:pt idx="172">
                  <c:v>3.1625524080978552E-2</c:v>
                </c:pt>
                <c:pt idx="173">
                  <c:v>3.376133029478668E-2</c:v>
                </c:pt>
                <c:pt idx="174">
                  <c:v>3.9724728347682592E-2</c:v>
                </c:pt>
                <c:pt idx="175">
                  <c:v>3.177031453696947E-2</c:v>
                </c:pt>
                <c:pt idx="176">
                  <c:v>2.946993117183835E-2</c:v>
                </c:pt>
                <c:pt idx="177">
                  <c:v>3.069552909899317E-2</c:v>
                </c:pt>
                <c:pt idx="178">
                  <c:v>3.4486993736263932E-2</c:v>
                </c:pt>
                <c:pt idx="179">
                  <c:v>3.2228749990035568E-2</c:v>
                </c:pt>
                <c:pt idx="180">
                  <c:v>2.8156842976992086E-2</c:v>
                </c:pt>
                <c:pt idx="181">
                  <c:v>1.3964475897904118E-2</c:v>
                </c:pt>
                <c:pt idx="182">
                  <c:v>6.7427370597934863E-4</c:v>
                </c:pt>
                <c:pt idx="183">
                  <c:v>-5.6364148943590237E-3</c:v>
                </c:pt>
                <c:pt idx="184">
                  <c:v>-1.4264525748545158E-2</c:v>
                </c:pt>
                <c:pt idx="185">
                  <c:v>-2.0580380777994532E-2</c:v>
                </c:pt>
                <c:pt idx="186">
                  <c:v>-1.6846148236380889E-2</c:v>
                </c:pt>
                <c:pt idx="187">
                  <c:v>-1.7240153180860383E-2</c:v>
                </c:pt>
                <c:pt idx="188">
                  <c:v>-2.288842681035335E-2</c:v>
                </c:pt>
                <c:pt idx="189">
                  <c:v>-2.7380684157777398E-2</c:v>
                </c:pt>
                <c:pt idx="190">
                  <c:v>-4.0732922336216483E-2</c:v>
                </c:pt>
                <c:pt idx="191">
                  <c:v>-4.5706232141478037E-2</c:v>
                </c:pt>
                <c:pt idx="192">
                  <c:v>-3.2971458588688447E-2</c:v>
                </c:pt>
                <c:pt idx="193">
                  <c:v>-3.1919996397645187E-2</c:v>
                </c:pt>
                <c:pt idx="194">
                  <c:v>-3.6040495954628222E-2</c:v>
                </c:pt>
                <c:pt idx="195">
                  <c:v>-2.7582153247356137E-2</c:v>
                </c:pt>
                <c:pt idx="196">
                  <c:v>-2.5249718124216017E-2</c:v>
                </c:pt>
                <c:pt idx="197">
                  <c:v>-1.768291408212213E-2</c:v>
                </c:pt>
                <c:pt idx="198">
                  <c:v>-2.247947779645923E-2</c:v>
                </c:pt>
                <c:pt idx="199">
                  <c:v>-2.1312408183171778E-2</c:v>
                </c:pt>
                <c:pt idx="200">
                  <c:v>-1.9673385814249454E-2</c:v>
                </c:pt>
                <c:pt idx="201">
                  <c:v>-1.4362312907509675E-2</c:v>
                </c:pt>
                <c:pt idx="202">
                  <c:v>-1.0880272726266495E-2</c:v>
                </c:pt>
                <c:pt idx="203">
                  <c:v>4.9667601348202966E-4</c:v>
                </c:pt>
                <c:pt idx="204">
                  <c:v>-6.7770796490445578E-3</c:v>
                </c:pt>
                <c:pt idx="205">
                  <c:v>-4.8212945904022794E-3</c:v>
                </c:pt>
                <c:pt idx="206">
                  <c:v>9.5181809381639296E-3</c:v>
                </c:pt>
                <c:pt idx="207">
                  <c:v>1.6438024958247133E-2</c:v>
                </c:pt>
                <c:pt idx="208">
                  <c:v>1.9645737280265894E-2</c:v>
                </c:pt>
                <c:pt idx="209">
                  <c:v>1.660170699030988E-2</c:v>
                </c:pt>
                <c:pt idx="210">
                  <c:v>1.3200508715856665E-2</c:v>
                </c:pt>
                <c:pt idx="211">
                  <c:v>9.6991599328270315E-3</c:v>
                </c:pt>
                <c:pt idx="212">
                  <c:v>1.170247605413032E-2</c:v>
                </c:pt>
                <c:pt idx="213">
                  <c:v>2.3578550255995697E-2</c:v>
                </c:pt>
                <c:pt idx="214">
                  <c:v>2.9761832098343474E-2</c:v>
                </c:pt>
                <c:pt idx="215">
                  <c:v>2.5089402798406137E-2</c:v>
                </c:pt>
                <c:pt idx="216">
                  <c:v>2.6435434684189713E-2</c:v>
                </c:pt>
                <c:pt idx="217">
                  <c:v>3.3418751486011693E-2</c:v>
                </c:pt>
                <c:pt idx="218">
                  <c:v>3.2359098277424836E-2</c:v>
                </c:pt>
                <c:pt idx="219">
                  <c:v>3.3776591757492098E-2</c:v>
                </c:pt>
                <c:pt idx="220">
                  <c:v>2.3312595492265806E-2</c:v>
                </c:pt>
                <c:pt idx="221">
                  <c:v>2.926786476173E-2</c:v>
                </c:pt>
                <c:pt idx="222">
                  <c:v>3.3123031541274404E-2</c:v>
                </c:pt>
                <c:pt idx="223">
                  <c:v>4.5064691968325146E-2</c:v>
                </c:pt>
                <c:pt idx="224">
                  <c:v>4.3931375015157918E-2</c:v>
                </c:pt>
                <c:pt idx="225">
                  <c:v>2.9765409970892821E-2</c:v>
                </c:pt>
                <c:pt idx="226">
                  <c:v>2.7011834904076073E-2</c:v>
                </c:pt>
                <c:pt idx="227">
                  <c:v>2.4472372415616093E-2</c:v>
                </c:pt>
                <c:pt idx="228">
                  <c:v>1.8978736000789392E-2</c:v>
                </c:pt>
                <c:pt idx="229">
                  <c:v>1.0902909146684445E-2</c:v>
                </c:pt>
                <c:pt idx="230">
                  <c:v>6.0765459016314449E-3</c:v>
                </c:pt>
                <c:pt idx="231">
                  <c:v>-1.0164936094514387E-2</c:v>
                </c:pt>
                <c:pt idx="232">
                  <c:v>9.9635515523518732E-4</c:v>
                </c:pt>
                <c:pt idx="233">
                  <c:v>-6.372831978057325E-3</c:v>
                </c:pt>
                <c:pt idx="234">
                  <c:v>-1.2155563374019383E-2</c:v>
                </c:pt>
                <c:pt idx="235">
                  <c:v>-1.2205774225812508E-2</c:v>
                </c:pt>
                <c:pt idx="236">
                  <c:v>-1.5240024384039069E-2</c:v>
                </c:pt>
                <c:pt idx="237">
                  <c:v>-2.1817898730965436E-2</c:v>
                </c:pt>
                <c:pt idx="238">
                  <c:v>-1.7914530835328561E-2</c:v>
                </c:pt>
                <c:pt idx="239">
                  <c:v>-2.027361387902071E-2</c:v>
                </c:pt>
                <c:pt idx="240">
                  <c:v>-1.9031959437737028E-2</c:v>
                </c:pt>
                <c:pt idx="241">
                  <c:v>-1.0814496229661477E-2</c:v>
                </c:pt>
                <c:pt idx="242">
                  <c:v>-4.8837706511175943E-2</c:v>
                </c:pt>
                <c:pt idx="243">
                  <c:v>-0.17018126126900462</c:v>
                </c:pt>
                <c:pt idx="244">
                  <c:v>-0.1583329758734045</c:v>
                </c:pt>
                <c:pt idx="245">
                  <c:v>-0.10566530984630493</c:v>
                </c:pt>
                <c:pt idx="246">
                  <c:v>-6.8074543156049078E-2</c:v>
                </c:pt>
                <c:pt idx="247">
                  <c:v>-6.5993512689901584E-2</c:v>
                </c:pt>
                <c:pt idx="248">
                  <c:v>-6.344280993185733E-2</c:v>
                </c:pt>
                <c:pt idx="249">
                  <c:v>-4.866006730367714E-2</c:v>
                </c:pt>
                <c:pt idx="250">
                  <c:v>-4.8772795522728583E-2</c:v>
                </c:pt>
                <c:pt idx="251">
                  <c:v>-3.562387975220898E-2</c:v>
                </c:pt>
                <c:pt idx="252">
                  <c:v>-2.0122799917080433E-2</c:v>
                </c:pt>
                <c:pt idx="253">
                  <c:v>-5.3888841911511651E-2</c:v>
                </c:pt>
                <c:pt idx="254">
                  <c:v>1.0089440978558248E-2</c:v>
                </c:pt>
                <c:pt idx="255">
                  <c:v>0.1655575042079121</c:v>
                </c:pt>
                <c:pt idx="256">
                  <c:v>0.15571990339898867</c:v>
                </c:pt>
                <c:pt idx="257">
                  <c:v>9.1986794881436185E-2</c:v>
                </c:pt>
                <c:pt idx="258">
                  <c:v>5.9095648120247098E-2</c:v>
                </c:pt>
                <c:pt idx="259">
                  <c:v>4.9103543274727893E-2</c:v>
                </c:pt>
                <c:pt idx="260">
                  <c:v>3.9332327828035703E-2</c:v>
                </c:pt>
                <c:pt idx="261">
                  <c:v>4.6839142783372097E-2</c:v>
                </c:pt>
                <c:pt idx="262">
                  <c:v>4.986392883730454E-2</c:v>
                </c:pt>
                <c:pt idx="263">
                  <c:v>3.6893965640220905E-2</c:v>
                </c:pt>
                <c:pt idx="264">
                  <c:v>2.9028504651713378E-2</c:v>
                </c:pt>
                <c:pt idx="265">
                  <c:v>6.9376272433542496E-2</c:v>
                </c:pt>
                <c:pt idx="266">
                  <c:v>4.7638073639949069E-2</c:v>
                </c:pt>
                <c:pt idx="267">
                  <c:v>5.2979764624143805E-2</c:v>
                </c:pt>
                <c:pt idx="268">
                  <c:v>4.3958367784642974E-2</c:v>
                </c:pt>
                <c:pt idx="269">
                  <c:v>3.7468947214506443E-2</c:v>
                </c:pt>
                <c:pt idx="270">
                  <c:v>3.5787787343217761E-2</c:v>
                </c:pt>
                <c:pt idx="271">
                  <c:v>3.5033767367136974E-2</c:v>
                </c:pt>
                <c:pt idx="272">
                  <c:v>4.7313064222462099E-2</c:v>
                </c:pt>
                <c:pt idx="273">
                  <c:v>3.1891215684262536E-2</c:v>
                </c:pt>
                <c:pt idx="274">
                  <c:v>1.9846804170221968E-2</c:v>
                </c:pt>
                <c:pt idx="275">
                  <c:v>1.1467324169825266E-2</c:v>
                </c:pt>
                <c:pt idx="276">
                  <c:v>7.8955612554578725E-3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927-4E0E-A262-C500A89C3113}"/>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Utilization'!$A$6:$A$678</c:f>
              <c:numCache>
                <c:formatCode>mmm\-yy</c:formatCode>
                <c:ptCount val="673"/>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pt idx="671">
                  <c:v>44896</c:v>
                </c:pt>
                <c:pt idx="672">
                  <c:v>44927</c:v>
                </c:pt>
              </c:numCache>
            </c:numRef>
          </c:cat>
          <c:val>
            <c:numRef>
              <c:f>'Capacity Utilization'!$B$6:$B$678</c:f>
              <c:numCache>
                <c:formatCode>0.00</c:formatCode>
                <c:ptCount val="673"/>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87.384100000000004</c:v>
                </c:pt>
                <c:pt idx="13">
                  <c:v>87.349100000000007</c:v>
                </c:pt>
                <c:pt idx="14">
                  <c:v>87.275000000000006</c:v>
                </c:pt>
                <c:pt idx="15">
                  <c:v>87.056899999999999</c:v>
                </c:pt>
                <c:pt idx="16">
                  <c:v>87.687700000000007</c:v>
                </c:pt>
                <c:pt idx="17">
                  <c:v>87.665599999999998</c:v>
                </c:pt>
                <c:pt idx="18">
                  <c:v>87.19</c:v>
                </c:pt>
                <c:pt idx="19">
                  <c:v>87.093800000000002</c:v>
                </c:pt>
                <c:pt idx="20">
                  <c:v>87.085700000000003</c:v>
                </c:pt>
                <c:pt idx="21">
                  <c:v>86.922300000000007</c:v>
                </c:pt>
                <c:pt idx="22">
                  <c:v>87.708699999999993</c:v>
                </c:pt>
                <c:pt idx="23">
                  <c:v>87.649199999999993</c:v>
                </c:pt>
                <c:pt idx="24">
                  <c:v>87.852000000000004</c:v>
                </c:pt>
                <c:pt idx="25">
                  <c:v>88.096000000000004</c:v>
                </c:pt>
                <c:pt idx="26">
                  <c:v>88.468000000000004</c:v>
                </c:pt>
                <c:pt idx="27">
                  <c:v>87.827200000000005</c:v>
                </c:pt>
                <c:pt idx="28">
                  <c:v>87.183300000000003</c:v>
                </c:pt>
                <c:pt idx="29">
                  <c:v>87.722300000000004</c:v>
                </c:pt>
                <c:pt idx="30">
                  <c:v>87.873099999999994</c:v>
                </c:pt>
                <c:pt idx="31">
                  <c:v>87.764200000000002</c:v>
                </c:pt>
                <c:pt idx="32">
                  <c:v>87.436000000000007</c:v>
                </c:pt>
                <c:pt idx="33">
                  <c:v>87.155000000000001</c:v>
                </c:pt>
                <c:pt idx="34">
                  <c:v>86.031999999999996</c:v>
                </c:pt>
                <c:pt idx="35">
                  <c:v>85.502399999999994</c:v>
                </c:pt>
                <c:pt idx="36">
                  <c:v>83.641400000000004</c:v>
                </c:pt>
                <c:pt idx="37">
                  <c:v>83.3245</c:v>
                </c:pt>
                <c:pt idx="38">
                  <c:v>82.956000000000003</c:v>
                </c:pt>
                <c:pt idx="39">
                  <c:v>82.484800000000007</c:v>
                </c:pt>
                <c:pt idx="40">
                  <c:v>82.132499999999993</c:v>
                </c:pt>
                <c:pt idx="41">
                  <c:v>81.613200000000006</c:v>
                </c:pt>
                <c:pt idx="42">
                  <c:v>81.5608</c:v>
                </c:pt>
                <c:pt idx="43">
                  <c:v>81.164500000000004</c:v>
                </c:pt>
                <c:pt idx="44">
                  <c:v>80.357399999999998</c:v>
                </c:pt>
                <c:pt idx="45">
                  <c:v>78.508799999999994</c:v>
                </c:pt>
                <c:pt idx="46">
                  <c:v>77.795100000000005</c:v>
                </c:pt>
                <c:pt idx="47">
                  <c:v>79.339399999999998</c:v>
                </c:pt>
                <c:pt idx="48">
                  <c:v>79.725899999999996</c:v>
                </c:pt>
                <c:pt idx="49">
                  <c:v>79.371099999999998</c:v>
                </c:pt>
                <c:pt idx="50">
                  <c:v>79.083100000000002</c:v>
                </c:pt>
                <c:pt idx="51">
                  <c:v>79.325199999999995</c:v>
                </c:pt>
                <c:pt idx="52">
                  <c:v>79.525599999999997</c:v>
                </c:pt>
                <c:pt idx="53">
                  <c:v>79.657200000000003</c:v>
                </c:pt>
                <c:pt idx="54">
                  <c:v>79.2256</c:v>
                </c:pt>
                <c:pt idx="55">
                  <c:v>78.567499999999995</c:v>
                </c:pt>
                <c:pt idx="56">
                  <c:v>79.644000000000005</c:v>
                </c:pt>
                <c:pt idx="57">
                  <c:v>80.039199999999994</c:v>
                </c:pt>
                <c:pt idx="58">
                  <c:v>80.178100000000001</c:v>
                </c:pt>
                <c:pt idx="59">
                  <c:v>80.901499999999999</c:v>
                </c:pt>
                <c:pt idx="60">
                  <c:v>82.625799999999998</c:v>
                </c:pt>
                <c:pt idx="61">
                  <c:v>83.284999999999997</c:v>
                </c:pt>
                <c:pt idx="62">
                  <c:v>83.664299999999997</c:v>
                </c:pt>
                <c:pt idx="63">
                  <c:v>84.278300000000002</c:v>
                </c:pt>
                <c:pt idx="64">
                  <c:v>84.081199999999995</c:v>
                </c:pt>
                <c:pt idx="65">
                  <c:v>84.088999999999999</c:v>
                </c:pt>
                <c:pt idx="66">
                  <c:v>83.783699999999996</c:v>
                </c:pt>
                <c:pt idx="67">
                  <c:v>84.712699999999998</c:v>
                </c:pt>
                <c:pt idx="68">
                  <c:v>85.131</c:v>
                </c:pt>
                <c:pt idx="69">
                  <c:v>85.983400000000003</c:v>
                </c:pt>
                <c:pt idx="70">
                  <c:v>86.737499999999997</c:v>
                </c:pt>
                <c:pt idx="71">
                  <c:v>87.447800000000001</c:v>
                </c:pt>
                <c:pt idx="72">
                  <c:v>87.800200000000004</c:v>
                </c:pt>
                <c:pt idx="73">
                  <c:v>88.784899999999993</c:v>
                </c:pt>
                <c:pt idx="74">
                  <c:v>88.528300000000002</c:v>
                </c:pt>
                <c:pt idx="75">
                  <c:v>88.102099999999993</c:v>
                </c:pt>
                <c:pt idx="76">
                  <c:v>88.383099999999999</c:v>
                </c:pt>
                <c:pt idx="77">
                  <c:v>88.178899999999999</c:v>
                </c:pt>
                <c:pt idx="78">
                  <c:v>88.207300000000004</c:v>
                </c:pt>
                <c:pt idx="79">
                  <c:v>87.783299999999997</c:v>
                </c:pt>
                <c:pt idx="80">
                  <c:v>88.179599999999994</c:v>
                </c:pt>
                <c:pt idx="81">
                  <c:v>88.600300000000004</c:v>
                </c:pt>
                <c:pt idx="82">
                  <c:v>88.726799999999997</c:v>
                </c:pt>
                <c:pt idx="83">
                  <c:v>88.202200000000005</c:v>
                </c:pt>
                <c:pt idx="84">
                  <c:v>87.353499999999997</c:v>
                </c:pt>
                <c:pt idx="85">
                  <c:v>86.844099999999997</c:v>
                </c:pt>
                <c:pt idx="86">
                  <c:v>86.603300000000004</c:v>
                </c:pt>
                <c:pt idx="87">
                  <c:v>86.123800000000003</c:v>
                </c:pt>
                <c:pt idx="88">
                  <c:v>86.592500000000001</c:v>
                </c:pt>
                <c:pt idx="89">
                  <c:v>86.2239</c:v>
                </c:pt>
                <c:pt idx="90">
                  <c:v>86.180099999999996</c:v>
                </c:pt>
                <c:pt idx="91">
                  <c:v>85.085300000000004</c:v>
                </c:pt>
                <c:pt idx="92">
                  <c:v>84.922600000000003</c:v>
                </c:pt>
                <c:pt idx="93">
                  <c:v>84.490799999999993</c:v>
                </c:pt>
                <c:pt idx="94">
                  <c:v>81.5578</c:v>
                </c:pt>
                <c:pt idx="95">
                  <c:v>78.501199999999997</c:v>
                </c:pt>
                <c:pt idx="96">
                  <c:v>77.287099999999995</c:v>
                </c:pt>
                <c:pt idx="97">
                  <c:v>75.398899999999998</c:v>
                </c:pt>
                <c:pt idx="98">
                  <c:v>74.4422</c:v>
                </c:pt>
                <c:pt idx="99">
                  <c:v>74.460499999999996</c:v>
                </c:pt>
                <c:pt idx="100">
                  <c:v>74.134500000000003</c:v>
                </c:pt>
                <c:pt idx="101">
                  <c:v>74.494500000000002</c:v>
                </c:pt>
                <c:pt idx="102">
                  <c:v>75.132400000000004</c:v>
                </c:pt>
                <c:pt idx="103">
                  <c:v>75.745099999999994</c:v>
                </c:pt>
                <c:pt idx="104">
                  <c:v>76.586299999999994</c:v>
                </c:pt>
                <c:pt idx="105">
                  <c:v>76.778599999999997</c:v>
                </c:pt>
                <c:pt idx="106">
                  <c:v>76.745500000000007</c:v>
                </c:pt>
                <c:pt idx="107">
                  <c:v>77.645700000000005</c:v>
                </c:pt>
                <c:pt idx="108">
                  <c:v>78.528099999999995</c:v>
                </c:pt>
                <c:pt idx="109">
                  <c:v>79.162400000000005</c:v>
                </c:pt>
                <c:pt idx="110">
                  <c:v>79.149199999999993</c:v>
                </c:pt>
                <c:pt idx="111">
                  <c:v>79.384299999999996</c:v>
                </c:pt>
                <c:pt idx="112">
                  <c:v>79.529799999999994</c:v>
                </c:pt>
                <c:pt idx="113">
                  <c:v>79.452299999999994</c:v>
                </c:pt>
                <c:pt idx="114">
                  <c:v>79.6935</c:v>
                </c:pt>
                <c:pt idx="115">
                  <c:v>80.071100000000001</c:v>
                </c:pt>
                <c:pt idx="116">
                  <c:v>80.139799999999994</c:v>
                </c:pt>
                <c:pt idx="117">
                  <c:v>79.939300000000003</c:v>
                </c:pt>
                <c:pt idx="118">
                  <c:v>80.972899999999996</c:v>
                </c:pt>
                <c:pt idx="119">
                  <c:v>81.638400000000004</c:v>
                </c:pt>
                <c:pt idx="120">
                  <c:v>80.897400000000005</c:v>
                </c:pt>
                <c:pt idx="121">
                  <c:v>81.988900000000001</c:v>
                </c:pt>
                <c:pt idx="122">
                  <c:v>82.805599999999998</c:v>
                </c:pt>
                <c:pt idx="123">
                  <c:v>83.395700000000005</c:v>
                </c:pt>
                <c:pt idx="124">
                  <c:v>83.831000000000003</c:v>
                </c:pt>
                <c:pt idx="125">
                  <c:v>84.237099999999998</c:v>
                </c:pt>
                <c:pt idx="126">
                  <c:v>84.118600000000001</c:v>
                </c:pt>
                <c:pt idx="127">
                  <c:v>83.974699999999999</c:v>
                </c:pt>
                <c:pt idx="128">
                  <c:v>84.088099999999997</c:v>
                </c:pt>
                <c:pt idx="129">
                  <c:v>83.974000000000004</c:v>
                </c:pt>
                <c:pt idx="130">
                  <c:v>83.892399999999995</c:v>
                </c:pt>
                <c:pt idx="131">
                  <c:v>83.776799999999994</c:v>
                </c:pt>
                <c:pt idx="132">
                  <c:v>82.343999999999994</c:v>
                </c:pt>
                <c:pt idx="133">
                  <c:v>82.553399999999996</c:v>
                </c:pt>
                <c:pt idx="134">
                  <c:v>83.903899999999993</c:v>
                </c:pt>
                <c:pt idx="135">
                  <c:v>85.322900000000004</c:v>
                </c:pt>
                <c:pt idx="136">
                  <c:v>85.500399999999999</c:v>
                </c:pt>
                <c:pt idx="137">
                  <c:v>85.805899999999994</c:v>
                </c:pt>
                <c:pt idx="138">
                  <c:v>85.492000000000004</c:v>
                </c:pt>
                <c:pt idx="139">
                  <c:v>85.612799999999993</c:v>
                </c:pt>
                <c:pt idx="140">
                  <c:v>85.5839</c:v>
                </c:pt>
                <c:pt idx="141">
                  <c:v>86.012799999999999</c:v>
                </c:pt>
                <c:pt idx="142">
                  <c:v>86.432299999999998</c:v>
                </c:pt>
                <c:pt idx="143">
                  <c:v>86.642399999999995</c:v>
                </c:pt>
                <c:pt idx="144">
                  <c:v>85.927899999999994</c:v>
                </c:pt>
                <c:pt idx="145">
                  <c:v>86.129099999999994</c:v>
                </c:pt>
                <c:pt idx="146">
                  <c:v>86.162199999999999</c:v>
                </c:pt>
                <c:pt idx="147">
                  <c:v>84.93</c:v>
                </c:pt>
                <c:pt idx="148">
                  <c:v>85.457099999999997</c:v>
                </c:pt>
                <c:pt idx="149">
                  <c:v>85.244500000000002</c:v>
                </c:pt>
                <c:pt idx="150">
                  <c:v>84.906099999999995</c:v>
                </c:pt>
                <c:pt idx="151">
                  <c:v>84.159899999999993</c:v>
                </c:pt>
                <c:pt idx="152">
                  <c:v>83.962299999999999</c:v>
                </c:pt>
                <c:pt idx="153">
                  <c:v>84.361699999999999</c:v>
                </c:pt>
                <c:pt idx="154">
                  <c:v>84.0501</c:v>
                </c:pt>
                <c:pt idx="155">
                  <c:v>83.941999999999993</c:v>
                </c:pt>
                <c:pt idx="156">
                  <c:v>84.214600000000004</c:v>
                </c:pt>
                <c:pt idx="157">
                  <c:v>84.087800000000001</c:v>
                </c:pt>
                <c:pt idx="158">
                  <c:v>83.5715</c:v>
                </c:pt>
                <c:pt idx="159">
                  <c:v>81.768799999999999</c:v>
                </c:pt>
                <c:pt idx="160">
                  <c:v>79.606399999999994</c:v>
                </c:pt>
                <c:pt idx="161">
                  <c:v>78.438800000000001</c:v>
                </c:pt>
                <c:pt idx="162">
                  <c:v>77.719700000000003</c:v>
                </c:pt>
                <c:pt idx="163">
                  <c:v>77.811000000000007</c:v>
                </c:pt>
                <c:pt idx="164">
                  <c:v>78.941000000000003</c:v>
                </c:pt>
                <c:pt idx="165">
                  <c:v>79.769900000000007</c:v>
                </c:pt>
                <c:pt idx="166">
                  <c:v>80.915899999999993</c:v>
                </c:pt>
                <c:pt idx="167">
                  <c:v>81.280299999999997</c:v>
                </c:pt>
                <c:pt idx="168">
                  <c:v>80.575199999999995</c:v>
                </c:pt>
                <c:pt idx="169">
                  <c:v>80.046899999999994</c:v>
                </c:pt>
                <c:pt idx="170">
                  <c:v>80.247900000000001</c:v>
                </c:pt>
                <c:pt idx="171">
                  <c:v>79.694800000000001</c:v>
                </c:pt>
                <c:pt idx="172">
                  <c:v>79.948899999999995</c:v>
                </c:pt>
                <c:pt idx="173">
                  <c:v>80.165999999999997</c:v>
                </c:pt>
                <c:pt idx="174">
                  <c:v>80.4696</c:v>
                </c:pt>
                <c:pt idx="175">
                  <c:v>80.169200000000004</c:v>
                </c:pt>
                <c:pt idx="176">
                  <c:v>79.5809</c:v>
                </c:pt>
                <c:pt idx="177">
                  <c:v>78.7744</c:v>
                </c:pt>
                <c:pt idx="178">
                  <c:v>77.681600000000003</c:v>
                </c:pt>
                <c:pt idx="179">
                  <c:v>76.681700000000006</c:v>
                </c:pt>
                <c:pt idx="180">
                  <c:v>74.9452</c:v>
                </c:pt>
                <c:pt idx="181">
                  <c:v>76.315700000000007</c:v>
                </c:pt>
                <c:pt idx="182">
                  <c:v>75.644400000000005</c:v>
                </c:pt>
                <c:pt idx="183">
                  <c:v>74.813500000000005</c:v>
                </c:pt>
                <c:pt idx="184">
                  <c:v>74.178299999999993</c:v>
                </c:pt>
                <c:pt idx="185">
                  <c:v>73.879900000000006</c:v>
                </c:pt>
                <c:pt idx="186">
                  <c:v>73.511899999999997</c:v>
                </c:pt>
                <c:pt idx="187">
                  <c:v>72.770700000000005</c:v>
                </c:pt>
                <c:pt idx="188">
                  <c:v>72.501300000000001</c:v>
                </c:pt>
                <c:pt idx="189">
                  <c:v>71.745599999999996</c:v>
                </c:pt>
                <c:pt idx="190">
                  <c:v>71.459299999999999</c:v>
                </c:pt>
                <c:pt idx="191">
                  <c:v>70.904600000000002</c:v>
                </c:pt>
                <c:pt idx="192">
                  <c:v>72.184200000000004</c:v>
                </c:pt>
                <c:pt idx="193">
                  <c:v>71.725999999999999</c:v>
                </c:pt>
                <c:pt idx="194">
                  <c:v>72.297300000000007</c:v>
                </c:pt>
                <c:pt idx="195">
                  <c:v>73.178700000000006</c:v>
                </c:pt>
                <c:pt idx="196">
                  <c:v>73.626900000000006</c:v>
                </c:pt>
                <c:pt idx="197">
                  <c:v>74.048199999999994</c:v>
                </c:pt>
                <c:pt idx="198">
                  <c:v>75.128900000000002</c:v>
                </c:pt>
                <c:pt idx="199">
                  <c:v>75.999799999999993</c:v>
                </c:pt>
                <c:pt idx="200">
                  <c:v>77.063800000000001</c:v>
                </c:pt>
                <c:pt idx="201">
                  <c:v>77.613799999999998</c:v>
                </c:pt>
                <c:pt idx="202">
                  <c:v>77.896000000000001</c:v>
                </c:pt>
                <c:pt idx="203">
                  <c:v>78.202299999999994</c:v>
                </c:pt>
                <c:pt idx="204">
                  <c:v>79.675399999999996</c:v>
                </c:pt>
                <c:pt idx="205">
                  <c:v>79.935500000000005</c:v>
                </c:pt>
                <c:pt idx="206">
                  <c:v>80.201700000000002</c:v>
                </c:pt>
                <c:pt idx="207">
                  <c:v>80.547300000000007</c:v>
                </c:pt>
                <c:pt idx="208">
                  <c:v>80.838399999999993</c:v>
                </c:pt>
                <c:pt idx="209">
                  <c:v>80.964799999999997</c:v>
                </c:pt>
                <c:pt idx="210">
                  <c:v>81.033900000000003</c:v>
                </c:pt>
                <c:pt idx="211">
                  <c:v>80.958699999999993</c:v>
                </c:pt>
                <c:pt idx="212">
                  <c:v>80.543899999999994</c:v>
                </c:pt>
                <c:pt idx="213">
                  <c:v>80.330500000000001</c:v>
                </c:pt>
                <c:pt idx="214">
                  <c:v>80.405500000000004</c:v>
                </c:pt>
                <c:pt idx="215">
                  <c:v>80.252300000000005</c:v>
                </c:pt>
                <c:pt idx="216">
                  <c:v>79.995000000000005</c:v>
                </c:pt>
                <c:pt idx="217">
                  <c:v>80.0351</c:v>
                </c:pt>
                <c:pt idx="218">
                  <c:v>79.9495</c:v>
                </c:pt>
                <c:pt idx="219">
                  <c:v>79.582099999999997</c:v>
                </c:pt>
                <c:pt idx="220">
                  <c:v>79.510900000000007</c:v>
                </c:pt>
                <c:pt idx="221">
                  <c:v>79.274000000000001</c:v>
                </c:pt>
                <c:pt idx="222">
                  <c:v>78.682400000000001</c:v>
                </c:pt>
                <c:pt idx="223">
                  <c:v>78.765799999999999</c:v>
                </c:pt>
                <c:pt idx="224">
                  <c:v>78.892799999999994</c:v>
                </c:pt>
                <c:pt idx="225">
                  <c:v>78.469300000000004</c:v>
                </c:pt>
                <c:pt idx="226">
                  <c:v>78.5929</c:v>
                </c:pt>
                <c:pt idx="227">
                  <c:v>79.257499999999993</c:v>
                </c:pt>
                <c:pt idx="228">
                  <c:v>79.5471</c:v>
                </c:pt>
                <c:pt idx="229">
                  <c:v>78.899299999999997</c:v>
                </c:pt>
                <c:pt idx="230">
                  <c:v>78.237099999999998</c:v>
                </c:pt>
                <c:pt idx="231">
                  <c:v>78.242699999999999</c:v>
                </c:pt>
                <c:pt idx="232">
                  <c:v>78.313699999999997</c:v>
                </c:pt>
                <c:pt idx="233">
                  <c:v>77.9358</c:v>
                </c:pt>
                <c:pt idx="234">
                  <c:v>78.334900000000005</c:v>
                </c:pt>
                <c:pt idx="235">
                  <c:v>78.126300000000001</c:v>
                </c:pt>
                <c:pt idx="236">
                  <c:v>78.251599999999996</c:v>
                </c:pt>
                <c:pt idx="237">
                  <c:v>78.490700000000004</c:v>
                </c:pt>
                <c:pt idx="238">
                  <c:v>78.694999999999993</c:v>
                </c:pt>
                <c:pt idx="239">
                  <c:v>79.345200000000006</c:v>
                </c:pt>
                <c:pt idx="240">
                  <c:v>78.916899999999998</c:v>
                </c:pt>
                <c:pt idx="241">
                  <c:v>79.839799999999997</c:v>
                </c:pt>
                <c:pt idx="242">
                  <c:v>79.799300000000002</c:v>
                </c:pt>
                <c:pt idx="243">
                  <c:v>80.1614</c:v>
                </c:pt>
                <c:pt idx="244">
                  <c:v>80.508499999999998</c:v>
                </c:pt>
                <c:pt idx="245">
                  <c:v>80.782799999999995</c:v>
                </c:pt>
                <c:pt idx="246">
                  <c:v>81.172200000000004</c:v>
                </c:pt>
                <c:pt idx="247">
                  <c:v>81.631699999999995</c:v>
                </c:pt>
                <c:pt idx="248">
                  <c:v>81.8</c:v>
                </c:pt>
                <c:pt idx="249">
                  <c:v>82.772900000000007</c:v>
                </c:pt>
                <c:pt idx="250">
                  <c:v>83.077699999999993</c:v>
                </c:pt>
                <c:pt idx="251">
                  <c:v>83.444999999999993</c:v>
                </c:pt>
                <c:pt idx="252">
                  <c:v>83.342399999999998</c:v>
                </c:pt>
                <c:pt idx="253">
                  <c:v>83.695999999999998</c:v>
                </c:pt>
                <c:pt idx="254">
                  <c:v>83.822900000000004</c:v>
                </c:pt>
                <c:pt idx="255">
                  <c:v>84.267200000000003</c:v>
                </c:pt>
                <c:pt idx="256">
                  <c:v>84.078400000000002</c:v>
                </c:pt>
                <c:pt idx="257">
                  <c:v>84.272900000000007</c:v>
                </c:pt>
                <c:pt idx="258">
                  <c:v>84.257000000000005</c:v>
                </c:pt>
                <c:pt idx="259">
                  <c:v>84.6494</c:v>
                </c:pt>
                <c:pt idx="260">
                  <c:v>84.331900000000005</c:v>
                </c:pt>
                <c:pt idx="261">
                  <c:v>84.643000000000001</c:v>
                </c:pt>
                <c:pt idx="262">
                  <c:v>84.784199999999998</c:v>
                </c:pt>
                <c:pt idx="263">
                  <c:v>85.064099999999996</c:v>
                </c:pt>
                <c:pt idx="264">
                  <c:v>85.2256</c:v>
                </c:pt>
                <c:pt idx="265">
                  <c:v>84.731099999999998</c:v>
                </c:pt>
                <c:pt idx="266">
                  <c:v>84.813900000000004</c:v>
                </c:pt>
                <c:pt idx="267">
                  <c:v>84.637200000000007</c:v>
                </c:pt>
                <c:pt idx="268">
                  <c:v>84.006699999999995</c:v>
                </c:pt>
                <c:pt idx="269">
                  <c:v>83.820499999999996</c:v>
                </c:pt>
                <c:pt idx="270">
                  <c:v>82.828999999999994</c:v>
                </c:pt>
                <c:pt idx="271">
                  <c:v>83.455200000000005</c:v>
                </c:pt>
                <c:pt idx="272">
                  <c:v>82.974000000000004</c:v>
                </c:pt>
                <c:pt idx="273">
                  <c:v>82.683199999999999</c:v>
                </c:pt>
                <c:pt idx="274">
                  <c:v>82.757000000000005</c:v>
                </c:pt>
                <c:pt idx="275">
                  <c:v>83.031999999999996</c:v>
                </c:pt>
                <c:pt idx="276">
                  <c:v>82.392700000000005</c:v>
                </c:pt>
                <c:pt idx="277">
                  <c:v>82.954700000000003</c:v>
                </c:pt>
                <c:pt idx="278">
                  <c:v>83.171300000000002</c:v>
                </c:pt>
                <c:pt idx="279">
                  <c:v>82.8172</c:v>
                </c:pt>
                <c:pt idx="280">
                  <c:v>82.887299999999996</c:v>
                </c:pt>
                <c:pt idx="281">
                  <c:v>82.996499999999997</c:v>
                </c:pt>
                <c:pt idx="282">
                  <c:v>82.719200000000001</c:v>
                </c:pt>
                <c:pt idx="283">
                  <c:v>82.887</c:v>
                </c:pt>
                <c:pt idx="284">
                  <c:v>82.772999999999996</c:v>
                </c:pt>
                <c:pt idx="285">
                  <c:v>82.150999999999996</c:v>
                </c:pt>
                <c:pt idx="286">
                  <c:v>81.0261</c:v>
                </c:pt>
                <c:pt idx="287">
                  <c:v>80.363699999999994</c:v>
                </c:pt>
                <c:pt idx="288">
                  <c:v>80.001499999999993</c:v>
                </c:pt>
                <c:pt idx="289">
                  <c:v>79.339600000000004</c:v>
                </c:pt>
                <c:pt idx="290">
                  <c:v>78.818700000000007</c:v>
                </c:pt>
                <c:pt idx="291">
                  <c:v>78.954999999999998</c:v>
                </c:pt>
                <c:pt idx="292">
                  <c:v>79.670500000000004</c:v>
                </c:pt>
                <c:pt idx="293">
                  <c:v>80.229100000000003</c:v>
                </c:pt>
                <c:pt idx="294">
                  <c:v>80.362700000000004</c:v>
                </c:pt>
                <c:pt idx="295">
                  <c:v>80.290700000000001</c:v>
                </c:pt>
                <c:pt idx="296">
                  <c:v>80.8673</c:v>
                </c:pt>
                <c:pt idx="297">
                  <c:v>80.6828</c:v>
                </c:pt>
                <c:pt idx="298">
                  <c:v>80.4666</c:v>
                </c:pt>
                <c:pt idx="299">
                  <c:v>79.994100000000003</c:v>
                </c:pt>
                <c:pt idx="300">
                  <c:v>79.430400000000006</c:v>
                </c:pt>
                <c:pt idx="301">
                  <c:v>79.836200000000005</c:v>
                </c:pt>
                <c:pt idx="302">
                  <c:v>80.338800000000006</c:v>
                </c:pt>
                <c:pt idx="303">
                  <c:v>80.782300000000006</c:v>
                </c:pt>
                <c:pt idx="304">
                  <c:v>80.868600000000001</c:v>
                </c:pt>
                <c:pt idx="305">
                  <c:v>80.734700000000004</c:v>
                </c:pt>
                <c:pt idx="306">
                  <c:v>81.278800000000004</c:v>
                </c:pt>
                <c:pt idx="307">
                  <c:v>80.653499999999994</c:v>
                </c:pt>
                <c:pt idx="308">
                  <c:v>80.738399999999999</c:v>
                </c:pt>
                <c:pt idx="309">
                  <c:v>81.125600000000006</c:v>
                </c:pt>
                <c:pt idx="310">
                  <c:v>81.297300000000007</c:v>
                </c:pt>
                <c:pt idx="311">
                  <c:v>81.280100000000004</c:v>
                </c:pt>
                <c:pt idx="312">
                  <c:v>81.463200000000001</c:v>
                </c:pt>
                <c:pt idx="313">
                  <c:v>81.715699999999998</c:v>
                </c:pt>
                <c:pt idx="314">
                  <c:v>81.510499999999993</c:v>
                </c:pt>
                <c:pt idx="315">
                  <c:v>81.624300000000005</c:v>
                </c:pt>
                <c:pt idx="316">
                  <c:v>81.180499999999995</c:v>
                </c:pt>
                <c:pt idx="317">
                  <c:v>81.256399999999999</c:v>
                </c:pt>
                <c:pt idx="318">
                  <c:v>81.332099999999997</c:v>
                </c:pt>
                <c:pt idx="319">
                  <c:v>81.130200000000002</c:v>
                </c:pt>
                <c:pt idx="320">
                  <c:v>81.410600000000002</c:v>
                </c:pt>
                <c:pt idx="321">
                  <c:v>81.869100000000003</c:v>
                </c:pt>
                <c:pt idx="322">
                  <c:v>82.099900000000005</c:v>
                </c:pt>
                <c:pt idx="323">
                  <c:v>82.392399999999995</c:v>
                </c:pt>
                <c:pt idx="324">
                  <c:v>82.472099999999998</c:v>
                </c:pt>
                <c:pt idx="325">
                  <c:v>82.335700000000003</c:v>
                </c:pt>
                <c:pt idx="326">
                  <c:v>82.947199999999995</c:v>
                </c:pt>
                <c:pt idx="327">
                  <c:v>83.213300000000004</c:v>
                </c:pt>
                <c:pt idx="328">
                  <c:v>83.366399999999999</c:v>
                </c:pt>
                <c:pt idx="329">
                  <c:v>83.660600000000002</c:v>
                </c:pt>
                <c:pt idx="330">
                  <c:v>83.506500000000003</c:v>
                </c:pt>
                <c:pt idx="331">
                  <c:v>83.791799999999995</c:v>
                </c:pt>
                <c:pt idx="332">
                  <c:v>83.781599999999997</c:v>
                </c:pt>
                <c:pt idx="333">
                  <c:v>84.1798</c:v>
                </c:pt>
                <c:pt idx="334">
                  <c:v>84.465999999999994</c:v>
                </c:pt>
                <c:pt idx="335">
                  <c:v>84.998900000000006</c:v>
                </c:pt>
                <c:pt idx="336">
                  <c:v>84.886799999999994</c:v>
                </c:pt>
                <c:pt idx="337">
                  <c:v>84.481099999999998</c:v>
                </c:pt>
                <c:pt idx="338">
                  <c:v>84.3172</c:v>
                </c:pt>
                <c:pt idx="339">
                  <c:v>83.884100000000004</c:v>
                </c:pt>
                <c:pt idx="340">
                  <c:v>83.9709</c:v>
                </c:pt>
                <c:pt idx="341">
                  <c:v>83.937600000000003</c:v>
                </c:pt>
                <c:pt idx="342">
                  <c:v>83.267099999999999</c:v>
                </c:pt>
                <c:pt idx="343">
                  <c:v>84.034199999999998</c:v>
                </c:pt>
                <c:pt idx="344">
                  <c:v>84.033900000000003</c:v>
                </c:pt>
                <c:pt idx="345">
                  <c:v>83.558300000000003</c:v>
                </c:pt>
                <c:pt idx="346">
                  <c:v>83.403800000000004</c:v>
                </c:pt>
                <c:pt idx="347">
                  <c:v>83.330100000000002</c:v>
                </c:pt>
                <c:pt idx="348">
                  <c:v>82.509600000000006</c:v>
                </c:pt>
                <c:pt idx="349">
                  <c:v>83.314499999999995</c:v>
                </c:pt>
                <c:pt idx="350">
                  <c:v>82.808099999999996</c:v>
                </c:pt>
                <c:pt idx="351">
                  <c:v>83.254400000000004</c:v>
                </c:pt>
                <c:pt idx="352">
                  <c:v>83.487200000000001</c:v>
                </c:pt>
                <c:pt idx="353">
                  <c:v>83.719200000000001</c:v>
                </c:pt>
                <c:pt idx="354">
                  <c:v>83.333200000000005</c:v>
                </c:pt>
                <c:pt idx="355">
                  <c:v>83.366299999999995</c:v>
                </c:pt>
                <c:pt idx="356">
                  <c:v>83.515000000000001</c:v>
                </c:pt>
                <c:pt idx="357">
                  <c:v>83.112399999999994</c:v>
                </c:pt>
                <c:pt idx="358">
                  <c:v>83.446200000000005</c:v>
                </c:pt>
                <c:pt idx="359">
                  <c:v>83.568899999999999</c:v>
                </c:pt>
                <c:pt idx="360">
                  <c:v>83.319900000000004</c:v>
                </c:pt>
                <c:pt idx="361">
                  <c:v>83.889499999999998</c:v>
                </c:pt>
                <c:pt idx="362">
                  <c:v>83.990300000000005</c:v>
                </c:pt>
                <c:pt idx="363">
                  <c:v>83.633300000000006</c:v>
                </c:pt>
                <c:pt idx="364">
                  <c:v>83.657300000000006</c:v>
                </c:pt>
                <c:pt idx="365">
                  <c:v>83.590400000000002</c:v>
                </c:pt>
                <c:pt idx="366">
                  <c:v>83.815700000000007</c:v>
                </c:pt>
                <c:pt idx="367">
                  <c:v>84.158000000000001</c:v>
                </c:pt>
                <c:pt idx="368">
                  <c:v>84.426900000000003</c:v>
                </c:pt>
                <c:pt idx="369">
                  <c:v>84.633899999999997</c:v>
                </c:pt>
                <c:pt idx="370">
                  <c:v>84.762900000000002</c:v>
                </c:pt>
                <c:pt idx="371">
                  <c:v>84.594399999999993</c:v>
                </c:pt>
                <c:pt idx="372">
                  <c:v>84.419399999999996</c:v>
                </c:pt>
                <c:pt idx="373">
                  <c:v>84.0077</c:v>
                </c:pt>
                <c:pt idx="374">
                  <c:v>83.496300000000005</c:v>
                </c:pt>
                <c:pt idx="375">
                  <c:v>83.263300000000001</c:v>
                </c:pt>
                <c:pt idx="376">
                  <c:v>83.2637</c:v>
                </c:pt>
                <c:pt idx="377">
                  <c:v>82.267399999999995</c:v>
                </c:pt>
                <c:pt idx="378">
                  <c:v>81.478200000000001</c:v>
                </c:pt>
                <c:pt idx="379">
                  <c:v>82.712999999999994</c:v>
                </c:pt>
                <c:pt idx="380">
                  <c:v>82.218999999999994</c:v>
                </c:pt>
                <c:pt idx="381">
                  <c:v>82.382999999999996</c:v>
                </c:pt>
                <c:pt idx="382">
                  <c:v>81.9221</c:v>
                </c:pt>
                <c:pt idx="383">
                  <c:v>81.8964</c:v>
                </c:pt>
                <c:pt idx="384">
                  <c:v>81.874700000000004</c:v>
                </c:pt>
                <c:pt idx="385">
                  <c:v>81.992400000000004</c:v>
                </c:pt>
                <c:pt idx="386">
                  <c:v>81.826300000000003</c:v>
                </c:pt>
                <c:pt idx="387">
                  <c:v>81.688800000000001</c:v>
                </c:pt>
                <c:pt idx="388">
                  <c:v>81.871899999999997</c:v>
                </c:pt>
                <c:pt idx="389">
                  <c:v>81.519099999999995</c:v>
                </c:pt>
                <c:pt idx="390">
                  <c:v>81.693399999999997</c:v>
                </c:pt>
                <c:pt idx="391">
                  <c:v>81.760900000000007</c:v>
                </c:pt>
                <c:pt idx="392">
                  <c:v>81.125200000000007</c:v>
                </c:pt>
                <c:pt idx="393">
                  <c:v>81.886399999999995</c:v>
                </c:pt>
                <c:pt idx="394">
                  <c:v>82.025300000000001</c:v>
                </c:pt>
                <c:pt idx="395">
                  <c:v>82.384</c:v>
                </c:pt>
                <c:pt idx="396">
                  <c:v>82.052800000000005</c:v>
                </c:pt>
                <c:pt idx="397">
                  <c:v>82.073300000000003</c:v>
                </c:pt>
                <c:pt idx="398">
                  <c:v>82.1053</c:v>
                </c:pt>
                <c:pt idx="399">
                  <c:v>82.338700000000003</c:v>
                </c:pt>
                <c:pt idx="400">
                  <c:v>82.305499999999995</c:v>
                </c:pt>
                <c:pt idx="401">
                  <c:v>82.079899999999995</c:v>
                </c:pt>
                <c:pt idx="402">
                  <c:v>81.655199999999994</c:v>
                </c:pt>
                <c:pt idx="403">
                  <c:v>81.169700000000006</c:v>
                </c:pt>
                <c:pt idx="404">
                  <c:v>81.223399999999998</c:v>
                </c:pt>
                <c:pt idx="405">
                  <c:v>80.682299999999998</c:v>
                </c:pt>
                <c:pt idx="406">
                  <c:v>80.422799999999995</c:v>
                </c:pt>
                <c:pt idx="407">
                  <c:v>79.898799999999994</c:v>
                </c:pt>
                <c:pt idx="408">
                  <c:v>79.210300000000004</c:v>
                </c:pt>
                <c:pt idx="409">
                  <c:v>78.427700000000002</c:v>
                </c:pt>
                <c:pt idx="410">
                  <c:v>77.987700000000004</c:v>
                </c:pt>
                <c:pt idx="411">
                  <c:v>77.500799999999998</c:v>
                </c:pt>
                <c:pt idx="412">
                  <c:v>76.8523</c:v>
                </c:pt>
                <c:pt idx="413">
                  <c:v>76.2089</c:v>
                </c:pt>
                <c:pt idx="414">
                  <c:v>75.563299999999998</c:v>
                </c:pt>
                <c:pt idx="415">
                  <c:v>75.289100000000005</c:v>
                </c:pt>
                <c:pt idx="416">
                  <c:v>74.7196</c:v>
                </c:pt>
                <c:pt idx="417">
                  <c:v>74.3309</c:v>
                </c:pt>
                <c:pt idx="418">
                  <c:v>73.753500000000003</c:v>
                </c:pt>
                <c:pt idx="419">
                  <c:v>73.594700000000003</c:v>
                </c:pt>
                <c:pt idx="420">
                  <c:v>73.986199999999997</c:v>
                </c:pt>
                <c:pt idx="421">
                  <c:v>73.873599999999996</c:v>
                </c:pt>
                <c:pt idx="422">
                  <c:v>74.346100000000007</c:v>
                </c:pt>
                <c:pt idx="423">
                  <c:v>74.630700000000004</c:v>
                </c:pt>
                <c:pt idx="424">
                  <c:v>74.897000000000006</c:v>
                </c:pt>
                <c:pt idx="425">
                  <c:v>75.468999999999994</c:v>
                </c:pt>
                <c:pt idx="426">
                  <c:v>75.426199999999994</c:v>
                </c:pt>
                <c:pt idx="427">
                  <c:v>75.317999999999998</c:v>
                </c:pt>
                <c:pt idx="428">
                  <c:v>75.398799999999994</c:v>
                </c:pt>
                <c:pt idx="429">
                  <c:v>75.212100000000007</c:v>
                </c:pt>
                <c:pt idx="430">
                  <c:v>75.642700000000005</c:v>
                </c:pt>
                <c:pt idx="431">
                  <c:v>75.261700000000005</c:v>
                </c:pt>
                <c:pt idx="432">
                  <c:v>75.915400000000005</c:v>
                </c:pt>
                <c:pt idx="433">
                  <c:v>76.025599999999997</c:v>
                </c:pt>
                <c:pt idx="434">
                  <c:v>75.829499999999996</c:v>
                </c:pt>
                <c:pt idx="435">
                  <c:v>75.379499999999993</c:v>
                </c:pt>
                <c:pt idx="436">
                  <c:v>75.392600000000002</c:v>
                </c:pt>
                <c:pt idx="437">
                  <c:v>75.521299999999997</c:v>
                </c:pt>
                <c:pt idx="438">
                  <c:v>75.935299999999998</c:v>
                </c:pt>
                <c:pt idx="439">
                  <c:v>75.7714</c:v>
                </c:pt>
                <c:pt idx="440">
                  <c:v>76.285399999999996</c:v>
                </c:pt>
                <c:pt idx="441">
                  <c:v>76.394300000000001</c:v>
                </c:pt>
                <c:pt idx="442">
                  <c:v>76.921800000000005</c:v>
                </c:pt>
                <c:pt idx="443">
                  <c:v>76.998099999999994</c:v>
                </c:pt>
                <c:pt idx="444">
                  <c:v>77.138499999999993</c:v>
                </c:pt>
                <c:pt idx="445">
                  <c:v>77.621099999999998</c:v>
                </c:pt>
                <c:pt idx="446">
                  <c:v>77.327799999999996</c:v>
                </c:pt>
                <c:pt idx="447">
                  <c:v>77.656700000000001</c:v>
                </c:pt>
                <c:pt idx="448">
                  <c:v>78.228399999999993</c:v>
                </c:pt>
                <c:pt idx="449">
                  <c:v>77.6417</c:v>
                </c:pt>
                <c:pt idx="450">
                  <c:v>78.215999999999994</c:v>
                </c:pt>
                <c:pt idx="451">
                  <c:v>78.287000000000006</c:v>
                </c:pt>
                <c:pt idx="452">
                  <c:v>78.361599999999996</c:v>
                </c:pt>
                <c:pt idx="453">
                  <c:v>79.033100000000005</c:v>
                </c:pt>
                <c:pt idx="454">
                  <c:v>79.191500000000005</c:v>
                </c:pt>
                <c:pt idx="455">
                  <c:v>79.763099999999994</c:v>
                </c:pt>
                <c:pt idx="456">
                  <c:v>79.997799999999998</c:v>
                </c:pt>
                <c:pt idx="457">
                  <c:v>80.5137</c:v>
                </c:pt>
                <c:pt idx="458">
                  <c:v>80.319400000000002</c:v>
                </c:pt>
                <c:pt idx="459">
                  <c:v>80.3904</c:v>
                </c:pt>
                <c:pt idx="460">
                  <c:v>80.387</c:v>
                </c:pt>
                <c:pt idx="461">
                  <c:v>80.613</c:v>
                </c:pt>
                <c:pt idx="462">
                  <c:v>80.262500000000003</c:v>
                </c:pt>
                <c:pt idx="463">
                  <c:v>80.42</c:v>
                </c:pt>
                <c:pt idx="464">
                  <c:v>78.757800000000003</c:v>
                </c:pt>
                <c:pt idx="465">
                  <c:v>79.597499999999997</c:v>
                </c:pt>
                <c:pt idx="466">
                  <c:v>80.364400000000003</c:v>
                </c:pt>
                <c:pt idx="467">
                  <c:v>80.628399999999999</c:v>
                </c:pt>
                <c:pt idx="468">
                  <c:v>80.664900000000003</c:v>
                </c:pt>
                <c:pt idx="469">
                  <c:v>80.580299999999994</c:v>
                </c:pt>
                <c:pt idx="470">
                  <c:v>80.6554</c:v>
                </c:pt>
                <c:pt idx="471">
                  <c:v>80.781700000000001</c:v>
                </c:pt>
                <c:pt idx="472">
                  <c:v>80.662199999999999</c:v>
                </c:pt>
                <c:pt idx="473">
                  <c:v>80.782399999999996</c:v>
                </c:pt>
                <c:pt idx="474">
                  <c:v>80.573499999999996</c:v>
                </c:pt>
                <c:pt idx="475">
                  <c:v>80.753299999999996</c:v>
                </c:pt>
                <c:pt idx="476">
                  <c:v>80.414000000000001</c:v>
                </c:pt>
                <c:pt idx="477">
                  <c:v>80.148099999999999</c:v>
                </c:pt>
                <c:pt idx="478">
                  <c:v>79.915899999999993</c:v>
                </c:pt>
                <c:pt idx="479">
                  <c:v>80.541300000000007</c:v>
                </c:pt>
                <c:pt idx="480">
                  <c:v>80.036699999999996</c:v>
                </c:pt>
                <c:pt idx="481">
                  <c:v>80.624600000000001</c:v>
                </c:pt>
                <c:pt idx="482">
                  <c:v>80.595399999999998</c:v>
                </c:pt>
                <c:pt idx="483">
                  <c:v>80.973699999999994</c:v>
                </c:pt>
                <c:pt idx="484">
                  <c:v>80.871300000000005</c:v>
                </c:pt>
                <c:pt idx="485">
                  <c:v>80.754800000000003</c:v>
                </c:pt>
                <c:pt idx="486">
                  <c:v>80.558199999999999</c:v>
                </c:pt>
                <c:pt idx="487">
                  <c:v>80.650899999999993</c:v>
                </c:pt>
                <c:pt idx="488">
                  <c:v>80.8035</c:v>
                </c:pt>
                <c:pt idx="489">
                  <c:v>80.545900000000003</c:v>
                </c:pt>
                <c:pt idx="490">
                  <c:v>81.016000000000005</c:v>
                </c:pt>
                <c:pt idx="491">
                  <c:v>81.030600000000007</c:v>
                </c:pt>
                <c:pt idx="492">
                  <c:v>80.960999999999999</c:v>
                </c:pt>
                <c:pt idx="493">
                  <c:v>80.691299999999998</c:v>
                </c:pt>
                <c:pt idx="494">
                  <c:v>80.451599999999999</c:v>
                </c:pt>
                <c:pt idx="495">
                  <c:v>79.966700000000003</c:v>
                </c:pt>
                <c:pt idx="496">
                  <c:v>79.539900000000003</c:v>
                </c:pt>
                <c:pt idx="497">
                  <c:v>79.375799999999998</c:v>
                </c:pt>
                <c:pt idx="498">
                  <c:v>79.028099999999995</c:v>
                </c:pt>
                <c:pt idx="499">
                  <c:v>77.745900000000006</c:v>
                </c:pt>
                <c:pt idx="500">
                  <c:v>74.2851</c:v>
                </c:pt>
                <c:pt idx="501">
                  <c:v>74.936599999999999</c:v>
                </c:pt>
                <c:pt idx="502">
                  <c:v>73.861800000000002</c:v>
                </c:pt>
                <c:pt idx="503">
                  <c:v>71.686599999999999</c:v>
                </c:pt>
                <c:pt idx="504">
                  <c:v>69.811199999999999</c:v>
                </c:pt>
                <c:pt idx="505">
                  <c:v>69.306299999999993</c:v>
                </c:pt>
                <c:pt idx="506">
                  <c:v>68.139099999999999</c:v>
                </c:pt>
                <c:pt idx="507">
                  <c:v>67.528700000000001</c:v>
                </c:pt>
                <c:pt idx="508">
                  <c:v>66.804199999999994</c:v>
                </c:pt>
                <c:pt idx="509">
                  <c:v>66.567099999999996</c:v>
                </c:pt>
                <c:pt idx="510">
                  <c:v>67.341999999999999</c:v>
                </c:pt>
                <c:pt idx="511">
                  <c:v>68.099699999999999</c:v>
                </c:pt>
                <c:pt idx="512">
                  <c:v>68.730199999999996</c:v>
                </c:pt>
                <c:pt idx="513">
                  <c:v>68.958600000000004</c:v>
                </c:pt>
                <c:pt idx="514">
                  <c:v>69.347499999999997</c:v>
                </c:pt>
                <c:pt idx="515">
                  <c:v>69.715900000000005</c:v>
                </c:pt>
                <c:pt idx="516">
                  <c:v>70.61</c:v>
                </c:pt>
                <c:pt idx="517">
                  <c:v>71.002099999999999</c:v>
                </c:pt>
                <c:pt idx="518">
                  <c:v>71.657399999999996</c:v>
                </c:pt>
                <c:pt idx="519">
                  <c:v>72.076599999999999</c:v>
                </c:pt>
                <c:pt idx="520">
                  <c:v>73.222300000000004</c:v>
                </c:pt>
                <c:pt idx="521">
                  <c:v>73.547300000000007</c:v>
                </c:pt>
                <c:pt idx="522">
                  <c:v>73.964500000000001</c:v>
                </c:pt>
                <c:pt idx="523">
                  <c:v>74.365099999999998</c:v>
                </c:pt>
                <c:pt idx="524">
                  <c:v>74.676199999999994</c:v>
                </c:pt>
                <c:pt idx="525">
                  <c:v>74.563299999999998</c:v>
                </c:pt>
                <c:pt idx="526">
                  <c:v>74.686099999999996</c:v>
                </c:pt>
                <c:pt idx="527">
                  <c:v>75.461799999999997</c:v>
                </c:pt>
                <c:pt idx="528">
                  <c:v>75.338099999999997</c:v>
                </c:pt>
                <c:pt idx="529">
                  <c:v>75.048199999999994</c:v>
                </c:pt>
                <c:pt idx="530">
                  <c:v>75.825100000000006</c:v>
                </c:pt>
                <c:pt idx="531">
                  <c:v>75.534700000000001</c:v>
                </c:pt>
                <c:pt idx="532">
                  <c:v>75.5959</c:v>
                </c:pt>
                <c:pt idx="533">
                  <c:v>75.729699999999994</c:v>
                </c:pt>
                <c:pt idx="534">
                  <c:v>76.027600000000007</c:v>
                </c:pt>
                <c:pt idx="535">
                  <c:v>76.417199999999994</c:v>
                </c:pt>
                <c:pt idx="536">
                  <c:v>76.259900000000002</c:v>
                </c:pt>
                <c:pt idx="537">
                  <c:v>76.660399999999996</c:v>
                </c:pt>
                <c:pt idx="538">
                  <c:v>76.539900000000003</c:v>
                </c:pt>
                <c:pt idx="539">
                  <c:v>76.775099999999995</c:v>
                </c:pt>
                <c:pt idx="540">
                  <c:v>77.101500000000001</c:v>
                </c:pt>
                <c:pt idx="541">
                  <c:v>77.193600000000004</c:v>
                </c:pt>
                <c:pt idx="542">
                  <c:v>76.646600000000007</c:v>
                </c:pt>
                <c:pt idx="543">
                  <c:v>77.060299999999998</c:v>
                </c:pt>
                <c:pt idx="544">
                  <c:v>77.080299999999994</c:v>
                </c:pt>
                <c:pt idx="545">
                  <c:v>76.9315</c:v>
                </c:pt>
                <c:pt idx="546">
                  <c:v>76.983199999999997</c:v>
                </c:pt>
                <c:pt idx="547">
                  <c:v>76.532399999999996</c:v>
                </c:pt>
                <c:pt idx="548">
                  <c:v>76.352099999999993</c:v>
                </c:pt>
                <c:pt idx="549">
                  <c:v>76.484300000000005</c:v>
                </c:pt>
                <c:pt idx="550">
                  <c:v>76.680599999999998</c:v>
                </c:pt>
                <c:pt idx="551">
                  <c:v>76.763800000000003</c:v>
                </c:pt>
                <c:pt idx="552">
                  <c:v>76.6541</c:v>
                </c:pt>
                <c:pt idx="553">
                  <c:v>76.933899999999994</c:v>
                </c:pt>
                <c:pt idx="554">
                  <c:v>77.166499999999999</c:v>
                </c:pt>
                <c:pt idx="555">
                  <c:v>76.997699999999995</c:v>
                </c:pt>
                <c:pt idx="556">
                  <c:v>76.990300000000005</c:v>
                </c:pt>
                <c:pt idx="557">
                  <c:v>77.026499999999999</c:v>
                </c:pt>
                <c:pt idx="558">
                  <c:v>76.731200000000001</c:v>
                </c:pt>
                <c:pt idx="559">
                  <c:v>77.121600000000001</c:v>
                </c:pt>
                <c:pt idx="560">
                  <c:v>77.477999999999994</c:v>
                </c:pt>
                <c:pt idx="561">
                  <c:v>77.339699999999993</c:v>
                </c:pt>
                <c:pt idx="562">
                  <c:v>77.479699999999994</c:v>
                </c:pt>
                <c:pt idx="563">
                  <c:v>77.593400000000003</c:v>
                </c:pt>
                <c:pt idx="564">
                  <c:v>77.254199999999997</c:v>
                </c:pt>
                <c:pt idx="565">
                  <c:v>77.795299999999997</c:v>
                </c:pt>
                <c:pt idx="566">
                  <c:v>78.506600000000006</c:v>
                </c:pt>
                <c:pt idx="567">
                  <c:v>78.497100000000003</c:v>
                </c:pt>
                <c:pt idx="568">
                  <c:v>78.749099999999999</c:v>
                </c:pt>
                <c:pt idx="569">
                  <c:v>78.950599999999994</c:v>
                </c:pt>
                <c:pt idx="570">
                  <c:v>79.089600000000004</c:v>
                </c:pt>
                <c:pt idx="571">
                  <c:v>78.862099999999998</c:v>
                </c:pt>
                <c:pt idx="572">
                  <c:v>79.027299999999997</c:v>
                </c:pt>
                <c:pt idx="573">
                  <c:v>78.958299999999994</c:v>
                </c:pt>
                <c:pt idx="574">
                  <c:v>79.374099999999999</c:v>
                </c:pt>
                <c:pt idx="575">
                  <c:v>79.3048</c:v>
                </c:pt>
                <c:pt idx="576">
                  <c:v>78.641000000000005</c:v>
                </c:pt>
                <c:pt idx="577">
                  <c:v>78.108800000000002</c:v>
                </c:pt>
                <c:pt idx="578">
                  <c:v>77.811300000000003</c:v>
                </c:pt>
                <c:pt idx="579">
                  <c:v>77.341899999999995</c:v>
                </c:pt>
                <c:pt idx="580">
                  <c:v>76.961299999999994</c:v>
                </c:pt>
                <c:pt idx="581">
                  <c:v>76.722800000000007</c:v>
                </c:pt>
                <c:pt idx="582">
                  <c:v>77.223699999999994</c:v>
                </c:pt>
                <c:pt idx="583">
                  <c:v>77.052099999999996</c:v>
                </c:pt>
                <c:pt idx="584">
                  <c:v>76.851900000000001</c:v>
                </c:pt>
                <c:pt idx="585">
                  <c:v>76.511200000000002</c:v>
                </c:pt>
                <c:pt idx="586">
                  <c:v>75.930300000000003</c:v>
                </c:pt>
                <c:pt idx="587">
                  <c:v>75.533900000000003</c:v>
                </c:pt>
                <c:pt idx="588">
                  <c:v>75.9559</c:v>
                </c:pt>
                <c:pt idx="589">
                  <c:v>75.559299999999993</c:v>
                </c:pt>
                <c:pt idx="590">
                  <c:v>74.972700000000003</c:v>
                </c:pt>
                <c:pt idx="591">
                  <c:v>75.186599999999999</c:v>
                </c:pt>
                <c:pt idx="592">
                  <c:v>74.995400000000004</c:v>
                </c:pt>
                <c:pt idx="593">
                  <c:v>75.330100000000002</c:v>
                </c:pt>
                <c:pt idx="594">
                  <c:v>75.427199999999999</c:v>
                </c:pt>
                <c:pt idx="595">
                  <c:v>75.318399999999997</c:v>
                </c:pt>
                <c:pt idx="596">
                  <c:v>75.215500000000006</c:v>
                </c:pt>
                <c:pt idx="597">
                  <c:v>75.258600000000001</c:v>
                </c:pt>
                <c:pt idx="598">
                  <c:v>74.930800000000005</c:v>
                </c:pt>
                <c:pt idx="599">
                  <c:v>75.388000000000005</c:v>
                </c:pt>
                <c:pt idx="600">
                  <c:v>75.262299999999996</c:v>
                </c:pt>
                <c:pt idx="601">
                  <c:v>75.0381</c:v>
                </c:pt>
                <c:pt idx="602">
                  <c:v>75.566500000000005</c:v>
                </c:pt>
                <c:pt idx="603">
                  <c:v>76.355900000000005</c:v>
                </c:pt>
                <c:pt idx="604">
                  <c:v>76.472099999999998</c:v>
                </c:pt>
                <c:pt idx="605">
                  <c:v>76.668499999999995</c:v>
                </c:pt>
                <c:pt idx="606">
                  <c:v>76.607900000000001</c:v>
                </c:pt>
                <c:pt idx="607">
                  <c:v>76.339200000000005</c:v>
                </c:pt>
                <c:pt idx="608">
                  <c:v>76.493700000000004</c:v>
                </c:pt>
                <c:pt idx="609">
                  <c:v>77.540199999999999</c:v>
                </c:pt>
                <c:pt idx="610">
                  <c:v>77.762699999999995</c:v>
                </c:pt>
                <c:pt idx="611">
                  <c:v>77.961699999999993</c:v>
                </c:pt>
                <c:pt idx="612">
                  <c:v>77.996600000000001</c:v>
                </c:pt>
                <c:pt idx="613">
                  <c:v>78.330399999999997</c:v>
                </c:pt>
                <c:pt idx="614">
                  <c:v>78.814999999999998</c:v>
                </c:pt>
                <c:pt idx="615">
                  <c:v>79.739099999999993</c:v>
                </c:pt>
                <c:pt idx="616">
                  <c:v>79.018100000000004</c:v>
                </c:pt>
                <c:pt idx="617">
                  <c:v>79.622399999999999</c:v>
                </c:pt>
                <c:pt idx="618">
                  <c:v>79.773200000000003</c:v>
                </c:pt>
                <c:pt idx="619">
                  <c:v>80.307299999999998</c:v>
                </c:pt>
                <c:pt idx="620">
                  <c:v>80.2637</c:v>
                </c:pt>
                <c:pt idx="621">
                  <c:v>80.1297</c:v>
                </c:pt>
                <c:pt idx="622">
                  <c:v>80.012100000000004</c:v>
                </c:pt>
                <c:pt idx="623">
                  <c:v>79.884600000000006</c:v>
                </c:pt>
                <c:pt idx="624">
                  <c:v>79.359300000000005</c:v>
                </c:pt>
                <c:pt idx="625">
                  <c:v>78.945300000000003</c:v>
                </c:pt>
                <c:pt idx="626">
                  <c:v>78.940100000000001</c:v>
                </c:pt>
                <c:pt idx="627">
                  <c:v>78.468500000000006</c:v>
                </c:pt>
                <c:pt idx="628">
                  <c:v>78.537899999999993</c:v>
                </c:pt>
                <c:pt idx="629">
                  <c:v>78.469399999999993</c:v>
                </c:pt>
                <c:pt idx="630">
                  <c:v>78.085499999999996</c:v>
                </c:pt>
                <c:pt idx="631">
                  <c:v>78.538200000000003</c:v>
                </c:pt>
                <c:pt idx="632">
                  <c:v>78.2029</c:v>
                </c:pt>
                <c:pt idx="633">
                  <c:v>77.513800000000003</c:v>
                </c:pt>
                <c:pt idx="634">
                  <c:v>77.687899999999999</c:v>
                </c:pt>
                <c:pt idx="635">
                  <c:v>77.373999999999995</c:v>
                </c:pt>
                <c:pt idx="636">
                  <c:v>76.976900000000001</c:v>
                </c:pt>
                <c:pt idx="637">
                  <c:v>77.252600000000001</c:v>
                </c:pt>
                <c:pt idx="638">
                  <c:v>74.332999999999998</c:v>
                </c:pt>
                <c:pt idx="639">
                  <c:v>64.529799999999994</c:v>
                </c:pt>
                <c:pt idx="640">
                  <c:v>65.599199999999996</c:v>
                </c:pt>
                <c:pt idx="641">
                  <c:v>69.7637</c:v>
                </c:pt>
                <c:pt idx="642">
                  <c:v>72.492800000000003</c:v>
                </c:pt>
                <c:pt idx="643">
                  <c:v>73.257000000000005</c:v>
                </c:pt>
                <c:pt idx="644">
                  <c:v>73.339500000000001</c:v>
                </c:pt>
                <c:pt idx="645">
                  <c:v>74.048199999999994</c:v>
                </c:pt>
                <c:pt idx="646">
                  <c:v>74.415599999999998</c:v>
                </c:pt>
                <c:pt idx="647">
                  <c:v>75.346599999999995</c:v>
                </c:pt>
                <c:pt idx="648">
                  <c:v>76.364999999999995</c:v>
                </c:pt>
                <c:pt idx="649">
                  <c:v>74.163399999999996</c:v>
                </c:pt>
                <c:pt idx="650">
                  <c:v>76.329899999999995</c:v>
                </c:pt>
                <c:pt idx="651">
                  <c:v>76.577600000000004</c:v>
                </c:pt>
                <c:pt idx="652">
                  <c:v>77.263499999999993</c:v>
                </c:pt>
                <c:pt idx="653">
                  <c:v>77.662199999999999</c:v>
                </c:pt>
                <c:pt idx="654">
                  <c:v>78.237300000000005</c:v>
                </c:pt>
                <c:pt idx="655">
                  <c:v>78.226200000000006</c:v>
                </c:pt>
                <c:pt idx="656">
                  <c:v>77.446899999999999</c:v>
                </c:pt>
                <c:pt idx="657">
                  <c:v>78.578400000000002</c:v>
                </c:pt>
                <c:pt idx="658">
                  <c:v>78.980800000000002</c:v>
                </c:pt>
                <c:pt idx="659">
                  <c:v>78.741600000000005</c:v>
                </c:pt>
                <c:pt idx="660">
                  <c:v>78.942099999999996</c:v>
                </c:pt>
                <c:pt idx="661">
                  <c:v>79.414500000000004</c:v>
                </c:pt>
                <c:pt idx="662">
                  <c:v>79.815399999999997</c:v>
                </c:pt>
                <c:pt idx="663">
                  <c:v>80.228399999999993</c:v>
                </c:pt>
                <c:pt idx="664">
                  <c:v>80.019800000000004</c:v>
                </c:pt>
                <c:pt idx="665">
                  <c:v>79.728099999999998</c:v>
                </c:pt>
                <c:pt idx="666">
                  <c:v>80.021299999999997</c:v>
                </c:pt>
                <c:pt idx="667">
                  <c:v>79.825299999999999</c:v>
                </c:pt>
                <c:pt idx="668">
                  <c:v>79.880799999999994</c:v>
                </c:pt>
                <c:pt idx="669">
                  <c:v>79.802099999999996</c:v>
                </c:pt>
                <c:pt idx="670">
                  <c:v>79.252499999999998</c:v>
                </c:pt>
                <c:pt idx="671">
                  <c:v>78.367400000000004</c:v>
                </c:pt>
                <c:pt idx="672">
                  <c:v>78.282799999999995</c:v>
                </c:pt>
              </c:numCache>
            </c:numRef>
          </c:val>
          <c:smooth val="0"/>
          <c:extLst>
            <c:ext xmlns:c16="http://schemas.microsoft.com/office/drawing/2014/chart" uri="{C3380CC4-5D6E-409C-BE32-E72D297353CC}">
              <c16:uniqueId val="{00000000-1DAC-4E88-94A8-972E0C6C2995}"/>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Utilization'!$A$6:$A$678</c:f>
              <c:numCache>
                <c:formatCode>mmm\-yy</c:formatCode>
                <c:ptCount val="673"/>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pt idx="671">
                  <c:v>44896</c:v>
                </c:pt>
                <c:pt idx="672">
                  <c:v>44927</c:v>
                </c:pt>
              </c:numCache>
            </c:numRef>
          </c:cat>
          <c:val>
            <c:numRef>
              <c:f>'Capacity Utilization'!$C$6:$C$678</c:f>
              <c:numCache>
                <c:formatCode>General</c:formatCode>
                <c:ptCount val="673"/>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1.7001545595054155E-2</c:v>
                </c:pt>
                <c:pt idx="602" formatCode="0.0%">
                  <c:v>1.8528049408131724E-2</c:v>
                </c:pt>
                <c:pt idx="603" formatCode="0.0%">
                  <c:v>2.0041109969167553E-2</c:v>
                </c:pt>
                <c:pt idx="604" formatCode="0.0%">
                  <c:v>1.8993839835728894E-2</c:v>
                </c:pt>
                <c:pt idx="605" formatCode="0.0%">
                  <c:v>1.7400204708290713E-2</c:v>
                </c:pt>
                <c:pt idx="606" formatCode="0.0%">
                  <c:v>1.7911975435005119E-2</c:v>
                </c:pt>
                <c:pt idx="607" formatCode="0.0%">
                  <c:v>1.7893660531697341E-2</c:v>
                </c:pt>
                <c:pt idx="608" formatCode="0.0%">
                  <c:v>1.6343207354443251E-2</c:v>
                </c:pt>
                <c:pt idx="609" formatCode="0.0%">
                  <c:v>1.9887812340642561E-2</c:v>
                </c:pt>
                <c:pt idx="610" formatCode="0.0%">
                  <c:v>2.1395822720325971E-2</c:v>
                </c:pt>
                <c:pt idx="611" formatCode="0.0%">
                  <c:v>1.9827147941026975E-2</c:v>
                </c:pt>
                <c:pt idx="612" formatCode="0.0%">
                  <c:v>1.9269776876267807E-2</c:v>
                </c:pt>
                <c:pt idx="613" formatCode="0.0%">
                  <c:v>2.0263424518743668E-2</c:v>
                </c:pt>
                <c:pt idx="614" formatCode="0.0%">
                  <c:v>2.02122283981809E-2</c:v>
                </c:pt>
                <c:pt idx="615" formatCode="0.0%">
                  <c:v>1.914357682619653E-2</c:v>
                </c:pt>
                <c:pt idx="616" formatCode="0.0%">
                  <c:v>2.0654911838790903E-2</c:v>
                </c:pt>
                <c:pt idx="617" formatCode="0.0%">
                  <c:v>2.1126760563380222E-2</c:v>
                </c:pt>
                <c:pt idx="618" formatCode="0.0%">
                  <c:v>2.3629964806435338E-2</c:v>
                </c:pt>
                <c:pt idx="619" formatCode="0.0%">
                  <c:v>2.5113008538422903E-2</c:v>
                </c:pt>
                <c:pt idx="620" formatCode="0.0%">
                  <c:v>2.7135678391959829E-2</c:v>
                </c:pt>
                <c:pt idx="621" formatCode="0.0%">
                  <c:v>2.5499999999999971E-2</c:v>
                </c:pt>
                <c:pt idx="622" formatCode="0.0%">
                  <c:v>2.5436408977556082E-2</c:v>
                </c:pt>
                <c:pt idx="623" formatCode="0.0%">
                  <c:v>2.5922233300099788E-2</c:v>
                </c:pt>
                <c:pt idx="624" formatCode="0.0%">
                  <c:v>2.8855721393034883E-2</c:v>
                </c:pt>
                <c:pt idx="625" formatCode="0.0%">
                  <c:v>2.7805362462760646E-2</c:v>
                </c:pt>
                <c:pt idx="626" formatCode="0.0%">
                  <c:v>2.6745913818722166E-2</c:v>
                </c:pt>
                <c:pt idx="627" formatCode="0.0%">
                  <c:v>2.5210084033613415E-2</c:v>
                </c:pt>
                <c:pt idx="628" formatCode="0.0%">
                  <c:v>2.4679170779861797E-2</c:v>
                </c:pt>
                <c:pt idx="629" formatCode="0.0%">
                  <c:v>2.3152709359605856E-2</c:v>
                </c:pt>
                <c:pt idx="630" formatCode="0.0%">
                  <c:v>2.161100196463657E-2</c:v>
                </c:pt>
                <c:pt idx="631" formatCode="0.0%">
                  <c:v>1.9108280254777097E-2</c:v>
                </c:pt>
                <c:pt idx="632" formatCode="0.0%">
                  <c:v>1.8590998043052753E-2</c:v>
                </c:pt>
                <c:pt idx="633" formatCode="0.0%">
                  <c:v>1.6577279375914217E-2</c:v>
                </c:pt>
                <c:pt idx="634" formatCode="0.0%">
                  <c:v>1.5564202334630434E-2</c:v>
                </c:pt>
                <c:pt idx="635" formatCode="0.0%">
                  <c:v>1.4577259475218658E-2</c:v>
                </c:pt>
                <c:pt idx="636" formatCode="0.0%">
                  <c:v>1.063829787234037E-2</c:v>
                </c:pt>
                <c:pt idx="637" formatCode="0.0%">
                  <c:v>1.2077294685990338E-2</c:v>
                </c:pt>
                <c:pt idx="638" formatCode="0.0%">
                  <c:v>1.0612638687891888E-2</c:v>
                </c:pt>
                <c:pt idx="639" formatCode="0.0%">
                  <c:v>1.2054001928640309E-2</c:v>
                </c:pt>
                <c:pt idx="640" formatCode="0.0%">
                  <c:v>1.0597302504817038E-2</c:v>
                </c:pt>
                <c:pt idx="641" formatCode="0.0%">
                  <c:v>1.0110736639383836E-2</c:v>
                </c:pt>
                <c:pt idx="642" formatCode="0.0%">
                  <c:v>1.0576923076923022E-2</c:v>
                </c:pt>
                <c:pt idx="643" formatCode="0.0%">
                  <c:v>1.201923076923077E-2</c:v>
                </c:pt>
                <c:pt idx="644" formatCode="0.0%">
                  <c:v>1.2007684918347743E-2</c:v>
                </c:pt>
                <c:pt idx="645" formatCode="0.0%">
                  <c:v>1.1031175059952093E-2</c:v>
                </c:pt>
                <c:pt idx="646" formatCode="0.0%">
                  <c:v>1.2931034482758565E-2</c:v>
                </c:pt>
                <c:pt idx="647" formatCode="0.0%">
                  <c:v>1.3409961685823672E-2</c:v>
                </c:pt>
                <c:pt idx="648" formatCode="0.0%">
                  <c:v>1.6267942583732084E-2</c:v>
                </c:pt>
                <c:pt idx="649" formatCode="0.0%">
                  <c:v>1.6706443914081145E-2</c:v>
                </c:pt>
                <c:pt idx="650" formatCode="0.0%">
                  <c:v>2.0525059665871176E-2</c:v>
                </c:pt>
                <c:pt idx="651" formatCode="0.0%">
                  <c:v>2.3820867079561697E-2</c:v>
                </c:pt>
                <c:pt idx="652" formatCode="0.0%">
                  <c:v>3.002859866539553E-2</c:v>
                </c:pt>
                <c:pt idx="653" formatCode="0.0%">
                  <c:v>3.7178265014299251E-2</c:v>
                </c:pt>
                <c:pt idx="654" formatCode="0.0%">
                  <c:v>4.2112274024738362E-2</c:v>
                </c:pt>
                <c:pt idx="655" formatCode="0.0%">
                  <c:v>4.5453681710213835E-2</c:v>
                </c:pt>
                <c:pt idx="656" formatCode="0.0%">
                  <c:v>5.1476032273374488E-2</c:v>
                </c:pt>
                <c:pt idx="657" formatCode="0.0%">
                  <c:v>5.6883301707779811E-2</c:v>
                </c:pt>
                <c:pt idx="658" formatCode="0.0%">
                  <c:v>5.9773049645390049E-2</c:v>
                </c:pt>
                <c:pt idx="659" formatCode="0.0%">
                  <c:v>6.5231568998109626E-2</c:v>
                </c:pt>
                <c:pt idx="660" formatCode="0.0%">
                  <c:v>7.1016949152542391E-2</c:v>
                </c:pt>
                <c:pt idx="661" formatCode="0.0%">
                  <c:v>7.8093896713614955E-2</c:v>
                </c:pt>
                <c:pt idx="662" formatCode="0.0%">
                  <c:v>8.1085126286248754E-2</c:v>
                </c:pt>
                <c:pt idx="663" formatCode="0.0%">
                  <c:v>8.6254071661237788E-2</c:v>
                </c:pt>
                <c:pt idx="664" formatCode="0.0%">
                  <c:v>8.9083757519666851E-2</c:v>
                </c:pt>
                <c:pt idx="665" formatCode="0.0%">
                  <c:v>8.9113051470588331E-2</c:v>
                </c:pt>
                <c:pt idx="666" formatCode="0.0%">
                  <c:v>8.7855851578620622E-2</c:v>
                </c:pt>
                <c:pt idx="667" formatCode="0.0%">
                  <c:v>8.8409037206681515E-2</c:v>
                </c:pt>
                <c:pt idx="668" formatCode="0.0%">
                  <c:v>8.4447473662354569E-2</c:v>
                </c:pt>
                <c:pt idx="669" formatCode="0.0%">
                  <c:v>8.1722331692034217E-2</c:v>
                </c:pt>
                <c:pt idx="670" formatCode="0.0%">
                  <c:v>8.0422232334859206E-2</c:v>
                </c:pt>
                <c:pt idx="671" formatCode="0.0%">
                  <c:v>7.6707053588461652E-2</c:v>
                </c:pt>
                <c:pt idx="672" formatCode="0.0%">
                  <c:v>7.4172249476886248E-2</c:v>
                </c:pt>
              </c:numCache>
            </c:numRef>
          </c:val>
          <c:smooth val="0"/>
          <c:extLst>
            <c:ext xmlns:c16="http://schemas.microsoft.com/office/drawing/2014/chart" uri="{C3380CC4-5D6E-409C-BE32-E72D297353CC}">
              <c16:uniqueId val="{00000001-1DAC-4E88-94A8-972E0C6C2995}"/>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Utilization'!$A$102:$A$685</c:f>
              <c:numCache>
                <c:formatCode>mmm\-yy</c:formatCode>
                <c:ptCount val="584"/>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pt idx="575">
                  <c:v>44896</c:v>
                </c:pt>
                <c:pt idx="576">
                  <c:v>44927</c:v>
                </c:pt>
              </c:numCache>
            </c:numRef>
          </c:cat>
          <c:val>
            <c:numRef>
              <c:f>'Capacity Utilization'!$C$102:$C$685</c:f>
              <c:numCache>
                <c:formatCode>0.0%</c:formatCode>
                <c:ptCount val="584"/>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1.7001545595054155E-2</c:v>
                </c:pt>
                <c:pt idx="506">
                  <c:v>1.8528049408131724E-2</c:v>
                </c:pt>
                <c:pt idx="507">
                  <c:v>2.0041109969167553E-2</c:v>
                </c:pt>
                <c:pt idx="508">
                  <c:v>1.8993839835728894E-2</c:v>
                </c:pt>
                <c:pt idx="509">
                  <c:v>1.7400204708290713E-2</c:v>
                </c:pt>
                <c:pt idx="510">
                  <c:v>1.7911975435005119E-2</c:v>
                </c:pt>
                <c:pt idx="511">
                  <c:v>1.7893660531697341E-2</c:v>
                </c:pt>
                <c:pt idx="512">
                  <c:v>1.6343207354443251E-2</c:v>
                </c:pt>
                <c:pt idx="513">
                  <c:v>1.9887812340642561E-2</c:v>
                </c:pt>
                <c:pt idx="514">
                  <c:v>2.1395822720325971E-2</c:v>
                </c:pt>
                <c:pt idx="515">
                  <c:v>1.9827147941026975E-2</c:v>
                </c:pt>
                <c:pt idx="516">
                  <c:v>1.9269776876267807E-2</c:v>
                </c:pt>
                <c:pt idx="517">
                  <c:v>2.0263424518743668E-2</c:v>
                </c:pt>
                <c:pt idx="518">
                  <c:v>2.02122283981809E-2</c:v>
                </c:pt>
                <c:pt idx="519">
                  <c:v>1.914357682619653E-2</c:v>
                </c:pt>
                <c:pt idx="520">
                  <c:v>2.0654911838790903E-2</c:v>
                </c:pt>
                <c:pt idx="521">
                  <c:v>2.1126760563380222E-2</c:v>
                </c:pt>
                <c:pt idx="522">
                  <c:v>2.3629964806435338E-2</c:v>
                </c:pt>
                <c:pt idx="523">
                  <c:v>2.5113008538422903E-2</c:v>
                </c:pt>
                <c:pt idx="524">
                  <c:v>2.7135678391959829E-2</c:v>
                </c:pt>
                <c:pt idx="525">
                  <c:v>2.5499999999999971E-2</c:v>
                </c:pt>
                <c:pt idx="526">
                  <c:v>2.5436408977556082E-2</c:v>
                </c:pt>
                <c:pt idx="527">
                  <c:v>2.5922233300099788E-2</c:v>
                </c:pt>
                <c:pt idx="528">
                  <c:v>2.8855721393034883E-2</c:v>
                </c:pt>
                <c:pt idx="529">
                  <c:v>2.7805362462760646E-2</c:v>
                </c:pt>
                <c:pt idx="530">
                  <c:v>2.6745913818722166E-2</c:v>
                </c:pt>
                <c:pt idx="531">
                  <c:v>2.5210084033613415E-2</c:v>
                </c:pt>
                <c:pt idx="532">
                  <c:v>2.4679170779861797E-2</c:v>
                </c:pt>
                <c:pt idx="533">
                  <c:v>2.3152709359605856E-2</c:v>
                </c:pt>
                <c:pt idx="534">
                  <c:v>2.161100196463657E-2</c:v>
                </c:pt>
                <c:pt idx="535">
                  <c:v>1.9108280254777097E-2</c:v>
                </c:pt>
                <c:pt idx="536">
                  <c:v>1.8590998043052753E-2</c:v>
                </c:pt>
                <c:pt idx="537">
                  <c:v>1.6577279375914217E-2</c:v>
                </c:pt>
                <c:pt idx="538">
                  <c:v>1.5564202334630434E-2</c:v>
                </c:pt>
                <c:pt idx="539">
                  <c:v>1.4577259475218658E-2</c:v>
                </c:pt>
                <c:pt idx="540">
                  <c:v>1.063829787234037E-2</c:v>
                </c:pt>
                <c:pt idx="541">
                  <c:v>1.2077294685990338E-2</c:v>
                </c:pt>
                <c:pt idx="542">
                  <c:v>1.0612638687891888E-2</c:v>
                </c:pt>
                <c:pt idx="543">
                  <c:v>1.2054001928640309E-2</c:v>
                </c:pt>
                <c:pt idx="544">
                  <c:v>1.0597302504817038E-2</c:v>
                </c:pt>
                <c:pt idx="545">
                  <c:v>1.0110736639383836E-2</c:v>
                </c:pt>
                <c:pt idx="546">
                  <c:v>1.0576923076923022E-2</c:v>
                </c:pt>
                <c:pt idx="547">
                  <c:v>1.201923076923077E-2</c:v>
                </c:pt>
                <c:pt idx="548">
                  <c:v>1.2007684918347743E-2</c:v>
                </c:pt>
                <c:pt idx="549">
                  <c:v>1.1031175059952093E-2</c:v>
                </c:pt>
                <c:pt idx="550">
                  <c:v>1.2931034482758565E-2</c:v>
                </c:pt>
                <c:pt idx="551">
                  <c:v>1.3409961685823672E-2</c:v>
                </c:pt>
                <c:pt idx="552">
                  <c:v>1.6267942583732084E-2</c:v>
                </c:pt>
                <c:pt idx="553">
                  <c:v>1.6706443914081145E-2</c:v>
                </c:pt>
                <c:pt idx="554">
                  <c:v>2.0525059665871176E-2</c:v>
                </c:pt>
                <c:pt idx="555">
                  <c:v>2.3820867079561697E-2</c:v>
                </c:pt>
                <c:pt idx="556">
                  <c:v>3.002859866539553E-2</c:v>
                </c:pt>
                <c:pt idx="557">
                  <c:v>3.7178265014299251E-2</c:v>
                </c:pt>
                <c:pt idx="558">
                  <c:v>4.2112274024738362E-2</c:v>
                </c:pt>
                <c:pt idx="559">
                  <c:v>4.5453681710213835E-2</c:v>
                </c:pt>
                <c:pt idx="560">
                  <c:v>5.1476032273374488E-2</c:v>
                </c:pt>
                <c:pt idx="561">
                  <c:v>5.6883301707779811E-2</c:v>
                </c:pt>
                <c:pt idx="562">
                  <c:v>5.9773049645390049E-2</c:v>
                </c:pt>
                <c:pt idx="563">
                  <c:v>6.5231568998109626E-2</c:v>
                </c:pt>
                <c:pt idx="564">
                  <c:v>7.1016949152542391E-2</c:v>
                </c:pt>
                <c:pt idx="565">
                  <c:v>7.8093896713614955E-2</c:v>
                </c:pt>
                <c:pt idx="566">
                  <c:v>8.1085126286248754E-2</c:v>
                </c:pt>
                <c:pt idx="567">
                  <c:v>8.6254071661237788E-2</c:v>
                </c:pt>
                <c:pt idx="568">
                  <c:v>8.9083757519666851E-2</c:v>
                </c:pt>
                <c:pt idx="569">
                  <c:v>8.9113051470588331E-2</c:v>
                </c:pt>
                <c:pt idx="570">
                  <c:v>8.7855851578620622E-2</c:v>
                </c:pt>
                <c:pt idx="571">
                  <c:v>8.8409037206681515E-2</c:v>
                </c:pt>
                <c:pt idx="572">
                  <c:v>8.4447473662354569E-2</c:v>
                </c:pt>
                <c:pt idx="573">
                  <c:v>8.1722331692034217E-2</c:v>
                </c:pt>
                <c:pt idx="574">
                  <c:v>8.0422232334859206E-2</c:v>
                </c:pt>
                <c:pt idx="575">
                  <c:v>7.6707053588461652E-2</c:v>
                </c:pt>
                <c:pt idx="576">
                  <c:v>7.4172249476886248E-2</c:v>
                </c:pt>
              </c:numCache>
            </c:numRef>
          </c:val>
          <c:extLst>
            <c:ext xmlns:c16="http://schemas.microsoft.com/office/drawing/2014/chart" uri="{C3380CC4-5D6E-409C-BE32-E72D297353CC}">
              <c16:uniqueId val="{00000000-2F71-4DA1-B422-D83E12C09D3E}"/>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Utilization'!$A$102:$A$685</c:f>
              <c:numCache>
                <c:formatCode>mmm\-yy</c:formatCode>
                <c:ptCount val="584"/>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pt idx="575">
                  <c:v>44896</c:v>
                </c:pt>
                <c:pt idx="576">
                  <c:v>44927</c:v>
                </c:pt>
              </c:numCache>
            </c:numRef>
          </c:cat>
          <c:val>
            <c:numRef>
              <c:f>'Capacity Utilization'!$B$102:$B$685</c:f>
              <c:numCache>
                <c:formatCode>0.00</c:formatCode>
                <c:ptCount val="584"/>
                <c:pt idx="0">
                  <c:v>77.287099999999995</c:v>
                </c:pt>
                <c:pt idx="1">
                  <c:v>75.398899999999998</c:v>
                </c:pt>
                <c:pt idx="2">
                  <c:v>74.4422</c:v>
                </c:pt>
                <c:pt idx="3">
                  <c:v>74.460499999999996</c:v>
                </c:pt>
                <c:pt idx="4">
                  <c:v>74.134500000000003</c:v>
                </c:pt>
                <c:pt idx="5">
                  <c:v>74.494500000000002</c:v>
                </c:pt>
                <c:pt idx="6">
                  <c:v>75.132400000000004</c:v>
                </c:pt>
                <c:pt idx="7">
                  <c:v>75.745099999999994</c:v>
                </c:pt>
                <c:pt idx="8">
                  <c:v>76.586299999999994</c:v>
                </c:pt>
                <c:pt idx="9">
                  <c:v>76.778599999999997</c:v>
                </c:pt>
                <c:pt idx="10">
                  <c:v>76.745500000000007</c:v>
                </c:pt>
                <c:pt idx="11">
                  <c:v>77.645700000000005</c:v>
                </c:pt>
                <c:pt idx="12">
                  <c:v>78.528099999999995</c:v>
                </c:pt>
                <c:pt idx="13">
                  <c:v>79.162400000000005</c:v>
                </c:pt>
                <c:pt idx="14">
                  <c:v>79.149199999999993</c:v>
                </c:pt>
                <c:pt idx="15">
                  <c:v>79.384299999999996</c:v>
                </c:pt>
                <c:pt idx="16">
                  <c:v>79.529799999999994</c:v>
                </c:pt>
                <c:pt idx="17">
                  <c:v>79.452299999999994</c:v>
                </c:pt>
                <c:pt idx="18">
                  <c:v>79.6935</c:v>
                </c:pt>
                <c:pt idx="19">
                  <c:v>80.071100000000001</c:v>
                </c:pt>
                <c:pt idx="20">
                  <c:v>80.139799999999994</c:v>
                </c:pt>
                <c:pt idx="21">
                  <c:v>79.939300000000003</c:v>
                </c:pt>
                <c:pt idx="22">
                  <c:v>80.972899999999996</c:v>
                </c:pt>
                <c:pt idx="23">
                  <c:v>81.638400000000004</c:v>
                </c:pt>
                <c:pt idx="24">
                  <c:v>80.897400000000005</c:v>
                </c:pt>
                <c:pt idx="25">
                  <c:v>81.988900000000001</c:v>
                </c:pt>
                <c:pt idx="26">
                  <c:v>82.805599999999998</c:v>
                </c:pt>
                <c:pt idx="27">
                  <c:v>83.395700000000005</c:v>
                </c:pt>
                <c:pt idx="28">
                  <c:v>83.831000000000003</c:v>
                </c:pt>
                <c:pt idx="29">
                  <c:v>84.237099999999998</c:v>
                </c:pt>
                <c:pt idx="30">
                  <c:v>84.118600000000001</c:v>
                </c:pt>
                <c:pt idx="31">
                  <c:v>83.974699999999999</c:v>
                </c:pt>
                <c:pt idx="32">
                  <c:v>84.088099999999997</c:v>
                </c:pt>
                <c:pt idx="33">
                  <c:v>83.974000000000004</c:v>
                </c:pt>
                <c:pt idx="34">
                  <c:v>83.892399999999995</c:v>
                </c:pt>
                <c:pt idx="35">
                  <c:v>83.776799999999994</c:v>
                </c:pt>
                <c:pt idx="36">
                  <c:v>82.343999999999994</c:v>
                </c:pt>
                <c:pt idx="37">
                  <c:v>82.553399999999996</c:v>
                </c:pt>
                <c:pt idx="38">
                  <c:v>83.903899999999993</c:v>
                </c:pt>
                <c:pt idx="39">
                  <c:v>85.322900000000004</c:v>
                </c:pt>
                <c:pt idx="40">
                  <c:v>85.500399999999999</c:v>
                </c:pt>
                <c:pt idx="41">
                  <c:v>85.805899999999994</c:v>
                </c:pt>
                <c:pt idx="42">
                  <c:v>85.492000000000004</c:v>
                </c:pt>
                <c:pt idx="43">
                  <c:v>85.612799999999993</c:v>
                </c:pt>
                <c:pt idx="44">
                  <c:v>85.5839</c:v>
                </c:pt>
                <c:pt idx="45">
                  <c:v>86.012799999999999</c:v>
                </c:pt>
                <c:pt idx="46">
                  <c:v>86.432299999999998</c:v>
                </c:pt>
                <c:pt idx="47">
                  <c:v>86.642399999999995</c:v>
                </c:pt>
                <c:pt idx="48">
                  <c:v>85.927899999999994</c:v>
                </c:pt>
                <c:pt idx="49">
                  <c:v>86.129099999999994</c:v>
                </c:pt>
                <c:pt idx="50">
                  <c:v>86.162199999999999</c:v>
                </c:pt>
                <c:pt idx="51">
                  <c:v>84.93</c:v>
                </c:pt>
                <c:pt idx="52">
                  <c:v>85.457099999999997</c:v>
                </c:pt>
                <c:pt idx="53">
                  <c:v>85.244500000000002</c:v>
                </c:pt>
                <c:pt idx="54">
                  <c:v>84.906099999999995</c:v>
                </c:pt>
                <c:pt idx="55">
                  <c:v>84.159899999999993</c:v>
                </c:pt>
                <c:pt idx="56">
                  <c:v>83.962299999999999</c:v>
                </c:pt>
                <c:pt idx="57">
                  <c:v>84.361699999999999</c:v>
                </c:pt>
                <c:pt idx="58">
                  <c:v>84.0501</c:v>
                </c:pt>
                <c:pt idx="59">
                  <c:v>83.941999999999993</c:v>
                </c:pt>
                <c:pt idx="60">
                  <c:v>84.214600000000004</c:v>
                </c:pt>
                <c:pt idx="61">
                  <c:v>84.087800000000001</c:v>
                </c:pt>
                <c:pt idx="62">
                  <c:v>83.5715</c:v>
                </c:pt>
                <c:pt idx="63">
                  <c:v>81.768799999999999</c:v>
                </c:pt>
                <c:pt idx="64">
                  <c:v>79.606399999999994</c:v>
                </c:pt>
                <c:pt idx="65">
                  <c:v>78.438800000000001</c:v>
                </c:pt>
                <c:pt idx="66">
                  <c:v>77.719700000000003</c:v>
                </c:pt>
                <c:pt idx="67">
                  <c:v>77.811000000000007</c:v>
                </c:pt>
                <c:pt idx="68">
                  <c:v>78.941000000000003</c:v>
                </c:pt>
                <c:pt idx="69">
                  <c:v>79.769900000000007</c:v>
                </c:pt>
                <c:pt idx="70">
                  <c:v>80.915899999999993</c:v>
                </c:pt>
                <c:pt idx="71">
                  <c:v>81.280299999999997</c:v>
                </c:pt>
                <c:pt idx="72">
                  <c:v>80.575199999999995</c:v>
                </c:pt>
                <c:pt idx="73">
                  <c:v>80.046899999999994</c:v>
                </c:pt>
                <c:pt idx="74">
                  <c:v>80.247900000000001</c:v>
                </c:pt>
                <c:pt idx="75">
                  <c:v>79.694800000000001</c:v>
                </c:pt>
                <c:pt idx="76">
                  <c:v>79.948899999999995</c:v>
                </c:pt>
                <c:pt idx="77">
                  <c:v>80.165999999999997</c:v>
                </c:pt>
                <c:pt idx="78">
                  <c:v>80.4696</c:v>
                </c:pt>
                <c:pt idx="79">
                  <c:v>80.169200000000004</c:v>
                </c:pt>
                <c:pt idx="80">
                  <c:v>79.5809</c:v>
                </c:pt>
                <c:pt idx="81">
                  <c:v>78.7744</c:v>
                </c:pt>
                <c:pt idx="82">
                  <c:v>77.681600000000003</c:v>
                </c:pt>
                <c:pt idx="83">
                  <c:v>76.681700000000006</c:v>
                </c:pt>
                <c:pt idx="84">
                  <c:v>74.9452</c:v>
                </c:pt>
                <c:pt idx="85">
                  <c:v>76.315700000000007</c:v>
                </c:pt>
                <c:pt idx="86">
                  <c:v>75.644400000000005</c:v>
                </c:pt>
                <c:pt idx="87">
                  <c:v>74.813500000000005</c:v>
                </c:pt>
                <c:pt idx="88">
                  <c:v>74.178299999999993</c:v>
                </c:pt>
                <c:pt idx="89">
                  <c:v>73.879900000000006</c:v>
                </c:pt>
                <c:pt idx="90">
                  <c:v>73.511899999999997</c:v>
                </c:pt>
                <c:pt idx="91">
                  <c:v>72.770700000000005</c:v>
                </c:pt>
                <c:pt idx="92">
                  <c:v>72.501300000000001</c:v>
                </c:pt>
                <c:pt idx="93">
                  <c:v>71.745599999999996</c:v>
                </c:pt>
                <c:pt idx="94">
                  <c:v>71.459299999999999</c:v>
                </c:pt>
                <c:pt idx="95">
                  <c:v>70.904600000000002</c:v>
                </c:pt>
                <c:pt idx="96">
                  <c:v>72.184200000000004</c:v>
                </c:pt>
                <c:pt idx="97">
                  <c:v>71.725999999999999</c:v>
                </c:pt>
                <c:pt idx="98">
                  <c:v>72.297300000000007</c:v>
                </c:pt>
                <c:pt idx="99">
                  <c:v>73.178700000000006</c:v>
                </c:pt>
                <c:pt idx="100">
                  <c:v>73.626900000000006</c:v>
                </c:pt>
                <c:pt idx="101">
                  <c:v>74.048199999999994</c:v>
                </c:pt>
                <c:pt idx="102">
                  <c:v>75.128900000000002</c:v>
                </c:pt>
                <c:pt idx="103">
                  <c:v>75.999799999999993</c:v>
                </c:pt>
                <c:pt idx="104">
                  <c:v>77.063800000000001</c:v>
                </c:pt>
                <c:pt idx="105">
                  <c:v>77.613799999999998</c:v>
                </c:pt>
                <c:pt idx="106">
                  <c:v>77.896000000000001</c:v>
                </c:pt>
                <c:pt idx="107">
                  <c:v>78.202299999999994</c:v>
                </c:pt>
                <c:pt idx="108">
                  <c:v>79.675399999999996</c:v>
                </c:pt>
                <c:pt idx="109">
                  <c:v>79.935500000000005</c:v>
                </c:pt>
                <c:pt idx="110">
                  <c:v>80.201700000000002</c:v>
                </c:pt>
                <c:pt idx="111">
                  <c:v>80.547300000000007</c:v>
                </c:pt>
                <c:pt idx="112">
                  <c:v>80.838399999999993</c:v>
                </c:pt>
                <c:pt idx="113">
                  <c:v>80.964799999999997</c:v>
                </c:pt>
                <c:pt idx="114">
                  <c:v>81.033900000000003</c:v>
                </c:pt>
                <c:pt idx="115">
                  <c:v>80.958699999999993</c:v>
                </c:pt>
                <c:pt idx="116">
                  <c:v>80.543899999999994</c:v>
                </c:pt>
                <c:pt idx="117">
                  <c:v>80.330500000000001</c:v>
                </c:pt>
                <c:pt idx="118">
                  <c:v>80.405500000000004</c:v>
                </c:pt>
                <c:pt idx="119">
                  <c:v>80.252300000000005</c:v>
                </c:pt>
                <c:pt idx="120">
                  <c:v>79.995000000000005</c:v>
                </c:pt>
                <c:pt idx="121">
                  <c:v>80.0351</c:v>
                </c:pt>
                <c:pt idx="122">
                  <c:v>79.9495</c:v>
                </c:pt>
                <c:pt idx="123">
                  <c:v>79.582099999999997</c:v>
                </c:pt>
                <c:pt idx="124">
                  <c:v>79.510900000000007</c:v>
                </c:pt>
                <c:pt idx="125">
                  <c:v>79.274000000000001</c:v>
                </c:pt>
                <c:pt idx="126">
                  <c:v>78.682400000000001</c:v>
                </c:pt>
                <c:pt idx="127">
                  <c:v>78.765799999999999</c:v>
                </c:pt>
                <c:pt idx="128">
                  <c:v>78.892799999999994</c:v>
                </c:pt>
                <c:pt idx="129">
                  <c:v>78.469300000000004</c:v>
                </c:pt>
                <c:pt idx="130">
                  <c:v>78.5929</c:v>
                </c:pt>
                <c:pt idx="131">
                  <c:v>79.257499999999993</c:v>
                </c:pt>
                <c:pt idx="132">
                  <c:v>79.5471</c:v>
                </c:pt>
                <c:pt idx="133">
                  <c:v>78.899299999999997</c:v>
                </c:pt>
                <c:pt idx="134">
                  <c:v>78.237099999999998</c:v>
                </c:pt>
                <c:pt idx="135">
                  <c:v>78.242699999999999</c:v>
                </c:pt>
                <c:pt idx="136">
                  <c:v>78.313699999999997</c:v>
                </c:pt>
                <c:pt idx="137">
                  <c:v>77.9358</c:v>
                </c:pt>
                <c:pt idx="138">
                  <c:v>78.334900000000005</c:v>
                </c:pt>
                <c:pt idx="139">
                  <c:v>78.126300000000001</c:v>
                </c:pt>
                <c:pt idx="140">
                  <c:v>78.251599999999996</c:v>
                </c:pt>
                <c:pt idx="141">
                  <c:v>78.490700000000004</c:v>
                </c:pt>
                <c:pt idx="142">
                  <c:v>78.694999999999993</c:v>
                </c:pt>
                <c:pt idx="143">
                  <c:v>79.345200000000006</c:v>
                </c:pt>
                <c:pt idx="144">
                  <c:v>78.916899999999998</c:v>
                </c:pt>
                <c:pt idx="145">
                  <c:v>79.839799999999997</c:v>
                </c:pt>
                <c:pt idx="146">
                  <c:v>79.799300000000002</c:v>
                </c:pt>
                <c:pt idx="147">
                  <c:v>80.1614</c:v>
                </c:pt>
                <c:pt idx="148">
                  <c:v>80.508499999999998</c:v>
                </c:pt>
                <c:pt idx="149">
                  <c:v>80.782799999999995</c:v>
                </c:pt>
                <c:pt idx="150">
                  <c:v>81.172200000000004</c:v>
                </c:pt>
                <c:pt idx="151">
                  <c:v>81.631699999999995</c:v>
                </c:pt>
                <c:pt idx="152">
                  <c:v>81.8</c:v>
                </c:pt>
                <c:pt idx="153">
                  <c:v>82.772900000000007</c:v>
                </c:pt>
                <c:pt idx="154">
                  <c:v>83.077699999999993</c:v>
                </c:pt>
                <c:pt idx="155">
                  <c:v>83.444999999999993</c:v>
                </c:pt>
                <c:pt idx="156">
                  <c:v>83.342399999999998</c:v>
                </c:pt>
                <c:pt idx="157">
                  <c:v>83.695999999999998</c:v>
                </c:pt>
                <c:pt idx="158">
                  <c:v>83.822900000000004</c:v>
                </c:pt>
                <c:pt idx="159">
                  <c:v>84.267200000000003</c:v>
                </c:pt>
                <c:pt idx="160">
                  <c:v>84.078400000000002</c:v>
                </c:pt>
                <c:pt idx="161">
                  <c:v>84.272900000000007</c:v>
                </c:pt>
                <c:pt idx="162">
                  <c:v>84.257000000000005</c:v>
                </c:pt>
                <c:pt idx="163">
                  <c:v>84.6494</c:v>
                </c:pt>
                <c:pt idx="164">
                  <c:v>84.331900000000005</c:v>
                </c:pt>
                <c:pt idx="165">
                  <c:v>84.643000000000001</c:v>
                </c:pt>
                <c:pt idx="166">
                  <c:v>84.784199999999998</c:v>
                </c:pt>
                <c:pt idx="167">
                  <c:v>85.064099999999996</c:v>
                </c:pt>
                <c:pt idx="168">
                  <c:v>85.2256</c:v>
                </c:pt>
                <c:pt idx="169">
                  <c:v>84.731099999999998</c:v>
                </c:pt>
                <c:pt idx="170">
                  <c:v>84.813900000000004</c:v>
                </c:pt>
                <c:pt idx="171">
                  <c:v>84.637200000000007</c:v>
                </c:pt>
                <c:pt idx="172">
                  <c:v>84.006699999999995</c:v>
                </c:pt>
                <c:pt idx="173">
                  <c:v>83.820499999999996</c:v>
                </c:pt>
                <c:pt idx="174">
                  <c:v>82.828999999999994</c:v>
                </c:pt>
                <c:pt idx="175">
                  <c:v>83.455200000000005</c:v>
                </c:pt>
                <c:pt idx="176">
                  <c:v>82.974000000000004</c:v>
                </c:pt>
                <c:pt idx="177">
                  <c:v>82.683199999999999</c:v>
                </c:pt>
                <c:pt idx="178">
                  <c:v>82.757000000000005</c:v>
                </c:pt>
                <c:pt idx="179">
                  <c:v>83.031999999999996</c:v>
                </c:pt>
                <c:pt idx="180">
                  <c:v>82.392700000000005</c:v>
                </c:pt>
                <c:pt idx="181">
                  <c:v>82.954700000000003</c:v>
                </c:pt>
                <c:pt idx="182">
                  <c:v>83.171300000000002</c:v>
                </c:pt>
                <c:pt idx="183">
                  <c:v>82.8172</c:v>
                </c:pt>
                <c:pt idx="184">
                  <c:v>82.887299999999996</c:v>
                </c:pt>
                <c:pt idx="185">
                  <c:v>82.996499999999997</c:v>
                </c:pt>
                <c:pt idx="186">
                  <c:v>82.719200000000001</c:v>
                </c:pt>
                <c:pt idx="187">
                  <c:v>82.887</c:v>
                </c:pt>
                <c:pt idx="188">
                  <c:v>82.772999999999996</c:v>
                </c:pt>
                <c:pt idx="189">
                  <c:v>82.150999999999996</c:v>
                </c:pt>
                <c:pt idx="190">
                  <c:v>81.0261</c:v>
                </c:pt>
                <c:pt idx="191">
                  <c:v>80.363699999999994</c:v>
                </c:pt>
                <c:pt idx="192">
                  <c:v>80.001499999999993</c:v>
                </c:pt>
                <c:pt idx="193">
                  <c:v>79.339600000000004</c:v>
                </c:pt>
                <c:pt idx="194">
                  <c:v>78.818700000000007</c:v>
                </c:pt>
                <c:pt idx="195">
                  <c:v>78.954999999999998</c:v>
                </c:pt>
                <c:pt idx="196">
                  <c:v>79.670500000000004</c:v>
                </c:pt>
                <c:pt idx="197">
                  <c:v>80.229100000000003</c:v>
                </c:pt>
                <c:pt idx="198">
                  <c:v>80.362700000000004</c:v>
                </c:pt>
                <c:pt idx="199">
                  <c:v>80.290700000000001</c:v>
                </c:pt>
                <c:pt idx="200">
                  <c:v>80.8673</c:v>
                </c:pt>
                <c:pt idx="201">
                  <c:v>80.6828</c:v>
                </c:pt>
                <c:pt idx="202">
                  <c:v>80.4666</c:v>
                </c:pt>
                <c:pt idx="203">
                  <c:v>79.994100000000003</c:v>
                </c:pt>
                <c:pt idx="204">
                  <c:v>79.430400000000006</c:v>
                </c:pt>
                <c:pt idx="205">
                  <c:v>79.836200000000005</c:v>
                </c:pt>
                <c:pt idx="206">
                  <c:v>80.338800000000006</c:v>
                </c:pt>
                <c:pt idx="207">
                  <c:v>80.782300000000006</c:v>
                </c:pt>
                <c:pt idx="208">
                  <c:v>80.868600000000001</c:v>
                </c:pt>
                <c:pt idx="209">
                  <c:v>80.734700000000004</c:v>
                </c:pt>
                <c:pt idx="210">
                  <c:v>81.278800000000004</c:v>
                </c:pt>
                <c:pt idx="211">
                  <c:v>80.653499999999994</c:v>
                </c:pt>
                <c:pt idx="212">
                  <c:v>80.738399999999999</c:v>
                </c:pt>
                <c:pt idx="213">
                  <c:v>81.125600000000006</c:v>
                </c:pt>
                <c:pt idx="214">
                  <c:v>81.297300000000007</c:v>
                </c:pt>
                <c:pt idx="215">
                  <c:v>81.280100000000004</c:v>
                </c:pt>
                <c:pt idx="216">
                  <c:v>81.463200000000001</c:v>
                </c:pt>
                <c:pt idx="217">
                  <c:v>81.715699999999998</c:v>
                </c:pt>
                <c:pt idx="218">
                  <c:v>81.510499999999993</c:v>
                </c:pt>
                <c:pt idx="219">
                  <c:v>81.624300000000005</c:v>
                </c:pt>
                <c:pt idx="220">
                  <c:v>81.180499999999995</c:v>
                </c:pt>
                <c:pt idx="221">
                  <c:v>81.256399999999999</c:v>
                </c:pt>
                <c:pt idx="222">
                  <c:v>81.332099999999997</c:v>
                </c:pt>
                <c:pt idx="223">
                  <c:v>81.130200000000002</c:v>
                </c:pt>
                <c:pt idx="224">
                  <c:v>81.410600000000002</c:v>
                </c:pt>
                <c:pt idx="225">
                  <c:v>81.869100000000003</c:v>
                </c:pt>
                <c:pt idx="226">
                  <c:v>82.099900000000005</c:v>
                </c:pt>
                <c:pt idx="227">
                  <c:v>82.392399999999995</c:v>
                </c:pt>
                <c:pt idx="228">
                  <c:v>82.472099999999998</c:v>
                </c:pt>
                <c:pt idx="229">
                  <c:v>82.335700000000003</c:v>
                </c:pt>
                <c:pt idx="230">
                  <c:v>82.947199999999995</c:v>
                </c:pt>
                <c:pt idx="231">
                  <c:v>83.213300000000004</c:v>
                </c:pt>
                <c:pt idx="232">
                  <c:v>83.366399999999999</c:v>
                </c:pt>
                <c:pt idx="233">
                  <c:v>83.660600000000002</c:v>
                </c:pt>
                <c:pt idx="234">
                  <c:v>83.506500000000003</c:v>
                </c:pt>
                <c:pt idx="235">
                  <c:v>83.791799999999995</c:v>
                </c:pt>
                <c:pt idx="236">
                  <c:v>83.781599999999997</c:v>
                </c:pt>
                <c:pt idx="237">
                  <c:v>84.1798</c:v>
                </c:pt>
                <c:pt idx="238">
                  <c:v>84.465999999999994</c:v>
                </c:pt>
                <c:pt idx="239">
                  <c:v>84.998900000000006</c:v>
                </c:pt>
                <c:pt idx="240">
                  <c:v>84.886799999999994</c:v>
                </c:pt>
                <c:pt idx="241">
                  <c:v>84.481099999999998</c:v>
                </c:pt>
                <c:pt idx="242">
                  <c:v>84.3172</c:v>
                </c:pt>
                <c:pt idx="243">
                  <c:v>83.884100000000004</c:v>
                </c:pt>
                <c:pt idx="244">
                  <c:v>83.9709</c:v>
                </c:pt>
                <c:pt idx="245">
                  <c:v>83.937600000000003</c:v>
                </c:pt>
                <c:pt idx="246">
                  <c:v>83.267099999999999</c:v>
                </c:pt>
                <c:pt idx="247">
                  <c:v>84.034199999999998</c:v>
                </c:pt>
                <c:pt idx="248">
                  <c:v>84.033900000000003</c:v>
                </c:pt>
                <c:pt idx="249">
                  <c:v>83.558300000000003</c:v>
                </c:pt>
                <c:pt idx="250">
                  <c:v>83.403800000000004</c:v>
                </c:pt>
                <c:pt idx="251">
                  <c:v>83.330100000000002</c:v>
                </c:pt>
                <c:pt idx="252">
                  <c:v>82.509600000000006</c:v>
                </c:pt>
                <c:pt idx="253">
                  <c:v>83.314499999999995</c:v>
                </c:pt>
                <c:pt idx="254">
                  <c:v>82.808099999999996</c:v>
                </c:pt>
                <c:pt idx="255">
                  <c:v>83.254400000000004</c:v>
                </c:pt>
                <c:pt idx="256">
                  <c:v>83.487200000000001</c:v>
                </c:pt>
                <c:pt idx="257">
                  <c:v>83.719200000000001</c:v>
                </c:pt>
                <c:pt idx="258">
                  <c:v>83.333200000000005</c:v>
                </c:pt>
                <c:pt idx="259">
                  <c:v>83.366299999999995</c:v>
                </c:pt>
                <c:pt idx="260">
                  <c:v>83.515000000000001</c:v>
                </c:pt>
                <c:pt idx="261">
                  <c:v>83.112399999999994</c:v>
                </c:pt>
                <c:pt idx="262">
                  <c:v>83.446200000000005</c:v>
                </c:pt>
                <c:pt idx="263">
                  <c:v>83.568899999999999</c:v>
                </c:pt>
                <c:pt idx="264">
                  <c:v>83.319900000000004</c:v>
                </c:pt>
                <c:pt idx="265">
                  <c:v>83.889499999999998</c:v>
                </c:pt>
                <c:pt idx="266">
                  <c:v>83.990300000000005</c:v>
                </c:pt>
                <c:pt idx="267">
                  <c:v>83.633300000000006</c:v>
                </c:pt>
                <c:pt idx="268">
                  <c:v>83.657300000000006</c:v>
                </c:pt>
                <c:pt idx="269">
                  <c:v>83.590400000000002</c:v>
                </c:pt>
                <c:pt idx="270">
                  <c:v>83.815700000000007</c:v>
                </c:pt>
                <c:pt idx="271">
                  <c:v>84.158000000000001</c:v>
                </c:pt>
                <c:pt idx="272">
                  <c:v>84.426900000000003</c:v>
                </c:pt>
                <c:pt idx="273">
                  <c:v>84.633899999999997</c:v>
                </c:pt>
                <c:pt idx="274">
                  <c:v>84.762900000000002</c:v>
                </c:pt>
                <c:pt idx="275">
                  <c:v>84.594399999999993</c:v>
                </c:pt>
                <c:pt idx="276">
                  <c:v>84.419399999999996</c:v>
                </c:pt>
                <c:pt idx="277">
                  <c:v>84.0077</c:v>
                </c:pt>
                <c:pt idx="278">
                  <c:v>83.496300000000005</c:v>
                </c:pt>
                <c:pt idx="279">
                  <c:v>83.263300000000001</c:v>
                </c:pt>
                <c:pt idx="280">
                  <c:v>83.2637</c:v>
                </c:pt>
                <c:pt idx="281">
                  <c:v>82.267399999999995</c:v>
                </c:pt>
                <c:pt idx="282">
                  <c:v>81.478200000000001</c:v>
                </c:pt>
                <c:pt idx="283">
                  <c:v>82.712999999999994</c:v>
                </c:pt>
                <c:pt idx="284">
                  <c:v>82.218999999999994</c:v>
                </c:pt>
                <c:pt idx="285">
                  <c:v>82.382999999999996</c:v>
                </c:pt>
                <c:pt idx="286">
                  <c:v>81.9221</c:v>
                </c:pt>
                <c:pt idx="287">
                  <c:v>81.8964</c:v>
                </c:pt>
                <c:pt idx="288">
                  <c:v>81.874700000000004</c:v>
                </c:pt>
                <c:pt idx="289">
                  <c:v>81.992400000000004</c:v>
                </c:pt>
                <c:pt idx="290">
                  <c:v>81.826300000000003</c:v>
                </c:pt>
                <c:pt idx="291">
                  <c:v>81.688800000000001</c:v>
                </c:pt>
                <c:pt idx="292">
                  <c:v>81.871899999999997</c:v>
                </c:pt>
                <c:pt idx="293">
                  <c:v>81.519099999999995</c:v>
                </c:pt>
                <c:pt idx="294">
                  <c:v>81.693399999999997</c:v>
                </c:pt>
                <c:pt idx="295">
                  <c:v>81.760900000000007</c:v>
                </c:pt>
                <c:pt idx="296">
                  <c:v>81.125200000000007</c:v>
                </c:pt>
                <c:pt idx="297">
                  <c:v>81.886399999999995</c:v>
                </c:pt>
                <c:pt idx="298">
                  <c:v>82.025300000000001</c:v>
                </c:pt>
                <c:pt idx="299">
                  <c:v>82.384</c:v>
                </c:pt>
                <c:pt idx="300">
                  <c:v>82.052800000000005</c:v>
                </c:pt>
                <c:pt idx="301">
                  <c:v>82.073300000000003</c:v>
                </c:pt>
                <c:pt idx="302">
                  <c:v>82.1053</c:v>
                </c:pt>
                <c:pt idx="303">
                  <c:v>82.338700000000003</c:v>
                </c:pt>
                <c:pt idx="304">
                  <c:v>82.305499999999995</c:v>
                </c:pt>
                <c:pt idx="305">
                  <c:v>82.079899999999995</c:v>
                </c:pt>
                <c:pt idx="306">
                  <c:v>81.655199999999994</c:v>
                </c:pt>
                <c:pt idx="307">
                  <c:v>81.169700000000006</c:v>
                </c:pt>
                <c:pt idx="308">
                  <c:v>81.223399999999998</c:v>
                </c:pt>
                <c:pt idx="309">
                  <c:v>80.682299999999998</c:v>
                </c:pt>
                <c:pt idx="310">
                  <c:v>80.422799999999995</c:v>
                </c:pt>
                <c:pt idx="311">
                  <c:v>79.898799999999994</c:v>
                </c:pt>
                <c:pt idx="312">
                  <c:v>79.210300000000004</c:v>
                </c:pt>
                <c:pt idx="313">
                  <c:v>78.427700000000002</c:v>
                </c:pt>
                <c:pt idx="314">
                  <c:v>77.987700000000004</c:v>
                </c:pt>
                <c:pt idx="315">
                  <c:v>77.500799999999998</c:v>
                </c:pt>
                <c:pt idx="316">
                  <c:v>76.8523</c:v>
                </c:pt>
                <c:pt idx="317">
                  <c:v>76.2089</c:v>
                </c:pt>
                <c:pt idx="318">
                  <c:v>75.563299999999998</c:v>
                </c:pt>
                <c:pt idx="319">
                  <c:v>75.289100000000005</c:v>
                </c:pt>
                <c:pt idx="320">
                  <c:v>74.7196</c:v>
                </c:pt>
                <c:pt idx="321">
                  <c:v>74.3309</c:v>
                </c:pt>
                <c:pt idx="322">
                  <c:v>73.753500000000003</c:v>
                </c:pt>
                <c:pt idx="323">
                  <c:v>73.594700000000003</c:v>
                </c:pt>
                <c:pt idx="324">
                  <c:v>73.986199999999997</c:v>
                </c:pt>
                <c:pt idx="325">
                  <c:v>73.873599999999996</c:v>
                </c:pt>
                <c:pt idx="326">
                  <c:v>74.346100000000007</c:v>
                </c:pt>
                <c:pt idx="327">
                  <c:v>74.630700000000004</c:v>
                </c:pt>
                <c:pt idx="328">
                  <c:v>74.897000000000006</c:v>
                </c:pt>
                <c:pt idx="329">
                  <c:v>75.468999999999994</c:v>
                </c:pt>
                <c:pt idx="330">
                  <c:v>75.426199999999994</c:v>
                </c:pt>
                <c:pt idx="331">
                  <c:v>75.317999999999998</c:v>
                </c:pt>
                <c:pt idx="332">
                  <c:v>75.398799999999994</c:v>
                </c:pt>
                <c:pt idx="333">
                  <c:v>75.212100000000007</c:v>
                </c:pt>
                <c:pt idx="334">
                  <c:v>75.642700000000005</c:v>
                </c:pt>
                <c:pt idx="335">
                  <c:v>75.261700000000005</c:v>
                </c:pt>
                <c:pt idx="336">
                  <c:v>75.915400000000005</c:v>
                </c:pt>
                <c:pt idx="337">
                  <c:v>76.025599999999997</c:v>
                </c:pt>
                <c:pt idx="338">
                  <c:v>75.829499999999996</c:v>
                </c:pt>
                <c:pt idx="339">
                  <c:v>75.379499999999993</c:v>
                </c:pt>
                <c:pt idx="340">
                  <c:v>75.392600000000002</c:v>
                </c:pt>
                <c:pt idx="341">
                  <c:v>75.521299999999997</c:v>
                </c:pt>
                <c:pt idx="342">
                  <c:v>75.935299999999998</c:v>
                </c:pt>
                <c:pt idx="343">
                  <c:v>75.7714</c:v>
                </c:pt>
                <c:pt idx="344">
                  <c:v>76.285399999999996</c:v>
                </c:pt>
                <c:pt idx="345">
                  <c:v>76.394300000000001</c:v>
                </c:pt>
                <c:pt idx="346">
                  <c:v>76.921800000000005</c:v>
                </c:pt>
                <c:pt idx="347">
                  <c:v>76.998099999999994</c:v>
                </c:pt>
                <c:pt idx="348">
                  <c:v>77.138499999999993</c:v>
                </c:pt>
                <c:pt idx="349">
                  <c:v>77.621099999999998</c:v>
                </c:pt>
                <c:pt idx="350">
                  <c:v>77.327799999999996</c:v>
                </c:pt>
                <c:pt idx="351">
                  <c:v>77.656700000000001</c:v>
                </c:pt>
                <c:pt idx="352">
                  <c:v>78.228399999999993</c:v>
                </c:pt>
                <c:pt idx="353">
                  <c:v>77.6417</c:v>
                </c:pt>
                <c:pt idx="354">
                  <c:v>78.215999999999994</c:v>
                </c:pt>
                <c:pt idx="355">
                  <c:v>78.287000000000006</c:v>
                </c:pt>
                <c:pt idx="356">
                  <c:v>78.361599999999996</c:v>
                </c:pt>
                <c:pt idx="357">
                  <c:v>79.033100000000005</c:v>
                </c:pt>
                <c:pt idx="358">
                  <c:v>79.191500000000005</c:v>
                </c:pt>
                <c:pt idx="359">
                  <c:v>79.763099999999994</c:v>
                </c:pt>
                <c:pt idx="360">
                  <c:v>79.997799999999998</c:v>
                </c:pt>
                <c:pt idx="361">
                  <c:v>80.5137</c:v>
                </c:pt>
                <c:pt idx="362">
                  <c:v>80.319400000000002</c:v>
                </c:pt>
                <c:pt idx="363">
                  <c:v>80.3904</c:v>
                </c:pt>
                <c:pt idx="364">
                  <c:v>80.387</c:v>
                </c:pt>
                <c:pt idx="365">
                  <c:v>80.613</c:v>
                </c:pt>
                <c:pt idx="366">
                  <c:v>80.262500000000003</c:v>
                </c:pt>
                <c:pt idx="367">
                  <c:v>80.42</c:v>
                </c:pt>
                <c:pt idx="368">
                  <c:v>78.757800000000003</c:v>
                </c:pt>
                <c:pt idx="369">
                  <c:v>79.597499999999997</c:v>
                </c:pt>
                <c:pt idx="370">
                  <c:v>80.364400000000003</c:v>
                </c:pt>
                <c:pt idx="371">
                  <c:v>80.628399999999999</c:v>
                </c:pt>
                <c:pt idx="372">
                  <c:v>80.664900000000003</c:v>
                </c:pt>
                <c:pt idx="373">
                  <c:v>80.580299999999994</c:v>
                </c:pt>
                <c:pt idx="374">
                  <c:v>80.6554</c:v>
                </c:pt>
                <c:pt idx="375">
                  <c:v>80.781700000000001</c:v>
                </c:pt>
                <c:pt idx="376">
                  <c:v>80.662199999999999</c:v>
                </c:pt>
                <c:pt idx="377">
                  <c:v>80.782399999999996</c:v>
                </c:pt>
                <c:pt idx="378">
                  <c:v>80.573499999999996</c:v>
                </c:pt>
                <c:pt idx="379">
                  <c:v>80.753299999999996</c:v>
                </c:pt>
                <c:pt idx="380">
                  <c:v>80.414000000000001</c:v>
                </c:pt>
                <c:pt idx="381">
                  <c:v>80.148099999999999</c:v>
                </c:pt>
                <c:pt idx="382">
                  <c:v>79.915899999999993</c:v>
                </c:pt>
                <c:pt idx="383">
                  <c:v>80.541300000000007</c:v>
                </c:pt>
                <c:pt idx="384">
                  <c:v>80.036699999999996</c:v>
                </c:pt>
                <c:pt idx="385">
                  <c:v>80.624600000000001</c:v>
                </c:pt>
                <c:pt idx="386">
                  <c:v>80.595399999999998</c:v>
                </c:pt>
                <c:pt idx="387">
                  <c:v>80.973699999999994</c:v>
                </c:pt>
                <c:pt idx="388">
                  <c:v>80.871300000000005</c:v>
                </c:pt>
                <c:pt idx="389">
                  <c:v>80.754800000000003</c:v>
                </c:pt>
                <c:pt idx="390">
                  <c:v>80.558199999999999</c:v>
                </c:pt>
                <c:pt idx="391">
                  <c:v>80.650899999999993</c:v>
                </c:pt>
                <c:pt idx="392">
                  <c:v>80.8035</c:v>
                </c:pt>
                <c:pt idx="393">
                  <c:v>80.545900000000003</c:v>
                </c:pt>
                <c:pt idx="394">
                  <c:v>81.016000000000005</c:v>
                </c:pt>
                <c:pt idx="395">
                  <c:v>81.030600000000007</c:v>
                </c:pt>
                <c:pt idx="396">
                  <c:v>80.960999999999999</c:v>
                </c:pt>
                <c:pt idx="397">
                  <c:v>80.691299999999998</c:v>
                </c:pt>
                <c:pt idx="398">
                  <c:v>80.451599999999999</c:v>
                </c:pt>
                <c:pt idx="399">
                  <c:v>79.966700000000003</c:v>
                </c:pt>
                <c:pt idx="400">
                  <c:v>79.539900000000003</c:v>
                </c:pt>
                <c:pt idx="401">
                  <c:v>79.375799999999998</c:v>
                </c:pt>
                <c:pt idx="402">
                  <c:v>79.028099999999995</c:v>
                </c:pt>
                <c:pt idx="403">
                  <c:v>77.745900000000006</c:v>
                </c:pt>
                <c:pt idx="404">
                  <c:v>74.2851</c:v>
                </c:pt>
                <c:pt idx="405">
                  <c:v>74.936599999999999</c:v>
                </c:pt>
                <c:pt idx="406">
                  <c:v>73.861800000000002</c:v>
                </c:pt>
                <c:pt idx="407">
                  <c:v>71.686599999999999</c:v>
                </c:pt>
                <c:pt idx="408">
                  <c:v>69.811199999999999</c:v>
                </c:pt>
                <c:pt idx="409">
                  <c:v>69.306299999999993</c:v>
                </c:pt>
                <c:pt idx="410">
                  <c:v>68.139099999999999</c:v>
                </c:pt>
                <c:pt idx="411">
                  <c:v>67.528700000000001</c:v>
                </c:pt>
                <c:pt idx="412">
                  <c:v>66.804199999999994</c:v>
                </c:pt>
                <c:pt idx="413">
                  <c:v>66.567099999999996</c:v>
                </c:pt>
                <c:pt idx="414">
                  <c:v>67.341999999999999</c:v>
                </c:pt>
                <c:pt idx="415">
                  <c:v>68.099699999999999</c:v>
                </c:pt>
                <c:pt idx="416">
                  <c:v>68.730199999999996</c:v>
                </c:pt>
                <c:pt idx="417">
                  <c:v>68.958600000000004</c:v>
                </c:pt>
                <c:pt idx="418">
                  <c:v>69.347499999999997</c:v>
                </c:pt>
                <c:pt idx="419">
                  <c:v>69.715900000000005</c:v>
                </c:pt>
                <c:pt idx="420">
                  <c:v>70.61</c:v>
                </c:pt>
                <c:pt idx="421">
                  <c:v>71.002099999999999</c:v>
                </c:pt>
                <c:pt idx="422">
                  <c:v>71.657399999999996</c:v>
                </c:pt>
                <c:pt idx="423">
                  <c:v>72.076599999999999</c:v>
                </c:pt>
                <c:pt idx="424">
                  <c:v>73.222300000000004</c:v>
                </c:pt>
                <c:pt idx="425">
                  <c:v>73.547300000000007</c:v>
                </c:pt>
                <c:pt idx="426">
                  <c:v>73.964500000000001</c:v>
                </c:pt>
                <c:pt idx="427">
                  <c:v>74.365099999999998</c:v>
                </c:pt>
                <c:pt idx="428">
                  <c:v>74.676199999999994</c:v>
                </c:pt>
                <c:pt idx="429">
                  <c:v>74.563299999999998</c:v>
                </c:pt>
                <c:pt idx="430">
                  <c:v>74.686099999999996</c:v>
                </c:pt>
                <c:pt idx="431">
                  <c:v>75.461799999999997</c:v>
                </c:pt>
                <c:pt idx="432">
                  <c:v>75.338099999999997</c:v>
                </c:pt>
                <c:pt idx="433">
                  <c:v>75.048199999999994</c:v>
                </c:pt>
                <c:pt idx="434">
                  <c:v>75.825100000000006</c:v>
                </c:pt>
                <c:pt idx="435">
                  <c:v>75.534700000000001</c:v>
                </c:pt>
                <c:pt idx="436">
                  <c:v>75.5959</c:v>
                </c:pt>
                <c:pt idx="437">
                  <c:v>75.729699999999994</c:v>
                </c:pt>
                <c:pt idx="438">
                  <c:v>76.027600000000007</c:v>
                </c:pt>
                <c:pt idx="439">
                  <c:v>76.417199999999994</c:v>
                </c:pt>
                <c:pt idx="440">
                  <c:v>76.259900000000002</c:v>
                </c:pt>
                <c:pt idx="441">
                  <c:v>76.660399999999996</c:v>
                </c:pt>
                <c:pt idx="442">
                  <c:v>76.539900000000003</c:v>
                </c:pt>
                <c:pt idx="443">
                  <c:v>76.775099999999995</c:v>
                </c:pt>
                <c:pt idx="444">
                  <c:v>77.101500000000001</c:v>
                </c:pt>
                <c:pt idx="445">
                  <c:v>77.193600000000004</c:v>
                </c:pt>
                <c:pt idx="446">
                  <c:v>76.646600000000007</c:v>
                </c:pt>
                <c:pt idx="447">
                  <c:v>77.060299999999998</c:v>
                </c:pt>
                <c:pt idx="448">
                  <c:v>77.080299999999994</c:v>
                </c:pt>
                <c:pt idx="449">
                  <c:v>76.9315</c:v>
                </c:pt>
                <c:pt idx="450">
                  <c:v>76.983199999999997</c:v>
                </c:pt>
                <c:pt idx="451">
                  <c:v>76.532399999999996</c:v>
                </c:pt>
                <c:pt idx="452">
                  <c:v>76.352099999999993</c:v>
                </c:pt>
                <c:pt idx="453">
                  <c:v>76.484300000000005</c:v>
                </c:pt>
                <c:pt idx="454">
                  <c:v>76.680599999999998</c:v>
                </c:pt>
                <c:pt idx="455">
                  <c:v>76.763800000000003</c:v>
                </c:pt>
                <c:pt idx="456">
                  <c:v>76.6541</c:v>
                </c:pt>
                <c:pt idx="457">
                  <c:v>76.933899999999994</c:v>
                </c:pt>
                <c:pt idx="458">
                  <c:v>77.166499999999999</c:v>
                </c:pt>
                <c:pt idx="459">
                  <c:v>76.997699999999995</c:v>
                </c:pt>
                <c:pt idx="460">
                  <c:v>76.990300000000005</c:v>
                </c:pt>
                <c:pt idx="461">
                  <c:v>77.026499999999999</c:v>
                </c:pt>
                <c:pt idx="462">
                  <c:v>76.731200000000001</c:v>
                </c:pt>
                <c:pt idx="463">
                  <c:v>77.121600000000001</c:v>
                </c:pt>
                <c:pt idx="464">
                  <c:v>77.477999999999994</c:v>
                </c:pt>
                <c:pt idx="465">
                  <c:v>77.339699999999993</c:v>
                </c:pt>
                <c:pt idx="466">
                  <c:v>77.479699999999994</c:v>
                </c:pt>
                <c:pt idx="467">
                  <c:v>77.593400000000003</c:v>
                </c:pt>
                <c:pt idx="468">
                  <c:v>77.254199999999997</c:v>
                </c:pt>
                <c:pt idx="469">
                  <c:v>77.795299999999997</c:v>
                </c:pt>
                <c:pt idx="470">
                  <c:v>78.506600000000006</c:v>
                </c:pt>
                <c:pt idx="471">
                  <c:v>78.497100000000003</c:v>
                </c:pt>
                <c:pt idx="472">
                  <c:v>78.749099999999999</c:v>
                </c:pt>
                <c:pt idx="473">
                  <c:v>78.950599999999994</c:v>
                </c:pt>
                <c:pt idx="474">
                  <c:v>79.089600000000004</c:v>
                </c:pt>
                <c:pt idx="475">
                  <c:v>78.862099999999998</c:v>
                </c:pt>
                <c:pt idx="476">
                  <c:v>79.027299999999997</c:v>
                </c:pt>
                <c:pt idx="477">
                  <c:v>78.958299999999994</c:v>
                </c:pt>
                <c:pt idx="478">
                  <c:v>79.374099999999999</c:v>
                </c:pt>
                <c:pt idx="479">
                  <c:v>79.3048</c:v>
                </c:pt>
                <c:pt idx="480">
                  <c:v>78.641000000000005</c:v>
                </c:pt>
                <c:pt idx="481">
                  <c:v>78.108800000000002</c:v>
                </c:pt>
                <c:pt idx="482">
                  <c:v>77.811300000000003</c:v>
                </c:pt>
                <c:pt idx="483">
                  <c:v>77.341899999999995</c:v>
                </c:pt>
                <c:pt idx="484">
                  <c:v>76.961299999999994</c:v>
                </c:pt>
                <c:pt idx="485">
                  <c:v>76.722800000000007</c:v>
                </c:pt>
                <c:pt idx="486">
                  <c:v>77.223699999999994</c:v>
                </c:pt>
                <c:pt idx="487">
                  <c:v>77.052099999999996</c:v>
                </c:pt>
                <c:pt idx="488">
                  <c:v>76.851900000000001</c:v>
                </c:pt>
                <c:pt idx="489">
                  <c:v>76.511200000000002</c:v>
                </c:pt>
                <c:pt idx="490">
                  <c:v>75.930300000000003</c:v>
                </c:pt>
                <c:pt idx="491">
                  <c:v>75.533900000000003</c:v>
                </c:pt>
                <c:pt idx="492">
                  <c:v>75.9559</c:v>
                </c:pt>
                <c:pt idx="493">
                  <c:v>75.559299999999993</c:v>
                </c:pt>
                <c:pt idx="494">
                  <c:v>74.972700000000003</c:v>
                </c:pt>
                <c:pt idx="495">
                  <c:v>75.186599999999999</c:v>
                </c:pt>
                <c:pt idx="496">
                  <c:v>74.995400000000004</c:v>
                </c:pt>
                <c:pt idx="497">
                  <c:v>75.330100000000002</c:v>
                </c:pt>
                <c:pt idx="498">
                  <c:v>75.427199999999999</c:v>
                </c:pt>
                <c:pt idx="499">
                  <c:v>75.318399999999997</c:v>
                </c:pt>
                <c:pt idx="500">
                  <c:v>75.215500000000006</c:v>
                </c:pt>
                <c:pt idx="501">
                  <c:v>75.258600000000001</c:v>
                </c:pt>
                <c:pt idx="502">
                  <c:v>74.930800000000005</c:v>
                </c:pt>
                <c:pt idx="503">
                  <c:v>75.388000000000005</c:v>
                </c:pt>
                <c:pt idx="504">
                  <c:v>75.262299999999996</c:v>
                </c:pt>
                <c:pt idx="505">
                  <c:v>75.0381</c:v>
                </c:pt>
                <c:pt idx="506">
                  <c:v>75.566500000000005</c:v>
                </c:pt>
                <c:pt idx="507">
                  <c:v>76.355900000000005</c:v>
                </c:pt>
                <c:pt idx="508">
                  <c:v>76.472099999999998</c:v>
                </c:pt>
                <c:pt idx="509">
                  <c:v>76.668499999999995</c:v>
                </c:pt>
                <c:pt idx="510">
                  <c:v>76.607900000000001</c:v>
                </c:pt>
                <c:pt idx="511">
                  <c:v>76.339200000000005</c:v>
                </c:pt>
                <c:pt idx="512">
                  <c:v>76.493700000000004</c:v>
                </c:pt>
                <c:pt idx="513">
                  <c:v>77.540199999999999</c:v>
                </c:pt>
                <c:pt idx="514">
                  <c:v>77.762699999999995</c:v>
                </c:pt>
                <c:pt idx="515">
                  <c:v>77.961699999999993</c:v>
                </c:pt>
                <c:pt idx="516">
                  <c:v>77.996600000000001</c:v>
                </c:pt>
                <c:pt idx="517">
                  <c:v>78.330399999999997</c:v>
                </c:pt>
                <c:pt idx="518">
                  <c:v>78.814999999999998</c:v>
                </c:pt>
                <c:pt idx="519">
                  <c:v>79.739099999999993</c:v>
                </c:pt>
                <c:pt idx="520">
                  <c:v>79.018100000000004</c:v>
                </c:pt>
                <c:pt idx="521">
                  <c:v>79.622399999999999</c:v>
                </c:pt>
                <c:pt idx="522">
                  <c:v>79.773200000000003</c:v>
                </c:pt>
                <c:pt idx="523">
                  <c:v>80.307299999999998</c:v>
                </c:pt>
                <c:pt idx="524">
                  <c:v>80.2637</c:v>
                </c:pt>
                <c:pt idx="525">
                  <c:v>80.1297</c:v>
                </c:pt>
                <c:pt idx="526">
                  <c:v>80.012100000000004</c:v>
                </c:pt>
                <c:pt idx="527">
                  <c:v>79.884600000000006</c:v>
                </c:pt>
                <c:pt idx="528">
                  <c:v>79.359300000000005</c:v>
                </c:pt>
                <c:pt idx="529">
                  <c:v>78.945300000000003</c:v>
                </c:pt>
                <c:pt idx="530">
                  <c:v>78.940100000000001</c:v>
                </c:pt>
                <c:pt idx="531">
                  <c:v>78.468500000000006</c:v>
                </c:pt>
                <c:pt idx="532">
                  <c:v>78.537899999999993</c:v>
                </c:pt>
                <c:pt idx="533">
                  <c:v>78.469399999999993</c:v>
                </c:pt>
                <c:pt idx="534">
                  <c:v>78.085499999999996</c:v>
                </c:pt>
                <c:pt idx="535">
                  <c:v>78.538200000000003</c:v>
                </c:pt>
                <c:pt idx="536">
                  <c:v>78.2029</c:v>
                </c:pt>
                <c:pt idx="537">
                  <c:v>77.513800000000003</c:v>
                </c:pt>
                <c:pt idx="538">
                  <c:v>77.687899999999999</c:v>
                </c:pt>
                <c:pt idx="539">
                  <c:v>77.373999999999995</c:v>
                </c:pt>
                <c:pt idx="540">
                  <c:v>76.976900000000001</c:v>
                </c:pt>
                <c:pt idx="541">
                  <c:v>77.252600000000001</c:v>
                </c:pt>
                <c:pt idx="542">
                  <c:v>74.332999999999998</c:v>
                </c:pt>
                <c:pt idx="543">
                  <c:v>64.529799999999994</c:v>
                </c:pt>
                <c:pt idx="544">
                  <c:v>65.599199999999996</c:v>
                </c:pt>
                <c:pt idx="545">
                  <c:v>69.7637</c:v>
                </c:pt>
                <c:pt idx="546">
                  <c:v>72.492800000000003</c:v>
                </c:pt>
                <c:pt idx="547">
                  <c:v>73.257000000000005</c:v>
                </c:pt>
                <c:pt idx="548">
                  <c:v>73.339500000000001</c:v>
                </c:pt>
                <c:pt idx="549">
                  <c:v>74.048199999999994</c:v>
                </c:pt>
                <c:pt idx="550">
                  <c:v>74.415599999999998</c:v>
                </c:pt>
                <c:pt idx="551">
                  <c:v>75.346599999999995</c:v>
                </c:pt>
                <c:pt idx="552">
                  <c:v>76.364999999999995</c:v>
                </c:pt>
                <c:pt idx="553">
                  <c:v>74.163399999999996</c:v>
                </c:pt>
                <c:pt idx="554">
                  <c:v>76.329899999999995</c:v>
                </c:pt>
                <c:pt idx="555">
                  <c:v>76.577600000000004</c:v>
                </c:pt>
                <c:pt idx="556">
                  <c:v>77.263499999999993</c:v>
                </c:pt>
                <c:pt idx="557">
                  <c:v>77.662199999999999</c:v>
                </c:pt>
                <c:pt idx="558">
                  <c:v>78.237300000000005</c:v>
                </c:pt>
                <c:pt idx="559">
                  <c:v>78.226200000000006</c:v>
                </c:pt>
                <c:pt idx="560">
                  <c:v>77.446899999999999</c:v>
                </c:pt>
                <c:pt idx="561">
                  <c:v>78.578400000000002</c:v>
                </c:pt>
                <c:pt idx="562">
                  <c:v>78.980800000000002</c:v>
                </c:pt>
                <c:pt idx="563">
                  <c:v>78.741600000000005</c:v>
                </c:pt>
                <c:pt idx="564">
                  <c:v>78.942099999999996</c:v>
                </c:pt>
                <c:pt idx="565">
                  <c:v>79.414500000000004</c:v>
                </c:pt>
                <c:pt idx="566">
                  <c:v>79.815399999999997</c:v>
                </c:pt>
                <c:pt idx="567">
                  <c:v>80.228399999999993</c:v>
                </c:pt>
                <c:pt idx="568">
                  <c:v>80.019800000000004</c:v>
                </c:pt>
                <c:pt idx="569">
                  <c:v>79.728099999999998</c:v>
                </c:pt>
                <c:pt idx="570">
                  <c:v>80.021299999999997</c:v>
                </c:pt>
                <c:pt idx="571">
                  <c:v>79.825299999999999</c:v>
                </c:pt>
                <c:pt idx="572">
                  <c:v>79.880799999999994</c:v>
                </c:pt>
                <c:pt idx="573">
                  <c:v>79.802099999999996</c:v>
                </c:pt>
                <c:pt idx="574">
                  <c:v>79.252499999999998</c:v>
                </c:pt>
                <c:pt idx="575">
                  <c:v>78.367400000000004</c:v>
                </c:pt>
                <c:pt idx="576">
                  <c:v>78.282799999999995</c:v>
                </c:pt>
              </c:numCache>
            </c:numRef>
          </c:val>
          <c:smooth val="0"/>
          <c:extLst>
            <c:ext xmlns:c16="http://schemas.microsoft.com/office/drawing/2014/chart" uri="{C3380CC4-5D6E-409C-BE32-E72D297353CC}">
              <c16:uniqueId val="{00000001-2F71-4DA1-B422-D83E12C09D3E}"/>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max val="44927"/>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Materials!$S$1</c:f>
          <c:strCache>
            <c:ptCount val="1"/>
            <c:pt idx="0">
              <c:v>Industrial Production: Materials</c:v>
            </c:pt>
          </c:strCache>
        </c:strRef>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Materials!$A$8:$A$623</c:f>
              <c:numCache>
                <c:formatCode>mmm\-yy</c:formatCode>
                <c:ptCount val="616"/>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pt idx="610">
                  <c:v>44896</c:v>
                </c:pt>
                <c:pt idx="611">
                  <c:v>44927</c:v>
                </c:pt>
              </c:numCache>
            </c:numRef>
          </c:cat>
          <c:val>
            <c:numRef>
              <c:f>Materials!$B$8:$B$623</c:f>
              <c:numCache>
                <c:formatCode>0.0</c:formatCode>
                <c:ptCount val="616"/>
                <c:pt idx="0">
                  <c:v>37.7376</c:v>
                </c:pt>
                <c:pt idx="1">
                  <c:v>38.1111</c:v>
                </c:pt>
                <c:pt idx="2">
                  <c:v>38.456899999999997</c:v>
                </c:pt>
                <c:pt idx="3">
                  <c:v>38.545099999999998</c:v>
                </c:pt>
                <c:pt idx="4">
                  <c:v>38.608600000000003</c:v>
                </c:pt>
                <c:pt idx="5">
                  <c:v>38.2971</c:v>
                </c:pt>
                <c:pt idx="6">
                  <c:v>38.906500000000001</c:v>
                </c:pt>
                <c:pt idx="7">
                  <c:v>39.295099999999998</c:v>
                </c:pt>
                <c:pt idx="8">
                  <c:v>39.68</c:v>
                </c:pt>
                <c:pt idx="9">
                  <c:v>40.264000000000003</c:v>
                </c:pt>
                <c:pt idx="10">
                  <c:v>40.906500000000001</c:v>
                </c:pt>
                <c:pt idx="11">
                  <c:v>41.278399999999998</c:v>
                </c:pt>
                <c:pt idx="12">
                  <c:v>41.895499999999998</c:v>
                </c:pt>
                <c:pt idx="13">
                  <c:v>41.7652</c:v>
                </c:pt>
                <c:pt idx="14">
                  <c:v>41.838299999999997</c:v>
                </c:pt>
                <c:pt idx="15">
                  <c:v>42.122900000000001</c:v>
                </c:pt>
                <c:pt idx="16">
                  <c:v>42.214199999999998</c:v>
                </c:pt>
                <c:pt idx="17">
                  <c:v>42.38</c:v>
                </c:pt>
                <c:pt idx="18">
                  <c:v>42.433599999999998</c:v>
                </c:pt>
                <c:pt idx="19">
                  <c:v>42.616399999999999</c:v>
                </c:pt>
                <c:pt idx="20">
                  <c:v>42.965699999999998</c:v>
                </c:pt>
                <c:pt idx="21">
                  <c:v>43.2241</c:v>
                </c:pt>
                <c:pt idx="22">
                  <c:v>43.3735</c:v>
                </c:pt>
                <c:pt idx="23">
                  <c:v>43.054200000000002</c:v>
                </c:pt>
                <c:pt idx="24">
                  <c:v>42.973199999999999</c:v>
                </c:pt>
                <c:pt idx="25">
                  <c:v>42.827199999999998</c:v>
                </c:pt>
                <c:pt idx="26">
                  <c:v>42.770800000000001</c:v>
                </c:pt>
                <c:pt idx="27">
                  <c:v>43.050600000000003</c:v>
                </c:pt>
                <c:pt idx="28">
                  <c:v>42.837800000000001</c:v>
                </c:pt>
                <c:pt idx="29">
                  <c:v>43.078600000000002</c:v>
                </c:pt>
                <c:pt idx="30">
                  <c:v>42.302700000000002</c:v>
                </c:pt>
                <c:pt idx="31">
                  <c:v>42.389200000000002</c:v>
                </c:pt>
                <c:pt idx="32">
                  <c:v>42.183799999999998</c:v>
                </c:pt>
                <c:pt idx="33">
                  <c:v>40.3917</c:v>
                </c:pt>
                <c:pt idx="34">
                  <c:v>38.797800000000002</c:v>
                </c:pt>
                <c:pt idx="35">
                  <c:v>38.473799999999997</c:v>
                </c:pt>
                <c:pt idx="36">
                  <c:v>37.549999999999997</c:v>
                </c:pt>
                <c:pt idx="37">
                  <c:v>37.014600000000002</c:v>
                </c:pt>
                <c:pt idx="38">
                  <c:v>36.811599999999999</c:v>
                </c:pt>
                <c:pt idx="39">
                  <c:v>36.5672</c:v>
                </c:pt>
                <c:pt idx="40">
                  <c:v>36.830300000000001</c:v>
                </c:pt>
                <c:pt idx="41">
                  <c:v>36.972000000000001</c:v>
                </c:pt>
                <c:pt idx="42">
                  <c:v>37.590800000000002</c:v>
                </c:pt>
                <c:pt idx="43">
                  <c:v>38.067900000000002</c:v>
                </c:pt>
                <c:pt idx="44">
                  <c:v>38.289299999999997</c:v>
                </c:pt>
                <c:pt idx="45">
                  <c:v>38.399500000000003</c:v>
                </c:pt>
                <c:pt idx="46">
                  <c:v>39.0092</c:v>
                </c:pt>
                <c:pt idx="47">
                  <c:v>39.604100000000003</c:v>
                </c:pt>
                <c:pt idx="48">
                  <c:v>40.178800000000003</c:v>
                </c:pt>
                <c:pt idx="49">
                  <c:v>40.341500000000003</c:v>
                </c:pt>
                <c:pt idx="50">
                  <c:v>40.6203</c:v>
                </c:pt>
                <c:pt idx="51">
                  <c:v>40.669600000000003</c:v>
                </c:pt>
                <c:pt idx="52">
                  <c:v>40.838200000000001</c:v>
                </c:pt>
                <c:pt idx="53">
                  <c:v>40.9375</c:v>
                </c:pt>
                <c:pt idx="54">
                  <c:v>41.369900000000001</c:v>
                </c:pt>
                <c:pt idx="55">
                  <c:v>41.463999999999999</c:v>
                </c:pt>
                <c:pt idx="56">
                  <c:v>41.225000000000001</c:v>
                </c:pt>
                <c:pt idx="57">
                  <c:v>41.795099999999998</c:v>
                </c:pt>
                <c:pt idx="58">
                  <c:v>42.252499999999998</c:v>
                </c:pt>
                <c:pt idx="59">
                  <c:v>41.857900000000001</c:v>
                </c:pt>
                <c:pt idx="60">
                  <c:v>42.482900000000001</c:v>
                </c:pt>
                <c:pt idx="61">
                  <c:v>43.3001</c:v>
                </c:pt>
                <c:pt idx="62">
                  <c:v>43.6646</c:v>
                </c:pt>
                <c:pt idx="63">
                  <c:v>44.021700000000003</c:v>
                </c:pt>
                <c:pt idx="64">
                  <c:v>44.206699999999998</c:v>
                </c:pt>
                <c:pt idx="65">
                  <c:v>44.195500000000003</c:v>
                </c:pt>
                <c:pt idx="66">
                  <c:v>44.130200000000002</c:v>
                </c:pt>
                <c:pt idx="67">
                  <c:v>44.408499999999997</c:v>
                </c:pt>
                <c:pt idx="68">
                  <c:v>44.567500000000003</c:v>
                </c:pt>
                <c:pt idx="69">
                  <c:v>44.668799999999997</c:v>
                </c:pt>
                <c:pt idx="70">
                  <c:v>44.313400000000001</c:v>
                </c:pt>
                <c:pt idx="71">
                  <c:v>43.898299999999999</c:v>
                </c:pt>
                <c:pt idx="72">
                  <c:v>43.822000000000003</c:v>
                </c:pt>
                <c:pt idx="73">
                  <c:v>44.4512</c:v>
                </c:pt>
                <c:pt idx="74">
                  <c:v>45.743499999999997</c:v>
                </c:pt>
                <c:pt idx="75">
                  <c:v>46.193399999999997</c:v>
                </c:pt>
                <c:pt idx="76">
                  <c:v>46.389899999999997</c:v>
                </c:pt>
                <c:pt idx="77">
                  <c:v>46.371000000000002</c:v>
                </c:pt>
                <c:pt idx="78">
                  <c:v>46.540399999999998</c:v>
                </c:pt>
                <c:pt idx="79">
                  <c:v>46.6023</c:v>
                </c:pt>
                <c:pt idx="80">
                  <c:v>47.054699999999997</c:v>
                </c:pt>
                <c:pt idx="81">
                  <c:v>47.456499999999998</c:v>
                </c:pt>
                <c:pt idx="82">
                  <c:v>47.654899999999998</c:v>
                </c:pt>
                <c:pt idx="83">
                  <c:v>47.086300000000001</c:v>
                </c:pt>
                <c:pt idx="84">
                  <c:v>47.4848</c:v>
                </c:pt>
                <c:pt idx="85">
                  <c:v>47.528399999999998</c:v>
                </c:pt>
                <c:pt idx="86">
                  <c:v>47.206499999999998</c:v>
                </c:pt>
                <c:pt idx="87">
                  <c:v>47.466099999999997</c:v>
                </c:pt>
                <c:pt idx="88">
                  <c:v>47.488300000000002</c:v>
                </c:pt>
                <c:pt idx="89">
                  <c:v>47.354399999999998</c:v>
                </c:pt>
                <c:pt idx="90">
                  <c:v>47.092100000000002</c:v>
                </c:pt>
                <c:pt idx="91">
                  <c:v>46.761299999999999</c:v>
                </c:pt>
                <c:pt idx="92">
                  <c:v>47.256999999999998</c:v>
                </c:pt>
                <c:pt idx="93">
                  <c:v>47.141300000000001</c:v>
                </c:pt>
                <c:pt idx="94">
                  <c:v>47.051299999999998</c:v>
                </c:pt>
                <c:pt idx="95">
                  <c:v>47.4223</c:v>
                </c:pt>
                <c:pt idx="96">
                  <c:v>47.33</c:v>
                </c:pt>
                <c:pt idx="97">
                  <c:v>47.256599999999999</c:v>
                </c:pt>
                <c:pt idx="98">
                  <c:v>46.121000000000002</c:v>
                </c:pt>
                <c:pt idx="99">
                  <c:v>44.761899999999997</c:v>
                </c:pt>
                <c:pt idx="100">
                  <c:v>43.993200000000002</c:v>
                </c:pt>
                <c:pt idx="101">
                  <c:v>43.314599999999999</c:v>
                </c:pt>
                <c:pt idx="102">
                  <c:v>43.457099999999997</c:v>
                </c:pt>
                <c:pt idx="103">
                  <c:v>44.3155</c:v>
                </c:pt>
                <c:pt idx="104">
                  <c:v>44.9529</c:v>
                </c:pt>
                <c:pt idx="105">
                  <c:v>45.955599999999997</c:v>
                </c:pt>
                <c:pt idx="106">
                  <c:v>46.430199999999999</c:v>
                </c:pt>
                <c:pt idx="107">
                  <c:v>45.876300000000001</c:v>
                </c:pt>
                <c:pt idx="108">
                  <c:v>45.759300000000003</c:v>
                </c:pt>
                <c:pt idx="109">
                  <c:v>46.039099999999998</c:v>
                </c:pt>
                <c:pt idx="110">
                  <c:v>45.443600000000004</c:v>
                </c:pt>
                <c:pt idx="111">
                  <c:v>45.665700000000001</c:v>
                </c:pt>
                <c:pt idx="112">
                  <c:v>46.313600000000001</c:v>
                </c:pt>
                <c:pt idx="113">
                  <c:v>46.583199999999998</c:v>
                </c:pt>
                <c:pt idx="114">
                  <c:v>46.520099999999999</c:v>
                </c:pt>
                <c:pt idx="115">
                  <c:v>46.151899999999998</c:v>
                </c:pt>
                <c:pt idx="116">
                  <c:v>45.513500000000001</c:v>
                </c:pt>
                <c:pt idx="117">
                  <c:v>44.709800000000001</c:v>
                </c:pt>
                <c:pt idx="118">
                  <c:v>44.124200000000002</c:v>
                </c:pt>
                <c:pt idx="119">
                  <c:v>43.374299999999998</c:v>
                </c:pt>
                <c:pt idx="120">
                  <c:v>43.856499999999997</c:v>
                </c:pt>
                <c:pt idx="121">
                  <c:v>43.5824</c:v>
                </c:pt>
                <c:pt idx="122">
                  <c:v>43.047499999999999</c:v>
                </c:pt>
                <c:pt idx="123">
                  <c:v>42.5379</c:v>
                </c:pt>
                <c:pt idx="124">
                  <c:v>42.424100000000003</c:v>
                </c:pt>
                <c:pt idx="125">
                  <c:v>42.108899999999998</c:v>
                </c:pt>
                <c:pt idx="126">
                  <c:v>41.692100000000003</c:v>
                </c:pt>
                <c:pt idx="127">
                  <c:v>41.487499999999997</c:v>
                </c:pt>
                <c:pt idx="128">
                  <c:v>40.994900000000001</c:v>
                </c:pt>
                <c:pt idx="129">
                  <c:v>40.835099999999997</c:v>
                </c:pt>
                <c:pt idx="130">
                  <c:v>40.470799999999997</c:v>
                </c:pt>
                <c:pt idx="131">
                  <c:v>41.3767</c:v>
                </c:pt>
                <c:pt idx="132">
                  <c:v>41.240400000000001</c:v>
                </c:pt>
                <c:pt idx="133">
                  <c:v>41.616199999999999</c:v>
                </c:pt>
                <c:pt idx="134">
                  <c:v>42.128999999999998</c:v>
                </c:pt>
                <c:pt idx="135">
                  <c:v>42.417700000000004</c:v>
                </c:pt>
                <c:pt idx="136">
                  <c:v>42.719499999999996</c:v>
                </c:pt>
                <c:pt idx="137">
                  <c:v>43.404200000000003</c:v>
                </c:pt>
                <c:pt idx="138">
                  <c:v>44.044499999999999</c:v>
                </c:pt>
                <c:pt idx="139">
                  <c:v>44.615499999999997</c:v>
                </c:pt>
                <c:pt idx="140">
                  <c:v>45.2027</c:v>
                </c:pt>
                <c:pt idx="141">
                  <c:v>45.448700000000002</c:v>
                </c:pt>
                <c:pt idx="142">
                  <c:v>45.639000000000003</c:v>
                </c:pt>
                <c:pt idx="143">
                  <c:v>46.5809</c:v>
                </c:pt>
                <c:pt idx="144">
                  <c:v>46.823</c:v>
                </c:pt>
                <c:pt idx="145">
                  <c:v>47.037500000000001</c:v>
                </c:pt>
                <c:pt idx="146">
                  <c:v>47.346699999999998</c:v>
                </c:pt>
                <c:pt idx="147">
                  <c:v>47.698999999999998</c:v>
                </c:pt>
                <c:pt idx="148">
                  <c:v>47.802300000000002</c:v>
                </c:pt>
                <c:pt idx="149">
                  <c:v>47.9437</c:v>
                </c:pt>
                <c:pt idx="150">
                  <c:v>47.919699999999999</c:v>
                </c:pt>
                <c:pt idx="151">
                  <c:v>47.664200000000001</c:v>
                </c:pt>
                <c:pt idx="152">
                  <c:v>47.278100000000002</c:v>
                </c:pt>
                <c:pt idx="153">
                  <c:v>47.432499999999997</c:v>
                </c:pt>
                <c:pt idx="154">
                  <c:v>47.2911</c:v>
                </c:pt>
                <c:pt idx="155">
                  <c:v>47.432400000000001</c:v>
                </c:pt>
                <c:pt idx="156">
                  <c:v>47.553800000000003</c:v>
                </c:pt>
                <c:pt idx="157">
                  <c:v>47.459099999999999</c:v>
                </c:pt>
                <c:pt idx="158">
                  <c:v>47.439</c:v>
                </c:pt>
                <c:pt idx="159">
                  <c:v>47.4801</c:v>
                </c:pt>
                <c:pt idx="160">
                  <c:v>47.336799999999997</c:v>
                </c:pt>
                <c:pt idx="161">
                  <c:v>47.055500000000002</c:v>
                </c:pt>
                <c:pt idx="162">
                  <c:v>47.124899999999997</c:v>
                </c:pt>
                <c:pt idx="163">
                  <c:v>47.3626</c:v>
                </c:pt>
                <c:pt idx="164">
                  <c:v>47.086399999999998</c:v>
                </c:pt>
                <c:pt idx="165">
                  <c:v>47.144399999999997</c:v>
                </c:pt>
                <c:pt idx="166">
                  <c:v>47.815199999999997</c:v>
                </c:pt>
                <c:pt idx="167">
                  <c:v>47.884999999999998</c:v>
                </c:pt>
                <c:pt idx="168">
                  <c:v>47.702199999999998</c:v>
                </c:pt>
                <c:pt idx="169">
                  <c:v>47.156399999999998</c:v>
                </c:pt>
                <c:pt idx="170">
                  <c:v>47.084800000000001</c:v>
                </c:pt>
                <c:pt idx="171">
                  <c:v>47.092799999999997</c:v>
                </c:pt>
                <c:pt idx="172">
                  <c:v>46.843000000000004</c:v>
                </c:pt>
                <c:pt idx="173">
                  <c:v>47.1706</c:v>
                </c:pt>
                <c:pt idx="174">
                  <c:v>46.974899999999998</c:v>
                </c:pt>
                <c:pt idx="175">
                  <c:v>47.156799999999997</c:v>
                </c:pt>
                <c:pt idx="176">
                  <c:v>47.431399999999996</c:v>
                </c:pt>
                <c:pt idx="177">
                  <c:v>47.631799999999998</c:v>
                </c:pt>
                <c:pt idx="178">
                  <c:v>48.039200000000001</c:v>
                </c:pt>
                <c:pt idx="179">
                  <c:v>47.943199999999997</c:v>
                </c:pt>
                <c:pt idx="180">
                  <c:v>48.537100000000002</c:v>
                </c:pt>
                <c:pt idx="181">
                  <c:v>48.598799999999997</c:v>
                </c:pt>
                <c:pt idx="182">
                  <c:v>49.075800000000001</c:v>
                </c:pt>
                <c:pt idx="183">
                  <c:v>49.283700000000003</c:v>
                </c:pt>
                <c:pt idx="184">
                  <c:v>49.654200000000003</c:v>
                </c:pt>
                <c:pt idx="185">
                  <c:v>49.982999999999997</c:v>
                </c:pt>
                <c:pt idx="186">
                  <c:v>50.365699999999997</c:v>
                </c:pt>
                <c:pt idx="187">
                  <c:v>50.573799999999999</c:v>
                </c:pt>
                <c:pt idx="188">
                  <c:v>51.217799999999997</c:v>
                </c:pt>
                <c:pt idx="189">
                  <c:v>51.695</c:v>
                </c:pt>
                <c:pt idx="190">
                  <c:v>51.999099999999999</c:v>
                </c:pt>
                <c:pt idx="191">
                  <c:v>51.816400000000002</c:v>
                </c:pt>
                <c:pt idx="192">
                  <c:v>52.065199999999997</c:v>
                </c:pt>
                <c:pt idx="193">
                  <c:v>52.240299999999998</c:v>
                </c:pt>
                <c:pt idx="194">
                  <c:v>52.569200000000002</c:v>
                </c:pt>
                <c:pt idx="195">
                  <c:v>52.547199999999997</c:v>
                </c:pt>
                <c:pt idx="196">
                  <c:v>52.775700000000001</c:v>
                </c:pt>
                <c:pt idx="197">
                  <c:v>52.843699999999998</c:v>
                </c:pt>
                <c:pt idx="198">
                  <c:v>53.127800000000001</c:v>
                </c:pt>
                <c:pt idx="199">
                  <c:v>52.8795</c:v>
                </c:pt>
                <c:pt idx="200">
                  <c:v>52.9998</c:v>
                </c:pt>
                <c:pt idx="201">
                  <c:v>53.174199999999999</c:v>
                </c:pt>
                <c:pt idx="202">
                  <c:v>53.428100000000001</c:v>
                </c:pt>
                <c:pt idx="203">
                  <c:v>53.578800000000001</c:v>
                </c:pt>
                <c:pt idx="204">
                  <c:v>53.207500000000003</c:v>
                </c:pt>
                <c:pt idx="205">
                  <c:v>53.418900000000001</c:v>
                </c:pt>
                <c:pt idx="206">
                  <c:v>53.305199999999999</c:v>
                </c:pt>
                <c:pt idx="207">
                  <c:v>53.155200000000001</c:v>
                </c:pt>
                <c:pt idx="208">
                  <c:v>52.916499999999999</c:v>
                </c:pt>
                <c:pt idx="209">
                  <c:v>52.7027</c:v>
                </c:pt>
                <c:pt idx="210">
                  <c:v>53.058900000000001</c:v>
                </c:pt>
                <c:pt idx="211">
                  <c:v>52.822699999999998</c:v>
                </c:pt>
                <c:pt idx="212">
                  <c:v>52.920999999999999</c:v>
                </c:pt>
                <c:pt idx="213">
                  <c:v>53.071300000000001</c:v>
                </c:pt>
                <c:pt idx="214">
                  <c:v>53.005899999999997</c:v>
                </c:pt>
                <c:pt idx="215">
                  <c:v>52.902700000000003</c:v>
                </c:pt>
                <c:pt idx="216">
                  <c:v>53.391100000000002</c:v>
                </c:pt>
                <c:pt idx="217">
                  <c:v>53.4818</c:v>
                </c:pt>
                <c:pt idx="218">
                  <c:v>53.5152</c:v>
                </c:pt>
                <c:pt idx="219">
                  <c:v>53.663800000000002</c:v>
                </c:pt>
                <c:pt idx="220">
                  <c:v>53.734400000000001</c:v>
                </c:pt>
                <c:pt idx="221">
                  <c:v>53.744599999999998</c:v>
                </c:pt>
                <c:pt idx="222">
                  <c:v>54.065100000000001</c:v>
                </c:pt>
                <c:pt idx="223">
                  <c:v>53.923299999999998</c:v>
                </c:pt>
                <c:pt idx="224">
                  <c:v>53.698</c:v>
                </c:pt>
                <c:pt idx="225">
                  <c:v>53.023299999999999</c:v>
                </c:pt>
                <c:pt idx="226">
                  <c:v>52.628700000000002</c:v>
                </c:pt>
                <c:pt idx="227">
                  <c:v>52.3521</c:v>
                </c:pt>
                <c:pt idx="228">
                  <c:v>52.062199999999997</c:v>
                </c:pt>
                <c:pt idx="229">
                  <c:v>51.639800000000001</c:v>
                </c:pt>
                <c:pt idx="230">
                  <c:v>51.911299999999997</c:v>
                </c:pt>
                <c:pt idx="231">
                  <c:v>52.401400000000002</c:v>
                </c:pt>
                <c:pt idx="232">
                  <c:v>52.688499999999998</c:v>
                </c:pt>
                <c:pt idx="233">
                  <c:v>53.122199999999999</c:v>
                </c:pt>
                <c:pt idx="234">
                  <c:v>53.088999999999999</c:v>
                </c:pt>
                <c:pt idx="235">
                  <c:v>53.363799999999998</c:v>
                </c:pt>
                <c:pt idx="236">
                  <c:v>53.477800000000002</c:v>
                </c:pt>
                <c:pt idx="237">
                  <c:v>53.242600000000003</c:v>
                </c:pt>
                <c:pt idx="238">
                  <c:v>53.218699999999998</c:v>
                </c:pt>
                <c:pt idx="239">
                  <c:v>53.184699999999999</c:v>
                </c:pt>
                <c:pt idx="240">
                  <c:v>53.412399999999998</c:v>
                </c:pt>
                <c:pt idx="241">
                  <c:v>53.840800000000002</c:v>
                </c:pt>
                <c:pt idx="242">
                  <c:v>54.262099999999997</c:v>
                </c:pt>
                <c:pt idx="243">
                  <c:v>54.281199999999998</c:v>
                </c:pt>
                <c:pt idx="244">
                  <c:v>54.514899999999997</c:v>
                </c:pt>
                <c:pt idx="245">
                  <c:v>54.928699999999999</c:v>
                </c:pt>
                <c:pt idx="246">
                  <c:v>54.316800000000001</c:v>
                </c:pt>
                <c:pt idx="247">
                  <c:v>54.745199999999997</c:v>
                </c:pt>
                <c:pt idx="248">
                  <c:v>55.050800000000002</c:v>
                </c:pt>
                <c:pt idx="249">
                  <c:v>55.355400000000003</c:v>
                </c:pt>
                <c:pt idx="250">
                  <c:v>55.316800000000001</c:v>
                </c:pt>
                <c:pt idx="251">
                  <c:v>55.540900000000001</c:v>
                </c:pt>
                <c:pt idx="252">
                  <c:v>55.944499999999998</c:v>
                </c:pt>
                <c:pt idx="253">
                  <c:v>55.770400000000002</c:v>
                </c:pt>
                <c:pt idx="254">
                  <c:v>55.999099999999999</c:v>
                </c:pt>
                <c:pt idx="255">
                  <c:v>55.778599999999997</c:v>
                </c:pt>
                <c:pt idx="256">
                  <c:v>56.095100000000002</c:v>
                </c:pt>
                <c:pt idx="257">
                  <c:v>56.044699999999999</c:v>
                </c:pt>
                <c:pt idx="258">
                  <c:v>56.117600000000003</c:v>
                </c:pt>
                <c:pt idx="259">
                  <c:v>56.314</c:v>
                </c:pt>
                <c:pt idx="260">
                  <c:v>56.757100000000001</c:v>
                </c:pt>
                <c:pt idx="261">
                  <c:v>57.186100000000003</c:v>
                </c:pt>
                <c:pt idx="262">
                  <c:v>57.595100000000002</c:v>
                </c:pt>
                <c:pt idx="263">
                  <c:v>57.681699999999999</c:v>
                </c:pt>
                <c:pt idx="264">
                  <c:v>57.902000000000001</c:v>
                </c:pt>
                <c:pt idx="265">
                  <c:v>58.499899999999997</c:v>
                </c:pt>
                <c:pt idx="266">
                  <c:v>58.946100000000001</c:v>
                </c:pt>
                <c:pt idx="267">
                  <c:v>59.319499999999998</c:v>
                </c:pt>
                <c:pt idx="268">
                  <c:v>59.761299999999999</c:v>
                </c:pt>
                <c:pt idx="269">
                  <c:v>59.958300000000001</c:v>
                </c:pt>
                <c:pt idx="270">
                  <c:v>60.368099999999998</c:v>
                </c:pt>
                <c:pt idx="271">
                  <c:v>60.692500000000003</c:v>
                </c:pt>
                <c:pt idx="272">
                  <c:v>61.0503</c:v>
                </c:pt>
                <c:pt idx="273">
                  <c:v>61.632199999999997</c:v>
                </c:pt>
                <c:pt idx="274">
                  <c:v>62.3932</c:v>
                </c:pt>
                <c:pt idx="275">
                  <c:v>62.577599999999997</c:v>
                </c:pt>
                <c:pt idx="276">
                  <c:v>62.4435</c:v>
                </c:pt>
                <c:pt idx="277">
                  <c:v>62.505200000000002</c:v>
                </c:pt>
                <c:pt idx="278">
                  <c:v>62.590499999999999</c:v>
                </c:pt>
                <c:pt idx="279">
                  <c:v>62.819299999999998</c:v>
                </c:pt>
                <c:pt idx="280">
                  <c:v>62.842100000000002</c:v>
                </c:pt>
                <c:pt idx="281">
                  <c:v>62.5702</c:v>
                </c:pt>
                <c:pt idx="282">
                  <c:v>63.314700000000002</c:v>
                </c:pt>
                <c:pt idx="283">
                  <c:v>63.576900000000002</c:v>
                </c:pt>
                <c:pt idx="284">
                  <c:v>63.718200000000003</c:v>
                </c:pt>
                <c:pt idx="285">
                  <c:v>63.871000000000002</c:v>
                </c:pt>
                <c:pt idx="286">
                  <c:v>64.114500000000007</c:v>
                </c:pt>
                <c:pt idx="287">
                  <c:v>64.107399999999998</c:v>
                </c:pt>
                <c:pt idx="288">
                  <c:v>64.886600000000001</c:v>
                </c:pt>
                <c:pt idx="289">
                  <c:v>64.831199999999995</c:v>
                </c:pt>
                <c:pt idx="290">
                  <c:v>65.463300000000004</c:v>
                </c:pt>
                <c:pt idx="291">
                  <c:v>66.031599999999997</c:v>
                </c:pt>
                <c:pt idx="292">
                  <c:v>66.509</c:v>
                </c:pt>
                <c:pt idx="293">
                  <c:v>66.481999999999999</c:v>
                </c:pt>
                <c:pt idx="294">
                  <c:v>67.082999999999998</c:v>
                </c:pt>
                <c:pt idx="295">
                  <c:v>67.352099999999993</c:v>
                </c:pt>
                <c:pt idx="296">
                  <c:v>67.5261</c:v>
                </c:pt>
                <c:pt idx="297">
                  <c:v>67.9726</c:v>
                </c:pt>
                <c:pt idx="298">
                  <c:v>68.454300000000003</c:v>
                </c:pt>
                <c:pt idx="299">
                  <c:v>68.711200000000005</c:v>
                </c:pt>
                <c:pt idx="300">
                  <c:v>69.666399999999996</c:v>
                </c:pt>
                <c:pt idx="301">
                  <c:v>69.956100000000006</c:v>
                </c:pt>
                <c:pt idx="302">
                  <c:v>70.265799999999999</c:v>
                </c:pt>
                <c:pt idx="303">
                  <c:v>70.518799999999999</c:v>
                </c:pt>
                <c:pt idx="304">
                  <c:v>70.953500000000005</c:v>
                </c:pt>
                <c:pt idx="305">
                  <c:v>71.588499999999996</c:v>
                </c:pt>
                <c:pt idx="306">
                  <c:v>72.319500000000005</c:v>
                </c:pt>
                <c:pt idx="307">
                  <c:v>73.106999999999999</c:v>
                </c:pt>
                <c:pt idx="308">
                  <c:v>73.361099999999993</c:v>
                </c:pt>
                <c:pt idx="309">
                  <c:v>74.172499999999999</c:v>
                </c:pt>
                <c:pt idx="310">
                  <c:v>74.698700000000002</c:v>
                </c:pt>
                <c:pt idx="311">
                  <c:v>74.917500000000004</c:v>
                </c:pt>
                <c:pt idx="312">
                  <c:v>74.998199999999997</c:v>
                </c:pt>
                <c:pt idx="313">
                  <c:v>74.927899999999994</c:v>
                </c:pt>
                <c:pt idx="314">
                  <c:v>75.118300000000005</c:v>
                </c:pt>
                <c:pt idx="315">
                  <c:v>75.649500000000003</c:v>
                </c:pt>
                <c:pt idx="316">
                  <c:v>75.0745</c:v>
                </c:pt>
                <c:pt idx="317">
                  <c:v>74.707599999999999</c:v>
                </c:pt>
                <c:pt idx="318">
                  <c:v>76.210400000000007</c:v>
                </c:pt>
                <c:pt idx="319">
                  <c:v>76.3673</c:v>
                </c:pt>
                <c:pt idx="320">
                  <c:v>77.032499999999999</c:v>
                </c:pt>
                <c:pt idx="321">
                  <c:v>77.150099999999995</c:v>
                </c:pt>
                <c:pt idx="322">
                  <c:v>77.780199999999994</c:v>
                </c:pt>
                <c:pt idx="323">
                  <c:v>77.974800000000002</c:v>
                </c:pt>
                <c:pt idx="324">
                  <c:v>78.534700000000001</c:v>
                </c:pt>
                <c:pt idx="325">
                  <c:v>79.070400000000006</c:v>
                </c:pt>
                <c:pt idx="326">
                  <c:v>79.430999999999997</c:v>
                </c:pt>
                <c:pt idx="327">
                  <c:v>79.820599999999999</c:v>
                </c:pt>
                <c:pt idx="328">
                  <c:v>80.269400000000005</c:v>
                </c:pt>
                <c:pt idx="329">
                  <c:v>81.244299999999996</c:v>
                </c:pt>
                <c:pt idx="330">
                  <c:v>81.256299999999996</c:v>
                </c:pt>
                <c:pt idx="331">
                  <c:v>81.036600000000007</c:v>
                </c:pt>
                <c:pt idx="332">
                  <c:v>82.019499999999994</c:v>
                </c:pt>
                <c:pt idx="333">
                  <c:v>82.897999999999996</c:v>
                </c:pt>
                <c:pt idx="334">
                  <c:v>83.422499999999999</c:v>
                </c:pt>
                <c:pt idx="335">
                  <c:v>83.616699999999994</c:v>
                </c:pt>
                <c:pt idx="336">
                  <c:v>83.767200000000003</c:v>
                </c:pt>
                <c:pt idx="337">
                  <c:v>84.263300000000001</c:v>
                </c:pt>
                <c:pt idx="338">
                  <c:v>84.588899999999995</c:v>
                </c:pt>
                <c:pt idx="339">
                  <c:v>84.988900000000001</c:v>
                </c:pt>
                <c:pt idx="340">
                  <c:v>85.092500000000001</c:v>
                </c:pt>
                <c:pt idx="341">
                  <c:v>84.702600000000004</c:v>
                </c:pt>
                <c:pt idx="342">
                  <c:v>84.738699999999994</c:v>
                </c:pt>
                <c:pt idx="343">
                  <c:v>84.912599999999998</c:v>
                </c:pt>
                <c:pt idx="344">
                  <c:v>84.807100000000005</c:v>
                </c:pt>
                <c:pt idx="345">
                  <c:v>84.62</c:v>
                </c:pt>
                <c:pt idx="346">
                  <c:v>84.084100000000007</c:v>
                </c:pt>
                <c:pt idx="347">
                  <c:v>83.301699999999997</c:v>
                </c:pt>
                <c:pt idx="348">
                  <c:v>82.897000000000006</c:v>
                </c:pt>
                <c:pt idx="349">
                  <c:v>82.613799999999998</c:v>
                </c:pt>
                <c:pt idx="350">
                  <c:v>82.410300000000007</c:v>
                </c:pt>
                <c:pt idx="351">
                  <c:v>81.851799999999997</c:v>
                </c:pt>
                <c:pt idx="352">
                  <c:v>81.096299999999999</c:v>
                </c:pt>
                <c:pt idx="353">
                  <c:v>80.449399999999997</c:v>
                </c:pt>
                <c:pt idx="354">
                  <c:v>80.750100000000003</c:v>
                </c:pt>
                <c:pt idx="355">
                  <c:v>80.415599999999998</c:v>
                </c:pt>
                <c:pt idx="356">
                  <c:v>80.035600000000002</c:v>
                </c:pt>
                <c:pt idx="357">
                  <c:v>79.450100000000006</c:v>
                </c:pt>
                <c:pt idx="358">
                  <c:v>79.239999999999995</c:v>
                </c:pt>
                <c:pt idx="359">
                  <c:v>80.111599999999996</c:v>
                </c:pt>
                <c:pt idx="360">
                  <c:v>80.529499999999999</c:v>
                </c:pt>
                <c:pt idx="361">
                  <c:v>81.1678</c:v>
                </c:pt>
                <c:pt idx="362">
                  <c:v>82.129199999999997</c:v>
                </c:pt>
                <c:pt idx="363">
                  <c:v>82.492000000000004</c:v>
                </c:pt>
                <c:pt idx="364">
                  <c:v>83.164699999999996</c:v>
                </c:pt>
                <c:pt idx="365">
                  <c:v>83.197500000000005</c:v>
                </c:pt>
                <c:pt idx="366">
                  <c:v>83.242599999999996</c:v>
                </c:pt>
                <c:pt idx="367">
                  <c:v>83.102800000000002</c:v>
                </c:pt>
                <c:pt idx="368">
                  <c:v>82.656499999999994</c:v>
                </c:pt>
                <c:pt idx="369">
                  <c:v>83.299599999999998</c:v>
                </c:pt>
                <c:pt idx="370">
                  <c:v>82.969800000000006</c:v>
                </c:pt>
                <c:pt idx="371">
                  <c:v>83.535399999999996</c:v>
                </c:pt>
                <c:pt idx="372">
                  <c:v>83.523200000000003</c:v>
                </c:pt>
                <c:pt idx="373">
                  <c:v>82.985100000000003</c:v>
                </c:pt>
                <c:pt idx="374">
                  <c:v>82.680499999999995</c:v>
                </c:pt>
                <c:pt idx="375">
                  <c:v>82.603999999999999</c:v>
                </c:pt>
                <c:pt idx="376">
                  <c:v>82.727699999999999</c:v>
                </c:pt>
                <c:pt idx="377">
                  <c:v>82.988</c:v>
                </c:pt>
                <c:pt idx="378">
                  <c:v>83.007000000000005</c:v>
                </c:pt>
                <c:pt idx="379">
                  <c:v>83.582099999999997</c:v>
                </c:pt>
                <c:pt idx="380">
                  <c:v>84.132199999999997</c:v>
                </c:pt>
                <c:pt idx="381">
                  <c:v>84.562399999999997</c:v>
                </c:pt>
                <c:pt idx="382">
                  <c:v>84.742599999999996</c:v>
                </c:pt>
                <c:pt idx="383">
                  <c:v>84.871700000000004</c:v>
                </c:pt>
                <c:pt idx="384">
                  <c:v>85.289900000000003</c:v>
                </c:pt>
                <c:pt idx="385">
                  <c:v>85.179199999999994</c:v>
                </c:pt>
                <c:pt idx="386">
                  <c:v>85.480800000000002</c:v>
                </c:pt>
                <c:pt idx="387">
                  <c:v>86.231700000000004</c:v>
                </c:pt>
                <c:pt idx="388">
                  <c:v>85.615899999999996</c:v>
                </c:pt>
                <c:pt idx="389">
                  <c:v>86.204099999999997</c:v>
                </c:pt>
                <c:pt idx="390">
                  <c:v>86.174599999999998</c:v>
                </c:pt>
                <c:pt idx="391">
                  <c:v>86.401799999999994</c:v>
                </c:pt>
                <c:pt idx="392">
                  <c:v>87.196700000000007</c:v>
                </c:pt>
                <c:pt idx="393">
                  <c:v>87.720200000000006</c:v>
                </c:pt>
                <c:pt idx="394">
                  <c:v>88.4405</c:v>
                </c:pt>
                <c:pt idx="395">
                  <c:v>88.406700000000001</c:v>
                </c:pt>
                <c:pt idx="396">
                  <c:v>89.089500000000001</c:v>
                </c:pt>
                <c:pt idx="397">
                  <c:v>89.112899999999996</c:v>
                </c:pt>
                <c:pt idx="398">
                  <c:v>88.929400000000001</c:v>
                </c:pt>
                <c:pt idx="399">
                  <c:v>88.735100000000003</c:v>
                </c:pt>
                <c:pt idx="400">
                  <c:v>89.037300000000002</c:v>
                </c:pt>
                <c:pt idx="401">
                  <c:v>88.75</c:v>
                </c:pt>
                <c:pt idx="402">
                  <c:v>88.784599999999998</c:v>
                </c:pt>
                <c:pt idx="403">
                  <c:v>85.328800000000001</c:v>
                </c:pt>
                <c:pt idx="404">
                  <c:v>86.392600000000002</c:v>
                </c:pt>
                <c:pt idx="405">
                  <c:v>88.18</c:v>
                </c:pt>
                <c:pt idx="406">
                  <c:v>88.861400000000003</c:v>
                </c:pt>
                <c:pt idx="407">
                  <c:v>89.238299999999995</c:v>
                </c:pt>
                <c:pt idx="408">
                  <c:v>89.574399999999997</c:v>
                </c:pt>
                <c:pt idx="409">
                  <c:v>89.571600000000004</c:v>
                </c:pt>
                <c:pt idx="410">
                  <c:v>89.741600000000005</c:v>
                </c:pt>
                <c:pt idx="411">
                  <c:v>89.933400000000006</c:v>
                </c:pt>
                <c:pt idx="412">
                  <c:v>90.176400000000001</c:v>
                </c:pt>
                <c:pt idx="413">
                  <c:v>90.302700000000002</c:v>
                </c:pt>
                <c:pt idx="414">
                  <c:v>90.567700000000002</c:v>
                </c:pt>
                <c:pt idx="415">
                  <c:v>90.382400000000004</c:v>
                </c:pt>
                <c:pt idx="416">
                  <c:v>90.215699999999998</c:v>
                </c:pt>
                <c:pt idx="417">
                  <c:v>89.990399999999994</c:v>
                </c:pt>
                <c:pt idx="418">
                  <c:v>90.936700000000002</c:v>
                </c:pt>
                <c:pt idx="419">
                  <c:v>90.875799999999998</c:v>
                </c:pt>
                <c:pt idx="420">
                  <c:v>91.824100000000001</c:v>
                </c:pt>
                <c:pt idx="421">
                  <c:v>92.1494</c:v>
                </c:pt>
                <c:pt idx="422">
                  <c:v>92.836100000000002</c:v>
                </c:pt>
                <c:pt idx="423">
                  <c:v>93.232500000000002</c:v>
                </c:pt>
                <c:pt idx="424">
                  <c:v>93.132199999999997</c:v>
                </c:pt>
                <c:pt idx="425">
                  <c:v>93.233900000000006</c:v>
                </c:pt>
                <c:pt idx="426">
                  <c:v>93.744399999999999</c:v>
                </c:pt>
                <c:pt idx="427">
                  <c:v>93.822100000000006</c:v>
                </c:pt>
                <c:pt idx="428">
                  <c:v>93.941299999999998</c:v>
                </c:pt>
                <c:pt idx="429">
                  <c:v>94.798100000000005</c:v>
                </c:pt>
                <c:pt idx="430">
                  <c:v>94.781999999999996</c:v>
                </c:pt>
                <c:pt idx="431">
                  <c:v>94.536100000000005</c:v>
                </c:pt>
                <c:pt idx="432">
                  <c:v>94.059799999999996</c:v>
                </c:pt>
                <c:pt idx="433">
                  <c:v>94.125200000000007</c:v>
                </c:pt>
                <c:pt idx="434">
                  <c:v>93.783199999999994</c:v>
                </c:pt>
                <c:pt idx="435">
                  <c:v>93.103200000000001</c:v>
                </c:pt>
                <c:pt idx="436">
                  <c:v>93.079899999999995</c:v>
                </c:pt>
                <c:pt idx="437">
                  <c:v>93.057900000000004</c:v>
                </c:pt>
                <c:pt idx="438">
                  <c:v>91.499200000000002</c:v>
                </c:pt>
                <c:pt idx="439">
                  <c:v>85.474400000000003</c:v>
                </c:pt>
                <c:pt idx="440">
                  <c:v>87.970399999999998</c:v>
                </c:pt>
                <c:pt idx="441">
                  <c:v>86.624799999999993</c:v>
                </c:pt>
                <c:pt idx="442">
                  <c:v>83.424300000000002</c:v>
                </c:pt>
                <c:pt idx="443">
                  <c:v>81.854399999999998</c:v>
                </c:pt>
                <c:pt idx="444">
                  <c:v>81.391000000000005</c:v>
                </c:pt>
                <c:pt idx="445">
                  <c:v>79.911100000000005</c:v>
                </c:pt>
                <c:pt idx="446">
                  <c:v>79.316500000000005</c:v>
                </c:pt>
                <c:pt idx="447">
                  <c:v>78.831800000000001</c:v>
                </c:pt>
                <c:pt idx="448">
                  <c:v>78.5959</c:v>
                </c:pt>
                <c:pt idx="449">
                  <c:v>79.721900000000005</c:v>
                </c:pt>
                <c:pt idx="450">
                  <c:v>80.8596</c:v>
                </c:pt>
                <c:pt idx="451">
                  <c:v>81.733400000000003</c:v>
                </c:pt>
                <c:pt idx="452">
                  <c:v>81.939099999999996</c:v>
                </c:pt>
                <c:pt idx="453">
                  <c:v>82.797799999999995</c:v>
                </c:pt>
                <c:pt idx="454">
                  <c:v>83.120699999999999</c:v>
                </c:pt>
                <c:pt idx="455">
                  <c:v>84.167199999999994</c:v>
                </c:pt>
                <c:pt idx="456">
                  <c:v>85.254199999999997</c:v>
                </c:pt>
                <c:pt idx="457">
                  <c:v>85.746600000000001</c:v>
                </c:pt>
                <c:pt idx="458">
                  <c:v>86.201999999999998</c:v>
                </c:pt>
                <c:pt idx="459">
                  <c:v>87.364000000000004</c:v>
                </c:pt>
                <c:pt idx="460">
                  <c:v>87.897400000000005</c:v>
                </c:pt>
                <c:pt idx="461">
                  <c:v>88.102000000000004</c:v>
                </c:pt>
                <c:pt idx="462">
                  <c:v>88.854200000000006</c:v>
                </c:pt>
                <c:pt idx="463">
                  <c:v>89.536500000000004</c:v>
                </c:pt>
                <c:pt idx="464">
                  <c:v>89.140100000000004</c:v>
                </c:pt>
                <c:pt idx="465">
                  <c:v>89.293099999999995</c:v>
                </c:pt>
                <c:pt idx="466">
                  <c:v>90.440600000000003</c:v>
                </c:pt>
                <c:pt idx="467">
                  <c:v>90.018600000000006</c:v>
                </c:pt>
                <c:pt idx="468">
                  <c:v>89.376000000000005</c:v>
                </c:pt>
                <c:pt idx="469">
                  <c:v>91.145899999999997</c:v>
                </c:pt>
                <c:pt idx="470">
                  <c:v>90.676599999999993</c:v>
                </c:pt>
                <c:pt idx="471">
                  <c:v>90.601200000000006</c:v>
                </c:pt>
                <c:pt idx="472">
                  <c:v>91.164299999999997</c:v>
                </c:pt>
                <c:pt idx="473">
                  <c:v>91.348299999999995</c:v>
                </c:pt>
                <c:pt idx="474">
                  <c:v>91.956999999999994</c:v>
                </c:pt>
                <c:pt idx="475">
                  <c:v>91.927700000000002</c:v>
                </c:pt>
                <c:pt idx="476">
                  <c:v>92.860500000000002</c:v>
                </c:pt>
                <c:pt idx="477">
                  <c:v>93.298199999999994</c:v>
                </c:pt>
                <c:pt idx="478">
                  <c:v>93.880200000000002</c:v>
                </c:pt>
                <c:pt idx="479">
                  <c:v>94.593400000000003</c:v>
                </c:pt>
                <c:pt idx="480">
                  <c:v>94.934200000000004</c:v>
                </c:pt>
                <c:pt idx="481">
                  <c:v>94.686099999999996</c:v>
                </c:pt>
                <c:pt idx="482">
                  <c:v>95.334199999999996</c:v>
                </c:pt>
                <c:pt idx="483">
                  <c:v>95.4178</c:v>
                </c:pt>
                <c:pt idx="484">
                  <c:v>95.331900000000005</c:v>
                </c:pt>
                <c:pt idx="485">
                  <c:v>95.9572</c:v>
                </c:pt>
                <c:pt idx="486">
                  <c:v>95.275099999999995</c:v>
                </c:pt>
                <c:pt idx="487">
                  <c:v>95.470500000000001</c:v>
                </c:pt>
                <c:pt idx="488">
                  <c:v>96.3352</c:v>
                </c:pt>
                <c:pt idx="489">
                  <c:v>96.5244</c:v>
                </c:pt>
                <c:pt idx="490">
                  <c:v>96.854399999999998</c:v>
                </c:pt>
                <c:pt idx="491">
                  <c:v>97.174000000000007</c:v>
                </c:pt>
                <c:pt idx="492">
                  <c:v>97.588899999999995</c:v>
                </c:pt>
                <c:pt idx="493">
                  <c:v>98.047899999999998</c:v>
                </c:pt>
                <c:pt idx="494">
                  <c:v>98.115899999999996</c:v>
                </c:pt>
                <c:pt idx="495">
                  <c:v>98.360500000000002</c:v>
                </c:pt>
                <c:pt idx="496">
                  <c:v>98.410799999999995</c:v>
                </c:pt>
                <c:pt idx="497">
                  <c:v>98.709800000000001</c:v>
                </c:pt>
                <c:pt idx="498">
                  <c:v>99.2089</c:v>
                </c:pt>
                <c:pt idx="499">
                  <c:v>99.913300000000007</c:v>
                </c:pt>
                <c:pt idx="500">
                  <c:v>99.612300000000005</c:v>
                </c:pt>
                <c:pt idx="501">
                  <c:v>100.2392</c:v>
                </c:pt>
                <c:pt idx="502">
                  <c:v>100.5127</c:v>
                </c:pt>
                <c:pt idx="503">
                  <c:v>100.7251</c:v>
                </c:pt>
                <c:pt idx="504">
                  <c:v>101.3057</c:v>
                </c:pt>
                <c:pt idx="505">
                  <c:v>102.4933</c:v>
                </c:pt>
                <c:pt idx="506">
                  <c:v>102.9408</c:v>
                </c:pt>
                <c:pt idx="507">
                  <c:v>103.5009</c:v>
                </c:pt>
                <c:pt idx="508">
                  <c:v>104.2487</c:v>
                </c:pt>
                <c:pt idx="509">
                  <c:v>104.38849999999999</c:v>
                </c:pt>
                <c:pt idx="510">
                  <c:v>104.52370000000001</c:v>
                </c:pt>
                <c:pt idx="511">
                  <c:v>104.9126</c:v>
                </c:pt>
                <c:pt idx="512">
                  <c:v>104.9255</c:v>
                </c:pt>
                <c:pt idx="513">
                  <c:v>104.9239</c:v>
                </c:pt>
                <c:pt idx="514">
                  <c:v>105.3522</c:v>
                </c:pt>
                <c:pt idx="515">
                  <c:v>104.0844</c:v>
                </c:pt>
                <c:pt idx="516">
                  <c:v>103.5711</c:v>
                </c:pt>
                <c:pt idx="517">
                  <c:v>102.65949999999999</c:v>
                </c:pt>
                <c:pt idx="518">
                  <c:v>102.2106</c:v>
                </c:pt>
                <c:pt idx="519">
                  <c:v>101.3927</c:v>
                </c:pt>
                <c:pt idx="520">
                  <c:v>100.9515</c:v>
                </c:pt>
                <c:pt idx="521">
                  <c:v>101.48260000000001</c:v>
                </c:pt>
                <c:pt idx="522">
                  <c:v>100.8981</c:v>
                </c:pt>
                <c:pt idx="523">
                  <c:v>100.87309999999999</c:v>
                </c:pt>
                <c:pt idx="524">
                  <c:v>100.1922</c:v>
                </c:pt>
                <c:pt idx="525">
                  <c:v>99.064599999999999</c:v>
                </c:pt>
                <c:pt idx="526">
                  <c:v>98.639899999999997</c:v>
                </c:pt>
                <c:pt idx="527">
                  <c:v>99.007199999999997</c:v>
                </c:pt>
                <c:pt idx="528">
                  <c:v>98.344200000000001</c:v>
                </c:pt>
                <c:pt idx="529">
                  <c:v>97.532399999999996</c:v>
                </c:pt>
                <c:pt idx="530">
                  <c:v>97.604100000000003</c:v>
                </c:pt>
                <c:pt idx="531">
                  <c:v>97.398200000000003</c:v>
                </c:pt>
                <c:pt idx="532">
                  <c:v>97.875600000000006</c:v>
                </c:pt>
                <c:pt idx="533">
                  <c:v>98.075400000000002</c:v>
                </c:pt>
                <c:pt idx="534">
                  <c:v>97.861099999999993</c:v>
                </c:pt>
                <c:pt idx="535">
                  <c:v>97.746600000000001</c:v>
                </c:pt>
                <c:pt idx="536">
                  <c:v>98.1066</c:v>
                </c:pt>
                <c:pt idx="537">
                  <c:v>97.789100000000005</c:v>
                </c:pt>
                <c:pt idx="538">
                  <c:v>98.060599999999994</c:v>
                </c:pt>
                <c:pt idx="539">
                  <c:v>98.341399999999993</c:v>
                </c:pt>
                <c:pt idx="540">
                  <c:v>98.446600000000004</c:v>
                </c:pt>
                <c:pt idx="541">
                  <c:v>99.2286</c:v>
                </c:pt>
                <c:pt idx="542">
                  <c:v>99.957800000000006</c:v>
                </c:pt>
                <c:pt idx="543">
                  <c:v>99.874200000000002</c:v>
                </c:pt>
                <c:pt idx="544">
                  <c:v>100.4996</c:v>
                </c:pt>
                <c:pt idx="545">
                  <c:v>100.31229999999999</c:v>
                </c:pt>
                <c:pt idx="546">
                  <c:v>99.482900000000001</c:v>
                </c:pt>
                <c:pt idx="547">
                  <c:v>99.282300000000006</c:v>
                </c:pt>
                <c:pt idx="548">
                  <c:v>101.10809999999999</c:v>
                </c:pt>
                <c:pt idx="549">
                  <c:v>101.6669</c:v>
                </c:pt>
                <c:pt idx="550">
                  <c:v>101.7993</c:v>
                </c:pt>
                <c:pt idx="551">
                  <c:v>101.5448</c:v>
                </c:pt>
                <c:pt idx="552">
                  <c:v>102.10129999999999</c:v>
                </c:pt>
                <c:pt idx="553">
                  <c:v>103.1035</c:v>
                </c:pt>
                <c:pt idx="554">
                  <c:v>103.9722</c:v>
                </c:pt>
                <c:pt idx="555">
                  <c:v>103.99290000000001</c:v>
                </c:pt>
                <c:pt idx="556">
                  <c:v>104.6938</c:v>
                </c:pt>
                <c:pt idx="557">
                  <c:v>105.2927</c:v>
                </c:pt>
                <c:pt idx="558">
                  <c:v>106.2011</c:v>
                </c:pt>
                <c:pt idx="559">
                  <c:v>106.2865</c:v>
                </c:pt>
                <c:pt idx="560">
                  <c:v>106.1691</c:v>
                </c:pt>
                <c:pt idx="561">
                  <c:v>106.4877</c:v>
                </c:pt>
                <c:pt idx="562">
                  <c:v>106.533</c:v>
                </c:pt>
                <c:pt idx="563">
                  <c:v>105.92489999999999</c:v>
                </c:pt>
                <c:pt idx="564">
                  <c:v>105.2959</c:v>
                </c:pt>
                <c:pt idx="565">
                  <c:v>105.2664</c:v>
                </c:pt>
                <c:pt idx="566">
                  <c:v>105.5086</c:v>
                </c:pt>
                <c:pt idx="567">
                  <c:v>105.55880000000001</c:v>
                </c:pt>
                <c:pt idx="568">
                  <c:v>105.1297</c:v>
                </c:pt>
                <c:pt idx="569">
                  <c:v>104.7409</c:v>
                </c:pt>
                <c:pt idx="570">
                  <c:v>105.74250000000001</c:v>
                </c:pt>
                <c:pt idx="571">
                  <c:v>105.845</c:v>
                </c:pt>
                <c:pt idx="572">
                  <c:v>104.5232</c:v>
                </c:pt>
                <c:pt idx="573">
                  <c:v>104.0826</c:v>
                </c:pt>
                <c:pt idx="574">
                  <c:v>103.75709999999999</c:v>
                </c:pt>
                <c:pt idx="575">
                  <c:v>103.26349999999999</c:v>
                </c:pt>
                <c:pt idx="576">
                  <c:v>103.32170000000001</c:v>
                </c:pt>
                <c:pt idx="577">
                  <c:v>100.7296</c:v>
                </c:pt>
                <c:pt idx="578">
                  <c:v>88.0274</c:v>
                </c:pt>
                <c:pt idx="579">
                  <c:v>86.647300000000001</c:v>
                </c:pt>
                <c:pt idx="580">
                  <c:v>91.2547</c:v>
                </c:pt>
                <c:pt idx="581">
                  <c:v>94.495900000000006</c:v>
                </c:pt>
                <c:pt idx="582">
                  <c:v>94.990700000000004</c:v>
                </c:pt>
                <c:pt idx="583">
                  <c:v>95.614900000000006</c:v>
                </c:pt>
                <c:pt idx="584">
                  <c:v>96.230999999999995</c:v>
                </c:pt>
                <c:pt idx="585">
                  <c:v>96.743399999999994</c:v>
                </c:pt>
                <c:pt idx="586">
                  <c:v>97.560299999999998</c:v>
                </c:pt>
                <c:pt idx="587">
                  <c:v>98.480199999999996</c:v>
                </c:pt>
                <c:pt idx="588">
                  <c:v>94.286000000000001</c:v>
                </c:pt>
                <c:pt idx="589">
                  <c:v>97.992500000000007</c:v>
                </c:pt>
                <c:pt idx="590">
                  <c:v>99.000799999999998</c:v>
                </c:pt>
                <c:pt idx="591">
                  <c:v>99.898300000000006</c:v>
                </c:pt>
                <c:pt idx="592">
                  <c:v>100.8711</c:v>
                </c:pt>
                <c:pt idx="593">
                  <c:v>101.0609</c:v>
                </c:pt>
                <c:pt idx="594">
                  <c:v>100.9286</c:v>
                </c:pt>
                <c:pt idx="595">
                  <c:v>99.402000000000001</c:v>
                </c:pt>
                <c:pt idx="596">
                  <c:v>101.6131</c:v>
                </c:pt>
                <c:pt idx="597">
                  <c:v>102.0746</c:v>
                </c:pt>
                <c:pt idx="598">
                  <c:v>101.8582</c:v>
                </c:pt>
                <c:pt idx="599">
                  <c:v>101.8282</c:v>
                </c:pt>
                <c:pt idx="600">
                  <c:v>102.3028</c:v>
                </c:pt>
                <c:pt idx="601">
                  <c:v>103.35550000000001</c:v>
                </c:pt>
                <c:pt idx="602">
                  <c:v>103.7079</c:v>
                </c:pt>
                <c:pt idx="603">
                  <c:v>104.0153</c:v>
                </c:pt>
                <c:pt idx="604">
                  <c:v>104.40860000000001</c:v>
                </c:pt>
                <c:pt idx="605">
                  <c:v>105.0326</c:v>
                </c:pt>
                <c:pt idx="606">
                  <c:v>104.6688</c:v>
                </c:pt>
                <c:pt idx="607">
                  <c:v>105.2407</c:v>
                </c:pt>
                <c:pt idx="608">
                  <c:v>104.76560000000001</c:v>
                </c:pt>
                <c:pt idx="609">
                  <c:v>104.11360000000001</c:v>
                </c:pt>
                <c:pt idx="610">
                  <c:v>102.88249999999999</c:v>
                </c:pt>
                <c:pt idx="611">
                  <c:v>102.9609</c:v>
                </c:pt>
              </c:numCache>
            </c:numRef>
          </c:val>
          <c:smooth val="0"/>
          <c:extLst>
            <c:ext xmlns:c16="http://schemas.microsoft.com/office/drawing/2014/chart" uri="{C3380CC4-5D6E-409C-BE32-E72D297353CC}">
              <c16:uniqueId val="{00000000-E7DB-4DDD-8656-92E2D90EA928}"/>
            </c:ext>
          </c:extLst>
        </c:ser>
        <c:dLbls>
          <c:showLegendKey val="0"/>
          <c:showVal val="0"/>
          <c:showCatName val="0"/>
          <c:showSerName val="0"/>
          <c:showPercent val="0"/>
          <c:showBubbleSize val="0"/>
        </c:dLbls>
        <c:smooth val="0"/>
        <c:axId val="494113096"/>
        <c:axId val="494113488"/>
      </c:lineChart>
      <c:dateAx>
        <c:axId val="494113096"/>
        <c:scaling>
          <c:orientation val="minMax"/>
          <c:max val="448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Materials!$U$2</c:f>
          <c:strCache>
            <c:ptCount val="1"/>
            <c:pt idx="0">
              <c:v>Industrial Production: Materials 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Materials!$U$2</c:f>
              <c:strCache>
                <c:ptCount val="1"/>
                <c:pt idx="0">
                  <c:v>Industrial Production: Materials yoy</c:v>
                </c:pt>
              </c:strCache>
            </c:strRef>
          </c:tx>
          <c:spPr>
            <a:solidFill>
              <a:srgbClr val="00B050"/>
            </a:solidFill>
            <a:ln>
              <a:noFill/>
              <a:prstDash val="solid"/>
            </a:ln>
          </c:spPr>
          <c:invertIfNegative val="1"/>
          <c:cat>
            <c:numRef>
              <c:f>Materials!$A$20:$A$624</c:f>
              <c:numCache>
                <c:formatCode>mmm\-yy</c:formatCode>
                <c:ptCount val="60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Materials!$D$20:$D$624</c:f>
              <c:numCache>
                <c:formatCode>0.0%</c:formatCode>
                <c:ptCount val="605"/>
                <c:pt idx="0">
                  <c:v>0.11017923768337144</c:v>
                </c:pt>
                <c:pt idx="1">
                  <c:v>9.5880202880525608E-2</c:v>
                </c:pt>
                <c:pt idx="2">
                  <c:v>8.7927003996681991E-2</c:v>
                </c:pt>
                <c:pt idx="3">
                  <c:v>9.2821136798192344E-2</c:v>
                </c:pt>
                <c:pt idx="4">
                  <c:v>9.3388519656242272E-2</c:v>
                </c:pt>
                <c:pt idx="5">
                  <c:v>0.10661120554820083</c:v>
                </c:pt>
                <c:pt idx="6">
                  <c:v>9.0655803014920308E-2</c:v>
                </c:pt>
                <c:pt idx="7">
                  <c:v>8.4521988746688537E-2</c:v>
                </c:pt>
                <c:pt idx="8">
                  <c:v>8.2804939516128995E-2</c:v>
                </c:pt>
                <c:pt idx="9">
                  <c:v>7.3517285912974295E-2</c:v>
                </c:pt>
                <c:pt idx="10">
                  <c:v>6.030826396782904E-2</c:v>
                </c:pt>
                <c:pt idx="11">
                  <c:v>4.3020078297608531E-2</c:v>
                </c:pt>
                <c:pt idx="12">
                  <c:v>2.5723526393049378E-2</c:v>
                </c:pt>
                <c:pt idx="13">
                  <c:v>2.5427868177334181E-2</c:v>
                </c:pt>
                <c:pt idx="14">
                  <c:v>2.2288190485751206E-2</c:v>
                </c:pt>
                <c:pt idx="15">
                  <c:v>2.2023649843671767E-2</c:v>
                </c:pt>
                <c:pt idx="16">
                  <c:v>1.4772280417489927E-2</c:v>
                </c:pt>
                <c:pt idx="17">
                  <c:v>1.6484190655969771E-2</c:v>
                </c:pt>
                <c:pt idx="18">
                  <c:v>-3.0848195769389566E-3</c:v>
                </c:pt>
                <c:pt idx="19">
                  <c:v>-5.3312809153282844E-3</c:v>
                </c:pt>
                <c:pt idx="20">
                  <c:v>-1.8198237198509517E-2</c:v>
                </c:pt>
                <c:pt idx="21">
                  <c:v>-6.5528258540952844E-2</c:v>
                </c:pt>
                <c:pt idx="22">
                  <c:v>-0.10549529090343177</c:v>
                </c:pt>
                <c:pt idx="23">
                  <c:v>-0.1063868333403014</c:v>
                </c:pt>
                <c:pt idx="24">
                  <c:v>-0.12619958485753915</c:v>
                </c:pt>
                <c:pt idx="25">
                  <c:v>-0.13572215788097275</c:v>
                </c:pt>
                <c:pt idx="26">
                  <c:v>-0.13932870088939189</c:v>
                </c:pt>
                <c:pt idx="27">
                  <c:v>-0.15059952706814778</c:v>
                </c:pt>
                <c:pt idx="28">
                  <c:v>-0.14023829421678985</c:v>
                </c:pt>
                <c:pt idx="29">
                  <c:v>-0.14175483882948842</c:v>
                </c:pt>
                <c:pt idx="30">
                  <c:v>-0.11138532528656563</c:v>
                </c:pt>
                <c:pt idx="31">
                  <c:v>-0.10194341955026281</c:v>
                </c:pt>
                <c:pt idx="32">
                  <c:v>-9.2322171070410936E-2</c:v>
                </c:pt>
                <c:pt idx="33">
                  <c:v>-4.9322014176179679E-2</c:v>
                </c:pt>
                <c:pt idx="34">
                  <c:v>5.4487625587017197E-3</c:v>
                </c:pt>
                <c:pt idx="35">
                  <c:v>2.9378434155191469E-2</c:v>
                </c:pt>
                <c:pt idx="36">
                  <c:v>7.000798934753677E-2</c:v>
                </c:pt>
                <c:pt idx="37">
                  <c:v>8.9880749758203565E-2</c:v>
                </c:pt>
                <c:pt idx="38">
                  <c:v>0.10346466874572151</c:v>
                </c:pt>
                <c:pt idx="39">
                  <c:v>0.11218797173423185</c:v>
                </c:pt>
                <c:pt idx="40">
                  <c:v>0.10882072641276339</c:v>
                </c:pt>
                <c:pt idx="41">
                  <c:v>0.10725684301633664</c:v>
                </c:pt>
                <c:pt idx="42">
                  <c:v>0.10053257711993359</c:v>
                </c:pt>
                <c:pt idx="43">
                  <c:v>8.921164550710696E-2</c:v>
                </c:pt>
                <c:pt idx="44">
                  <c:v>7.6671550537617678E-2</c:v>
                </c:pt>
                <c:pt idx="45">
                  <c:v>8.8428234742639736E-2</c:v>
                </c:pt>
                <c:pt idx="46">
                  <c:v>8.3141925494498684E-2</c:v>
                </c:pt>
                <c:pt idx="47">
                  <c:v>5.6908249398420825E-2</c:v>
                </c:pt>
                <c:pt idx="48">
                  <c:v>5.7346162652941304E-2</c:v>
                </c:pt>
                <c:pt idx="49">
                  <c:v>7.3338869402476276E-2</c:v>
                </c:pt>
                <c:pt idx="50">
                  <c:v>7.4945285977700796E-2</c:v>
                </c:pt>
                <c:pt idx="51">
                  <c:v>8.2422743277534072E-2</c:v>
                </c:pt>
                <c:pt idx="52">
                  <c:v>8.2484046799320185E-2</c:v>
                </c:pt>
                <c:pt idx="53">
                  <c:v>7.9584732824427545E-2</c:v>
                </c:pt>
                <c:pt idx="54">
                  <c:v>6.6722423791210531E-2</c:v>
                </c:pt>
                <c:pt idx="55">
                  <c:v>7.1013409222457982E-2</c:v>
                </c:pt>
                <c:pt idx="56">
                  <c:v>8.1079442086112827E-2</c:v>
                </c:pt>
                <c:pt idx="57">
                  <c:v>6.8756863842890661E-2</c:v>
                </c:pt>
                <c:pt idx="58">
                  <c:v>4.8775812082125412E-2</c:v>
                </c:pt>
                <c:pt idx="59">
                  <c:v>4.8745875927841534E-2</c:v>
                </c:pt>
                <c:pt idx="60">
                  <c:v>3.1520917828114413E-2</c:v>
                </c:pt>
                <c:pt idx="61">
                  <c:v>2.6584234216549145E-2</c:v>
                </c:pt>
                <c:pt idx="62">
                  <c:v>4.7610650275051125E-2</c:v>
                </c:pt>
                <c:pt idx="63">
                  <c:v>4.933248829554502E-2</c:v>
                </c:pt>
                <c:pt idx="64">
                  <c:v>4.9386179018112625E-2</c:v>
                </c:pt>
                <c:pt idx="65">
                  <c:v>4.9224468554490829E-2</c:v>
                </c:pt>
                <c:pt idx="66">
                  <c:v>5.4615660024201027E-2</c:v>
                </c:pt>
                <c:pt idx="67">
                  <c:v>4.9400452616053303E-2</c:v>
                </c:pt>
                <c:pt idx="68">
                  <c:v>5.5807483031356797E-2</c:v>
                </c:pt>
                <c:pt idx="69">
                  <c:v>6.2408213339064426E-2</c:v>
                </c:pt>
                <c:pt idx="70">
                  <c:v>7.5406084841154061E-2</c:v>
                </c:pt>
                <c:pt idx="71">
                  <c:v>7.2622402234255146E-2</c:v>
                </c:pt>
                <c:pt idx="72">
                  <c:v>8.3583588152069663E-2</c:v>
                </c:pt>
                <c:pt idx="73">
                  <c:v>6.9226477575408493E-2</c:v>
                </c:pt>
                <c:pt idx="74">
                  <c:v>3.1982686064686808E-2</c:v>
                </c:pt>
                <c:pt idx="75">
                  <c:v>2.7551554984045351E-2</c:v>
                </c:pt>
                <c:pt idx="76">
                  <c:v>2.3677567746427677E-2</c:v>
                </c:pt>
                <c:pt idx="77">
                  <c:v>2.1207220029759895E-2</c:v>
                </c:pt>
                <c:pt idx="78">
                  <c:v>1.1854216981375405E-2</c:v>
                </c:pt>
                <c:pt idx="79">
                  <c:v>3.4118487714125466E-3</c:v>
                </c:pt>
                <c:pt idx="80">
                  <c:v>4.2992517219321569E-3</c:v>
                </c:pt>
                <c:pt idx="81">
                  <c:v>-6.6418720301749451E-3</c:v>
                </c:pt>
                <c:pt idx="82">
                  <c:v>-1.2666063720624746E-2</c:v>
                </c:pt>
                <c:pt idx="83">
                  <c:v>7.1358335651771007E-3</c:v>
                </c:pt>
                <c:pt idx="84">
                  <c:v>-3.2599905654020151E-3</c:v>
                </c:pt>
                <c:pt idx="85">
                  <c:v>-5.718686090842506E-3</c:v>
                </c:pt>
                <c:pt idx="86">
                  <c:v>-2.2994714710897781E-2</c:v>
                </c:pt>
                <c:pt idx="87">
                  <c:v>-5.6971185751515302E-2</c:v>
                </c:pt>
                <c:pt idx="88">
                  <c:v>-7.3599181272018588E-2</c:v>
                </c:pt>
                <c:pt idx="89">
                  <c:v>-8.5309918402513812E-2</c:v>
                </c:pt>
                <c:pt idx="90">
                  <c:v>-7.718916760985399E-2</c:v>
                </c:pt>
                <c:pt idx="91">
                  <c:v>-5.2303935091624877E-2</c:v>
                </c:pt>
                <c:pt idx="92">
                  <c:v>-4.875679793469747E-2</c:v>
                </c:pt>
                <c:pt idx="93">
                  <c:v>-2.5152042900811054E-2</c:v>
                </c:pt>
                <c:pt idx="94">
                  <c:v>-1.3200485427607706E-2</c:v>
                </c:pt>
                <c:pt idx="95">
                  <c:v>-3.2600696296889844E-2</c:v>
                </c:pt>
                <c:pt idx="96">
                  <c:v>-3.318613986900476E-2</c:v>
                </c:pt>
                <c:pt idx="97">
                  <c:v>-2.5763597042529535E-2</c:v>
                </c:pt>
                <c:pt idx="98">
                  <c:v>-1.468745257041258E-2</c:v>
                </c:pt>
                <c:pt idx="99">
                  <c:v>2.0191278743753146E-2</c:v>
                </c:pt>
                <c:pt idx="100">
                  <c:v>5.2744515061418563E-2</c:v>
                </c:pt>
                <c:pt idx="101">
                  <c:v>7.546185350897848E-2</c:v>
                </c:pt>
                <c:pt idx="102">
                  <c:v>7.048330422416596E-2</c:v>
                </c:pt>
                <c:pt idx="103">
                  <c:v>4.1439225553135985E-2</c:v>
                </c:pt>
                <c:pt idx="104">
                  <c:v>1.2470830580452005E-2</c:v>
                </c:pt>
                <c:pt idx="105">
                  <c:v>-2.7108774556310781E-2</c:v>
                </c:pt>
                <c:pt idx="106">
                  <c:v>-4.9665950178978284E-2</c:v>
                </c:pt>
                <c:pt idx="107">
                  <c:v>-5.4537964046795458E-2</c:v>
                </c:pt>
                <c:pt idx="108">
                  <c:v>-4.1582803932752599E-2</c:v>
                </c:pt>
                <c:pt idx="109">
                  <c:v>-5.3361164749093665E-2</c:v>
                </c:pt>
                <c:pt idx="110">
                  <c:v>-5.2726896636710208E-2</c:v>
                </c:pt>
                <c:pt idx="111">
                  <c:v>-6.8493420663649093E-2</c:v>
                </c:pt>
                <c:pt idx="112">
                  <c:v>-8.3981810958336164E-2</c:v>
                </c:pt>
                <c:pt idx="113">
                  <c:v>-9.6049648800425894E-2</c:v>
                </c:pt>
                <c:pt idx="114">
                  <c:v>-0.10378309590908007</c:v>
                </c:pt>
                <c:pt idx="115">
                  <c:v>-0.1010662616273653</c:v>
                </c:pt>
                <c:pt idx="116">
                  <c:v>-9.9280433278038371E-2</c:v>
                </c:pt>
                <c:pt idx="117">
                  <c:v>-8.6663326608484137E-2</c:v>
                </c:pt>
                <c:pt idx="118">
                  <c:v>-8.2798101721957673E-2</c:v>
                </c:pt>
                <c:pt idx="119">
                  <c:v>-4.6054921923811991E-2</c:v>
                </c:pt>
                <c:pt idx="120">
                  <c:v>-5.9651362967860999E-2</c:v>
                </c:pt>
                <c:pt idx="121">
                  <c:v>-4.5114541649840315E-2</c:v>
                </c:pt>
                <c:pt idx="122">
                  <c:v>-2.1336895290086571E-2</c:v>
                </c:pt>
                <c:pt idx="123">
                  <c:v>-2.8257154208364064E-3</c:v>
                </c:pt>
                <c:pt idx="124">
                  <c:v>6.9630233758640409E-3</c:v>
                </c:pt>
                <c:pt idx="125">
                  <c:v>3.0760718042979147E-2</c:v>
                </c:pt>
                <c:pt idx="126">
                  <c:v>5.6423159303561003E-2</c:v>
                </c:pt>
                <c:pt idx="127">
                  <c:v>7.5396203675805976E-2</c:v>
                </c:pt>
                <c:pt idx="128">
                  <c:v>0.10264203596057067</c:v>
                </c:pt>
                <c:pt idx="129">
                  <c:v>0.11298123428129246</c:v>
                </c:pt>
                <c:pt idx="130">
                  <c:v>0.12770194807120211</c:v>
                </c:pt>
                <c:pt idx="131">
                  <c:v>0.12577610104237411</c:v>
                </c:pt>
                <c:pt idx="132">
                  <c:v>0.13536726122928</c:v>
                </c:pt>
                <c:pt idx="133">
                  <c:v>0.130268981790745</c:v>
                </c:pt>
                <c:pt idx="134">
                  <c:v>0.12385055425004156</c:v>
                </c:pt>
                <c:pt idx="135">
                  <c:v>0.12450698647027053</c:v>
                </c:pt>
                <c:pt idx="136">
                  <c:v>0.11898079331452864</c:v>
                </c:pt>
                <c:pt idx="137">
                  <c:v>0.10458665290455754</c:v>
                </c:pt>
                <c:pt idx="138">
                  <c:v>8.7983743713744039E-2</c:v>
                </c:pt>
                <c:pt idx="139">
                  <c:v>6.8332754311842381E-2</c:v>
                </c:pt>
                <c:pt idx="140">
                  <c:v>4.5913186601685342E-2</c:v>
                </c:pt>
                <c:pt idx="141">
                  <c:v>4.3649213288828835E-2</c:v>
                </c:pt>
                <c:pt idx="142">
                  <c:v>3.6199303227502734E-2</c:v>
                </c:pt>
                <c:pt idx="143">
                  <c:v>1.8280024645294563E-2</c:v>
                </c:pt>
                <c:pt idx="144">
                  <c:v>1.5607714157572179E-2</c:v>
                </c:pt>
                <c:pt idx="145">
                  <c:v>8.9630613871910271E-3</c:v>
                </c:pt>
                <c:pt idx="146">
                  <c:v>1.9494494864478751E-3</c:v>
                </c:pt>
                <c:pt idx="147">
                  <c:v>-4.5891947420280904E-3</c:v>
                </c:pt>
                <c:pt idx="148">
                  <c:v>-9.7380251577854158E-3</c:v>
                </c:pt>
                <c:pt idx="149">
                  <c:v>-1.8525895998848602E-2</c:v>
                </c:pt>
                <c:pt idx="150">
                  <c:v>-1.6586080463775903E-2</c:v>
                </c:pt>
                <c:pt idx="151">
                  <c:v>-6.3276001695192728E-3</c:v>
                </c:pt>
                <c:pt idx="152">
                  <c:v>-4.0547314718655022E-3</c:v>
                </c:pt>
                <c:pt idx="153">
                  <c:v>-6.0738944816317933E-3</c:v>
                </c:pt>
                <c:pt idx="154">
                  <c:v>1.1082423542696134E-2</c:v>
                </c:pt>
                <c:pt idx="155">
                  <c:v>9.5420008264392436E-3</c:v>
                </c:pt>
                <c:pt idx="156">
                  <c:v>3.1206759501868453E-3</c:v>
                </c:pt>
                <c:pt idx="157">
                  <c:v>-6.3781234789534891E-3</c:v>
                </c:pt>
                <c:pt idx="158">
                  <c:v>-7.4664305740002688E-3</c:v>
                </c:pt>
                <c:pt idx="159">
                  <c:v>-8.1571016067784885E-3</c:v>
                </c:pt>
                <c:pt idx="160">
                  <c:v>-1.0431630359466487E-2</c:v>
                </c:pt>
                <c:pt idx="161">
                  <c:v>2.4460477521224553E-3</c:v>
                </c:pt>
                <c:pt idx="162">
                  <c:v>-3.1830306271206643E-3</c:v>
                </c:pt>
                <c:pt idx="163">
                  <c:v>-4.3452006435458256E-3</c:v>
                </c:pt>
                <c:pt idx="164">
                  <c:v>7.3269564035474974E-3</c:v>
                </c:pt>
                <c:pt idx="165">
                  <c:v>1.033844952953057E-2</c:v>
                </c:pt>
                <c:pt idx="166">
                  <c:v>4.6847027723402549E-3</c:v>
                </c:pt>
                <c:pt idx="167">
                  <c:v>1.2154119244022004E-3</c:v>
                </c:pt>
                <c:pt idx="168">
                  <c:v>1.7502337418400089E-2</c:v>
                </c:pt>
                <c:pt idx="169">
                  <c:v>3.0587576659795897E-2</c:v>
                </c:pt>
                <c:pt idx="170">
                  <c:v>4.2285408454533088E-2</c:v>
                </c:pt>
                <c:pt idx="171">
                  <c:v>4.6523035368464104E-2</c:v>
                </c:pt>
                <c:pt idx="172">
                  <c:v>6.0013235702239383E-2</c:v>
                </c:pt>
                <c:pt idx="173">
                  <c:v>5.9621883122114125E-2</c:v>
                </c:pt>
                <c:pt idx="174">
                  <c:v>7.2183229767386392E-2</c:v>
                </c:pt>
                <c:pt idx="175">
                  <c:v>7.2460387473280666E-2</c:v>
                </c:pt>
                <c:pt idx="176">
                  <c:v>7.9828974055161789E-2</c:v>
                </c:pt>
                <c:pt idx="177">
                  <c:v>8.5304355493598855E-2</c:v>
                </c:pt>
                <c:pt idx="178">
                  <c:v>8.2430598344685121E-2</c:v>
                </c:pt>
                <c:pt idx="179">
                  <c:v>8.0787264930167454E-2</c:v>
                </c:pt>
                <c:pt idx="180">
                  <c:v>7.2688726767771356E-2</c:v>
                </c:pt>
                <c:pt idx="181">
                  <c:v>7.4929833658444259E-2</c:v>
                </c:pt>
                <c:pt idx="182">
                  <c:v>7.118376063151291E-2</c:v>
                </c:pt>
                <c:pt idx="183">
                  <c:v>6.621864835635298E-2</c:v>
                </c:pt>
                <c:pt idx="184">
                  <c:v>6.2864772768466665E-2</c:v>
                </c:pt>
                <c:pt idx="185">
                  <c:v>5.7233459376187935E-2</c:v>
                </c:pt>
                <c:pt idx="186">
                  <c:v>5.4840893703453027E-2</c:v>
                </c:pt>
                <c:pt idx="187">
                  <c:v>4.5590799979436027E-2</c:v>
                </c:pt>
                <c:pt idx="188">
                  <c:v>3.4792591638063398E-2</c:v>
                </c:pt>
                <c:pt idx="189">
                  <c:v>2.861398587871165E-2</c:v>
                </c:pt>
                <c:pt idx="190">
                  <c:v>2.7481244867699674E-2</c:v>
                </c:pt>
                <c:pt idx="191">
                  <c:v>3.4012397619286545E-2</c:v>
                </c:pt>
                <c:pt idx="192">
                  <c:v>2.1939798560266857E-2</c:v>
                </c:pt>
                <c:pt idx="193">
                  <c:v>2.2561126180362729E-2</c:v>
                </c:pt>
                <c:pt idx="194">
                  <c:v>1.4000593503420198E-2</c:v>
                </c:pt>
                <c:pt idx="195">
                  <c:v>1.1570549905608751E-2</c:v>
                </c:pt>
                <c:pt idx="196">
                  <c:v>2.6678945044783624E-3</c:v>
                </c:pt>
                <c:pt idx="197">
                  <c:v>-2.6682461674712075E-3</c:v>
                </c:pt>
                <c:pt idx="198">
                  <c:v>-1.2968728236441053E-3</c:v>
                </c:pt>
                <c:pt idx="199">
                  <c:v>-1.0741402622945115E-3</c:v>
                </c:pt>
                <c:pt idx="200">
                  <c:v>-1.486798063388939E-3</c:v>
                </c:pt>
                <c:pt idx="201">
                  <c:v>-1.9351490008311966E-3</c:v>
                </c:pt>
                <c:pt idx="202">
                  <c:v>-7.9022087628046606E-3</c:v>
                </c:pt>
                <c:pt idx="203">
                  <c:v>-1.2618796986867905E-2</c:v>
                </c:pt>
                <c:pt idx="204">
                  <c:v>3.4506413569515277E-3</c:v>
                </c:pt>
                <c:pt idx="205">
                  <c:v>1.1774858711055276E-3</c:v>
                </c:pt>
                <c:pt idx="206">
                  <c:v>3.9395781274622526E-3</c:v>
                </c:pt>
                <c:pt idx="207">
                  <c:v>9.568207814099115E-3</c:v>
                </c:pt>
                <c:pt idx="208">
                  <c:v>1.5456426634414627E-2</c:v>
                </c:pt>
                <c:pt idx="209">
                  <c:v>1.9769385629199231E-2</c:v>
                </c:pt>
                <c:pt idx="210">
                  <c:v>1.8963830761662977E-2</c:v>
                </c:pt>
                <c:pt idx="211">
                  <c:v>2.0835739180314526E-2</c:v>
                </c:pt>
                <c:pt idx="212">
                  <c:v>1.4682262239942576E-2</c:v>
                </c:pt>
                <c:pt idx="213">
                  <c:v>-9.0444364468181141E-4</c:v>
                </c:pt>
                <c:pt idx="214">
                  <c:v>-7.1161889525504689E-3</c:v>
                </c:pt>
                <c:pt idx="215">
                  <c:v>-1.0407786370071902E-2</c:v>
                </c:pt>
                <c:pt idx="216">
                  <c:v>-2.4889916109613858E-2</c:v>
                </c:pt>
                <c:pt idx="217">
                  <c:v>-3.4441623131607361E-2</c:v>
                </c:pt>
                <c:pt idx="218">
                  <c:v>-2.9970924148653148E-2</c:v>
                </c:pt>
                <c:pt idx="219">
                  <c:v>-2.3524237940660175E-2</c:v>
                </c:pt>
                <c:pt idx="220">
                  <c:v>-1.9464253811338792E-2</c:v>
                </c:pt>
                <c:pt idx="221">
                  <c:v>-1.1580698339926225E-2</c:v>
                </c:pt>
                <c:pt idx="222">
                  <c:v>-1.805416063227484E-2</c:v>
                </c:pt>
                <c:pt idx="223">
                  <c:v>-1.0375848659113961E-2</c:v>
                </c:pt>
                <c:pt idx="224">
                  <c:v>-4.1007113858988866E-3</c:v>
                </c:pt>
                <c:pt idx="225">
                  <c:v>4.1359176060336506E-3</c:v>
                </c:pt>
                <c:pt idx="226">
                  <c:v>1.1210613220543094E-2</c:v>
                </c:pt>
                <c:pt idx="227">
                  <c:v>1.5903851039404327E-2</c:v>
                </c:pt>
                <c:pt idx="228">
                  <c:v>2.5934363127182506E-2</c:v>
                </c:pt>
                <c:pt idx="229">
                  <c:v>4.2622163525033029E-2</c:v>
                </c:pt>
                <c:pt idx="230">
                  <c:v>4.5284937961484292E-2</c:v>
                </c:pt>
                <c:pt idx="231">
                  <c:v>3.5873087360261291E-2</c:v>
                </c:pt>
                <c:pt idx="232">
                  <c:v>3.46641107642085E-2</c:v>
                </c:pt>
                <c:pt idx="233">
                  <c:v>3.4006498224847609E-2</c:v>
                </c:pt>
                <c:pt idx="234">
                  <c:v>2.3127201491834504E-2</c:v>
                </c:pt>
                <c:pt idx="235">
                  <c:v>2.5886462358377764E-2</c:v>
                </c:pt>
                <c:pt idx="236">
                  <c:v>2.9414074625358565E-2</c:v>
                </c:pt>
                <c:pt idx="237">
                  <c:v>3.9682509869916192E-2</c:v>
                </c:pt>
                <c:pt idx="238">
                  <c:v>3.9424112201162417E-2</c:v>
                </c:pt>
                <c:pt idx="239">
                  <c:v>4.4302214734688761E-2</c:v>
                </c:pt>
                <c:pt idx="240">
                  <c:v>4.7406594723322669E-2</c:v>
                </c:pt>
                <c:pt idx="241">
                  <c:v>3.583899199120371E-2</c:v>
                </c:pt>
                <c:pt idx="242">
                  <c:v>3.201129333365281E-2</c:v>
                </c:pt>
                <c:pt idx="243">
                  <c:v>2.7585978202397866E-2</c:v>
                </c:pt>
                <c:pt idx="244">
                  <c:v>2.8986570643989167E-2</c:v>
                </c:pt>
                <c:pt idx="245">
                  <c:v>2.0317247631930116E-2</c:v>
                </c:pt>
                <c:pt idx="246">
                  <c:v>3.3153646753858887E-2</c:v>
                </c:pt>
                <c:pt idx="247">
                  <c:v>2.8656393619897327E-2</c:v>
                </c:pt>
                <c:pt idx="248">
                  <c:v>3.099500824692827E-2</c:v>
                </c:pt>
                <c:pt idx="249">
                  <c:v>3.3071750904157503E-2</c:v>
                </c:pt>
                <c:pt idx="250">
                  <c:v>4.118640268417554E-2</c:v>
                </c:pt>
                <c:pt idx="251">
                  <c:v>3.8544568057053426E-2</c:v>
                </c:pt>
                <c:pt idx="252">
                  <c:v>3.49900347665991E-2</c:v>
                </c:pt>
                <c:pt idx="253">
                  <c:v>4.8941732531952331E-2</c:v>
                </c:pt>
                <c:pt idx="254">
                  <c:v>5.2625845772521392E-2</c:v>
                </c:pt>
                <c:pt idx="255">
                  <c:v>6.3481335135697217E-2</c:v>
                </c:pt>
                <c:pt idx="256">
                  <c:v>6.5356867177346969E-2</c:v>
                </c:pt>
                <c:pt idx="257">
                  <c:v>6.9829975002096589E-2</c:v>
                </c:pt>
                <c:pt idx="258">
                  <c:v>7.5742725989707244E-2</c:v>
                </c:pt>
                <c:pt idx="259">
                  <c:v>7.7751536030116891E-2</c:v>
                </c:pt>
                <c:pt idx="260">
                  <c:v>7.5641637786285743E-2</c:v>
                </c:pt>
                <c:pt idx="261">
                  <c:v>7.7747914265879195E-2</c:v>
                </c:pt>
                <c:pt idx="262">
                  <c:v>8.3307434139362507E-2</c:v>
                </c:pt>
                <c:pt idx="263">
                  <c:v>8.4877872878226499E-2</c:v>
                </c:pt>
                <c:pt idx="264">
                  <c:v>7.8434250975786657E-2</c:v>
                </c:pt>
                <c:pt idx="265">
                  <c:v>6.8466783703903869E-2</c:v>
                </c:pt>
                <c:pt idx="266">
                  <c:v>6.1825973219602266E-2</c:v>
                </c:pt>
                <c:pt idx="267">
                  <c:v>5.8999148677922109E-2</c:v>
                </c:pt>
                <c:pt idx="268">
                  <c:v>5.1551756738892958E-2</c:v>
                </c:pt>
                <c:pt idx="269">
                  <c:v>4.3561942216507117E-2</c:v>
                </c:pt>
                <c:pt idx="270">
                  <c:v>4.8810547292361423E-2</c:v>
                </c:pt>
                <c:pt idx="271">
                  <c:v>4.7524817728714412E-2</c:v>
                </c:pt>
                <c:pt idx="272">
                  <c:v>4.3700030958078881E-2</c:v>
                </c:pt>
                <c:pt idx="273">
                  <c:v>3.6325167688318845E-2</c:v>
                </c:pt>
                <c:pt idx="274">
                  <c:v>2.7587942275760925E-2</c:v>
                </c:pt>
                <c:pt idx="275">
                  <c:v>2.4446447291043467E-2</c:v>
                </c:pt>
                <c:pt idx="276">
                  <c:v>3.9124968971950662E-2</c:v>
                </c:pt>
                <c:pt idx="277">
                  <c:v>3.7212903886396545E-2</c:v>
                </c:pt>
                <c:pt idx="278">
                  <c:v>4.5898339204831488E-2</c:v>
                </c:pt>
                <c:pt idx="279">
                  <c:v>5.1135558657928362E-2</c:v>
                </c:pt>
                <c:pt idx="280">
                  <c:v>5.8351009912144855E-2</c:v>
                </c:pt>
                <c:pt idx="281">
                  <c:v>6.2518579131919022E-2</c:v>
                </c:pt>
                <c:pt idx="282">
                  <c:v>5.9516984207458871E-2</c:v>
                </c:pt>
                <c:pt idx="283">
                  <c:v>5.9380057851200527E-2</c:v>
                </c:pt>
                <c:pt idx="284">
                  <c:v>5.976157518573965E-2</c:v>
                </c:pt>
                <c:pt idx="285">
                  <c:v>6.421693726417306E-2</c:v>
                </c:pt>
                <c:pt idx="286">
                  <c:v>6.7688276442926271E-2</c:v>
                </c:pt>
                <c:pt idx="287">
                  <c:v>7.1813862362223507E-2</c:v>
                </c:pt>
                <c:pt idx="288">
                  <c:v>7.3663899788245862E-2</c:v>
                </c:pt>
                <c:pt idx="289">
                  <c:v>7.9049901899085798E-2</c:v>
                </c:pt>
                <c:pt idx="290">
                  <c:v>7.3361715648309733E-2</c:v>
                </c:pt>
                <c:pt idx="291">
                  <c:v>6.7955342593546145E-2</c:v>
                </c:pt>
                <c:pt idx="292">
                  <c:v>6.6825542407794508E-2</c:v>
                </c:pt>
                <c:pt idx="293">
                  <c:v>7.6810264432477918E-2</c:v>
                </c:pt>
                <c:pt idx="294">
                  <c:v>7.8060015205044603E-2</c:v>
                </c:pt>
                <c:pt idx="295">
                  <c:v>8.5444997260664582E-2</c:v>
                </c:pt>
                <c:pt idx="296">
                  <c:v>8.6411032178668606E-2</c:v>
                </c:pt>
                <c:pt idx="297">
                  <c:v>9.1211752971050095E-2</c:v>
                </c:pt>
                <c:pt idx="298">
                  <c:v>9.1219981798075486E-2</c:v>
                </c:pt>
                <c:pt idx="299">
                  <c:v>9.0324430369430289E-2</c:v>
                </c:pt>
                <c:pt idx="300">
                  <c:v>7.6533307304525594E-2</c:v>
                </c:pt>
                <c:pt idx="301">
                  <c:v>7.1070285507625314E-2</c:v>
                </c:pt>
                <c:pt idx="302">
                  <c:v>6.9059200919935532E-2</c:v>
                </c:pt>
                <c:pt idx="303">
                  <c:v>7.2756484795543946E-2</c:v>
                </c:pt>
                <c:pt idx="304">
                  <c:v>5.8080292022239847E-2</c:v>
                </c:pt>
                <c:pt idx="305">
                  <c:v>4.3569847112315568E-2</c:v>
                </c:pt>
                <c:pt idx="306">
                  <c:v>5.3801533472991402E-2</c:v>
                </c:pt>
                <c:pt idx="307">
                  <c:v>4.4596276690330623E-2</c:v>
                </c:pt>
                <c:pt idx="308">
                  <c:v>5.0045596371919257E-2</c:v>
                </c:pt>
                <c:pt idx="309">
                  <c:v>4.0144258316761543E-2</c:v>
                </c:pt>
                <c:pt idx="310">
                  <c:v>4.1252391273208115E-2</c:v>
                </c:pt>
                <c:pt idx="311">
                  <c:v>4.0808889778756602E-2</c:v>
                </c:pt>
                <c:pt idx="312">
                  <c:v>4.7154465040494357E-2</c:v>
                </c:pt>
                <c:pt idx="313">
                  <c:v>5.5286482071431504E-2</c:v>
                </c:pt>
                <c:pt idx="314">
                  <c:v>5.7412108633981232E-2</c:v>
                </c:pt>
                <c:pt idx="315">
                  <c:v>5.5137178699132122E-2</c:v>
                </c:pt>
                <c:pt idx="316">
                  <c:v>6.9196598045941082E-2</c:v>
                </c:pt>
                <c:pt idx="317">
                  <c:v>8.7497122113412776E-2</c:v>
                </c:pt>
                <c:pt idx="318">
                  <c:v>6.6210123552690819E-2</c:v>
                </c:pt>
                <c:pt idx="319">
                  <c:v>6.1142661846104375E-2</c:v>
                </c:pt>
                <c:pt idx="320">
                  <c:v>6.4738908902086709E-2</c:v>
                </c:pt>
                <c:pt idx="321">
                  <c:v>7.4502819827842112E-2</c:v>
                </c:pt>
                <c:pt idx="322">
                  <c:v>7.2541597990234102E-2</c:v>
                </c:pt>
                <c:pt idx="323">
                  <c:v>7.2355427650984586E-2</c:v>
                </c:pt>
                <c:pt idx="324">
                  <c:v>6.6626599452216689E-2</c:v>
                </c:pt>
                <c:pt idx="325">
                  <c:v>6.5674386369614854E-2</c:v>
                </c:pt>
                <c:pt idx="326">
                  <c:v>6.4935604486913143E-2</c:v>
                </c:pt>
                <c:pt idx="327">
                  <c:v>6.474894951929705E-2</c:v>
                </c:pt>
                <c:pt idx="328">
                  <c:v>6.0086409017633076E-2</c:v>
                </c:pt>
                <c:pt idx="329">
                  <c:v>4.2566678523908857E-2</c:v>
                </c:pt>
                <c:pt idx="330">
                  <c:v>4.2856984627653472E-2</c:v>
                </c:pt>
                <c:pt idx="331">
                  <c:v>4.7830239669482556E-2</c:v>
                </c:pt>
                <c:pt idx="332">
                  <c:v>3.3987039667396315E-2</c:v>
                </c:pt>
                <c:pt idx="333">
                  <c:v>2.0772515621607378E-2</c:v>
                </c:pt>
                <c:pt idx="334">
                  <c:v>7.9307141358746988E-3</c:v>
                </c:pt>
                <c:pt idx="335">
                  <c:v>-3.7671900469642755E-3</c:v>
                </c:pt>
                <c:pt idx="336">
                  <c:v>-1.0388314280529812E-2</c:v>
                </c:pt>
                <c:pt idx="337">
                  <c:v>-1.9575544750799024E-2</c:v>
                </c:pt>
                <c:pt idx="338">
                  <c:v>-2.5755152271751836E-2</c:v>
                </c:pt>
                <c:pt idx="339">
                  <c:v>-3.6911879080679992E-2</c:v>
                </c:pt>
                <c:pt idx="340">
                  <c:v>-4.6963010841143481E-2</c:v>
                </c:pt>
                <c:pt idx="341">
                  <c:v>-5.0213334655606873E-2</c:v>
                </c:pt>
                <c:pt idx="342">
                  <c:v>-4.7069402764026248E-2</c:v>
                </c:pt>
                <c:pt idx="343">
                  <c:v>-5.296033804170406E-2</c:v>
                </c:pt>
                <c:pt idx="344">
                  <c:v>-5.6262977981796372E-2</c:v>
                </c:pt>
                <c:pt idx="345">
                  <c:v>-6.1095485700779932E-2</c:v>
                </c:pt>
                <c:pt idx="346">
                  <c:v>-5.7610178380930653E-2</c:v>
                </c:pt>
                <c:pt idx="347">
                  <c:v>-3.8295737061788668E-2</c:v>
                </c:pt>
                <c:pt idx="348">
                  <c:v>-2.8559537739604651E-2</c:v>
                </c:pt>
                <c:pt idx="349">
                  <c:v>-1.7503129017185967E-2</c:v>
                </c:pt>
                <c:pt idx="350">
                  <c:v>-3.4109813943161136E-3</c:v>
                </c:pt>
                <c:pt idx="351">
                  <c:v>7.821452918567548E-3</c:v>
                </c:pt>
                <c:pt idx="352">
                  <c:v>2.5505479288204232E-2</c:v>
                </c:pt>
                <c:pt idx="353">
                  <c:v>3.4159359796344137E-2</c:v>
                </c:pt>
                <c:pt idx="354">
                  <c:v>3.0866834839832921E-2</c:v>
                </c:pt>
                <c:pt idx="355">
                  <c:v>3.3416401792687046E-2</c:v>
                </c:pt>
                <c:pt idx="356">
                  <c:v>3.2746677728410757E-2</c:v>
                </c:pt>
                <c:pt idx="357">
                  <c:v>4.845179552952094E-2</c:v>
                </c:pt>
                <c:pt idx="358">
                  <c:v>4.706966178697642E-2</c:v>
                </c:pt>
                <c:pt idx="359">
                  <c:v>4.2737880656484206E-2</c:v>
                </c:pt>
                <c:pt idx="360">
                  <c:v>3.717519666705995E-2</c:v>
                </c:pt>
                <c:pt idx="361">
                  <c:v>2.2389420435197246E-2</c:v>
                </c:pt>
                <c:pt idx="362">
                  <c:v>6.7125943026353323E-3</c:v>
                </c:pt>
                <c:pt idx="363">
                  <c:v>1.3577074140522082E-3</c:v>
                </c:pt>
                <c:pt idx="364">
                  <c:v>-5.2546332758970768E-3</c:v>
                </c:pt>
                <c:pt idx="365">
                  <c:v>-2.5181045103519406E-3</c:v>
                </c:pt>
                <c:pt idx="366">
                  <c:v>-2.8302816106175318E-3</c:v>
                </c:pt>
                <c:pt idx="367">
                  <c:v>5.7675553651621234E-3</c:v>
                </c:pt>
                <c:pt idx="368">
                  <c:v>1.7853405358320321E-2</c:v>
                </c:pt>
                <c:pt idx="369">
                  <c:v>1.5159736661400518E-2</c:v>
                </c:pt>
                <c:pt idx="370">
                  <c:v>2.1366810574449852E-2</c:v>
                </c:pt>
                <c:pt idx="371">
                  <c:v>1.5996810932850127E-2</c:v>
                </c:pt>
                <c:pt idx="372">
                  <c:v>2.115220681199954E-2</c:v>
                </c:pt>
                <c:pt idx="373">
                  <c:v>2.6439686160527512E-2</c:v>
                </c:pt>
                <c:pt idx="374">
                  <c:v>3.3868929191284612E-2</c:v>
                </c:pt>
                <c:pt idx="375">
                  <c:v>4.3916759478959913E-2</c:v>
                </c:pt>
                <c:pt idx="376">
                  <c:v>3.4912127376924507E-2</c:v>
                </c:pt>
                <c:pt idx="377">
                  <c:v>3.8753795729503028E-2</c:v>
                </c:pt>
                <c:pt idx="378">
                  <c:v>3.8160637054706147E-2</c:v>
                </c:pt>
                <c:pt idx="379">
                  <c:v>3.3735692211609873E-2</c:v>
                </c:pt>
                <c:pt idx="380">
                  <c:v>3.6424817133035976E-2</c:v>
                </c:pt>
                <c:pt idx="381">
                  <c:v>3.7342837951619266E-2</c:v>
                </c:pt>
                <c:pt idx="382">
                  <c:v>4.3636848527187085E-2</c:v>
                </c:pt>
                <c:pt idx="383">
                  <c:v>4.1651103960448493E-2</c:v>
                </c:pt>
                <c:pt idx="384">
                  <c:v>4.45492373657373E-2</c:v>
                </c:pt>
                <c:pt idx="385">
                  <c:v>4.618146214099219E-2</c:v>
                </c:pt>
                <c:pt idx="386">
                  <c:v>4.0343562531001104E-2</c:v>
                </c:pt>
                <c:pt idx="387">
                  <c:v>2.9031087175597825E-2</c:v>
                </c:pt>
                <c:pt idx="388">
                  <c:v>3.9962203282334303E-2</c:v>
                </c:pt>
                <c:pt idx="389">
                  <c:v>2.9533398063433216E-2</c:v>
                </c:pt>
                <c:pt idx="390">
                  <c:v>3.0287346851624486E-2</c:v>
                </c:pt>
                <c:pt idx="391">
                  <c:v>-1.2418722758090611E-2</c:v>
                </c:pt>
                <c:pt idx="392">
                  <c:v>-9.221679260797774E-3</c:v>
                </c:pt>
                <c:pt idx="393">
                  <c:v>5.2416661156723457E-3</c:v>
                </c:pt>
                <c:pt idx="394">
                  <c:v>4.7591318457042096E-3</c:v>
                </c:pt>
                <c:pt idx="395">
                  <c:v>9.406526880881139E-3</c:v>
                </c:pt>
                <c:pt idx="396">
                  <c:v>5.4428411877942527E-3</c:v>
                </c:pt>
                <c:pt idx="397">
                  <c:v>5.1474029012635375E-3</c:v>
                </c:pt>
                <c:pt idx="398">
                  <c:v>9.1330875953284773E-3</c:v>
                </c:pt>
                <c:pt idx="399">
                  <c:v>1.3504239021537173E-2</c:v>
                </c:pt>
                <c:pt idx="400">
                  <c:v>1.2793514628138982E-2</c:v>
                </c:pt>
                <c:pt idx="401">
                  <c:v>1.749521126760565E-2</c:v>
                </c:pt>
                <c:pt idx="402">
                  <c:v>2.008343789350861E-2</c:v>
                </c:pt>
                <c:pt idx="403">
                  <c:v>5.9225021329258151E-2</c:v>
                </c:pt>
                <c:pt idx="404">
                  <c:v>4.4252632748638152E-2</c:v>
                </c:pt>
                <c:pt idx="405">
                  <c:v>2.0530732592424439E-2</c:v>
                </c:pt>
                <c:pt idx="406">
                  <c:v>2.3354347331912377E-2</c:v>
                </c:pt>
                <c:pt idx="407">
                  <c:v>1.8349744448291853E-2</c:v>
                </c:pt>
                <c:pt idx="408">
                  <c:v>2.5115434767076356E-2</c:v>
                </c:pt>
                <c:pt idx="409">
                  <c:v>2.877921126785718E-2</c:v>
                </c:pt>
                <c:pt idx="410">
                  <c:v>3.4482335951219904E-2</c:v>
                </c:pt>
                <c:pt idx="411">
                  <c:v>3.6683812688055775E-2</c:v>
                </c:pt>
                <c:pt idx="412">
                  <c:v>3.2777977386544553E-2</c:v>
                </c:pt>
                <c:pt idx="413">
                  <c:v>3.2459716043927854E-2</c:v>
                </c:pt>
                <c:pt idx="414">
                  <c:v>3.5075418719918872E-2</c:v>
                </c:pt>
                <c:pt idx="415">
                  <c:v>3.8057188125121724E-2</c:v>
                </c:pt>
                <c:pt idx="416">
                  <c:v>4.1296581415429912E-2</c:v>
                </c:pt>
                <c:pt idx="417">
                  <c:v>5.3424587511556917E-2</c:v>
                </c:pt>
                <c:pt idx="418">
                  <c:v>4.2285457906433753E-2</c:v>
                </c:pt>
                <c:pt idx="419">
                  <c:v>4.0278049821844832E-2</c:v>
                </c:pt>
                <c:pt idx="420">
                  <c:v>2.4347638582899199E-2</c:v>
                </c:pt>
                <c:pt idx="421">
                  <c:v>2.144126820142081E-2</c:v>
                </c:pt>
                <c:pt idx="422">
                  <c:v>1.0201850357780991E-2</c:v>
                </c:pt>
                <c:pt idx="423">
                  <c:v>-1.3868554420400679E-3</c:v>
                </c:pt>
                <c:pt idx="424">
                  <c:v>-5.6156732043270165E-4</c:v>
                </c:pt>
                <c:pt idx="425">
                  <c:v>-1.8877253874395679E-3</c:v>
                </c:pt>
                <c:pt idx="426">
                  <c:v>-2.3950230627109426E-2</c:v>
                </c:pt>
                <c:pt idx="427">
                  <c:v>-8.8973706621361087E-2</c:v>
                </c:pt>
                <c:pt idx="428">
                  <c:v>-6.3559903897433823E-2</c:v>
                </c:pt>
                <c:pt idx="429">
                  <c:v>-8.6217972723082126E-2</c:v>
                </c:pt>
                <c:pt idx="430">
                  <c:v>-0.11982971450275363</c:v>
                </c:pt>
                <c:pt idx="431">
                  <c:v>-0.13414663816256442</c:v>
                </c:pt>
                <c:pt idx="432">
                  <c:v>-0.13468878309330862</c:v>
                </c:pt>
                <c:pt idx="433">
                  <c:v>-0.15101269373132808</c:v>
                </c:pt>
                <c:pt idx="434">
                  <c:v>-0.154256839178019</c:v>
                </c:pt>
                <c:pt idx="435">
                  <c:v>-0.15328581616958387</c:v>
                </c:pt>
                <c:pt idx="436">
                  <c:v>-0.15560824624865299</c:v>
                </c:pt>
                <c:pt idx="437">
                  <c:v>-0.14330862828411126</c:v>
                </c:pt>
                <c:pt idx="438">
                  <c:v>-0.11628079808348052</c:v>
                </c:pt>
                <c:pt idx="439">
                  <c:v>-4.3767490617073641E-2</c:v>
                </c:pt>
                <c:pt idx="440">
                  <c:v>-6.8560561279703197E-2</c:v>
                </c:pt>
                <c:pt idx="441">
                  <c:v>-4.4179034179588274E-2</c:v>
                </c:pt>
                <c:pt idx="442">
                  <c:v>-3.6392274193490742E-3</c:v>
                </c:pt>
                <c:pt idx="443">
                  <c:v>2.8255047987646307E-2</c:v>
                </c:pt>
                <c:pt idx="444">
                  <c:v>4.7464707400080991E-2</c:v>
                </c:pt>
                <c:pt idx="445">
                  <c:v>7.3024898918923595E-2</c:v>
                </c:pt>
                <c:pt idx="446">
                  <c:v>8.6810436668284571E-2</c:v>
                </c:pt>
                <c:pt idx="447">
                  <c:v>0.10823297197323926</c:v>
                </c:pt>
                <c:pt idx="448">
                  <c:v>0.11834586791422967</c:v>
                </c:pt>
                <c:pt idx="449">
                  <c:v>0.10511666179556682</c:v>
                </c:pt>
                <c:pt idx="450">
                  <c:v>9.8870140342025015E-2</c:v>
                </c:pt>
                <c:pt idx="451">
                  <c:v>9.5470150513743468E-2</c:v>
                </c:pt>
                <c:pt idx="452">
                  <c:v>8.7882341885620024E-2</c:v>
                </c:pt>
                <c:pt idx="453">
                  <c:v>7.8447736534062507E-2</c:v>
                </c:pt>
                <c:pt idx="454">
                  <c:v>8.8063502833830853E-2</c:v>
                </c:pt>
                <c:pt idx="455">
                  <c:v>6.9521143628396967E-2</c:v>
                </c:pt>
                <c:pt idx="456">
                  <c:v>4.8347178203537275E-2</c:v>
                </c:pt>
                <c:pt idx="457">
                  <c:v>6.2968094361758917E-2</c:v>
                </c:pt>
                <c:pt idx="458">
                  <c:v>5.1908308391916604E-2</c:v>
                </c:pt>
                <c:pt idx="459">
                  <c:v>3.7054164186621504E-2</c:v>
                </c:pt>
                <c:pt idx="460">
                  <c:v>3.7167197209473687E-2</c:v>
                </c:pt>
                <c:pt idx="461">
                  <c:v>3.6847063630791474E-2</c:v>
                </c:pt>
                <c:pt idx="462">
                  <c:v>3.4920127579787873E-2</c:v>
                </c:pt>
                <c:pt idx="463">
                  <c:v>2.6706426987876425E-2</c:v>
                </c:pt>
                <c:pt idx="464">
                  <c:v>4.1736547300261023E-2</c:v>
                </c:pt>
                <c:pt idx="465">
                  <c:v>4.4853409725947459E-2</c:v>
                </c:pt>
                <c:pt idx="466">
                  <c:v>3.8031592006244966E-2</c:v>
                </c:pt>
                <c:pt idx="467">
                  <c:v>5.0820608185419412E-2</c:v>
                </c:pt>
                <c:pt idx="468">
                  <c:v>6.2188954529180079E-2</c:v>
                </c:pt>
                <c:pt idx="469">
                  <c:v>3.8841023019137437E-2</c:v>
                </c:pt>
                <c:pt idx="470">
                  <c:v>5.1364960750623676E-2</c:v>
                </c:pt>
                <c:pt idx="471">
                  <c:v>5.3162651267312067E-2</c:v>
                </c:pt>
                <c:pt idx="472">
                  <c:v>4.5715263540662382E-2</c:v>
                </c:pt>
                <c:pt idx="473">
                  <c:v>5.0454140909026286E-2</c:v>
                </c:pt>
                <c:pt idx="474">
                  <c:v>3.6083169307393685E-2</c:v>
                </c:pt>
                <c:pt idx="475">
                  <c:v>3.8538982265410748E-2</c:v>
                </c:pt>
                <c:pt idx="476">
                  <c:v>3.7418493331394923E-2</c:v>
                </c:pt>
                <c:pt idx="477">
                  <c:v>3.4579445262609629E-2</c:v>
                </c:pt>
                <c:pt idx="478">
                  <c:v>3.1680801702595393E-2</c:v>
                </c:pt>
                <c:pt idx="479">
                  <c:v>2.7280973091145935E-2</c:v>
                </c:pt>
                <c:pt idx="480">
                  <c:v>2.7963578984180528E-2</c:v>
                </c:pt>
                <c:pt idx="481">
                  <c:v>3.5504683369575921E-2</c:v>
                </c:pt>
                <c:pt idx="482">
                  <c:v>2.9178406070434332E-2</c:v>
                </c:pt>
                <c:pt idx="483">
                  <c:v>3.084015770642377E-2</c:v>
                </c:pt>
                <c:pt idx="484">
                  <c:v>3.2296639424998247E-2</c:v>
                </c:pt>
                <c:pt idx="485">
                  <c:v>2.868570571046259E-2</c:v>
                </c:pt>
                <c:pt idx="486">
                  <c:v>4.1288857214529351E-2</c:v>
                </c:pt>
                <c:pt idx="487">
                  <c:v>4.6535840914209155E-2</c:v>
                </c:pt>
                <c:pt idx="488">
                  <c:v>3.4017679934229696E-2</c:v>
                </c:pt>
                <c:pt idx="489">
                  <c:v>3.8485605712130784E-2</c:v>
                </c:pt>
                <c:pt idx="490">
                  <c:v>3.7771128621931445E-2</c:v>
                </c:pt>
                <c:pt idx="491">
                  <c:v>3.6543725687941127E-2</c:v>
                </c:pt>
                <c:pt idx="492">
                  <c:v>3.8086298749140594E-2</c:v>
                </c:pt>
                <c:pt idx="493">
                  <c:v>4.533906386572284E-2</c:v>
                </c:pt>
                <c:pt idx="494">
                  <c:v>4.9175515894977262E-2</c:v>
                </c:pt>
                <c:pt idx="495">
                  <c:v>5.2260816079625454E-2</c:v>
                </c:pt>
                <c:pt idx="496">
                  <c:v>5.9321741109715651E-2</c:v>
                </c:pt>
                <c:pt idx="497">
                  <c:v>5.7529242283947409E-2</c:v>
                </c:pt>
                <c:pt idx="498">
                  <c:v>5.3571806561709741E-2</c:v>
                </c:pt>
                <c:pt idx="499">
                  <c:v>5.0036381542797513E-2</c:v>
                </c:pt>
                <c:pt idx="500">
                  <c:v>5.3338794506300871E-2</c:v>
                </c:pt>
                <c:pt idx="501">
                  <c:v>4.6735209379165102E-2</c:v>
                </c:pt>
                <c:pt idx="502">
                  <c:v>4.8148144463336484E-2</c:v>
                </c:pt>
                <c:pt idx="503">
                  <c:v>3.3351170661533272E-2</c:v>
                </c:pt>
                <c:pt idx="504">
                  <c:v>2.2362019116397198E-2</c:v>
                </c:pt>
                <c:pt idx="505">
                  <c:v>1.6215694099027862E-3</c:v>
                </c:pt>
                <c:pt idx="506">
                  <c:v>-7.0933973701389191E-3</c:v>
                </c:pt>
                <c:pt idx="507">
                  <c:v>-2.0368905004690747E-2</c:v>
                </c:pt>
                <c:pt idx="508">
                  <c:v>-3.1628212150367381E-2</c:v>
                </c:pt>
                <c:pt idx="509">
                  <c:v>-2.7837357563333016E-2</c:v>
                </c:pt>
                <c:pt idx="510">
                  <c:v>-3.4686870059134969E-2</c:v>
                </c:pt>
                <c:pt idx="511">
                  <c:v>-3.8503478133227124E-2</c:v>
                </c:pt>
                <c:pt idx="512">
                  <c:v>-4.511105498663337E-2</c:v>
                </c:pt>
                <c:pt idx="513">
                  <c:v>-5.5843330261265589E-2</c:v>
                </c:pt>
                <c:pt idx="514">
                  <c:v>-6.3712955211186847E-2</c:v>
                </c:pt>
                <c:pt idx="515">
                  <c:v>-4.8779644211812766E-2</c:v>
                </c:pt>
                <c:pt idx="516">
                  <c:v>-5.0466780791166656E-2</c:v>
                </c:pt>
                <c:pt idx="517">
                  <c:v>-4.9942771979212826E-2</c:v>
                </c:pt>
                <c:pt idx="518">
                  <c:v>-4.5068711073019796E-2</c:v>
                </c:pt>
                <c:pt idx="519">
                  <c:v>-3.939632734901035E-2</c:v>
                </c:pt>
                <c:pt idx="520">
                  <c:v>-3.0469086640614457E-2</c:v>
                </c:pt>
                <c:pt idx="521">
                  <c:v>-3.3574228488430558E-2</c:v>
                </c:pt>
                <c:pt idx="522">
                  <c:v>-3.0099674820437711E-2</c:v>
                </c:pt>
                <c:pt idx="523">
                  <c:v>-3.0994387998386021E-2</c:v>
                </c:pt>
                <c:pt idx="524">
                  <c:v>-2.0815991664021746E-2</c:v>
                </c:pt>
                <c:pt idx="525">
                  <c:v>-1.2875436836165431E-2</c:v>
                </c:pt>
                <c:pt idx="526">
                  <c:v>-5.8728770000780976E-3</c:v>
                </c:pt>
                <c:pt idx="527">
                  <c:v>-6.7247634515470028E-3</c:v>
                </c:pt>
                <c:pt idx="528">
                  <c:v>1.0412408662636224E-3</c:v>
                </c:pt>
                <c:pt idx="529">
                  <c:v>1.7391143866038409E-2</c:v>
                </c:pt>
                <c:pt idx="530">
                  <c:v>2.4114765670704443E-2</c:v>
                </c:pt>
                <c:pt idx="531">
                  <c:v>2.5421414358786906E-2</c:v>
                </c:pt>
                <c:pt idx="532">
                  <c:v>2.6809541908299872E-2</c:v>
                </c:pt>
                <c:pt idx="533">
                  <c:v>2.2807962037371159E-2</c:v>
                </c:pt>
                <c:pt idx="534">
                  <c:v>1.6572468529374874E-2</c:v>
                </c:pt>
                <c:pt idx="535">
                  <c:v>1.5711032404196214E-2</c:v>
                </c:pt>
                <c:pt idx="536">
                  <c:v>3.0594271945006687E-2</c:v>
                </c:pt>
                <c:pt idx="537">
                  <c:v>3.9654726344756148E-2</c:v>
                </c:pt>
                <c:pt idx="538">
                  <c:v>3.812642386442678E-2</c:v>
                </c:pt>
                <c:pt idx="539">
                  <c:v>3.2574276957619094E-2</c:v>
                </c:pt>
                <c:pt idx="540">
                  <c:v>3.712367923320857E-2</c:v>
                </c:pt>
                <c:pt idx="541">
                  <c:v>3.9050233501228444E-2</c:v>
                </c:pt>
                <c:pt idx="542">
                  <c:v>4.0160947920022193E-2</c:v>
                </c:pt>
                <c:pt idx="543">
                  <c:v>4.1238878509164571E-2</c:v>
                </c:pt>
                <c:pt idx="544">
                  <c:v>4.1733499436813627E-2</c:v>
                </c:pt>
                <c:pt idx="545">
                  <c:v>4.9648946340578405E-2</c:v>
                </c:pt>
                <c:pt idx="546">
                  <c:v>6.7531203855134864E-2</c:v>
                </c:pt>
                <c:pt idx="547">
                  <c:v>7.054832533089983E-2</c:v>
                </c:pt>
                <c:pt idx="548">
                  <c:v>5.0055336812777684E-2</c:v>
                </c:pt>
                <c:pt idx="549">
                  <c:v>4.7417596090763126E-2</c:v>
                </c:pt>
                <c:pt idx="550">
                  <c:v>4.6500319746795887E-2</c:v>
                </c:pt>
                <c:pt idx="551">
                  <c:v>4.3134655836635644E-2</c:v>
                </c:pt>
                <c:pt idx="552">
                  <c:v>3.1288534034336568E-2</c:v>
                </c:pt>
                <c:pt idx="553">
                  <c:v>2.0977949342165954E-2</c:v>
                </c:pt>
                <c:pt idx="554">
                  <c:v>1.4777026936046371E-2</c:v>
                </c:pt>
                <c:pt idx="555">
                  <c:v>1.5057758750837789E-2</c:v>
                </c:pt>
                <c:pt idx="556">
                  <c:v>4.1635703355881988E-3</c:v>
                </c:pt>
                <c:pt idx="557">
                  <c:v>-5.2406292174101343E-3</c:v>
                </c:pt>
                <c:pt idx="558">
                  <c:v>-4.3182226926085504E-3</c:v>
                </c:pt>
                <c:pt idx="559">
                  <c:v>-4.1538671421112268E-3</c:v>
                </c:pt>
                <c:pt idx="560">
                  <c:v>-1.5502627412307323E-2</c:v>
                </c:pt>
                <c:pt idx="561">
                  <c:v>-2.2585707081662992E-2</c:v>
                </c:pt>
                <c:pt idx="562">
                  <c:v>-2.605671482075983E-2</c:v>
                </c:pt>
                <c:pt idx="563">
                  <c:v>-2.5125348242009203E-2</c:v>
                </c:pt>
                <c:pt idx="564">
                  <c:v>-1.8749068102366723E-2</c:v>
                </c:pt>
                <c:pt idx="565">
                  <c:v>-4.3098272573204741E-2</c:v>
                </c:pt>
                <c:pt idx="566">
                  <c:v>-0.16568507211734398</c:v>
                </c:pt>
                <c:pt idx="567">
                  <c:v>-0.17915607225546334</c:v>
                </c:pt>
                <c:pt idx="568">
                  <c:v>-0.13197983062826205</c:v>
                </c:pt>
                <c:pt idx="569">
                  <c:v>-9.7812793283235014E-2</c:v>
                </c:pt>
                <c:pt idx="570">
                  <c:v>-0.10167907889448426</c:v>
                </c:pt>
                <c:pt idx="571">
                  <c:v>-9.6651707685766863E-2</c:v>
                </c:pt>
                <c:pt idx="572">
                  <c:v>-7.9333583357570459E-2</c:v>
                </c:pt>
                <c:pt idx="573">
                  <c:v>-7.0513226994713865E-2</c:v>
                </c:pt>
                <c:pt idx="574">
                  <c:v>-5.9724105627470277E-2</c:v>
                </c:pt>
                <c:pt idx="575">
                  <c:v>-4.6321304236249958E-2</c:v>
                </c:pt>
                <c:pt idx="576">
                  <c:v>-8.7452103478746532E-2</c:v>
                </c:pt>
                <c:pt idx="577">
                  <c:v>-2.7172747633267658E-2</c:v>
                </c:pt>
                <c:pt idx="578">
                  <c:v>0.12465891302026412</c:v>
                </c:pt>
                <c:pt idx="579">
                  <c:v>0.15293032789250219</c:v>
                </c:pt>
                <c:pt idx="580">
                  <c:v>0.10537977769912124</c:v>
                </c:pt>
                <c:pt idx="581">
                  <c:v>6.9473913683027494E-2</c:v>
                </c:pt>
                <c:pt idx="582">
                  <c:v>6.2510329958616995E-2</c:v>
                </c:pt>
                <c:pt idx="583">
                  <c:v>3.9607843547396847E-2</c:v>
                </c:pt>
                <c:pt idx="584">
                  <c:v>5.5928962600409519E-2</c:v>
                </c:pt>
                <c:pt idx="585">
                  <c:v>5.5106601587291845E-2</c:v>
                </c:pt>
                <c:pt idx="586">
                  <c:v>4.4053780072426989E-2</c:v>
                </c:pt>
                <c:pt idx="587">
                  <c:v>3.3996681566446849E-2</c:v>
                </c:pt>
                <c:pt idx="588">
                  <c:v>8.502640901088182E-2</c:v>
                </c:pt>
                <c:pt idx="589">
                  <c:v>5.4728678215169517E-2</c:v>
                </c:pt>
                <c:pt idx="590">
                  <c:v>4.7546080435713622E-2</c:v>
                </c:pt>
                <c:pt idx="591">
                  <c:v>4.1211912515027684E-2</c:v>
                </c:pt>
                <c:pt idx="592">
                  <c:v>3.5069509502721877E-2</c:v>
                </c:pt>
                <c:pt idx="593">
                  <c:v>3.9300065604007069E-2</c:v>
                </c:pt>
                <c:pt idx="594">
                  <c:v>3.7057880521477571E-2</c:v>
                </c:pt>
                <c:pt idx="595">
                  <c:v>5.8738254763485674E-2</c:v>
                </c:pt>
                <c:pt idx="596">
                  <c:v>3.1024543095329277E-2</c:v>
                </c:pt>
                <c:pt idx="597">
                  <c:v>1.9975586482827278E-2</c:v>
                </c:pt>
                <c:pt idx="598">
                  <c:v>1.005613686477865E-2</c:v>
                </c:pt>
                <c:pt idx="599">
                  <c:v>1.1123637656366309E-2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B5D-447F-BB0F-21F9F2AAB81B}"/>
            </c:ext>
          </c:extLst>
        </c:ser>
        <c:dLbls>
          <c:showLegendKey val="0"/>
          <c:showVal val="0"/>
          <c:showCatName val="0"/>
          <c:showSerName val="0"/>
          <c:showPercent val="0"/>
          <c:showBubbleSize val="0"/>
        </c:dLbls>
        <c:gapWidth val="150"/>
        <c:axId val="1067737231"/>
        <c:axId val="1067738879"/>
      </c:barChart>
      <c:dateAx>
        <c:axId val="10677372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8879"/>
        <c:crosses val="autoZero"/>
        <c:auto val="0"/>
        <c:lblOffset val="100"/>
        <c:baseTimeUnit val="months"/>
      </c:dateAx>
      <c:valAx>
        <c:axId val="10677388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72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Materials!$Y$1</c:f>
          <c:strCache>
            <c:ptCount val="1"/>
            <c:pt idx="0">
              <c:v>Industrial Production: Materials yoy since 2010</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Materials!$Y$1</c:f>
              <c:strCache>
                <c:ptCount val="1"/>
                <c:pt idx="0">
                  <c:v>Industrial Production: Materials yoy since 2010</c:v>
                </c:pt>
              </c:strCache>
            </c:strRef>
          </c:tx>
          <c:spPr>
            <a:solidFill>
              <a:srgbClr val="FFFF00"/>
            </a:solidFill>
            <a:ln>
              <a:solidFill>
                <a:srgbClr val="00B050"/>
              </a:solidFill>
              <a:prstDash val="solid"/>
            </a:ln>
          </c:spPr>
          <c:invertIfNegative val="1"/>
          <c:cat>
            <c:numRef>
              <c:f>Materials!$A$463:$A$624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Materials!$D$463:$D$624</c:f>
              <c:numCache>
                <c:formatCode>0.0%</c:formatCode>
                <c:ptCount val="162"/>
                <c:pt idx="0">
                  <c:v>2.8255047987646307E-2</c:v>
                </c:pt>
                <c:pt idx="1">
                  <c:v>4.7464707400080991E-2</c:v>
                </c:pt>
                <c:pt idx="2">
                  <c:v>7.3024898918923595E-2</c:v>
                </c:pt>
                <c:pt idx="3">
                  <c:v>8.6810436668284571E-2</c:v>
                </c:pt>
                <c:pt idx="4">
                  <c:v>0.10823297197323926</c:v>
                </c:pt>
                <c:pt idx="5">
                  <c:v>0.11834586791422967</c:v>
                </c:pt>
                <c:pt idx="6">
                  <c:v>0.10511666179556682</c:v>
                </c:pt>
                <c:pt idx="7">
                  <c:v>9.8870140342025015E-2</c:v>
                </c:pt>
                <c:pt idx="8">
                  <c:v>9.5470150513743468E-2</c:v>
                </c:pt>
                <c:pt idx="9">
                  <c:v>8.7882341885620024E-2</c:v>
                </c:pt>
                <c:pt idx="10">
                  <c:v>7.8447736534062507E-2</c:v>
                </c:pt>
                <c:pt idx="11">
                  <c:v>8.8063502833830853E-2</c:v>
                </c:pt>
                <c:pt idx="12">
                  <c:v>6.9521143628396967E-2</c:v>
                </c:pt>
                <c:pt idx="13">
                  <c:v>4.8347178203537275E-2</c:v>
                </c:pt>
                <c:pt idx="14">
                  <c:v>6.2968094361758917E-2</c:v>
                </c:pt>
                <c:pt idx="15">
                  <c:v>5.1908308391916604E-2</c:v>
                </c:pt>
                <c:pt idx="16">
                  <c:v>3.7054164186621504E-2</c:v>
                </c:pt>
                <c:pt idx="17">
                  <c:v>3.7167197209473687E-2</c:v>
                </c:pt>
                <c:pt idx="18">
                  <c:v>3.6847063630791474E-2</c:v>
                </c:pt>
                <c:pt idx="19">
                  <c:v>3.4920127579787873E-2</c:v>
                </c:pt>
                <c:pt idx="20">
                  <c:v>2.6706426987876425E-2</c:v>
                </c:pt>
                <c:pt idx="21">
                  <c:v>4.1736547300261023E-2</c:v>
                </c:pt>
                <c:pt idx="22">
                  <c:v>4.4853409725947459E-2</c:v>
                </c:pt>
                <c:pt idx="23">
                  <c:v>3.8031592006244966E-2</c:v>
                </c:pt>
                <c:pt idx="24">
                  <c:v>5.0820608185419412E-2</c:v>
                </c:pt>
                <c:pt idx="25">
                  <c:v>6.2188954529180079E-2</c:v>
                </c:pt>
                <c:pt idx="26">
                  <c:v>3.8841023019137437E-2</c:v>
                </c:pt>
                <c:pt idx="27">
                  <c:v>5.1364960750623676E-2</c:v>
                </c:pt>
                <c:pt idx="28">
                  <c:v>5.3162651267312067E-2</c:v>
                </c:pt>
                <c:pt idx="29">
                  <c:v>4.5715263540662382E-2</c:v>
                </c:pt>
                <c:pt idx="30">
                  <c:v>5.0454140909026286E-2</c:v>
                </c:pt>
                <c:pt idx="31">
                  <c:v>3.6083169307393685E-2</c:v>
                </c:pt>
                <c:pt idx="32">
                  <c:v>3.8538982265410748E-2</c:v>
                </c:pt>
                <c:pt idx="33">
                  <c:v>3.7418493331394923E-2</c:v>
                </c:pt>
                <c:pt idx="34">
                  <c:v>3.4579445262609629E-2</c:v>
                </c:pt>
                <c:pt idx="35">
                  <c:v>3.1680801702595393E-2</c:v>
                </c:pt>
                <c:pt idx="36">
                  <c:v>2.7280973091145935E-2</c:v>
                </c:pt>
                <c:pt idx="37">
                  <c:v>2.7963578984180528E-2</c:v>
                </c:pt>
                <c:pt idx="38">
                  <c:v>3.5504683369575921E-2</c:v>
                </c:pt>
                <c:pt idx="39">
                  <c:v>2.9178406070434332E-2</c:v>
                </c:pt>
                <c:pt idx="40">
                  <c:v>3.084015770642377E-2</c:v>
                </c:pt>
                <c:pt idx="41">
                  <c:v>3.2296639424998247E-2</c:v>
                </c:pt>
                <c:pt idx="42">
                  <c:v>2.868570571046259E-2</c:v>
                </c:pt>
                <c:pt idx="43">
                  <c:v>4.1288857214529351E-2</c:v>
                </c:pt>
                <c:pt idx="44">
                  <c:v>4.6535840914209155E-2</c:v>
                </c:pt>
                <c:pt idx="45">
                  <c:v>3.4017679934229696E-2</c:v>
                </c:pt>
                <c:pt idx="46">
                  <c:v>3.8485605712130784E-2</c:v>
                </c:pt>
                <c:pt idx="47">
                  <c:v>3.7771128621931445E-2</c:v>
                </c:pt>
                <c:pt idx="48">
                  <c:v>3.6543725687941127E-2</c:v>
                </c:pt>
                <c:pt idx="49">
                  <c:v>3.8086298749140594E-2</c:v>
                </c:pt>
                <c:pt idx="50">
                  <c:v>4.533906386572284E-2</c:v>
                </c:pt>
                <c:pt idx="51">
                  <c:v>4.9175515894977262E-2</c:v>
                </c:pt>
                <c:pt idx="52">
                  <c:v>5.2260816079625454E-2</c:v>
                </c:pt>
                <c:pt idx="53">
                  <c:v>5.9321741109715651E-2</c:v>
                </c:pt>
                <c:pt idx="54">
                  <c:v>5.7529242283947409E-2</c:v>
                </c:pt>
                <c:pt idx="55">
                  <c:v>5.3571806561709741E-2</c:v>
                </c:pt>
                <c:pt idx="56">
                  <c:v>5.0036381542797513E-2</c:v>
                </c:pt>
                <c:pt idx="57">
                  <c:v>5.3338794506300871E-2</c:v>
                </c:pt>
                <c:pt idx="58">
                  <c:v>4.6735209379165102E-2</c:v>
                </c:pt>
                <c:pt idx="59">
                  <c:v>4.8148144463336484E-2</c:v>
                </c:pt>
                <c:pt idx="60">
                  <c:v>3.3351170661533272E-2</c:v>
                </c:pt>
                <c:pt idx="61">
                  <c:v>2.2362019116397198E-2</c:v>
                </c:pt>
                <c:pt idx="62">
                  <c:v>1.6215694099027862E-3</c:v>
                </c:pt>
                <c:pt idx="63">
                  <c:v>-7.0933973701389191E-3</c:v>
                </c:pt>
                <c:pt idx="64">
                  <c:v>-2.0368905004690747E-2</c:v>
                </c:pt>
                <c:pt idx="65">
                  <c:v>-3.1628212150367381E-2</c:v>
                </c:pt>
                <c:pt idx="66">
                  <c:v>-2.7837357563333016E-2</c:v>
                </c:pt>
                <c:pt idx="67">
                  <c:v>-3.4686870059134969E-2</c:v>
                </c:pt>
                <c:pt idx="68">
                  <c:v>-3.8503478133227124E-2</c:v>
                </c:pt>
                <c:pt idx="69">
                  <c:v>-4.511105498663337E-2</c:v>
                </c:pt>
                <c:pt idx="70">
                  <c:v>-5.5843330261265589E-2</c:v>
                </c:pt>
                <c:pt idx="71">
                  <c:v>-6.3712955211186847E-2</c:v>
                </c:pt>
                <c:pt idx="72">
                  <c:v>-4.8779644211812766E-2</c:v>
                </c:pt>
                <c:pt idx="73">
                  <c:v>-5.0466780791166656E-2</c:v>
                </c:pt>
                <c:pt idx="74">
                  <c:v>-4.9942771979212826E-2</c:v>
                </c:pt>
                <c:pt idx="75">
                  <c:v>-4.5068711073019796E-2</c:v>
                </c:pt>
                <c:pt idx="76">
                  <c:v>-3.939632734901035E-2</c:v>
                </c:pt>
                <c:pt idx="77">
                  <c:v>-3.0469086640614457E-2</c:v>
                </c:pt>
                <c:pt idx="78">
                  <c:v>-3.3574228488430558E-2</c:v>
                </c:pt>
                <c:pt idx="79">
                  <c:v>-3.0099674820437711E-2</c:v>
                </c:pt>
                <c:pt idx="80">
                  <c:v>-3.0994387998386021E-2</c:v>
                </c:pt>
                <c:pt idx="81">
                  <c:v>-2.0815991664021746E-2</c:v>
                </c:pt>
                <c:pt idx="82">
                  <c:v>-1.2875436836165431E-2</c:v>
                </c:pt>
                <c:pt idx="83">
                  <c:v>-5.8728770000780976E-3</c:v>
                </c:pt>
                <c:pt idx="84">
                  <c:v>-6.7247634515470028E-3</c:v>
                </c:pt>
                <c:pt idx="85">
                  <c:v>1.0412408662636224E-3</c:v>
                </c:pt>
                <c:pt idx="86">
                  <c:v>1.7391143866038409E-2</c:v>
                </c:pt>
                <c:pt idx="87">
                  <c:v>2.4114765670704443E-2</c:v>
                </c:pt>
                <c:pt idx="88">
                  <c:v>2.5421414358786906E-2</c:v>
                </c:pt>
                <c:pt idx="89">
                  <c:v>2.6809541908299872E-2</c:v>
                </c:pt>
                <c:pt idx="90">
                  <c:v>2.2807962037371159E-2</c:v>
                </c:pt>
                <c:pt idx="91">
                  <c:v>1.6572468529374874E-2</c:v>
                </c:pt>
                <c:pt idx="92">
                  <c:v>1.5711032404196214E-2</c:v>
                </c:pt>
                <c:pt idx="93">
                  <c:v>3.0594271945006687E-2</c:v>
                </c:pt>
                <c:pt idx="94">
                  <c:v>3.9654726344756148E-2</c:v>
                </c:pt>
                <c:pt idx="95">
                  <c:v>3.812642386442678E-2</c:v>
                </c:pt>
                <c:pt idx="96">
                  <c:v>3.2574276957619094E-2</c:v>
                </c:pt>
                <c:pt idx="97">
                  <c:v>3.712367923320857E-2</c:v>
                </c:pt>
                <c:pt idx="98">
                  <c:v>3.9050233501228444E-2</c:v>
                </c:pt>
                <c:pt idx="99">
                  <c:v>4.0160947920022193E-2</c:v>
                </c:pt>
                <c:pt idx="100">
                  <c:v>4.1238878509164571E-2</c:v>
                </c:pt>
                <c:pt idx="101">
                  <c:v>4.1733499436813627E-2</c:v>
                </c:pt>
                <c:pt idx="102">
                  <c:v>4.9648946340578405E-2</c:v>
                </c:pt>
                <c:pt idx="103">
                  <c:v>6.7531203855134864E-2</c:v>
                </c:pt>
                <c:pt idx="104">
                  <c:v>7.054832533089983E-2</c:v>
                </c:pt>
                <c:pt idx="105">
                  <c:v>5.0055336812777684E-2</c:v>
                </c:pt>
                <c:pt idx="106">
                  <c:v>4.7417596090763126E-2</c:v>
                </c:pt>
                <c:pt idx="107">
                  <c:v>4.6500319746795887E-2</c:v>
                </c:pt>
                <c:pt idx="108">
                  <c:v>4.3134655836635644E-2</c:v>
                </c:pt>
                <c:pt idx="109">
                  <c:v>3.1288534034336568E-2</c:v>
                </c:pt>
                <c:pt idx="110">
                  <c:v>2.0977949342165954E-2</c:v>
                </c:pt>
                <c:pt idx="111">
                  <c:v>1.4777026936046371E-2</c:v>
                </c:pt>
                <c:pt idx="112">
                  <c:v>1.5057758750837789E-2</c:v>
                </c:pt>
                <c:pt idx="113">
                  <c:v>4.1635703355881988E-3</c:v>
                </c:pt>
                <c:pt idx="114">
                  <c:v>-5.2406292174101343E-3</c:v>
                </c:pt>
                <c:pt idx="115">
                  <c:v>-4.3182226926085504E-3</c:v>
                </c:pt>
                <c:pt idx="116">
                  <c:v>-4.1538671421112268E-3</c:v>
                </c:pt>
                <c:pt idx="117">
                  <c:v>-1.5502627412307323E-2</c:v>
                </c:pt>
                <c:pt idx="118">
                  <c:v>-2.2585707081662992E-2</c:v>
                </c:pt>
                <c:pt idx="119">
                  <c:v>-2.605671482075983E-2</c:v>
                </c:pt>
                <c:pt idx="120">
                  <c:v>-2.5125348242009203E-2</c:v>
                </c:pt>
                <c:pt idx="121">
                  <c:v>-1.8749068102366723E-2</c:v>
                </c:pt>
                <c:pt idx="122">
                  <c:v>-4.3098272573204741E-2</c:v>
                </c:pt>
                <c:pt idx="123">
                  <c:v>-0.16568507211734398</c:v>
                </c:pt>
                <c:pt idx="124">
                  <c:v>-0.17915607225546334</c:v>
                </c:pt>
                <c:pt idx="125">
                  <c:v>-0.13197983062826205</c:v>
                </c:pt>
                <c:pt idx="126">
                  <c:v>-9.7812793283235014E-2</c:v>
                </c:pt>
                <c:pt idx="127">
                  <c:v>-0.10167907889448426</c:v>
                </c:pt>
                <c:pt idx="128">
                  <c:v>-9.6651707685766863E-2</c:v>
                </c:pt>
                <c:pt idx="129">
                  <c:v>-7.9333583357570459E-2</c:v>
                </c:pt>
                <c:pt idx="130">
                  <c:v>-7.0513226994713865E-2</c:v>
                </c:pt>
                <c:pt idx="131">
                  <c:v>-5.9724105627470277E-2</c:v>
                </c:pt>
                <c:pt idx="132">
                  <c:v>-4.6321304236249958E-2</c:v>
                </c:pt>
                <c:pt idx="133">
                  <c:v>-8.7452103478746532E-2</c:v>
                </c:pt>
                <c:pt idx="134">
                  <c:v>-2.7172747633267658E-2</c:v>
                </c:pt>
                <c:pt idx="135">
                  <c:v>0.12465891302026412</c:v>
                </c:pt>
                <c:pt idx="136">
                  <c:v>0.15293032789250219</c:v>
                </c:pt>
                <c:pt idx="137">
                  <c:v>0.10537977769912124</c:v>
                </c:pt>
                <c:pt idx="138">
                  <c:v>6.9473913683027494E-2</c:v>
                </c:pt>
                <c:pt idx="139">
                  <c:v>6.2510329958616995E-2</c:v>
                </c:pt>
                <c:pt idx="140">
                  <c:v>3.9607843547396847E-2</c:v>
                </c:pt>
                <c:pt idx="141">
                  <c:v>5.5928962600409519E-2</c:v>
                </c:pt>
                <c:pt idx="142">
                  <c:v>5.5106601587291845E-2</c:v>
                </c:pt>
                <c:pt idx="143">
                  <c:v>4.4053780072426989E-2</c:v>
                </c:pt>
                <c:pt idx="144">
                  <c:v>3.3996681566446849E-2</c:v>
                </c:pt>
                <c:pt idx="145">
                  <c:v>8.502640901088182E-2</c:v>
                </c:pt>
                <c:pt idx="146">
                  <c:v>5.4728678215169517E-2</c:v>
                </c:pt>
                <c:pt idx="147">
                  <c:v>4.7546080435713622E-2</c:v>
                </c:pt>
                <c:pt idx="148">
                  <c:v>4.1211912515027684E-2</c:v>
                </c:pt>
                <c:pt idx="149">
                  <c:v>3.5069509502721877E-2</c:v>
                </c:pt>
                <c:pt idx="150">
                  <c:v>3.9300065604007069E-2</c:v>
                </c:pt>
                <c:pt idx="151">
                  <c:v>3.7057880521477571E-2</c:v>
                </c:pt>
                <c:pt idx="152">
                  <c:v>5.8738254763485674E-2</c:v>
                </c:pt>
                <c:pt idx="153">
                  <c:v>3.1024543095329277E-2</c:v>
                </c:pt>
                <c:pt idx="154">
                  <c:v>1.9975586482827278E-2</c:v>
                </c:pt>
                <c:pt idx="155">
                  <c:v>1.005613686477865E-2</c:v>
                </c:pt>
                <c:pt idx="156">
                  <c:v>1.1123637656366309E-2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0B050"/>
                    </a:solidFill>
                    <a:prstDash val="solid"/>
                  </a:ln>
                </c14:spPr>
              </c14:invertSolidFillFmt>
            </c:ext>
            <c:ext xmlns:c16="http://schemas.microsoft.com/office/drawing/2014/chart" uri="{C3380CC4-5D6E-409C-BE32-E72D297353CC}">
              <c16:uniqueId val="{00000000-86B0-4326-B2EC-B46885C92CB8}"/>
            </c:ext>
          </c:extLst>
        </c:ser>
        <c:dLbls>
          <c:showLegendKey val="0"/>
          <c:showVal val="0"/>
          <c:showCatName val="0"/>
          <c:showSerName val="0"/>
          <c:showPercent val="0"/>
          <c:showBubbleSize val="0"/>
        </c:dLbls>
        <c:gapWidth val="219"/>
        <c:overlap val="-27"/>
        <c:axId val="493949712"/>
        <c:axId val="493956560"/>
      </c:barChart>
      <c:dateAx>
        <c:axId val="4939497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56560"/>
        <c:crosses val="autoZero"/>
        <c:auto val="0"/>
        <c:lblOffset val="100"/>
        <c:baseTimeUnit val="months"/>
      </c:dateAx>
      <c:valAx>
        <c:axId val="493956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4971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Materials!$U$1</c:f>
          <c:strCache>
            <c:ptCount val="1"/>
            <c:pt idx="0">
              <c:v>Industrial Production: Materials since 2010</c:v>
            </c:pt>
          </c:strCache>
        </c:strRef>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2010</c:v>
                </c:pt>
              </c:strCache>
            </c:strRef>
          </c:tx>
          <c:spPr>
            <a:ln w="28575" cap="rnd">
              <a:solidFill>
                <a:schemeClr val="accent1"/>
              </a:solidFill>
              <a:prstDash val="solid"/>
              <a:round/>
            </a:ln>
          </c:spPr>
          <c:marker>
            <c:symbol val="none"/>
          </c:marker>
          <c:cat>
            <c:numRef>
              <c:f>Materials!$A$463:$A$620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Materials!$B$463:$B$620</c:f>
              <c:numCache>
                <c:formatCode>0.0</c:formatCode>
                <c:ptCount val="158"/>
                <c:pt idx="0">
                  <c:v>84.167199999999994</c:v>
                </c:pt>
                <c:pt idx="1">
                  <c:v>85.254199999999997</c:v>
                </c:pt>
                <c:pt idx="2">
                  <c:v>85.746600000000001</c:v>
                </c:pt>
                <c:pt idx="3">
                  <c:v>86.201999999999998</c:v>
                </c:pt>
                <c:pt idx="4">
                  <c:v>87.364000000000004</c:v>
                </c:pt>
                <c:pt idx="5">
                  <c:v>87.897400000000005</c:v>
                </c:pt>
                <c:pt idx="6">
                  <c:v>88.102000000000004</c:v>
                </c:pt>
                <c:pt idx="7">
                  <c:v>88.854200000000006</c:v>
                </c:pt>
                <c:pt idx="8">
                  <c:v>89.536500000000004</c:v>
                </c:pt>
                <c:pt idx="9">
                  <c:v>89.140100000000004</c:v>
                </c:pt>
                <c:pt idx="10">
                  <c:v>89.293099999999995</c:v>
                </c:pt>
                <c:pt idx="11">
                  <c:v>90.440600000000003</c:v>
                </c:pt>
                <c:pt idx="12">
                  <c:v>90.018600000000006</c:v>
                </c:pt>
                <c:pt idx="13">
                  <c:v>89.376000000000005</c:v>
                </c:pt>
                <c:pt idx="14">
                  <c:v>91.145899999999997</c:v>
                </c:pt>
                <c:pt idx="15">
                  <c:v>90.676599999999993</c:v>
                </c:pt>
                <c:pt idx="16">
                  <c:v>90.601200000000006</c:v>
                </c:pt>
                <c:pt idx="17">
                  <c:v>91.164299999999997</c:v>
                </c:pt>
                <c:pt idx="18">
                  <c:v>91.348299999999995</c:v>
                </c:pt>
                <c:pt idx="19">
                  <c:v>91.956999999999994</c:v>
                </c:pt>
                <c:pt idx="20">
                  <c:v>91.927700000000002</c:v>
                </c:pt>
                <c:pt idx="21">
                  <c:v>92.860500000000002</c:v>
                </c:pt>
                <c:pt idx="22">
                  <c:v>93.298199999999994</c:v>
                </c:pt>
                <c:pt idx="23">
                  <c:v>93.880200000000002</c:v>
                </c:pt>
                <c:pt idx="24">
                  <c:v>94.593400000000003</c:v>
                </c:pt>
                <c:pt idx="25">
                  <c:v>94.934200000000004</c:v>
                </c:pt>
                <c:pt idx="26">
                  <c:v>94.686099999999996</c:v>
                </c:pt>
                <c:pt idx="27">
                  <c:v>95.334199999999996</c:v>
                </c:pt>
                <c:pt idx="28">
                  <c:v>95.4178</c:v>
                </c:pt>
                <c:pt idx="29">
                  <c:v>95.331900000000005</c:v>
                </c:pt>
                <c:pt idx="30">
                  <c:v>95.9572</c:v>
                </c:pt>
                <c:pt idx="31">
                  <c:v>95.275099999999995</c:v>
                </c:pt>
                <c:pt idx="32">
                  <c:v>95.470500000000001</c:v>
                </c:pt>
                <c:pt idx="33">
                  <c:v>96.3352</c:v>
                </c:pt>
                <c:pt idx="34">
                  <c:v>96.5244</c:v>
                </c:pt>
                <c:pt idx="35">
                  <c:v>96.854399999999998</c:v>
                </c:pt>
                <c:pt idx="36">
                  <c:v>97.174000000000007</c:v>
                </c:pt>
                <c:pt idx="37">
                  <c:v>97.588899999999995</c:v>
                </c:pt>
                <c:pt idx="38">
                  <c:v>98.047899999999998</c:v>
                </c:pt>
                <c:pt idx="39">
                  <c:v>98.115899999999996</c:v>
                </c:pt>
                <c:pt idx="40">
                  <c:v>98.360500000000002</c:v>
                </c:pt>
                <c:pt idx="41">
                  <c:v>98.410799999999995</c:v>
                </c:pt>
                <c:pt idx="42">
                  <c:v>98.709800000000001</c:v>
                </c:pt>
                <c:pt idx="43">
                  <c:v>99.2089</c:v>
                </c:pt>
                <c:pt idx="44">
                  <c:v>99.913300000000007</c:v>
                </c:pt>
                <c:pt idx="45">
                  <c:v>99.612300000000005</c:v>
                </c:pt>
                <c:pt idx="46">
                  <c:v>100.2392</c:v>
                </c:pt>
                <c:pt idx="47">
                  <c:v>100.5127</c:v>
                </c:pt>
                <c:pt idx="48">
                  <c:v>100.7251</c:v>
                </c:pt>
                <c:pt idx="49">
                  <c:v>101.3057</c:v>
                </c:pt>
                <c:pt idx="50">
                  <c:v>102.4933</c:v>
                </c:pt>
                <c:pt idx="51">
                  <c:v>102.9408</c:v>
                </c:pt>
                <c:pt idx="52">
                  <c:v>103.5009</c:v>
                </c:pt>
                <c:pt idx="53">
                  <c:v>104.2487</c:v>
                </c:pt>
                <c:pt idx="54">
                  <c:v>104.38849999999999</c:v>
                </c:pt>
                <c:pt idx="55">
                  <c:v>104.52370000000001</c:v>
                </c:pt>
                <c:pt idx="56">
                  <c:v>104.9126</c:v>
                </c:pt>
                <c:pt idx="57">
                  <c:v>104.9255</c:v>
                </c:pt>
                <c:pt idx="58">
                  <c:v>104.9239</c:v>
                </c:pt>
                <c:pt idx="59">
                  <c:v>105.3522</c:v>
                </c:pt>
                <c:pt idx="60">
                  <c:v>104.0844</c:v>
                </c:pt>
                <c:pt idx="61">
                  <c:v>103.5711</c:v>
                </c:pt>
                <c:pt idx="62">
                  <c:v>102.65949999999999</c:v>
                </c:pt>
                <c:pt idx="63">
                  <c:v>102.2106</c:v>
                </c:pt>
                <c:pt idx="64">
                  <c:v>101.3927</c:v>
                </c:pt>
                <c:pt idx="65">
                  <c:v>100.9515</c:v>
                </c:pt>
                <c:pt idx="66">
                  <c:v>101.48260000000001</c:v>
                </c:pt>
                <c:pt idx="67">
                  <c:v>100.8981</c:v>
                </c:pt>
                <c:pt idx="68">
                  <c:v>100.87309999999999</c:v>
                </c:pt>
                <c:pt idx="69">
                  <c:v>100.1922</c:v>
                </c:pt>
                <c:pt idx="70">
                  <c:v>99.064599999999999</c:v>
                </c:pt>
                <c:pt idx="71">
                  <c:v>98.639899999999997</c:v>
                </c:pt>
                <c:pt idx="72">
                  <c:v>99.007199999999997</c:v>
                </c:pt>
                <c:pt idx="73">
                  <c:v>98.344200000000001</c:v>
                </c:pt>
                <c:pt idx="74">
                  <c:v>97.532399999999996</c:v>
                </c:pt>
                <c:pt idx="75">
                  <c:v>97.604100000000003</c:v>
                </c:pt>
                <c:pt idx="76">
                  <c:v>97.398200000000003</c:v>
                </c:pt>
                <c:pt idx="77">
                  <c:v>97.875600000000006</c:v>
                </c:pt>
                <c:pt idx="78">
                  <c:v>98.075400000000002</c:v>
                </c:pt>
                <c:pt idx="79">
                  <c:v>97.861099999999993</c:v>
                </c:pt>
                <c:pt idx="80">
                  <c:v>97.746600000000001</c:v>
                </c:pt>
                <c:pt idx="81">
                  <c:v>98.1066</c:v>
                </c:pt>
                <c:pt idx="82">
                  <c:v>97.789100000000005</c:v>
                </c:pt>
                <c:pt idx="83">
                  <c:v>98.060599999999994</c:v>
                </c:pt>
                <c:pt idx="84">
                  <c:v>98.341399999999993</c:v>
                </c:pt>
                <c:pt idx="85">
                  <c:v>98.446600000000004</c:v>
                </c:pt>
                <c:pt idx="86">
                  <c:v>99.2286</c:v>
                </c:pt>
                <c:pt idx="87">
                  <c:v>99.957800000000006</c:v>
                </c:pt>
                <c:pt idx="88">
                  <c:v>99.874200000000002</c:v>
                </c:pt>
                <c:pt idx="89">
                  <c:v>100.4996</c:v>
                </c:pt>
                <c:pt idx="90">
                  <c:v>100.31229999999999</c:v>
                </c:pt>
                <c:pt idx="91">
                  <c:v>99.482900000000001</c:v>
                </c:pt>
                <c:pt idx="92">
                  <c:v>99.282300000000006</c:v>
                </c:pt>
                <c:pt idx="93">
                  <c:v>101.10809999999999</c:v>
                </c:pt>
                <c:pt idx="94">
                  <c:v>101.6669</c:v>
                </c:pt>
                <c:pt idx="95">
                  <c:v>101.7993</c:v>
                </c:pt>
                <c:pt idx="96">
                  <c:v>101.5448</c:v>
                </c:pt>
                <c:pt idx="97">
                  <c:v>102.10129999999999</c:v>
                </c:pt>
                <c:pt idx="98">
                  <c:v>103.1035</c:v>
                </c:pt>
                <c:pt idx="99">
                  <c:v>103.9722</c:v>
                </c:pt>
                <c:pt idx="100">
                  <c:v>103.99290000000001</c:v>
                </c:pt>
                <c:pt idx="101">
                  <c:v>104.6938</c:v>
                </c:pt>
                <c:pt idx="102">
                  <c:v>105.2927</c:v>
                </c:pt>
                <c:pt idx="103">
                  <c:v>106.2011</c:v>
                </c:pt>
                <c:pt idx="104">
                  <c:v>106.2865</c:v>
                </c:pt>
                <c:pt idx="105">
                  <c:v>106.1691</c:v>
                </c:pt>
                <c:pt idx="106">
                  <c:v>106.4877</c:v>
                </c:pt>
                <c:pt idx="107">
                  <c:v>106.533</c:v>
                </c:pt>
                <c:pt idx="108">
                  <c:v>105.92489999999999</c:v>
                </c:pt>
                <c:pt idx="109">
                  <c:v>105.2959</c:v>
                </c:pt>
                <c:pt idx="110">
                  <c:v>105.2664</c:v>
                </c:pt>
                <c:pt idx="111">
                  <c:v>105.5086</c:v>
                </c:pt>
                <c:pt idx="112">
                  <c:v>105.55880000000001</c:v>
                </c:pt>
                <c:pt idx="113">
                  <c:v>105.1297</c:v>
                </c:pt>
                <c:pt idx="114">
                  <c:v>104.7409</c:v>
                </c:pt>
                <c:pt idx="115">
                  <c:v>105.74250000000001</c:v>
                </c:pt>
                <c:pt idx="116">
                  <c:v>105.845</c:v>
                </c:pt>
                <c:pt idx="117">
                  <c:v>104.5232</c:v>
                </c:pt>
                <c:pt idx="118">
                  <c:v>104.0826</c:v>
                </c:pt>
                <c:pt idx="119">
                  <c:v>103.75709999999999</c:v>
                </c:pt>
                <c:pt idx="120">
                  <c:v>103.26349999999999</c:v>
                </c:pt>
                <c:pt idx="121">
                  <c:v>103.32170000000001</c:v>
                </c:pt>
                <c:pt idx="122">
                  <c:v>100.7296</c:v>
                </c:pt>
                <c:pt idx="123">
                  <c:v>88.0274</c:v>
                </c:pt>
                <c:pt idx="124">
                  <c:v>86.647300000000001</c:v>
                </c:pt>
                <c:pt idx="125">
                  <c:v>91.2547</c:v>
                </c:pt>
                <c:pt idx="126">
                  <c:v>94.495900000000006</c:v>
                </c:pt>
                <c:pt idx="127">
                  <c:v>94.990700000000004</c:v>
                </c:pt>
                <c:pt idx="128">
                  <c:v>95.614900000000006</c:v>
                </c:pt>
                <c:pt idx="129">
                  <c:v>96.230999999999995</c:v>
                </c:pt>
                <c:pt idx="130">
                  <c:v>96.743399999999994</c:v>
                </c:pt>
                <c:pt idx="131">
                  <c:v>97.560299999999998</c:v>
                </c:pt>
                <c:pt idx="132">
                  <c:v>98.480199999999996</c:v>
                </c:pt>
                <c:pt idx="133">
                  <c:v>94.286000000000001</c:v>
                </c:pt>
                <c:pt idx="134">
                  <c:v>97.992500000000007</c:v>
                </c:pt>
                <c:pt idx="135">
                  <c:v>99.000799999999998</c:v>
                </c:pt>
                <c:pt idx="136">
                  <c:v>99.898300000000006</c:v>
                </c:pt>
                <c:pt idx="137">
                  <c:v>100.8711</c:v>
                </c:pt>
                <c:pt idx="138">
                  <c:v>101.0609</c:v>
                </c:pt>
                <c:pt idx="139">
                  <c:v>100.9286</c:v>
                </c:pt>
                <c:pt idx="140">
                  <c:v>99.402000000000001</c:v>
                </c:pt>
                <c:pt idx="141">
                  <c:v>101.6131</c:v>
                </c:pt>
                <c:pt idx="142">
                  <c:v>102.0746</c:v>
                </c:pt>
                <c:pt idx="143">
                  <c:v>101.8582</c:v>
                </c:pt>
                <c:pt idx="144">
                  <c:v>101.8282</c:v>
                </c:pt>
                <c:pt idx="145">
                  <c:v>102.3028</c:v>
                </c:pt>
                <c:pt idx="146">
                  <c:v>103.35550000000001</c:v>
                </c:pt>
                <c:pt idx="147">
                  <c:v>103.7079</c:v>
                </c:pt>
                <c:pt idx="148">
                  <c:v>104.0153</c:v>
                </c:pt>
                <c:pt idx="149">
                  <c:v>104.40860000000001</c:v>
                </c:pt>
                <c:pt idx="150">
                  <c:v>105.0326</c:v>
                </c:pt>
                <c:pt idx="151">
                  <c:v>104.6688</c:v>
                </c:pt>
                <c:pt idx="152">
                  <c:v>105.2407</c:v>
                </c:pt>
                <c:pt idx="153">
                  <c:v>104.76560000000001</c:v>
                </c:pt>
                <c:pt idx="154">
                  <c:v>104.11360000000001</c:v>
                </c:pt>
                <c:pt idx="155">
                  <c:v>102.88249999999999</c:v>
                </c:pt>
                <c:pt idx="156">
                  <c:v>102.9609</c:v>
                </c:pt>
              </c:numCache>
            </c:numRef>
          </c:val>
          <c:smooth val="0"/>
          <c:extLst>
            <c:ext xmlns:c16="http://schemas.microsoft.com/office/drawing/2014/chart" uri="{C3380CC4-5D6E-409C-BE32-E72D297353CC}">
              <c16:uniqueId val="{00000000-3ECF-43FE-A8E3-0EB716869589}"/>
            </c:ext>
          </c:extLst>
        </c:ser>
        <c:dLbls>
          <c:showLegendKey val="0"/>
          <c:showVal val="0"/>
          <c:showCatName val="0"/>
          <c:showSerName val="0"/>
          <c:showPercent val="0"/>
          <c:showBubbleSize val="0"/>
        </c:dLbls>
        <c:smooth val="0"/>
        <c:axId val="538322847"/>
        <c:axId val="538324495"/>
      </c:lineChart>
      <c:dateAx>
        <c:axId val="5383228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4495"/>
        <c:crosses val="autoZero"/>
        <c:auto val="0"/>
        <c:lblOffset val="100"/>
        <c:baseTimeUnit val="months"/>
      </c:dateAx>
      <c:valAx>
        <c:axId val="538324495"/>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2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Goods'!$S$1</c:f>
          <c:strCache>
            <c:ptCount val="1"/>
            <c:pt idx="0">
              <c:v>Industrial Production: Consumer Goods</c:v>
            </c:pt>
          </c:strCache>
        </c:strRef>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'Consumer Goods'!$B$20:$B$620</c:f>
              <c:numCache>
                <c:formatCode>0.0</c:formatCode>
                <c:ptCount val="601"/>
                <c:pt idx="0">
                  <c:v>61.866199999999999</c:v>
                </c:pt>
                <c:pt idx="1">
                  <c:v>62.031700000000001</c:v>
                </c:pt>
                <c:pt idx="2">
                  <c:v>61.395499999999998</c:v>
                </c:pt>
                <c:pt idx="3">
                  <c:v>61.760199999999998</c:v>
                </c:pt>
                <c:pt idx="4">
                  <c:v>61.351300000000002</c:v>
                </c:pt>
                <c:pt idx="5">
                  <c:v>61.192799999999998</c:v>
                </c:pt>
                <c:pt idx="6">
                  <c:v>60.626899999999999</c:v>
                </c:pt>
                <c:pt idx="7">
                  <c:v>61.5627</c:v>
                </c:pt>
                <c:pt idx="8">
                  <c:v>61.827500000000001</c:v>
                </c:pt>
                <c:pt idx="9">
                  <c:v>62.023099999999999</c:v>
                </c:pt>
                <c:pt idx="10">
                  <c:v>60.9131</c:v>
                </c:pt>
                <c:pt idx="11">
                  <c:v>60.119900000000001</c:v>
                </c:pt>
                <c:pt idx="12">
                  <c:v>59.922199999999997</c:v>
                </c:pt>
                <c:pt idx="13">
                  <c:v>60.0319</c:v>
                </c:pt>
                <c:pt idx="14">
                  <c:v>59.837299999999999</c:v>
                </c:pt>
                <c:pt idx="15">
                  <c:v>60.421700000000001</c:v>
                </c:pt>
                <c:pt idx="16">
                  <c:v>60.6175</c:v>
                </c:pt>
                <c:pt idx="17">
                  <c:v>60.594000000000001</c:v>
                </c:pt>
                <c:pt idx="18">
                  <c:v>60.509900000000002</c:v>
                </c:pt>
                <c:pt idx="19">
                  <c:v>59.986600000000003</c:v>
                </c:pt>
                <c:pt idx="20">
                  <c:v>60.001899999999999</c:v>
                </c:pt>
                <c:pt idx="21">
                  <c:v>58.306600000000003</c:v>
                </c:pt>
                <c:pt idx="22">
                  <c:v>56.386600000000001</c:v>
                </c:pt>
                <c:pt idx="23">
                  <c:v>55.1</c:v>
                </c:pt>
                <c:pt idx="24">
                  <c:v>54.361600000000003</c:v>
                </c:pt>
                <c:pt idx="25">
                  <c:v>54.505400000000002</c:v>
                </c:pt>
                <c:pt idx="26">
                  <c:v>55.655099999999997</c:v>
                </c:pt>
                <c:pt idx="27">
                  <c:v>55.919899999999998</c:v>
                </c:pt>
                <c:pt idx="28">
                  <c:v>56.689399999999999</c:v>
                </c:pt>
                <c:pt idx="29">
                  <c:v>58.137700000000002</c:v>
                </c:pt>
                <c:pt idx="30">
                  <c:v>58.454799999999999</c:v>
                </c:pt>
                <c:pt idx="31">
                  <c:v>59.307600000000001</c:v>
                </c:pt>
                <c:pt idx="32">
                  <c:v>59.3992</c:v>
                </c:pt>
                <c:pt idx="33">
                  <c:v>59.604500000000002</c:v>
                </c:pt>
                <c:pt idx="34">
                  <c:v>60.165999999999997</c:v>
                </c:pt>
                <c:pt idx="35">
                  <c:v>60.862200000000001</c:v>
                </c:pt>
                <c:pt idx="36">
                  <c:v>61.150399999999998</c:v>
                </c:pt>
                <c:pt idx="37">
                  <c:v>61.0655</c:v>
                </c:pt>
                <c:pt idx="38">
                  <c:v>61.191400000000002</c:v>
                </c:pt>
                <c:pt idx="39">
                  <c:v>61.657400000000003</c:v>
                </c:pt>
                <c:pt idx="40">
                  <c:v>61.496899999999997</c:v>
                </c:pt>
                <c:pt idx="41">
                  <c:v>61.865200000000002</c:v>
                </c:pt>
                <c:pt idx="42">
                  <c:v>61.987200000000001</c:v>
                </c:pt>
                <c:pt idx="43">
                  <c:v>62.049199999999999</c:v>
                </c:pt>
                <c:pt idx="44">
                  <c:v>62.490600000000001</c:v>
                </c:pt>
                <c:pt idx="45">
                  <c:v>63.6051</c:v>
                </c:pt>
                <c:pt idx="46">
                  <c:v>64.291700000000006</c:v>
                </c:pt>
                <c:pt idx="47">
                  <c:v>64.025599999999997</c:v>
                </c:pt>
                <c:pt idx="48">
                  <c:v>64.9161</c:v>
                </c:pt>
                <c:pt idx="49">
                  <c:v>65.002200000000002</c:v>
                </c:pt>
                <c:pt idx="50">
                  <c:v>65.456800000000001</c:v>
                </c:pt>
                <c:pt idx="51">
                  <c:v>65.461500000000001</c:v>
                </c:pt>
                <c:pt idx="52">
                  <c:v>65.941500000000005</c:v>
                </c:pt>
                <c:pt idx="53">
                  <c:v>66.063599999999994</c:v>
                </c:pt>
                <c:pt idx="54">
                  <c:v>66.192999999999998</c:v>
                </c:pt>
                <c:pt idx="55">
                  <c:v>66.310500000000005</c:v>
                </c:pt>
                <c:pt idx="56">
                  <c:v>66.814899999999994</c:v>
                </c:pt>
                <c:pt idx="57">
                  <c:v>66.901399999999995</c:v>
                </c:pt>
                <c:pt idx="58">
                  <c:v>67.486500000000007</c:v>
                </c:pt>
                <c:pt idx="59">
                  <c:v>65.708100000000002</c:v>
                </c:pt>
                <c:pt idx="60">
                  <c:v>66.788700000000006</c:v>
                </c:pt>
                <c:pt idx="61">
                  <c:v>68.140199999999993</c:v>
                </c:pt>
                <c:pt idx="62">
                  <c:v>68.575100000000006</c:v>
                </c:pt>
                <c:pt idx="63">
                  <c:v>68.192499999999995</c:v>
                </c:pt>
                <c:pt idx="64">
                  <c:v>68.559299999999993</c:v>
                </c:pt>
                <c:pt idx="65">
                  <c:v>68.184299999999993</c:v>
                </c:pt>
                <c:pt idx="66">
                  <c:v>68.078900000000004</c:v>
                </c:pt>
                <c:pt idx="67">
                  <c:v>68.1905</c:v>
                </c:pt>
                <c:pt idx="68">
                  <c:v>68.09</c:v>
                </c:pt>
                <c:pt idx="69">
                  <c:v>68.303200000000004</c:v>
                </c:pt>
                <c:pt idx="70">
                  <c:v>68.436899999999994</c:v>
                </c:pt>
                <c:pt idx="71">
                  <c:v>68.291700000000006</c:v>
                </c:pt>
                <c:pt idx="72">
                  <c:v>67.796099999999996</c:v>
                </c:pt>
                <c:pt idx="73">
                  <c:v>68.070999999999998</c:v>
                </c:pt>
                <c:pt idx="74">
                  <c:v>66.759900000000002</c:v>
                </c:pt>
                <c:pt idx="75">
                  <c:v>67.262</c:v>
                </c:pt>
                <c:pt idx="76">
                  <c:v>66.993399999999994</c:v>
                </c:pt>
                <c:pt idx="77">
                  <c:v>66.494299999999996</c:v>
                </c:pt>
                <c:pt idx="78">
                  <c:v>65.761099999999999</c:v>
                </c:pt>
                <c:pt idx="79">
                  <c:v>66.100399999999993</c:v>
                </c:pt>
                <c:pt idx="80">
                  <c:v>66.332499999999996</c:v>
                </c:pt>
                <c:pt idx="81">
                  <c:v>66.152799999999999</c:v>
                </c:pt>
                <c:pt idx="82">
                  <c:v>66.1892</c:v>
                </c:pt>
                <c:pt idx="83">
                  <c:v>65.9649</c:v>
                </c:pt>
                <c:pt idx="84">
                  <c:v>66.147499999999994</c:v>
                </c:pt>
                <c:pt idx="85">
                  <c:v>65.636600000000001</c:v>
                </c:pt>
                <c:pt idx="86">
                  <c:v>64.592600000000004</c:v>
                </c:pt>
                <c:pt idx="87">
                  <c:v>63.224600000000002</c:v>
                </c:pt>
                <c:pt idx="88">
                  <c:v>62.863799999999998</c:v>
                </c:pt>
                <c:pt idx="89">
                  <c:v>62.879600000000003</c:v>
                </c:pt>
                <c:pt idx="90">
                  <c:v>63.1066</c:v>
                </c:pt>
                <c:pt idx="91">
                  <c:v>63.713500000000003</c:v>
                </c:pt>
                <c:pt idx="92">
                  <c:v>64.177499999999995</c:v>
                </c:pt>
                <c:pt idx="93">
                  <c:v>64.464600000000004</c:v>
                </c:pt>
                <c:pt idx="94">
                  <c:v>64.493399999999994</c:v>
                </c:pt>
                <c:pt idx="95">
                  <c:v>64.489099999999993</c:v>
                </c:pt>
                <c:pt idx="96">
                  <c:v>64.370599999999996</c:v>
                </c:pt>
                <c:pt idx="97">
                  <c:v>64.322800000000001</c:v>
                </c:pt>
                <c:pt idx="98">
                  <c:v>64.475899999999996</c:v>
                </c:pt>
                <c:pt idx="99">
                  <c:v>65.130399999999995</c:v>
                </c:pt>
                <c:pt idx="100">
                  <c:v>64.674800000000005</c:v>
                </c:pt>
                <c:pt idx="101">
                  <c:v>65.140199999999993</c:v>
                </c:pt>
                <c:pt idx="102">
                  <c:v>65.130200000000002</c:v>
                </c:pt>
                <c:pt idx="103">
                  <c:v>64.662599999999998</c:v>
                </c:pt>
                <c:pt idx="104">
                  <c:v>64.983699999999999</c:v>
                </c:pt>
                <c:pt idx="105">
                  <c:v>64.882199999999997</c:v>
                </c:pt>
                <c:pt idx="106">
                  <c:v>64.226299999999995</c:v>
                </c:pt>
                <c:pt idx="107">
                  <c:v>63.044199999999996</c:v>
                </c:pt>
                <c:pt idx="108">
                  <c:v>64.827299999999994</c:v>
                </c:pt>
                <c:pt idx="109">
                  <c:v>64.458100000000002</c:v>
                </c:pt>
                <c:pt idx="110">
                  <c:v>64.406999999999996</c:v>
                </c:pt>
                <c:pt idx="111">
                  <c:v>64.444800000000001</c:v>
                </c:pt>
                <c:pt idx="112">
                  <c:v>64.886600000000001</c:v>
                </c:pt>
                <c:pt idx="113">
                  <c:v>65.042400000000001</c:v>
                </c:pt>
                <c:pt idx="114">
                  <c:v>64.869</c:v>
                </c:pt>
                <c:pt idx="115">
                  <c:v>64.842299999999994</c:v>
                </c:pt>
                <c:pt idx="116">
                  <c:v>64.8523</c:v>
                </c:pt>
                <c:pt idx="117">
                  <c:v>64.733699999999999</c:v>
                </c:pt>
                <c:pt idx="118">
                  <c:v>63.908799999999999</c:v>
                </c:pt>
                <c:pt idx="119">
                  <c:v>65.2804</c:v>
                </c:pt>
                <c:pt idx="120">
                  <c:v>64.451700000000002</c:v>
                </c:pt>
                <c:pt idx="121">
                  <c:v>64.715199999999996</c:v>
                </c:pt>
                <c:pt idx="122">
                  <c:v>66.007900000000006</c:v>
                </c:pt>
                <c:pt idx="123">
                  <c:v>66.248800000000003</c:v>
                </c:pt>
                <c:pt idx="124">
                  <c:v>66.474999999999994</c:v>
                </c:pt>
                <c:pt idx="125">
                  <c:v>67.3446</c:v>
                </c:pt>
                <c:pt idx="126">
                  <c:v>67.948099999999997</c:v>
                </c:pt>
                <c:pt idx="127">
                  <c:v>68.803700000000006</c:v>
                </c:pt>
                <c:pt idx="128">
                  <c:v>68.402799999999999</c:v>
                </c:pt>
                <c:pt idx="129">
                  <c:v>68.514799999999994</c:v>
                </c:pt>
                <c:pt idx="130">
                  <c:v>68.61</c:v>
                </c:pt>
                <c:pt idx="131">
                  <c:v>69.981899999999996</c:v>
                </c:pt>
                <c:pt idx="132">
                  <c:v>69.829899999999995</c:v>
                </c:pt>
                <c:pt idx="133">
                  <c:v>70.092500000000001</c:v>
                </c:pt>
                <c:pt idx="134">
                  <c:v>70.275099999999995</c:v>
                </c:pt>
                <c:pt idx="135">
                  <c:v>70.026499999999999</c:v>
                </c:pt>
                <c:pt idx="136">
                  <c:v>69.991399999999999</c:v>
                </c:pt>
                <c:pt idx="137">
                  <c:v>69.990499999999997</c:v>
                </c:pt>
                <c:pt idx="138">
                  <c:v>69.651799999999994</c:v>
                </c:pt>
                <c:pt idx="139">
                  <c:v>69.403599999999997</c:v>
                </c:pt>
                <c:pt idx="140">
                  <c:v>70.031300000000002</c:v>
                </c:pt>
                <c:pt idx="141">
                  <c:v>70.239199999999997</c:v>
                </c:pt>
                <c:pt idx="142">
                  <c:v>70.570800000000006</c:v>
                </c:pt>
                <c:pt idx="143">
                  <c:v>70.160499999999999</c:v>
                </c:pt>
                <c:pt idx="144">
                  <c:v>70.559100000000001</c:v>
                </c:pt>
                <c:pt idx="145">
                  <c:v>70.500100000000003</c:v>
                </c:pt>
                <c:pt idx="146">
                  <c:v>70.128799999999998</c:v>
                </c:pt>
                <c:pt idx="147">
                  <c:v>70.251499999999993</c:v>
                </c:pt>
                <c:pt idx="148">
                  <c:v>70.471000000000004</c:v>
                </c:pt>
                <c:pt idx="149">
                  <c:v>70.249499999999998</c:v>
                </c:pt>
                <c:pt idx="150">
                  <c:v>70.577699999999993</c:v>
                </c:pt>
                <c:pt idx="151">
                  <c:v>70.916399999999996</c:v>
                </c:pt>
                <c:pt idx="152">
                  <c:v>70.830699999999993</c:v>
                </c:pt>
                <c:pt idx="153">
                  <c:v>71.227900000000005</c:v>
                </c:pt>
                <c:pt idx="154">
                  <c:v>71.908900000000003</c:v>
                </c:pt>
                <c:pt idx="155">
                  <c:v>72.742900000000006</c:v>
                </c:pt>
                <c:pt idx="156">
                  <c:v>72.128600000000006</c:v>
                </c:pt>
                <c:pt idx="157">
                  <c:v>71.8613</c:v>
                </c:pt>
                <c:pt idx="158">
                  <c:v>72.3446</c:v>
                </c:pt>
                <c:pt idx="159">
                  <c:v>72.746799999999993</c:v>
                </c:pt>
                <c:pt idx="160">
                  <c:v>72.741</c:v>
                </c:pt>
                <c:pt idx="161">
                  <c:v>73.184200000000004</c:v>
                </c:pt>
                <c:pt idx="162">
                  <c:v>73.123500000000007</c:v>
                </c:pt>
                <c:pt idx="163">
                  <c:v>73.235200000000006</c:v>
                </c:pt>
                <c:pt idx="164">
                  <c:v>73.521199999999993</c:v>
                </c:pt>
                <c:pt idx="165">
                  <c:v>74.023200000000003</c:v>
                </c:pt>
                <c:pt idx="166">
                  <c:v>74.787499999999994</c:v>
                </c:pt>
                <c:pt idx="167">
                  <c:v>73.962500000000006</c:v>
                </c:pt>
                <c:pt idx="168">
                  <c:v>74.959100000000007</c:v>
                </c:pt>
                <c:pt idx="169">
                  <c:v>75.123400000000004</c:v>
                </c:pt>
                <c:pt idx="170">
                  <c:v>75.014799999999994</c:v>
                </c:pt>
                <c:pt idx="171">
                  <c:v>75.5976</c:v>
                </c:pt>
                <c:pt idx="172">
                  <c:v>75.802499999999995</c:v>
                </c:pt>
                <c:pt idx="173">
                  <c:v>76.313100000000006</c:v>
                </c:pt>
                <c:pt idx="174">
                  <c:v>76.701899999999995</c:v>
                </c:pt>
                <c:pt idx="175">
                  <c:v>76.483800000000002</c:v>
                </c:pt>
                <c:pt idx="176">
                  <c:v>77.800299999999993</c:v>
                </c:pt>
                <c:pt idx="177">
                  <c:v>77.842699999999994</c:v>
                </c:pt>
                <c:pt idx="178">
                  <c:v>78.024699999999996</c:v>
                </c:pt>
                <c:pt idx="179">
                  <c:v>78.308400000000006</c:v>
                </c:pt>
                <c:pt idx="180">
                  <c:v>78.683999999999997</c:v>
                </c:pt>
                <c:pt idx="181">
                  <c:v>78.561000000000007</c:v>
                </c:pt>
                <c:pt idx="182">
                  <c:v>79.185400000000001</c:v>
                </c:pt>
                <c:pt idx="183">
                  <c:v>78.771699999999996</c:v>
                </c:pt>
                <c:pt idx="184">
                  <c:v>78.763800000000003</c:v>
                </c:pt>
                <c:pt idx="185">
                  <c:v>78.715999999999994</c:v>
                </c:pt>
                <c:pt idx="186">
                  <c:v>79.243200000000002</c:v>
                </c:pt>
                <c:pt idx="187">
                  <c:v>78.764499999999998</c:v>
                </c:pt>
                <c:pt idx="188">
                  <c:v>79.365399999999994</c:v>
                </c:pt>
                <c:pt idx="189">
                  <c:v>79.522599999999997</c:v>
                </c:pt>
                <c:pt idx="190">
                  <c:v>79.936999999999998</c:v>
                </c:pt>
                <c:pt idx="191">
                  <c:v>79.987099999999998</c:v>
                </c:pt>
                <c:pt idx="192">
                  <c:v>79.992900000000006</c:v>
                </c:pt>
                <c:pt idx="193">
                  <c:v>80.143000000000001</c:v>
                </c:pt>
                <c:pt idx="194">
                  <c:v>79.960599999999999</c:v>
                </c:pt>
                <c:pt idx="195">
                  <c:v>79.241200000000006</c:v>
                </c:pt>
                <c:pt idx="196">
                  <c:v>79.252700000000004</c:v>
                </c:pt>
                <c:pt idx="197">
                  <c:v>77.498800000000003</c:v>
                </c:pt>
                <c:pt idx="198">
                  <c:v>78.859300000000005</c:v>
                </c:pt>
                <c:pt idx="199">
                  <c:v>78.577500000000001</c:v>
                </c:pt>
                <c:pt idx="200">
                  <c:v>78.753600000000006</c:v>
                </c:pt>
                <c:pt idx="201">
                  <c:v>79.074600000000004</c:v>
                </c:pt>
                <c:pt idx="202">
                  <c:v>80.340400000000002</c:v>
                </c:pt>
                <c:pt idx="203">
                  <c:v>78.649600000000007</c:v>
                </c:pt>
                <c:pt idx="204">
                  <c:v>79.612799999999993</c:v>
                </c:pt>
                <c:pt idx="205">
                  <c:v>80.127899999999997</c:v>
                </c:pt>
                <c:pt idx="206">
                  <c:v>79.792400000000001</c:v>
                </c:pt>
                <c:pt idx="207">
                  <c:v>79.733000000000004</c:v>
                </c:pt>
                <c:pt idx="208">
                  <c:v>80.568299999999994</c:v>
                </c:pt>
                <c:pt idx="209">
                  <c:v>79.905799999999999</c:v>
                </c:pt>
                <c:pt idx="210">
                  <c:v>80.176500000000004</c:v>
                </c:pt>
                <c:pt idx="211">
                  <c:v>80.719499999999996</c:v>
                </c:pt>
                <c:pt idx="212">
                  <c:v>79.622799999999998</c:v>
                </c:pt>
                <c:pt idx="213">
                  <c:v>78.732500000000002</c:v>
                </c:pt>
                <c:pt idx="214">
                  <c:v>78.138900000000007</c:v>
                </c:pt>
                <c:pt idx="215">
                  <c:v>78.525700000000001</c:v>
                </c:pt>
                <c:pt idx="216">
                  <c:v>77.772900000000007</c:v>
                </c:pt>
                <c:pt idx="217">
                  <c:v>77.8262</c:v>
                </c:pt>
                <c:pt idx="218">
                  <c:v>77.848299999999995</c:v>
                </c:pt>
                <c:pt idx="219">
                  <c:v>79.182400000000001</c:v>
                </c:pt>
                <c:pt idx="220">
                  <c:v>80.134100000000004</c:v>
                </c:pt>
                <c:pt idx="221">
                  <c:v>79.942099999999996</c:v>
                </c:pt>
                <c:pt idx="222">
                  <c:v>79.947900000000004</c:v>
                </c:pt>
                <c:pt idx="223">
                  <c:v>81.107900000000001</c:v>
                </c:pt>
                <c:pt idx="224">
                  <c:v>80.915899999999993</c:v>
                </c:pt>
                <c:pt idx="225">
                  <c:v>81.031999999999996</c:v>
                </c:pt>
                <c:pt idx="226">
                  <c:v>80.012600000000006</c:v>
                </c:pt>
                <c:pt idx="227">
                  <c:v>79.248000000000005</c:v>
                </c:pt>
                <c:pt idx="228">
                  <c:v>80.054100000000005</c:v>
                </c:pt>
                <c:pt idx="229">
                  <c:v>80.7864</c:v>
                </c:pt>
                <c:pt idx="230">
                  <c:v>81.544799999999995</c:v>
                </c:pt>
                <c:pt idx="231">
                  <c:v>82.075100000000006</c:v>
                </c:pt>
                <c:pt idx="232">
                  <c:v>81.673599999999993</c:v>
                </c:pt>
                <c:pt idx="233">
                  <c:v>82.740399999999994</c:v>
                </c:pt>
                <c:pt idx="234">
                  <c:v>82.772199999999998</c:v>
                </c:pt>
                <c:pt idx="235">
                  <c:v>82.407200000000003</c:v>
                </c:pt>
                <c:pt idx="236">
                  <c:v>83.507999999999996</c:v>
                </c:pt>
                <c:pt idx="237">
                  <c:v>83.675399999999996</c:v>
                </c:pt>
                <c:pt idx="238">
                  <c:v>83.697299999999998</c:v>
                </c:pt>
                <c:pt idx="239">
                  <c:v>84.166799999999995</c:v>
                </c:pt>
                <c:pt idx="240">
                  <c:v>84.267200000000003</c:v>
                </c:pt>
                <c:pt idx="241">
                  <c:v>84.308800000000005</c:v>
                </c:pt>
                <c:pt idx="242">
                  <c:v>84.387299999999996</c:v>
                </c:pt>
                <c:pt idx="243">
                  <c:v>83.758200000000002</c:v>
                </c:pt>
                <c:pt idx="244">
                  <c:v>83.921999999999997</c:v>
                </c:pt>
                <c:pt idx="245">
                  <c:v>84.591800000000006</c:v>
                </c:pt>
                <c:pt idx="246">
                  <c:v>84.486900000000006</c:v>
                </c:pt>
                <c:pt idx="247">
                  <c:v>84.742699999999999</c:v>
                </c:pt>
                <c:pt idx="248">
                  <c:v>85.158199999999994</c:v>
                </c:pt>
                <c:pt idx="249">
                  <c:v>85.279700000000005</c:v>
                </c:pt>
                <c:pt idx="250">
                  <c:v>85.511099999999999</c:v>
                </c:pt>
                <c:pt idx="251">
                  <c:v>86.069699999999997</c:v>
                </c:pt>
                <c:pt idx="252">
                  <c:v>86.230099999999993</c:v>
                </c:pt>
                <c:pt idx="253">
                  <c:v>86.962699999999998</c:v>
                </c:pt>
                <c:pt idx="254">
                  <c:v>87.209699999999998</c:v>
                </c:pt>
                <c:pt idx="255">
                  <c:v>87.699399999999997</c:v>
                </c:pt>
                <c:pt idx="256">
                  <c:v>88.322000000000003</c:v>
                </c:pt>
                <c:pt idx="257">
                  <c:v>87.8857</c:v>
                </c:pt>
                <c:pt idx="258">
                  <c:v>89.024000000000001</c:v>
                </c:pt>
                <c:pt idx="259">
                  <c:v>88.533799999999999</c:v>
                </c:pt>
                <c:pt idx="260">
                  <c:v>89.403199999999998</c:v>
                </c:pt>
                <c:pt idx="261">
                  <c:v>89.493300000000005</c:v>
                </c:pt>
                <c:pt idx="262">
                  <c:v>90.193399999999997</c:v>
                </c:pt>
                <c:pt idx="263">
                  <c:v>90.032200000000003</c:v>
                </c:pt>
                <c:pt idx="264">
                  <c:v>90.214799999999997</c:v>
                </c:pt>
                <c:pt idx="265">
                  <c:v>90.178700000000006</c:v>
                </c:pt>
                <c:pt idx="266">
                  <c:v>89.738799999999998</c:v>
                </c:pt>
                <c:pt idx="267">
                  <c:v>90.057299999999998</c:v>
                </c:pt>
                <c:pt idx="268">
                  <c:v>90.441500000000005</c:v>
                </c:pt>
                <c:pt idx="269">
                  <c:v>89.946799999999996</c:v>
                </c:pt>
                <c:pt idx="270">
                  <c:v>91.316900000000004</c:v>
                </c:pt>
                <c:pt idx="271">
                  <c:v>91.507499999999993</c:v>
                </c:pt>
                <c:pt idx="272">
                  <c:v>90.670500000000004</c:v>
                </c:pt>
                <c:pt idx="273">
                  <c:v>90.977199999999996</c:v>
                </c:pt>
                <c:pt idx="274">
                  <c:v>91.261499999999998</c:v>
                </c:pt>
                <c:pt idx="275">
                  <c:v>90.235200000000006</c:v>
                </c:pt>
                <c:pt idx="276">
                  <c:v>91.598200000000006</c:v>
                </c:pt>
                <c:pt idx="277">
                  <c:v>91.035899999999998</c:v>
                </c:pt>
                <c:pt idx="278">
                  <c:v>91.878299999999996</c:v>
                </c:pt>
                <c:pt idx="279">
                  <c:v>92.023399999999995</c:v>
                </c:pt>
                <c:pt idx="280">
                  <c:v>92.675399999999996</c:v>
                </c:pt>
                <c:pt idx="281">
                  <c:v>92.180700000000002</c:v>
                </c:pt>
                <c:pt idx="282">
                  <c:v>91.869299999999996</c:v>
                </c:pt>
                <c:pt idx="283">
                  <c:v>92.817700000000002</c:v>
                </c:pt>
                <c:pt idx="284">
                  <c:v>92.305199999999999</c:v>
                </c:pt>
                <c:pt idx="285">
                  <c:v>93.386200000000002</c:v>
                </c:pt>
                <c:pt idx="286">
                  <c:v>93.607699999999994</c:v>
                </c:pt>
                <c:pt idx="287">
                  <c:v>93.382800000000003</c:v>
                </c:pt>
                <c:pt idx="288">
                  <c:v>93.898799999999994</c:v>
                </c:pt>
                <c:pt idx="289">
                  <c:v>94.5642</c:v>
                </c:pt>
                <c:pt idx="290">
                  <c:v>93.620800000000003</c:v>
                </c:pt>
                <c:pt idx="291">
                  <c:v>94.327100000000002</c:v>
                </c:pt>
                <c:pt idx="292">
                  <c:v>94.256</c:v>
                </c:pt>
                <c:pt idx="293">
                  <c:v>95.162599999999998</c:v>
                </c:pt>
                <c:pt idx="294">
                  <c:v>95.975099999999998</c:v>
                </c:pt>
                <c:pt idx="295">
                  <c:v>96.706999999999994</c:v>
                </c:pt>
                <c:pt idx="296">
                  <c:v>98.200599999999994</c:v>
                </c:pt>
                <c:pt idx="297">
                  <c:v>98.416700000000006</c:v>
                </c:pt>
                <c:pt idx="298">
                  <c:v>98.115399999999994</c:v>
                </c:pt>
                <c:pt idx="299">
                  <c:v>98.555800000000005</c:v>
                </c:pt>
                <c:pt idx="300">
                  <c:v>98.426599999999993</c:v>
                </c:pt>
                <c:pt idx="301">
                  <c:v>98.507900000000006</c:v>
                </c:pt>
                <c:pt idx="302">
                  <c:v>99.132400000000004</c:v>
                </c:pt>
                <c:pt idx="303">
                  <c:v>99.504999999999995</c:v>
                </c:pt>
                <c:pt idx="304">
                  <c:v>98.472399999999993</c:v>
                </c:pt>
                <c:pt idx="305">
                  <c:v>97.5946</c:v>
                </c:pt>
                <c:pt idx="306">
                  <c:v>100.3429</c:v>
                </c:pt>
                <c:pt idx="307">
                  <c:v>99.647499999999994</c:v>
                </c:pt>
                <c:pt idx="308">
                  <c:v>100.01139999999999</c:v>
                </c:pt>
                <c:pt idx="309">
                  <c:v>99.335400000000007</c:v>
                </c:pt>
                <c:pt idx="310">
                  <c:v>99.3904</c:v>
                </c:pt>
                <c:pt idx="311">
                  <c:v>100.401</c:v>
                </c:pt>
                <c:pt idx="312">
                  <c:v>100.8216</c:v>
                </c:pt>
                <c:pt idx="313">
                  <c:v>100.6028</c:v>
                </c:pt>
                <c:pt idx="314">
                  <c:v>100.4738</c:v>
                </c:pt>
                <c:pt idx="315">
                  <c:v>101.3797</c:v>
                </c:pt>
                <c:pt idx="316">
                  <c:v>100.4316</c:v>
                </c:pt>
                <c:pt idx="317">
                  <c:v>100.06959999999999</c:v>
                </c:pt>
                <c:pt idx="318">
                  <c:v>101.3493</c:v>
                </c:pt>
                <c:pt idx="319">
                  <c:v>100.55759999999999</c:v>
                </c:pt>
                <c:pt idx="320">
                  <c:v>102.5164</c:v>
                </c:pt>
                <c:pt idx="321">
                  <c:v>102.4432</c:v>
                </c:pt>
                <c:pt idx="322">
                  <c:v>103.5578</c:v>
                </c:pt>
                <c:pt idx="323">
                  <c:v>102.2092</c:v>
                </c:pt>
                <c:pt idx="324">
                  <c:v>102.97499999999999</c:v>
                </c:pt>
                <c:pt idx="325">
                  <c:v>102.5934</c:v>
                </c:pt>
                <c:pt idx="326">
                  <c:v>103.45489999999999</c:v>
                </c:pt>
                <c:pt idx="327">
                  <c:v>103.6429</c:v>
                </c:pt>
                <c:pt idx="328">
                  <c:v>103.727</c:v>
                </c:pt>
                <c:pt idx="329">
                  <c:v>103.2899</c:v>
                </c:pt>
                <c:pt idx="330">
                  <c:v>102.7901</c:v>
                </c:pt>
                <c:pt idx="331">
                  <c:v>103.7769</c:v>
                </c:pt>
                <c:pt idx="332">
                  <c:v>102.6825</c:v>
                </c:pt>
                <c:pt idx="333">
                  <c:v>102.9923</c:v>
                </c:pt>
                <c:pt idx="334">
                  <c:v>103.5509</c:v>
                </c:pt>
                <c:pt idx="335">
                  <c:v>102.68300000000001</c:v>
                </c:pt>
                <c:pt idx="336">
                  <c:v>102.03270000000001</c:v>
                </c:pt>
                <c:pt idx="337">
                  <c:v>101.9992</c:v>
                </c:pt>
                <c:pt idx="338">
                  <c:v>102.3592</c:v>
                </c:pt>
                <c:pt idx="339">
                  <c:v>102.35939999999999</c:v>
                </c:pt>
                <c:pt idx="340">
                  <c:v>102.3794</c:v>
                </c:pt>
                <c:pt idx="341">
                  <c:v>101.869</c:v>
                </c:pt>
                <c:pt idx="342">
                  <c:v>102.078</c:v>
                </c:pt>
                <c:pt idx="343">
                  <c:v>101.5252</c:v>
                </c:pt>
                <c:pt idx="344">
                  <c:v>102.05159999999999</c:v>
                </c:pt>
                <c:pt idx="345">
                  <c:v>101.9045</c:v>
                </c:pt>
                <c:pt idx="346">
                  <c:v>102.4789</c:v>
                </c:pt>
                <c:pt idx="347">
                  <c:v>103.5265</c:v>
                </c:pt>
                <c:pt idx="348">
                  <c:v>102.8599</c:v>
                </c:pt>
                <c:pt idx="349">
                  <c:v>103.70610000000001</c:v>
                </c:pt>
                <c:pt idx="350">
                  <c:v>103.5998</c:v>
                </c:pt>
                <c:pt idx="351">
                  <c:v>103.9622</c:v>
                </c:pt>
                <c:pt idx="352">
                  <c:v>105.039</c:v>
                </c:pt>
                <c:pt idx="353">
                  <c:v>105.11190000000001</c:v>
                </c:pt>
                <c:pt idx="354">
                  <c:v>104.3943</c:v>
                </c:pt>
                <c:pt idx="355">
                  <c:v>104.5303</c:v>
                </c:pt>
                <c:pt idx="356">
                  <c:v>104.374</c:v>
                </c:pt>
                <c:pt idx="357">
                  <c:v>105.1564</c:v>
                </c:pt>
                <c:pt idx="358">
                  <c:v>104.2045</c:v>
                </c:pt>
                <c:pt idx="359">
                  <c:v>105.50230000000001</c:v>
                </c:pt>
                <c:pt idx="360">
                  <c:v>105.9067</c:v>
                </c:pt>
                <c:pt idx="361">
                  <c:v>105.8917</c:v>
                </c:pt>
                <c:pt idx="362">
                  <c:v>105.06010000000001</c:v>
                </c:pt>
                <c:pt idx="363">
                  <c:v>104.768</c:v>
                </c:pt>
                <c:pt idx="364">
                  <c:v>104.9701</c:v>
                </c:pt>
                <c:pt idx="365">
                  <c:v>106.021</c:v>
                </c:pt>
                <c:pt idx="366">
                  <c:v>105.12690000000001</c:v>
                </c:pt>
                <c:pt idx="367">
                  <c:v>106.0009</c:v>
                </c:pt>
                <c:pt idx="368">
                  <c:v>105.3013</c:v>
                </c:pt>
                <c:pt idx="369">
                  <c:v>105.99550000000001</c:v>
                </c:pt>
                <c:pt idx="370">
                  <c:v>106.17910000000001</c:v>
                </c:pt>
                <c:pt idx="371">
                  <c:v>106.5091</c:v>
                </c:pt>
                <c:pt idx="372">
                  <c:v>107.0544</c:v>
                </c:pt>
                <c:pt idx="373">
                  <c:v>106.03919999999999</c:v>
                </c:pt>
                <c:pt idx="374">
                  <c:v>106.6913</c:v>
                </c:pt>
                <c:pt idx="375">
                  <c:v>107.1279</c:v>
                </c:pt>
                <c:pt idx="376">
                  <c:v>105.65940000000001</c:v>
                </c:pt>
                <c:pt idx="377">
                  <c:v>106.00190000000001</c:v>
                </c:pt>
                <c:pt idx="378">
                  <c:v>106.4401</c:v>
                </c:pt>
                <c:pt idx="379">
                  <c:v>106.3818</c:v>
                </c:pt>
                <c:pt idx="380">
                  <c:v>107.4329</c:v>
                </c:pt>
                <c:pt idx="381">
                  <c:v>107.2585</c:v>
                </c:pt>
                <c:pt idx="382">
                  <c:v>108.0454</c:v>
                </c:pt>
                <c:pt idx="383">
                  <c:v>108.313</c:v>
                </c:pt>
                <c:pt idx="384">
                  <c:v>108.99930000000001</c:v>
                </c:pt>
                <c:pt idx="385">
                  <c:v>108.4769</c:v>
                </c:pt>
                <c:pt idx="386">
                  <c:v>108.4438</c:v>
                </c:pt>
                <c:pt idx="387">
                  <c:v>109.01649999999999</c:v>
                </c:pt>
                <c:pt idx="388">
                  <c:v>109.98520000000001</c:v>
                </c:pt>
                <c:pt idx="389">
                  <c:v>109.5509</c:v>
                </c:pt>
                <c:pt idx="390">
                  <c:v>110.0682</c:v>
                </c:pt>
                <c:pt idx="391">
                  <c:v>110.193</c:v>
                </c:pt>
                <c:pt idx="392">
                  <c:v>110.14409999999999</c:v>
                </c:pt>
                <c:pt idx="393">
                  <c:v>110.039</c:v>
                </c:pt>
                <c:pt idx="394">
                  <c:v>110.8018</c:v>
                </c:pt>
                <c:pt idx="395">
                  <c:v>109.9032</c:v>
                </c:pt>
                <c:pt idx="396">
                  <c:v>109.37739999999999</c:v>
                </c:pt>
                <c:pt idx="397">
                  <c:v>109.9837</c:v>
                </c:pt>
                <c:pt idx="398">
                  <c:v>110.29689999999999</c:v>
                </c:pt>
                <c:pt idx="399">
                  <c:v>110.1178</c:v>
                </c:pt>
                <c:pt idx="400">
                  <c:v>110.63509999999999</c:v>
                </c:pt>
                <c:pt idx="401">
                  <c:v>109.6644</c:v>
                </c:pt>
                <c:pt idx="402">
                  <c:v>110.6915</c:v>
                </c:pt>
                <c:pt idx="403">
                  <c:v>110.1818</c:v>
                </c:pt>
                <c:pt idx="404">
                  <c:v>110.04949999999999</c:v>
                </c:pt>
                <c:pt idx="405">
                  <c:v>110.20399999999999</c:v>
                </c:pt>
                <c:pt idx="406">
                  <c:v>110.76</c:v>
                </c:pt>
                <c:pt idx="407">
                  <c:v>110.0997</c:v>
                </c:pt>
                <c:pt idx="408">
                  <c:v>111.3505</c:v>
                </c:pt>
                <c:pt idx="409">
                  <c:v>110.47450000000001</c:v>
                </c:pt>
                <c:pt idx="410">
                  <c:v>111.0609</c:v>
                </c:pt>
                <c:pt idx="411">
                  <c:v>110.6503</c:v>
                </c:pt>
                <c:pt idx="412">
                  <c:v>110.7778</c:v>
                </c:pt>
                <c:pt idx="413">
                  <c:v>110.4575</c:v>
                </c:pt>
                <c:pt idx="414">
                  <c:v>110.2414</c:v>
                </c:pt>
                <c:pt idx="415">
                  <c:v>110.1271</c:v>
                </c:pt>
                <c:pt idx="416">
                  <c:v>109.1465</c:v>
                </c:pt>
                <c:pt idx="417">
                  <c:v>109.11060000000001</c:v>
                </c:pt>
                <c:pt idx="418">
                  <c:v>108.79389999999999</c:v>
                </c:pt>
                <c:pt idx="419">
                  <c:v>108.53270000000001</c:v>
                </c:pt>
                <c:pt idx="420">
                  <c:v>108.3496</c:v>
                </c:pt>
                <c:pt idx="421">
                  <c:v>106.7843</c:v>
                </c:pt>
                <c:pt idx="422">
                  <c:v>106.10809999999999</c:v>
                </c:pt>
                <c:pt idx="423">
                  <c:v>105.4884</c:v>
                </c:pt>
                <c:pt idx="424">
                  <c:v>105.2533</c:v>
                </c:pt>
                <c:pt idx="425">
                  <c:v>104.6172</c:v>
                </c:pt>
                <c:pt idx="426">
                  <c:v>102.73350000000001</c:v>
                </c:pt>
                <c:pt idx="427">
                  <c:v>102.01179999999999</c:v>
                </c:pt>
                <c:pt idx="428">
                  <c:v>102.2941</c:v>
                </c:pt>
                <c:pt idx="429">
                  <c:v>101.425</c:v>
                </c:pt>
                <c:pt idx="430">
                  <c:v>99.391199999999998</c:v>
                </c:pt>
                <c:pt idx="431">
                  <c:v>97.0261</c:v>
                </c:pt>
                <c:pt idx="432">
                  <c:v>97.113100000000003</c:v>
                </c:pt>
                <c:pt idx="433">
                  <c:v>96.575599999999994</c:v>
                </c:pt>
                <c:pt idx="434">
                  <c:v>96.281899999999993</c:v>
                </c:pt>
                <c:pt idx="435">
                  <c:v>95.035600000000002</c:v>
                </c:pt>
                <c:pt idx="436">
                  <c:v>94.602699999999999</c:v>
                </c:pt>
                <c:pt idx="437">
                  <c:v>95.873599999999996</c:v>
                </c:pt>
                <c:pt idx="438">
                  <c:v>96.717699999999994</c:v>
                </c:pt>
                <c:pt idx="439">
                  <c:v>97.520899999999997</c:v>
                </c:pt>
                <c:pt idx="440">
                  <c:v>97.750500000000002</c:v>
                </c:pt>
                <c:pt idx="441">
                  <c:v>97.1524</c:v>
                </c:pt>
                <c:pt idx="442">
                  <c:v>97.071399999999997</c:v>
                </c:pt>
                <c:pt idx="443">
                  <c:v>97.699299999999994</c:v>
                </c:pt>
                <c:pt idx="444">
                  <c:v>96.889799999999994</c:v>
                </c:pt>
                <c:pt idx="445">
                  <c:v>97.232900000000001</c:v>
                </c:pt>
                <c:pt idx="446">
                  <c:v>96.426400000000001</c:v>
                </c:pt>
                <c:pt idx="447">
                  <c:v>98.236000000000004</c:v>
                </c:pt>
                <c:pt idx="448">
                  <c:v>97.988699999999994</c:v>
                </c:pt>
                <c:pt idx="449">
                  <c:v>98.636899999999997</c:v>
                </c:pt>
                <c:pt idx="450">
                  <c:v>98.388400000000004</c:v>
                </c:pt>
                <c:pt idx="451">
                  <c:v>98.0077</c:v>
                </c:pt>
                <c:pt idx="452">
                  <c:v>98.002600000000001</c:v>
                </c:pt>
                <c:pt idx="453">
                  <c:v>97.461100000000002</c:v>
                </c:pt>
                <c:pt idx="454">
                  <c:v>98.555999999999997</c:v>
                </c:pt>
                <c:pt idx="455">
                  <c:v>98.594099999999997</c:v>
                </c:pt>
                <c:pt idx="456">
                  <c:v>98.408600000000007</c:v>
                </c:pt>
                <c:pt idx="457">
                  <c:v>98.668300000000002</c:v>
                </c:pt>
                <c:pt idx="458">
                  <c:v>98.486500000000007</c:v>
                </c:pt>
                <c:pt idx="459">
                  <c:v>98.679100000000005</c:v>
                </c:pt>
                <c:pt idx="460">
                  <c:v>98.593500000000006</c:v>
                </c:pt>
                <c:pt idx="461">
                  <c:v>99.284199999999998</c:v>
                </c:pt>
                <c:pt idx="462">
                  <c:v>99.855599999999995</c:v>
                </c:pt>
                <c:pt idx="463">
                  <c:v>99.267499999999998</c:v>
                </c:pt>
                <c:pt idx="464">
                  <c:v>99.522499999999994</c:v>
                </c:pt>
                <c:pt idx="465">
                  <c:v>98.568200000000004</c:v>
                </c:pt>
                <c:pt idx="466">
                  <c:v>98.463800000000006</c:v>
                </c:pt>
                <c:pt idx="467">
                  <c:v>98.382400000000004</c:v>
                </c:pt>
                <c:pt idx="468">
                  <c:v>98.277699999999996</c:v>
                </c:pt>
                <c:pt idx="469">
                  <c:v>96.700599999999994</c:v>
                </c:pt>
                <c:pt idx="470">
                  <c:v>97.465699999999998</c:v>
                </c:pt>
                <c:pt idx="471">
                  <c:v>98.003799999999998</c:v>
                </c:pt>
                <c:pt idx="472">
                  <c:v>97.729900000000001</c:v>
                </c:pt>
                <c:pt idx="473">
                  <c:v>97.812299999999993</c:v>
                </c:pt>
                <c:pt idx="474">
                  <c:v>97.310900000000004</c:v>
                </c:pt>
                <c:pt idx="475">
                  <c:v>97.002200000000002</c:v>
                </c:pt>
                <c:pt idx="476">
                  <c:v>97.0364</c:v>
                </c:pt>
                <c:pt idx="477">
                  <c:v>97.465599999999995</c:v>
                </c:pt>
                <c:pt idx="478">
                  <c:v>97.431799999999996</c:v>
                </c:pt>
                <c:pt idx="479">
                  <c:v>97.407300000000006</c:v>
                </c:pt>
                <c:pt idx="480">
                  <c:v>97.881900000000002</c:v>
                </c:pt>
                <c:pt idx="481">
                  <c:v>98.456400000000002</c:v>
                </c:pt>
                <c:pt idx="482">
                  <c:v>98.154799999999994</c:v>
                </c:pt>
                <c:pt idx="483">
                  <c:v>98.054699999999997</c:v>
                </c:pt>
                <c:pt idx="484">
                  <c:v>98.362700000000004</c:v>
                </c:pt>
                <c:pt idx="485">
                  <c:v>97.388400000000004</c:v>
                </c:pt>
                <c:pt idx="486">
                  <c:v>97.885900000000007</c:v>
                </c:pt>
                <c:pt idx="487">
                  <c:v>98.180099999999996</c:v>
                </c:pt>
                <c:pt idx="488">
                  <c:v>98.532700000000006</c:v>
                </c:pt>
                <c:pt idx="489">
                  <c:v>98.509699999999995</c:v>
                </c:pt>
                <c:pt idx="490">
                  <c:v>99.243700000000004</c:v>
                </c:pt>
                <c:pt idx="491">
                  <c:v>97.641199999999998</c:v>
                </c:pt>
                <c:pt idx="492">
                  <c:v>98.769400000000005</c:v>
                </c:pt>
                <c:pt idx="493">
                  <c:v>99.423199999999994</c:v>
                </c:pt>
                <c:pt idx="494">
                  <c:v>99.010900000000007</c:v>
                </c:pt>
                <c:pt idx="495">
                  <c:v>98.875500000000002</c:v>
                </c:pt>
                <c:pt idx="496">
                  <c:v>98.903800000000004</c:v>
                </c:pt>
                <c:pt idx="497">
                  <c:v>99.025499999999994</c:v>
                </c:pt>
                <c:pt idx="498">
                  <c:v>98.466800000000006</c:v>
                </c:pt>
                <c:pt idx="499">
                  <c:v>98.882599999999996</c:v>
                </c:pt>
                <c:pt idx="500">
                  <c:v>98.555199999999999</c:v>
                </c:pt>
                <c:pt idx="501">
                  <c:v>100.4474</c:v>
                </c:pt>
                <c:pt idx="502">
                  <c:v>100.12309999999999</c:v>
                </c:pt>
                <c:pt idx="503">
                  <c:v>100.2445</c:v>
                </c:pt>
                <c:pt idx="504">
                  <c:v>99.865600000000001</c:v>
                </c:pt>
                <c:pt idx="505">
                  <c:v>101.0236</c:v>
                </c:pt>
                <c:pt idx="506">
                  <c:v>100.1135</c:v>
                </c:pt>
                <c:pt idx="507">
                  <c:v>99.981700000000004</c:v>
                </c:pt>
                <c:pt idx="508">
                  <c:v>99.877799999999993</c:v>
                </c:pt>
                <c:pt idx="509">
                  <c:v>101.4229</c:v>
                </c:pt>
                <c:pt idx="510">
                  <c:v>101.35420000000001</c:v>
                </c:pt>
                <c:pt idx="511">
                  <c:v>101.06310000000001</c:v>
                </c:pt>
                <c:pt idx="512">
                  <c:v>100.6614</c:v>
                </c:pt>
                <c:pt idx="513">
                  <c:v>100.26430000000001</c:v>
                </c:pt>
                <c:pt idx="514">
                  <c:v>99.626199999999997</c:v>
                </c:pt>
                <c:pt idx="515">
                  <c:v>101.07299999999999</c:v>
                </c:pt>
                <c:pt idx="516">
                  <c:v>100.9036</c:v>
                </c:pt>
                <c:pt idx="517">
                  <c:v>100.1096</c:v>
                </c:pt>
                <c:pt idx="518">
                  <c:v>101.1156</c:v>
                </c:pt>
                <c:pt idx="519">
                  <c:v>100.7698</c:v>
                </c:pt>
                <c:pt idx="520">
                  <c:v>101.6818</c:v>
                </c:pt>
                <c:pt idx="521">
                  <c:v>101.53740000000001</c:v>
                </c:pt>
                <c:pt idx="522">
                  <c:v>101.7145</c:v>
                </c:pt>
                <c:pt idx="523">
                  <c:v>101.497</c:v>
                </c:pt>
                <c:pt idx="524">
                  <c:v>101.0271</c:v>
                </c:pt>
                <c:pt idx="525">
                  <c:v>99.943600000000004</c:v>
                </c:pt>
                <c:pt idx="526">
                  <c:v>101.4053</c:v>
                </c:pt>
                <c:pt idx="527">
                  <c:v>100.14060000000001</c:v>
                </c:pt>
                <c:pt idx="528">
                  <c:v>98.7988</c:v>
                </c:pt>
                <c:pt idx="529">
                  <c:v>99.514600000000002</c:v>
                </c:pt>
                <c:pt idx="530">
                  <c:v>100.3398</c:v>
                </c:pt>
                <c:pt idx="531">
                  <c:v>100.7988</c:v>
                </c:pt>
                <c:pt idx="532">
                  <c:v>100.31010000000001</c:v>
                </c:pt>
                <c:pt idx="533">
                  <c:v>99.972800000000007</c:v>
                </c:pt>
                <c:pt idx="534">
                  <c:v>99.767799999999994</c:v>
                </c:pt>
                <c:pt idx="535">
                  <c:v>99.666499999999999</c:v>
                </c:pt>
                <c:pt idx="536">
                  <c:v>100.47110000000001</c:v>
                </c:pt>
                <c:pt idx="537">
                  <c:v>99.944500000000005</c:v>
                </c:pt>
                <c:pt idx="538">
                  <c:v>100.2747</c:v>
                </c:pt>
                <c:pt idx="539">
                  <c:v>100.72669999999999</c:v>
                </c:pt>
                <c:pt idx="540">
                  <c:v>100.1498</c:v>
                </c:pt>
                <c:pt idx="541">
                  <c:v>100.5068</c:v>
                </c:pt>
                <c:pt idx="542">
                  <c:v>102.2392</c:v>
                </c:pt>
                <c:pt idx="543">
                  <c:v>99.483999999999995</c:v>
                </c:pt>
                <c:pt idx="544">
                  <c:v>100.4302</c:v>
                </c:pt>
                <c:pt idx="545">
                  <c:v>100.3079</c:v>
                </c:pt>
                <c:pt idx="546">
                  <c:v>101.1618</c:v>
                </c:pt>
                <c:pt idx="547">
                  <c:v>101.1465</c:v>
                </c:pt>
                <c:pt idx="548">
                  <c:v>101.1639</c:v>
                </c:pt>
                <c:pt idx="549">
                  <c:v>101.2022</c:v>
                </c:pt>
                <c:pt idx="550">
                  <c:v>100.9555</c:v>
                </c:pt>
                <c:pt idx="551">
                  <c:v>100.23739999999999</c:v>
                </c:pt>
                <c:pt idx="552">
                  <c:v>100.55329999999999</c:v>
                </c:pt>
                <c:pt idx="553">
                  <c:v>101.0626</c:v>
                </c:pt>
                <c:pt idx="554">
                  <c:v>99.741299999999995</c:v>
                </c:pt>
                <c:pt idx="555">
                  <c:v>100.2936</c:v>
                </c:pt>
                <c:pt idx="556">
                  <c:v>100.89919999999999</c:v>
                </c:pt>
                <c:pt idx="557">
                  <c:v>100.6116</c:v>
                </c:pt>
                <c:pt idx="558">
                  <c:v>100.9573</c:v>
                </c:pt>
                <c:pt idx="559">
                  <c:v>100.2008</c:v>
                </c:pt>
                <c:pt idx="560">
                  <c:v>99.954400000000007</c:v>
                </c:pt>
                <c:pt idx="561">
                  <c:v>101.2811</c:v>
                </c:pt>
                <c:pt idx="562">
                  <c:v>100.44540000000001</c:v>
                </c:pt>
                <c:pt idx="563">
                  <c:v>100.0985</c:v>
                </c:pt>
                <c:pt idx="564">
                  <c:v>101.1524</c:v>
                </c:pt>
                <c:pt idx="565">
                  <c:v>96.3369</c:v>
                </c:pt>
                <c:pt idx="566">
                  <c:v>85.209199999999996</c:v>
                </c:pt>
                <c:pt idx="567">
                  <c:v>88.910899999999998</c:v>
                </c:pt>
                <c:pt idx="568">
                  <c:v>96.627099999999999</c:v>
                </c:pt>
                <c:pt idx="569">
                  <c:v>101.0609</c:v>
                </c:pt>
                <c:pt idx="570">
                  <c:v>101.8092</c:v>
                </c:pt>
                <c:pt idx="571">
                  <c:v>100.34650000000001</c:v>
                </c:pt>
                <c:pt idx="572">
                  <c:v>100.69</c:v>
                </c:pt>
                <c:pt idx="573">
                  <c:v>100.6807</c:v>
                </c:pt>
                <c:pt idx="574">
                  <c:v>102.2358</c:v>
                </c:pt>
                <c:pt idx="575">
                  <c:v>103.2543</c:v>
                </c:pt>
                <c:pt idx="576">
                  <c:v>100.9525</c:v>
                </c:pt>
                <c:pt idx="577">
                  <c:v>102.185</c:v>
                </c:pt>
                <c:pt idx="578">
                  <c:v>101.67359999999999</c:v>
                </c:pt>
                <c:pt idx="579">
                  <c:v>102.22369999999999</c:v>
                </c:pt>
                <c:pt idx="580">
                  <c:v>102.1322</c:v>
                </c:pt>
                <c:pt idx="581">
                  <c:v>102.682</c:v>
                </c:pt>
                <c:pt idx="582">
                  <c:v>102.52379999999999</c:v>
                </c:pt>
                <c:pt idx="583">
                  <c:v>101.6084</c:v>
                </c:pt>
                <c:pt idx="584">
                  <c:v>102.3657</c:v>
                </c:pt>
                <c:pt idx="585">
                  <c:v>102.97709999999999</c:v>
                </c:pt>
                <c:pt idx="586">
                  <c:v>102.6412</c:v>
                </c:pt>
                <c:pt idx="587">
                  <c:v>104.2414</c:v>
                </c:pt>
                <c:pt idx="588">
                  <c:v>104.4799</c:v>
                </c:pt>
                <c:pt idx="589">
                  <c:v>104.6884</c:v>
                </c:pt>
                <c:pt idx="590">
                  <c:v>106.0705</c:v>
                </c:pt>
                <c:pt idx="591">
                  <c:v>105.23050000000001</c:v>
                </c:pt>
                <c:pt idx="592">
                  <c:v>104.1889</c:v>
                </c:pt>
                <c:pt idx="593">
                  <c:v>104.4344</c:v>
                </c:pt>
                <c:pt idx="594">
                  <c:v>104.57340000000001</c:v>
                </c:pt>
                <c:pt idx="595">
                  <c:v>104.03919999999999</c:v>
                </c:pt>
                <c:pt idx="596">
                  <c:v>104.8652</c:v>
                </c:pt>
                <c:pt idx="597">
                  <c:v>104.2655</c:v>
                </c:pt>
                <c:pt idx="598">
                  <c:v>104.0603</c:v>
                </c:pt>
                <c:pt idx="599">
                  <c:v>103.3511</c:v>
                </c:pt>
              </c:numCache>
            </c:numRef>
          </c:val>
          <c:smooth val="0"/>
          <c:extLst>
            <c:ext xmlns:c16="http://schemas.microsoft.com/office/drawing/2014/chart" uri="{C3380CC4-5D6E-409C-BE32-E72D297353CC}">
              <c16:uniqueId val="{00000000-8E1F-4E75-A1A5-98D169A33F19}"/>
            </c:ext>
          </c:extLst>
        </c:ser>
        <c:dLbls>
          <c:showLegendKey val="0"/>
          <c:showVal val="0"/>
          <c:showCatName val="0"/>
          <c:showSerName val="0"/>
          <c:showPercent val="0"/>
          <c:showBubbleSize val="0"/>
        </c:dLbls>
        <c:smooth val="0"/>
        <c:axId val="790142656"/>
        <c:axId val="790144304"/>
      </c:lineChart>
      <c:dateAx>
        <c:axId val="79014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4304"/>
        <c:crosses val="autoZero"/>
        <c:auto val="0"/>
        <c:lblOffset val="100"/>
        <c:baseTimeUnit val="months"/>
      </c:dateAx>
      <c:valAx>
        <c:axId val="790144304"/>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26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Goods'!$U$1</c:f>
          <c:strCache>
            <c:ptCount val="1"/>
            <c:pt idx="0">
              <c:v>Industrial Production: Consumer Goods since 2010 </c:v>
            </c:pt>
          </c:strCache>
        </c:strRef>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2010 </c:v>
                </c:pt>
              </c:strCache>
            </c:strRef>
          </c:tx>
          <c:spPr>
            <a:ln w="28575" cap="rnd">
              <a:solidFill>
                <a:schemeClr val="accent1"/>
              </a:solidFill>
              <a:prstDash val="solid"/>
              <a:round/>
            </a:ln>
          </c:spPr>
          <c:marker>
            <c:symbol val="none"/>
          </c:marker>
          <c:cat>
            <c:numRef>
              <c:f>'Consumer Goods'!$A$463:$A$620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'Consumer Goods'!$B$463:$B$620</c:f>
              <c:numCache>
                <c:formatCode>0.0</c:formatCode>
                <c:ptCount val="158"/>
                <c:pt idx="0">
                  <c:v>97.699299999999994</c:v>
                </c:pt>
                <c:pt idx="1">
                  <c:v>96.889799999999994</c:v>
                </c:pt>
                <c:pt idx="2">
                  <c:v>97.232900000000001</c:v>
                </c:pt>
                <c:pt idx="3">
                  <c:v>96.426400000000001</c:v>
                </c:pt>
                <c:pt idx="4">
                  <c:v>98.236000000000004</c:v>
                </c:pt>
                <c:pt idx="5">
                  <c:v>97.988699999999994</c:v>
                </c:pt>
                <c:pt idx="6">
                  <c:v>98.636899999999997</c:v>
                </c:pt>
                <c:pt idx="7">
                  <c:v>98.388400000000004</c:v>
                </c:pt>
                <c:pt idx="8">
                  <c:v>98.0077</c:v>
                </c:pt>
                <c:pt idx="9">
                  <c:v>98.002600000000001</c:v>
                </c:pt>
                <c:pt idx="10">
                  <c:v>97.461100000000002</c:v>
                </c:pt>
                <c:pt idx="11">
                  <c:v>98.555999999999997</c:v>
                </c:pt>
                <c:pt idx="12">
                  <c:v>98.594099999999997</c:v>
                </c:pt>
                <c:pt idx="13">
                  <c:v>98.408600000000007</c:v>
                </c:pt>
                <c:pt idx="14">
                  <c:v>98.668300000000002</c:v>
                </c:pt>
                <c:pt idx="15">
                  <c:v>98.486500000000007</c:v>
                </c:pt>
                <c:pt idx="16">
                  <c:v>98.679100000000005</c:v>
                </c:pt>
                <c:pt idx="17">
                  <c:v>98.593500000000006</c:v>
                </c:pt>
                <c:pt idx="18">
                  <c:v>99.284199999999998</c:v>
                </c:pt>
                <c:pt idx="19">
                  <c:v>99.855599999999995</c:v>
                </c:pt>
                <c:pt idx="20">
                  <c:v>99.267499999999998</c:v>
                </c:pt>
                <c:pt idx="21">
                  <c:v>99.522499999999994</c:v>
                </c:pt>
                <c:pt idx="22">
                  <c:v>98.568200000000004</c:v>
                </c:pt>
                <c:pt idx="23">
                  <c:v>98.463800000000006</c:v>
                </c:pt>
                <c:pt idx="24">
                  <c:v>98.382400000000004</c:v>
                </c:pt>
                <c:pt idx="25">
                  <c:v>98.277699999999996</c:v>
                </c:pt>
                <c:pt idx="26">
                  <c:v>96.700599999999994</c:v>
                </c:pt>
                <c:pt idx="27">
                  <c:v>97.465699999999998</c:v>
                </c:pt>
                <c:pt idx="28">
                  <c:v>98.003799999999998</c:v>
                </c:pt>
                <c:pt idx="29">
                  <c:v>97.729900000000001</c:v>
                </c:pt>
                <c:pt idx="30">
                  <c:v>97.812299999999993</c:v>
                </c:pt>
                <c:pt idx="31">
                  <c:v>97.310900000000004</c:v>
                </c:pt>
                <c:pt idx="32">
                  <c:v>97.002200000000002</c:v>
                </c:pt>
                <c:pt idx="33">
                  <c:v>97.0364</c:v>
                </c:pt>
                <c:pt idx="34">
                  <c:v>97.465599999999995</c:v>
                </c:pt>
                <c:pt idx="35">
                  <c:v>97.431799999999996</c:v>
                </c:pt>
                <c:pt idx="36">
                  <c:v>97.407300000000006</c:v>
                </c:pt>
                <c:pt idx="37">
                  <c:v>97.881900000000002</c:v>
                </c:pt>
                <c:pt idx="38">
                  <c:v>98.456400000000002</c:v>
                </c:pt>
                <c:pt idx="39">
                  <c:v>98.154799999999994</c:v>
                </c:pt>
                <c:pt idx="40">
                  <c:v>98.054699999999997</c:v>
                </c:pt>
                <c:pt idx="41">
                  <c:v>98.362700000000004</c:v>
                </c:pt>
                <c:pt idx="42">
                  <c:v>97.388400000000004</c:v>
                </c:pt>
                <c:pt idx="43">
                  <c:v>97.885900000000007</c:v>
                </c:pt>
                <c:pt idx="44">
                  <c:v>98.180099999999996</c:v>
                </c:pt>
                <c:pt idx="45">
                  <c:v>98.532700000000006</c:v>
                </c:pt>
                <c:pt idx="46">
                  <c:v>98.509699999999995</c:v>
                </c:pt>
                <c:pt idx="47">
                  <c:v>99.243700000000004</c:v>
                </c:pt>
                <c:pt idx="48">
                  <c:v>97.641199999999998</c:v>
                </c:pt>
                <c:pt idx="49">
                  <c:v>98.769400000000005</c:v>
                </c:pt>
                <c:pt idx="50">
                  <c:v>99.423199999999994</c:v>
                </c:pt>
                <c:pt idx="51">
                  <c:v>99.010900000000007</c:v>
                </c:pt>
                <c:pt idx="52">
                  <c:v>98.875500000000002</c:v>
                </c:pt>
                <c:pt idx="53">
                  <c:v>98.903800000000004</c:v>
                </c:pt>
                <c:pt idx="54">
                  <c:v>99.025499999999994</c:v>
                </c:pt>
                <c:pt idx="55">
                  <c:v>98.466800000000006</c:v>
                </c:pt>
                <c:pt idx="56">
                  <c:v>98.882599999999996</c:v>
                </c:pt>
                <c:pt idx="57">
                  <c:v>98.555199999999999</c:v>
                </c:pt>
                <c:pt idx="58">
                  <c:v>100.4474</c:v>
                </c:pt>
                <c:pt idx="59">
                  <c:v>100.12309999999999</c:v>
                </c:pt>
                <c:pt idx="60">
                  <c:v>100.2445</c:v>
                </c:pt>
                <c:pt idx="61">
                  <c:v>99.865600000000001</c:v>
                </c:pt>
                <c:pt idx="62">
                  <c:v>101.0236</c:v>
                </c:pt>
                <c:pt idx="63">
                  <c:v>100.1135</c:v>
                </c:pt>
                <c:pt idx="64">
                  <c:v>99.981700000000004</c:v>
                </c:pt>
                <c:pt idx="65">
                  <c:v>99.877799999999993</c:v>
                </c:pt>
                <c:pt idx="66">
                  <c:v>101.4229</c:v>
                </c:pt>
                <c:pt idx="67">
                  <c:v>101.35420000000001</c:v>
                </c:pt>
                <c:pt idx="68">
                  <c:v>101.06310000000001</c:v>
                </c:pt>
                <c:pt idx="69">
                  <c:v>100.6614</c:v>
                </c:pt>
                <c:pt idx="70">
                  <c:v>100.26430000000001</c:v>
                </c:pt>
                <c:pt idx="71">
                  <c:v>99.626199999999997</c:v>
                </c:pt>
                <c:pt idx="72">
                  <c:v>101.07299999999999</c:v>
                </c:pt>
                <c:pt idx="73">
                  <c:v>100.9036</c:v>
                </c:pt>
                <c:pt idx="74">
                  <c:v>100.1096</c:v>
                </c:pt>
                <c:pt idx="75">
                  <c:v>101.1156</c:v>
                </c:pt>
                <c:pt idx="76">
                  <c:v>100.7698</c:v>
                </c:pt>
                <c:pt idx="77">
                  <c:v>101.6818</c:v>
                </c:pt>
                <c:pt idx="78">
                  <c:v>101.53740000000001</c:v>
                </c:pt>
                <c:pt idx="79">
                  <c:v>101.7145</c:v>
                </c:pt>
                <c:pt idx="80">
                  <c:v>101.497</c:v>
                </c:pt>
                <c:pt idx="81">
                  <c:v>101.0271</c:v>
                </c:pt>
                <c:pt idx="82">
                  <c:v>99.943600000000004</c:v>
                </c:pt>
                <c:pt idx="83">
                  <c:v>101.4053</c:v>
                </c:pt>
                <c:pt idx="84">
                  <c:v>100.14060000000001</c:v>
                </c:pt>
                <c:pt idx="85">
                  <c:v>98.7988</c:v>
                </c:pt>
                <c:pt idx="86">
                  <c:v>99.514600000000002</c:v>
                </c:pt>
                <c:pt idx="87">
                  <c:v>100.3398</c:v>
                </c:pt>
                <c:pt idx="88">
                  <c:v>100.7988</c:v>
                </c:pt>
                <c:pt idx="89">
                  <c:v>100.31010000000001</c:v>
                </c:pt>
                <c:pt idx="90">
                  <c:v>99.972800000000007</c:v>
                </c:pt>
                <c:pt idx="91">
                  <c:v>99.767799999999994</c:v>
                </c:pt>
                <c:pt idx="92">
                  <c:v>99.666499999999999</c:v>
                </c:pt>
                <c:pt idx="93">
                  <c:v>100.47110000000001</c:v>
                </c:pt>
                <c:pt idx="94">
                  <c:v>99.944500000000005</c:v>
                </c:pt>
                <c:pt idx="95">
                  <c:v>100.2747</c:v>
                </c:pt>
                <c:pt idx="96">
                  <c:v>100.72669999999999</c:v>
                </c:pt>
                <c:pt idx="97">
                  <c:v>100.1498</c:v>
                </c:pt>
                <c:pt idx="98">
                  <c:v>100.5068</c:v>
                </c:pt>
                <c:pt idx="99">
                  <c:v>102.2392</c:v>
                </c:pt>
                <c:pt idx="100">
                  <c:v>99.483999999999995</c:v>
                </c:pt>
                <c:pt idx="101">
                  <c:v>100.4302</c:v>
                </c:pt>
                <c:pt idx="102">
                  <c:v>100.3079</c:v>
                </c:pt>
                <c:pt idx="103">
                  <c:v>101.1618</c:v>
                </c:pt>
                <c:pt idx="104">
                  <c:v>101.1465</c:v>
                </c:pt>
                <c:pt idx="105">
                  <c:v>101.1639</c:v>
                </c:pt>
                <c:pt idx="106">
                  <c:v>101.2022</c:v>
                </c:pt>
                <c:pt idx="107">
                  <c:v>100.9555</c:v>
                </c:pt>
                <c:pt idx="108">
                  <c:v>100.23739999999999</c:v>
                </c:pt>
                <c:pt idx="109">
                  <c:v>100.55329999999999</c:v>
                </c:pt>
                <c:pt idx="110">
                  <c:v>101.0626</c:v>
                </c:pt>
                <c:pt idx="111">
                  <c:v>99.741299999999995</c:v>
                </c:pt>
                <c:pt idx="112">
                  <c:v>100.2936</c:v>
                </c:pt>
                <c:pt idx="113">
                  <c:v>100.89919999999999</c:v>
                </c:pt>
                <c:pt idx="114">
                  <c:v>100.6116</c:v>
                </c:pt>
                <c:pt idx="115">
                  <c:v>100.9573</c:v>
                </c:pt>
                <c:pt idx="116">
                  <c:v>100.2008</c:v>
                </c:pt>
                <c:pt idx="117">
                  <c:v>99.954400000000007</c:v>
                </c:pt>
                <c:pt idx="118">
                  <c:v>101.2811</c:v>
                </c:pt>
                <c:pt idx="119">
                  <c:v>100.44540000000001</c:v>
                </c:pt>
                <c:pt idx="120">
                  <c:v>100.0985</c:v>
                </c:pt>
                <c:pt idx="121">
                  <c:v>101.1524</c:v>
                </c:pt>
                <c:pt idx="122">
                  <c:v>96.3369</c:v>
                </c:pt>
                <c:pt idx="123">
                  <c:v>85.209199999999996</c:v>
                </c:pt>
                <c:pt idx="124">
                  <c:v>88.910899999999998</c:v>
                </c:pt>
                <c:pt idx="125">
                  <c:v>96.627099999999999</c:v>
                </c:pt>
                <c:pt idx="126">
                  <c:v>101.0609</c:v>
                </c:pt>
                <c:pt idx="127">
                  <c:v>101.8092</c:v>
                </c:pt>
                <c:pt idx="128">
                  <c:v>100.34650000000001</c:v>
                </c:pt>
                <c:pt idx="129">
                  <c:v>100.69</c:v>
                </c:pt>
                <c:pt idx="130">
                  <c:v>100.6807</c:v>
                </c:pt>
                <c:pt idx="131">
                  <c:v>102.2358</c:v>
                </c:pt>
                <c:pt idx="132">
                  <c:v>103.2543</c:v>
                </c:pt>
                <c:pt idx="133">
                  <c:v>100.9525</c:v>
                </c:pt>
                <c:pt idx="134">
                  <c:v>102.185</c:v>
                </c:pt>
                <c:pt idx="135">
                  <c:v>101.67359999999999</c:v>
                </c:pt>
                <c:pt idx="136">
                  <c:v>102.22369999999999</c:v>
                </c:pt>
                <c:pt idx="137">
                  <c:v>102.1322</c:v>
                </c:pt>
                <c:pt idx="138">
                  <c:v>102.682</c:v>
                </c:pt>
                <c:pt idx="139">
                  <c:v>102.52379999999999</c:v>
                </c:pt>
                <c:pt idx="140">
                  <c:v>101.6084</c:v>
                </c:pt>
                <c:pt idx="141">
                  <c:v>102.3657</c:v>
                </c:pt>
                <c:pt idx="142">
                  <c:v>102.97709999999999</c:v>
                </c:pt>
                <c:pt idx="143">
                  <c:v>102.6412</c:v>
                </c:pt>
                <c:pt idx="144">
                  <c:v>104.2414</c:v>
                </c:pt>
                <c:pt idx="145">
                  <c:v>104.4799</c:v>
                </c:pt>
                <c:pt idx="146">
                  <c:v>104.6884</c:v>
                </c:pt>
                <c:pt idx="147">
                  <c:v>106.0705</c:v>
                </c:pt>
                <c:pt idx="148">
                  <c:v>105.23050000000001</c:v>
                </c:pt>
                <c:pt idx="149">
                  <c:v>104.1889</c:v>
                </c:pt>
                <c:pt idx="150">
                  <c:v>104.4344</c:v>
                </c:pt>
                <c:pt idx="151">
                  <c:v>104.57340000000001</c:v>
                </c:pt>
                <c:pt idx="152">
                  <c:v>104.03919999999999</c:v>
                </c:pt>
                <c:pt idx="153">
                  <c:v>104.8652</c:v>
                </c:pt>
                <c:pt idx="154">
                  <c:v>104.2655</c:v>
                </c:pt>
                <c:pt idx="155">
                  <c:v>104.0603</c:v>
                </c:pt>
                <c:pt idx="156">
                  <c:v>103.3511</c:v>
                </c:pt>
              </c:numCache>
            </c:numRef>
          </c:val>
          <c:smooth val="0"/>
          <c:extLst>
            <c:ext xmlns:c16="http://schemas.microsoft.com/office/drawing/2014/chart" uri="{C3380CC4-5D6E-409C-BE32-E72D297353CC}">
              <c16:uniqueId val="{00000000-0F56-444A-8521-3BD3C99BF315}"/>
            </c:ext>
          </c:extLst>
        </c:ser>
        <c:dLbls>
          <c:showLegendKey val="0"/>
          <c:showVal val="0"/>
          <c:showCatName val="0"/>
          <c:showSerName val="0"/>
          <c:showPercent val="0"/>
          <c:showBubbleSize val="0"/>
        </c:dLbls>
        <c:smooth val="0"/>
        <c:axId val="494799136"/>
        <c:axId val="494800784"/>
      </c:lineChart>
      <c:dateAx>
        <c:axId val="494799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800784"/>
        <c:crosses val="autoZero"/>
        <c:auto val="0"/>
        <c:lblOffset val="100"/>
        <c:baseTimeUnit val="months"/>
      </c:dateAx>
      <c:valAx>
        <c:axId val="49480078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7991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Goods'!$U$2</c:f>
          <c:strCache>
            <c:ptCount val="1"/>
            <c:pt idx="0">
              <c:v>Industrial Production: Consumer Goods yoy</c:v>
            </c:pt>
          </c:strCache>
        </c:strRef>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002060"/>
            </a:solidFill>
            <a:ln>
              <a:noFill/>
              <a:prstDash val="solid"/>
            </a:ln>
          </c:spPr>
          <c:invertIfNegative val="1"/>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'Consumer Goods'!$D$20:$D$620</c:f>
              <c:numCache>
                <c:formatCode>0.0%</c:formatCode>
                <c:ptCount val="601"/>
                <c:pt idx="0">
                  <c:v>7.3702479195411216E-2</c:v>
                </c:pt>
                <c:pt idx="1">
                  <c:v>7.6980370778050575E-2</c:v>
                </c:pt>
                <c:pt idx="2">
                  <c:v>5.3659934647701683E-2</c:v>
                </c:pt>
                <c:pt idx="3">
                  <c:v>6.457039828179989E-2</c:v>
                </c:pt>
                <c:pt idx="4">
                  <c:v>5.7068424562062549E-2</c:v>
                </c:pt>
                <c:pt idx="5">
                  <c:v>4.6545991872921966E-2</c:v>
                </c:pt>
                <c:pt idx="6">
                  <c:v>2.5742148771516579E-2</c:v>
                </c:pt>
                <c:pt idx="7">
                  <c:v>3.5852799590792163E-2</c:v>
                </c:pt>
                <c:pt idx="8">
                  <c:v>2.5605509928853274E-2</c:v>
                </c:pt>
                <c:pt idx="9">
                  <c:v>2.1637470247654833E-2</c:v>
                </c:pt>
                <c:pt idx="10">
                  <c:v>-4.8618950608309121E-3</c:v>
                </c:pt>
                <c:pt idx="11">
                  <c:v>-1.6118210026053535E-2</c:v>
                </c:pt>
                <c:pt idx="12">
                  <c:v>-3.1422650817409227E-2</c:v>
                </c:pt>
                <c:pt idx="13">
                  <c:v>-3.2238355550468556E-2</c:v>
                </c:pt>
                <c:pt idx="14">
                  <c:v>-2.5379710239349779E-2</c:v>
                </c:pt>
                <c:pt idx="15">
                  <c:v>-2.1672533443868321E-2</c:v>
                </c:pt>
                <c:pt idx="16">
                  <c:v>-1.1960626751185423E-2</c:v>
                </c:pt>
                <c:pt idx="17">
                  <c:v>-9.7854649566615215E-3</c:v>
                </c:pt>
                <c:pt idx="18">
                  <c:v>-1.9298364257449635E-3</c:v>
                </c:pt>
                <c:pt idx="19">
                  <c:v>-2.5601541192962568E-2</c:v>
                </c:pt>
                <c:pt idx="20">
                  <c:v>-2.9527313897537526E-2</c:v>
                </c:pt>
                <c:pt idx="21">
                  <c:v>-5.9921222899210078E-2</c:v>
                </c:pt>
                <c:pt idx="22">
                  <c:v>-7.4310780439675511E-2</c:v>
                </c:pt>
                <c:pt idx="23">
                  <c:v>-8.3498142877815831E-2</c:v>
                </c:pt>
                <c:pt idx="24">
                  <c:v>-9.2796993434820382E-2</c:v>
                </c:pt>
                <c:pt idx="25">
                  <c:v>-9.2059388425153932E-2</c:v>
                </c:pt>
                <c:pt idx="26">
                  <c:v>-6.9892859470597798E-2</c:v>
                </c:pt>
                <c:pt idx="27">
                  <c:v>-7.4506344574879604E-2</c:v>
                </c:pt>
                <c:pt idx="28">
                  <c:v>-6.4801418732214303E-2</c:v>
                </c:pt>
                <c:pt idx="29">
                  <c:v>-4.0537016866356385E-2</c:v>
                </c:pt>
                <c:pt idx="30">
                  <c:v>-3.396303745337545E-2</c:v>
                </c:pt>
                <c:pt idx="31">
                  <c:v>-1.1319194620131864E-2</c:v>
                </c:pt>
                <c:pt idx="32">
                  <c:v>-1.0044681918405894E-2</c:v>
                </c:pt>
                <c:pt idx="33">
                  <c:v>2.225991568707485E-2</c:v>
                </c:pt>
                <c:pt idx="34">
                  <c:v>6.7026563048667512E-2</c:v>
                </c:pt>
                <c:pt idx="35">
                  <c:v>0.10457713248638838</c:v>
                </c:pt>
                <c:pt idx="36">
                  <c:v>0.12488226983753227</c:v>
                </c:pt>
                <c:pt idx="37">
                  <c:v>0.12035688207040034</c:v>
                </c:pt>
                <c:pt idx="38">
                  <c:v>9.9475160407581781E-2</c:v>
                </c:pt>
                <c:pt idx="39">
                  <c:v>0.10260211481064888</c:v>
                </c:pt>
                <c:pt idx="40">
                  <c:v>8.4804213838918702E-2</c:v>
                </c:pt>
                <c:pt idx="41">
                  <c:v>6.4115023470140697E-2</c:v>
                </c:pt>
                <c:pt idx="42">
                  <c:v>6.0429596885114699E-2</c:v>
                </c:pt>
                <c:pt idx="43">
                  <c:v>4.622679049565314E-2</c:v>
                </c:pt>
                <c:pt idx="44">
                  <c:v>5.2044471979420602E-2</c:v>
                </c:pt>
                <c:pt idx="45">
                  <c:v>6.7119093357045162E-2</c:v>
                </c:pt>
                <c:pt idx="46">
                  <c:v>6.8571950935744599E-2</c:v>
                </c:pt>
                <c:pt idx="47">
                  <c:v>5.1976432005415442E-2</c:v>
                </c:pt>
                <c:pt idx="48">
                  <c:v>6.1580954499071187E-2</c:v>
                </c:pt>
                <c:pt idx="49">
                  <c:v>6.4466842980078792E-2</c:v>
                </c:pt>
                <c:pt idx="50">
                  <c:v>6.9705873701206372E-2</c:v>
                </c:pt>
                <c:pt idx="51">
                  <c:v>6.1697379389983979E-2</c:v>
                </c:pt>
                <c:pt idx="52">
                  <c:v>7.2273561756771618E-2</c:v>
                </c:pt>
                <c:pt idx="53">
                  <c:v>6.7863677802706399E-2</c:v>
                </c:pt>
                <c:pt idx="54">
                  <c:v>6.7849491507924159E-2</c:v>
                </c:pt>
                <c:pt idx="55">
                  <c:v>6.867614731535629E-2</c:v>
                </c:pt>
                <c:pt idx="56">
                  <c:v>6.9199207560817044E-2</c:v>
                </c:pt>
                <c:pt idx="57">
                  <c:v>5.1824460617151694E-2</c:v>
                </c:pt>
                <c:pt idx="58">
                  <c:v>4.9692261987161646E-2</c:v>
                </c:pt>
                <c:pt idx="59">
                  <c:v>2.6278551079568245E-2</c:v>
                </c:pt>
                <c:pt idx="60">
                  <c:v>2.8846464898538354E-2</c:v>
                </c:pt>
                <c:pt idx="61">
                  <c:v>4.8275289144059597E-2</c:v>
                </c:pt>
                <c:pt idx="62">
                  <c:v>4.7639053543711347E-2</c:v>
                </c:pt>
                <c:pt idx="63">
                  <c:v>4.1719178448400882E-2</c:v>
                </c:pt>
                <c:pt idx="64">
                  <c:v>3.9698823957598599E-2</c:v>
                </c:pt>
                <c:pt idx="65">
                  <c:v>3.2100884602110684E-2</c:v>
                </c:pt>
                <c:pt idx="66">
                  <c:v>2.8490928043750949E-2</c:v>
                </c:pt>
                <c:pt idx="67">
                  <c:v>2.8351467716274125E-2</c:v>
                </c:pt>
                <c:pt idx="68">
                  <c:v>1.9084066577964034E-2</c:v>
                </c:pt>
                <c:pt idx="69">
                  <c:v>2.0953223699354703E-2</c:v>
                </c:pt>
                <c:pt idx="70">
                  <c:v>1.408281656331248E-2</c:v>
                </c:pt>
                <c:pt idx="71">
                  <c:v>3.9319353321736653E-2</c:v>
                </c:pt>
                <c:pt idx="72">
                  <c:v>1.5083389854870507E-2</c:v>
                </c:pt>
                <c:pt idx="73">
                  <c:v>-1.0155532270230356E-3</c:v>
                </c:pt>
                <c:pt idx="74">
                  <c:v>-2.6470249405396482E-2</c:v>
                </c:pt>
                <c:pt idx="75">
                  <c:v>-1.3645195586024783E-2</c:v>
                </c:pt>
                <c:pt idx="76">
                  <c:v>-2.2840081506083045E-2</c:v>
                </c:pt>
                <c:pt idx="77">
                  <c:v>-2.4785764464840116E-2</c:v>
                </c:pt>
                <c:pt idx="78">
                  <c:v>-3.4045790986634704E-2</c:v>
                </c:pt>
                <c:pt idx="79">
                  <c:v>-3.0650897119100268E-2</c:v>
                </c:pt>
                <c:pt idx="80">
                  <c:v>-2.5811426053752494E-2</c:v>
                </c:pt>
                <c:pt idx="81">
                  <c:v>-3.1483151594654493E-2</c:v>
                </c:pt>
                <c:pt idx="82">
                  <c:v>-3.2843392964906286E-2</c:v>
                </c:pt>
                <c:pt idx="83">
                  <c:v>-3.4071490386093854E-2</c:v>
                </c:pt>
                <c:pt idx="84">
                  <c:v>-2.4317032985673247E-2</c:v>
                </c:pt>
                <c:pt idx="85">
                  <c:v>-3.5762659576030857E-2</c:v>
                </c:pt>
                <c:pt idx="86">
                  <c:v>-3.2464098957607747E-2</c:v>
                </c:pt>
                <c:pt idx="87">
                  <c:v>-6.0024976955784813E-2</c:v>
                </c:pt>
                <c:pt idx="88">
                  <c:v>-6.1641893082005045E-2</c:v>
                </c:pt>
                <c:pt idx="89">
                  <c:v>-5.4361050496057439E-2</c:v>
                </c:pt>
                <c:pt idx="90">
                  <c:v>-4.0365808966090877E-2</c:v>
                </c:pt>
                <c:pt idx="91">
                  <c:v>-3.6110220210467565E-2</c:v>
                </c:pt>
                <c:pt idx="92">
                  <c:v>-3.2487845324690026E-2</c:v>
                </c:pt>
                <c:pt idx="93">
                  <c:v>-2.5519705893023346E-2</c:v>
                </c:pt>
                <c:pt idx="94">
                  <c:v>-2.5620493977869585E-2</c:v>
                </c:pt>
                <c:pt idx="95">
                  <c:v>-2.2372504165093961E-2</c:v>
                </c:pt>
                <c:pt idx="96">
                  <c:v>-2.6862693223477802E-2</c:v>
                </c:pt>
                <c:pt idx="97">
                  <c:v>-2.0016271409548949E-2</c:v>
                </c:pt>
                <c:pt idx="98">
                  <c:v>-1.806708508405122E-3</c:v>
                </c:pt>
                <c:pt idx="99">
                  <c:v>3.014333028599615E-2</c:v>
                </c:pt>
                <c:pt idx="100">
                  <c:v>2.8808312574168396E-2</c:v>
                </c:pt>
                <c:pt idx="101">
                  <c:v>3.5951246509201541E-2</c:v>
                </c:pt>
                <c:pt idx="102">
                  <c:v>3.2066376575508773E-2</c:v>
                </c:pt>
                <c:pt idx="103">
                  <c:v>1.4896372040462291E-2</c:v>
                </c:pt>
                <c:pt idx="104">
                  <c:v>1.256203498110715E-2</c:v>
                </c:pt>
                <c:pt idx="105">
                  <c:v>6.4779739577999875E-3</c:v>
                </c:pt>
                <c:pt idx="106">
                  <c:v>-4.1415090536395856E-3</c:v>
                </c:pt>
                <c:pt idx="107">
                  <c:v>-2.2405336715817046E-2</c:v>
                </c:pt>
                <c:pt idx="108">
                  <c:v>7.0948538618561567E-3</c:v>
                </c:pt>
                <c:pt idx="109">
                  <c:v>2.1034532078827548E-3</c:v>
                </c:pt>
                <c:pt idx="110">
                  <c:v>-1.0686163357161249E-3</c:v>
                </c:pt>
                <c:pt idx="111">
                  <c:v>-1.0526574380012926E-2</c:v>
                </c:pt>
                <c:pt idx="112">
                  <c:v>3.2748458441308925E-3</c:v>
                </c:pt>
                <c:pt idx="113">
                  <c:v>-1.501377029852416E-3</c:v>
                </c:pt>
                <c:pt idx="114">
                  <c:v>-4.0104283419980643E-3</c:v>
                </c:pt>
                <c:pt idx="115">
                  <c:v>2.7790407437993038E-3</c:v>
                </c:pt>
                <c:pt idx="116">
                  <c:v>-2.0220455283401729E-3</c:v>
                </c:pt>
                <c:pt idx="117">
                  <c:v>-2.2887633280005691E-3</c:v>
                </c:pt>
                <c:pt idx="118">
                  <c:v>-4.9434577423889507E-3</c:v>
                </c:pt>
                <c:pt idx="119">
                  <c:v>3.5470352546308842E-2</c:v>
                </c:pt>
                <c:pt idx="120">
                  <c:v>-5.7938553664889873E-3</c:v>
                </c:pt>
                <c:pt idx="121">
                  <c:v>3.9886375800713041E-3</c:v>
                </c:pt>
                <c:pt idx="122">
                  <c:v>2.4855993913705188E-2</c:v>
                </c:pt>
                <c:pt idx="123">
                  <c:v>2.7992949004419319E-2</c:v>
                </c:pt>
                <c:pt idx="124">
                  <c:v>2.4479630617107274E-2</c:v>
                </c:pt>
                <c:pt idx="125">
                  <c:v>3.5395372864469934E-2</c:v>
                </c:pt>
                <c:pt idx="126">
                  <c:v>4.7466432348271081E-2</c:v>
                </c:pt>
                <c:pt idx="127">
                  <c:v>6.1092836003658293E-2</c:v>
                </c:pt>
                <c:pt idx="128">
                  <c:v>5.4747480043113347E-2</c:v>
                </c:pt>
                <c:pt idx="129">
                  <c:v>5.8410070797745149E-2</c:v>
                </c:pt>
                <c:pt idx="130">
                  <c:v>7.3561074531206971E-2</c:v>
                </c:pt>
                <c:pt idx="131">
                  <c:v>7.2020085661239755E-2</c:v>
                </c:pt>
                <c:pt idx="132">
                  <c:v>8.3445432781447074E-2</c:v>
                </c:pt>
                <c:pt idx="133">
                  <c:v>8.3091762058990867E-2</c:v>
                </c:pt>
                <c:pt idx="134">
                  <c:v>6.4646807427595598E-2</c:v>
                </c:pt>
                <c:pt idx="135">
                  <c:v>5.702291966043152E-2</c:v>
                </c:pt>
                <c:pt idx="136">
                  <c:v>5.2898081985708986E-2</c:v>
                </c:pt>
                <c:pt idx="137">
                  <c:v>3.9288970459398338E-2</c:v>
                </c:pt>
                <c:pt idx="138">
                  <c:v>2.507354878208512E-2</c:v>
                </c:pt>
                <c:pt idx="139">
                  <c:v>8.7190078440547662E-3</c:v>
                </c:pt>
                <c:pt idx="140">
                  <c:v>2.3807504955937513E-2</c:v>
                </c:pt>
                <c:pt idx="141">
                  <c:v>2.516828480853776E-2</c:v>
                </c:pt>
                <c:pt idx="142">
                  <c:v>2.8578924355050373E-2</c:v>
                </c:pt>
                <c:pt idx="143">
                  <c:v>2.5520884685897782E-3</c:v>
                </c:pt>
                <c:pt idx="144">
                  <c:v>1.0442518176311378E-2</c:v>
                </c:pt>
                <c:pt idx="145">
                  <c:v>5.8151728073617317E-3</c:v>
                </c:pt>
                <c:pt idx="146">
                  <c:v>-2.0818184534777831E-3</c:v>
                </c:pt>
                <c:pt idx="147">
                  <c:v>3.2130693380362338E-3</c:v>
                </c:pt>
                <c:pt idx="148">
                  <c:v>6.8522704217947481E-3</c:v>
                </c:pt>
                <c:pt idx="149">
                  <c:v>3.7005022110143571E-3</c:v>
                </c:pt>
                <c:pt idx="150">
                  <c:v>1.32932673671032E-2</c:v>
                </c:pt>
                <c:pt idx="151">
                  <c:v>2.1797140205983532E-2</c:v>
                </c:pt>
                <c:pt idx="152">
                  <c:v>1.1414895910828322E-2</c:v>
                </c:pt>
                <c:pt idx="153">
                  <c:v>1.4076185377965704E-2</c:v>
                </c:pt>
                <c:pt idx="154">
                  <c:v>1.8961100058381045E-2</c:v>
                </c:pt>
                <c:pt idx="155">
                  <c:v>3.6807035297639082E-2</c:v>
                </c:pt>
                <c:pt idx="156">
                  <c:v>2.224376444710895E-2</c:v>
                </c:pt>
                <c:pt idx="157">
                  <c:v>1.9307774031526146E-2</c:v>
                </c:pt>
                <c:pt idx="158">
                  <c:v>3.1596148800492829E-2</c:v>
                </c:pt>
                <c:pt idx="159">
                  <c:v>3.5519526273460361E-2</c:v>
                </c:pt>
                <c:pt idx="160">
                  <c:v>3.2211831817343245E-2</c:v>
                </c:pt>
                <c:pt idx="161">
                  <c:v>4.1775386301681955E-2</c:v>
                </c:pt>
                <c:pt idx="162">
                  <c:v>3.6070883579374421E-2</c:v>
                </c:pt>
                <c:pt idx="163">
                  <c:v>3.2697655267328998E-2</c:v>
                </c:pt>
                <c:pt idx="164">
                  <c:v>3.7984941557827334E-2</c:v>
                </c:pt>
                <c:pt idx="165">
                  <c:v>3.9244453367290023E-2</c:v>
                </c:pt>
                <c:pt idx="166">
                  <c:v>4.0031206151116085E-2</c:v>
                </c:pt>
                <c:pt idx="167">
                  <c:v>1.6765897427790201E-2</c:v>
                </c:pt>
                <c:pt idx="168">
                  <c:v>3.9242408697798103E-2</c:v>
                </c:pt>
                <c:pt idx="169">
                  <c:v>4.5394391696225979E-2</c:v>
                </c:pt>
                <c:pt idx="170">
                  <c:v>3.690945834243322E-2</c:v>
                </c:pt>
                <c:pt idx="171">
                  <c:v>3.9187978027899605E-2</c:v>
                </c:pt>
                <c:pt idx="172">
                  <c:v>4.2087680950220578E-2</c:v>
                </c:pt>
                <c:pt idx="173">
                  <c:v>4.275376379054497E-2</c:v>
                </c:pt>
                <c:pt idx="174">
                  <c:v>4.893638843873703E-2</c:v>
                </c:pt>
                <c:pt idx="175">
                  <c:v>4.4358450581141254E-2</c:v>
                </c:pt>
                <c:pt idx="176">
                  <c:v>5.8202260028399976E-2</c:v>
                </c:pt>
                <c:pt idx="177">
                  <c:v>5.1598687978903782E-2</c:v>
                </c:pt>
                <c:pt idx="178">
                  <c:v>4.328530837372558E-2</c:v>
                </c:pt>
                <c:pt idx="179">
                  <c:v>5.8758154470170694E-2</c:v>
                </c:pt>
                <c:pt idx="180">
                  <c:v>4.969243227306612E-2</c:v>
                </c:pt>
                <c:pt idx="181">
                  <c:v>4.5759377237984476E-2</c:v>
                </c:pt>
                <c:pt idx="182">
                  <c:v>5.5597028852973115E-2</c:v>
                </c:pt>
                <c:pt idx="183">
                  <c:v>4.1986782649184574E-2</c:v>
                </c:pt>
                <c:pt idx="184">
                  <c:v>3.9065993865637791E-2</c:v>
                </c:pt>
                <c:pt idx="185">
                  <c:v>3.1487385520965444E-2</c:v>
                </c:pt>
                <c:pt idx="186">
                  <c:v>3.3132164913776671E-2</c:v>
                </c:pt>
                <c:pt idx="187">
                  <c:v>2.9819386589055405E-2</c:v>
                </c:pt>
                <c:pt idx="188">
                  <c:v>2.0116889009425428E-2</c:v>
                </c:pt>
                <c:pt idx="189">
                  <c:v>2.1580700566655623E-2</c:v>
                </c:pt>
                <c:pt idx="190">
                  <c:v>2.4508905513254162E-2</c:v>
                </c:pt>
                <c:pt idx="191">
                  <c:v>2.1437036128946471E-2</c:v>
                </c:pt>
                <c:pt idx="192">
                  <c:v>1.6634894006405474E-2</c:v>
                </c:pt>
                <c:pt idx="193">
                  <c:v>2.0137218212599044E-2</c:v>
                </c:pt>
                <c:pt idx="194">
                  <c:v>9.7896834517473934E-3</c:v>
                </c:pt>
                <c:pt idx="195">
                  <c:v>5.960262378493935E-3</c:v>
                </c:pt>
                <c:pt idx="196">
                  <c:v>6.2071662362659114E-3</c:v>
                </c:pt>
                <c:pt idx="197">
                  <c:v>-1.5463184104883267E-2</c:v>
                </c:pt>
                <c:pt idx="198">
                  <c:v>-4.8445797241908079E-3</c:v>
                </c:pt>
                <c:pt idx="199">
                  <c:v>-2.3741660265728546E-3</c:v>
                </c:pt>
                <c:pt idx="200">
                  <c:v>-7.7086488570584687E-3</c:v>
                </c:pt>
                <c:pt idx="201">
                  <c:v>-5.633618619109452E-3</c:v>
                </c:pt>
                <c:pt idx="202">
                  <c:v>5.0464740983525132E-3</c:v>
                </c:pt>
                <c:pt idx="203">
                  <c:v>-1.6721446333221125E-2</c:v>
                </c:pt>
                <c:pt idx="204">
                  <c:v>-4.7516717108645008E-3</c:v>
                </c:pt>
                <c:pt idx="205">
                  <c:v>-1.8841321138469844E-4</c:v>
                </c:pt>
                <c:pt idx="206">
                  <c:v>-2.1035359914757866E-3</c:v>
                </c:pt>
                <c:pt idx="207">
                  <c:v>6.2063673947390721E-3</c:v>
                </c:pt>
                <c:pt idx="208">
                  <c:v>1.6600065360549095E-2</c:v>
                </c:pt>
                <c:pt idx="209">
                  <c:v>3.1058545422638757E-2</c:v>
                </c:pt>
                <c:pt idx="210">
                  <c:v>1.6703166272082046E-2</c:v>
                </c:pt>
                <c:pt idx="211">
                  <c:v>2.7259711749546573E-2</c:v>
                </c:pt>
                <c:pt idx="212">
                  <c:v>1.1036955770910691E-2</c:v>
                </c:pt>
                <c:pt idx="213">
                  <c:v>-4.3262944105945788E-3</c:v>
                </c:pt>
                <c:pt idx="214">
                  <c:v>-2.7402153835430192E-2</c:v>
                </c:pt>
                <c:pt idx="215">
                  <c:v>-1.5753417690618401E-3</c:v>
                </c:pt>
                <c:pt idx="216">
                  <c:v>-2.3110605329796037E-2</c:v>
                </c:pt>
                <c:pt idx="217">
                  <c:v>-2.872532538603903E-2</c:v>
                </c:pt>
                <c:pt idx="218">
                  <c:v>-2.4364475814739321E-2</c:v>
                </c:pt>
                <c:pt idx="219">
                  <c:v>-6.905547263993614E-3</c:v>
                </c:pt>
                <c:pt idx="220">
                  <c:v>-5.3892163543228537E-3</c:v>
                </c:pt>
                <c:pt idx="221">
                  <c:v>4.5428492049384543E-4</c:v>
                </c:pt>
                <c:pt idx="222">
                  <c:v>-2.8512095189987107E-3</c:v>
                </c:pt>
                <c:pt idx="223">
                  <c:v>4.8117245523077359E-3</c:v>
                </c:pt>
                <c:pt idx="224">
                  <c:v>1.6240323123527377E-2</c:v>
                </c:pt>
                <c:pt idx="225">
                  <c:v>2.920649033118464E-2</c:v>
                </c:pt>
                <c:pt idx="226">
                  <c:v>2.3979093639659624E-2</c:v>
                </c:pt>
                <c:pt idx="227">
                  <c:v>9.1982624796723127E-3</c:v>
                </c:pt>
                <c:pt idx="228">
                  <c:v>2.9331553793159292E-2</c:v>
                </c:pt>
                <c:pt idx="229">
                  <c:v>3.8036034137604049E-2</c:v>
                </c:pt>
                <c:pt idx="230">
                  <c:v>4.7483374717238534E-2</c:v>
                </c:pt>
                <c:pt idx="231">
                  <c:v>3.6532108145244463E-2</c:v>
                </c:pt>
                <c:pt idx="232">
                  <c:v>1.9211546644936295E-2</c:v>
                </c:pt>
                <c:pt idx="233">
                  <c:v>3.5004084205944024E-2</c:v>
                </c:pt>
                <c:pt idx="234">
                  <c:v>3.5326756550203238E-2</c:v>
                </c:pt>
                <c:pt idx="235">
                  <c:v>1.6019401316024733E-2</c:v>
                </c:pt>
                <c:pt idx="236">
                  <c:v>3.2034495074515668E-2</c:v>
                </c:pt>
                <c:pt idx="237">
                  <c:v>3.2621680323822684E-2</c:v>
                </c:pt>
                <c:pt idx="238">
                  <c:v>4.6051496889239846E-2</c:v>
                </c:pt>
                <c:pt idx="239">
                  <c:v>6.2068443367655837E-2</c:v>
                </c:pt>
                <c:pt idx="240">
                  <c:v>5.262816020666021E-2</c:v>
                </c:pt>
                <c:pt idx="241">
                  <c:v>4.3601398255151913E-2</c:v>
                </c:pt>
                <c:pt idx="242">
                  <c:v>3.4858139329546477E-2</c:v>
                </c:pt>
                <c:pt idx="243">
                  <c:v>2.0506828502188799E-2</c:v>
                </c:pt>
                <c:pt idx="244">
                  <c:v>2.7529091407749919E-2</c:v>
                </c:pt>
                <c:pt idx="245">
                  <c:v>2.237600978482111E-2</c:v>
                </c:pt>
                <c:pt idx="246">
                  <c:v>2.0715892533966811E-2</c:v>
                </c:pt>
                <c:pt idx="247">
                  <c:v>2.8340970206486765E-2</c:v>
                </c:pt>
                <c:pt idx="248">
                  <c:v>1.9760980983857812E-2</c:v>
                </c:pt>
                <c:pt idx="249">
                  <c:v>1.9172899083840761E-2</c:v>
                </c:pt>
                <c:pt idx="250">
                  <c:v>2.1670949958959258E-2</c:v>
                </c:pt>
                <c:pt idx="251">
                  <c:v>2.2608677055561129E-2</c:v>
                </c:pt>
                <c:pt idx="252">
                  <c:v>2.3293760798982172E-2</c:v>
                </c:pt>
                <c:pt idx="253">
                  <c:v>3.1478327292050093E-2</c:v>
                </c:pt>
                <c:pt idx="254">
                  <c:v>3.3445791013576712E-2</c:v>
                </c:pt>
                <c:pt idx="255">
                  <c:v>4.7054497350707096E-2</c:v>
                </c:pt>
                <c:pt idx="256">
                  <c:v>5.2429637043921805E-2</c:v>
                </c:pt>
                <c:pt idx="257">
                  <c:v>3.8938762385952223E-2</c:v>
                </c:pt>
                <c:pt idx="258">
                  <c:v>5.3701816494628102E-2</c:v>
                </c:pt>
                <c:pt idx="259">
                  <c:v>4.4736596780607651E-2</c:v>
                </c:pt>
                <c:pt idx="260">
                  <c:v>4.9848399801780741E-2</c:v>
                </c:pt>
                <c:pt idx="261">
                  <c:v>4.9409179441297274E-2</c:v>
                </c:pt>
                <c:pt idx="262">
                  <c:v>5.4756633934074032E-2</c:v>
                </c:pt>
                <c:pt idx="263">
                  <c:v>4.6038268984323241E-2</c:v>
                </c:pt>
                <c:pt idx="264">
                  <c:v>4.6210082094303544E-2</c:v>
                </c:pt>
                <c:pt idx="265">
                  <c:v>3.6981372473485853E-2</c:v>
                </c:pt>
                <c:pt idx="266">
                  <c:v>2.9000214425688883E-2</c:v>
                </c:pt>
                <c:pt idx="267">
                  <c:v>2.6886158856274968E-2</c:v>
                </c:pt>
                <c:pt idx="268">
                  <c:v>2.3997418536717944E-2</c:v>
                </c:pt>
                <c:pt idx="269">
                  <c:v>2.3452051926536356E-2</c:v>
                </c:pt>
                <c:pt idx="270">
                  <c:v>2.5755975916606791E-2</c:v>
                </c:pt>
                <c:pt idx="271">
                  <c:v>3.3588301868890683E-2</c:v>
                </c:pt>
                <c:pt idx="272">
                  <c:v>1.4175107826118147E-2</c:v>
                </c:pt>
                <c:pt idx="273">
                  <c:v>1.6581129537071391E-2</c:v>
                </c:pt>
                <c:pt idx="274">
                  <c:v>1.1842329926580008E-2</c:v>
                </c:pt>
                <c:pt idx="275">
                  <c:v>2.2547488565202553E-3</c:v>
                </c:pt>
                <c:pt idx="276">
                  <c:v>1.5334512740703398E-2</c:v>
                </c:pt>
                <c:pt idx="277">
                  <c:v>9.5055706059190438E-3</c:v>
                </c:pt>
                <c:pt idx="278">
                  <c:v>2.3841415307536966E-2</c:v>
                </c:pt>
                <c:pt idx="279">
                  <c:v>2.1831656067858991E-2</c:v>
                </c:pt>
                <c:pt idx="280">
                  <c:v>2.469994416280127E-2</c:v>
                </c:pt>
                <c:pt idx="281">
                  <c:v>2.4835791823611352E-2</c:v>
                </c:pt>
                <c:pt idx="282">
                  <c:v>6.0492636083790789E-3</c:v>
                </c:pt>
                <c:pt idx="283">
                  <c:v>1.4317952080430664E-2</c:v>
                </c:pt>
                <c:pt idx="284">
                  <c:v>1.8029017155524619E-2</c:v>
                </c:pt>
                <c:pt idx="285">
                  <c:v>2.647916181197054E-2</c:v>
                </c:pt>
                <c:pt idx="286">
                  <c:v>2.5708540841428162E-2</c:v>
                </c:pt>
                <c:pt idx="287">
                  <c:v>3.4882174583754422E-2</c:v>
                </c:pt>
                <c:pt idx="288">
                  <c:v>2.5116214074075566E-2</c:v>
                </c:pt>
                <c:pt idx="289">
                  <c:v>3.8757237529370298E-2</c:v>
                </c:pt>
                <c:pt idx="290">
                  <c:v>1.8965305191759173E-2</c:v>
                </c:pt>
                <c:pt idx="291">
                  <c:v>2.5033850085956467E-2</c:v>
                </c:pt>
                <c:pt idx="292">
                  <c:v>1.705522716923805E-2</c:v>
                </c:pt>
                <c:pt idx="293">
                  <c:v>3.2348420005489174E-2</c:v>
                </c:pt>
                <c:pt idx="294">
                  <c:v>4.4691752304632799E-2</c:v>
                </c:pt>
                <c:pt idx="295">
                  <c:v>4.1902568152410495E-2</c:v>
                </c:pt>
                <c:pt idx="296">
                  <c:v>6.3868557784393459E-2</c:v>
                </c:pt>
                <c:pt idx="297">
                  <c:v>5.3867702080178909E-2</c:v>
                </c:pt>
                <c:pt idx="298">
                  <c:v>4.8155226546534098E-2</c:v>
                </c:pt>
                <c:pt idx="299">
                  <c:v>5.5395640310635381E-2</c:v>
                </c:pt>
                <c:pt idx="300">
                  <c:v>4.8219998551632177E-2</c:v>
                </c:pt>
                <c:pt idx="301">
                  <c:v>4.1703942929776881E-2</c:v>
                </c:pt>
                <c:pt idx="302">
                  <c:v>5.8871532821766118E-2</c:v>
                </c:pt>
                <c:pt idx="303">
                  <c:v>5.4893026500337588E-2</c:v>
                </c:pt>
                <c:pt idx="304">
                  <c:v>4.4733491767102285E-2</c:v>
                </c:pt>
                <c:pt idx="305">
                  <c:v>2.5556258446070224E-2</c:v>
                </c:pt>
                <c:pt idx="306">
                  <c:v>4.550972075048635E-2</c:v>
                </c:pt>
                <c:pt idx="307">
                  <c:v>3.0406278759552052E-2</c:v>
                </c:pt>
                <c:pt idx="308">
                  <c:v>1.8439805866766603E-2</c:v>
                </c:pt>
                <c:pt idx="309">
                  <c:v>9.3347978544291894E-3</c:v>
                </c:pt>
                <c:pt idx="310">
                  <c:v>1.299490192161481E-2</c:v>
                </c:pt>
                <c:pt idx="311">
                  <c:v>1.8722388738156365E-2</c:v>
                </c:pt>
                <c:pt idx="312">
                  <c:v>2.4332853110846157E-2</c:v>
                </c:pt>
                <c:pt idx="313">
                  <c:v>2.1266314681360535E-2</c:v>
                </c:pt>
                <c:pt idx="314">
                  <c:v>1.353139841262789E-2</c:v>
                </c:pt>
                <c:pt idx="315">
                  <c:v>1.8840259283453138E-2</c:v>
                </c:pt>
                <c:pt idx="316">
                  <c:v>1.9895930230196583E-2</c:v>
                </c:pt>
                <c:pt idx="317">
                  <c:v>2.5360009672666259E-2</c:v>
                </c:pt>
                <c:pt idx="318">
                  <c:v>1.0029608472547627E-2</c:v>
                </c:pt>
                <c:pt idx="319">
                  <c:v>9.1331945106500403E-3</c:v>
                </c:pt>
                <c:pt idx="320">
                  <c:v>2.5047144625512791E-2</c:v>
                </c:pt>
                <c:pt idx="321">
                  <c:v>3.1285926265963569E-2</c:v>
                </c:pt>
                <c:pt idx="322">
                  <c:v>4.1929602859028643E-2</c:v>
                </c:pt>
                <c:pt idx="323">
                  <c:v>1.8009780779075901E-2</c:v>
                </c:pt>
                <c:pt idx="324">
                  <c:v>2.1358518412720989E-2</c:v>
                </c:pt>
                <c:pt idx="325">
                  <c:v>1.9786725617974853E-2</c:v>
                </c:pt>
                <c:pt idx="326">
                  <c:v>2.9670421542730523E-2</c:v>
                </c:pt>
                <c:pt idx="327">
                  <c:v>2.2323995829539815E-2</c:v>
                </c:pt>
                <c:pt idx="328">
                  <c:v>3.2812381760322452E-2</c:v>
                </c:pt>
                <c:pt idx="329">
                  <c:v>3.2180602300798736E-2</c:v>
                </c:pt>
                <c:pt idx="330">
                  <c:v>1.4216181068838126E-2</c:v>
                </c:pt>
                <c:pt idx="331">
                  <c:v>3.201448721926542E-2</c:v>
                </c:pt>
                <c:pt idx="332">
                  <c:v>1.6202285683071208E-3</c:v>
                </c:pt>
                <c:pt idx="333">
                  <c:v>5.36004341918249E-3</c:v>
                </c:pt>
                <c:pt idx="334">
                  <c:v>-6.6629457172725595E-5</c:v>
                </c:pt>
                <c:pt idx="335">
                  <c:v>4.6355905339246503E-3</c:v>
                </c:pt>
                <c:pt idx="336">
                  <c:v>-9.1507647487253114E-3</c:v>
                </c:pt>
                <c:pt idx="337">
                  <c:v>-5.7917955735944096E-3</c:v>
                </c:pt>
                <c:pt idx="338">
                  <c:v>-1.0591088483967349E-2</c:v>
                </c:pt>
                <c:pt idx="339">
                  <c:v>-1.2383868070075264E-2</c:v>
                </c:pt>
                <c:pt idx="340">
                  <c:v>-1.2991795771592738E-2</c:v>
                </c:pt>
                <c:pt idx="341">
                  <c:v>-1.3756427298312838E-2</c:v>
                </c:pt>
                <c:pt idx="342">
                  <c:v>-6.9277099642863701E-3</c:v>
                </c:pt>
                <c:pt idx="343">
                  <c:v>-2.1697506863280747E-2</c:v>
                </c:pt>
                <c:pt idx="344">
                  <c:v>-6.1441823095465253E-3</c:v>
                </c:pt>
                <c:pt idx="345">
                  <c:v>-1.056195463155985E-2</c:v>
                </c:pt>
                <c:pt idx="346">
                  <c:v>-1.0352396744016737E-2</c:v>
                </c:pt>
                <c:pt idx="347">
                  <c:v>8.2146022223736313E-3</c:v>
                </c:pt>
                <c:pt idx="348">
                  <c:v>8.1072048470734442E-3</c:v>
                </c:pt>
                <c:pt idx="349">
                  <c:v>1.673444497603907E-2</c:v>
                </c:pt>
                <c:pt idx="350">
                  <c:v>1.2120063462785959E-2</c:v>
                </c:pt>
                <c:pt idx="351">
                  <c:v>1.565855212125122E-2</c:v>
                </c:pt>
                <c:pt idx="352">
                  <c:v>2.5977882269284616E-2</c:v>
                </c:pt>
                <c:pt idx="353">
                  <c:v>3.1834022126456585E-2</c:v>
                </c:pt>
                <c:pt idx="354">
                  <c:v>2.2691471227884542E-2</c:v>
                </c:pt>
                <c:pt idx="355">
                  <c:v>2.959954769850243E-2</c:v>
                </c:pt>
                <c:pt idx="356">
                  <c:v>2.2757115028083853E-2</c:v>
                </c:pt>
                <c:pt idx="357">
                  <c:v>3.1911250239194604E-2</c:v>
                </c:pt>
                <c:pt idx="358">
                  <c:v>1.683858823621253E-2</c:v>
                </c:pt>
                <c:pt idx="359">
                  <c:v>1.9084968582923276E-2</c:v>
                </c:pt>
                <c:pt idx="360">
                  <c:v>2.9620872662718949E-2</c:v>
                </c:pt>
                <c:pt idx="361">
                  <c:v>2.1074941589742491E-2</c:v>
                </c:pt>
                <c:pt idx="362">
                  <c:v>1.4095587057117906E-2</c:v>
                </c:pt>
                <c:pt idx="363">
                  <c:v>7.7508940749619094E-3</c:v>
                </c:pt>
                <c:pt idx="364">
                  <c:v>-6.5594683879320343E-4</c:v>
                </c:pt>
                <c:pt idx="365">
                  <c:v>8.6488780052495964E-3</c:v>
                </c:pt>
                <c:pt idx="366">
                  <c:v>7.0176245254770135E-3</c:v>
                </c:pt>
                <c:pt idx="367">
                  <c:v>1.406864803793737E-2</c:v>
                </c:pt>
                <c:pt idx="368">
                  <c:v>8.884396497211974E-3</c:v>
                </c:pt>
                <c:pt idx="369">
                  <c:v>7.9795428523608825E-3</c:v>
                </c:pt>
                <c:pt idx="370">
                  <c:v>1.8949277622367647E-2</c:v>
                </c:pt>
                <c:pt idx="371">
                  <c:v>9.5429199173856713E-3</c:v>
                </c:pt>
                <c:pt idx="372">
                  <c:v>1.0836897004627661E-2</c:v>
                </c:pt>
                <c:pt idx="373">
                  <c:v>1.3929325905618075E-3</c:v>
                </c:pt>
                <c:pt idx="374">
                  <c:v>1.5526351107604053E-2</c:v>
                </c:pt>
                <c:pt idx="375">
                  <c:v>2.2525007635919327E-2</c:v>
                </c:pt>
                <c:pt idx="376">
                  <c:v>6.566631831350098E-3</c:v>
                </c:pt>
                <c:pt idx="377">
                  <c:v>-1.8015298855881916E-4</c:v>
                </c:pt>
                <c:pt idx="378">
                  <c:v>1.2491569712414184E-2</c:v>
                </c:pt>
                <c:pt idx="379">
                  <c:v>3.5933657167061496E-3</c:v>
                </c:pt>
                <c:pt idx="380">
                  <c:v>2.0242864997868079E-2</c:v>
                </c:pt>
                <c:pt idx="381">
                  <c:v>1.1915600190574043E-2</c:v>
                </c:pt>
                <c:pt idx="382">
                  <c:v>1.7576905436192201E-2</c:v>
                </c:pt>
                <c:pt idx="383">
                  <c:v>1.6936581005754424E-2</c:v>
                </c:pt>
                <c:pt idx="384">
                  <c:v>1.8167399004618251E-2</c:v>
                </c:pt>
                <c:pt idx="385">
                  <c:v>2.2988668341519049E-2</c:v>
                </c:pt>
                <c:pt idx="386">
                  <c:v>1.6425894145070851E-2</c:v>
                </c:pt>
                <c:pt idx="387">
                  <c:v>1.7629394396791096E-2</c:v>
                </c:pt>
                <c:pt idx="388">
                  <c:v>4.0940985846976231E-2</c:v>
                </c:pt>
                <c:pt idx="389">
                  <c:v>3.3480531952729077E-2</c:v>
                </c:pt>
                <c:pt idx="390">
                  <c:v>3.4085837950171068E-2</c:v>
                </c:pt>
                <c:pt idx="391">
                  <c:v>3.5825676948500584E-2</c:v>
                </c:pt>
                <c:pt idx="392">
                  <c:v>2.5236217210928783E-2</c:v>
                </c:pt>
                <c:pt idx="393">
                  <c:v>2.5923353393903548E-2</c:v>
                </c:pt>
                <c:pt idx="394">
                  <c:v>2.5511497944382632E-2</c:v>
                </c:pt>
                <c:pt idx="395">
                  <c:v>1.4681524840046862E-2</c:v>
                </c:pt>
                <c:pt idx="396">
                  <c:v>3.4688296163368866E-3</c:v>
                </c:pt>
                <c:pt idx="397">
                  <c:v>1.3890514939125274E-2</c:v>
                </c:pt>
                <c:pt idx="398">
                  <c:v>1.708811384329946E-2</c:v>
                </c:pt>
                <c:pt idx="399">
                  <c:v>1.0102140501667262E-2</c:v>
                </c:pt>
                <c:pt idx="400">
                  <c:v>5.908976844157106E-3</c:v>
                </c:pt>
                <c:pt idx="401">
                  <c:v>1.0360480835849082E-3</c:v>
                </c:pt>
                <c:pt idx="402">
                  <c:v>5.6628526677096596E-3</c:v>
                </c:pt>
                <c:pt idx="403">
                  <c:v>-1.0163985008124218E-4</c:v>
                </c:pt>
                <c:pt idx="404">
                  <c:v>-8.5887487391516932E-4</c:v>
                </c:pt>
                <c:pt idx="405">
                  <c:v>1.4994683703050014E-3</c:v>
                </c:pt>
                <c:pt idx="406">
                  <c:v>-3.7725018907630521E-4</c:v>
                </c:pt>
                <c:pt idx="407">
                  <c:v>1.7879370209420685E-3</c:v>
                </c:pt>
                <c:pt idx="408">
                  <c:v>1.8039375593129865E-2</c:v>
                </c:pt>
                <c:pt idx="409">
                  <c:v>4.462479440135286E-3</c:v>
                </c:pt>
                <c:pt idx="410">
                  <c:v>6.9267585943032853E-3</c:v>
                </c:pt>
                <c:pt idx="411">
                  <c:v>4.8357304631948591E-3</c:v>
                </c:pt>
                <c:pt idx="412">
                  <c:v>1.2898257424633316E-3</c:v>
                </c:pt>
                <c:pt idx="413">
                  <c:v>7.2320643709352849E-3</c:v>
                </c:pt>
                <c:pt idx="414">
                  <c:v>-4.066256216602053E-3</c:v>
                </c:pt>
                <c:pt idx="415">
                  <c:v>-4.9645222713730276E-4</c:v>
                </c:pt>
                <c:pt idx="416">
                  <c:v>-8.2053984797749342E-3</c:v>
                </c:pt>
                <c:pt idx="417">
                  <c:v>-9.9215999419257784E-3</c:v>
                </c:pt>
                <c:pt idx="418">
                  <c:v>-1.7750993138317184E-2</c:v>
                </c:pt>
                <c:pt idx="419">
                  <c:v>-1.4232554675444103E-2</c:v>
                </c:pt>
                <c:pt idx="420">
                  <c:v>-2.6950036147121041E-2</c:v>
                </c:pt>
                <c:pt idx="421">
                  <c:v>-3.3403183540093001E-2</c:v>
                </c:pt>
                <c:pt idx="422">
                  <c:v>-4.4595352639858046E-2</c:v>
                </c:pt>
                <c:pt idx="423">
                  <c:v>-4.665057392524017E-2</c:v>
                </c:pt>
                <c:pt idx="424">
                  <c:v>-4.9870100326960848E-2</c:v>
                </c:pt>
                <c:pt idx="425">
                  <c:v>-5.2873729715048771E-2</c:v>
                </c:pt>
                <c:pt idx="426">
                  <c:v>-6.810417864794889E-2</c:v>
                </c:pt>
                <c:pt idx="427">
                  <c:v>-7.369030874326124E-2</c:v>
                </c:pt>
                <c:pt idx="428">
                  <c:v>-6.2781674171869944E-2</c:v>
                </c:pt>
                <c:pt idx="429">
                  <c:v>-7.0438619162574559E-2</c:v>
                </c:pt>
                <c:pt idx="430">
                  <c:v>-8.6426720615769781E-2</c:v>
                </c:pt>
                <c:pt idx="431">
                  <c:v>-0.10601966043413649</c:v>
                </c:pt>
                <c:pt idx="432">
                  <c:v>-0.10370596661178254</c:v>
                </c:pt>
                <c:pt idx="433">
                  <c:v>-9.5601132376201436E-2</c:v>
                </c:pt>
                <c:pt idx="434">
                  <c:v>-9.2605559801749351E-2</c:v>
                </c:pt>
                <c:pt idx="435">
                  <c:v>-9.9089568142089524E-2</c:v>
                </c:pt>
                <c:pt idx="436">
                  <c:v>-0.10119017646002545</c:v>
                </c:pt>
                <c:pt idx="437">
                  <c:v>-8.3577079103627328E-2</c:v>
                </c:pt>
                <c:pt idx="438">
                  <c:v>-5.8557335241182402E-2</c:v>
                </c:pt>
                <c:pt idx="439">
                  <c:v>-4.4023338476529152E-2</c:v>
                </c:pt>
                <c:pt idx="440">
                  <c:v>-4.4417028939107907E-2</c:v>
                </c:pt>
                <c:pt idx="441">
                  <c:v>-4.2125708651713063E-2</c:v>
                </c:pt>
                <c:pt idx="442">
                  <c:v>-2.3340094495287317E-2</c:v>
                </c:pt>
                <c:pt idx="443">
                  <c:v>6.9383392715979949E-3</c:v>
                </c:pt>
                <c:pt idx="444">
                  <c:v>-2.2993808250381148E-3</c:v>
                </c:pt>
                <c:pt idx="445">
                  <c:v>6.8060669568711608E-3</c:v>
                </c:pt>
                <c:pt idx="446">
                  <c:v>1.5008012928702887E-3</c:v>
                </c:pt>
                <c:pt idx="447">
                  <c:v>3.3675801489126196E-2</c:v>
                </c:pt>
                <c:pt idx="448">
                  <c:v>3.5791790297739871E-2</c:v>
                </c:pt>
                <c:pt idx="449">
                  <c:v>2.8822324393785161E-2</c:v>
                </c:pt>
                <c:pt idx="450">
                  <c:v>1.7273983976045862E-2</c:v>
                </c:pt>
                <c:pt idx="451">
                  <c:v>4.9917504863060368E-3</c:v>
                </c:pt>
                <c:pt idx="452">
                  <c:v>2.5790149411000318E-3</c:v>
                </c:pt>
                <c:pt idx="453">
                  <c:v>3.1774819767705353E-3</c:v>
                </c:pt>
                <c:pt idx="454">
                  <c:v>1.5293897069579716E-2</c:v>
                </c:pt>
                <c:pt idx="455">
                  <c:v>9.1587145455494946E-3</c:v>
                </c:pt>
                <c:pt idx="456">
                  <c:v>1.5675540665787451E-2</c:v>
                </c:pt>
                <c:pt idx="457">
                  <c:v>1.4762492942203732E-2</c:v>
                </c:pt>
                <c:pt idx="458">
                  <c:v>2.1364481096463266E-2</c:v>
                </c:pt>
                <c:pt idx="459">
                  <c:v>4.5105663911397158E-3</c:v>
                </c:pt>
                <c:pt idx="460">
                  <c:v>6.172140256988934E-3</c:v>
                </c:pt>
                <c:pt idx="461">
                  <c:v>6.5624527940355117E-3</c:v>
                </c:pt>
                <c:pt idx="462">
                  <c:v>1.4912327062946354E-2</c:v>
                </c:pt>
                <c:pt idx="463">
                  <c:v>1.2854092076438877E-2</c:v>
                </c:pt>
                <c:pt idx="464">
                  <c:v>1.550877221624725E-2</c:v>
                </c:pt>
                <c:pt idx="465">
                  <c:v>1.1359403905763454E-2</c:v>
                </c:pt>
                <c:pt idx="466">
                  <c:v>-9.3550874629643225E-4</c:v>
                </c:pt>
                <c:pt idx="467">
                  <c:v>-2.1471873063397644E-3</c:v>
                </c:pt>
                <c:pt idx="468">
                  <c:v>-1.3301682982992452E-3</c:v>
                </c:pt>
                <c:pt idx="469">
                  <c:v>-1.9942575274936404E-2</c:v>
                </c:pt>
                <c:pt idx="470">
                  <c:v>-1.0364872342910026E-2</c:v>
                </c:pt>
                <c:pt idx="471">
                  <c:v>-6.843394396584556E-3</c:v>
                </c:pt>
                <c:pt idx="472">
                  <c:v>-8.7591981215800752E-3</c:v>
                </c:pt>
                <c:pt idx="473">
                  <c:v>-1.4825118196047359E-2</c:v>
                </c:pt>
                <c:pt idx="474">
                  <c:v>-2.5483798605185806E-2</c:v>
                </c:pt>
                <c:pt idx="475">
                  <c:v>-2.2820157654821531E-2</c:v>
                </c:pt>
                <c:pt idx="476">
                  <c:v>-2.4980280841015785E-2</c:v>
                </c:pt>
                <c:pt idx="477">
                  <c:v>-1.1186163488833209E-2</c:v>
                </c:pt>
                <c:pt idx="478">
                  <c:v>-1.0481009264318568E-2</c:v>
                </c:pt>
                <c:pt idx="479">
                  <c:v>-9.9113256029533491E-3</c:v>
                </c:pt>
                <c:pt idx="480">
                  <c:v>-4.0273632777323258E-3</c:v>
                </c:pt>
                <c:pt idx="481">
                  <c:v>1.8157074516600806E-2</c:v>
                </c:pt>
                <c:pt idx="482">
                  <c:v>7.0701795606043592E-3</c:v>
                </c:pt>
                <c:pt idx="483">
                  <c:v>5.1936761635771895E-4</c:v>
                </c:pt>
                <c:pt idx="484">
                  <c:v>6.474988718907961E-3</c:v>
                </c:pt>
                <c:pt idx="485">
                  <c:v>-4.3338107783989239E-3</c:v>
                </c:pt>
                <c:pt idx="486">
                  <c:v>5.9088961257166752E-3</c:v>
                </c:pt>
                <c:pt idx="487">
                  <c:v>1.2143023560290322E-2</c:v>
                </c:pt>
                <c:pt idx="488">
                  <c:v>1.5419986726630471E-2</c:v>
                </c:pt>
                <c:pt idx="489">
                  <c:v>1.0712497537592753E-2</c:v>
                </c:pt>
                <c:pt idx="490">
                  <c:v>1.8596597825350742E-2</c:v>
                </c:pt>
                <c:pt idx="491">
                  <c:v>2.4012574006259421E-3</c:v>
                </c:pt>
                <c:pt idx="492">
                  <c:v>9.0670491684366854E-3</c:v>
                </c:pt>
                <c:pt idx="493">
                  <c:v>9.8195749590680968E-3</c:v>
                </c:pt>
                <c:pt idx="494">
                  <c:v>8.7219371849365703E-3</c:v>
                </c:pt>
                <c:pt idx="495">
                  <c:v>8.3708379098605731E-3</c:v>
                </c:pt>
                <c:pt idx="496">
                  <c:v>5.5010690027825597E-3</c:v>
                </c:pt>
                <c:pt idx="497">
                  <c:v>1.6810010227090593E-2</c:v>
                </c:pt>
                <c:pt idx="498">
                  <c:v>5.9344604279063656E-3</c:v>
                </c:pt>
                <c:pt idx="499">
                  <c:v>7.1552178089042545E-3</c:v>
                </c:pt>
                <c:pt idx="500">
                  <c:v>2.2835058818030711E-4</c:v>
                </c:pt>
                <c:pt idx="501">
                  <c:v>1.9670144158392591E-2</c:v>
                </c:pt>
                <c:pt idx="502">
                  <c:v>8.8610158629715517E-3</c:v>
                </c:pt>
                <c:pt idx="503">
                  <c:v>2.6661900918874454E-2</c:v>
                </c:pt>
                <c:pt idx="504">
                  <c:v>1.1098579114584031E-2</c:v>
                </c:pt>
                <c:pt idx="505">
                  <c:v>1.6096846611253789E-2</c:v>
                </c:pt>
                <c:pt idx="506">
                  <c:v>1.1136147636270303E-2</c:v>
                </c:pt>
                <c:pt idx="507">
                  <c:v>1.1187806888460753E-2</c:v>
                </c:pt>
                <c:pt idx="508">
                  <c:v>9.8479532636763147E-3</c:v>
                </c:pt>
                <c:pt idx="509">
                  <c:v>2.4209925726201884E-2</c:v>
                </c:pt>
                <c:pt idx="510">
                  <c:v>2.9323589270698339E-2</c:v>
                </c:pt>
                <c:pt idx="511">
                  <c:v>2.2051402370083406E-2</c:v>
                </c:pt>
                <c:pt idx="512">
                  <c:v>2.1370764809974525E-2</c:v>
                </c:pt>
                <c:pt idx="513">
                  <c:v>-1.8228445932895827E-3</c:v>
                </c:pt>
                <c:pt idx="514">
                  <c:v>-4.9628906815709518E-3</c:v>
                </c:pt>
                <c:pt idx="515">
                  <c:v>8.2647925821365872E-3</c:v>
                </c:pt>
                <c:pt idx="516">
                  <c:v>1.0393969495001249E-2</c:v>
                </c:pt>
                <c:pt idx="517">
                  <c:v>-9.0473909066792462E-3</c:v>
                </c:pt>
                <c:pt idx="518">
                  <c:v>1.0009639059667263E-2</c:v>
                </c:pt>
                <c:pt idx="519">
                  <c:v>7.8824424869751164E-3</c:v>
                </c:pt>
                <c:pt idx="520">
                  <c:v>1.8062071851802926E-2</c:v>
                </c:pt>
                <c:pt idx="521">
                  <c:v>1.128936364470023E-3</c:v>
                </c:pt>
                <c:pt idx="522">
                  <c:v>3.554860084732504E-3</c:v>
                </c:pt>
                <c:pt idx="523">
                  <c:v>4.2933573183485778E-3</c:v>
                </c:pt>
                <c:pt idx="524">
                  <c:v>3.6329715263249259E-3</c:v>
                </c:pt>
                <c:pt idx="525">
                  <c:v>-3.1985462422816713E-3</c:v>
                </c:pt>
                <c:pt idx="526">
                  <c:v>1.785775227801522E-2</c:v>
                </c:pt>
                <c:pt idx="527">
                  <c:v>-9.2250155827964652E-3</c:v>
                </c:pt>
                <c:pt idx="528">
                  <c:v>-2.0859513436586975E-2</c:v>
                </c:pt>
                <c:pt idx="529">
                  <c:v>-5.943485939410395E-3</c:v>
                </c:pt>
                <c:pt idx="530">
                  <c:v>-7.6724066316177109E-3</c:v>
                </c:pt>
                <c:pt idx="531">
                  <c:v>2.8778463388829154E-4</c:v>
                </c:pt>
                <c:pt idx="532">
                  <c:v>-1.3490123109543596E-2</c:v>
                </c:pt>
                <c:pt idx="533">
                  <c:v>-1.5409100489080856E-2</c:v>
                </c:pt>
                <c:pt idx="534">
                  <c:v>-1.9138864173741277E-2</c:v>
                </c:pt>
                <c:pt idx="535">
                  <c:v>-1.8035015813275275E-2</c:v>
                </c:pt>
                <c:pt idx="536">
                  <c:v>-5.5034738203907406E-3</c:v>
                </c:pt>
                <c:pt idx="537">
                  <c:v>9.0050788644941259E-6</c:v>
                </c:pt>
                <c:pt idx="538">
                  <c:v>-1.1149318625357858E-2</c:v>
                </c:pt>
                <c:pt idx="539">
                  <c:v>5.8527710039682967E-3</c:v>
                </c:pt>
                <c:pt idx="540">
                  <c:v>1.3674255152896584E-2</c:v>
                </c:pt>
                <c:pt idx="541">
                  <c:v>9.9703963036579246E-3</c:v>
                </c:pt>
                <c:pt idx="542">
                  <c:v>1.8929676957697743E-2</c:v>
                </c:pt>
                <c:pt idx="543">
                  <c:v>-1.3043806077056526E-2</c:v>
                </c:pt>
                <c:pt idx="544">
                  <c:v>1.1972872123544255E-3</c:v>
                </c:pt>
                <c:pt idx="545">
                  <c:v>3.3519117199878072E-3</c:v>
                </c:pt>
                <c:pt idx="546">
                  <c:v>1.3972444015002892E-2</c:v>
                </c:pt>
                <c:pt idx="547">
                  <c:v>1.4849523159737765E-2</c:v>
                </c:pt>
                <c:pt idx="548">
                  <c:v>6.8955152277619253E-3</c:v>
                </c:pt>
                <c:pt idx="549">
                  <c:v>1.2583984111181704E-2</c:v>
                </c:pt>
                <c:pt idx="550">
                  <c:v>6.7893496564936616E-3</c:v>
                </c:pt>
                <c:pt idx="551">
                  <c:v>-4.8576991006356813E-3</c:v>
                </c:pt>
                <c:pt idx="552">
                  <c:v>4.0289646110126427E-3</c:v>
                </c:pt>
                <c:pt idx="553">
                  <c:v>5.529974091305314E-3</c:v>
                </c:pt>
                <c:pt idx="554">
                  <c:v>-2.4431920437562125E-2</c:v>
                </c:pt>
                <c:pt idx="555">
                  <c:v>8.1379920389208649E-3</c:v>
                </c:pt>
                <c:pt idx="556">
                  <c:v>4.669910046977842E-3</c:v>
                </c:pt>
                <c:pt idx="557">
                  <c:v>3.0276777801149469E-3</c:v>
                </c:pt>
                <c:pt idx="558">
                  <c:v>-2.0215140497697342E-3</c:v>
                </c:pt>
                <c:pt idx="559">
                  <c:v>-9.3498044915049181E-3</c:v>
                </c:pt>
                <c:pt idx="560">
                  <c:v>-1.1955845909459712E-2</c:v>
                </c:pt>
                <c:pt idx="561">
                  <c:v>7.7962732035459894E-4</c:v>
                </c:pt>
                <c:pt idx="562">
                  <c:v>-5.0527212484708034E-3</c:v>
                </c:pt>
                <c:pt idx="563">
                  <c:v>-1.3857103236914812E-3</c:v>
                </c:pt>
                <c:pt idx="564">
                  <c:v>5.958034196789236E-3</c:v>
                </c:pt>
                <c:pt idx="565">
                  <c:v>-4.6760126891649365E-2</c:v>
                </c:pt>
                <c:pt idx="566">
                  <c:v>-0.14569792052038624</c:v>
                </c:pt>
                <c:pt idx="567">
                  <c:v>-0.11349378225529845</c:v>
                </c:pt>
                <c:pt idx="568">
                  <c:v>-4.2340276236085071E-2</c:v>
                </c:pt>
                <c:pt idx="569">
                  <c:v>4.4656878530905785E-3</c:v>
                </c:pt>
                <c:pt idx="570">
                  <c:v>8.4382209112169263E-3</c:v>
                </c:pt>
                <c:pt idx="571">
                  <c:v>1.454080206944506E-3</c:v>
                </c:pt>
                <c:pt idx="572">
                  <c:v>7.35935586627493E-3</c:v>
                </c:pt>
                <c:pt idx="573">
                  <c:v>-5.9280556787001072E-3</c:v>
                </c:pt>
                <c:pt idx="574">
                  <c:v>1.7824609190664691E-2</c:v>
                </c:pt>
                <c:pt idx="575">
                  <c:v>3.1526945958231134E-2</c:v>
                </c:pt>
                <c:pt idx="576">
                  <c:v>-1.9762259718998218E-3</c:v>
                </c:pt>
                <c:pt idx="577">
                  <c:v>6.0704672871973279E-2</c:v>
                </c:pt>
                <c:pt idx="578">
                  <c:v>0.19322326697117212</c:v>
                </c:pt>
                <c:pt idx="579">
                  <c:v>0.14973192263265805</c:v>
                </c:pt>
                <c:pt idx="580">
                  <c:v>5.6972629831589676E-2</c:v>
                </c:pt>
                <c:pt idx="581">
                  <c:v>1.6040822909750441E-2</c:v>
                </c:pt>
                <c:pt idx="582">
                  <c:v>7.0190120342757834E-3</c:v>
                </c:pt>
                <c:pt idx="583">
                  <c:v>1.2575426148395779E-2</c:v>
                </c:pt>
                <c:pt idx="584">
                  <c:v>1.6642169033667754E-2</c:v>
                </c:pt>
                <c:pt idx="585">
                  <c:v>2.2808740900688924E-2</c:v>
                </c:pt>
                <c:pt idx="586">
                  <c:v>3.965342864241295E-3</c:v>
                </c:pt>
                <c:pt idx="587">
                  <c:v>9.5598924209451628E-3</c:v>
                </c:pt>
                <c:pt idx="588">
                  <c:v>3.4941185210866497E-2</c:v>
                </c:pt>
                <c:pt idx="589">
                  <c:v>2.4498703332191604E-2</c:v>
                </c:pt>
                <c:pt idx="590">
                  <c:v>4.324524753721716E-2</c:v>
                </c:pt>
                <c:pt idx="591">
                  <c:v>2.9413922603075536E-2</c:v>
                </c:pt>
                <c:pt idx="592">
                  <c:v>2.0137625548064239E-2</c:v>
                </c:pt>
                <c:pt idx="593">
                  <c:v>1.7066282308486339E-2</c:v>
                </c:pt>
                <c:pt idx="594">
                  <c:v>1.999145564249484E-2</c:v>
                </c:pt>
                <c:pt idx="595">
                  <c:v>2.3923218946464965E-2</c:v>
                </c:pt>
                <c:pt idx="596">
                  <c:v>2.4417358548810757E-2</c:v>
                </c:pt>
                <c:pt idx="597">
                  <c:v>1.2511519551434348E-2</c:v>
                </c:pt>
                <c:pt idx="598">
                  <c:v>1.3825832121993899E-2</c:v>
                </c:pt>
                <c:pt idx="599">
                  <c:v>-8.5407525225102143E-3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20A-4407-8EAB-97F97A90E456}"/>
            </c:ext>
          </c:extLst>
        </c:ser>
        <c:dLbls>
          <c:showLegendKey val="0"/>
          <c:showVal val="0"/>
          <c:showCatName val="0"/>
          <c:showSerName val="0"/>
          <c:showPercent val="0"/>
          <c:showBubbleSize val="0"/>
        </c:dLbls>
        <c:gapWidth val="219"/>
        <c:axId val="538745519"/>
        <c:axId val="538747167"/>
      </c:barChart>
      <c:dateAx>
        <c:axId val="53874551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7167"/>
        <c:crosses val="autoZero"/>
        <c:auto val="0"/>
        <c:lblOffset val="100"/>
        <c:baseTimeUnit val="months"/>
      </c:dateAx>
      <c:valAx>
        <c:axId val="538747167"/>
        <c:scaling>
          <c:orientation val="minMax"/>
          <c:max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551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Goods'!$Y$1</c:f>
          <c:strCache>
            <c:ptCount val="1"/>
            <c:pt idx="0">
              <c:v>Industrial Production: Consumer Goods yoy since 2010 </c:v>
            </c:pt>
          </c:strCache>
        </c:strRef>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2010 </c:v>
                </c:pt>
              </c:strCache>
            </c:strRef>
          </c:tx>
          <c:spPr>
            <a:solidFill>
              <a:srgbClr val="002060"/>
            </a:solidFill>
            <a:ln>
              <a:noFill/>
              <a:prstDash val="solid"/>
            </a:ln>
          </c:spPr>
          <c:invertIfNegative val="1"/>
          <c:cat>
            <c:numRef>
              <c:f>'Consumer Goods'!$A$463:$A$619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'Consumer Goods'!$D$463:$D$619</c:f>
              <c:numCache>
                <c:formatCode>0.0%</c:formatCode>
                <c:ptCount val="157"/>
                <c:pt idx="0">
                  <c:v>6.9383392715979949E-3</c:v>
                </c:pt>
                <c:pt idx="1">
                  <c:v>-2.2993808250381148E-3</c:v>
                </c:pt>
                <c:pt idx="2">
                  <c:v>6.8060669568711608E-3</c:v>
                </c:pt>
                <c:pt idx="3">
                  <c:v>1.5008012928702887E-3</c:v>
                </c:pt>
                <c:pt idx="4">
                  <c:v>3.3675801489126196E-2</c:v>
                </c:pt>
                <c:pt idx="5">
                  <c:v>3.5791790297739871E-2</c:v>
                </c:pt>
                <c:pt idx="6">
                  <c:v>2.8822324393785161E-2</c:v>
                </c:pt>
                <c:pt idx="7">
                  <c:v>1.7273983976045862E-2</c:v>
                </c:pt>
                <c:pt idx="8">
                  <c:v>4.9917504863060368E-3</c:v>
                </c:pt>
                <c:pt idx="9">
                  <c:v>2.5790149411000318E-3</c:v>
                </c:pt>
                <c:pt idx="10">
                  <c:v>3.1774819767705353E-3</c:v>
                </c:pt>
                <c:pt idx="11">
                  <c:v>1.5293897069579716E-2</c:v>
                </c:pt>
                <c:pt idx="12">
                  <c:v>9.1587145455494946E-3</c:v>
                </c:pt>
                <c:pt idx="13">
                  <c:v>1.5675540665787451E-2</c:v>
                </c:pt>
                <c:pt idx="14">
                  <c:v>1.4762492942203732E-2</c:v>
                </c:pt>
                <c:pt idx="15">
                  <c:v>2.1364481096463266E-2</c:v>
                </c:pt>
                <c:pt idx="16">
                  <c:v>4.5105663911397158E-3</c:v>
                </c:pt>
                <c:pt idx="17">
                  <c:v>6.172140256988934E-3</c:v>
                </c:pt>
                <c:pt idx="18">
                  <c:v>6.5624527940355117E-3</c:v>
                </c:pt>
                <c:pt idx="19">
                  <c:v>1.4912327062946354E-2</c:v>
                </c:pt>
                <c:pt idx="20">
                  <c:v>1.2854092076438877E-2</c:v>
                </c:pt>
                <c:pt idx="21">
                  <c:v>1.550877221624725E-2</c:v>
                </c:pt>
                <c:pt idx="22">
                  <c:v>1.1359403905763454E-2</c:v>
                </c:pt>
                <c:pt idx="23">
                  <c:v>-9.3550874629643225E-4</c:v>
                </c:pt>
                <c:pt idx="24">
                  <c:v>-2.1471873063397644E-3</c:v>
                </c:pt>
                <c:pt idx="25">
                  <c:v>-1.3301682982992452E-3</c:v>
                </c:pt>
                <c:pt idx="26">
                  <c:v>-1.9942575274936404E-2</c:v>
                </c:pt>
                <c:pt idx="27">
                  <c:v>-1.0364872342910026E-2</c:v>
                </c:pt>
                <c:pt idx="28">
                  <c:v>-6.843394396584556E-3</c:v>
                </c:pt>
                <c:pt idx="29">
                  <c:v>-8.7591981215800752E-3</c:v>
                </c:pt>
                <c:pt idx="30">
                  <c:v>-1.4825118196047359E-2</c:v>
                </c:pt>
                <c:pt idx="31">
                  <c:v>-2.5483798605185806E-2</c:v>
                </c:pt>
                <c:pt idx="32">
                  <c:v>-2.2820157654821531E-2</c:v>
                </c:pt>
                <c:pt idx="33">
                  <c:v>-2.4980280841015785E-2</c:v>
                </c:pt>
                <c:pt idx="34">
                  <c:v>-1.1186163488833209E-2</c:v>
                </c:pt>
                <c:pt idx="35">
                  <c:v>-1.0481009264318568E-2</c:v>
                </c:pt>
                <c:pt idx="36">
                  <c:v>-9.9113256029533491E-3</c:v>
                </c:pt>
                <c:pt idx="37">
                  <c:v>-4.0273632777323258E-3</c:v>
                </c:pt>
                <c:pt idx="38">
                  <c:v>1.8157074516600806E-2</c:v>
                </c:pt>
                <c:pt idx="39">
                  <c:v>7.0701795606043592E-3</c:v>
                </c:pt>
                <c:pt idx="40">
                  <c:v>5.1936761635771895E-4</c:v>
                </c:pt>
                <c:pt idx="41">
                  <c:v>6.474988718907961E-3</c:v>
                </c:pt>
                <c:pt idx="42">
                  <c:v>-4.3338107783989239E-3</c:v>
                </c:pt>
                <c:pt idx="43">
                  <c:v>5.9088961257166752E-3</c:v>
                </c:pt>
                <c:pt idx="44">
                  <c:v>1.2143023560290322E-2</c:v>
                </c:pt>
                <c:pt idx="45">
                  <c:v>1.5419986726630471E-2</c:v>
                </c:pt>
                <c:pt idx="46">
                  <c:v>1.0712497537592753E-2</c:v>
                </c:pt>
                <c:pt idx="47">
                  <c:v>1.8596597825350742E-2</c:v>
                </c:pt>
                <c:pt idx="48">
                  <c:v>2.4012574006259421E-3</c:v>
                </c:pt>
                <c:pt idx="49">
                  <c:v>9.0670491684366854E-3</c:v>
                </c:pt>
                <c:pt idx="50">
                  <c:v>9.8195749590680968E-3</c:v>
                </c:pt>
                <c:pt idx="51">
                  <c:v>8.7219371849365703E-3</c:v>
                </c:pt>
                <c:pt idx="52">
                  <c:v>8.3708379098605731E-3</c:v>
                </c:pt>
                <c:pt idx="53">
                  <c:v>5.5010690027825597E-3</c:v>
                </c:pt>
                <c:pt idx="54">
                  <c:v>1.6810010227090593E-2</c:v>
                </c:pt>
                <c:pt idx="55">
                  <c:v>5.9344604279063656E-3</c:v>
                </c:pt>
                <c:pt idx="56">
                  <c:v>7.1552178089042545E-3</c:v>
                </c:pt>
                <c:pt idx="57">
                  <c:v>2.2835058818030711E-4</c:v>
                </c:pt>
                <c:pt idx="58">
                  <c:v>1.9670144158392591E-2</c:v>
                </c:pt>
                <c:pt idx="59">
                  <c:v>8.8610158629715517E-3</c:v>
                </c:pt>
                <c:pt idx="60">
                  <c:v>2.6661900918874454E-2</c:v>
                </c:pt>
                <c:pt idx="61">
                  <c:v>1.1098579114584031E-2</c:v>
                </c:pt>
                <c:pt idx="62">
                  <c:v>1.6096846611253789E-2</c:v>
                </c:pt>
                <c:pt idx="63">
                  <c:v>1.1136147636270303E-2</c:v>
                </c:pt>
                <c:pt idx="64">
                  <c:v>1.1187806888460753E-2</c:v>
                </c:pt>
                <c:pt idx="65">
                  <c:v>9.8479532636763147E-3</c:v>
                </c:pt>
                <c:pt idx="66">
                  <c:v>2.4209925726201884E-2</c:v>
                </c:pt>
                <c:pt idx="67">
                  <c:v>2.9323589270698339E-2</c:v>
                </c:pt>
                <c:pt idx="68">
                  <c:v>2.2051402370083406E-2</c:v>
                </c:pt>
                <c:pt idx="69">
                  <c:v>2.1370764809974525E-2</c:v>
                </c:pt>
                <c:pt idx="70">
                  <c:v>-1.8228445932895827E-3</c:v>
                </c:pt>
                <c:pt idx="71">
                  <c:v>-4.9628906815709518E-3</c:v>
                </c:pt>
                <c:pt idx="72">
                  <c:v>8.2647925821365872E-3</c:v>
                </c:pt>
                <c:pt idx="73">
                  <c:v>1.0393969495001249E-2</c:v>
                </c:pt>
                <c:pt idx="74">
                  <c:v>-9.0473909066792462E-3</c:v>
                </c:pt>
                <c:pt idx="75">
                  <c:v>1.0009639059667263E-2</c:v>
                </c:pt>
                <c:pt idx="76">
                  <c:v>7.8824424869751164E-3</c:v>
                </c:pt>
                <c:pt idx="77">
                  <c:v>1.8062071851802926E-2</c:v>
                </c:pt>
                <c:pt idx="78">
                  <c:v>1.128936364470023E-3</c:v>
                </c:pt>
                <c:pt idx="79">
                  <c:v>3.554860084732504E-3</c:v>
                </c:pt>
                <c:pt idx="80">
                  <c:v>4.2933573183485778E-3</c:v>
                </c:pt>
                <c:pt idx="81">
                  <c:v>3.6329715263249259E-3</c:v>
                </c:pt>
                <c:pt idx="82">
                  <c:v>-3.1985462422816713E-3</c:v>
                </c:pt>
                <c:pt idx="83">
                  <c:v>1.785775227801522E-2</c:v>
                </c:pt>
                <c:pt idx="84">
                  <c:v>-9.2250155827964652E-3</c:v>
                </c:pt>
                <c:pt idx="85">
                  <c:v>-2.0859513436586975E-2</c:v>
                </c:pt>
                <c:pt idx="86">
                  <c:v>-5.943485939410395E-3</c:v>
                </c:pt>
                <c:pt idx="87">
                  <c:v>-7.6724066316177109E-3</c:v>
                </c:pt>
                <c:pt idx="88">
                  <c:v>2.8778463388829154E-4</c:v>
                </c:pt>
                <c:pt idx="89">
                  <c:v>-1.3490123109543596E-2</c:v>
                </c:pt>
                <c:pt idx="90">
                  <c:v>-1.5409100489080856E-2</c:v>
                </c:pt>
                <c:pt idx="91">
                  <c:v>-1.9138864173741277E-2</c:v>
                </c:pt>
                <c:pt idx="92">
                  <c:v>-1.8035015813275275E-2</c:v>
                </c:pt>
                <c:pt idx="93">
                  <c:v>-5.5034738203907406E-3</c:v>
                </c:pt>
                <c:pt idx="94">
                  <c:v>9.0050788644941259E-6</c:v>
                </c:pt>
                <c:pt idx="95">
                  <c:v>-1.1149318625357858E-2</c:v>
                </c:pt>
                <c:pt idx="96">
                  <c:v>5.8527710039682967E-3</c:v>
                </c:pt>
                <c:pt idx="97">
                  <c:v>1.3674255152896584E-2</c:v>
                </c:pt>
                <c:pt idx="98">
                  <c:v>9.9703963036579246E-3</c:v>
                </c:pt>
                <c:pt idx="99">
                  <c:v>1.8929676957697743E-2</c:v>
                </c:pt>
                <c:pt idx="100">
                  <c:v>-1.3043806077056526E-2</c:v>
                </c:pt>
                <c:pt idx="101">
                  <c:v>1.1972872123544255E-3</c:v>
                </c:pt>
                <c:pt idx="102">
                  <c:v>3.3519117199878072E-3</c:v>
                </c:pt>
                <c:pt idx="103">
                  <c:v>1.3972444015002892E-2</c:v>
                </c:pt>
                <c:pt idx="104">
                  <c:v>1.4849523159737765E-2</c:v>
                </c:pt>
                <c:pt idx="105">
                  <c:v>6.8955152277619253E-3</c:v>
                </c:pt>
                <c:pt idx="106">
                  <c:v>1.2583984111181704E-2</c:v>
                </c:pt>
                <c:pt idx="107">
                  <c:v>6.7893496564936616E-3</c:v>
                </c:pt>
                <c:pt idx="108">
                  <c:v>-4.8576991006356813E-3</c:v>
                </c:pt>
                <c:pt idx="109">
                  <c:v>4.0289646110126427E-3</c:v>
                </c:pt>
                <c:pt idx="110">
                  <c:v>5.529974091305314E-3</c:v>
                </c:pt>
                <c:pt idx="111">
                  <c:v>-2.4431920437562125E-2</c:v>
                </c:pt>
                <c:pt idx="112">
                  <c:v>8.1379920389208649E-3</c:v>
                </c:pt>
                <c:pt idx="113">
                  <c:v>4.669910046977842E-3</c:v>
                </c:pt>
                <c:pt idx="114">
                  <c:v>3.0276777801149469E-3</c:v>
                </c:pt>
                <c:pt idx="115">
                  <c:v>-2.0215140497697342E-3</c:v>
                </c:pt>
                <c:pt idx="116">
                  <c:v>-9.3498044915049181E-3</c:v>
                </c:pt>
                <c:pt idx="117">
                  <c:v>-1.1955845909459712E-2</c:v>
                </c:pt>
                <c:pt idx="118">
                  <c:v>7.7962732035459894E-4</c:v>
                </c:pt>
                <c:pt idx="119">
                  <c:v>-5.0527212484708034E-3</c:v>
                </c:pt>
                <c:pt idx="120">
                  <c:v>-1.3857103236914812E-3</c:v>
                </c:pt>
                <c:pt idx="121">
                  <c:v>5.958034196789236E-3</c:v>
                </c:pt>
                <c:pt idx="122">
                  <c:v>-4.6760126891649365E-2</c:v>
                </c:pt>
                <c:pt idx="123">
                  <c:v>-0.14569792052038624</c:v>
                </c:pt>
                <c:pt idx="124">
                  <c:v>-0.11349378225529845</c:v>
                </c:pt>
                <c:pt idx="125">
                  <c:v>-4.2340276236085071E-2</c:v>
                </c:pt>
                <c:pt idx="126">
                  <c:v>4.4656878530905785E-3</c:v>
                </c:pt>
                <c:pt idx="127">
                  <c:v>8.4382209112169263E-3</c:v>
                </c:pt>
                <c:pt idx="128">
                  <c:v>1.454080206944506E-3</c:v>
                </c:pt>
                <c:pt idx="129">
                  <c:v>7.35935586627493E-3</c:v>
                </c:pt>
                <c:pt idx="130">
                  <c:v>-5.9280556787001072E-3</c:v>
                </c:pt>
                <c:pt idx="131">
                  <c:v>1.7824609190664691E-2</c:v>
                </c:pt>
                <c:pt idx="132">
                  <c:v>3.1526945958231134E-2</c:v>
                </c:pt>
                <c:pt idx="133">
                  <c:v>-1.9762259718998218E-3</c:v>
                </c:pt>
                <c:pt idx="134">
                  <c:v>6.0704672871973279E-2</c:v>
                </c:pt>
                <c:pt idx="135">
                  <c:v>0.19322326697117212</c:v>
                </c:pt>
                <c:pt idx="136">
                  <c:v>0.14973192263265805</c:v>
                </c:pt>
                <c:pt idx="137">
                  <c:v>5.6972629831589676E-2</c:v>
                </c:pt>
                <c:pt idx="138">
                  <c:v>1.6040822909750441E-2</c:v>
                </c:pt>
                <c:pt idx="139">
                  <c:v>7.0190120342757834E-3</c:v>
                </c:pt>
                <c:pt idx="140">
                  <c:v>1.2575426148395779E-2</c:v>
                </c:pt>
                <c:pt idx="141">
                  <c:v>1.6642169033667754E-2</c:v>
                </c:pt>
                <c:pt idx="142">
                  <c:v>2.2808740900688924E-2</c:v>
                </c:pt>
                <c:pt idx="143">
                  <c:v>3.965342864241295E-3</c:v>
                </c:pt>
                <c:pt idx="144">
                  <c:v>9.5598924209451628E-3</c:v>
                </c:pt>
                <c:pt idx="145">
                  <c:v>3.4941185210866497E-2</c:v>
                </c:pt>
                <c:pt idx="146">
                  <c:v>2.4498703332191604E-2</c:v>
                </c:pt>
                <c:pt idx="147">
                  <c:v>4.324524753721716E-2</c:v>
                </c:pt>
                <c:pt idx="148">
                  <c:v>2.9413922603075536E-2</c:v>
                </c:pt>
                <c:pt idx="149">
                  <c:v>2.0137625548064239E-2</c:v>
                </c:pt>
                <c:pt idx="150">
                  <c:v>1.7066282308486339E-2</c:v>
                </c:pt>
                <c:pt idx="151">
                  <c:v>1.999145564249484E-2</c:v>
                </c:pt>
                <c:pt idx="152">
                  <c:v>2.3923218946464965E-2</c:v>
                </c:pt>
                <c:pt idx="153">
                  <c:v>2.4417358548810757E-2</c:v>
                </c:pt>
                <c:pt idx="154">
                  <c:v>1.2511519551434348E-2</c:v>
                </c:pt>
                <c:pt idx="155">
                  <c:v>1.3825832121993899E-2</c:v>
                </c:pt>
                <c:pt idx="156">
                  <c:v>-8.5407525225102143E-3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B77-4847-841E-A113E727A032}"/>
            </c:ext>
          </c:extLst>
        </c:ser>
        <c:dLbls>
          <c:showLegendKey val="0"/>
          <c:showVal val="0"/>
          <c:showCatName val="0"/>
          <c:showSerName val="0"/>
          <c:showPercent val="0"/>
          <c:showBubbleSize val="0"/>
        </c:dLbls>
        <c:gapWidth val="219"/>
        <c:overlap val="-27"/>
        <c:axId val="1514595711"/>
        <c:axId val="1514636383"/>
      </c:barChart>
      <c:dateAx>
        <c:axId val="151459571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636383"/>
        <c:crosses val="autoZero"/>
        <c:auto val="0"/>
        <c:lblOffset val="100"/>
        <c:baseTimeUnit val="months"/>
      </c:dateAx>
      <c:valAx>
        <c:axId val="1514636383"/>
        <c:scaling>
          <c:orientation val="minMax"/>
          <c:max val="0.2"/>
          <c:min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59571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Equipment'!$S$1</c:f>
          <c:strCache>
            <c:ptCount val="1"/>
            <c:pt idx="0">
              <c:v>Industrial Production: Business Equipment</c:v>
            </c:pt>
          </c:strCache>
        </c:strRef>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Equipment'!$A$20:$A$617</c:f>
              <c:numCache>
                <c:formatCode>mmm\-yy</c:formatCode>
                <c:ptCount val="598"/>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'Business Equipment'!$B$20:$B$617</c:f>
              <c:numCache>
                <c:formatCode>0.0</c:formatCode>
                <c:ptCount val="598"/>
                <c:pt idx="0">
                  <c:v>19.313600000000001</c:v>
                </c:pt>
                <c:pt idx="1">
                  <c:v>19.4682</c:v>
                </c:pt>
                <c:pt idx="2">
                  <c:v>19.621600000000001</c:v>
                </c:pt>
                <c:pt idx="3">
                  <c:v>19.828299999999999</c:v>
                </c:pt>
                <c:pt idx="4">
                  <c:v>20.0275</c:v>
                </c:pt>
                <c:pt idx="5">
                  <c:v>20.270700000000001</c:v>
                </c:pt>
                <c:pt idx="6">
                  <c:v>20.323599999999999</c:v>
                </c:pt>
                <c:pt idx="7">
                  <c:v>20.6678</c:v>
                </c:pt>
                <c:pt idx="8">
                  <c:v>20.965499999999999</c:v>
                </c:pt>
                <c:pt idx="9">
                  <c:v>21.1127</c:v>
                </c:pt>
                <c:pt idx="10">
                  <c:v>21.191199999999998</c:v>
                </c:pt>
                <c:pt idx="11">
                  <c:v>21.1739</c:v>
                </c:pt>
                <c:pt idx="12">
                  <c:v>21.093900000000001</c:v>
                </c:pt>
                <c:pt idx="13">
                  <c:v>21.281700000000001</c:v>
                </c:pt>
                <c:pt idx="14">
                  <c:v>21.0441</c:v>
                </c:pt>
                <c:pt idx="15">
                  <c:v>21.379899999999999</c:v>
                </c:pt>
                <c:pt idx="16">
                  <c:v>21.405200000000001</c:v>
                </c:pt>
                <c:pt idx="17">
                  <c:v>21.4634</c:v>
                </c:pt>
                <c:pt idx="18">
                  <c:v>21.3796</c:v>
                </c:pt>
                <c:pt idx="19">
                  <c:v>21.7684</c:v>
                </c:pt>
                <c:pt idx="20">
                  <c:v>21.7879</c:v>
                </c:pt>
                <c:pt idx="21">
                  <c:v>21.469200000000001</c:v>
                </c:pt>
                <c:pt idx="22">
                  <c:v>20.6</c:v>
                </c:pt>
                <c:pt idx="23">
                  <c:v>20.116700000000002</c:v>
                </c:pt>
                <c:pt idx="24">
                  <c:v>19.445599999999999</c:v>
                </c:pt>
                <c:pt idx="25">
                  <c:v>19.117100000000001</c:v>
                </c:pt>
                <c:pt idx="26">
                  <c:v>19.013100000000001</c:v>
                </c:pt>
                <c:pt idx="27">
                  <c:v>18.757300000000001</c:v>
                </c:pt>
                <c:pt idx="28">
                  <c:v>18.613600000000002</c:v>
                </c:pt>
                <c:pt idx="29">
                  <c:v>18.733000000000001</c:v>
                </c:pt>
                <c:pt idx="30">
                  <c:v>18.616299999999999</c:v>
                </c:pt>
                <c:pt idx="31">
                  <c:v>18.889399999999998</c:v>
                </c:pt>
                <c:pt idx="32">
                  <c:v>18.947800000000001</c:v>
                </c:pt>
                <c:pt idx="33">
                  <c:v>18.910399999999999</c:v>
                </c:pt>
                <c:pt idx="34">
                  <c:v>19.2517</c:v>
                </c:pt>
                <c:pt idx="35">
                  <c:v>19.435400000000001</c:v>
                </c:pt>
                <c:pt idx="36">
                  <c:v>19.571100000000001</c:v>
                </c:pt>
                <c:pt idx="37">
                  <c:v>19.696100000000001</c:v>
                </c:pt>
                <c:pt idx="38">
                  <c:v>19.865600000000001</c:v>
                </c:pt>
                <c:pt idx="39">
                  <c:v>20.000800000000002</c:v>
                </c:pt>
                <c:pt idx="40">
                  <c:v>20.095400000000001</c:v>
                </c:pt>
                <c:pt idx="41">
                  <c:v>20.236599999999999</c:v>
                </c:pt>
                <c:pt idx="42">
                  <c:v>20.580200000000001</c:v>
                </c:pt>
                <c:pt idx="43">
                  <c:v>20.524899999999999</c:v>
                </c:pt>
                <c:pt idx="44">
                  <c:v>20.553999999999998</c:v>
                </c:pt>
                <c:pt idx="45">
                  <c:v>21.232199999999999</c:v>
                </c:pt>
                <c:pt idx="46">
                  <c:v>21.560300000000002</c:v>
                </c:pt>
                <c:pt idx="47">
                  <c:v>21.622</c:v>
                </c:pt>
                <c:pt idx="48">
                  <c:v>22.1738</c:v>
                </c:pt>
                <c:pt idx="49">
                  <c:v>22.526</c:v>
                </c:pt>
                <c:pt idx="50">
                  <c:v>22.842400000000001</c:v>
                </c:pt>
                <c:pt idx="51">
                  <c:v>23.304500000000001</c:v>
                </c:pt>
                <c:pt idx="52">
                  <c:v>23.825900000000001</c:v>
                </c:pt>
                <c:pt idx="53">
                  <c:v>23.9664</c:v>
                </c:pt>
                <c:pt idx="54">
                  <c:v>24.0428</c:v>
                </c:pt>
                <c:pt idx="55">
                  <c:v>24.134899999999998</c:v>
                </c:pt>
                <c:pt idx="56">
                  <c:v>24.033300000000001</c:v>
                </c:pt>
                <c:pt idx="57">
                  <c:v>24.0366</c:v>
                </c:pt>
                <c:pt idx="58">
                  <c:v>24.354099999999999</c:v>
                </c:pt>
                <c:pt idx="59">
                  <c:v>23.866399999999999</c:v>
                </c:pt>
                <c:pt idx="60">
                  <c:v>24.464600000000001</c:v>
                </c:pt>
                <c:pt idx="61">
                  <c:v>25.189499999999999</c:v>
                </c:pt>
                <c:pt idx="62">
                  <c:v>25.722799999999999</c:v>
                </c:pt>
                <c:pt idx="63">
                  <c:v>25.888999999999999</c:v>
                </c:pt>
                <c:pt idx="64">
                  <c:v>26.296900000000001</c:v>
                </c:pt>
                <c:pt idx="65">
                  <c:v>26.491199999999999</c:v>
                </c:pt>
                <c:pt idx="66">
                  <c:v>26.988099999999999</c:v>
                </c:pt>
                <c:pt idx="67">
                  <c:v>27.265999999999998</c:v>
                </c:pt>
                <c:pt idx="68">
                  <c:v>27.821100000000001</c:v>
                </c:pt>
                <c:pt idx="69">
                  <c:v>28.285699999999999</c:v>
                </c:pt>
                <c:pt idx="70">
                  <c:v>28.588699999999999</c:v>
                </c:pt>
                <c:pt idx="71">
                  <c:v>28.915700000000001</c:v>
                </c:pt>
                <c:pt idx="72">
                  <c:v>29.235299999999999</c:v>
                </c:pt>
                <c:pt idx="73">
                  <c:v>29.456700000000001</c:v>
                </c:pt>
                <c:pt idx="74">
                  <c:v>28.855899999999998</c:v>
                </c:pt>
                <c:pt idx="75">
                  <c:v>29.689800000000002</c:v>
                </c:pt>
                <c:pt idx="76">
                  <c:v>29.811399999999999</c:v>
                </c:pt>
                <c:pt idx="77">
                  <c:v>30.101299999999998</c:v>
                </c:pt>
                <c:pt idx="78">
                  <c:v>29.738299999999999</c:v>
                </c:pt>
                <c:pt idx="79">
                  <c:v>30.4635</c:v>
                </c:pt>
                <c:pt idx="80">
                  <c:v>30.1814</c:v>
                </c:pt>
                <c:pt idx="81">
                  <c:v>30.126899999999999</c:v>
                </c:pt>
                <c:pt idx="82">
                  <c:v>30.340399999999999</c:v>
                </c:pt>
                <c:pt idx="83">
                  <c:v>30.869399999999999</c:v>
                </c:pt>
                <c:pt idx="84">
                  <c:v>31.0318</c:v>
                </c:pt>
                <c:pt idx="85">
                  <c:v>30.762699999999999</c:v>
                </c:pt>
                <c:pt idx="86">
                  <c:v>30.4558</c:v>
                </c:pt>
                <c:pt idx="87">
                  <c:v>29.9803</c:v>
                </c:pt>
                <c:pt idx="88">
                  <c:v>29.626799999999999</c:v>
                </c:pt>
                <c:pt idx="89">
                  <c:v>29.6311</c:v>
                </c:pt>
                <c:pt idx="90">
                  <c:v>29.558700000000002</c:v>
                </c:pt>
                <c:pt idx="91">
                  <c:v>30.160399999999999</c:v>
                </c:pt>
                <c:pt idx="92">
                  <c:v>30.722100000000001</c:v>
                </c:pt>
                <c:pt idx="93">
                  <c:v>31.194700000000001</c:v>
                </c:pt>
                <c:pt idx="94">
                  <c:v>31.3399</c:v>
                </c:pt>
                <c:pt idx="95">
                  <c:v>31.3673</c:v>
                </c:pt>
                <c:pt idx="96">
                  <c:v>31.000800000000002</c:v>
                </c:pt>
                <c:pt idx="97">
                  <c:v>31.311299999999999</c:v>
                </c:pt>
                <c:pt idx="98">
                  <c:v>31.6616</c:v>
                </c:pt>
                <c:pt idx="99">
                  <c:v>31.662299999999998</c:v>
                </c:pt>
                <c:pt idx="100">
                  <c:v>31.539200000000001</c:v>
                </c:pt>
                <c:pt idx="101">
                  <c:v>31.586099999999998</c:v>
                </c:pt>
                <c:pt idx="102">
                  <c:v>31.525400000000001</c:v>
                </c:pt>
                <c:pt idx="103">
                  <c:v>31.555199999999999</c:v>
                </c:pt>
                <c:pt idx="104">
                  <c:v>31.454000000000001</c:v>
                </c:pt>
                <c:pt idx="105">
                  <c:v>30.937100000000001</c:v>
                </c:pt>
                <c:pt idx="106">
                  <c:v>30.511800000000001</c:v>
                </c:pt>
                <c:pt idx="107">
                  <c:v>29.293399999999998</c:v>
                </c:pt>
                <c:pt idx="108">
                  <c:v>30.351099999999999</c:v>
                </c:pt>
                <c:pt idx="109">
                  <c:v>29.996700000000001</c:v>
                </c:pt>
                <c:pt idx="110">
                  <c:v>29.543700000000001</c:v>
                </c:pt>
                <c:pt idx="111">
                  <c:v>29.34</c:v>
                </c:pt>
                <c:pt idx="112">
                  <c:v>28.817599999999999</c:v>
                </c:pt>
                <c:pt idx="113">
                  <c:v>28.7302</c:v>
                </c:pt>
                <c:pt idx="114">
                  <c:v>28.011800000000001</c:v>
                </c:pt>
                <c:pt idx="115">
                  <c:v>27.892900000000001</c:v>
                </c:pt>
                <c:pt idx="116">
                  <c:v>27.2559</c:v>
                </c:pt>
                <c:pt idx="117">
                  <c:v>27.151499999999999</c:v>
                </c:pt>
                <c:pt idx="118">
                  <c:v>27.434000000000001</c:v>
                </c:pt>
                <c:pt idx="119">
                  <c:v>27.474499999999999</c:v>
                </c:pt>
                <c:pt idx="120">
                  <c:v>27.390699999999999</c:v>
                </c:pt>
                <c:pt idx="121">
                  <c:v>27.686199999999999</c:v>
                </c:pt>
                <c:pt idx="122">
                  <c:v>27.740600000000001</c:v>
                </c:pt>
                <c:pt idx="123">
                  <c:v>28.090399999999999</c:v>
                </c:pt>
                <c:pt idx="124">
                  <c:v>28.293700000000001</c:v>
                </c:pt>
                <c:pt idx="125">
                  <c:v>28.863099999999999</c:v>
                </c:pt>
                <c:pt idx="126">
                  <c:v>29.157800000000002</c:v>
                </c:pt>
                <c:pt idx="127">
                  <c:v>29.940899999999999</c:v>
                </c:pt>
                <c:pt idx="128">
                  <c:v>30.2867</c:v>
                </c:pt>
                <c:pt idx="129">
                  <c:v>30.6112</c:v>
                </c:pt>
                <c:pt idx="130">
                  <c:v>30.888300000000001</c:v>
                </c:pt>
                <c:pt idx="131">
                  <c:v>31.583600000000001</c:v>
                </c:pt>
                <c:pt idx="132">
                  <c:v>31.848400000000002</c:v>
                </c:pt>
                <c:pt idx="133">
                  <c:v>32.1616</c:v>
                </c:pt>
                <c:pt idx="134">
                  <c:v>32.437399999999997</c:v>
                </c:pt>
                <c:pt idx="135">
                  <c:v>32.598700000000001</c:v>
                </c:pt>
                <c:pt idx="136">
                  <c:v>32.933700000000002</c:v>
                </c:pt>
                <c:pt idx="137">
                  <c:v>33.393000000000001</c:v>
                </c:pt>
                <c:pt idx="138">
                  <c:v>33.7181</c:v>
                </c:pt>
                <c:pt idx="139">
                  <c:v>33.766399999999997</c:v>
                </c:pt>
                <c:pt idx="140">
                  <c:v>34.044400000000003</c:v>
                </c:pt>
                <c:pt idx="141">
                  <c:v>34.336100000000002</c:v>
                </c:pt>
                <c:pt idx="142">
                  <c:v>34.540999999999997</c:v>
                </c:pt>
                <c:pt idx="143">
                  <c:v>34.470100000000002</c:v>
                </c:pt>
                <c:pt idx="144">
                  <c:v>34.231099999999998</c:v>
                </c:pt>
                <c:pt idx="145">
                  <c:v>34.6098</c:v>
                </c:pt>
                <c:pt idx="146">
                  <c:v>34.312399999999997</c:v>
                </c:pt>
                <c:pt idx="147">
                  <c:v>34.395600000000002</c:v>
                </c:pt>
                <c:pt idx="148">
                  <c:v>34.432699999999997</c:v>
                </c:pt>
                <c:pt idx="149">
                  <c:v>34.2761</c:v>
                </c:pt>
                <c:pt idx="150">
                  <c:v>34.315100000000001</c:v>
                </c:pt>
                <c:pt idx="151">
                  <c:v>34.225099999999998</c:v>
                </c:pt>
                <c:pt idx="152">
                  <c:v>34.1798</c:v>
                </c:pt>
                <c:pt idx="153">
                  <c:v>34.4861</c:v>
                </c:pt>
                <c:pt idx="154">
                  <c:v>34.4236</c:v>
                </c:pt>
                <c:pt idx="155">
                  <c:v>34.5047</c:v>
                </c:pt>
                <c:pt idx="156">
                  <c:v>34.136899999999997</c:v>
                </c:pt>
                <c:pt idx="157">
                  <c:v>34.104100000000003</c:v>
                </c:pt>
                <c:pt idx="158">
                  <c:v>33.886400000000002</c:v>
                </c:pt>
                <c:pt idx="159">
                  <c:v>33.829500000000003</c:v>
                </c:pt>
                <c:pt idx="160">
                  <c:v>33.483699999999999</c:v>
                </c:pt>
                <c:pt idx="161">
                  <c:v>33.732100000000003</c:v>
                </c:pt>
                <c:pt idx="162">
                  <c:v>33.7042</c:v>
                </c:pt>
                <c:pt idx="163">
                  <c:v>33.790199999999999</c:v>
                </c:pt>
                <c:pt idx="164">
                  <c:v>33.698900000000002</c:v>
                </c:pt>
                <c:pt idx="165">
                  <c:v>33.693199999999997</c:v>
                </c:pt>
                <c:pt idx="166">
                  <c:v>34.080100000000002</c:v>
                </c:pt>
                <c:pt idx="167">
                  <c:v>34.113999999999997</c:v>
                </c:pt>
                <c:pt idx="168">
                  <c:v>34.891100000000002</c:v>
                </c:pt>
                <c:pt idx="169">
                  <c:v>34.853700000000003</c:v>
                </c:pt>
                <c:pt idx="170">
                  <c:v>35.1569</c:v>
                </c:pt>
                <c:pt idx="171">
                  <c:v>35.450600000000001</c:v>
                </c:pt>
                <c:pt idx="172">
                  <c:v>35.6783</c:v>
                </c:pt>
                <c:pt idx="173">
                  <c:v>35.991599999999998</c:v>
                </c:pt>
                <c:pt idx="174">
                  <c:v>36.5</c:v>
                </c:pt>
                <c:pt idx="175">
                  <c:v>37.079500000000003</c:v>
                </c:pt>
                <c:pt idx="176">
                  <c:v>37.817500000000003</c:v>
                </c:pt>
                <c:pt idx="177">
                  <c:v>38.065300000000001</c:v>
                </c:pt>
                <c:pt idx="178">
                  <c:v>38.515799999999999</c:v>
                </c:pt>
                <c:pt idx="179">
                  <c:v>38.560400000000001</c:v>
                </c:pt>
                <c:pt idx="180">
                  <c:v>38.861800000000002</c:v>
                </c:pt>
                <c:pt idx="181">
                  <c:v>39.286900000000003</c:v>
                </c:pt>
                <c:pt idx="182">
                  <c:v>39.725000000000001</c:v>
                </c:pt>
                <c:pt idx="183">
                  <c:v>39.900799999999997</c:v>
                </c:pt>
                <c:pt idx="184">
                  <c:v>40.229399999999998</c:v>
                </c:pt>
                <c:pt idx="185">
                  <c:v>39.875999999999998</c:v>
                </c:pt>
                <c:pt idx="186">
                  <c:v>40.048400000000001</c:v>
                </c:pt>
                <c:pt idx="187">
                  <c:v>40.438600000000001</c:v>
                </c:pt>
                <c:pt idx="188">
                  <c:v>40.698399999999999</c:v>
                </c:pt>
                <c:pt idx="189">
                  <c:v>40.795000000000002</c:v>
                </c:pt>
                <c:pt idx="190">
                  <c:v>40.917499999999997</c:v>
                </c:pt>
                <c:pt idx="191">
                  <c:v>41.344700000000003</c:v>
                </c:pt>
                <c:pt idx="192">
                  <c:v>41.176000000000002</c:v>
                </c:pt>
                <c:pt idx="193">
                  <c:v>40.979900000000001</c:v>
                </c:pt>
                <c:pt idx="194">
                  <c:v>41.582500000000003</c:v>
                </c:pt>
                <c:pt idx="195">
                  <c:v>41.04</c:v>
                </c:pt>
                <c:pt idx="196">
                  <c:v>41.588900000000002</c:v>
                </c:pt>
                <c:pt idx="197">
                  <c:v>41.032299999999999</c:v>
                </c:pt>
                <c:pt idx="198">
                  <c:v>41.626100000000001</c:v>
                </c:pt>
                <c:pt idx="199">
                  <c:v>41.445900000000002</c:v>
                </c:pt>
                <c:pt idx="200">
                  <c:v>40.886699999999998</c:v>
                </c:pt>
                <c:pt idx="201">
                  <c:v>41.164900000000003</c:v>
                </c:pt>
                <c:pt idx="202">
                  <c:v>41.746899999999997</c:v>
                </c:pt>
                <c:pt idx="203">
                  <c:v>41.353000000000002</c:v>
                </c:pt>
                <c:pt idx="204">
                  <c:v>42.076900000000002</c:v>
                </c:pt>
                <c:pt idx="205">
                  <c:v>42.793900000000001</c:v>
                </c:pt>
                <c:pt idx="206">
                  <c:v>42.573500000000003</c:v>
                </c:pt>
                <c:pt idx="207">
                  <c:v>43.1524</c:v>
                </c:pt>
                <c:pt idx="208">
                  <c:v>43.203000000000003</c:v>
                </c:pt>
                <c:pt idx="209">
                  <c:v>43.391199999999998</c:v>
                </c:pt>
                <c:pt idx="210">
                  <c:v>43.641100000000002</c:v>
                </c:pt>
                <c:pt idx="211">
                  <c:v>43.630200000000002</c:v>
                </c:pt>
                <c:pt idx="212">
                  <c:v>43.541699999999999</c:v>
                </c:pt>
                <c:pt idx="213">
                  <c:v>42.501600000000003</c:v>
                </c:pt>
                <c:pt idx="214">
                  <c:v>42.129100000000001</c:v>
                </c:pt>
                <c:pt idx="215">
                  <c:v>42.008099999999999</c:v>
                </c:pt>
                <c:pt idx="216">
                  <c:v>41.704799999999999</c:v>
                </c:pt>
                <c:pt idx="217">
                  <c:v>41.649299999999997</c:v>
                </c:pt>
                <c:pt idx="218">
                  <c:v>41.642699999999998</c:v>
                </c:pt>
                <c:pt idx="219">
                  <c:v>41.936300000000003</c:v>
                </c:pt>
                <c:pt idx="220">
                  <c:v>42.366</c:v>
                </c:pt>
                <c:pt idx="221">
                  <c:v>42.619300000000003</c:v>
                </c:pt>
                <c:pt idx="222">
                  <c:v>42.422199999999997</c:v>
                </c:pt>
                <c:pt idx="223">
                  <c:v>43.043900000000001</c:v>
                </c:pt>
                <c:pt idx="224">
                  <c:v>42.755499999999998</c:v>
                </c:pt>
                <c:pt idx="225">
                  <c:v>42.739800000000002</c:v>
                </c:pt>
                <c:pt idx="226">
                  <c:v>42.682499999999997</c:v>
                </c:pt>
                <c:pt idx="227">
                  <c:v>41.960099999999997</c:v>
                </c:pt>
                <c:pt idx="228">
                  <c:v>42.804299999999998</c:v>
                </c:pt>
                <c:pt idx="229">
                  <c:v>43.31</c:v>
                </c:pt>
                <c:pt idx="230">
                  <c:v>43.7271</c:v>
                </c:pt>
                <c:pt idx="231">
                  <c:v>44.075000000000003</c:v>
                </c:pt>
                <c:pt idx="232">
                  <c:v>44.184100000000001</c:v>
                </c:pt>
                <c:pt idx="233">
                  <c:v>44.635199999999998</c:v>
                </c:pt>
                <c:pt idx="234">
                  <c:v>44.409100000000002</c:v>
                </c:pt>
                <c:pt idx="235">
                  <c:v>44.592700000000001</c:v>
                </c:pt>
                <c:pt idx="236">
                  <c:v>44.745800000000003</c:v>
                </c:pt>
                <c:pt idx="237">
                  <c:v>45.075800000000001</c:v>
                </c:pt>
                <c:pt idx="238">
                  <c:v>45.491500000000002</c:v>
                </c:pt>
                <c:pt idx="239">
                  <c:v>45.654000000000003</c:v>
                </c:pt>
                <c:pt idx="240">
                  <c:v>45.705399999999997</c:v>
                </c:pt>
                <c:pt idx="241">
                  <c:v>45.810499999999998</c:v>
                </c:pt>
                <c:pt idx="242">
                  <c:v>46.112400000000001</c:v>
                </c:pt>
                <c:pt idx="243">
                  <c:v>46.158999999999999</c:v>
                </c:pt>
                <c:pt idx="244">
                  <c:v>45.8491</c:v>
                </c:pt>
                <c:pt idx="245">
                  <c:v>45.846200000000003</c:v>
                </c:pt>
                <c:pt idx="246">
                  <c:v>45.4345</c:v>
                </c:pt>
                <c:pt idx="247">
                  <c:v>46.215699999999998</c:v>
                </c:pt>
                <c:pt idx="248">
                  <c:v>47.205399999999997</c:v>
                </c:pt>
                <c:pt idx="249">
                  <c:v>47.484699999999997</c:v>
                </c:pt>
                <c:pt idx="250">
                  <c:v>47.768099999999997</c:v>
                </c:pt>
                <c:pt idx="251">
                  <c:v>48.027200000000001</c:v>
                </c:pt>
                <c:pt idx="252">
                  <c:v>47.595700000000001</c:v>
                </c:pt>
                <c:pt idx="253">
                  <c:v>48.118299999999998</c:v>
                </c:pt>
                <c:pt idx="254">
                  <c:v>48.460900000000002</c:v>
                </c:pt>
                <c:pt idx="255">
                  <c:v>48.610399999999998</c:v>
                </c:pt>
                <c:pt idx="256">
                  <c:v>48.902099999999997</c:v>
                </c:pt>
                <c:pt idx="257">
                  <c:v>49.464799999999997</c:v>
                </c:pt>
                <c:pt idx="258">
                  <c:v>49.639299999999999</c:v>
                </c:pt>
                <c:pt idx="259">
                  <c:v>50.112900000000003</c:v>
                </c:pt>
                <c:pt idx="260">
                  <c:v>50.99</c:v>
                </c:pt>
                <c:pt idx="261">
                  <c:v>51.633000000000003</c:v>
                </c:pt>
                <c:pt idx="262">
                  <c:v>52.099899999999998</c:v>
                </c:pt>
                <c:pt idx="263">
                  <c:v>52.441499999999998</c:v>
                </c:pt>
                <c:pt idx="264">
                  <c:v>52.456899999999997</c:v>
                </c:pt>
                <c:pt idx="265">
                  <c:v>52.941499999999998</c:v>
                </c:pt>
                <c:pt idx="266">
                  <c:v>52.869399999999999</c:v>
                </c:pt>
                <c:pt idx="267">
                  <c:v>53.519300000000001</c:v>
                </c:pt>
                <c:pt idx="268">
                  <c:v>54.198399999999999</c:v>
                </c:pt>
                <c:pt idx="269">
                  <c:v>53.902200000000001</c:v>
                </c:pt>
                <c:pt idx="270">
                  <c:v>54.940800000000003</c:v>
                </c:pt>
                <c:pt idx="271">
                  <c:v>55.4377</c:v>
                </c:pt>
                <c:pt idx="272">
                  <c:v>55.4116</c:v>
                </c:pt>
                <c:pt idx="273">
                  <c:v>55.6038</c:v>
                </c:pt>
                <c:pt idx="274">
                  <c:v>56.008899999999997</c:v>
                </c:pt>
                <c:pt idx="275">
                  <c:v>55.412999999999997</c:v>
                </c:pt>
                <c:pt idx="276">
                  <c:v>56.789900000000003</c:v>
                </c:pt>
                <c:pt idx="277">
                  <c:v>56.642000000000003</c:v>
                </c:pt>
                <c:pt idx="278">
                  <c:v>58.036499999999997</c:v>
                </c:pt>
                <c:pt idx="279">
                  <c:v>58.833199999999998</c:v>
                </c:pt>
                <c:pt idx="280">
                  <c:v>59.692900000000002</c:v>
                </c:pt>
                <c:pt idx="281">
                  <c:v>60.462600000000002</c:v>
                </c:pt>
                <c:pt idx="282">
                  <c:v>60.738300000000002</c:v>
                </c:pt>
                <c:pt idx="283">
                  <c:v>61.4313</c:v>
                </c:pt>
                <c:pt idx="284">
                  <c:v>61.301000000000002</c:v>
                </c:pt>
                <c:pt idx="285">
                  <c:v>62.211500000000001</c:v>
                </c:pt>
                <c:pt idx="286">
                  <c:v>63.326500000000003</c:v>
                </c:pt>
                <c:pt idx="287">
                  <c:v>63.670400000000001</c:v>
                </c:pt>
                <c:pt idx="288">
                  <c:v>64.726399999999998</c:v>
                </c:pt>
                <c:pt idx="289">
                  <c:v>65.677899999999994</c:v>
                </c:pt>
                <c:pt idx="290">
                  <c:v>66.219300000000004</c:v>
                </c:pt>
                <c:pt idx="291">
                  <c:v>66.992900000000006</c:v>
                </c:pt>
                <c:pt idx="292">
                  <c:v>68.104799999999997</c:v>
                </c:pt>
                <c:pt idx="293">
                  <c:v>68.527500000000003</c:v>
                </c:pt>
                <c:pt idx="294">
                  <c:v>70.021900000000002</c:v>
                </c:pt>
                <c:pt idx="295">
                  <c:v>70.613900000000001</c:v>
                </c:pt>
                <c:pt idx="296">
                  <c:v>71.600899999999996</c:v>
                </c:pt>
                <c:pt idx="297">
                  <c:v>72.877600000000001</c:v>
                </c:pt>
                <c:pt idx="298">
                  <c:v>73.400999999999996</c:v>
                </c:pt>
                <c:pt idx="299">
                  <c:v>74.3673</c:v>
                </c:pt>
                <c:pt idx="300">
                  <c:v>74.691299999999998</c:v>
                </c:pt>
                <c:pt idx="301">
                  <c:v>75.062299999999993</c:v>
                </c:pt>
                <c:pt idx="302">
                  <c:v>75.271199999999993</c:v>
                </c:pt>
                <c:pt idx="303">
                  <c:v>75.7042</c:v>
                </c:pt>
                <c:pt idx="304">
                  <c:v>75.781700000000001</c:v>
                </c:pt>
                <c:pt idx="305">
                  <c:v>75.317300000000003</c:v>
                </c:pt>
                <c:pt idx="306">
                  <c:v>77.593900000000005</c:v>
                </c:pt>
                <c:pt idx="307">
                  <c:v>77.634900000000002</c:v>
                </c:pt>
                <c:pt idx="308">
                  <c:v>78.498199999999997</c:v>
                </c:pt>
                <c:pt idx="309">
                  <c:v>78.501099999999994</c:v>
                </c:pt>
                <c:pt idx="310">
                  <c:v>78.677300000000002</c:v>
                </c:pt>
                <c:pt idx="311">
                  <c:v>78.625900000000001</c:v>
                </c:pt>
                <c:pt idx="312">
                  <c:v>79.2667</c:v>
                </c:pt>
                <c:pt idx="313">
                  <c:v>79.240399999999994</c:v>
                </c:pt>
                <c:pt idx="314">
                  <c:v>79.656300000000002</c:v>
                </c:pt>
                <c:pt idx="315">
                  <c:v>80.491500000000002</c:v>
                </c:pt>
                <c:pt idx="316">
                  <c:v>80.268000000000001</c:v>
                </c:pt>
                <c:pt idx="317">
                  <c:v>80.832499999999996</c:v>
                </c:pt>
                <c:pt idx="318">
                  <c:v>81.3904</c:v>
                </c:pt>
                <c:pt idx="319">
                  <c:v>81.022300000000001</c:v>
                </c:pt>
                <c:pt idx="320">
                  <c:v>81.685199999999995</c:v>
                </c:pt>
                <c:pt idx="321">
                  <c:v>81.791399999999996</c:v>
                </c:pt>
                <c:pt idx="322">
                  <c:v>82.462299999999999</c:v>
                </c:pt>
                <c:pt idx="323">
                  <c:v>83.721900000000005</c:v>
                </c:pt>
                <c:pt idx="324">
                  <c:v>84.365099999999998</c:v>
                </c:pt>
                <c:pt idx="325">
                  <c:v>85.528499999999994</c:v>
                </c:pt>
                <c:pt idx="326">
                  <c:v>86.474999999999994</c:v>
                </c:pt>
                <c:pt idx="327">
                  <c:v>87.251800000000003</c:v>
                </c:pt>
                <c:pt idx="328">
                  <c:v>87.361400000000003</c:v>
                </c:pt>
                <c:pt idx="329">
                  <c:v>87.881299999999996</c:v>
                </c:pt>
                <c:pt idx="330">
                  <c:v>87.456100000000006</c:v>
                </c:pt>
                <c:pt idx="331">
                  <c:v>88.231499999999997</c:v>
                </c:pt>
                <c:pt idx="332">
                  <c:v>88.269300000000001</c:v>
                </c:pt>
                <c:pt idx="333">
                  <c:v>88.028599999999997</c:v>
                </c:pt>
                <c:pt idx="334">
                  <c:v>87.350999999999999</c:v>
                </c:pt>
                <c:pt idx="335">
                  <c:v>87.345100000000002</c:v>
                </c:pt>
                <c:pt idx="336">
                  <c:v>86.743200000000002</c:v>
                </c:pt>
                <c:pt idx="337">
                  <c:v>86.126300000000001</c:v>
                </c:pt>
                <c:pt idx="338">
                  <c:v>84.181399999999996</c:v>
                </c:pt>
                <c:pt idx="339">
                  <c:v>82.766800000000003</c:v>
                </c:pt>
                <c:pt idx="340">
                  <c:v>81.718599999999995</c:v>
                </c:pt>
                <c:pt idx="341">
                  <c:v>80.889300000000006</c:v>
                </c:pt>
                <c:pt idx="342">
                  <c:v>79.374700000000004</c:v>
                </c:pt>
                <c:pt idx="343">
                  <c:v>78.086100000000002</c:v>
                </c:pt>
                <c:pt idx="344">
                  <c:v>77.004900000000006</c:v>
                </c:pt>
                <c:pt idx="345">
                  <c:v>76.343299999999999</c:v>
                </c:pt>
                <c:pt idx="346">
                  <c:v>75.575299999999999</c:v>
                </c:pt>
                <c:pt idx="347">
                  <c:v>75.394400000000005</c:v>
                </c:pt>
                <c:pt idx="348">
                  <c:v>75.209599999999995</c:v>
                </c:pt>
                <c:pt idx="349">
                  <c:v>75.509699999999995</c:v>
                </c:pt>
                <c:pt idx="350">
                  <c:v>75.190299999999993</c:v>
                </c:pt>
                <c:pt idx="351">
                  <c:v>75.532399999999996</c:v>
                </c:pt>
                <c:pt idx="352">
                  <c:v>76.034400000000005</c:v>
                </c:pt>
                <c:pt idx="353">
                  <c:v>75.849800000000002</c:v>
                </c:pt>
                <c:pt idx="354">
                  <c:v>76.166600000000003</c:v>
                </c:pt>
                <c:pt idx="355">
                  <c:v>76.222399999999993</c:v>
                </c:pt>
                <c:pt idx="356">
                  <c:v>75.906700000000001</c:v>
                </c:pt>
                <c:pt idx="357">
                  <c:v>76.201999999999998</c:v>
                </c:pt>
                <c:pt idx="358">
                  <c:v>75.353200000000001</c:v>
                </c:pt>
                <c:pt idx="359">
                  <c:v>75.582999999999998</c:v>
                </c:pt>
                <c:pt idx="360">
                  <c:v>75.572400000000002</c:v>
                </c:pt>
                <c:pt idx="361">
                  <c:v>75.6875</c:v>
                </c:pt>
                <c:pt idx="362">
                  <c:v>74.978499999999997</c:v>
                </c:pt>
                <c:pt idx="363">
                  <c:v>74.928100000000001</c:v>
                </c:pt>
                <c:pt idx="364">
                  <c:v>75.217699999999994</c:v>
                </c:pt>
                <c:pt idx="365">
                  <c:v>75.5899</c:v>
                </c:pt>
                <c:pt idx="366">
                  <c:v>75.667199999999994</c:v>
                </c:pt>
                <c:pt idx="367">
                  <c:v>76.548100000000005</c:v>
                </c:pt>
                <c:pt idx="368">
                  <c:v>76.364400000000003</c:v>
                </c:pt>
                <c:pt idx="369">
                  <c:v>77.644599999999997</c:v>
                </c:pt>
                <c:pt idx="370">
                  <c:v>77.554100000000005</c:v>
                </c:pt>
                <c:pt idx="371">
                  <c:v>77.711799999999997</c:v>
                </c:pt>
                <c:pt idx="372">
                  <c:v>78.707999999999998</c:v>
                </c:pt>
                <c:pt idx="373">
                  <c:v>78.634799999999998</c:v>
                </c:pt>
                <c:pt idx="374">
                  <c:v>78.767799999999994</c:v>
                </c:pt>
                <c:pt idx="375">
                  <c:v>79.483400000000003</c:v>
                </c:pt>
                <c:pt idx="376">
                  <c:v>79.423000000000002</c:v>
                </c:pt>
                <c:pt idx="377">
                  <c:v>81.005899999999997</c:v>
                </c:pt>
                <c:pt idx="378">
                  <c:v>80.715599999999995</c:v>
                </c:pt>
                <c:pt idx="379">
                  <c:v>80.959800000000001</c:v>
                </c:pt>
                <c:pt idx="380">
                  <c:v>81.556899999999999</c:v>
                </c:pt>
                <c:pt idx="381">
                  <c:v>81.262600000000006</c:v>
                </c:pt>
                <c:pt idx="382">
                  <c:v>82.098299999999995</c:v>
                </c:pt>
                <c:pt idx="383">
                  <c:v>83.449399999999997</c:v>
                </c:pt>
                <c:pt idx="384">
                  <c:v>84.333699999999993</c:v>
                </c:pt>
                <c:pt idx="385">
                  <c:v>84.339399999999998</c:v>
                </c:pt>
                <c:pt idx="386">
                  <c:v>85.342699999999994</c:v>
                </c:pt>
                <c:pt idx="387">
                  <c:v>86.06</c:v>
                </c:pt>
                <c:pt idx="388">
                  <c:v>85.8553</c:v>
                </c:pt>
                <c:pt idx="389">
                  <c:v>85.418499999999995</c:v>
                </c:pt>
                <c:pt idx="390">
                  <c:v>86.521500000000003</c:v>
                </c:pt>
                <c:pt idx="391">
                  <c:v>83.894099999999995</c:v>
                </c:pt>
                <c:pt idx="392">
                  <c:v>88.3566</c:v>
                </c:pt>
                <c:pt idx="393">
                  <c:v>89.606300000000005</c:v>
                </c:pt>
                <c:pt idx="394">
                  <c:v>88.916200000000003</c:v>
                </c:pt>
                <c:pt idx="395">
                  <c:v>90.540099999999995</c:v>
                </c:pt>
                <c:pt idx="396">
                  <c:v>90.876499999999993</c:v>
                </c:pt>
                <c:pt idx="397">
                  <c:v>91.690299999999993</c:v>
                </c:pt>
                <c:pt idx="398">
                  <c:v>93.152199999999993</c:v>
                </c:pt>
                <c:pt idx="399">
                  <c:v>93.225899999999996</c:v>
                </c:pt>
                <c:pt idx="400">
                  <c:v>93.961600000000004</c:v>
                </c:pt>
                <c:pt idx="401">
                  <c:v>94.717299999999994</c:v>
                </c:pt>
                <c:pt idx="402">
                  <c:v>95.498400000000004</c:v>
                </c:pt>
                <c:pt idx="403">
                  <c:v>95.570599999999999</c:v>
                </c:pt>
                <c:pt idx="404">
                  <c:v>95.825900000000004</c:v>
                </c:pt>
                <c:pt idx="405">
                  <c:v>96.222999999999999</c:v>
                </c:pt>
                <c:pt idx="406">
                  <c:v>97.725300000000004</c:v>
                </c:pt>
                <c:pt idx="407">
                  <c:v>96.005399999999995</c:v>
                </c:pt>
                <c:pt idx="408">
                  <c:v>96.770799999999994</c:v>
                </c:pt>
                <c:pt idx="409">
                  <c:v>98.581199999999995</c:v>
                </c:pt>
                <c:pt idx="410">
                  <c:v>99.577600000000004</c:v>
                </c:pt>
                <c:pt idx="411">
                  <c:v>99.6995</c:v>
                </c:pt>
                <c:pt idx="412">
                  <c:v>99.687799999999996</c:v>
                </c:pt>
                <c:pt idx="413">
                  <c:v>99.761700000000005</c:v>
                </c:pt>
                <c:pt idx="414">
                  <c:v>99.950100000000006</c:v>
                </c:pt>
                <c:pt idx="415">
                  <c:v>101.4502</c:v>
                </c:pt>
                <c:pt idx="416">
                  <c:v>101.1163</c:v>
                </c:pt>
                <c:pt idx="417">
                  <c:v>101.8745</c:v>
                </c:pt>
                <c:pt idx="418">
                  <c:v>102.8506</c:v>
                </c:pt>
                <c:pt idx="419">
                  <c:v>103.3248</c:v>
                </c:pt>
                <c:pt idx="420">
                  <c:v>103.3305</c:v>
                </c:pt>
                <c:pt idx="421">
                  <c:v>104.0532</c:v>
                </c:pt>
                <c:pt idx="422">
                  <c:v>102.1516</c:v>
                </c:pt>
                <c:pt idx="423">
                  <c:v>102.49</c:v>
                </c:pt>
                <c:pt idx="424">
                  <c:v>101.8044</c:v>
                </c:pt>
                <c:pt idx="425">
                  <c:v>99.914100000000005</c:v>
                </c:pt>
                <c:pt idx="426">
                  <c:v>98.005799999999994</c:v>
                </c:pt>
                <c:pt idx="427">
                  <c:v>90.203100000000006</c:v>
                </c:pt>
                <c:pt idx="428">
                  <c:v>87.6828</c:v>
                </c:pt>
                <c:pt idx="429">
                  <c:v>88.882099999999994</c:v>
                </c:pt>
                <c:pt idx="430">
                  <c:v>89.748800000000003</c:v>
                </c:pt>
                <c:pt idx="431">
                  <c:v>84.732399999999998</c:v>
                </c:pt>
                <c:pt idx="432">
                  <c:v>84.274799999999999</c:v>
                </c:pt>
                <c:pt idx="433">
                  <c:v>82.531999999999996</c:v>
                </c:pt>
                <c:pt idx="434">
                  <c:v>80.879199999999997</c:v>
                </c:pt>
                <c:pt idx="435">
                  <c:v>78.614699999999999</c:v>
                </c:pt>
                <c:pt idx="436">
                  <c:v>77.972499999999997</c:v>
                </c:pt>
                <c:pt idx="437">
                  <c:v>78.925799999999995</c:v>
                </c:pt>
                <c:pt idx="438">
                  <c:v>79.759200000000007</c:v>
                </c:pt>
                <c:pt idx="439">
                  <c:v>80.260000000000005</c:v>
                </c:pt>
                <c:pt idx="440">
                  <c:v>80.600399999999993</c:v>
                </c:pt>
                <c:pt idx="441">
                  <c:v>80.487099999999998</c:v>
                </c:pt>
                <c:pt idx="442">
                  <c:v>81.911000000000001</c:v>
                </c:pt>
                <c:pt idx="443">
                  <c:v>83.106999999999999</c:v>
                </c:pt>
                <c:pt idx="444">
                  <c:v>82.713300000000004</c:v>
                </c:pt>
                <c:pt idx="445">
                  <c:v>84.289000000000001</c:v>
                </c:pt>
                <c:pt idx="446">
                  <c:v>85.296400000000006</c:v>
                </c:pt>
                <c:pt idx="447">
                  <c:v>86.831100000000006</c:v>
                </c:pt>
                <c:pt idx="448">
                  <c:v>87.328599999999994</c:v>
                </c:pt>
                <c:pt idx="449">
                  <c:v>88.130499999999998</c:v>
                </c:pt>
                <c:pt idx="450">
                  <c:v>88.183199999999999</c:v>
                </c:pt>
                <c:pt idx="451">
                  <c:v>88.552599999999998</c:v>
                </c:pt>
                <c:pt idx="452">
                  <c:v>88.837599999999995</c:v>
                </c:pt>
                <c:pt idx="453">
                  <c:v>88.806600000000003</c:v>
                </c:pt>
                <c:pt idx="454">
                  <c:v>89.521900000000002</c:v>
                </c:pt>
                <c:pt idx="455">
                  <c:v>90.212900000000005</c:v>
                </c:pt>
                <c:pt idx="456">
                  <c:v>90.376199999999997</c:v>
                </c:pt>
                <c:pt idx="457">
                  <c:v>90.097200000000001</c:v>
                </c:pt>
                <c:pt idx="458">
                  <c:v>89.505499999999998</c:v>
                </c:pt>
                <c:pt idx="459">
                  <c:v>90.233900000000006</c:v>
                </c:pt>
                <c:pt idx="460">
                  <c:v>90.284999999999997</c:v>
                </c:pt>
                <c:pt idx="461">
                  <c:v>91.530199999999994</c:v>
                </c:pt>
                <c:pt idx="462">
                  <c:v>92.632000000000005</c:v>
                </c:pt>
                <c:pt idx="463">
                  <c:v>93.129400000000004</c:v>
                </c:pt>
                <c:pt idx="464">
                  <c:v>94.350800000000007</c:v>
                </c:pt>
                <c:pt idx="465">
                  <c:v>95.235799999999998</c:v>
                </c:pt>
                <c:pt idx="466">
                  <c:v>96.719399999999993</c:v>
                </c:pt>
                <c:pt idx="467">
                  <c:v>98.266000000000005</c:v>
                </c:pt>
                <c:pt idx="468">
                  <c:v>98.981999999999999</c:v>
                </c:pt>
                <c:pt idx="469">
                  <c:v>99.855099999999993</c:v>
                </c:pt>
                <c:pt idx="470">
                  <c:v>100.78959999999999</c:v>
                </c:pt>
                <c:pt idx="471">
                  <c:v>101.5129</c:v>
                </c:pt>
                <c:pt idx="472">
                  <c:v>102.8094</c:v>
                </c:pt>
                <c:pt idx="473">
                  <c:v>101.6597</c:v>
                </c:pt>
                <c:pt idx="474">
                  <c:v>102.39660000000001</c:v>
                </c:pt>
                <c:pt idx="475">
                  <c:v>102.0977</c:v>
                </c:pt>
                <c:pt idx="476">
                  <c:v>101.1114</c:v>
                </c:pt>
                <c:pt idx="477">
                  <c:v>102.2604</c:v>
                </c:pt>
                <c:pt idx="478">
                  <c:v>103.0612</c:v>
                </c:pt>
                <c:pt idx="479">
                  <c:v>101.1361</c:v>
                </c:pt>
                <c:pt idx="480">
                  <c:v>102.0342</c:v>
                </c:pt>
                <c:pt idx="481">
                  <c:v>102.4492</c:v>
                </c:pt>
                <c:pt idx="482">
                  <c:v>101.78149999999999</c:v>
                </c:pt>
                <c:pt idx="483">
                  <c:v>101.2597</c:v>
                </c:pt>
                <c:pt idx="484">
                  <c:v>101.1508</c:v>
                </c:pt>
                <c:pt idx="485">
                  <c:v>99.379499999999993</c:v>
                </c:pt>
                <c:pt idx="486">
                  <c:v>100.8737</c:v>
                </c:pt>
                <c:pt idx="487">
                  <c:v>101.68040000000001</c:v>
                </c:pt>
                <c:pt idx="488">
                  <c:v>101.28</c:v>
                </c:pt>
                <c:pt idx="489">
                  <c:v>101.0061</c:v>
                </c:pt>
                <c:pt idx="490">
                  <c:v>100.2</c:v>
                </c:pt>
                <c:pt idx="491">
                  <c:v>100.3523</c:v>
                </c:pt>
                <c:pt idx="492">
                  <c:v>101.7779</c:v>
                </c:pt>
                <c:pt idx="493">
                  <c:v>102.8844</c:v>
                </c:pt>
                <c:pt idx="494">
                  <c:v>102.7176</c:v>
                </c:pt>
                <c:pt idx="495">
                  <c:v>103.3156</c:v>
                </c:pt>
                <c:pt idx="496">
                  <c:v>102.8759</c:v>
                </c:pt>
                <c:pt idx="497">
                  <c:v>104.196</c:v>
                </c:pt>
                <c:pt idx="498">
                  <c:v>103.2897</c:v>
                </c:pt>
                <c:pt idx="499">
                  <c:v>102.83629999999999</c:v>
                </c:pt>
                <c:pt idx="500">
                  <c:v>103.9594</c:v>
                </c:pt>
                <c:pt idx="501">
                  <c:v>105.1203</c:v>
                </c:pt>
                <c:pt idx="502">
                  <c:v>104.0367</c:v>
                </c:pt>
                <c:pt idx="503">
                  <c:v>103.36069999999999</c:v>
                </c:pt>
                <c:pt idx="504">
                  <c:v>102.6604</c:v>
                </c:pt>
                <c:pt idx="505">
                  <c:v>102.6665</c:v>
                </c:pt>
                <c:pt idx="506">
                  <c:v>101.92100000000001</c:v>
                </c:pt>
                <c:pt idx="507">
                  <c:v>102.12779999999999</c:v>
                </c:pt>
                <c:pt idx="508">
                  <c:v>101.5732</c:v>
                </c:pt>
                <c:pt idx="509">
                  <c:v>101.3236</c:v>
                </c:pt>
                <c:pt idx="510">
                  <c:v>100.98609999999999</c:v>
                </c:pt>
                <c:pt idx="511">
                  <c:v>99.960599999999999</c:v>
                </c:pt>
                <c:pt idx="512">
                  <c:v>99.144599999999997</c:v>
                </c:pt>
                <c:pt idx="513">
                  <c:v>97.668099999999995</c:v>
                </c:pt>
                <c:pt idx="514">
                  <c:v>96.662599999999998</c:v>
                </c:pt>
                <c:pt idx="515">
                  <c:v>96.655799999999999</c:v>
                </c:pt>
                <c:pt idx="516">
                  <c:v>96.192400000000006</c:v>
                </c:pt>
                <c:pt idx="517">
                  <c:v>95.569599999999994</c:v>
                </c:pt>
                <c:pt idx="518">
                  <c:v>95.416300000000007</c:v>
                </c:pt>
                <c:pt idx="519">
                  <c:v>95.200699999999998</c:v>
                </c:pt>
                <c:pt idx="520">
                  <c:v>95.261600000000001</c:v>
                </c:pt>
                <c:pt idx="521">
                  <c:v>95.320099999999996</c:v>
                </c:pt>
                <c:pt idx="522">
                  <c:v>95.073800000000006</c:v>
                </c:pt>
                <c:pt idx="523">
                  <c:v>94.640600000000006</c:v>
                </c:pt>
                <c:pt idx="524">
                  <c:v>95.117099999999994</c:v>
                </c:pt>
                <c:pt idx="525">
                  <c:v>95.037099999999995</c:v>
                </c:pt>
                <c:pt idx="526">
                  <c:v>96.107900000000001</c:v>
                </c:pt>
                <c:pt idx="527">
                  <c:v>96.186599999999999</c:v>
                </c:pt>
                <c:pt idx="528">
                  <c:v>96.248900000000006</c:v>
                </c:pt>
                <c:pt idx="529">
                  <c:v>97.005600000000001</c:v>
                </c:pt>
                <c:pt idx="530">
                  <c:v>99.969700000000003</c:v>
                </c:pt>
                <c:pt idx="531">
                  <c:v>99.862300000000005</c:v>
                </c:pt>
                <c:pt idx="532">
                  <c:v>99.853099999999998</c:v>
                </c:pt>
                <c:pt idx="533">
                  <c:v>99.758399999999995</c:v>
                </c:pt>
                <c:pt idx="534">
                  <c:v>100.1024</c:v>
                </c:pt>
                <c:pt idx="535">
                  <c:v>101.6281</c:v>
                </c:pt>
                <c:pt idx="536">
                  <c:v>102.87220000000001</c:v>
                </c:pt>
                <c:pt idx="537">
                  <c:v>103.2946</c:v>
                </c:pt>
                <c:pt idx="538">
                  <c:v>103.2182</c:v>
                </c:pt>
                <c:pt idx="539">
                  <c:v>103.7684</c:v>
                </c:pt>
                <c:pt idx="540">
                  <c:v>104.41589999999999</c:v>
                </c:pt>
                <c:pt idx="541">
                  <c:v>104.5989</c:v>
                </c:pt>
                <c:pt idx="542">
                  <c:v>105.72709999999999</c:v>
                </c:pt>
                <c:pt idx="543">
                  <c:v>103.6131</c:v>
                </c:pt>
                <c:pt idx="544">
                  <c:v>104.9924</c:v>
                </c:pt>
                <c:pt idx="545">
                  <c:v>104.4686</c:v>
                </c:pt>
                <c:pt idx="546">
                  <c:v>104.7217</c:v>
                </c:pt>
                <c:pt idx="547">
                  <c:v>104.1682</c:v>
                </c:pt>
                <c:pt idx="548">
                  <c:v>103.2689</c:v>
                </c:pt>
                <c:pt idx="549">
                  <c:v>101.8002</c:v>
                </c:pt>
                <c:pt idx="550">
                  <c:v>100.938</c:v>
                </c:pt>
                <c:pt idx="551">
                  <c:v>99.531999999999996</c:v>
                </c:pt>
                <c:pt idx="552">
                  <c:v>98.608599999999996</c:v>
                </c:pt>
                <c:pt idx="553">
                  <c:v>98.302499999999995</c:v>
                </c:pt>
                <c:pt idx="554">
                  <c:v>96.176699999999997</c:v>
                </c:pt>
                <c:pt idx="555">
                  <c:v>95.727699999999999</c:v>
                </c:pt>
                <c:pt idx="556">
                  <c:v>95.794899999999998</c:v>
                </c:pt>
                <c:pt idx="557">
                  <c:v>94.399900000000002</c:v>
                </c:pt>
                <c:pt idx="558">
                  <c:v>95.301199999999994</c:v>
                </c:pt>
                <c:pt idx="559">
                  <c:v>93.722499999999997</c:v>
                </c:pt>
                <c:pt idx="560">
                  <c:v>93.109800000000007</c:v>
                </c:pt>
                <c:pt idx="561">
                  <c:v>94.523700000000005</c:v>
                </c:pt>
                <c:pt idx="562">
                  <c:v>94.229600000000005</c:v>
                </c:pt>
                <c:pt idx="563">
                  <c:v>91.699399999999997</c:v>
                </c:pt>
                <c:pt idx="564">
                  <c:v>91.452100000000002</c:v>
                </c:pt>
                <c:pt idx="565">
                  <c:v>85.345600000000005</c:v>
                </c:pt>
                <c:pt idx="566">
                  <c:v>65.439599999999999</c:v>
                </c:pt>
                <c:pt idx="567">
                  <c:v>71.249799999999993</c:v>
                </c:pt>
                <c:pt idx="568">
                  <c:v>79.391400000000004</c:v>
                </c:pt>
                <c:pt idx="569">
                  <c:v>83.608599999999996</c:v>
                </c:pt>
                <c:pt idx="570">
                  <c:v>85.692099999999996</c:v>
                </c:pt>
                <c:pt idx="571">
                  <c:v>85.483000000000004</c:v>
                </c:pt>
                <c:pt idx="572">
                  <c:v>86.008700000000005</c:v>
                </c:pt>
                <c:pt idx="573">
                  <c:v>86.807900000000004</c:v>
                </c:pt>
                <c:pt idx="574">
                  <c:v>87.642399999999995</c:v>
                </c:pt>
                <c:pt idx="575">
                  <c:v>90.296099999999996</c:v>
                </c:pt>
                <c:pt idx="576">
                  <c:v>88.100099999999998</c:v>
                </c:pt>
                <c:pt idx="577">
                  <c:v>90.433700000000002</c:v>
                </c:pt>
                <c:pt idx="578">
                  <c:v>89.203599999999994</c:v>
                </c:pt>
                <c:pt idx="579">
                  <c:v>90.915400000000005</c:v>
                </c:pt>
                <c:pt idx="580">
                  <c:v>90.157300000000006</c:v>
                </c:pt>
                <c:pt idx="581">
                  <c:v>92.664199999999994</c:v>
                </c:pt>
                <c:pt idx="582">
                  <c:v>92.696600000000004</c:v>
                </c:pt>
                <c:pt idx="583">
                  <c:v>92.233500000000006</c:v>
                </c:pt>
                <c:pt idx="584">
                  <c:v>92.906000000000006</c:v>
                </c:pt>
                <c:pt idx="585">
                  <c:v>93.415599999999998</c:v>
                </c:pt>
                <c:pt idx="586">
                  <c:v>94.230599999999995</c:v>
                </c:pt>
                <c:pt idx="587">
                  <c:v>93.428200000000004</c:v>
                </c:pt>
                <c:pt idx="588">
                  <c:v>95.267799999999994</c:v>
                </c:pt>
                <c:pt idx="589">
                  <c:v>96.392099999999999</c:v>
                </c:pt>
                <c:pt idx="590">
                  <c:v>97.269099999999995</c:v>
                </c:pt>
                <c:pt idx="591">
                  <c:v>97.018100000000004</c:v>
                </c:pt>
                <c:pt idx="592">
                  <c:v>96.824700000000007</c:v>
                </c:pt>
                <c:pt idx="593">
                  <c:v>97.495099999999994</c:v>
                </c:pt>
                <c:pt idx="594">
                  <c:v>98.011399999999995</c:v>
                </c:pt>
                <c:pt idx="595">
                  <c:v>98.501999999999995</c:v>
                </c:pt>
                <c:pt idx="596">
                  <c:v>98.882300000000001</c:v>
                </c:pt>
                <c:pt idx="597">
                  <c:v>97.626099999999994</c:v>
                </c:pt>
              </c:numCache>
            </c:numRef>
          </c:val>
          <c:smooth val="0"/>
          <c:extLst>
            <c:ext xmlns:c16="http://schemas.microsoft.com/office/drawing/2014/chart" uri="{C3380CC4-5D6E-409C-BE32-E72D297353CC}">
              <c16:uniqueId val="{00000000-31AD-46F6-9A7F-17AA8554824E}"/>
            </c:ext>
          </c:extLst>
        </c:ser>
        <c:dLbls>
          <c:showLegendKey val="0"/>
          <c:showVal val="0"/>
          <c:showCatName val="0"/>
          <c:showSerName val="0"/>
          <c:showPercent val="0"/>
          <c:showBubbleSize val="0"/>
        </c:dLbls>
        <c:smooth val="0"/>
        <c:axId val="1068418575"/>
        <c:axId val="1068012607"/>
      </c:lineChart>
      <c:dateAx>
        <c:axId val="106841857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012607"/>
        <c:crosses val="autoZero"/>
        <c:auto val="0"/>
        <c:lblOffset val="100"/>
        <c:baseTimeUnit val="months"/>
      </c:dateAx>
      <c:valAx>
        <c:axId val="106801260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41857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Equipment'!$U$1</c:f>
          <c:strCache>
            <c:ptCount val="1"/>
            <c:pt idx="0">
              <c:v>Industrial Production: Business Equipment since 2010</c:v>
            </c:pt>
          </c:strCache>
        </c:strRef>
      </c:tx>
      <c:overlay val="0"/>
      <c:spPr>
        <a:noFill/>
        <a:ln>
          <a:noFill/>
          <a:prstDash val="solid"/>
        </a:ln>
      </c:spPr>
    </c:title>
    <c:autoTitleDeleted val="0"/>
    <c:plotArea>
      <c:layout/>
      <c:lineChart>
        <c:grouping val="standard"/>
        <c:varyColors val="0"/>
        <c:ser>
          <c:idx val="0"/>
          <c:order val="0"/>
          <c:tx>
            <c:strRef>
              <c:f>'Business Equipment'!$Y$1</c:f>
              <c:strCache>
                <c:ptCount val="1"/>
                <c:pt idx="0">
                  <c:v>Industrial Production: Business Equipment yoy since 2010</c:v>
                </c:pt>
              </c:strCache>
            </c:strRef>
          </c:tx>
          <c:spPr>
            <a:ln w="28575" cap="rnd">
              <a:solidFill>
                <a:schemeClr val="accent1"/>
              </a:solidFill>
              <a:prstDash val="solid"/>
              <a:round/>
            </a:ln>
          </c:spPr>
          <c:marker>
            <c:symbol val="none"/>
          </c:marker>
          <c:cat>
            <c:numRef>
              <c:f>'Business Equipment'!$A$463:$A$621</c:f>
              <c:numCache>
                <c:formatCode>mmm\-yy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'Business Equipment'!$B$463:$B$621</c:f>
              <c:numCache>
                <c:formatCode>0.0</c:formatCode>
                <c:ptCount val="159"/>
                <c:pt idx="0">
                  <c:v>83.106999999999999</c:v>
                </c:pt>
                <c:pt idx="1">
                  <c:v>82.713300000000004</c:v>
                </c:pt>
                <c:pt idx="2">
                  <c:v>84.289000000000001</c:v>
                </c:pt>
                <c:pt idx="3">
                  <c:v>85.296400000000006</c:v>
                </c:pt>
                <c:pt idx="4">
                  <c:v>86.831100000000006</c:v>
                </c:pt>
                <c:pt idx="5">
                  <c:v>87.328599999999994</c:v>
                </c:pt>
                <c:pt idx="6">
                  <c:v>88.130499999999998</c:v>
                </c:pt>
                <c:pt idx="7">
                  <c:v>88.183199999999999</c:v>
                </c:pt>
                <c:pt idx="8">
                  <c:v>88.552599999999998</c:v>
                </c:pt>
                <c:pt idx="9">
                  <c:v>88.837599999999995</c:v>
                </c:pt>
                <c:pt idx="10">
                  <c:v>88.806600000000003</c:v>
                </c:pt>
                <c:pt idx="11">
                  <c:v>89.521900000000002</c:v>
                </c:pt>
                <c:pt idx="12">
                  <c:v>90.212900000000005</c:v>
                </c:pt>
                <c:pt idx="13">
                  <c:v>90.376199999999997</c:v>
                </c:pt>
                <c:pt idx="14">
                  <c:v>90.097200000000001</c:v>
                </c:pt>
                <c:pt idx="15">
                  <c:v>89.505499999999998</c:v>
                </c:pt>
                <c:pt idx="16">
                  <c:v>90.233900000000006</c:v>
                </c:pt>
                <c:pt idx="17">
                  <c:v>90.284999999999997</c:v>
                </c:pt>
                <c:pt idx="18">
                  <c:v>91.530199999999994</c:v>
                </c:pt>
                <c:pt idx="19">
                  <c:v>92.632000000000005</c:v>
                </c:pt>
                <c:pt idx="20">
                  <c:v>93.129400000000004</c:v>
                </c:pt>
                <c:pt idx="21">
                  <c:v>94.350800000000007</c:v>
                </c:pt>
                <c:pt idx="22">
                  <c:v>95.235799999999998</c:v>
                </c:pt>
                <c:pt idx="23">
                  <c:v>96.719399999999993</c:v>
                </c:pt>
                <c:pt idx="24">
                  <c:v>98.266000000000005</c:v>
                </c:pt>
                <c:pt idx="25">
                  <c:v>98.981999999999999</c:v>
                </c:pt>
                <c:pt idx="26">
                  <c:v>99.855099999999993</c:v>
                </c:pt>
                <c:pt idx="27">
                  <c:v>100.78959999999999</c:v>
                </c:pt>
                <c:pt idx="28">
                  <c:v>101.5129</c:v>
                </c:pt>
                <c:pt idx="29">
                  <c:v>102.8094</c:v>
                </c:pt>
                <c:pt idx="30">
                  <c:v>101.6597</c:v>
                </c:pt>
                <c:pt idx="31">
                  <c:v>102.39660000000001</c:v>
                </c:pt>
                <c:pt idx="32">
                  <c:v>102.0977</c:v>
                </c:pt>
                <c:pt idx="33">
                  <c:v>101.1114</c:v>
                </c:pt>
                <c:pt idx="34">
                  <c:v>102.2604</c:v>
                </c:pt>
                <c:pt idx="35">
                  <c:v>103.0612</c:v>
                </c:pt>
                <c:pt idx="36">
                  <c:v>101.1361</c:v>
                </c:pt>
                <c:pt idx="37">
                  <c:v>102.0342</c:v>
                </c:pt>
                <c:pt idx="38">
                  <c:v>102.4492</c:v>
                </c:pt>
                <c:pt idx="39">
                  <c:v>101.78149999999999</c:v>
                </c:pt>
                <c:pt idx="40">
                  <c:v>101.2597</c:v>
                </c:pt>
                <c:pt idx="41">
                  <c:v>101.1508</c:v>
                </c:pt>
                <c:pt idx="42">
                  <c:v>99.379499999999993</c:v>
                </c:pt>
                <c:pt idx="43">
                  <c:v>100.8737</c:v>
                </c:pt>
                <c:pt idx="44">
                  <c:v>101.68040000000001</c:v>
                </c:pt>
                <c:pt idx="45">
                  <c:v>101.28</c:v>
                </c:pt>
                <c:pt idx="46">
                  <c:v>101.0061</c:v>
                </c:pt>
                <c:pt idx="47">
                  <c:v>100.2</c:v>
                </c:pt>
                <c:pt idx="48">
                  <c:v>100.3523</c:v>
                </c:pt>
                <c:pt idx="49">
                  <c:v>101.7779</c:v>
                </c:pt>
                <c:pt idx="50">
                  <c:v>102.8844</c:v>
                </c:pt>
                <c:pt idx="51">
                  <c:v>102.7176</c:v>
                </c:pt>
                <c:pt idx="52">
                  <c:v>103.3156</c:v>
                </c:pt>
                <c:pt idx="53">
                  <c:v>102.8759</c:v>
                </c:pt>
                <c:pt idx="54">
                  <c:v>104.196</c:v>
                </c:pt>
                <c:pt idx="55">
                  <c:v>103.2897</c:v>
                </c:pt>
                <c:pt idx="56">
                  <c:v>102.83629999999999</c:v>
                </c:pt>
                <c:pt idx="57">
                  <c:v>103.9594</c:v>
                </c:pt>
                <c:pt idx="58">
                  <c:v>105.1203</c:v>
                </c:pt>
                <c:pt idx="59">
                  <c:v>104.0367</c:v>
                </c:pt>
                <c:pt idx="60">
                  <c:v>103.36069999999999</c:v>
                </c:pt>
                <c:pt idx="61">
                  <c:v>102.6604</c:v>
                </c:pt>
                <c:pt idx="62">
                  <c:v>102.6665</c:v>
                </c:pt>
                <c:pt idx="63">
                  <c:v>101.92100000000001</c:v>
                </c:pt>
                <c:pt idx="64">
                  <c:v>102.12779999999999</c:v>
                </c:pt>
                <c:pt idx="65">
                  <c:v>101.5732</c:v>
                </c:pt>
                <c:pt idx="66">
                  <c:v>101.3236</c:v>
                </c:pt>
                <c:pt idx="67">
                  <c:v>100.98609999999999</c:v>
                </c:pt>
                <c:pt idx="68">
                  <c:v>99.960599999999999</c:v>
                </c:pt>
                <c:pt idx="69">
                  <c:v>99.144599999999997</c:v>
                </c:pt>
                <c:pt idx="70">
                  <c:v>97.668099999999995</c:v>
                </c:pt>
                <c:pt idx="71">
                  <c:v>96.662599999999998</c:v>
                </c:pt>
                <c:pt idx="72">
                  <c:v>96.655799999999999</c:v>
                </c:pt>
                <c:pt idx="73">
                  <c:v>96.192400000000006</c:v>
                </c:pt>
                <c:pt idx="74">
                  <c:v>95.569599999999994</c:v>
                </c:pt>
                <c:pt idx="75">
                  <c:v>95.416300000000007</c:v>
                </c:pt>
                <c:pt idx="76">
                  <c:v>95.200699999999998</c:v>
                </c:pt>
                <c:pt idx="77">
                  <c:v>95.261600000000001</c:v>
                </c:pt>
                <c:pt idx="78">
                  <c:v>95.320099999999996</c:v>
                </c:pt>
                <c:pt idx="79">
                  <c:v>95.073800000000006</c:v>
                </c:pt>
                <c:pt idx="80">
                  <c:v>94.640600000000006</c:v>
                </c:pt>
                <c:pt idx="81">
                  <c:v>95.117099999999994</c:v>
                </c:pt>
                <c:pt idx="82">
                  <c:v>95.037099999999995</c:v>
                </c:pt>
                <c:pt idx="83">
                  <c:v>96.107900000000001</c:v>
                </c:pt>
                <c:pt idx="84">
                  <c:v>96.186599999999999</c:v>
                </c:pt>
                <c:pt idx="85">
                  <c:v>96.248900000000006</c:v>
                </c:pt>
                <c:pt idx="86">
                  <c:v>97.005600000000001</c:v>
                </c:pt>
                <c:pt idx="87">
                  <c:v>99.969700000000003</c:v>
                </c:pt>
                <c:pt idx="88">
                  <c:v>99.862300000000005</c:v>
                </c:pt>
                <c:pt idx="89">
                  <c:v>99.853099999999998</c:v>
                </c:pt>
                <c:pt idx="90">
                  <c:v>99.758399999999995</c:v>
                </c:pt>
                <c:pt idx="91">
                  <c:v>100.1024</c:v>
                </c:pt>
                <c:pt idx="92">
                  <c:v>101.6281</c:v>
                </c:pt>
                <c:pt idx="93">
                  <c:v>102.87220000000001</c:v>
                </c:pt>
                <c:pt idx="94">
                  <c:v>103.2946</c:v>
                </c:pt>
                <c:pt idx="95">
                  <c:v>103.2182</c:v>
                </c:pt>
                <c:pt idx="96">
                  <c:v>103.7684</c:v>
                </c:pt>
                <c:pt idx="97">
                  <c:v>104.41589999999999</c:v>
                </c:pt>
                <c:pt idx="98">
                  <c:v>104.5989</c:v>
                </c:pt>
                <c:pt idx="99">
                  <c:v>105.72709999999999</c:v>
                </c:pt>
                <c:pt idx="100">
                  <c:v>103.6131</c:v>
                </c:pt>
                <c:pt idx="101">
                  <c:v>104.9924</c:v>
                </c:pt>
                <c:pt idx="102">
                  <c:v>104.4686</c:v>
                </c:pt>
                <c:pt idx="103">
                  <c:v>104.7217</c:v>
                </c:pt>
                <c:pt idx="104">
                  <c:v>104.1682</c:v>
                </c:pt>
                <c:pt idx="105">
                  <c:v>103.2689</c:v>
                </c:pt>
                <c:pt idx="106">
                  <c:v>101.8002</c:v>
                </c:pt>
                <c:pt idx="107">
                  <c:v>100.938</c:v>
                </c:pt>
                <c:pt idx="108">
                  <c:v>99.531999999999996</c:v>
                </c:pt>
                <c:pt idx="109">
                  <c:v>98.608599999999996</c:v>
                </c:pt>
                <c:pt idx="110">
                  <c:v>98.302499999999995</c:v>
                </c:pt>
                <c:pt idx="111">
                  <c:v>96.176699999999997</c:v>
                </c:pt>
                <c:pt idx="112">
                  <c:v>95.727699999999999</c:v>
                </c:pt>
                <c:pt idx="113">
                  <c:v>95.794899999999998</c:v>
                </c:pt>
                <c:pt idx="114">
                  <c:v>94.399900000000002</c:v>
                </c:pt>
                <c:pt idx="115">
                  <c:v>95.301199999999994</c:v>
                </c:pt>
                <c:pt idx="116">
                  <c:v>93.722499999999997</c:v>
                </c:pt>
                <c:pt idx="117">
                  <c:v>93.109800000000007</c:v>
                </c:pt>
                <c:pt idx="118">
                  <c:v>94.523700000000005</c:v>
                </c:pt>
                <c:pt idx="119">
                  <c:v>94.229600000000005</c:v>
                </c:pt>
                <c:pt idx="120">
                  <c:v>91.699399999999997</c:v>
                </c:pt>
                <c:pt idx="121">
                  <c:v>91.452100000000002</c:v>
                </c:pt>
                <c:pt idx="122">
                  <c:v>85.345600000000005</c:v>
                </c:pt>
                <c:pt idx="123">
                  <c:v>65.439599999999999</c:v>
                </c:pt>
                <c:pt idx="124">
                  <c:v>71.249799999999993</c:v>
                </c:pt>
                <c:pt idx="125">
                  <c:v>79.391400000000004</c:v>
                </c:pt>
                <c:pt idx="126">
                  <c:v>83.608599999999996</c:v>
                </c:pt>
                <c:pt idx="127">
                  <c:v>85.692099999999996</c:v>
                </c:pt>
                <c:pt idx="128">
                  <c:v>85.483000000000004</c:v>
                </c:pt>
                <c:pt idx="129">
                  <c:v>86.008700000000005</c:v>
                </c:pt>
                <c:pt idx="130">
                  <c:v>86.807900000000004</c:v>
                </c:pt>
                <c:pt idx="131">
                  <c:v>87.642399999999995</c:v>
                </c:pt>
                <c:pt idx="132">
                  <c:v>90.296099999999996</c:v>
                </c:pt>
                <c:pt idx="133">
                  <c:v>88.100099999999998</c:v>
                </c:pt>
                <c:pt idx="134">
                  <c:v>90.433700000000002</c:v>
                </c:pt>
                <c:pt idx="135">
                  <c:v>89.203599999999994</c:v>
                </c:pt>
                <c:pt idx="136">
                  <c:v>90.915400000000005</c:v>
                </c:pt>
                <c:pt idx="137">
                  <c:v>90.157300000000006</c:v>
                </c:pt>
                <c:pt idx="138">
                  <c:v>92.664199999999994</c:v>
                </c:pt>
                <c:pt idx="139">
                  <c:v>92.696600000000004</c:v>
                </c:pt>
                <c:pt idx="140">
                  <c:v>92.233500000000006</c:v>
                </c:pt>
                <c:pt idx="141">
                  <c:v>92.906000000000006</c:v>
                </c:pt>
                <c:pt idx="142">
                  <c:v>93.415599999999998</c:v>
                </c:pt>
                <c:pt idx="143">
                  <c:v>94.230599999999995</c:v>
                </c:pt>
                <c:pt idx="144">
                  <c:v>93.428200000000004</c:v>
                </c:pt>
                <c:pt idx="145">
                  <c:v>95.267799999999994</c:v>
                </c:pt>
                <c:pt idx="146">
                  <c:v>96.392099999999999</c:v>
                </c:pt>
                <c:pt idx="147">
                  <c:v>97.269099999999995</c:v>
                </c:pt>
                <c:pt idx="148">
                  <c:v>97.018100000000004</c:v>
                </c:pt>
                <c:pt idx="149">
                  <c:v>96.824700000000007</c:v>
                </c:pt>
                <c:pt idx="150">
                  <c:v>97.495099999999994</c:v>
                </c:pt>
                <c:pt idx="151">
                  <c:v>98.011399999999995</c:v>
                </c:pt>
                <c:pt idx="152">
                  <c:v>98.501999999999995</c:v>
                </c:pt>
                <c:pt idx="153">
                  <c:v>98.882300000000001</c:v>
                </c:pt>
                <c:pt idx="154">
                  <c:v>97.626099999999994</c:v>
                </c:pt>
                <c:pt idx="155">
                  <c:v>95.696299999999994</c:v>
                </c:pt>
                <c:pt idx="156">
                  <c:v>96.868200000000002</c:v>
                </c:pt>
              </c:numCache>
            </c:numRef>
          </c:val>
          <c:smooth val="0"/>
          <c:extLst>
            <c:ext xmlns:c16="http://schemas.microsoft.com/office/drawing/2014/chart" uri="{C3380CC4-5D6E-409C-BE32-E72D297353CC}">
              <c16:uniqueId val="{00000000-08CB-49D9-BCD8-5C080C1204E6}"/>
            </c:ext>
          </c:extLst>
        </c:ser>
        <c:dLbls>
          <c:showLegendKey val="0"/>
          <c:showVal val="0"/>
          <c:showCatName val="0"/>
          <c:showSerName val="0"/>
          <c:showPercent val="0"/>
          <c:showBubbleSize val="0"/>
        </c:dLbls>
        <c:smooth val="0"/>
        <c:axId val="1219652159"/>
        <c:axId val="1219585727"/>
      </c:lineChart>
      <c:dateAx>
        <c:axId val="12196521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585727"/>
        <c:crosses val="autoZero"/>
        <c:auto val="0"/>
        <c:lblOffset val="100"/>
        <c:baseTimeUnit val="months"/>
      </c:dateAx>
      <c:valAx>
        <c:axId val="1219585727"/>
        <c:scaling>
          <c:orientation val="minMax"/>
          <c:min val="6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65215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Equipment'!$U$2</c:f>
          <c:strCache>
            <c:ptCount val="1"/>
            <c:pt idx="0">
              <c:v>Industrial Production: Business Equipment yoy</c:v>
            </c:pt>
          </c:strCache>
        </c:strRef>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00B050"/>
            </a:solidFill>
            <a:ln>
              <a:noFill/>
              <a:prstDash val="solid"/>
            </a:ln>
          </c:spPr>
          <c:invertIfNegative val="1"/>
          <c:cat>
            <c:numRef>
              <c:f>'Business Equipment'!$A$20:$A$623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'Business Equipment'!$D$20:$D$623</c:f>
              <c:numCache>
                <c:formatCode>0.0%</c:formatCode>
                <c:ptCount val="604"/>
                <c:pt idx="0">
                  <c:v>0.15902926138409482</c:v>
                </c:pt>
                <c:pt idx="1">
                  <c:v>0.15427304312767551</c:v>
                </c:pt>
                <c:pt idx="2">
                  <c:v>0.14439020407211051</c:v>
                </c:pt>
                <c:pt idx="3">
                  <c:v>0.15703265410918929</c:v>
                </c:pt>
                <c:pt idx="4">
                  <c:v>0.16451140235606052</c:v>
                </c:pt>
                <c:pt idx="5">
                  <c:v>0.1789197582919923</c:v>
                </c:pt>
                <c:pt idx="6">
                  <c:v>0.15782217588715505</c:v>
                </c:pt>
                <c:pt idx="7">
                  <c:v>0.16773829029888682</c:v>
                </c:pt>
                <c:pt idx="8">
                  <c:v>0.16070687106578746</c:v>
                </c:pt>
                <c:pt idx="9">
                  <c:v>0.14870290974776385</c:v>
                </c:pt>
                <c:pt idx="10">
                  <c:v>0.13850385747748906</c:v>
                </c:pt>
                <c:pt idx="11">
                  <c:v>0.11900961843356934</c:v>
                </c:pt>
                <c:pt idx="12">
                  <c:v>9.2178568469886521E-2</c:v>
                </c:pt>
                <c:pt idx="13">
                  <c:v>9.3151909267420785E-2</c:v>
                </c:pt>
                <c:pt idx="14">
                  <c:v>7.2496636359929839E-2</c:v>
                </c:pt>
                <c:pt idx="15">
                  <c:v>7.8251791631153478E-2</c:v>
                </c:pt>
                <c:pt idx="16">
                  <c:v>6.8790413181874968E-2</c:v>
                </c:pt>
                <c:pt idx="17">
                  <c:v>5.8838619287937689E-2</c:v>
                </c:pt>
                <c:pt idx="18">
                  <c:v>5.1959298549469631E-2</c:v>
                </c:pt>
                <c:pt idx="19">
                  <c:v>5.3251918443182153E-2</c:v>
                </c:pt>
                <c:pt idx="20">
                  <c:v>3.9226348047983681E-2</c:v>
                </c:pt>
                <c:pt idx="21">
                  <c:v>1.6885571243848513E-2</c:v>
                </c:pt>
                <c:pt idx="22">
                  <c:v>-2.7898372909509472E-2</c:v>
                </c:pt>
                <c:pt idx="23">
                  <c:v>-4.9929394207018932E-2</c:v>
                </c:pt>
                <c:pt idx="24">
                  <c:v>-7.8141073959770477E-2</c:v>
                </c:pt>
                <c:pt idx="25">
                  <c:v>-0.10171179933933849</c:v>
                </c:pt>
                <c:pt idx="26">
                  <c:v>-9.6511611330491617E-2</c:v>
                </c:pt>
                <c:pt idx="27">
                  <c:v>-0.12266661677556952</c:v>
                </c:pt>
                <c:pt idx="28">
                  <c:v>-0.1304169080410367</c:v>
                </c:pt>
                <c:pt idx="29">
                  <c:v>-0.12721190491720788</c:v>
                </c:pt>
                <c:pt idx="30">
                  <c:v>-0.12924937791165414</c:v>
                </c:pt>
                <c:pt idx="31">
                  <c:v>-0.13225593061502</c:v>
                </c:pt>
                <c:pt idx="32">
                  <c:v>-0.13035216794642895</c:v>
                </c:pt>
                <c:pt idx="33">
                  <c:v>-0.11918469248970626</c:v>
                </c:pt>
                <c:pt idx="34">
                  <c:v>-6.5451456310679695E-2</c:v>
                </c:pt>
                <c:pt idx="35">
                  <c:v>-3.3867383815436934E-2</c:v>
                </c:pt>
                <c:pt idx="36">
                  <c:v>6.4539021680998475E-3</c:v>
                </c:pt>
                <c:pt idx="37">
                  <c:v>3.0287020520894936E-2</c:v>
                </c:pt>
                <c:pt idx="38">
                  <c:v>4.4837506771646871E-2</c:v>
                </c:pt>
                <c:pt idx="39">
                  <c:v>6.6294189462236086E-2</c:v>
                </c:pt>
                <c:pt idx="40">
                  <c:v>7.9608458331542509E-2</c:v>
                </c:pt>
                <c:pt idx="41">
                  <c:v>8.0264773394544311E-2</c:v>
                </c:pt>
                <c:pt idx="42">
                  <c:v>0.10549357283670775</c:v>
                </c:pt>
                <c:pt idx="43">
                  <c:v>8.6582951284847609E-2</c:v>
                </c:pt>
                <c:pt idx="44">
                  <c:v>8.4769735800462195E-2</c:v>
                </c:pt>
                <c:pt idx="45">
                  <c:v>0.12277899991539046</c:v>
                </c:pt>
                <c:pt idx="46">
                  <c:v>0.1199166826825684</c:v>
                </c:pt>
                <c:pt idx="47">
                  <c:v>0.11250604566924263</c:v>
                </c:pt>
                <c:pt idx="48">
                  <c:v>0.13298690415970479</c:v>
                </c:pt>
                <c:pt idx="49">
                  <c:v>0.14367819009854735</c:v>
                </c:pt>
                <c:pt idx="50">
                  <c:v>0.14984697164948457</c:v>
                </c:pt>
                <c:pt idx="51">
                  <c:v>0.16517839286428537</c:v>
                </c:pt>
                <c:pt idx="52">
                  <c:v>0.1856394995869701</c:v>
                </c:pt>
                <c:pt idx="53">
                  <c:v>0.18430961722819056</c:v>
                </c:pt>
                <c:pt idx="54">
                  <c:v>0.16824909378917591</c:v>
                </c:pt>
                <c:pt idx="55">
                  <c:v>0.17588392635286892</c:v>
                </c:pt>
                <c:pt idx="56">
                  <c:v>0.16927605332295428</c:v>
                </c:pt>
                <c:pt idx="57">
                  <c:v>0.132082403142397</c:v>
                </c:pt>
                <c:pt idx="58">
                  <c:v>0.12958075722508486</c:v>
                </c:pt>
                <c:pt idx="59">
                  <c:v>0.10380168347053921</c:v>
                </c:pt>
                <c:pt idx="60">
                  <c:v>0.10331111491940943</c:v>
                </c:pt>
                <c:pt idx="61">
                  <c:v>0.11824114356743315</c:v>
                </c:pt>
                <c:pt idx="62">
                  <c:v>0.12609883374776723</c:v>
                </c:pt>
                <c:pt idx="63">
                  <c:v>0.11090132806968604</c:v>
                </c:pt>
                <c:pt idx="64">
                  <c:v>0.10371066780268531</c:v>
                </c:pt>
                <c:pt idx="65">
                  <c:v>0.10534748648107346</c:v>
                </c:pt>
                <c:pt idx="66">
                  <c:v>0.12250237077212303</c:v>
                </c:pt>
                <c:pt idx="67">
                  <c:v>0.12973329079465837</c:v>
                </c:pt>
                <c:pt idx="68">
                  <c:v>0.15760632122929438</c:v>
                </c:pt>
                <c:pt idx="69">
                  <c:v>0.1767762495527653</c:v>
                </c:pt>
                <c:pt idx="70">
                  <c:v>0.1738762672404236</c:v>
                </c:pt>
                <c:pt idx="71">
                  <c:v>0.21156521301914</c:v>
                </c:pt>
                <c:pt idx="72">
                  <c:v>0.19500421016489122</c:v>
                </c:pt>
                <c:pt idx="73">
                  <c:v>0.16940391829929147</c:v>
                </c:pt>
                <c:pt idx="74">
                  <c:v>0.12180244763400559</c:v>
                </c:pt>
                <c:pt idx="75">
                  <c:v>0.14681138707559205</c:v>
                </c:pt>
                <c:pt idx="76">
                  <c:v>0.13364693176762274</c:v>
                </c:pt>
                <c:pt idx="77">
                  <c:v>0.13627544241106479</c:v>
                </c:pt>
                <c:pt idx="78">
                  <c:v>0.10190417257976662</c:v>
                </c:pt>
                <c:pt idx="79">
                  <c:v>0.11727059341304195</c:v>
                </c:pt>
                <c:pt idx="80">
                  <c:v>8.4838485897394372E-2</c:v>
                </c:pt>
                <c:pt idx="81">
                  <c:v>6.5092962168162738E-2</c:v>
                </c:pt>
                <c:pt idx="82">
                  <c:v>6.1272460797447928E-2</c:v>
                </c:pt>
                <c:pt idx="83">
                  <c:v>6.7565371061395638E-2</c:v>
                </c:pt>
                <c:pt idx="84">
                  <c:v>6.1449685825012978E-2</c:v>
                </c:pt>
                <c:pt idx="85">
                  <c:v>4.4336263057300963E-2</c:v>
                </c:pt>
                <c:pt idx="86">
                  <c:v>5.5444467162694688E-2</c:v>
                </c:pt>
                <c:pt idx="87">
                  <c:v>9.7845051162351367E-3</c:v>
                </c:pt>
                <c:pt idx="88">
                  <c:v>-6.1922620205693011E-3</c:v>
                </c:pt>
                <c:pt idx="89">
                  <c:v>-1.5620587815144143E-2</c:v>
                </c:pt>
                <c:pt idx="90">
                  <c:v>-6.0393499292157619E-3</c:v>
                </c:pt>
                <c:pt idx="91">
                  <c:v>-9.9496118305513349E-3</c:v>
                </c:pt>
                <c:pt idx="92">
                  <c:v>1.7915007256124667E-2</c:v>
                </c:pt>
                <c:pt idx="93">
                  <c:v>3.5443407718683366E-2</c:v>
                </c:pt>
                <c:pt idx="94">
                  <c:v>3.2942874846739044E-2</c:v>
                </c:pt>
                <c:pt idx="95">
                  <c:v>1.6129241255094084E-2</c:v>
                </c:pt>
                <c:pt idx="96">
                  <c:v>-9.9897524474889653E-4</c:v>
                </c:pt>
                <c:pt idx="97">
                  <c:v>1.7833285114765625E-2</c:v>
                </c:pt>
                <c:pt idx="98">
                  <c:v>3.9591801889951997E-2</c:v>
                </c:pt>
                <c:pt idx="99">
                  <c:v>5.6103507970233737E-2</c:v>
                </c:pt>
                <c:pt idx="100">
                  <c:v>6.4549664492959138E-2</c:v>
                </c:pt>
                <c:pt idx="101">
                  <c:v>6.5977975842948733E-2</c:v>
                </c:pt>
                <c:pt idx="102">
                  <c:v>6.6535402436507671E-2</c:v>
                </c:pt>
                <c:pt idx="103">
                  <c:v>4.6246071007015825E-2</c:v>
                </c:pt>
                <c:pt idx="104">
                  <c:v>2.3823241249784341E-2</c:v>
                </c:pt>
                <c:pt idx="105">
                  <c:v>-8.2578130259306892E-3</c:v>
                </c:pt>
                <c:pt idx="106">
                  <c:v>-2.6423185779150513E-2</c:v>
                </c:pt>
                <c:pt idx="107">
                  <c:v>-6.6116624637759761E-2</c:v>
                </c:pt>
                <c:pt idx="108">
                  <c:v>-2.0957523676808431E-2</c:v>
                </c:pt>
                <c:pt idx="109">
                  <c:v>-4.1984842532887444E-2</c:v>
                </c:pt>
                <c:pt idx="110">
                  <c:v>-6.6891755312428899E-2</c:v>
                </c:pt>
                <c:pt idx="111">
                  <c:v>-7.3345903487744057E-2</c:v>
                </c:pt>
                <c:pt idx="112">
                  <c:v>-8.6292613636363702E-2</c:v>
                </c:pt>
                <c:pt idx="113">
                  <c:v>-9.041635402914569E-2</c:v>
                </c:pt>
                <c:pt idx="114">
                  <c:v>-0.1114529871151516</c:v>
                </c:pt>
                <c:pt idx="115">
                  <c:v>-0.11606011053645669</c:v>
                </c:pt>
                <c:pt idx="116">
                  <c:v>-0.13346792140904179</c:v>
                </c:pt>
                <c:pt idx="117">
                  <c:v>-0.12236441036813413</c:v>
                </c:pt>
                <c:pt idx="118">
                  <c:v>-0.10087244934746556</c:v>
                </c:pt>
                <c:pt idx="119">
                  <c:v>-6.209248499662038E-2</c:v>
                </c:pt>
                <c:pt idx="120">
                  <c:v>-9.7538474717555543E-2</c:v>
                </c:pt>
                <c:pt idx="121">
                  <c:v>-7.7025139432004217E-2</c:v>
                </c:pt>
                <c:pt idx="122">
                  <c:v>-6.1031624339537717E-2</c:v>
                </c:pt>
                <c:pt idx="123">
                  <c:v>-4.259032038173146E-2</c:v>
                </c:pt>
                <c:pt idx="124">
                  <c:v>-1.8179862306368248E-2</c:v>
                </c:pt>
                <c:pt idx="125">
                  <c:v>4.6257944601847305E-3</c:v>
                </c:pt>
                <c:pt idx="126">
                  <c:v>4.091133022511944E-2</c:v>
                </c:pt>
                <c:pt idx="127">
                  <c:v>7.3423702806090368E-2</c:v>
                </c:pt>
                <c:pt idx="128">
                  <c:v>0.11119794246383349</c:v>
                </c:pt>
                <c:pt idx="129">
                  <c:v>0.12742205771320192</c:v>
                </c:pt>
                <c:pt idx="130">
                  <c:v>0.12591310053218632</c:v>
                </c:pt>
                <c:pt idx="131">
                  <c:v>0.14956050155598835</c:v>
                </c:pt>
                <c:pt idx="132">
                  <c:v>0.16274501929487026</c:v>
                </c:pt>
                <c:pt idx="133">
                  <c:v>0.16164731888088651</c:v>
                </c:pt>
                <c:pt idx="134">
                  <c:v>0.16931140638630729</c:v>
                </c:pt>
                <c:pt idx="135">
                  <c:v>0.16049255261584036</c:v>
                </c:pt>
                <c:pt idx="136">
                  <c:v>0.1639941046946847</c:v>
                </c:pt>
                <c:pt idx="137">
                  <c:v>0.15694433376872205</c:v>
                </c:pt>
                <c:pt idx="138">
                  <c:v>0.15640068866649739</c:v>
                </c:pt>
                <c:pt idx="139">
                  <c:v>0.12776837035626845</c:v>
                </c:pt>
                <c:pt idx="140">
                  <c:v>0.12407096184133641</c:v>
                </c:pt>
                <c:pt idx="141">
                  <c:v>0.12168422015471467</c:v>
                </c:pt>
                <c:pt idx="142">
                  <c:v>0.11825513220216055</c:v>
                </c:pt>
                <c:pt idx="143">
                  <c:v>9.1392368191086565E-2</c:v>
                </c:pt>
                <c:pt idx="144">
                  <c:v>7.4813805403097053E-2</c:v>
                </c:pt>
                <c:pt idx="145">
                  <c:v>7.6121834734590318E-2</c:v>
                </c:pt>
                <c:pt idx="146">
                  <c:v>5.7803646408158486E-2</c:v>
                </c:pt>
                <c:pt idx="147">
                  <c:v>5.5121830011626252E-2</c:v>
                </c:pt>
                <c:pt idx="148">
                  <c:v>4.5515687578377019E-2</c:v>
                </c:pt>
                <c:pt idx="149">
                  <c:v>2.6445662264546428E-2</c:v>
                </c:pt>
                <c:pt idx="150">
                  <c:v>1.7705623982371525E-2</c:v>
                </c:pt>
                <c:pt idx="151">
                  <c:v>1.3584510045489018E-2</c:v>
                </c:pt>
                <c:pt idx="152">
                  <c:v>3.9771592391111919E-3</c:v>
                </c:pt>
                <c:pt idx="153">
                  <c:v>4.3685800076304114E-3</c:v>
                </c:pt>
                <c:pt idx="154">
                  <c:v>-3.3988593265972728E-3</c:v>
                </c:pt>
                <c:pt idx="155">
                  <c:v>1.0037684834101879E-3</c:v>
                </c:pt>
                <c:pt idx="156">
                  <c:v>-2.7518835211255478E-3</c:v>
                </c:pt>
                <c:pt idx="157">
                  <c:v>-1.4611468428017423E-2</c:v>
                </c:pt>
                <c:pt idx="158">
                  <c:v>-1.2415336729578662E-2</c:v>
                </c:pt>
                <c:pt idx="159">
                  <c:v>-1.6458500505878621E-2</c:v>
                </c:pt>
                <c:pt idx="160">
                  <c:v>-2.7561010318679573E-2</c:v>
                </c:pt>
                <c:pt idx="161">
                  <c:v>-1.5871117192445959E-2</c:v>
                </c:pt>
                <c:pt idx="162">
                  <c:v>-1.7802658304944496E-2</c:v>
                </c:pt>
                <c:pt idx="163">
                  <c:v>-1.2707048335870427E-2</c:v>
                </c:pt>
                <c:pt idx="164">
                  <c:v>-1.4069713690542319E-2</c:v>
                </c:pt>
                <c:pt idx="165">
                  <c:v>-2.2991872087594799E-2</c:v>
                </c:pt>
                <c:pt idx="166">
                  <c:v>-9.978619319304164E-3</c:v>
                </c:pt>
                <c:pt idx="167">
                  <c:v>-1.1323095114578666E-2</c:v>
                </c:pt>
                <c:pt idx="168">
                  <c:v>2.2093394537875569E-2</c:v>
                </c:pt>
                <c:pt idx="169">
                  <c:v>2.1979761964104047E-2</c:v>
                </c:pt>
                <c:pt idx="170">
                  <c:v>3.749291751263039E-2</c:v>
                </c:pt>
                <c:pt idx="171">
                  <c:v>4.7919715041605651E-2</c:v>
                </c:pt>
                <c:pt idx="172">
                  <c:v>6.5542338510977016E-2</c:v>
                </c:pt>
                <c:pt idx="173">
                  <c:v>6.6983674304297552E-2</c:v>
                </c:pt>
                <c:pt idx="174">
                  <c:v>8.2951086214774414E-2</c:v>
                </c:pt>
                <c:pt idx="175">
                  <c:v>9.7344792277050868E-2</c:v>
                </c:pt>
                <c:pt idx="176">
                  <c:v>0.12221763915142632</c:v>
                </c:pt>
                <c:pt idx="177">
                  <c:v>0.12976208849263363</c:v>
                </c:pt>
                <c:pt idx="178">
                  <c:v>0.1301551345213188</c:v>
                </c:pt>
                <c:pt idx="179">
                  <c:v>0.13033945007914652</c:v>
                </c:pt>
                <c:pt idx="180">
                  <c:v>0.1138026602772627</c:v>
                </c:pt>
                <c:pt idx="181">
                  <c:v>0.12719453027942512</c:v>
                </c:pt>
                <c:pt idx="182">
                  <c:v>0.12993466431909528</c:v>
                </c:pt>
                <c:pt idx="183">
                  <c:v>0.12553243104489051</c:v>
                </c:pt>
                <c:pt idx="184">
                  <c:v>0.12755932877967835</c:v>
                </c:pt>
                <c:pt idx="185">
                  <c:v>0.10792518254259326</c:v>
                </c:pt>
                <c:pt idx="186">
                  <c:v>9.7216438356164406E-2</c:v>
                </c:pt>
                <c:pt idx="187">
                  <c:v>9.0591836459499128E-2</c:v>
                </c:pt>
                <c:pt idx="188">
                  <c:v>7.6179017650558511E-2</c:v>
                </c:pt>
                <c:pt idx="189">
                  <c:v>7.171098086708895E-2</c:v>
                </c:pt>
                <c:pt idx="190">
                  <c:v>6.2356227833772065E-2</c:v>
                </c:pt>
                <c:pt idx="191">
                  <c:v>7.2206201180485721E-2</c:v>
                </c:pt>
                <c:pt idx="192">
                  <c:v>5.954948046667935E-2</c:v>
                </c:pt>
                <c:pt idx="193">
                  <c:v>4.3093244822065314E-2</c:v>
                </c:pt>
                <c:pt idx="194">
                  <c:v>4.6758967904342398E-2</c:v>
                </c:pt>
                <c:pt idx="195">
                  <c:v>2.8550805998877278E-2</c:v>
                </c:pt>
                <c:pt idx="196">
                  <c:v>3.3793693169672033E-2</c:v>
                </c:pt>
                <c:pt idx="197">
                  <c:v>2.8997391914936346E-2</c:v>
                </c:pt>
                <c:pt idx="198">
                  <c:v>3.9394832252973903E-2</c:v>
                </c:pt>
                <c:pt idx="199">
                  <c:v>2.4909368771421383E-2</c:v>
                </c:pt>
                <c:pt idx="200">
                  <c:v>4.6267175122363079E-3</c:v>
                </c:pt>
                <c:pt idx="201">
                  <c:v>9.0672876578012304E-3</c:v>
                </c:pt>
                <c:pt idx="202">
                  <c:v>2.0270055599682282E-2</c:v>
                </c:pt>
                <c:pt idx="203">
                  <c:v>2.0075124502048433E-4</c:v>
                </c:pt>
                <c:pt idx="204">
                  <c:v>2.1879250048571983E-2</c:v>
                </c:pt>
                <c:pt idx="205">
                  <c:v>4.4265603381169791E-2</c:v>
                </c:pt>
                <c:pt idx="206">
                  <c:v>2.383214092466782E-2</c:v>
                </c:pt>
                <c:pt idx="207">
                  <c:v>5.147173489278755E-2</c:v>
                </c:pt>
                <c:pt idx="208">
                  <c:v>3.8810836545328214E-2</c:v>
                </c:pt>
                <c:pt idx="209">
                  <c:v>5.7488856340005279E-2</c:v>
                </c:pt>
                <c:pt idx="210">
                  <c:v>4.8407129180970607E-2</c:v>
                </c:pt>
                <c:pt idx="211">
                  <c:v>5.2702438600681856E-2</c:v>
                </c:pt>
                <c:pt idx="212">
                  <c:v>6.493554138631881E-2</c:v>
                </c:pt>
                <c:pt idx="213">
                  <c:v>3.2471838872437452E-2</c:v>
                </c:pt>
                <c:pt idx="214">
                  <c:v>9.155170803101657E-3</c:v>
                </c:pt>
                <c:pt idx="215">
                  <c:v>1.5841655986264535E-2</c:v>
                </c:pt>
                <c:pt idx="216">
                  <c:v>-8.8433320895789178E-3</c:v>
                </c:pt>
                <c:pt idx="217">
                  <c:v>-2.6746802698515537E-2</c:v>
                </c:pt>
                <c:pt idx="218">
                  <c:v>-2.1863365708715631E-2</c:v>
                </c:pt>
                <c:pt idx="219">
                  <c:v>-2.8181514817252281E-2</c:v>
                </c:pt>
                <c:pt idx="220">
                  <c:v>-1.9373654607319012E-2</c:v>
                </c:pt>
                <c:pt idx="221">
                  <c:v>-1.7789321337045187E-2</c:v>
                </c:pt>
                <c:pt idx="222">
                  <c:v>-2.7930093421110032E-2</c:v>
                </c:pt>
                <c:pt idx="223">
                  <c:v>-1.343793977566001E-2</c:v>
                </c:pt>
                <c:pt idx="224">
                  <c:v>-1.8056254119614094E-2</c:v>
                </c:pt>
                <c:pt idx="225">
                  <c:v>5.6044948896041341E-3</c:v>
                </c:pt>
                <c:pt idx="226">
                  <c:v>1.3135813487589252E-2</c:v>
                </c:pt>
                <c:pt idx="227">
                  <c:v>-1.1426367771930133E-3</c:v>
                </c:pt>
                <c:pt idx="228">
                  <c:v>2.6363871784542765E-2</c:v>
                </c:pt>
                <c:pt idx="229">
                  <c:v>3.9873419241139844E-2</c:v>
                </c:pt>
                <c:pt idx="230">
                  <c:v>5.0054391285867687E-2</c:v>
                </c:pt>
                <c:pt idx="231">
                  <c:v>5.0998776716114677E-2</c:v>
                </c:pt>
                <c:pt idx="232">
                  <c:v>4.2914129254590976E-2</c:v>
                </c:pt>
                <c:pt idx="233">
                  <c:v>4.7300166825827612E-2</c:v>
                </c:pt>
                <c:pt idx="234">
                  <c:v>4.6836326263135948E-2</c:v>
                </c:pt>
                <c:pt idx="235">
                  <c:v>3.5981869672590074E-2</c:v>
                </c:pt>
                <c:pt idx="236">
                  <c:v>4.6550736162599082E-2</c:v>
                </c:pt>
                <c:pt idx="237">
                  <c:v>5.4656315658940809E-2</c:v>
                </c:pt>
                <c:pt idx="238">
                  <c:v>6.5811515258009837E-2</c:v>
                </c:pt>
                <c:pt idx="239">
                  <c:v>8.8033631950352992E-2</c:v>
                </c:pt>
                <c:pt idx="240">
                  <c:v>6.7775901019290111E-2</c:v>
                </c:pt>
                <c:pt idx="241">
                  <c:v>5.7734934195335839E-2</c:v>
                </c:pt>
                <c:pt idx="242">
                  <c:v>5.4549695726448834E-2</c:v>
                </c:pt>
                <c:pt idx="243">
                  <c:v>4.7283040272263092E-2</c:v>
                </c:pt>
                <c:pt idx="244">
                  <c:v>3.7683238993212471E-2</c:v>
                </c:pt>
                <c:pt idx="245">
                  <c:v>2.7131053518299586E-2</c:v>
                </c:pt>
                <c:pt idx="246">
                  <c:v>2.3089862212924774E-2</c:v>
                </c:pt>
                <c:pt idx="247">
                  <c:v>3.6396091736988288E-2</c:v>
                </c:pt>
                <c:pt idx="248">
                  <c:v>5.4968287526426941E-2</c:v>
                </c:pt>
                <c:pt idx="249">
                  <c:v>5.3441092559643875E-2</c:v>
                </c:pt>
                <c:pt idx="250">
                  <c:v>5.0044513810272133E-2</c:v>
                </c:pt>
                <c:pt idx="251">
                  <c:v>5.1982301660314471E-2</c:v>
                </c:pt>
                <c:pt idx="252">
                  <c:v>4.1358351529578639E-2</c:v>
                </c:pt>
                <c:pt idx="253">
                  <c:v>5.0377096953755154E-2</c:v>
                </c:pt>
                <c:pt idx="254">
                  <c:v>5.0929901718409824E-2</c:v>
                </c:pt>
                <c:pt idx="255">
                  <c:v>5.3107736302779512E-2</c:v>
                </c:pt>
                <c:pt idx="256">
                  <c:v>6.6588002817939654E-2</c:v>
                </c:pt>
                <c:pt idx="257">
                  <c:v>7.8929115172031564E-2</c:v>
                </c:pt>
                <c:pt idx="258">
                  <c:v>9.2546412968118913E-2</c:v>
                </c:pt>
                <c:pt idx="259">
                  <c:v>8.4326322007456447E-2</c:v>
                </c:pt>
                <c:pt idx="260">
                  <c:v>8.017303105153234E-2</c:v>
                </c:pt>
                <c:pt idx="261">
                  <c:v>8.73607709430618E-2</c:v>
                </c:pt>
                <c:pt idx="262">
                  <c:v>9.068395016758049E-2</c:v>
                </c:pt>
                <c:pt idx="263">
                  <c:v>9.1912499583569257E-2</c:v>
                </c:pt>
                <c:pt idx="264">
                  <c:v>0.10213527692627689</c:v>
                </c:pt>
                <c:pt idx="265">
                  <c:v>0.1002362926371048</c:v>
                </c:pt>
                <c:pt idx="266">
                  <c:v>9.0970246115940817E-2</c:v>
                </c:pt>
                <c:pt idx="267">
                  <c:v>0.10098456297417842</c:v>
                </c:pt>
                <c:pt idx="268">
                  <c:v>0.10830414235789471</c:v>
                </c:pt>
                <c:pt idx="269">
                  <c:v>8.9708236968511018E-2</c:v>
                </c:pt>
                <c:pt idx="270">
                  <c:v>0.10680045850767446</c:v>
                </c:pt>
                <c:pt idx="271">
                  <c:v>0.10625607378539251</c:v>
                </c:pt>
                <c:pt idx="272">
                  <c:v>8.6715042165130374E-2</c:v>
                </c:pt>
                <c:pt idx="273">
                  <c:v>7.6904305386090235E-2</c:v>
                </c:pt>
                <c:pt idx="274">
                  <c:v>7.5028934796419935E-2</c:v>
                </c:pt>
                <c:pt idx="275">
                  <c:v>5.6663138926232072E-2</c:v>
                </c:pt>
                <c:pt idx="276">
                  <c:v>8.2601144939941279E-2</c:v>
                </c:pt>
                <c:pt idx="277">
                  <c:v>6.9897906179462344E-2</c:v>
                </c:pt>
                <c:pt idx="278">
                  <c:v>9.7733282390191634E-2</c:v>
                </c:pt>
                <c:pt idx="279">
                  <c:v>9.9289415220303642E-2</c:v>
                </c:pt>
                <c:pt idx="280">
                  <c:v>0.10137753144004255</c:v>
                </c:pt>
                <c:pt idx="281">
                  <c:v>0.12170931798702096</c:v>
                </c:pt>
                <c:pt idx="282">
                  <c:v>0.10552267167569455</c:v>
                </c:pt>
                <c:pt idx="283">
                  <c:v>0.10811415336494841</c:v>
                </c:pt>
                <c:pt idx="284">
                  <c:v>0.10628460466761476</c:v>
                </c:pt>
                <c:pt idx="285">
                  <c:v>0.11883540333574326</c:v>
                </c:pt>
                <c:pt idx="286">
                  <c:v>0.13065066444797177</c:v>
                </c:pt>
                <c:pt idx="287">
                  <c:v>0.14901557396278861</c:v>
                </c:pt>
                <c:pt idx="288">
                  <c:v>0.13975196293707146</c:v>
                </c:pt>
                <c:pt idx="289">
                  <c:v>0.15952649977048816</c:v>
                </c:pt>
                <c:pt idx="290">
                  <c:v>0.14099402961929144</c:v>
                </c:pt>
                <c:pt idx="291">
                  <c:v>0.13869209901892143</c:v>
                </c:pt>
                <c:pt idx="292">
                  <c:v>0.14091960685441646</c:v>
                </c:pt>
                <c:pt idx="293">
                  <c:v>0.13338658939575873</c:v>
                </c:pt>
                <c:pt idx="294">
                  <c:v>0.15284589789309216</c:v>
                </c:pt>
                <c:pt idx="295">
                  <c:v>0.14947754646247111</c:v>
                </c:pt>
                <c:pt idx="296">
                  <c:v>0.1680217288461851</c:v>
                </c:pt>
                <c:pt idx="297">
                  <c:v>0.17144900862380749</c:v>
                </c:pt>
                <c:pt idx="298">
                  <c:v>0.15908821741293128</c:v>
                </c:pt>
                <c:pt idx="299">
                  <c:v>0.16800428456551239</c:v>
                </c:pt>
                <c:pt idx="300">
                  <c:v>0.15395418252830376</c:v>
                </c:pt>
                <c:pt idx="301">
                  <c:v>0.14288520187155801</c:v>
                </c:pt>
                <c:pt idx="302">
                  <c:v>0.13669579714675312</c:v>
                </c:pt>
                <c:pt idx="303">
                  <c:v>0.13003318262084479</c:v>
                </c:pt>
                <c:pt idx="304">
                  <c:v>0.11272186395085226</c:v>
                </c:pt>
                <c:pt idx="305">
                  <c:v>9.9081390682572684E-2</c:v>
                </c:pt>
                <c:pt idx="306">
                  <c:v>0.10813759695181083</c:v>
                </c:pt>
                <c:pt idx="307">
                  <c:v>9.9428016297074664E-2</c:v>
                </c:pt>
                <c:pt idx="308">
                  <c:v>9.632979473721702E-2</c:v>
                </c:pt>
                <c:pt idx="309">
                  <c:v>7.7163627781375796E-2</c:v>
                </c:pt>
                <c:pt idx="310">
                  <c:v>7.188321684990677E-2</c:v>
                </c:pt>
                <c:pt idx="311">
                  <c:v>5.7264415946255968E-2</c:v>
                </c:pt>
                <c:pt idx="312">
                  <c:v>6.1257469076050383E-2</c:v>
                </c:pt>
                <c:pt idx="313">
                  <c:v>5.5661763628346066E-2</c:v>
                </c:pt>
                <c:pt idx="314">
                  <c:v>5.8257341453304967E-2</c:v>
                </c:pt>
                <c:pt idx="315">
                  <c:v>6.3236914200268959E-2</c:v>
                </c:pt>
                <c:pt idx="316">
                  <c:v>5.9200308253839644E-2</c:v>
                </c:pt>
                <c:pt idx="317">
                  <c:v>7.3226204338179848E-2</c:v>
                </c:pt>
                <c:pt idx="318">
                  <c:v>4.8927815201968122E-2</c:v>
                </c:pt>
                <c:pt idx="319">
                  <c:v>4.363243850381722E-2</c:v>
                </c:pt>
                <c:pt idx="320">
                  <c:v>4.0599657062200124E-2</c:v>
                </c:pt>
                <c:pt idx="321">
                  <c:v>4.1914062350718678E-2</c:v>
                </c:pt>
                <c:pt idx="322">
                  <c:v>4.8107904058730999E-2</c:v>
                </c:pt>
                <c:pt idx="323">
                  <c:v>6.4813248560588857E-2</c:v>
                </c:pt>
                <c:pt idx="324">
                  <c:v>6.4319569251652942E-2</c:v>
                </c:pt>
                <c:pt idx="325">
                  <c:v>7.9354723095794583E-2</c:v>
                </c:pt>
                <c:pt idx="326">
                  <c:v>8.5601515511014095E-2</c:v>
                </c:pt>
                <c:pt idx="327">
                  <c:v>8.3987750259344157E-2</c:v>
                </c:pt>
                <c:pt idx="328">
                  <c:v>8.8371455623660763E-2</c:v>
                </c:pt>
                <c:pt idx="329">
                  <c:v>8.7202548479881237E-2</c:v>
                </c:pt>
                <c:pt idx="330">
                  <c:v>7.4525988322947267E-2</c:v>
                </c:pt>
                <c:pt idx="331">
                  <c:v>8.8977972730964139E-2</c:v>
                </c:pt>
                <c:pt idx="332">
                  <c:v>8.0603340629636783E-2</c:v>
                </c:pt>
                <c:pt idx="333">
                  <c:v>7.6257406035353373E-2</c:v>
                </c:pt>
                <c:pt idx="334">
                  <c:v>5.9284060716230325E-2</c:v>
                </c:pt>
                <c:pt idx="335">
                  <c:v>4.3276609823713952E-2</c:v>
                </c:pt>
                <c:pt idx="336">
                  <c:v>2.8188196303921925E-2</c:v>
                </c:pt>
                <c:pt idx="337">
                  <c:v>6.9894830378178802E-3</c:v>
                </c:pt>
                <c:pt idx="338">
                  <c:v>-2.6523272622145107E-2</c:v>
                </c:pt>
                <c:pt idx="339">
                  <c:v>-5.1402950999291694E-2</c:v>
                </c:pt>
                <c:pt idx="340">
                  <c:v>-6.4591455723008201E-2</c:v>
                </c:pt>
                <c:pt idx="341">
                  <c:v>-7.9561863559141605E-2</c:v>
                </c:pt>
                <c:pt idx="342">
                  <c:v>-9.2405218160883026E-2</c:v>
                </c:pt>
                <c:pt idx="343">
                  <c:v>-0.11498614440420933</c:v>
                </c:pt>
                <c:pt idx="344">
                  <c:v>-0.12761401755763324</c:v>
                </c:pt>
                <c:pt idx="345">
                  <c:v>-0.13274435808362281</c:v>
                </c:pt>
                <c:pt idx="346">
                  <c:v>-0.13480898902130486</c:v>
                </c:pt>
                <c:pt idx="347">
                  <c:v>-0.13682164196961247</c:v>
                </c:pt>
                <c:pt idx="348">
                  <c:v>-0.13296258381060425</c:v>
                </c:pt>
                <c:pt idx="349">
                  <c:v>-0.12326780553675248</c:v>
                </c:pt>
                <c:pt idx="350">
                  <c:v>-0.10680625411314142</c:v>
                </c:pt>
                <c:pt idx="351">
                  <c:v>-8.7407027938738807E-2</c:v>
                </c:pt>
                <c:pt idx="352">
                  <c:v>-6.9558215632671019E-2</c:v>
                </c:pt>
                <c:pt idx="353">
                  <c:v>-6.230119434832547E-2</c:v>
                </c:pt>
                <c:pt idx="354">
                  <c:v>-4.0417160631788233E-2</c:v>
                </c:pt>
                <c:pt idx="355">
                  <c:v>-2.3867243978121695E-2</c:v>
                </c:pt>
                <c:pt idx="356">
                  <c:v>-1.4261430116784848E-2</c:v>
                </c:pt>
                <c:pt idx="357">
                  <c:v>-1.8508500418504452E-3</c:v>
                </c:pt>
                <c:pt idx="358">
                  <c:v>-2.9387908483326898E-3</c:v>
                </c:pt>
                <c:pt idx="359">
                  <c:v>2.5015120486401362E-3</c:v>
                </c:pt>
                <c:pt idx="360">
                  <c:v>4.8238522741778592E-3</c:v>
                </c:pt>
                <c:pt idx="361">
                  <c:v>2.3546643676243561E-3</c:v>
                </c:pt>
                <c:pt idx="362">
                  <c:v>-2.8168527057346052E-3</c:v>
                </c:pt>
                <c:pt idx="363">
                  <c:v>-8.0005401655447866E-3</c:v>
                </c:pt>
                <c:pt idx="364">
                  <c:v>-1.0741190829414205E-2</c:v>
                </c:pt>
                <c:pt idx="365">
                  <c:v>-3.4265087053624637E-3</c:v>
                </c:pt>
                <c:pt idx="366">
                  <c:v>-6.5566796995009426E-3</c:v>
                </c:pt>
                <c:pt idx="367">
                  <c:v>4.27302210373869E-3</c:v>
                </c:pt>
                <c:pt idx="368">
                  <c:v>6.0297707580490613E-3</c:v>
                </c:pt>
                <c:pt idx="369">
                  <c:v>1.8931261646675926E-2</c:v>
                </c:pt>
                <c:pt idx="370">
                  <c:v>2.9207784141881223E-2</c:v>
                </c:pt>
                <c:pt idx="371">
                  <c:v>2.816506357249644E-2</c:v>
                </c:pt>
                <c:pt idx="372">
                  <c:v>4.1491338107563031E-2</c:v>
                </c:pt>
                <c:pt idx="373">
                  <c:v>3.8940379851362492E-2</c:v>
                </c:pt>
                <c:pt idx="374">
                  <c:v>5.053848769980724E-2</c:v>
                </c:pt>
                <c:pt idx="375">
                  <c:v>6.0795616063933328E-2</c:v>
                </c:pt>
                <c:pt idx="376">
                  <c:v>5.590838326617284E-2</c:v>
                </c:pt>
                <c:pt idx="377">
                  <c:v>7.164978389970085E-2</c:v>
                </c:pt>
                <c:pt idx="378">
                  <c:v>6.6718472468916531E-2</c:v>
                </c:pt>
                <c:pt idx="379">
                  <c:v>5.7633043798605003E-2</c:v>
                </c:pt>
                <c:pt idx="380">
                  <c:v>6.7996343846085286E-2</c:v>
                </c:pt>
                <c:pt idx="381">
                  <c:v>4.6596930114908307E-2</c:v>
                </c:pt>
                <c:pt idx="382">
                  <c:v>5.8593936361842756E-2</c:v>
                </c:pt>
                <c:pt idx="383">
                  <c:v>7.3831773295689976E-2</c:v>
                </c:pt>
                <c:pt idx="384">
                  <c:v>7.1475580627128055E-2</c:v>
                </c:pt>
                <c:pt idx="385">
                  <c:v>7.254548876578816E-2</c:v>
                </c:pt>
                <c:pt idx="386">
                  <c:v>8.3471926345537142E-2</c:v>
                </c:pt>
                <c:pt idx="387">
                  <c:v>8.2741805207124999E-2</c:v>
                </c:pt>
                <c:pt idx="388">
                  <c:v>8.0987875048789362E-2</c:v>
                </c:pt>
                <c:pt idx="389">
                  <c:v>5.4472575454380459E-2</c:v>
                </c:pt>
                <c:pt idx="390">
                  <c:v>7.1930333169796287E-2</c:v>
                </c:pt>
                <c:pt idx="391">
                  <c:v>3.6243913646031647E-2</c:v>
                </c:pt>
                <c:pt idx="392">
                  <c:v>8.337369370341445E-2</c:v>
                </c:pt>
                <c:pt idx="393">
                  <c:v>0.10267576966525804</c:v>
                </c:pt>
                <c:pt idx="394">
                  <c:v>8.304556854405036E-2</c:v>
                </c:pt>
                <c:pt idx="395">
                  <c:v>8.4970053709193819E-2</c:v>
                </c:pt>
                <c:pt idx="396">
                  <c:v>7.7582271381428786E-2</c:v>
                </c:pt>
                <c:pt idx="397">
                  <c:v>8.7158552230630001E-2</c:v>
                </c:pt>
                <c:pt idx="398">
                  <c:v>9.1507533743366454E-2</c:v>
                </c:pt>
                <c:pt idx="399">
                  <c:v>8.3266325819195838E-2</c:v>
                </c:pt>
                <c:pt idx="400">
                  <c:v>9.4418166379943977E-2</c:v>
                </c:pt>
                <c:pt idx="401">
                  <c:v>0.10886166345697947</c:v>
                </c:pt>
                <c:pt idx="402">
                  <c:v>0.10375340233352404</c:v>
                </c:pt>
                <c:pt idx="403">
                  <c:v>0.139181420385939</c:v>
                </c:pt>
                <c:pt idx="404">
                  <c:v>8.4535846784507374E-2</c:v>
                </c:pt>
                <c:pt idx="405">
                  <c:v>7.3841906205255589E-2</c:v>
                </c:pt>
                <c:pt idx="406">
                  <c:v>9.907193514792581E-2</c:v>
                </c:pt>
                <c:pt idx="407">
                  <c:v>6.0363308633412154E-2</c:v>
                </c:pt>
                <c:pt idx="408">
                  <c:v>6.4860552508074168E-2</c:v>
                </c:pt>
                <c:pt idx="409">
                  <c:v>7.5154078457590409E-2</c:v>
                </c:pt>
                <c:pt idx="410">
                  <c:v>6.8977436925805408E-2</c:v>
                </c:pt>
                <c:pt idx="411">
                  <c:v>6.9439930319793161E-2</c:v>
                </c:pt>
                <c:pt idx="412">
                  <c:v>6.0941916697884999E-2</c:v>
                </c:pt>
                <c:pt idx="413">
                  <c:v>5.3257430268810559E-2</c:v>
                </c:pt>
                <c:pt idx="414">
                  <c:v>4.6615440677540171E-2</c:v>
                </c:pt>
                <c:pt idx="415">
                  <c:v>6.1521011691880102E-2</c:v>
                </c:pt>
                <c:pt idx="416">
                  <c:v>5.5208456168947963E-2</c:v>
                </c:pt>
                <c:pt idx="417">
                  <c:v>5.8733358968230037E-2</c:v>
                </c:pt>
                <c:pt idx="418">
                  <c:v>5.2445988909729575E-2</c:v>
                </c:pt>
                <c:pt idx="419">
                  <c:v>7.6239461530288946E-2</c:v>
                </c:pt>
                <c:pt idx="420">
                  <c:v>6.7785943693758927E-2</c:v>
                </c:pt>
                <c:pt idx="421">
                  <c:v>5.550754099158875E-2</c:v>
                </c:pt>
                <c:pt idx="422">
                  <c:v>2.584918696574328E-2</c:v>
                </c:pt>
                <c:pt idx="423">
                  <c:v>2.7989107267338297E-2</c:v>
                </c:pt>
                <c:pt idx="424">
                  <c:v>2.1232287200640455E-2</c:v>
                </c:pt>
                <c:pt idx="425">
                  <c:v>1.5276403669945489E-3</c:v>
                </c:pt>
                <c:pt idx="426">
                  <c:v>-1.9452706900743594E-2</c:v>
                </c:pt>
                <c:pt idx="427">
                  <c:v>-0.11086326098913546</c:v>
                </c:pt>
                <c:pt idx="428">
                  <c:v>-0.13285197342070462</c:v>
                </c:pt>
                <c:pt idx="429">
                  <c:v>-0.12753338666692846</c:v>
                </c:pt>
                <c:pt idx="430">
                  <c:v>-0.12738671432154988</c:v>
                </c:pt>
                <c:pt idx="431">
                  <c:v>-0.17994131128248009</c:v>
                </c:pt>
                <c:pt idx="432">
                  <c:v>-0.18441505654187293</c:v>
                </c:pt>
                <c:pt idx="433">
                  <c:v>-0.20682881449104887</c:v>
                </c:pt>
                <c:pt idx="434">
                  <c:v>-0.20824343426828365</c:v>
                </c:pt>
                <c:pt idx="435">
                  <c:v>-0.23295248316908965</c:v>
                </c:pt>
                <c:pt idx="436">
                  <c:v>-0.23409499000043224</c:v>
                </c:pt>
                <c:pt idx="437">
                  <c:v>-0.21006344449882458</c:v>
                </c:pt>
                <c:pt idx="438">
                  <c:v>-0.186178777174412</c:v>
                </c:pt>
                <c:pt idx="439">
                  <c:v>-0.11023013621483076</c:v>
                </c:pt>
                <c:pt idx="440">
                  <c:v>-8.0772968016532401E-2</c:v>
                </c:pt>
                <c:pt idx="441">
                  <c:v>-9.4450963692351966E-2</c:v>
                </c:pt>
                <c:pt idx="442">
                  <c:v>-8.7330415559873795E-2</c:v>
                </c:pt>
                <c:pt idx="443">
                  <c:v>-1.9182744735189834E-2</c:v>
                </c:pt>
                <c:pt idx="444">
                  <c:v>-1.8528670492246737E-2</c:v>
                </c:pt>
                <c:pt idx="445">
                  <c:v>2.1288712257063989E-2</c:v>
                </c:pt>
                <c:pt idx="446">
                  <c:v>5.461478352901622E-2</c:v>
                </c:pt>
                <c:pt idx="447">
                  <c:v>0.10451480448313111</c:v>
                </c:pt>
                <c:pt idx="448">
                  <c:v>0.11999230497931961</c:v>
                </c:pt>
                <c:pt idx="449">
                  <c:v>0.11662472854250452</c:v>
                </c:pt>
                <c:pt idx="450">
                  <c:v>0.10561790990882546</c:v>
                </c:pt>
                <c:pt idx="451">
                  <c:v>0.10332170446050327</c:v>
                </c:pt>
                <c:pt idx="452">
                  <c:v>0.10219800398012915</c:v>
                </c:pt>
                <c:pt idx="453">
                  <c:v>0.10336439006996159</c:v>
                </c:pt>
                <c:pt idx="454">
                  <c:v>9.291670227441981E-2</c:v>
                </c:pt>
                <c:pt idx="455">
                  <c:v>8.550302621921145E-2</c:v>
                </c:pt>
                <c:pt idx="456">
                  <c:v>9.264410923031717E-2</c:v>
                </c:pt>
                <c:pt idx="457">
                  <c:v>6.8908161207274957E-2</c:v>
                </c:pt>
                <c:pt idx="458">
                  <c:v>4.9346748514591379E-2</c:v>
                </c:pt>
                <c:pt idx="459">
                  <c:v>3.918872385585348E-2</c:v>
                </c:pt>
                <c:pt idx="460">
                  <c:v>3.3853743218143911E-2</c:v>
                </c:pt>
                <c:pt idx="461">
                  <c:v>3.8575748463925606E-2</c:v>
                </c:pt>
                <c:pt idx="462">
                  <c:v>5.0449518729191109E-2</c:v>
                </c:pt>
                <c:pt idx="463">
                  <c:v>5.1684535519002331E-2</c:v>
                </c:pt>
                <c:pt idx="464">
                  <c:v>6.2059308220843566E-2</c:v>
                </c:pt>
                <c:pt idx="465">
                  <c:v>7.2395520152781376E-2</c:v>
                </c:pt>
                <c:pt idx="466">
                  <c:v>8.0399321283395359E-2</c:v>
                </c:pt>
                <c:pt idx="467">
                  <c:v>8.9267721135225672E-2</c:v>
                </c:pt>
                <c:pt idx="468">
                  <c:v>9.5221972156386336E-2</c:v>
                </c:pt>
                <c:pt idx="469">
                  <c:v>0.10830414263706299</c:v>
                </c:pt>
                <c:pt idx="470">
                  <c:v>0.126071582193273</c:v>
                </c:pt>
                <c:pt idx="471">
                  <c:v>0.12499736795151263</c:v>
                </c:pt>
                <c:pt idx="472">
                  <c:v>0.13872071772719721</c:v>
                </c:pt>
                <c:pt idx="473">
                  <c:v>0.11066839141616655</c:v>
                </c:pt>
                <c:pt idx="474">
                  <c:v>0.10541281630538044</c:v>
                </c:pt>
                <c:pt idx="475">
                  <c:v>9.629934263508623E-2</c:v>
                </c:pt>
                <c:pt idx="476">
                  <c:v>7.1653870449429113E-2</c:v>
                </c:pt>
                <c:pt idx="477">
                  <c:v>7.3760077617870665E-2</c:v>
                </c:pt>
                <c:pt idx="478">
                  <c:v>6.5569058534275512E-2</c:v>
                </c:pt>
                <c:pt idx="479">
                  <c:v>2.9207457309751019E-2</c:v>
                </c:pt>
                <c:pt idx="480">
                  <c:v>3.0835909559313805E-2</c:v>
                </c:pt>
                <c:pt idx="481">
                  <c:v>2.5978643053785052E-2</c:v>
                </c:pt>
                <c:pt idx="482">
                  <c:v>9.8412931492931933E-3</c:v>
                </c:pt>
                <c:pt idx="483">
                  <c:v>-2.4942642757719144E-3</c:v>
                </c:pt>
                <c:pt idx="484">
                  <c:v>-1.6132766070028545E-2</c:v>
                </c:pt>
                <c:pt idx="485">
                  <c:v>-2.242973370962149E-2</c:v>
                </c:pt>
                <c:pt idx="486">
                  <c:v>-1.4872564128105883E-2</c:v>
                </c:pt>
                <c:pt idx="487">
                  <c:v>-4.0872615151957125E-3</c:v>
                </c:pt>
                <c:pt idx="488">
                  <c:v>1.6674677632788969E-3</c:v>
                </c:pt>
                <c:pt idx="489">
                  <c:v>-1.2265745097809129E-2</c:v>
                </c:pt>
                <c:pt idx="490">
                  <c:v>-2.7762145210806749E-2</c:v>
                </c:pt>
                <c:pt idx="491">
                  <c:v>-7.7499527863937739E-3</c:v>
                </c:pt>
                <c:pt idx="492">
                  <c:v>-2.5119028717821667E-3</c:v>
                </c:pt>
                <c:pt idx="493">
                  <c:v>4.2479589884547144E-3</c:v>
                </c:pt>
                <c:pt idx="494">
                  <c:v>9.1971527242181578E-3</c:v>
                </c:pt>
                <c:pt idx="495">
                  <c:v>2.0303240084653701E-2</c:v>
                </c:pt>
                <c:pt idx="496">
                  <c:v>1.7054734119749893E-2</c:v>
                </c:pt>
                <c:pt idx="497">
                  <c:v>4.8465729853742527E-2</c:v>
                </c:pt>
                <c:pt idx="498">
                  <c:v>2.3950742363965997E-2</c:v>
                </c:pt>
                <c:pt idx="499">
                  <c:v>1.1367972588620701E-2</c:v>
                </c:pt>
                <c:pt idx="500">
                  <c:v>2.6455371248025286E-2</c:v>
                </c:pt>
                <c:pt idx="501">
                  <c:v>4.0732193402180629E-2</c:v>
                </c:pt>
                <c:pt idx="502">
                  <c:v>3.8290419161676581E-2</c:v>
                </c:pt>
                <c:pt idx="503">
                  <c:v>2.9978386145608965E-2</c:v>
                </c:pt>
                <c:pt idx="504">
                  <c:v>8.670841115802087E-3</c:v>
                </c:pt>
                <c:pt idx="505">
                  <c:v>-2.1179109758136336E-3</c:v>
                </c:pt>
                <c:pt idx="506">
                  <c:v>-7.7552435025740277E-3</c:v>
                </c:pt>
                <c:pt idx="507">
                  <c:v>-1.1496811710913065E-2</c:v>
                </c:pt>
                <c:pt idx="508">
                  <c:v>-1.266282968119843E-2</c:v>
                </c:pt>
                <c:pt idx="509">
                  <c:v>-2.7567277054781365E-2</c:v>
                </c:pt>
                <c:pt idx="510">
                  <c:v>-2.2302320560520585E-2</c:v>
                </c:pt>
                <c:pt idx="511">
                  <c:v>-2.7963861010168539E-2</c:v>
                </c:pt>
                <c:pt idx="512">
                  <c:v>-4.6314234210663059E-2</c:v>
                </c:pt>
                <c:pt idx="513">
                  <c:v>-7.0892111228754148E-2</c:v>
                </c:pt>
                <c:pt idx="514">
                  <c:v>-7.0879795303003645E-2</c:v>
                </c:pt>
                <c:pt idx="515">
                  <c:v>-6.4868949223447547E-2</c:v>
                </c:pt>
                <c:pt idx="516">
                  <c:v>-6.3003845689282231E-2</c:v>
                </c:pt>
                <c:pt idx="517">
                  <c:v>-6.9125761567794805E-2</c:v>
                </c:pt>
                <c:pt idx="518">
                  <c:v>-6.3820998616575572E-2</c:v>
                </c:pt>
                <c:pt idx="519">
                  <c:v>-6.782776090349539E-2</c:v>
                </c:pt>
                <c:pt idx="520">
                  <c:v>-6.2138438091937621E-2</c:v>
                </c:pt>
                <c:pt idx="521">
                  <c:v>-5.9250756980604738E-2</c:v>
                </c:pt>
                <c:pt idx="522">
                  <c:v>-5.8545681039271623E-2</c:v>
                </c:pt>
                <c:pt idx="523">
                  <c:v>-5.3220969061810286E-2</c:v>
                </c:pt>
                <c:pt idx="524">
                  <c:v>-4.0622484734418249E-2</c:v>
                </c:pt>
                <c:pt idx="525">
                  <c:v>-2.6938171214552144E-2</c:v>
                </c:pt>
                <c:pt idx="526">
                  <c:v>-5.7385172755543183E-3</c:v>
                </c:pt>
                <c:pt idx="527">
                  <c:v>-4.8543387980855852E-3</c:v>
                </c:pt>
                <c:pt idx="528">
                  <c:v>5.8736449033395329E-4</c:v>
                </c:pt>
                <c:pt idx="529">
                  <c:v>1.5025698548492483E-2</c:v>
                </c:pt>
                <c:pt idx="530">
                  <c:v>4.7721406090992798E-2</c:v>
                </c:pt>
                <c:pt idx="531">
                  <c:v>4.8966026510309346E-2</c:v>
                </c:pt>
                <c:pt idx="532">
                  <c:v>4.8198854522703755E-2</c:v>
                </c:pt>
                <c:pt idx="533">
                  <c:v>4.6562057740182801E-2</c:v>
                </c:pt>
                <c:pt idx="534">
                  <c:v>5.2891543201176318E-2</c:v>
                </c:pt>
                <c:pt idx="535">
                  <c:v>7.3831949501588084E-2</c:v>
                </c:pt>
                <c:pt idx="536">
                  <c:v>8.1532132497731891E-2</c:v>
                </c:pt>
                <c:pt idx="537">
                  <c:v>8.6887120924354883E-2</c:v>
                </c:pt>
                <c:pt idx="538">
                  <c:v>7.3982471784317369E-2</c:v>
                </c:pt>
                <c:pt idx="539">
                  <c:v>7.882386943711496E-2</c:v>
                </c:pt>
                <c:pt idx="540">
                  <c:v>8.4852917799579916E-2</c:v>
                </c:pt>
                <c:pt idx="541">
                  <c:v>7.8276924218807983E-2</c:v>
                </c:pt>
                <c:pt idx="542">
                  <c:v>5.759145020941335E-2</c:v>
                </c:pt>
                <c:pt idx="543">
                  <c:v>3.75597197340738E-2</c:v>
                </c:pt>
                <c:pt idx="544">
                  <c:v>5.1468607384247515E-2</c:v>
                </c:pt>
                <c:pt idx="545">
                  <c:v>4.7216074034868251E-2</c:v>
                </c:pt>
                <c:pt idx="546">
                  <c:v>4.61457467553225E-2</c:v>
                </c:pt>
                <c:pt idx="547">
                  <c:v>2.4994071521557474E-2</c:v>
                </c:pt>
                <c:pt idx="548">
                  <c:v>3.8562410447136892E-3</c:v>
                </c:pt>
                <c:pt idx="549">
                  <c:v>-1.4467358409829737E-2</c:v>
                </c:pt>
                <c:pt idx="550">
                  <c:v>-2.2091065335376837E-2</c:v>
                </c:pt>
                <c:pt idx="551">
                  <c:v>-4.0825530701061243E-2</c:v>
                </c:pt>
                <c:pt idx="552">
                  <c:v>-5.5617008520732938E-2</c:v>
                </c:pt>
                <c:pt idx="553">
                  <c:v>-6.0195661713459754E-2</c:v>
                </c:pt>
                <c:pt idx="554">
                  <c:v>-9.0330672079343866E-2</c:v>
                </c:pt>
                <c:pt idx="555">
                  <c:v>-7.6104276389761569E-2</c:v>
                </c:pt>
                <c:pt idx="556">
                  <c:v>-8.7601578780940381E-2</c:v>
                </c:pt>
                <c:pt idx="557">
                  <c:v>-9.6380156334056291E-2</c:v>
                </c:pt>
                <c:pt idx="558">
                  <c:v>-8.9957477772037733E-2</c:v>
                </c:pt>
                <c:pt idx="559">
                  <c:v>-0.10027724391896954</c:v>
                </c:pt>
                <c:pt idx="560">
                  <c:v>-9.8375212672934392E-2</c:v>
                </c:pt>
                <c:pt idx="561">
                  <c:v>-7.1478248569256234E-2</c:v>
                </c:pt>
                <c:pt idx="562">
                  <c:v>-6.6460599575977303E-2</c:v>
                </c:pt>
                <c:pt idx="563">
                  <c:v>-7.8694289273801385E-2</c:v>
                </c:pt>
                <c:pt idx="564">
                  <c:v>-7.2574805848577048E-2</c:v>
                </c:pt>
                <c:pt idx="565">
                  <c:v>-0.13180641387553715</c:v>
                </c:pt>
                <c:pt idx="566">
                  <c:v>-0.31958987987735077</c:v>
                </c:pt>
                <c:pt idx="567">
                  <c:v>-0.25570341708826189</c:v>
                </c:pt>
                <c:pt idx="568">
                  <c:v>-0.17123562945417756</c:v>
                </c:pt>
                <c:pt idx="569">
                  <c:v>-0.11431473974019048</c:v>
                </c:pt>
                <c:pt idx="570">
                  <c:v>-0.10082874087629536</c:v>
                </c:pt>
                <c:pt idx="571">
                  <c:v>-8.7913788044492971E-2</c:v>
                </c:pt>
                <c:pt idx="572">
                  <c:v>-7.6265871046871561E-2</c:v>
                </c:pt>
                <c:pt idx="573">
                  <c:v>-8.1628205413033991E-2</c:v>
                </c:pt>
                <c:pt idx="574">
                  <c:v>-6.9905846994999549E-2</c:v>
                </c:pt>
                <c:pt idx="575">
                  <c:v>-1.5303262616767411E-2</c:v>
                </c:pt>
                <c:pt idx="576">
                  <c:v>-3.6653067562144599E-2</c:v>
                </c:pt>
                <c:pt idx="577">
                  <c:v>5.9617601844734781E-2</c:v>
                </c:pt>
                <c:pt idx="578">
                  <c:v>0.36314402899773218</c:v>
                </c:pt>
                <c:pt idx="579">
                  <c:v>0.27600919581528671</c:v>
                </c:pt>
                <c:pt idx="580">
                  <c:v>0.13560536783581095</c:v>
                </c:pt>
                <c:pt idx="581">
                  <c:v>0.10830943228328185</c:v>
                </c:pt>
                <c:pt idx="582">
                  <c:v>8.1740323787140329E-2</c:v>
                </c:pt>
                <c:pt idx="583">
                  <c:v>7.8968917796520974E-2</c:v>
                </c:pt>
                <c:pt idx="584">
                  <c:v>8.0193050237941058E-2</c:v>
                </c:pt>
                <c:pt idx="585">
                  <c:v>7.6118648187549681E-2</c:v>
                </c:pt>
                <c:pt idx="586">
                  <c:v>7.5171378237017708E-2</c:v>
                </c:pt>
                <c:pt idx="587">
                  <c:v>3.4686990911013967E-2</c:v>
                </c:pt>
                <c:pt idx="588">
                  <c:v>8.1358590966412028E-2</c:v>
                </c:pt>
                <c:pt idx="589">
                  <c:v>6.5886942588880004E-2</c:v>
                </c:pt>
                <c:pt idx="590">
                  <c:v>9.0416754480760878E-2</c:v>
                </c:pt>
                <c:pt idx="591">
                  <c:v>6.7125041522118345E-2</c:v>
                </c:pt>
                <c:pt idx="592">
                  <c:v>7.3952968866636423E-2</c:v>
                </c:pt>
                <c:pt idx="593">
                  <c:v>5.2133402112142554E-2</c:v>
                </c:pt>
                <c:pt idx="594">
                  <c:v>5.7335436251167687E-2</c:v>
                </c:pt>
                <c:pt idx="595">
                  <c:v>6.7963375563108719E-2</c:v>
                </c:pt>
                <c:pt idx="596">
                  <c:v>6.4326308311626751E-2</c:v>
                </c:pt>
                <c:pt idx="597">
                  <c:v>4.5072771571343505E-2</c:v>
                </c:pt>
                <c:pt idx="598">
                  <c:v>1.5554395281362937E-2</c:v>
                </c:pt>
                <c:pt idx="599">
                  <c:v>3.6819718243528157E-2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684-4C5E-AA2C-C3E9C5AD1199}"/>
            </c:ext>
          </c:extLst>
        </c:ser>
        <c:dLbls>
          <c:showLegendKey val="0"/>
          <c:showVal val="0"/>
          <c:showCatName val="0"/>
          <c:showSerName val="0"/>
          <c:showPercent val="0"/>
          <c:showBubbleSize val="0"/>
        </c:dLbls>
        <c:gapWidth val="219"/>
        <c:overlap val="-27"/>
        <c:axId val="1219976847"/>
        <c:axId val="1219978495"/>
      </c:barChart>
      <c:dateAx>
        <c:axId val="12199768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8495"/>
        <c:crosses val="autoZero"/>
        <c:auto val="0"/>
        <c:lblOffset val="100"/>
        <c:baseTimeUnit val="months"/>
      </c:dateAx>
      <c:valAx>
        <c:axId val="1219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6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Equipment'!$Y$1</c:f>
          <c:strCache>
            <c:ptCount val="1"/>
            <c:pt idx="0">
              <c:v>Industrial Production: Business Equipment yoy since 2010</c:v>
            </c:pt>
          </c:strCache>
        </c:strRef>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2010</c:v>
                </c:pt>
              </c:strCache>
            </c:strRef>
          </c:tx>
          <c:spPr>
            <a:solidFill>
              <a:srgbClr val="00B050"/>
            </a:solidFill>
            <a:ln>
              <a:noFill/>
              <a:prstDash val="solid"/>
            </a:ln>
          </c:spPr>
          <c:invertIfNegative val="1"/>
          <c:cat>
            <c:numRef>
              <c:f>'Business Equipment'!$A$463:$A$622</c:f>
              <c:numCache>
                <c:formatCode>mmm\-yy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'Business Equipment'!$D$463:$D$622</c:f>
              <c:numCache>
                <c:formatCode>0.0%</c:formatCode>
                <c:ptCount val="160"/>
                <c:pt idx="0">
                  <c:v>-1.9182744735189834E-2</c:v>
                </c:pt>
                <c:pt idx="1">
                  <c:v>-1.8528670492246737E-2</c:v>
                </c:pt>
                <c:pt idx="2">
                  <c:v>2.1288712257063989E-2</c:v>
                </c:pt>
                <c:pt idx="3">
                  <c:v>5.461478352901622E-2</c:v>
                </c:pt>
                <c:pt idx="4">
                  <c:v>0.10451480448313111</c:v>
                </c:pt>
                <c:pt idx="5">
                  <c:v>0.11999230497931961</c:v>
                </c:pt>
                <c:pt idx="6">
                  <c:v>0.11662472854250452</c:v>
                </c:pt>
                <c:pt idx="7">
                  <c:v>0.10561790990882546</c:v>
                </c:pt>
                <c:pt idx="8">
                  <c:v>0.10332170446050327</c:v>
                </c:pt>
                <c:pt idx="9">
                  <c:v>0.10219800398012915</c:v>
                </c:pt>
                <c:pt idx="10">
                  <c:v>0.10336439006996159</c:v>
                </c:pt>
                <c:pt idx="11">
                  <c:v>9.291670227441981E-2</c:v>
                </c:pt>
                <c:pt idx="12">
                  <c:v>8.550302621921145E-2</c:v>
                </c:pt>
                <c:pt idx="13">
                  <c:v>9.264410923031717E-2</c:v>
                </c:pt>
                <c:pt idx="14">
                  <c:v>6.8908161207274957E-2</c:v>
                </c:pt>
                <c:pt idx="15">
                  <c:v>4.9346748514591379E-2</c:v>
                </c:pt>
                <c:pt idx="16">
                  <c:v>3.918872385585348E-2</c:v>
                </c:pt>
                <c:pt idx="17">
                  <c:v>3.3853743218143911E-2</c:v>
                </c:pt>
                <c:pt idx="18">
                  <c:v>3.8575748463925606E-2</c:v>
                </c:pt>
                <c:pt idx="19">
                  <c:v>5.0449518729191109E-2</c:v>
                </c:pt>
                <c:pt idx="20">
                  <c:v>5.1684535519002331E-2</c:v>
                </c:pt>
                <c:pt idx="21">
                  <c:v>6.2059308220843566E-2</c:v>
                </c:pt>
                <c:pt idx="22">
                  <c:v>7.2395520152781376E-2</c:v>
                </c:pt>
                <c:pt idx="23">
                  <c:v>8.0399321283395359E-2</c:v>
                </c:pt>
                <c:pt idx="24">
                  <c:v>8.9267721135225672E-2</c:v>
                </c:pt>
                <c:pt idx="25">
                  <c:v>9.5221972156386336E-2</c:v>
                </c:pt>
                <c:pt idx="26">
                  <c:v>0.10830414263706299</c:v>
                </c:pt>
                <c:pt idx="27">
                  <c:v>0.126071582193273</c:v>
                </c:pt>
                <c:pt idx="28">
                  <c:v>0.12499736795151263</c:v>
                </c:pt>
                <c:pt idx="29">
                  <c:v>0.13872071772719721</c:v>
                </c:pt>
                <c:pt idx="30">
                  <c:v>0.11066839141616655</c:v>
                </c:pt>
                <c:pt idx="31">
                  <c:v>0.10541281630538044</c:v>
                </c:pt>
                <c:pt idx="32">
                  <c:v>9.629934263508623E-2</c:v>
                </c:pt>
                <c:pt idx="33">
                  <c:v>7.1653870449429113E-2</c:v>
                </c:pt>
                <c:pt idx="34">
                  <c:v>7.3760077617870665E-2</c:v>
                </c:pt>
                <c:pt idx="35">
                  <c:v>6.5569058534275512E-2</c:v>
                </c:pt>
                <c:pt idx="36">
                  <c:v>2.9207457309751019E-2</c:v>
                </c:pt>
                <c:pt idx="37">
                  <c:v>3.0835909559313805E-2</c:v>
                </c:pt>
                <c:pt idx="38">
                  <c:v>2.5978643053785052E-2</c:v>
                </c:pt>
                <c:pt idx="39">
                  <c:v>9.8412931492931933E-3</c:v>
                </c:pt>
                <c:pt idx="40">
                  <c:v>-2.4942642757719144E-3</c:v>
                </c:pt>
                <c:pt idx="41">
                  <c:v>-1.6132766070028545E-2</c:v>
                </c:pt>
                <c:pt idx="42">
                  <c:v>-2.242973370962149E-2</c:v>
                </c:pt>
                <c:pt idx="43">
                  <c:v>-1.4872564128105883E-2</c:v>
                </c:pt>
                <c:pt idx="44">
                  <c:v>-4.0872615151957125E-3</c:v>
                </c:pt>
                <c:pt idx="45">
                  <c:v>1.6674677632788969E-3</c:v>
                </c:pt>
                <c:pt idx="46">
                  <c:v>-1.2265745097809129E-2</c:v>
                </c:pt>
                <c:pt idx="47">
                  <c:v>-2.7762145210806749E-2</c:v>
                </c:pt>
                <c:pt idx="48">
                  <c:v>-7.7499527863937739E-3</c:v>
                </c:pt>
                <c:pt idx="49">
                  <c:v>-2.5119028717821667E-3</c:v>
                </c:pt>
                <c:pt idx="50">
                  <c:v>4.2479589884547144E-3</c:v>
                </c:pt>
                <c:pt idx="51">
                  <c:v>9.1971527242181578E-3</c:v>
                </c:pt>
                <c:pt idx="52">
                  <c:v>2.0303240084653701E-2</c:v>
                </c:pt>
                <c:pt idx="53">
                  <c:v>1.7054734119749893E-2</c:v>
                </c:pt>
                <c:pt idx="54">
                  <c:v>4.8465729853742527E-2</c:v>
                </c:pt>
                <c:pt idx="55">
                  <c:v>2.3950742363965997E-2</c:v>
                </c:pt>
                <c:pt idx="56">
                  <c:v>1.1367972588620701E-2</c:v>
                </c:pt>
                <c:pt idx="57">
                  <c:v>2.6455371248025286E-2</c:v>
                </c:pt>
                <c:pt idx="58">
                  <c:v>4.0732193402180629E-2</c:v>
                </c:pt>
                <c:pt idx="59">
                  <c:v>3.8290419161676581E-2</c:v>
                </c:pt>
                <c:pt idx="60">
                  <c:v>2.9978386145608965E-2</c:v>
                </c:pt>
                <c:pt idx="61">
                  <c:v>8.670841115802087E-3</c:v>
                </c:pt>
                <c:pt idx="62">
                  <c:v>-2.1179109758136336E-3</c:v>
                </c:pt>
                <c:pt idx="63">
                  <c:v>-7.7552435025740277E-3</c:v>
                </c:pt>
                <c:pt idx="64">
                  <c:v>-1.1496811710913065E-2</c:v>
                </c:pt>
                <c:pt idx="65">
                  <c:v>-1.266282968119843E-2</c:v>
                </c:pt>
                <c:pt idx="66">
                  <c:v>-2.7567277054781365E-2</c:v>
                </c:pt>
                <c:pt idx="67">
                  <c:v>-2.2302320560520585E-2</c:v>
                </c:pt>
                <c:pt idx="68">
                  <c:v>-2.7963861010168539E-2</c:v>
                </c:pt>
                <c:pt idx="69">
                  <c:v>-4.6314234210663059E-2</c:v>
                </c:pt>
                <c:pt idx="70">
                  <c:v>-7.0892111228754148E-2</c:v>
                </c:pt>
                <c:pt idx="71">
                  <c:v>-7.0879795303003645E-2</c:v>
                </c:pt>
                <c:pt idx="72">
                  <c:v>-6.4868949223447547E-2</c:v>
                </c:pt>
                <c:pt idx="73">
                  <c:v>-6.3003845689282231E-2</c:v>
                </c:pt>
                <c:pt idx="74">
                  <c:v>-6.9125761567794805E-2</c:v>
                </c:pt>
                <c:pt idx="75">
                  <c:v>-6.3820998616575572E-2</c:v>
                </c:pt>
                <c:pt idx="76">
                  <c:v>-6.782776090349539E-2</c:v>
                </c:pt>
                <c:pt idx="77">
                  <c:v>-6.2138438091937621E-2</c:v>
                </c:pt>
                <c:pt idx="78">
                  <c:v>-5.9250756980604738E-2</c:v>
                </c:pt>
                <c:pt idx="79">
                  <c:v>-5.8545681039271623E-2</c:v>
                </c:pt>
                <c:pt idx="80">
                  <c:v>-5.3220969061810286E-2</c:v>
                </c:pt>
                <c:pt idx="81">
                  <c:v>-4.0622484734418249E-2</c:v>
                </c:pt>
                <c:pt idx="82">
                  <c:v>-2.6938171214552144E-2</c:v>
                </c:pt>
                <c:pt idx="83">
                  <c:v>-5.7385172755543183E-3</c:v>
                </c:pt>
                <c:pt idx="84">
                  <c:v>-4.8543387980855852E-3</c:v>
                </c:pt>
                <c:pt idx="85">
                  <c:v>5.8736449033395329E-4</c:v>
                </c:pt>
                <c:pt idx="86">
                  <c:v>1.5025698548492483E-2</c:v>
                </c:pt>
                <c:pt idx="87">
                  <c:v>4.7721406090992798E-2</c:v>
                </c:pt>
                <c:pt idx="88">
                  <c:v>4.8966026510309346E-2</c:v>
                </c:pt>
                <c:pt idx="89">
                  <c:v>4.8198854522703755E-2</c:v>
                </c:pt>
                <c:pt idx="90">
                  <c:v>4.6562057740182801E-2</c:v>
                </c:pt>
                <c:pt idx="91">
                  <c:v>5.2891543201176318E-2</c:v>
                </c:pt>
                <c:pt idx="92">
                  <c:v>7.3831949501588084E-2</c:v>
                </c:pt>
                <c:pt idx="93">
                  <c:v>8.1532132497731891E-2</c:v>
                </c:pt>
                <c:pt idx="94">
                  <c:v>8.6887120924354883E-2</c:v>
                </c:pt>
                <c:pt idx="95">
                  <c:v>7.3982471784317369E-2</c:v>
                </c:pt>
                <c:pt idx="96">
                  <c:v>7.882386943711496E-2</c:v>
                </c:pt>
                <c:pt idx="97">
                  <c:v>8.4852917799579916E-2</c:v>
                </c:pt>
                <c:pt idx="98">
                  <c:v>7.8276924218807983E-2</c:v>
                </c:pt>
                <c:pt idx="99">
                  <c:v>5.759145020941335E-2</c:v>
                </c:pt>
                <c:pt idx="100">
                  <c:v>3.75597197340738E-2</c:v>
                </c:pt>
                <c:pt idx="101">
                  <c:v>5.1468607384247515E-2</c:v>
                </c:pt>
                <c:pt idx="102">
                  <c:v>4.7216074034868251E-2</c:v>
                </c:pt>
                <c:pt idx="103">
                  <c:v>4.61457467553225E-2</c:v>
                </c:pt>
                <c:pt idx="104">
                  <c:v>2.4994071521557474E-2</c:v>
                </c:pt>
                <c:pt idx="105">
                  <c:v>3.8562410447136892E-3</c:v>
                </c:pt>
                <c:pt idx="106">
                  <c:v>-1.4467358409829737E-2</c:v>
                </c:pt>
                <c:pt idx="107">
                  <c:v>-2.2091065335376837E-2</c:v>
                </c:pt>
                <c:pt idx="108">
                  <c:v>-4.0825530701061243E-2</c:v>
                </c:pt>
                <c:pt idx="109">
                  <c:v>-5.5617008520732938E-2</c:v>
                </c:pt>
                <c:pt idx="110">
                  <c:v>-6.0195661713459754E-2</c:v>
                </c:pt>
                <c:pt idx="111">
                  <c:v>-9.0330672079343866E-2</c:v>
                </c:pt>
                <c:pt idx="112">
                  <c:v>-7.6104276389761569E-2</c:v>
                </c:pt>
                <c:pt idx="113">
                  <c:v>-8.7601578780940381E-2</c:v>
                </c:pt>
                <c:pt idx="114">
                  <c:v>-9.6380156334056291E-2</c:v>
                </c:pt>
                <c:pt idx="115">
                  <c:v>-8.9957477772037733E-2</c:v>
                </c:pt>
                <c:pt idx="116">
                  <c:v>-0.10027724391896954</c:v>
                </c:pt>
                <c:pt idx="117">
                  <c:v>-9.8375212672934392E-2</c:v>
                </c:pt>
                <c:pt idx="118">
                  <c:v>-7.1478248569256234E-2</c:v>
                </c:pt>
                <c:pt idx="119">
                  <c:v>-6.6460599575977303E-2</c:v>
                </c:pt>
                <c:pt idx="120">
                  <c:v>-7.8694289273801385E-2</c:v>
                </c:pt>
                <c:pt idx="121">
                  <c:v>-7.2574805848577048E-2</c:v>
                </c:pt>
                <c:pt idx="122">
                  <c:v>-0.13180641387553715</c:v>
                </c:pt>
                <c:pt idx="123">
                  <c:v>-0.31958987987735077</c:v>
                </c:pt>
                <c:pt idx="124">
                  <c:v>-0.25570341708826189</c:v>
                </c:pt>
                <c:pt idx="125">
                  <c:v>-0.17123562945417756</c:v>
                </c:pt>
                <c:pt idx="126">
                  <c:v>-0.11431473974019048</c:v>
                </c:pt>
                <c:pt idx="127">
                  <c:v>-0.10082874087629536</c:v>
                </c:pt>
                <c:pt idx="128">
                  <c:v>-8.7913788044492971E-2</c:v>
                </c:pt>
                <c:pt idx="129">
                  <c:v>-7.6265871046871561E-2</c:v>
                </c:pt>
                <c:pt idx="130">
                  <c:v>-8.1628205413033991E-2</c:v>
                </c:pt>
                <c:pt idx="131">
                  <c:v>-6.9905846994999549E-2</c:v>
                </c:pt>
                <c:pt idx="132">
                  <c:v>-1.5303262616767411E-2</c:v>
                </c:pt>
                <c:pt idx="133">
                  <c:v>-3.6653067562144599E-2</c:v>
                </c:pt>
                <c:pt idx="134">
                  <c:v>5.9617601844734781E-2</c:v>
                </c:pt>
                <c:pt idx="135">
                  <c:v>0.36314402899773218</c:v>
                </c:pt>
                <c:pt idx="136">
                  <c:v>0.27600919581528671</c:v>
                </c:pt>
                <c:pt idx="137">
                  <c:v>0.13560536783581095</c:v>
                </c:pt>
                <c:pt idx="138">
                  <c:v>0.10830943228328185</c:v>
                </c:pt>
                <c:pt idx="139">
                  <c:v>8.1740323787140329E-2</c:v>
                </c:pt>
                <c:pt idx="140">
                  <c:v>7.8968917796520974E-2</c:v>
                </c:pt>
                <c:pt idx="141">
                  <c:v>8.0193050237941058E-2</c:v>
                </c:pt>
                <c:pt idx="142">
                  <c:v>7.6118648187549681E-2</c:v>
                </c:pt>
                <c:pt idx="143">
                  <c:v>7.5171378237017708E-2</c:v>
                </c:pt>
                <c:pt idx="144">
                  <c:v>3.4686990911013967E-2</c:v>
                </c:pt>
                <c:pt idx="145">
                  <c:v>8.1358590966412028E-2</c:v>
                </c:pt>
                <c:pt idx="146">
                  <c:v>6.5886942588880004E-2</c:v>
                </c:pt>
                <c:pt idx="147">
                  <c:v>9.0416754480760878E-2</c:v>
                </c:pt>
                <c:pt idx="148">
                  <c:v>6.7125041522118345E-2</c:v>
                </c:pt>
                <c:pt idx="149">
                  <c:v>7.3952968866636423E-2</c:v>
                </c:pt>
                <c:pt idx="150">
                  <c:v>5.2133402112142554E-2</c:v>
                </c:pt>
                <c:pt idx="151">
                  <c:v>5.7335436251167687E-2</c:v>
                </c:pt>
                <c:pt idx="152">
                  <c:v>6.7963375563108719E-2</c:v>
                </c:pt>
                <c:pt idx="153">
                  <c:v>6.4326308311626751E-2</c:v>
                </c:pt>
                <c:pt idx="154">
                  <c:v>4.5072771571343505E-2</c:v>
                </c:pt>
                <c:pt idx="155">
                  <c:v>1.5554395281362937E-2</c:v>
                </c:pt>
                <c:pt idx="156">
                  <c:v>3.6819718243528157E-2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44B-409D-9C8E-789BFC921A4F}"/>
            </c:ext>
          </c:extLst>
        </c:ser>
        <c:dLbls>
          <c:showLegendKey val="0"/>
          <c:showVal val="0"/>
          <c:showCatName val="0"/>
          <c:showSerName val="0"/>
          <c:showPercent val="0"/>
          <c:showBubbleSize val="0"/>
        </c:dLbls>
        <c:gapWidth val="219"/>
        <c:overlap val="-27"/>
        <c:axId val="789928800"/>
        <c:axId val="790009440"/>
      </c:barChart>
      <c:dateAx>
        <c:axId val="78992880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09440"/>
        <c:crosses val="autoZero"/>
        <c:auto val="0"/>
        <c:lblOffset val="100"/>
        <c:baseTimeUnit val="months"/>
      </c:dateAx>
      <c:valAx>
        <c:axId val="7900094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992880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Construction!$U$1</c:f>
          <c:strCache>
            <c:ptCount val="1"/>
            <c:pt idx="0">
              <c:v>Industrial Production: Construction supplies</c:v>
            </c:pt>
          </c:strCache>
        </c:strRef>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supplies</c:v>
                </c:pt>
              </c:strCache>
            </c:strRef>
          </c:tx>
          <c:spPr>
            <a:ln w="28575" cap="rnd">
              <a:solidFill>
                <a:schemeClr val="accent1"/>
              </a:solidFill>
              <a:prstDash val="solid"/>
              <a:round/>
            </a:ln>
          </c:spPr>
          <c:marker>
            <c:symbol val="none"/>
          </c:marker>
          <c:cat>
            <c:numRef>
              <c:f>Construction!$A$20:$A$626</c:f>
              <c:numCache>
                <c:formatCode>mmm\-yy</c:formatCode>
                <c:ptCount val="60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Construction!$B$20:$B$626</c:f>
              <c:numCache>
                <c:formatCode>0.0</c:formatCode>
                <c:ptCount val="607"/>
                <c:pt idx="0">
                  <c:v>72.088300000000004</c:v>
                </c:pt>
                <c:pt idx="1">
                  <c:v>72.508700000000005</c:v>
                </c:pt>
                <c:pt idx="2">
                  <c:v>72.387200000000007</c:v>
                </c:pt>
                <c:pt idx="3">
                  <c:v>72.709199999999996</c:v>
                </c:pt>
                <c:pt idx="4">
                  <c:v>72.888000000000005</c:v>
                </c:pt>
                <c:pt idx="5">
                  <c:v>73.473600000000005</c:v>
                </c:pt>
                <c:pt idx="6">
                  <c:v>73.5398</c:v>
                </c:pt>
                <c:pt idx="7">
                  <c:v>73.428700000000006</c:v>
                </c:pt>
                <c:pt idx="8">
                  <c:v>73.403999999999996</c:v>
                </c:pt>
                <c:pt idx="9">
                  <c:v>73.910300000000007</c:v>
                </c:pt>
                <c:pt idx="10">
                  <c:v>74.466999999999999</c:v>
                </c:pt>
                <c:pt idx="11">
                  <c:v>74.625</c:v>
                </c:pt>
                <c:pt idx="12">
                  <c:v>73.718199999999996</c:v>
                </c:pt>
                <c:pt idx="13">
                  <c:v>73.888199999999998</c:v>
                </c:pt>
                <c:pt idx="14">
                  <c:v>73.2333</c:v>
                </c:pt>
                <c:pt idx="15">
                  <c:v>73.554299999999998</c:v>
                </c:pt>
                <c:pt idx="16">
                  <c:v>73.125100000000003</c:v>
                </c:pt>
                <c:pt idx="17">
                  <c:v>71.787300000000002</c:v>
                </c:pt>
                <c:pt idx="18">
                  <c:v>70.847399999999993</c:v>
                </c:pt>
                <c:pt idx="19">
                  <c:v>70.371300000000005</c:v>
                </c:pt>
                <c:pt idx="20">
                  <c:v>69.118799999999993</c:v>
                </c:pt>
                <c:pt idx="21">
                  <c:v>66.942099999999996</c:v>
                </c:pt>
                <c:pt idx="22">
                  <c:v>63.830500000000001</c:v>
                </c:pt>
                <c:pt idx="23">
                  <c:v>63.444000000000003</c:v>
                </c:pt>
                <c:pt idx="24">
                  <c:v>61.563899999999997</c:v>
                </c:pt>
                <c:pt idx="25">
                  <c:v>59.207799999999999</c:v>
                </c:pt>
                <c:pt idx="26">
                  <c:v>58.7667</c:v>
                </c:pt>
                <c:pt idx="27">
                  <c:v>58.735599999999998</c:v>
                </c:pt>
                <c:pt idx="28">
                  <c:v>58.452100000000002</c:v>
                </c:pt>
                <c:pt idx="29">
                  <c:v>59.186599999999999</c:v>
                </c:pt>
                <c:pt idx="30">
                  <c:v>59.916499999999999</c:v>
                </c:pt>
                <c:pt idx="31">
                  <c:v>60.567399999999999</c:v>
                </c:pt>
                <c:pt idx="32">
                  <c:v>60.906500000000001</c:v>
                </c:pt>
                <c:pt idx="33">
                  <c:v>61.1569</c:v>
                </c:pt>
                <c:pt idx="34">
                  <c:v>61.234499999999997</c:v>
                </c:pt>
                <c:pt idx="35">
                  <c:v>62.6477</c:v>
                </c:pt>
                <c:pt idx="36">
                  <c:v>63.766100000000002</c:v>
                </c:pt>
                <c:pt idx="37">
                  <c:v>62.821399999999997</c:v>
                </c:pt>
                <c:pt idx="38">
                  <c:v>63.640900000000002</c:v>
                </c:pt>
                <c:pt idx="39">
                  <c:v>64.331900000000005</c:v>
                </c:pt>
                <c:pt idx="40">
                  <c:v>64.845699999999994</c:v>
                </c:pt>
                <c:pt idx="41">
                  <c:v>66.203999999999994</c:v>
                </c:pt>
                <c:pt idx="42">
                  <c:v>65.555099999999996</c:v>
                </c:pt>
                <c:pt idx="43">
                  <c:v>65.971900000000005</c:v>
                </c:pt>
                <c:pt idx="44">
                  <c:v>65.941400000000002</c:v>
                </c:pt>
                <c:pt idx="45">
                  <c:v>66.218500000000006</c:v>
                </c:pt>
                <c:pt idx="46">
                  <c:v>66.6845</c:v>
                </c:pt>
                <c:pt idx="47">
                  <c:v>65.534099999999995</c:v>
                </c:pt>
                <c:pt idx="48">
                  <c:v>67.066500000000005</c:v>
                </c:pt>
                <c:pt idx="49">
                  <c:v>68.452299999999994</c:v>
                </c:pt>
                <c:pt idx="50">
                  <c:v>70.068600000000004</c:v>
                </c:pt>
                <c:pt idx="51">
                  <c:v>71.106200000000001</c:v>
                </c:pt>
                <c:pt idx="52">
                  <c:v>71.641599999999997</c:v>
                </c:pt>
                <c:pt idx="53">
                  <c:v>71.6815</c:v>
                </c:pt>
                <c:pt idx="54">
                  <c:v>72.269900000000007</c:v>
                </c:pt>
                <c:pt idx="55">
                  <c:v>71.954700000000003</c:v>
                </c:pt>
                <c:pt idx="56">
                  <c:v>71.928600000000003</c:v>
                </c:pt>
                <c:pt idx="57">
                  <c:v>72.263300000000001</c:v>
                </c:pt>
                <c:pt idx="58">
                  <c:v>72.997299999999996</c:v>
                </c:pt>
                <c:pt idx="59">
                  <c:v>71.593699999999998</c:v>
                </c:pt>
                <c:pt idx="60">
                  <c:v>71.366</c:v>
                </c:pt>
                <c:pt idx="61">
                  <c:v>72.692400000000006</c:v>
                </c:pt>
                <c:pt idx="62">
                  <c:v>74.316999999999993</c:v>
                </c:pt>
                <c:pt idx="63">
                  <c:v>74.287199999999999</c:v>
                </c:pt>
                <c:pt idx="64">
                  <c:v>74.912999999999997</c:v>
                </c:pt>
                <c:pt idx="65">
                  <c:v>74.765500000000003</c:v>
                </c:pt>
                <c:pt idx="66">
                  <c:v>74.903400000000005</c:v>
                </c:pt>
                <c:pt idx="67">
                  <c:v>75.191100000000006</c:v>
                </c:pt>
                <c:pt idx="68">
                  <c:v>75.919899999999998</c:v>
                </c:pt>
                <c:pt idx="69">
                  <c:v>76.426599999999993</c:v>
                </c:pt>
                <c:pt idx="70">
                  <c:v>77.658600000000007</c:v>
                </c:pt>
                <c:pt idx="71">
                  <c:v>75.808599999999998</c:v>
                </c:pt>
                <c:pt idx="72">
                  <c:v>76.250600000000006</c:v>
                </c:pt>
                <c:pt idx="73">
                  <c:v>77.22</c:v>
                </c:pt>
                <c:pt idx="74">
                  <c:v>75.941199999999995</c:v>
                </c:pt>
                <c:pt idx="75">
                  <c:v>76.488699999999994</c:v>
                </c:pt>
                <c:pt idx="76">
                  <c:v>76.791300000000007</c:v>
                </c:pt>
                <c:pt idx="77">
                  <c:v>76.8429</c:v>
                </c:pt>
                <c:pt idx="78">
                  <c:v>76.093100000000007</c:v>
                </c:pt>
                <c:pt idx="79">
                  <c:v>76.1554</c:v>
                </c:pt>
                <c:pt idx="80">
                  <c:v>76.816400000000002</c:v>
                </c:pt>
                <c:pt idx="81">
                  <c:v>76.658199999999994</c:v>
                </c:pt>
                <c:pt idx="82">
                  <c:v>76.903099999999995</c:v>
                </c:pt>
                <c:pt idx="83">
                  <c:v>76.713999999999999</c:v>
                </c:pt>
                <c:pt idx="84">
                  <c:v>75.557299999999998</c:v>
                </c:pt>
                <c:pt idx="85">
                  <c:v>74.575999999999993</c:v>
                </c:pt>
                <c:pt idx="86">
                  <c:v>71.169399999999996</c:v>
                </c:pt>
                <c:pt idx="87">
                  <c:v>68.251800000000003</c:v>
                </c:pt>
                <c:pt idx="88">
                  <c:v>66.935000000000002</c:v>
                </c:pt>
                <c:pt idx="89">
                  <c:v>66.327799999999996</c:v>
                </c:pt>
                <c:pt idx="90">
                  <c:v>67.293199999999999</c:v>
                </c:pt>
                <c:pt idx="91">
                  <c:v>68.9876</c:v>
                </c:pt>
                <c:pt idx="92">
                  <c:v>70.4298</c:v>
                </c:pt>
                <c:pt idx="93">
                  <c:v>71.842500000000001</c:v>
                </c:pt>
                <c:pt idx="94">
                  <c:v>71.8733</c:v>
                </c:pt>
                <c:pt idx="95">
                  <c:v>71.6096</c:v>
                </c:pt>
                <c:pt idx="96">
                  <c:v>71.013999999999996</c:v>
                </c:pt>
                <c:pt idx="97">
                  <c:v>71.263999999999996</c:v>
                </c:pt>
                <c:pt idx="98">
                  <c:v>71.272900000000007</c:v>
                </c:pt>
                <c:pt idx="99">
                  <c:v>71.253600000000006</c:v>
                </c:pt>
                <c:pt idx="100">
                  <c:v>70.159599999999998</c:v>
                </c:pt>
                <c:pt idx="101">
                  <c:v>70.362499999999997</c:v>
                </c:pt>
                <c:pt idx="102">
                  <c:v>70.135000000000005</c:v>
                </c:pt>
                <c:pt idx="103">
                  <c:v>69.756600000000006</c:v>
                </c:pt>
                <c:pt idx="104">
                  <c:v>67.570599999999999</c:v>
                </c:pt>
                <c:pt idx="105">
                  <c:v>66.510300000000001</c:v>
                </c:pt>
                <c:pt idx="106">
                  <c:v>65.265900000000002</c:v>
                </c:pt>
                <c:pt idx="107">
                  <c:v>63.032800000000002</c:v>
                </c:pt>
                <c:pt idx="108">
                  <c:v>65.308899999999994</c:v>
                </c:pt>
                <c:pt idx="109">
                  <c:v>63.933100000000003</c:v>
                </c:pt>
                <c:pt idx="110">
                  <c:v>63.440399999999997</c:v>
                </c:pt>
                <c:pt idx="111">
                  <c:v>63.784199999999998</c:v>
                </c:pt>
                <c:pt idx="112">
                  <c:v>63.290100000000002</c:v>
                </c:pt>
                <c:pt idx="113">
                  <c:v>63.144399999999997</c:v>
                </c:pt>
                <c:pt idx="114">
                  <c:v>63.1556</c:v>
                </c:pt>
                <c:pt idx="115">
                  <c:v>63.348799999999997</c:v>
                </c:pt>
                <c:pt idx="116">
                  <c:v>62.433100000000003</c:v>
                </c:pt>
                <c:pt idx="117">
                  <c:v>62.065600000000003</c:v>
                </c:pt>
                <c:pt idx="118">
                  <c:v>61.616199999999999</c:v>
                </c:pt>
                <c:pt idx="119">
                  <c:v>63.8125</c:v>
                </c:pt>
                <c:pt idx="120">
                  <c:v>63.498100000000001</c:v>
                </c:pt>
                <c:pt idx="121">
                  <c:v>64.2196</c:v>
                </c:pt>
                <c:pt idx="122">
                  <c:v>65.092200000000005</c:v>
                </c:pt>
                <c:pt idx="123">
                  <c:v>66.320599999999999</c:v>
                </c:pt>
                <c:pt idx="124">
                  <c:v>67.479500000000002</c:v>
                </c:pt>
                <c:pt idx="125">
                  <c:v>68.888400000000004</c:v>
                </c:pt>
                <c:pt idx="126">
                  <c:v>69.1858</c:v>
                </c:pt>
                <c:pt idx="127">
                  <c:v>70.041600000000003</c:v>
                </c:pt>
                <c:pt idx="128">
                  <c:v>71.167400000000001</c:v>
                </c:pt>
                <c:pt idx="129">
                  <c:v>70.991600000000005</c:v>
                </c:pt>
                <c:pt idx="130">
                  <c:v>71.186800000000005</c:v>
                </c:pt>
                <c:pt idx="131">
                  <c:v>71.633399999999995</c:v>
                </c:pt>
                <c:pt idx="132">
                  <c:v>73.218800000000002</c:v>
                </c:pt>
                <c:pt idx="133">
                  <c:v>72.754800000000003</c:v>
                </c:pt>
                <c:pt idx="134">
                  <c:v>73.250799999999998</c:v>
                </c:pt>
                <c:pt idx="135">
                  <c:v>73.447100000000006</c:v>
                </c:pt>
                <c:pt idx="136">
                  <c:v>73.956800000000001</c:v>
                </c:pt>
                <c:pt idx="137">
                  <c:v>73.710999999999999</c:v>
                </c:pt>
                <c:pt idx="138">
                  <c:v>73.963200000000001</c:v>
                </c:pt>
                <c:pt idx="139">
                  <c:v>74.156899999999993</c:v>
                </c:pt>
                <c:pt idx="140">
                  <c:v>73.977500000000006</c:v>
                </c:pt>
                <c:pt idx="141">
                  <c:v>73.837400000000002</c:v>
                </c:pt>
                <c:pt idx="142">
                  <c:v>74.507400000000004</c:v>
                </c:pt>
                <c:pt idx="143">
                  <c:v>73.253799999999998</c:v>
                </c:pt>
                <c:pt idx="144">
                  <c:v>73.349299999999999</c:v>
                </c:pt>
                <c:pt idx="145">
                  <c:v>75.337599999999995</c:v>
                </c:pt>
                <c:pt idx="146">
                  <c:v>75.2714</c:v>
                </c:pt>
                <c:pt idx="147">
                  <c:v>75.58</c:v>
                </c:pt>
                <c:pt idx="148">
                  <c:v>75.971199999999996</c:v>
                </c:pt>
                <c:pt idx="149">
                  <c:v>75.695899999999995</c:v>
                </c:pt>
                <c:pt idx="150">
                  <c:v>75.761099999999999</c:v>
                </c:pt>
                <c:pt idx="151">
                  <c:v>75.738</c:v>
                </c:pt>
                <c:pt idx="152">
                  <c:v>75.858500000000006</c:v>
                </c:pt>
                <c:pt idx="153">
                  <c:v>75.807500000000005</c:v>
                </c:pt>
                <c:pt idx="154">
                  <c:v>75.561099999999996</c:v>
                </c:pt>
                <c:pt idx="155">
                  <c:v>77.175899999999999</c:v>
                </c:pt>
                <c:pt idx="156">
                  <c:v>76.445999999999998</c:v>
                </c:pt>
                <c:pt idx="157">
                  <c:v>76.6143</c:v>
                </c:pt>
                <c:pt idx="158">
                  <c:v>77.347499999999997</c:v>
                </c:pt>
                <c:pt idx="159">
                  <c:v>77.795199999999994</c:v>
                </c:pt>
                <c:pt idx="160">
                  <c:v>77.025599999999997</c:v>
                </c:pt>
                <c:pt idx="161">
                  <c:v>77.440299999999993</c:v>
                </c:pt>
                <c:pt idx="162">
                  <c:v>78.2196</c:v>
                </c:pt>
                <c:pt idx="163">
                  <c:v>78.313100000000006</c:v>
                </c:pt>
                <c:pt idx="164">
                  <c:v>78.304699999999997</c:v>
                </c:pt>
                <c:pt idx="165">
                  <c:v>78.485100000000003</c:v>
                </c:pt>
                <c:pt idx="166">
                  <c:v>79.035600000000002</c:v>
                </c:pt>
                <c:pt idx="167">
                  <c:v>79.822299999999998</c:v>
                </c:pt>
                <c:pt idx="168">
                  <c:v>81.433999999999997</c:v>
                </c:pt>
                <c:pt idx="169">
                  <c:v>81.038200000000003</c:v>
                </c:pt>
                <c:pt idx="170">
                  <c:v>81.435199999999995</c:v>
                </c:pt>
                <c:pt idx="171">
                  <c:v>82.0976</c:v>
                </c:pt>
                <c:pt idx="172">
                  <c:v>82.302499999999995</c:v>
                </c:pt>
                <c:pt idx="173">
                  <c:v>82.653899999999993</c:v>
                </c:pt>
                <c:pt idx="174">
                  <c:v>83.257099999999994</c:v>
                </c:pt>
                <c:pt idx="175">
                  <c:v>83.738299999999995</c:v>
                </c:pt>
                <c:pt idx="176">
                  <c:v>84.737799999999993</c:v>
                </c:pt>
                <c:pt idx="177">
                  <c:v>84.743899999999996</c:v>
                </c:pt>
                <c:pt idx="178">
                  <c:v>85.526600000000002</c:v>
                </c:pt>
                <c:pt idx="179">
                  <c:v>83.990499999999997</c:v>
                </c:pt>
                <c:pt idx="180">
                  <c:v>84.837000000000003</c:v>
                </c:pt>
                <c:pt idx="181">
                  <c:v>85.145499999999998</c:v>
                </c:pt>
                <c:pt idx="182">
                  <c:v>84.850399999999993</c:v>
                </c:pt>
                <c:pt idx="183">
                  <c:v>84.985699999999994</c:v>
                </c:pt>
                <c:pt idx="184">
                  <c:v>84.331400000000002</c:v>
                </c:pt>
                <c:pt idx="185">
                  <c:v>84.355000000000004</c:v>
                </c:pt>
                <c:pt idx="186">
                  <c:v>83.85</c:v>
                </c:pt>
                <c:pt idx="187">
                  <c:v>84.158699999999996</c:v>
                </c:pt>
                <c:pt idx="188">
                  <c:v>84.482100000000003</c:v>
                </c:pt>
                <c:pt idx="189">
                  <c:v>84.869299999999996</c:v>
                </c:pt>
                <c:pt idx="190">
                  <c:v>84.808999999999997</c:v>
                </c:pt>
                <c:pt idx="191">
                  <c:v>86.419700000000006</c:v>
                </c:pt>
                <c:pt idx="192">
                  <c:v>84.261099999999999</c:v>
                </c:pt>
                <c:pt idx="193">
                  <c:v>84.495599999999996</c:v>
                </c:pt>
                <c:pt idx="194">
                  <c:v>84.472499999999997</c:v>
                </c:pt>
                <c:pt idx="195">
                  <c:v>83.797499999999999</c:v>
                </c:pt>
                <c:pt idx="196">
                  <c:v>83.996700000000004</c:v>
                </c:pt>
                <c:pt idx="197">
                  <c:v>83.95</c:v>
                </c:pt>
                <c:pt idx="198">
                  <c:v>83.9298</c:v>
                </c:pt>
                <c:pt idx="199">
                  <c:v>83.7226</c:v>
                </c:pt>
                <c:pt idx="200">
                  <c:v>84.125200000000007</c:v>
                </c:pt>
                <c:pt idx="201">
                  <c:v>84.113</c:v>
                </c:pt>
                <c:pt idx="202">
                  <c:v>83.054699999999997</c:v>
                </c:pt>
                <c:pt idx="203">
                  <c:v>84.912599999999998</c:v>
                </c:pt>
                <c:pt idx="204">
                  <c:v>85.238299999999995</c:v>
                </c:pt>
                <c:pt idx="205">
                  <c:v>85.069400000000002</c:v>
                </c:pt>
                <c:pt idx="206">
                  <c:v>84.250699999999995</c:v>
                </c:pt>
                <c:pt idx="207">
                  <c:v>83.7791</c:v>
                </c:pt>
                <c:pt idx="208">
                  <c:v>84.1447</c:v>
                </c:pt>
                <c:pt idx="209">
                  <c:v>83.4054</c:v>
                </c:pt>
                <c:pt idx="210">
                  <c:v>83.349599999999995</c:v>
                </c:pt>
                <c:pt idx="211">
                  <c:v>82.962299999999999</c:v>
                </c:pt>
                <c:pt idx="212">
                  <c:v>82.163300000000007</c:v>
                </c:pt>
                <c:pt idx="213">
                  <c:v>82.128799999999998</c:v>
                </c:pt>
                <c:pt idx="214">
                  <c:v>81.574100000000001</c:v>
                </c:pt>
                <c:pt idx="215">
                  <c:v>78.604399999999998</c:v>
                </c:pt>
                <c:pt idx="216">
                  <c:v>78.297899999999998</c:v>
                </c:pt>
                <c:pt idx="217">
                  <c:v>77.349800000000002</c:v>
                </c:pt>
                <c:pt idx="218">
                  <c:v>77.977500000000006</c:v>
                </c:pt>
                <c:pt idx="219">
                  <c:v>78.090599999999995</c:v>
                </c:pt>
                <c:pt idx="220">
                  <c:v>79.400499999999994</c:v>
                </c:pt>
                <c:pt idx="221">
                  <c:v>79.208299999999994</c:v>
                </c:pt>
                <c:pt idx="222">
                  <c:v>79.968599999999995</c:v>
                </c:pt>
                <c:pt idx="223">
                  <c:v>80.314800000000005</c:v>
                </c:pt>
                <c:pt idx="224">
                  <c:v>79.454300000000003</c:v>
                </c:pt>
                <c:pt idx="225">
                  <c:v>80.191199999999995</c:v>
                </c:pt>
                <c:pt idx="226">
                  <c:v>80.169899999999998</c:v>
                </c:pt>
                <c:pt idx="227">
                  <c:v>80.289500000000004</c:v>
                </c:pt>
                <c:pt idx="228">
                  <c:v>80.940700000000007</c:v>
                </c:pt>
                <c:pt idx="229">
                  <c:v>81.520600000000002</c:v>
                </c:pt>
                <c:pt idx="230">
                  <c:v>82.058800000000005</c:v>
                </c:pt>
                <c:pt idx="231">
                  <c:v>82.902100000000004</c:v>
                </c:pt>
                <c:pt idx="232">
                  <c:v>82.550399999999996</c:v>
                </c:pt>
                <c:pt idx="233">
                  <c:v>83.091700000000003</c:v>
                </c:pt>
                <c:pt idx="234">
                  <c:v>83.275000000000006</c:v>
                </c:pt>
                <c:pt idx="235">
                  <c:v>83.241600000000005</c:v>
                </c:pt>
                <c:pt idx="236">
                  <c:v>83.191100000000006</c:v>
                </c:pt>
                <c:pt idx="237">
                  <c:v>82.931600000000003</c:v>
                </c:pt>
                <c:pt idx="238">
                  <c:v>83.31</c:v>
                </c:pt>
                <c:pt idx="239">
                  <c:v>83.549499999999995</c:v>
                </c:pt>
                <c:pt idx="240">
                  <c:v>85.068200000000004</c:v>
                </c:pt>
                <c:pt idx="241">
                  <c:v>84.352000000000004</c:v>
                </c:pt>
                <c:pt idx="242">
                  <c:v>84.628399999999999</c:v>
                </c:pt>
                <c:pt idx="243">
                  <c:v>85.572599999999994</c:v>
                </c:pt>
                <c:pt idx="244">
                  <c:v>85.547600000000003</c:v>
                </c:pt>
                <c:pt idx="245">
                  <c:v>85.972499999999997</c:v>
                </c:pt>
                <c:pt idx="246">
                  <c:v>86.279300000000006</c:v>
                </c:pt>
                <c:pt idx="247">
                  <c:v>86.733000000000004</c:v>
                </c:pt>
                <c:pt idx="248">
                  <c:v>87.521000000000001</c:v>
                </c:pt>
                <c:pt idx="249">
                  <c:v>88.247299999999996</c:v>
                </c:pt>
                <c:pt idx="250">
                  <c:v>89.416300000000007</c:v>
                </c:pt>
                <c:pt idx="251">
                  <c:v>89.018299999999996</c:v>
                </c:pt>
                <c:pt idx="252">
                  <c:v>88.431600000000003</c:v>
                </c:pt>
                <c:pt idx="253">
                  <c:v>90.031700000000001</c:v>
                </c:pt>
                <c:pt idx="254">
                  <c:v>91.473399999999998</c:v>
                </c:pt>
                <c:pt idx="255">
                  <c:v>92.194199999999995</c:v>
                </c:pt>
                <c:pt idx="256">
                  <c:v>92.275599999999997</c:v>
                </c:pt>
                <c:pt idx="257">
                  <c:v>93.206000000000003</c:v>
                </c:pt>
                <c:pt idx="258">
                  <c:v>93.1601</c:v>
                </c:pt>
                <c:pt idx="259">
                  <c:v>93.999799999999993</c:v>
                </c:pt>
                <c:pt idx="260">
                  <c:v>94.403700000000001</c:v>
                </c:pt>
                <c:pt idx="261">
                  <c:v>94.6233</c:v>
                </c:pt>
                <c:pt idx="262">
                  <c:v>95.292299999999997</c:v>
                </c:pt>
                <c:pt idx="263">
                  <c:v>95.633600000000001</c:v>
                </c:pt>
                <c:pt idx="264">
                  <c:v>94.3279</c:v>
                </c:pt>
                <c:pt idx="265">
                  <c:v>94.342299999999994</c:v>
                </c:pt>
                <c:pt idx="266">
                  <c:v>93.606499999999997</c:v>
                </c:pt>
                <c:pt idx="267">
                  <c:v>93.188699999999997</c:v>
                </c:pt>
                <c:pt idx="268">
                  <c:v>93.351500000000001</c:v>
                </c:pt>
                <c:pt idx="269">
                  <c:v>93.084699999999998</c:v>
                </c:pt>
                <c:pt idx="270">
                  <c:v>93.952799999999996</c:v>
                </c:pt>
                <c:pt idx="271">
                  <c:v>95.452100000000002</c:v>
                </c:pt>
                <c:pt idx="272">
                  <c:v>95.398200000000003</c:v>
                </c:pt>
                <c:pt idx="273">
                  <c:v>95.446600000000004</c:v>
                </c:pt>
                <c:pt idx="274">
                  <c:v>95.798000000000002</c:v>
                </c:pt>
                <c:pt idx="275">
                  <c:v>94.536199999999994</c:v>
                </c:pt>
                <c:pt idx="276">
                  <c:v>95.484499999999997</c:v>
                </c:pt>
                <c:pt idx="277">
                  <c:v>96.651300000000006</c:v>
                </c:pt>
                <c:pt idx="278">
                  <c:v>97.227800000000002</c:v>
                </c:pt>
                <c:pt idx="279">
                  <c:v>98.231200000000001</c:v>
                </c:pt>
                <c:pt idx="280">
                  <c:v>99.761600000000001</c:v>
                </c:pt>
                <c:pt idx="281">
                  <c:v>99.384600000000006</c:v>
                </c:pt>
                <c:pt idx="282">
                  <c:v>100.1738</c:v>
                </c:pt>
                <c:pt idx="283">
                  <c:v>100.5264</c:v>
                </c:pt>
                <c:pt idx="284">
                  <c:v>100.67189999999999</c:v>
                </c:pt>
                <c:pt idx="285">
                  <c:v>101.4128</c:v>
                </c:pt>
                <c:pt idx="286">
                  <c:v>100.9579</c:v>
                </c:pt>
                <c:pt idx="287">
                  <c:v>100.02079999999999</c:v>
                </c:pt>
                <c:pt idx="288">
                  <c:v>102.01519999999999</c:v>
                </c:pt>
                <c:pt idx="289">
                  <c:v>102.8965</c:v>
                </c:pt>
                <c:pt idx="290">
                  <c:v>102.6622</c:v>
                </c:pt>
                <c:pt idx="291">
                  <c:v>103.1818</c:v>
                </c:pt>
                <c:pt idx="292">
                  <c:v>103.0868</c:v>
                </c:pt>
                <c:pt idx="293">
                  <c:v>103.137</c:v>
                </c:pt>
                <c:pt idx="294">
                  <c:v>103.88930000000001</c:v>
                </c:pt>
                <c:pt idx="295">
                  <c:v>104.35550000000001</c:v>
                </c:pt>
                <c:pt idx="296">
                  <c:v>104.95350000000001</c:v>
                </c:pt>
                <c:pt idx="297">
                  <c:v>105.27670000000001</c:v>
                </c:pt>
                <c:pt idx="298">
                  <c:v>106.7137</c:v>
                </c:pt>
                <c:pt idx="299">
                  <c:v>107.3002</c:v>
                </c:pt>
                <c:pt idx="300">
                  <c:v>107.97369999999999</c:v>
                </c:pt>
                <c:pt idx="301">
                  <c:v>107.2033</c:v>
                </c:pt>
                <c:pt idx="302">
                  <c:v>107.6558</c:v>
                </c:pt>
                <c:pt idx="303">
                  <c:v>108.9911</c:v>
                </c:pt>
                <c:pt idx="304">
                  <c:v>108.54770000000001</c:v>
                </c:pt>
                <c:pt idx="305">
                  <c:v>109.2122</c:v>
                </c:pt>
                <c:pt idx="306">
                  <c:v>109.5201</c:v>
                </c:pt>
                <c:pt idx="307">
                  <c:v>109.2503</c:v>
                </c:pt>
                <c:pt idx="308">
                  <c:v>110.1781</c:v>
                </c:pt>
                <c:pt idx="309">
                  <c:v>110.3879</c:v>
                </c:pt>
                <c:pt idx="310">
                  <c:v>111.81959999999999</c:v>
                </c:pt>
                <c:pt idx="311">
                  <c:v>111.0729</c:v>
                </c:pt>
                <c:pt idx="312">
                  <c:v>111.2581</c:v>
                </c:pt>
                <c:pt idx="313">
                  <c:v>110.1279</c:v>
                </c:pt>
                <c:pt idx="314">
                  <c:v>110.47410000000001</c:v>
                </c:pt>
                <c:pt idx="315">
                  <c:v>110.72069999999999</c:v>
                </c:pt>
                <c:pt idx="316">
                  <c:v>110.8252</c:v>
                </c:pt>
                <c:pt idx="317">
                  <c:v>111.57080000000001</c:v>
                </c:pt>
                <c:pt idx="318">
                  <c:v>111.559</c:v>
                </c:pt>
                <c:pt idx="319">
                  <c:v>111.6039</c:v>
                </c:pt>
                <c:pt idx="320">
                  <c:v>112.98390000000001</c:v>
                </c:pt>
                <c:pt idx="321">
                  <c:v>113.6375</c:v>
                </c:pt>
                <c:pt idx="322">
                  <c:v>114.7782</c:v>
                </c:pt>
                <c:pt idx="323">
                  <c:v>115.1358</c:v>
                </c:pt>
                <c:pt idx="324">
                  <c:v>115.4297</c:v>
                </c:pt>
                <c:pt idx="325">
                  <c:v>115.54510000000001</c:v>
                </c:pt>
                <c:pt idx="326">
                  <c:v>115.9894</c:v>
                </c:pt>
                <c:pt idx="327">
                  <c:v>114.3001</c:v>
                </c:pt>
                <c:pt idx="328">
                  <c:v>113.7782</c:v>
                </c:pt>
                <c:pt idx="329">
                  <c:v>114.325</c:v>
                </c:pt>
                <c:pt idx="330">
                  <c:v>113.47280000000001</c:v>
                </c:pt>
                <c:pt idx="331">
                  <c:v>113.62649999999999</c:v>
                </c:pt>
                <c:pt idx="332">
                  <c:v>113.23</c:v>
                </c:pt>
                <c:pt idx="333">
                  <c:v>112.93219999999999</c:v>
                </c:pt>
                <c:pt idx="334">
                  <c:v>111.17959999999999</c:v>
                </c:pt>
                <c:pt idx="335">
                  <c:v>111.9186</c:v>
                </c:pt>
                <c:pt idx="336">
                  <c:v>110.5078</c:v>
                </c:pt>
                <c:pt idx="337">
                  <c:v>110.62260000000001</c:v>
                </c:pt>
                <c:pt idx="338">
                  <c:v>110.4067</c:v>
                </c:pt>
                <c:pt idx="339">
                  <c:v>109.71040000000001</c:v>
                </c:pt>
                <c:pt idx="340">
                  <c:v>108.95820000000001</c:v>
                </c:pt>
                <c:pt idx="341">
                  <c:v>109.0355</c:v>
                </c:pt>
                <c:pt idx="342">
                  <c:v>107.7281</c:v>
                </c:pt>
                <c:pt idx="343">
                  <c:v>107.52889999999999</c:v>
                </c:pt>
                <c:pt idx="344">
                  <c:v>106.48860000000001</c:v>
                </c:pt>
                <c:pt idx="345">
                  <c:v>106.137</c:v>
                </c:pt>
                <c:pt idx="346">
                  <c:v>106.90179999999999</c:v>
                </c:pt>
                <c:pt idx="347">
                  <c:v>106.76519999999999</c:v>
                </c:pt>
                <c:pt idx="348">
                  <c:v>107.04300000000001</c:v>
                </c:pt>
                <c:pt idx="349">
                  <c:v>108.6831</c:v>
                </c:pt>
                <c:pt idx="350">
                  <c:v>108.6516</c:v>
                </c:pt>
                <c:pt idx="351">
                  <c:v>109.14570000000001</c:v>
                </c:pt>
                <c:pt idx="352">
                  <c:v>109.8729</c:v>
                </c:pt>
                <c:pt idx="353">
                  <c:v>108.61190000000001</c:v>
                </c:pt>
                <c:pt idx="354">
                  <c:v>108.9087</c:v>
                </c:pt>
                <c:pt idx="355">
                  <c:v>109.85169999999999</c:v>
                </c:pt>
                <c:pt idx="356">
                  <c:v>109.4211</c:v>
                </c:pt>
                <c:pt idx="357">
                  <c:v>109.4365</c:v>
                </c:pt>
                <c:pt idx="358">
                  <c:v>108.6027</c:v>
                </c:pt>
                <c:pt idx="359">
                  <c:v>109.02970000000001</c:v>
                </c:pt>
                <c:pt idx="360">
                  <c:v>108.16330000000001</c:v>
                </c:pt>
                <c:pt idx="361">
                  <c:v>107.6896</c:v>
                </c:pt>
                <c:pt idx="362">
                  <c:v>106.57850000000001</c:v>
                </c:pt>
                <c:pt idx="363">
                  <c:v>107.952</c:v>
                </c:pt>
                <c:pt idx="364">
                  <c:v>108.39230000000001</c:v>
                </c:pt>
                <c:pt idx="365">
                  <c:v>107.8937</c:v>
                </c:pt>
                <c:pt idx="366">
                  <c:v>108.56</c:v>
                </c:pt>
                <c:pt idx="367">
                  <c:v>108.2989</c:v>
                </c:pt>
                <c:pt idx="368">
                  <c:v>108.8664</c:v>
                </c:pt>
                <c:pt idx="369">
                  <c:v>110.1212</c:v>
                </c:pt>
                <c:pt idx="370">
                  <c:v>110.1865</c:v>
                </c:pt>
                <c:pt idx="371">
                  <c:v>109.9603</c:v>
                </c:pt>
                <c:pt idx="372">
                  <c:v>109.96040000000001</c:v>
                </c:pt>
                <c:pt idx="373">
                  <c:v>110.06950000000001</c:v>
                </c:pt>
                <c:pt idx="374">
                  <c:v>109.8387</c:v>
                </c:pt>
                <c:pt idx="375">
                  <c:v>111.05889999999999</c:v>
                </c:pt>
                <c:pt idx="376">
                  <c:v>110.346</c:v>
                </c:pt>
                <c:pt idx="377">
                  <c:v>111.58540000000001</c:v>
                </c:pt>
                <c:pt idx="378">
                  <c:v>111.8463</c:v>
                </c:pt>
                <c:pt idx="379">
                  <c:v>110.923</c:v>
                </c:pt>
                <c:pt idx="380">
                  <c:v>112.6966</c:v>
                </c:pt>
                <c:pt idx="381">
                  <c:v>112.3314</c:v>
                </c:pt>
                <c:pt idx="382">
                  <c:v>112.3801</c:v>
                </c:pt>
                <c:pt idx="383">
                  <c:v>113.5749</c:v>
                </c:pt>
                <c:pt idx="384">
                  <c:v>114.5326</c:v>
                </c:pt>
                <c:pt idx="385">
                  <c:v>113.3353</c:v>
                </c:pt>
                <c:pt idx="386">
                  <c:v>115.4324</c:v>
                </c:pt>
                <c:pt idx="387">
                  <c:v>115.5461</c:v>
                </c:pt>
                <c:pt idx="388">
                  <c:v>114.5201</c:v>
                </c:pt>
                <c:pt idx="389">
                  <c:v>115.41630000000001</c:v>
                </c:pt>
                <c:pt idx="390">
                  <c:v>115.85899999999999</c:v>
                </c:pt>
                <c:pt idx="391">
                  <c:v>117.5813</c:v>
                </c:pt>
                <c:pt idx="392">
                  <c:v>120.03789999999999</c:v>
                </c:pt>
                <c:pt idx="393">
                  <c:v>120.8832</c:v>
                </c:pt>
                <c:pt idx="394">
                  <c:v>120.76479999999999</c:v>
                </c:pt>
                <c:pt idx="395">
                  <c:v>122.3293</c:v>
                </c:pt>
                <c:pt idx="396">
                  <c:v>121.1469</c:v>
                </c:pt>
                <c:pt idx="397">
                  <c:v>120.9145</c:v>
                </c:pt>
                <c:pt idx="398">
                  <c:v>120.2957</c:v>
                </c:pt>
                <c:pt idx="399">
                  <c:v>119.4182</c:v>
                </c:pt>
                <c:pt idx="400">
                  <c:v>118.9088</c:v>
                </c:pt>
                <c:pt idx="401">
                  <c:v>119.2728</c:v>
                </c:pt>
                <c:pt idx="402">
                  <c:v>118.3672</c:v>
                </c:pt>
                <c:pt idx="403">
                  <c:v>118.2364</c:v>
                </c:pt>
                <c:pt idx="404">
                  <c:v>116.9911</c:v>
                </c:pt>
                <c:pt idx="405">
                  <c:v>116.72110000000001</c:v>
                </c:pt>
                <c:pt idx="406">
                  <c:v>119.8078</c:v>
                </c:pt>
                <c:pt idx="407">
                  <c:v>117.91119999999999</c:v>
                </c:pt>
                <c:pt idx="408">
                  <c:v>118.083</c:v>
                </c:pt>
                <c:pt idx="409">
                  <c:v>119.4777</c:v>
                </c:pt>
                <c:pt idx="410">
                  <c:v>118.9952</c:v>
                </c:pt>
                <c:pt idx="411">
                  <c:v>118.6664</c:v>
                </c:pt>
                <c:pt idx="412">
                  <c:v>119.29649999999999</c:v>
                </c:pt>
                <c:pt idx="413">
                  <c:v>118.8425</c:v>
                </c:pt>
                <c:pt idx="414">
                  <c:v>118.2568</c:v>
                </c:pt>
                <c:pt idx="415">
                  <c:v>118.41889999999999</c:v>
                </c:pt>
                <c:pt idx="416">
                  <c:v>117.6798</c:v>
                </c:pt>
                <c:pt idx="417">
                  <c:v>117.65300000000001</c:v>
                </c:pt>
                <c:pt idx="418">
                  <c:v>117.75449999999999</c:v>
                </c:pt>
                <c:pt idx="419">
                  <c:v>117.79179999999999</c:v>
                </c:pt>
                <c:pt idx="420">
                  <c:v>115.3884</c:v>
                </c:pt>
                <c:pt idx="421">
                  <c:v>113.8871</c:v>
                </c:pt>
                <c:pt idx="422">
                  <c:v>111.764</c:v>
                </c:pt>
                <c:pt idx="423">
                  <c:v>110.6193</c:v>
                </c:pt>
                <c:pt idx="424">
                  <c:v>109.43340000000001</c:v>
                </c:pt>
                <c:pt idx="425">
                  <c:v>109.16840000000001</c:v>
                </c:pt>
                <c:pt idx="426">
                  <c:v>106.91630000000001</c:v>
                </c:pt>
                <c:pt idx="427">
                  <c:v>104.12909999999999</c:v>
                </c:pt>
                <c:pt idx="428">
                  <c:v>102.4148</c:v>
                </c:pt>
                <c:pt idx="429">
                  <c:v>97.335999999999999</c:v>
                </c:pt>
                <c:pt idx="430">
                  <c:v>91.8626</c:v>
                </c:pt>
                <c:pt idx="431">
                  <c:v>87.807500000000005</c:v>
                </c:pt>
                <c:pt idx="432">
                  <c:v>86.311000000000007</c:v>
                </c:pt>
                <c:pt idx="433">
                  <c:v>83.435400000000001</c:v>
                </c:pt>
                <c:pt idx="434">
                  <c:v>81.883899999999997</c:v>
                </c:pt>
                <c:pt idx="435">
                  <c:v>81.555499999999995</c:v>
                </c:pt>
                <c:pt idx="436">
                  <c:v>81.588300000000004</c:v>
                </c:pt>
                <c:pt idx="437">
                  <c:v>81.906999999999996</c:v>
                </c:pt>
                <c:pt idx="438">
                  <c:v>82.510400000000004</c:v>
                </c:pt>
                <c:pt idx="439">
                  <c:v>82.250299999999996</c:v>
                </c:pt>
                <c:pt idx="440">
                  <c:v>80.840500000000006</c:v>
                </c:pt>
                <c:pt idx="441">
                  <c:v>82.480999999999995</c:v>
                </c:pt>
                <c:pt idx="442">
                  <c:v>80.649199999999993</c:v>
                </c:pt>
                <c:pt idx="443">
                  <c:v>82.170400000000001</c:v>
                </c:pt>
                <c:pt idx="444">
                  <c:v>82.273899999999998</c:v>
                </c:pt>
                <c:pt idx="445">
                  <c:v>83.715800000000002</c:v>
                </c:pt>
                <c:pt idx="446">
                  <c:v>86.223500000000001</c:v>
                </c:pt>
                <c:pt idx="447">
                  <c:v>86.477400000000003</c:v>
                </c:pt>
                <c:pt idx="448">
                  <c:v>86.444500000000005</c:v>
                </c:pt>
                <c:pt idx="449">
                  <c:v>85.976500000000001</c:v>
                </c:pt>
                <c:pt idx="450">
                  <c:v>86.521500000000003</c:v>
                </c:pt>
                <c:pt idx="451">
                  <c:v>86.567300000000003</c:v>
                </c:pt>
                <c:pt idx="452">
                  <c:v>86.703000000000003</c:v>
                </c:pt>
                <c:pt idx="453">
                  <c:v>87.399100000000004</c:v>
                </c:pt>
                <c:pt idx="454">
                  <c:v>86.274799999999999</c:v>
                </c:pt>
                <c:pt idx="455">
                  <c:v>85.867999999999995</c:v>
                </c:pt>
                <c:pt idx="456">
                  <c:v>85.498400000000004</c:v>
                </c:pt>
                <c:pt idx="457">
                  <c:v>86.262100000000004</c:v>
                </c:pt>
                <c:pt idx="458">
                  <c:v>86.292199999999994</c:v>
                </c:pt>
                <c:pt idx="459">
                  <c:v>87.358400000000003</c:v>
                </c:pt>
                <c:pt idx="460">
                  <c:v>87.635499999999993</c:v>
                </c:pt>
                <c:pt idx="461">
                  <c:v>88.484399999999994</c:v>
                </c:pt>
                <c:pt idx="462">
                  <c:v>88.276899999999998</c:v>
                </c:pt>
                <c:pt idx="463">
                  <c:v>88.514700000000005</c:v>
                </c:pt>
                <c:pt idx="464">
                  <c:v>88.716999999999999</c:v>
                </c:pt>
                <c:pt idx="465">
                  <c:v>88.842500000000001</c:v>
                </c:pt>
                <c:pt idx="466">
                  <c:v>89.421199999999999</c:v>
                </c:pt>
                <c:pt idx="467">
                  <c:v>90.6922</c:v>
                </c:pt>
                <c:pt idx="468">
                  <c:v>91.4876</c:v>
                </c:pt>
                <c:pt idx="469">
                  <c:v>91.222300000000004</c:v>
                </c:pt>
                <c:pt idx="470">
                  <c:v>92.562899999999999</c:v>
                </c:pt>
                <c:pt idx="471">
                  <c:v>91.588499999999996</c:v>
                </c:pt>
                <c:pt idx="472">
                  <c:v>90.915199999999999</c:v>
                </c:pt>
                <c:pt idx="473">
                  <c:v>90.505899999999997</c:v>
                </c:pt>
                <c:pt idx="474">
                  <c:v>90.999700000000004</c:v>
                </c:pt>
                <c:pt idx="475">
                  <c:v>90.795199999999994</c:v>
                </c:pt>
                <c:pt idx="476">
                  <c:v>90.539000000000001</c:v>
                </c:pt>
                <c:pt idx="477">
                  <c:v>91.832800000000006</c:v>
                </c:pt>
                <c:pt idx="478">
                  <c:v>92.2316</c:v>
                </c:pt>
                <c:pt idx="479">
                  <c:v>92.697500000000005</c:v>
                </c:pt>
                <c:pt idx="480">
                  <c:v>94.058999999999997</c:v>
                </c:pt>
                <c:pt idx="481">
                  <c:v>93.721000000000004</c:v>
                </c:pt>
                <c:pt idx="482">
                  <c:v>93.254099999999994</c:v>
                </c:pt>
                <c:pt idx="483">
                  <c:v>93.218500000000006</c:v>
                </c:pt>
                <c:pt idx="484">
                  <c:v>93.969499999999996</c:v>
                </c:pt>
                <c:pt idx="485">
                  <c:v>93.929500000000004</c:v>
                </c:pt>
                <c:pt idx="486">
                  <c:v>94.358900000000006</c:v>
                </c:pt>
                <c:pt idx="487">
                  <c:v>95.401499999999999</c:v>
                </c:pt>
                <c:pt idx="488">
                  <c:v>95.251000000000005</c:v>
                </c:pt>
                <c:pt idx="489">
                  <c:v>95.988200000000006</c:v>
                </c:pt>
                <c:pt idx="490">
                  <c:v>94.430499999999995</c:v>
                </c:pt>
                <c:pt idx="491">
                  <c:v>94.070499999999996</c:v>
                </c:pt>
                <c:pt idx="492">
                  <c:v>94.643799999999999</c:v>
                </c:pt>
                <c:pt idx="493">
                  <c:v>95.926100000000005</c:v>
                </c:pt>
                <c:pt idx="494">
                  <c:v>95.328100000000006</c:v>
                </c:pt>
                <c:pt idx="495">
                  <c:v>96.851900000000001</c:v>
                </c:pt>
                <c:pt idx="496">
                  <c:v>97.6036</c:v>
                </c:pt>
                <c:pt idx="497">
                  <c:v>98.484399999999994</c:v>
                </c:pt>
                <c:pt idx="498">
                  <c:v>98.383399999999995</c:v>
                </c:pt>
                <c:pt idx="499">
                  <c:v>98.815200000000004</c:v>
                </c:pt>
                <c:pt idx="500">
                  <c:v>98.216800000000006</c:v>
                </c:pt>
                <c:pt idx="501">
                  <c:v>98.091300000000004</c:v>
                </c:pt>
                <c:pt idx="502">
                  <c:v>98.928299999999993</c:v>
                </c:pt>
                <c:pt idx="503">
                  <c:v>97.926299999999998</c:v>
                </c:pt>
                <c:pt idx="504">
                  <c:v>96.764700000000005</c:v>
                </c:pt>
                <c:pt idx="505">
                  <c:v>96.224800000000002</c:v>
                </c:pt>
                <c:pt idx="506">
                  <c:v>96.926500000000004</c:v>
                </c:pt>
                <c:pt idx="507">
                  <c:v>97.444199999999995</c:v>
                </c:pt>
                <c:pt idx="508">
                  <c:v>97.809299999999993</c:v>
                </c:pt>
                <c:pt idx="509">
                  <c:v>97.742099999999994</c:v>
                </c:pt>
                <c:pt idx="510">
                  <c:v>98.337900000000005</c:v>
                </c:pt>
                <c:pt idx="511">
                  <c:v>97.584599999999995</c:v>
                </c:pt>
                <c:pt idx="512">
                  <c:v>98.560299999999998</c:v>
                </c:pt>
                <c:pt idx="513">
                  <c:v>98.670199999999994</c:v>
                </c:pt>
                <c:pt idx="514">
                  <c:v>99.069699999999997</c:v>
                </c:pt>
                <c:pt idx="515">
                  <c:v>99.033799999999999</c:v>
                </c:pt>
                <c:pt idx="516">
                  <c:v>98.959900000000005</c:v>
                </c:pt>
                <c:pt idx="517">
                  <c:v>98.780100000000004</c:v>
                </c:pt>
                <c:pt idx="518">
                  <c:v>99.149299999999997</c:v>
                </c:pt>
                <c:pt idx="519">
                  <c:v>98.514499999999998</c:v>
                </c:pt>
                <c:pt idx="520">
                  <c:v>98.195599999999999</c:v>
                </c:pt>
                <c:pt idx="521">
                  <c:v>99.049000000000007</c:v>
                </c:pt>
                <c:pt idx="522">
                  <c:v>98.245500000000007</c:v>
                </c:pt>
                <c:pt idx="523">
                  <c:v>98.598399999999998</c:v>
                </c:pt>
                <c:pt idx="524">
                  <c:v>99.0608</c:v>
                </c:pt>
                <c:pt idx="525">
                  <c:v>99.630899999999997</c:v>
                </c:pt>
                <c:pt idx="526">
                  <c:v>97.929500000000004</c:v>
                </c:pt>
                <c:pt idx="527">
                  <c:v>99.684200000000004</c:v>
                </c:pt>
                <c:pt idx="528">
                  <c:v>99.953999999999994</c:v>
                </c:pt>
                <c:pt idx="529">
                  <c:v>99.224100000000007</c:v>
                </c:pt>
                <c:pt idx="530">
                  <c:v>99.938900000000004</c:v>
                </c:pt>
                <c:pt idx="531">
                  <c:v>99.773099999999999</c:v>
                </c:pt>
                <c:pt idx="532">
                  <c:v>99.795000000000002</c:v>
                </c:pt>
                <c:pt idx="533">
                  <c:v>99.654899999999998</c:v>
                </c:pt>
                <c:pt idx="534">
                  <c:v>98.850300000000004</c:v>
                </c:pt>
                <c:pt idx="535">
                  <c:v>100.5587</c:v>
                </c:pt>
                <c:pt idx="536">
                  <c:v>100.9723</c:v>
                </c:pt>
                <c:pt idx="537">
                  <c:v>100.974</c:v>
                </c:pt>
                <c:pt idx="538">
                  <c:v>100.6206</c:v>
                </c:pt>
                <c:pt idx="539">
                  <c:v>98.775199999999998</c:v>
                </c:pt>
                <c:pt idx="540">
                  <c:v>101.6777</c:v>
                </c:pt>
                <c:pt idx="541">
                  <c:v>100.9468</c:v>
                </c:pt>
                <c:pt idx="542">
                  <c:v>101.8806</c:v>
                </c:pt>
                <c:pt idx="543">
                  <c:v>102.54219999999999</c:v>
                </c:pt>
                <c:pt idx="544">
                  <c:v>102.3398</c:v>
                </c:pt>
                <c:pt idx="545">
                  <c:v>102.2436</c:v>
                </c:pt>
                <c:pt idx="546">
                  <c:v>102.49639999999999</c:v>
                </c:pt>
                <c:pt idx="547">
                  <c:v>101.8092</c:v>
                </c:pt>
                <c:pt idx="548">
                  <c:v>101.792</c:v>
                </c:pt>
                <c:pt idx="549">
                  <c:v>101.3634</c:v>
                </c:pt>
                <c:pt idx="550">
                  <c:v>102.2179</c:v>
                </c:pt>
                <c:pt idx="551">
                  <c:v>101.9348</c:v>
                </c:pt>
                <c:pt idx="552">
                  <c:v>100.1206</c:v>
                </c:pt>
                <c:pt idx="553">
                  <c:v>100.0899</c:v>
                </c:pt>
                <c:pt idx="554">
                  <c:v>99.672700000000006</c:v>
                </c:pt>
                <c:pt idx="555">
                  <c:v>100.443</c:v>
                </c:pt>
                <c:pt idx="556">
                  <c:v>101.2953</c:v>
                </c:pt>
                <c:pt idx="557">
                  <c:v>100.55840000000001</c:v>
                </c:pt>
                <c:pt idx="558">
                  <c:v>100.8668</c:v>
                </c:pt>
                <c:pt idx="559">
                  <c:v>100.6456</c:v>
                </c:pt>
                <c:pt idx="560">
                  <c:v>99.744200000000006</c:v>
                </c:pt>
                <c:pt idx="561">
                  <c:v>99.238200000000006</c:v>
                </c:pt>
                <c:pt idx="562">
                  <c:v>100.0692</c:v>
                </c:pt>
                <c:pt idx="563">
                  <c:v>102.36669999999999</c:v>
                </c:pt>
                <c:pt idx="564">
                  <c:v>102.39019999999999</c:v>
                </c:pt>
                <c:pt idx="565">
                  <c:v>99.006399999999999</c:v>
                </c:pt>
                <c:pt idx="566">
                  <c:v>88.207300000000004</c:v>
                </c:pt>
                <c:pt idx="567">
                  <c:v>91.625299999999996</c:v>
                </c:pt>
                <c:pt idx="568">
                  <c:v>92.928399999999996</c:v>
                </c:pt>
                <c:pt idx="569">
                  <c:v>94.430499999999995</c:v>
                </c:pt>
                <c:pt idx="570">
                  <c:v>95.561000000000007</c:v>
                </c:pt>
                <c:pt idx="571">
                  <c:v>96.009600000000006</c:v>
                </c:pt>
                <c:pt idx="572">
                  <c:v>98.072000000000003</c:v>
                </c:pt>
                <c:pt idx="573">
                  <c:v>98.147999999999996</c:v>
                </c:pt>
                <c:pt idx="574">
                  <c:v>99.424400000000006</c:v>
                </c:pt>
                <c:pt idx="575">
                  <c:v>100.37479999999999</c:v>
                </c:pt>
                <c:pt idx="576">
                  <c:v>97.013199999999998</c:v>
                </c:pt>
                <c:pt idx="577">
                  <c:v>100.6644</c:v>
                </c:pt>
                <c:pt idx="578">
                  <c:v>99.752300000000005</c:v>
                </c:pt>
                <c:pt idx="579">
                  <c:v>99.451499999999996</c:v>
                </c:pt>
                <c:pt idx="580">
                  <c:v>99.070499999999996</c:v>
                </c:pt>
                <c:pt idx="581">
                  <c:v>100.2358</c:v>
                </c:pt>
                <c:pt idx="582">
                  <c:v>100.61539999999999</c:v>
                </c:pt>
                <c:pt idx="583">
                  <c:v>101.93300000000001</c:v>
                </c:pt>
                <c:pt idx="584">
                  <c:v>103.2902</c:v>
                </c:pt>
                <c:pt idx="585">
                  <c:v>104.8263</c:v>
                </c:pt>
                <c:pt idx="586">
                  <c:v>104.95480000000001</c:v>
                </c:pt>
                <c:pt idx="587">
                  <c:v>103.7324</c:v>
                </c:pt>
                <c:pt idx="588">
                  <c:v>105.8214</c:v>
                </c:pt>
                <c:pt idx="589">
                  <c:v>105.2346</c:v>
                </c:pt>
                <c:pt idx="590">
                  <c:v>104.9628</c:v>
                </c:pt>
                <c:pt idx="591">
                  <c:v>105.1437</c:v>
                </c:pt>
                <c:pt idx="592">
                  <c:v>103.86239999999999</c:v>
                </c:pt>
                <c:pt idx="593">
                  <c:v>104.45010000000001</c:v>
                </c:pt>
                <c:pt idx="594">
                  <c:v>104.1187</c:v>
                </c:pt>
                <c:pt idx="595">
                  <c:v>104.2709</c:v>
                </c:pt>
                <c:pt idx="596">
                  <c:v>104.2469</c:v>
                </c:pt>
                <c:pt idx="597">
                  <c:v>103.80589999999999</c:v>
                </c:pt>
                <c:pt idx="598">
                  <c:v>102.4845</c:v>
                </c:pt>
                <c:pt idx="599">
                  <c:v>103.34869999999999</c:v>
                </c:pt>
              </c:numCache>
            </c:numRef>
          </c:val>
          <c:smooth val="0"/>
          <c:extLst>
            <c:ext xmlns:c16="http://schemas.microsoft.com/office/drawing/2014/chart" uri="{C3380CC4-5D6E-409C-BE32-E72D297353CC}">
              <c16:uniqueId val="{00000000-A842-4A71-AA59-02A39A91382F}"/>
            </c:ext>
          </c:extLst>
        </c:ser>
        <c:dLbls>
          <c:showLegendKey val="0"/>
          <c:showVal val="0"/>
          <c:showCatName val="0"/>
          <c:showSerName val="0"/>
          <c:showPercent val="0"/>
          <c:showBubbleSize val="0"/>
        </c:dLbls>
        <c:smooth val="0"/>
        <c:axId val="790254528"/>
        <c:axId val="790256176"/>
      </c:lineChart>
      <c:dateAx>
        <c:axId val="790254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6176"/>
        <c:crosses val="autoZero"/>
        <c:auto val="0"/>
        <c:lblOffset val="100"/>
        <c:baseTimeUnit val="months"/>
      </c:dateAx>
      <c:valAx>
        <c:axId val="790256176"/>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45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Construction!$W$1</c:f>
          <c:strCache>
            <c:ptCount val="1"/>
            <c:pt idx="0">
              <c:v>Industrial Production: Construction supplies since 2010 </c:v>
            </c:pt>
          </c:strCache>
        </c:strRef>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supplies since 2010 </c:v>
                </c:pt>
              </c:strCache>
            </c:strRef>
          </c:tx>
          <c:spPr>
            <a:ln w="28575" cap="rnd">
              <a:solidFill>
                <a:schemeClr val="accent1"/>
              </a:solidFill>
              <a:prstDash val="solid"/>
              <a:round/>
            </a:ln>
          </c:spPr>
          <c:marker>
            <c:symbol val="none"/>
          </c:marker>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Construction!$B$463:$B$619</c:f>
              <c:numCache>
                <c:formatCode>0.0</c:formatCode>
                <c:ptCount val="157"/>
                <c:pt idx="0">
                  <c:v>82.170400000000001</c:v>
                </c:pt>
                <c:pt idx="1">
                  <c:v>82.273899999999998</c:v>
                </c:pt>
                <c:pt idx="2">
                  <c:v>83.715800000000002</c:v>
                </c:pt>
                <c:pt idx="3">
                  <c:v>86.223500000000001</c:v>
                </c:pt>
                <c:pt idx="4">
                  <c:v>86.477400000000003</c:v>
                </c:pt>
                <c:pt idx="5">
                  <c:v>86.444500000000005</c:v>
                </c:pt>
                <c:pt idx="6">
                  <c:v>85.976500000000001</c:v>
                </c:pt>
                <c:pt idx="7">
                  <c:v>86.521500000000003</c:v>
                </c:pt>
                <c:pt idx="8">
                  <c:v>86.567300000000003</c:v>
                </c:pt>
                <c:pt idx="9">
                  <c:v>86.703000000000003</c:v>
                </c:pt>
                <c:pt idx="10">
                  <c:v>87.399100000000004</c:v>
                </c:pt>
                <c:pt idx="11">
                  <c:v>86.274799999999999</c:v>
                </c:pt>
                <c:pt idx="12">
                  <c:v>85.867999999999995</c:v>
                </c:pt>
                <c:pt idx="13">
                  <c:v>85.498400000000004</c:v>
                </c:pt>
                <c:pt idx="14">
                  <c:v>86.262100000000004</c:v>
                </c:pt>
                <c:pt idx="15">
                  <c:v>86.292199999999994</c:v>
                </c:pt>
                <c:pt idx="16">
                  <c:v>87.358400000000003</c:v>
                </c:pt>
                <c:pt idx="17">
                  <c:v>87.635499999999993</c:v>
                </c:pt>
                <c:pt idx="18">
                  <c:v>88.484399999999994</c:v>
                </c:pt>
                <c:pt idx="19">
                  <c:v>88.276899999999998</c:v>
                </c:pt>
                <c:pt idx="20">
                  <c:v>88.514700000000005</c:v>
                </c:pt>
                <c:pt idx="21">
                  <c:v>88.716999999999999</c:v>
                </c:pt>
                <c:pt idx="22">
                  <c:v>88.842500000000001</c:v>
                </c:pt>
                <c:pt idx="23">
                  <c:v>89.421199999999999</c:v>
                </c:pt>
                <c:pt idx="24">
                  <c:v>90.6922</c:v>
                </c:pt>
                <c:pt idx="25">
                  <c:v>91.4876</c:v>
                </c:pt>
                <c:pt idx="26">
                  <c:v>91.222300000000004</c:v>
                </c:pt>
                <c:pt idx="27">
                  <c:v>92.562899999999999</c:v>
                </c:pt>
                <c:pt idx="28">
                  <c:v>91.588499999999996</c:v>
                </c:pt>
                <c:pt idx="29">
                  <c:v>90.915199999999999</c:v>
                </c:pt>
                <c:pt idx="30">
                  <c:v>90.505899999999997</c:v>
                </c:pt>
                <c:pt idx="31">
                  <c:v>90.999700000000004</c:v>
                </c:pt>
                <c:pt idx="32">
                  <c:v>90.795199999999994</c:v>
                </c:pt>
                <c:pt idx="33">
                  <c:v>90.539000000000001</c:v>
                </c:pt>
                <c:pt idx="34">
                  <c:v>91.832800000000006</c:v>
                </c:pt>
                <c:pt idx="35">
                  <c:v>92.2316</c:v>
                </c:pt>
                <c:pt idx="36">
                  <c:v>92.697500000000005</c:v>
                </c:pt>
                <c:pt idx="37">
                  <c:v>94.058999999999997</c:v>
                </c:pt>
                <c:pt idx="38">
                  <c:v>93.721000000000004</c:v>
                </c:pt>
                <c:pt idx="39">
                  <c:v>93.254099999999994</c:v>
                </c:pt>
                <c:pt idx="40">
                  <c:v>93.218500000000006</c:v>
                </c:pt>
                <c:pt idx="41">
                  <c:v>93.969499999999996</c:v>
                </c:pt>
                <c:pt idx="42">
                  <c:v>93.929500000000004</c:v>
                </c:pt>
                <c:pt idx="43">
                  <c:v>94.358900000000006</c:v>
                </c:pt>
                <c:pt idx="44">
                  <c:v>95.401499999999999</c:v>
                </c:pt>
                <c:pt idx="45">
                  <c:v>95.251000000000005</c:v>
                </c:pt>
                <c:pt idx="46">
                  <c:v>95.988200000000006</c:v>
                </c:pt>
                <c:pt idx="47">
                  <c:v>94.430499999999995</c:v>
                </c:pt>
                <c:pt idx="48">
                  <c:v>94.070499999999996</c:v>
                </c:pt>
                <c:pt idx="49">
                  <c:v>94.643799999999999</c:v>
                </c:pt>
                <c:pt idx="50">
                  <c:v>95.926100000000005</c:v>
                </c:pt>
                <c:pt idx="51">
                  <c:v>95.328100000000006</c:v>
                </c:pt>
                <c:pt idx="52">
                  <c:v>96.851900000000001</c:v>
                </c:pt>
                <c:pt idx="53">
                  <c:v>97.6036</c:v>
                </c:pt>
                <c:pt idx="54">
                  <c:v>98.484399999999994</c:v>
                </c:pt>
                <c:pt idx="55">
                  <c:v>98.383399999999995</c:v>
                </c:pt>
                <c:pt idx="56">
                  <c:v>98.815200000000004</c:v>
                </c:pt>
                <c:pt idx="57">
                  <c:v>98.216800000000006</c:v>
                </c:pt>
                <c:pt idx="58">
                  <c:v>98.091300000000004</c:v>
                </c:pt>
                <c:pt idx="59">
                  <c:v>98.928299999999993</c:v>
                </c:pt>
                <c:pt idx="60">
                  <c:v>97.926299999999998</c:v>
                </c:pt>
                <c:pt idx="61">
                  <c:v>96.764700000000005</c:v>
                </c:pt>
                <c:pt idx="62">
                  <c:v>96.224800000000002</c:v>
                </c:pt>
                <c:pt idx="63">
                  <c:v>96.926500000000004</c:v>
                </c:pt>
                <c:pt idx="64">
                  <c:v>97.444199999999995</c:v>
                </c:pt>
                <c:pt idx="65">
                  <c:v>97.809299999999993</c:v>
                </c:pt>
                <c:pt idx="66">
                  <c:v>97.742099999999994</c:v>
                </c:pt>
                <c:pt idx="67">
                  <c:v>98.337900000000005</c:v>
                </c:pt>
                <c:pt idx="68">
                  <c:v>97.584599999999995</c:v>
                </c:pt>
                <c:pt idx="69">
                  <c:v>98.560299999999998</c:v>
                </c:pt>
                <c:pt idx="70">
                  <c:v>98.670199999999994</c:v>
                </c:pt>
                <c:pt idx="71">
                  <c:v>99.069699999999997</c:v>
                </c:pt>
                <c:pt idx="72">
                  <c:v>99.033799999999999</c:v>
                </c:pt>
                <c:pt idx="73">
                  <c:v>98.959900000000005</c:v>
                </c:pt>
                <c:pt idx="74">
                  <c:v>98.780100000000004</c:v>
                </c:pt>
                <c:pt idx="75">
                  <c:v>99.149299999999997</c:v>
                </c:pt>
                <c:pt idx="76">
                  <c:v>98.514499999999998</c:v>
                </c:pt>
                <c:pt idx="77">
                  <c:v>98.195599999999999</c:v>
                </c:pt>
                <c:pt idx="78">
                  <c:v>99.049000000000007</c:v>
                </c:pt>
                <c:pt idx="79">
                  <c:v>98.245500000000007</c:v>
                </c:pt>
                <c:pt idx="80">
                  <c:v>98.598399999999998</c:v>
                </c:pt>
                <c:pt idx="81">
                  <c:v>99.0608</c:v>
                </c:pt>
                <c:pt idx="82">
                  <c:v>99.630899999999997</c:v>
                </c:pt>
                <c:pt idx="83">
                  <c:v>97.929500000000004</c:v>
                </c:pt>
                <c:pt idx="84">
                  <c:v>99.684200000000004</c:v>
                </c:pt>
                <c:pt idx="85">
                  <c:v>99.953999999999994</c:v>
                </c:pt>
                <c:pt idx="86">
                  <c:v>99.224100000000007</c:v>
                </c:pt>
                <c:pt idx="87">
                  <c:v>99.938900000000004</c:v>
                </c:pt>
                <c:pt idx="88">
                  <c:v>99.773099999999999</c:v>
                </c:pt>
                <c:pt idx="89">
                  <c:v>99.795000000000002</c:v>
                </c:pt>
                <c:pt idx="90">
                  <c:v>99.654899999999998</c:v>
                </c:pt>
                <c:pt idx="91">
                  <c:v>98.850300000000004</c:v>
                </c:pt>
                <c:pt idx="92">
                  <c:v>100.5587</c:v>
                </c:pt>
                <c:pt idx="93">
                  <c:v>100.9723</c:v>
                </c:pt>
                <c:pt idx="94">
                  <c:v>100.974</c:v>
                </c:pt>
                <c:pt idx="95">
                  <c:v>100.6206</c:v>
                </c:pt>
                <c:pt idx="96">
                  <c:v>98.775199999999998</c:v>
                </c:pt>
                <c:pt idx="97">
                  <c:v>101.6777</c:v>
                </c:pt>
                <c:pt idx="98">
                  <c:v>100.9468</c:v>
                </c:pt>
                <c:pt idx="99">
                  <c:v>101.8806</c:v>
                </c:pt>
                <c:pt idx="100">
                  <c:v>102.54219999999999</c:v>
                </c:pt>
                <c:pt idx="101">
                  <c:v>102.3398</c:v>
                </c:pt>
                <c:pt idx="102">
                  <c:v>102.2436</c:v>
                </c:pt>
                <c:pt idx="103">
                  <c:v>102.49639999999999</c:v>
                </c:pt>
                <c:pt idx="104">
                  <c:v>101.8092</c:v>
                </c:pt>
                <c:pt idx="105">
                  <c:v>101.792</c:v>
                </c:pt>
                <c:pt idx="106">
                  <c:v>101.3634</c:v>
                </c:pt>
                <c:pt idx="107">
                  <c:v>102.2179</c:v>
                </c:pt>
                <c:pt idx="108">
                  <c:v>101.9348</c:v>
                </c:pt>
                <c:pt idx="109">
                  <c:v>100.1206</c:v>
                </c:pt>
                <c:pt idx="110">
                  <c:v>100.0899</c:v>
                </c:pt>
                <c:pt idx="111">
                  <c:v>99.672700000000006</c:v>
                </c:pt>
                <c:pt idx="112">
                  <c:v>100.443</c:v>
                </c:pt>
                <c:pt idx="113">
                  <c:v>101.2953</c:v>
                </c:pt>
                <c:pt idx="114">
                  <c:v>100.55840000000001</c:v>
                </c:pt>
                <c:pt idx="115">
                  <c:v>100.8668</c:v>
                </c:pt>
                <c:pt idx="116">
                  <c:v>100.6456</c:v>
                </c:pt>
                <c:pt idx="117">
                  <c:v>99.744200000000006</c:v>
                </c:pt>
                <c:pt idx="118">
                  <c:v>99.238200000000006</c:v>
                </c:pt>
                <c:pt idx="119">
                  <c:v>100.0692</c:v>
                </c:pt>
                <c:pt idx="120">
                  <c:v>102.36669999999999</c:v>
                </c:pt>
                <c:pt idx="121">
                  <c:v>102.39019999999999</c:v>
                </c:pt>
                <c:pt idx="122">
                  <c:v>99.006399999999999</c:v>
                </c:pt>
                <c:pt idx="123">
                  <c:v>88.207300000000004</c:v>
                </c:pt>
                <c:pt idx="124">
                  <c:v>91.625299999999996</c:v>
                </c:pt>
                <c:pt idx="125">
                  <c:v>92.928399999999996</c:v>
                </c:pt>
                <c:pt idx="126">
                  <c:v>94.430499999999995</c:v>
                </c:pt>
                <c:pt idx="127">
                  <c:v>95.561000000000007</c:v>
                </c:pt>
                <c:pt idx="128">
                  <c:v>96.009600000000006</c:v>
                </c:pt>
                <c:pt idx="129">
                  <c:v>98.072000000000003</c:v>
                </c:pt>
                <c:pt idx="130">
                  <c:v>98.147999999999996</c:v>
                </c:pt>
                <c:pt idx="131">
                  <c:v>99.424400000000006</c:v>
                </c:pt>
                <c:pt idx="132">
                  <c:v>100.37479999999999</c:v>
                </c:pt>
                <c:pt idx="133">
                  <c:v>97.013199999999998</c:v>
                </c:pt>
                <c:pt idx="134">
                  <c:v>100.6644</c:v>
                </c:pt>
                <c:pt idx="135">
                  <c:v>99.752300000000005</c:v>
                </c:pt>
                <c:pt idx="136">
                  <c:v>99.451499999999996</c:v>
                </c:pt>
                <c:pt idx="137">
                  <c:v>99.070499999999996</c:v>
                </c:pt>
                <c:pt idx="138">
                  <c:v>100.2358</c:v>
                </c:pt>
                <c:pt idx="139">
                  <c:v>100.61539999999999</c:v>
                </c:pt>
                <c:pt idx="140">
                  <c:v>101.93300000000001</c:v>
                </c:pt>
                <c:pt idx="141">
                  <c:v>103.2902</c:v>
                </c:pt>
                <c:pt idx="142">
                  <c:v>104.8263</c:v>
                </c:pt>
                <c:pt idx="143">
                  <c:v>104.95480000000001</c:v>
                </c:pt>
                <c:pt idx="144">
                  <c:v>103.7324</c:v>
                </c:pt>
                <c:pt idx="145">
                  <c:v>105.8214</c:v>
                </c:pt>
                <c:pt idx="146">
                  <c:v>105.2346</c:v>
                </c:pt>
                <c:pt idx="147">
                  <c:v>104.9628</c:v>
                </c:pt>
                <c:pt idx="148">
                  <c:v>105.1437</c:v>
                </c:pt>
                <c:pt idx="149">
                  <c:v>103.86239999999999</c:v>
                </c:pt>
                <c:pt idx="150">
                  <c:v>104.45010000000001</c:v>
                </c:pt>
                <c:pt idx="151">
                  <c:v>104.1187</c:v>
                </c:pt>
                <c:pt idx="152">
                  <c:v>104.2709</c:v>
                </c:pt>
                <c:pt idx="153">
                  <c:v>104.2469</c:v>
                </c:pt>
                <c:pt idx="154">
                  <c:v>103.80589999999999</c:v>
                </c:pt>
                <c:pt idx="155">
                  <c:v>102.4845</c:v>
                </c:pt>
                <c:pt idx="156">
                  <c:v>103.34869999999999</c:v>
                </c:pt>
              </c:numCache>
            </c:numRef>
          </c:val>
          <c:smooth val="0"/>
          <c:extLst>
            <c:ext xmlns:c16="http://schemas.microsoft.com/office/drawing/2014/chart" uri="{C3380CC4-5D6E-409C-BE32-E72D297353CC}">
              <c16:uniqueId val="{00000000-D840-4784-9247-64FF33742273}"/>
            </c:ext>
          </c:extLst>
        </c:ser>
        <c:dLbls>
          <c:showLegendKey val="0"/>
          <c:showVal val="0"/>
          <c:showCatName val="0"/>
          <c:showSerName val="0"/>
          <c:showPercent val="0"/>
          <c:showBubbleSize val="0"/>
        </c:dLbls>
        <c:smooth val="0"/>
        <c:axId val="1514186047"/>
        <c:axId val="1514189167"/>
      </c:lineChart>
      <c:dateAx>
        <c:axId val="15141860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9167"/>
        <c:crosses val="autoZero"/>
        <c:auto val="0"/>
        <c:lblOffset val="100"/>
        <c:baseTimeUnit val="months"/>
      </c:dateAx>
      <c:valAx>
        <c:axId val="1514189167"/>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60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Construction!$W$2</c:f>
          <c:strCache>
            <c:ptCount val="1"/>
            <c:pt idx="0">
              <c:v>Industrial Production: Construction supplies yoy</c:v>
            </c:pt>
          </c:strCache>
        </c:strRef>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supplies yoy</c:v>
                </c:pt>
              </c:strCache>
            </c:strRef>
          </c:tx>
          <c:spPr>
            <a:solidFill>
              <a:srgbClr val="00B050"/>
            </a:solidFill>
            <a:ln>
              <a:noFill/>
              <a:prstDash val="solid"/>
            </a:ln>
          </c:spPr>
          <c:invertIfNegative val="1"/>
          <c:cat>
            <c:numRef>
              <c:f>Construction!$A$20:$A$620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Construction!$D$20:$D$620</c:f>
              <c:numCache>
                <c:formatCode>0.0%</c:formatCode>
                <c:ptCount val="601"/>
                <c:pt idx="0">
                  <c:v>0.11650732042765616</c:v>
                </c:pt>
                <c:pt idx="1">
                  <c:v>0.11508615121522128</c:v>
                </c:pt>
                <c:pt idx="2">
                  <c:v>0.10109337827724471</c:v>
                </c:pt>
                <c:pt idx="3">
                  <c:v>0.10025089204378657</c:v>
                </c:pt>
                <c:pt idx="4">
                  <c:v>9.3581912868131986E-2</c:v>
                </c:pt>
                <c:pt idx="5">
                  <c:v>8.7590646616229909E-2</c:v>
                </c:pt>
                <c:pt idx="6">
                  <c:v>8.0803270930516313E-2</c:v>
                </c:pt>
                <c:pt idx="7">
                  <c:v>6.9565990025170235E-2</c:v>
                </c:pt>
                <c:pt idx="8">
                  <c:v>5.3197945945480649E-2</c:v>
                </c:pt>
                <c:pt idx="9">
                  <c:v>5.3243366489013018E-2</c:v>
                </c:pt>
                <c:pt idx="10">
                  <c:v>6.4603613250395681E-2</c:v>
                </c:pt>
                <c:pt idx="11">
                  <c:v>5.4345599299222308E-2</c:v>
                </c:pt>
                <c:pt idx="12">
                  <c:v>2.2609771627295858E-2</c:v>
                </c:pt>
                <c:pt idx="13">
                  <c:v>1.9025303170515994E-2</c:v>
                </c:pt>
                <c:pt idx="14">
                  <c:v>1.1688530568940264E-2</c:v>
                </c:pt>
                <c:pt idx="15">
                  <c:v>1.1623013318809754E-2</c:v>
                </c:pt>
                <c:pt idx="16">
                  <c:v>3.2529360114147469E-3</c:v>
                </c:pt>
                <c:pt idx="17">
                  <c:v>-2.2951100803553965E-2</c:v>
                </c:pt>
                <c:pt idx="18">
                  <c:v>-3.6611467531867184E-2</c:v>
                </c:pt>
                <c:pt idx="19">
                  <c:v>-4.1637670284234922E-2</c:v>
                </c:pt>
                <c:pt idx="20">
                  <c:v>-5.8378290011443568E-2</c:v>
                </c:pt>
                <c:pt idx="21">
                  <c:v>-9.4279146478907672E-2</c:v>
                </c:pt>
                <c:pt idx="22">
                  <c:v>-0.1428350813111848</c:v>
                </c:pt>
                <c:pt idx="23">
                  <c:v>-0.14982914572864317</c:v>
                </c:pt>
                <c:pt idx="24">
                  <c:v>-0.16487515972989031</c:v>
                </c:pt>
                <c:pt idx="25">
                  <c:v>-0.19868395765494354</c:v>
                </c:pt>
                <c:pt idx="26">
                  <c:v>-0.19754128244937752</c:v>
                </c:pt>
                <c:pt idx="27">
                  <c:v>-0.20146612774508085</c:v>
                </c:pt>
                <c:pt idx="28">
                  <c:v>-0.20065613585485698</c:v>
                </c:pt>
                <c:pt idx="29">
                  <c:v>-0.1755282619627706</c:v>
                </c:pt>
                <c:pt idx="30">
                  <c:v>-0.15428794846388147</c:v>
                </c:pt>
                <c:pt idx="31">
                  <c:v>-0.13931673849992832</c:v>
                </c:pt>
                <c:pt idx="32">
                  <c:v>-0.11881427339595006</c:v>
                </c:pt>
                <c:pt idx="33">
                  <c:v>-8.6420951837483384E-2</c:v>
                </c:pt>
                <c:pt idx="34">
                  <c:v>-4.0670212515960293E-2</c:v>
                </c:pt>
                <c:pt idx="35">
                  <c:v>-1.2551226278292702E-2</c:v>
                </c:pt>
                <c:pt idx="36">
                  <c:v>3.5770963178096332E-2</c:v>
                </c:pt>
                <c:pt idx="37">
                  <c:v>6.1032499096402806E-2</c:v>
                </c:pt>
                <c:pt idx="38">
                  <c:v>8.2941529811951353E-2</c:v>
                </c:pt>
                <c:pt idx="39">
                  <c:v>9.5279523832224516E-2</c:v>
                </c:pt>
                <c:pt idx="40">
                  <c:v>0.10938186994137065</c:v>
                </c:pt>
                <c:pt idx="41">
                  <c:v>0.11856399928362155</c:v>
                </c:pt>
                <c:pt idx="42">
                  <c:v>9.4107633122762463E-2</c:v>
                </c:pt>
                <c:pt idx="43">
                  <c:v>8.923117056370268E-2</c:v>
                </c:pt>
                <c:pt idx="44">
                  <c:v>8.2666053705269554E-2</c:v>
                </c:pt>
                <c:pt idx="45">
                  <c:v>8.2764168883642006E-2</c:v>
                </c:pt>
                <c:pt idx="46">
                  <c:v>8.9002114820893499E-2</c:v>
                </c:pt>
                <c:pt idx="47">
                  <c:v>4.6073519059757893E-2</c:v>
                </c:pt>
                <c:pt idx="48">
                  <c:v>5.1757908982986309E-2</c:v>
                </c:pt>
                <c:pt idx="49">
                  <c:v>8.9633468849786804E-2</c:v>
                </c:pt>
                <c:pt idx="50">
                  <c:v>0.10099951446318328</c:v>
                </c:pt>
                <c:pt idx="51">
                  <c:v>0.10530234611444705</c:v>
                </c:pt>
                <c:pt idx="52">
                  <c:v>0.10480108935519246</c:v>
                </c:pt>
                <c:pt idx="53">
                  <c:v>8.2736692646970075E-2</c:v>
                </c:pt>
                <c:pt idx="54">
                  <c:v>0.10242986434312527</c:v>
                </c:pt>
                <c:pt idx="55">
                  <c:v>9.0687095566445663E-2</c:v>
                </c:pt>
                <c:pt idx="56">
                  <c:v>9.0795767150833942E-2</c:v>
                </c:pt>
                <c:pt idx="57">
                  <c:v>9.1285667902474305E-2</c:v>
                </c:pt>
                <c:pt idx="58">
                  <c:v>9.4666676663992325E-2</c:v>
                </c:pt>
                <c:pt idx="59">
                  <c:v>9.246483891592322E-2</c:v>
                </c:pt>
                <c:pt idx="60">
                  <c:v>6.4108012196849307E-2</c:v>
                </c:pt>
                <c:pt idx="61">
                  <c:v>6.1942403688408025E-2</c:v>
                </c:pt>
                <c:pt idx="62">
                  <c:v>6.0632009202410055E-2</c:v>
                </c:pt>
                <c:pt idx="63">
                  <c:v>4.4735902073236897E-2</c:v>
                </c:pt>
                <c:pt idx="64">
                  <c:v>4.5663413435769164E-2</c:v>
                </c:pt>
                <c:pt idx="65">
                  <c:v>4.3023653243863522E-2</c:v>
                </c:pt>
                <c:pt idx="66">
                  <c:v>3.6439790286135691E-2</c:v>
                </c:pt>
                <c:pt idx="67">
                  <c:v>4.4978298846357546E-2</c:v>
                </c:pt>
                <c:pt idx="68">
                  <c:v>5.5489749557199715E-2</c:v>
                </c:pt>
                <c:pt idx="69">
                  <c:v>5.7612923849312062E-2</c:v>
                </c:pt>
                <c:pt idx="70">
                  <c:v>6.3855786446896143E-2</c:v>
                </c:pt>
                <c:pt idx="71">
                  <c:v>5.8872498557834003E-2</c:v>
                </c:pt>
                <c:pt idx="72">
                  <c:v>6.8444357256957175E-2</c:v>
                </c:pt>
                <c:pt idx="73">
                  <c:v>6.2284365353186745E-2</c:v>
                </c:pt>
                <c:pt idx="74">
                  <c:v>2.1855026440787465E-2</c:v>
                </c:pt>
                <c:pt idx="75">
                  <c:v>2.9634984223392398E-2</c:v>
                </c:pt>
                <c:pt idx="76">
                  <c:v>2.5073084778343014E-2</c:v>
                </c:pt>
                <c:pt idx="77">
                  <c:v>2.7785542797145703E-2</c:v>
                </c:pt>
                <c:pt idx="78">
                  <c:v>1.5883124130546836E-2</c:v>
                </c:pt>
                <c:pt idx="79">
                  <c:v>1.2824656109566084E-2</c:v>
                </c:pt>
                <c:pt idx="80">
                  <c:v>1.1808498167147258E-2</c:v>
                </c:pt>
                <c:pt idx="81">
                  <c:v>3.0303585400894488E-3</c:v>
                </c:pt>
                <c:pt idx="82">
                  <c:v>-9.7284782367955645E-3</c:v>
                </c:pt>
                <c:pt idx="83">
                  <c:v>1.1943235991694877E-2</c:v>
                </c:pt>
                <c:pt idx="84">
                  <c:v>-9.092387469738044E-3</c:v>
                </c:pt>
                <c:pt idx="85">
                  <c:v>-3.4239834239834309E-2</c:v>
                </c:pt>
                <c:pt idx="86">
                  <c:v>-6.2835456906132625E-2</c:v>
                </c:pt>
                <c:pt idx="87">
                  <c:v>-0.1076878022505284</c:v>
                </c:pt>
                <c:pt idx="88">
                  <c:v>-0.1283517794333473</c:v>
                </c:pt>
                <c:pt idx="89">
                  <c:v>-0.13683892721383503</c:v>
                </c:pt>
                <c:pt idx="90">
                  <c:v>-0.11564649094333136</c:v>
                </c:pt>
                <c:pt idx="91">
                  <c:v>-9.4120705819941849E-2</c:v>
                </c:pt>
                <c:pt idx="92">
                  <c:v>-8.3141100077587612E-2</c:v>
                </c:pt>
                <c:pt idx="93">
                  <c:v>-6.2820415819833927E-2</c:v>
                </c:pt>
                <c:pt idx="94">
                  <c:v>-6.5404385518919195E-2</c:v>
                </c:pt>
                <c:pt idx="95">
                  <c:v>-6.6538050421044381E-2</c:v>
                </c:pt>
                <c:pt idx="96">
                  <c:v>-6.013052345703198E-2</c:v>
                </c:pt>
                <c:pt idx="97">
                  <c:v>-4.4411070585711192E-2</c:v>
                </c:pt>
                <c:pt idx="98">
                  <c:v>1.454276697569616E-3</c:v>
                </c:pt>
                <c:pt idx="99">
                  <c:v>4.3981257637161257E-2</c:v>
                </c:pt>
                <c:pt idx="100">
                  <c:v>4.8175095241652276E-2</c:v>
                </c:pt>
                <c:pt idx="101">
                  <c:v>6.0829697351638394E-2</c:v>
                </c:pt>
                <c:pt idx="102">
                  <c:v>4.2230121319836271E-2</c:v>
                </c:pt>
                <c:pt idx="103">
                  <c:v>1.1146930752773041E-2</c:v>
                </c:pt>
                <c:pt idx="104">
                  <c:v>-4.059645207000448E-2</c:v>
                </c:pt>
                <c:pt idx="105">
                  <c:v>-7.4220691095103875E-2</c:v>
                </c:pt>
                <c:pt idx="106">
                  <c:v>-9.1931217851413505E-2</c:v>
                </c:pt>
                <c:pt idx="107">
                  <c:v>-0.11977165072839394</c:v>
                </c:pt>
                <c:pt idx="108">
                  <c:v>-8.033767989410541E-2</c:v>
                </c:pt>
                <c:pt idx="109">
                  <c:v>-0.10286961158509196</c:v>
                </c:pt>
                <c:pt idx="110">
                  <c:v>-0.10989450408219688</c:v>
                </c:pt>
                <c:pt idx="111">
                  <c:v>-0.10482838761830991</c:v>
                </c:pt>
                <c:pt idx="112">
                  <c:v>-9.7912473845346834E-2</c:v>
                </c:pt>
                <c:pt idx="113">
                  <c:v>-0.1025844732634571</c:v>
                </c:pt>
                <c:pt idx="114">
                  <c:v>-9.951379482426756E-2</c:v>
                </c:pt>
                <c:pt idx="115">
                  <c:v>-9.1859408285381E-2</c:v>
                </c:pt>
                <c:pt idx="116">
                  <c:v>-7.6031587702343861E-2</c:v>
                </c:pt>
                <c:pt idx="117">
                  <c:v>-6.6827243299158137E-2</c:v>
                </c:pt>
                <c:pt idx="118">
                  <c:v>-5.59204730188353E-2</c:v>
                </c:pt>
                <c:pt idx="119">
                  <c:v>1.2369750352197558E-2</c:v>
                </c:pt>
                <c:pt idx="120">
                  <c:v>-2.7726695748971325E-2</c:v>
                </c:pt>
                <c:pt idx="121">
                  <c:v>4.4812468032990205E-3</c:v>
                </c:pt>
                <c:pt idx="122">
                  <c:v>2.6037036336467121E-2</c:v>
                </c:pt>
                <c:pt idx="123">
                  <c:v>3.9765333734686652E-2</c:v>
                </c:pt>
                <c:pt idx="124">
                  <c:v>6.6193606899025259E-2</c:v>
                </c:pt>
                <c:pt idx="125">
                  <c:v>9.096610309069382E-2</c:v>
                </c:pt>
                <c:pt idx="126">
                  <c:v>9.5481635832768599E-2</c:v>
                </c:pt>
                <c:pt idx="127">
                  <c:v>0.10564998863435465</c:v>
                </c:pt>
                <c:pt idx="128">
                  <c:v>0.1398985474051424</c:v>
                </c:pt>
                <c:pt idx="129">
                  <c:v>0.14381557577788665</c:v>
                </c:pt>
                <c:pt idx="130">
                  <c:v>0.15532603438706064</c:v>
                </c:pt>
                <c:pt idx="131">
                  <c:v>0.12256062683643479</c:v>
                </c:pt>
                <c:pt idx="132">
                  <c:v>0.15308647030383588</c:v>
                </c:pt>
                <c:pt idx="133">
                  <c:v>0.13290646469302211</c:v>
                </c:pt>
                <c:pt idx="134">
                  <c:v>0.12533913433560384</c:v>
                </c:pt>
                <c:pt idx="135">
                  <c:v>0.10745530046471242</c:v>
                </c:pt>
                <c:pt idx="136">
                  <c:v>9.5989152261057059E-2</c:v>
                </c:pt>
                <c:pt idx="137">
                  <c:v>7.0005980687604788E-2</c:v>
                </c:pt>
                <c:pt idx="138">
                  <c:v>6.9051741831416269E-2</c:v>
                </c:pt>
                <c:pt idx="139">
                  <c:v>5.8755082693713316E-2</c:v>
                </c:pt>
                <c:pt idx="140">
                  <c:v>3.9485775790600829E-2</c:v>
                </c:pt>
                <c:pt idx="141">
                  <c:v>4.0086432761059013E-2</c:v>
                </c:pt>
                <c:pt idx="142">
                  <c:v>4.6646288356830178E-2</c:v>
                </c:pt>
                <c:pt idx="143">
                  <c:v>2.2620732786661022E-2</c:v>
                </c:pt>
                <c:pt idx="144">
                  <c:v>1.7823291285844324E-3</c:v>
                </c:pt>
                <c:pt idx="145">
                  <c:v>3.5500063226068822E-2</c:v>
                </c:pt>
                <c:pt idx="146">
                  <c:v>2.7584681669005687E-2</c:v>
                </c:pt>
                <c:pt idx="147">
                  <c:v>2.9039948479926261E-2</c:v>
                </c:pt>
                <c:pt idx="148">
                  <c:v>2.7237522445535702E-2</c:v>
                </c:pt>
                <c:pt idx="149">
                  <c:v>2.6928138269729025E-2</c:v>
                </c:pt>
                <c:pt idx="150">
                  <c:v>2.4308034265688862E-2</c:v>
                </c:pt>
                <c:pt idx="151">
                  <c:v>2.1321009912766128E-2</c:v>
                </c:pt>
                <c:pt idx="152">
                  <c:v>2.5426649994930894E-2</c:v>
                </c:pt>
                <c:pt idx="153">
                  <c:v>2.6681600381378571E-2</c:v>
                </c:pt>
                <c:pt idx="154">
                  <c:v>1.4142219430553099E-2</c:v>
                </c:pt>
                <c:pt idx="155">
                  <c:v>5.3541249737215003E-2</c:v>
                </c:pt>
                <c:pt idx="156">
                  <c:v>4.2218535146211329E-2</c:v>
                </c:pt>
                <c:pt idx="157">
                  <c:v>1.6946385337467684E-2</c:v>
                </c:pt>
                <c:pt idx="158">
                  <c:v>2.7581524988242501E-2</c:v>
                </c:pt>
                <c:pt idx="159">
                  <c:v>2.9309341095527863E-2</c:v>
                </c:pt>
                <c:pt idx="160">
                  <c:v>1.3878943599679894E-2</c:v>
                </c:pt>
                <c:pt idx="161">
                  <c:v>2.3044841266171602E-2</c:v>
                </c:pt>
                <c:pt idx="162">
                  <c:v>3.2450690393882889E-2</c:v>
                </c:pt>
                <c:pt idx="163">
                  <c:v>3.4000105627294178E-2</c:v>
                </c:pt>
                <c:pt idx="164">
                  <c:v>3.2246880705523971E-2</c:v>
                </c:pt>
                <c:pt idx="165">
                  <c:v>3.532104343237804E-2</c:v>
                </c:pt>
                <c:pt idx="166">
                  <c:v>4.5982655096339337E-2</c:v>
                </c:pt>
                <c:pt idx="167">
                  <c:v>3.4290497422122708E-2</c:v>
                </c:pt>
                <c:pt idx="168">
                  <c:v>6.524867226538994E-2</c:v>
                </c:pt>
                <c:pt idx="169">
                  <c:v>5.7742484105447724E-2</c:v>
                </c:pt>
                <c:pt idx="170">
                  <c:v>5.2848508355150432E-2</c:v>
                </c:pt>
                <c:pt idx="171">
                  <c:v>5.5304183291514208E-2</c:v>
                </c:pt>
                <c:pt idx="172">
                  <c:v>6.8508392015122224E-2</c:v>
                </c:pt>
                <c:pt idx="173">
                  <c:v>6.7324119353876472E-2</c:v>
                </c:pt>
                <c:pt idx="174">
                  <c:v>6.4402016885793265E-2</c:v>
                </c:pt>
                <c:pt idx="175">
                  <c:v>6.9275766123419832E-2</c:v>
                </c:pt>
                <c:pt idx="176">
                  <c:v>8.215471101990042E-2</c:v>
                </c:pt>
                <c:pt idx="177">
                  <c:v>7.9745072631620437E-2</c:v>
                </c:pt>
                <c:pt idx="178">
                  <c:v>8.212754758615104E-2</c:v>
                </c:pt>
                <c:pt idx="179">
                  <c:v>5.2218490321626898E-2</c:v>
                </c:pt>
                <c:pt idx="180">
                  <c:v>4.1788442174030577E-2</c:v>
                </c:pt>
                <c:pt idx="181">
                  <c:v>5.0683504816247088E-2</c:v>
                </c:pt>
                <c:pt idx="182">
                  <c:v>4.1937638760634208E-2</c:v>
                </c:pt>
                <c:pt idx="183">
                  <c:v>3.5178860283369966E-2</c:v>
                </c:pt>
                <c:pt idx="184">
                  <c:v>2.4651742049148051E-2</c:v>
                </c:pt>
                <c:pt idx="185">
                  <c:v>2.0581001017495982E-2</c:v>
                </c:pt>
                <c:pt idx="186">
                  <c:v>7.1213145785764846E-3</c:v>
                </c:pt>
                <c:pt idx="187">
                  <c:v>5.0204028503086501E-3</c:v>
                </c:pt>
                <c:pt idx="188">
                  <c:v>-3.0175435283898129E-3</c:v>
                </c:pt>
                <c:pt idx="189">
                  <c:v>1.4797525249604876E-3</c:v>
                </c:pt>
                <c:pt idx="190">
                  <c:v>-8.3903721181480904E-3</c:v>
                </c:pt>
                <c:pt idx="191">
                  <c:v>2.8922318595555555E-2</c:v>
                </c:pt>
                <c:pt idx="192">
                  <c:v>-6.7883117036199331E-3</c:v>
                </c:pt>
                <c:pt idx="193">
                  <c:v>-7.6328167665936824E-3</c:v>
                </c:pt>
                <c:pt idx="194">
                  <c:v>-4.4537209017281804E-3</c:v>
                </c:pt>
                <c:pt idx="195">
                  <c:v>-1.3981175656610405E-2</c:v>
                </c:pt>
                <c:pt idx="196">
                  <c:v>-3.968865689411038E-3</c:v>
                </c:pt>
                <c:pt idx="197">
                  <c:v>-4.8011380475372076E-3</c:v>
                </c:pt>
                <c:pt idx="198">
                  <c:v>9.5169946332744029E-4</c:v>
                </c:pt>
                <c:pt idx="199">
                  <c:v>-5.1818766211930104E-3</c:v>
                </c:pt>
                <c:pt idx="200">
                  <c:v>-4.2245635465973973E-3</c:v>
                </c:pt>
                <c:pt idx="201">
                  <c:v>-8.9113495692788331E-3</c:v>
                </c:pt>
                <c:pt idx="202">
                  <c:v>-2.0685304625688319E-2</c:v>
                </c:pt>
                <c:pt idx="203">
                  <c:v>-1.7439310712719532E-2</c:v>
                </c:pt>
                <c:pt idx="204">
                  <c:v>1.1597285105463807E-2</c:v>
                </c:pt>
                <c:pt idx="205">
                  <c:v>6.790886152651803E-3</c:v>
                </c:pt>
                <c:pt idx="206">
                  <c:v>-2.6257065909023858E-3</c:v>
                </c:pt>
                <c:pt idx="207">
                  <c:v>-2.1957695635311017E-4</c:v>
                </c:pt>
                <c:pt idx="208">
                  <c:v>1.7619739823111638E-3</c:v>
                </c:pt>
                <c:pt idx="209">
                  <c:v>-6.4871947587850226E-3</c:v>
                </c:pt>
                <c:pt idx="210">
                  <c:v>-6.9129200832124581E-3</c:v>
                </c:pt>
                <c:pt idx="211">
                  <c:v>-9.0811799920212811E-3</c:v>
                </c:pt>
                <c:pt idx="212">
                  <c:v>-2.3321192698501754E-2</c:v>
                </c:pt>
                <c:pt idx="213">
                  <c:v>-2.3589694815307993E-2</c:v>
                </c:pt>
                <c:pt idx="214">
                  <c:v>-1.7826805707563755E-2</c:v>
                </c:pt>
                <c:pt idx="215">
                  <c:v>-7.4290505767106413E-2</c:v>
                </c:pt>
                <c:pt idx="216">
                  <c:v>-8.1423491552506291E-2</c:v>
                </c:pt>
                <c:pt idx="217">
                  <c:v>-9.074473312377894E-2</c:v>
                </c:pt>
                <c:pt idx="218">
                  <c:v>-7.4458728532819179E-2</c:v>
                </c:pt>
                <c:pt idx="219">
                  <c:v>-6.7898795761711511E-2</c:v>
                </c:pt>
                <c:pt idx="220">
                  <c:v>-5.6381447672877866E-2</c:v>
                </c:pt>
                <c:pt idx="221">
                  <c:v>-5.0321681809571153E-2</c:v>
                </c:pt>
                <c:pt idx="222">
                  <c:v>-4.056408189121484E-2</c:v>
                </c:pt>
                <c:pt idx="223">
                  <c:v>-3.1912085368896399E-2</c:v>
                </c:pt>
                <c:pt idx="224">
                  <c:v>-3.2970924975019293E-2</c:v>
                </c:pt>
                <c:pt idx="225">
                  <c:v>-2.3592211258413653E-2</c:v>
                </c:pt>
                <c:pt idx="226">
                  <c:v>-1.7213797026262048E-2</c:v>
                </c:pt>
                <c:pt idx="227">
                  <c:v>2.1437731221153087E-2</c:v>
                </c:pt>
                <c:pt idx="228">
                  <c:v>3.3753140250249475E-2</c:v>
                </c:pt>
                <c:pt idx="229">
                  <c:v>5.392127710737455E-2</c:v>
                </c:pt>
                <c:pt idx="230">
                  <c:v>5.2339456894617019E-2</c:v>
                </c:pt>
                <c:pt idx="231">
                  <c:v>6.1614330021795324E-2</c:v>
                </c:pt>
                <c:pt idx="232">
                  <c:v>3.9671034817161131E-2</c:v>
                </c:pt>
                <c:pt idx="233">
                  <c:v>4.9027690279932902E-2</c:v>
                </c:pt>
                <c:pt idx="234">
                  <c:v>4.1346228394645031E-2</c:v>
                </c:pt>
                <c:pt idx="235">
                  <c:v>3.6441602294969296E-2</c:v>
                </c:pt>
                <c:pt idx="236">
                  <c:v>4.7030808905244928E-2</c:v>
                </c:pt>
                <c:pt idx="237">
                  <c:v>3.4173325751454126E-2</c:v>
                </c:pt>
                <c:pt idx="238">
                  <c:v>3.9168066818095121E-2</c:v>
                </c:pt>
                <c:pt idx="239">
                  <c:v>4.0603067648945265E-2</c:v>
                </c:pt>
                <c:pt idx="240">
                  <c:v>5.0994122857845277E-2</c:v>
                </c:pt>
                <c:pt idx="241">
                  <c:v>3.4732325326359254E-2</c:v>
                </c:pt>
                <c:pt idx="242">
                  <c:v>3.131413084276146E-2</c:v>
                </c:pt>
                <c:pt idx="243">
                  <c:v>3.2212694250205842E-2</c:v>
                </c:pt>
                <c:pt idx="244">
                  <c:v>3.6307516377873474E-2</c:v>
                </c:pt>
                <c:pt idx="245">
                  <c:v>3.467012950751993E-2</c:v>
                </c:pt>
                <c:pt idx="246">
                  <c:v>3.6076853797658369E-2</c:v>
                </c:pt>
                <c:pt idx="247">
                  <c:v>4.1942970822281149E-2</c:v>
                </c:pt>
                <c:pt idx="248">
                  <c:v>5.2047634903252808E-2</c:v>
                </c:pt>
                <c:pt idx="249">
                  <c:v>6.4097400749533254E-2</c:v>
                </c:pt>
                <c:pt idx="250">
                  <c:v>7.329612291441609E-2</c:v>
                </c:pt>
                <c:pt idx="251">
                  <c:v>6.5455807634994853E-2</c:v>
                </c:pt>
                <c:pt idx="252">
                  <c:v>3.9537688583983183E-2</c:v>
                </c:pt>
                <c:pt idx="253">
                  <c:v>6.7333317526555345E-2</c:v>
                </c:pt>
                <c:pt idx="254">
                  <c:v>8.0883013267413761E-2</c:v>
                </c:pt>
                <c:pt idx="255">
                  <c:v>7.7379908989559751E-2</c:v>
                </c:pt>
                <c:pt idx="256">
                  <c:v>7.8646274121074042E-2</c:v>
                </c:pt>
                <c:pt idx="257">
                  <c:v>8.413736950769149E-2</c:v>
                </c:pt>
                <c:pt idx="258">
                  <c:v>7.9750299318608206E-2</c:v>
                </c:pt>
                <c:pt idx="259">
                  <c:v>8.3783565655517381E-2</c:v>
                </c:pt>
                <c:pt idx="260">
                  <c:v>7.8640554838267387E-2</c:v>
                </c:pt>
                <c:pt idx="261">
                  <c:v>7.2251502312252108E-2</c:v>
                </c:pt>
                <c:pt idx="262">
                  <c:v>6.5715087741273007E-2</c:v>
                </c:pt>
                <c:pt idx="263">
                  <c:v>7.4313933202498864E-2</c:v>
                </c:pt>
                <c:pt idx="264">
                  <c:v>6.6676391697085613E-2</c:v>
                </c:pt>
                <c:pt idx="265">
                  <c:v>4.7878691616397268E-2</c:v>
                </c:pt>
                <c:pt idx="266">
                  <c:v>2.3319347482437507E-2</c:v>
                </c:pt>
                <c:pt idx="267">
                  <c:v>1.0787012632031107E-2</c:v>
                </c:pt>
                <c:pt idx="268">
                  <c:v>1.1659637000463874E-2</c:v>
                </c:pt>
                <c:pt idx="269">
                  <c:v>-1.3014183636247138E-3</c:v>
                </c:pt>
                <c:pt idx="270">
                  <c:v>8.5090076116276867E-3</c:v>
                </c:pt>
                <c:pt idx="271">
                  <c:v>1.5450032872410455E-2</c:v>
                </c:pt>
                <c:pt idx="272">
                  <c:v>1.0534544726530868E-2</c:v>
                </c:pt>
                <c:pt idx="273">
                  <c:v>8.7008168178451112E-3</c:v>
                </c:pt>
                <c:pt idx="274">
                  <c:v>5.3068296179230061E-3</c:v>
                </c:pt>
                <c:pt idx="275">
                  <c:v>-1.1475046427197214E-2</c:v>
                </c:pt>
                <c:pt idx="276">
                  <c:v>1.2261483611953594E-2</c:v>
                </c:pt>
                <c:pt idx="277">
                  <c:v>2.4474705407860651E-2</c:v>
                </c:pt>
                <c:pt idx="278">
                  <c:v>3.8686416007435435E-2</c:v>
                </c:pt>
                <c:pt idx="279">
                  <c:v>5.4110637877768486E-2</c:v>
                </c:pt>
                <c:pt idx="280">
                  <c:v>6.8666277456709321E-2</c:v>
                </c:pt>
                <c:pt idx="281">
                  <c:v>6.767922118242857E-2</c:v>
                </c:pt>
                <c:pt idx="282">
                  <c:v>6.6214098994388709E-2</c:v>
                </c:pt>
                <c:pt idx="283">
                  <c:v>5.3160695259716589E-2</c:v>
                </c:pt>
                <c:pt idx="284">
                  <c:v>5.5280917250010907E-2</c:v>
                </c:pt>
                <c:pt idx="285">
                  <c:v>6.250825068677146E-2</c:v>
                </c:pt>
                <c:pt idx="286">
                  <c:v>5.3862293576066235E-2</c:v>
                </c:pt>
                <c:pt idx="287">
                  <c:v>5.8015871168927889E-2</c:v>
                </c:pt>
                <c:pt idx="288">
                  <c:v>6.8395394016829911E-2</c:v>
                </c:pt>
                <c:pt idx="289">
                  <c:v>6.4615788923687495E-2</c:v>
                </c:pt>
                <c:pt idx="290">
                  <c:v>5.5893479025546158E-2</c:v>
                </c:pt>
                <c:pt idx="291">
                  <c:v>5.0397429737191385E-2</c:v>
                </c:pt>
                <c:pt idx="292">
                  <c:v>3.3331462205898818E-2</c:v>
                </c:pt>
                <c:pt idx="293">
                  <c:v>3.775635259386257E-2</c:v>
                </c:pt>
                <c:pt idx="294">
                  <c:v>3.7090536647307042E-2</c:v>
                </c:pt>
                <c:pt idx="295">
                  <c:v>3.809049165194428E-2</c:v>
                </c:pt>
                <c:pt idx="296">
                  <c:v>4.2530239321995629E-2</c:v>
                </c:pt>
                <c:pt idx="297">
                  <c:v>3.8100713124970424E-2</c:v>
                </c:pt>
                <c:pt idx="298">
                  <c:v>5.7011883171104075E-2</c:v>
                </c:pt>
                <c:pt idx="299">
                  <c:v>7.2778861996704788E-2</c:v>
                </c:pt>
                <c:pt idx="300">
                  <c:v>5.8407962734964999E-2</c:v>
                </c:pt>
                <c:pt idx="301">
                  <c:v>4.185565106684868E-2</c:v>
                </c:pt>
                <c:pt idx="302">
                  <c:v>4.8641077241672208E-2</c:v>
                </c:pt>
                <c:pt idx="303">
                  <c:v>5.6301595824069822E-2</c:v>
                </c:pt>
                <c:pt idx="304">
                  <c:v>5.2973804599619055E-2</c:v>
                </c:pt>
                <c:pt idx="305">
                  <c:v>5.8904175998914017E-2</c:v>
                </c:pt>
                <c:pt idx="306">
                  <c:v>5.4199999422462113E-2</c:v>
                </c:pt>
                <c:pt idx="307">
                  <c:v>4.6905050524409249E-2</c:v>
                </c:pt>
                <c:pt idx="308">
                  <c:v>4.978014072898946E-2</c:v>
                </c:pt>
                <c:pt idx="309">
                  <c:v>4.8550154022684949E-2</c:v>
                </c:pt>
                <c:pt idx="310">
                  <c:v>4.7846715089065329E-2</c:v>
                </c:pt>
                <c:pt idx="311">
                  <c:v>3.5160232692949316E-2</c:v>
                </c:pt>
                <c:pt idx="312">
                  <c:v>3.041851858369219E-2</c:v>
                </c:pt>
                <c:pt idx="313">
                  <c:v>2.7280876614805685E-2</c:v>
                </c:pt>
                <c:pt idx="314">
                  <c:v>2.6178803185708598E-2</c:v>
                </c:pt>
                <c:pt idx="315">
                  <c:v>1.5869185649103373E-2</c:v>
                </c:pt>
                <c:pt idx="316">
                  <c:v>2.0981559259201154E-2</c:v>
                </c:pt>
                <c:pt idx="317">
                  <c:v>2.1596488304420292E-2</c:v>
                </c:pt>
                <c:pt idx="318">
                  <c:v>1.8616674016915601E-2</c:v>
                </c:pt>
                <c:pt idx="319">
                  <c:v>2.1543190270415735E-2</c:v>
                </c:pt>
                <c:pt idx="320">
                  <c:v>2.5466040891974039E-2</c:v>
                </c:pt>
                <c:pt idx="321">
                  <c:v>2.9438009057152104E-2</c:v>
                </c:pt>
                <c:pt idx="322">
                  <c:v>2.6458688816629682E-2</c:v>
                </c:pt>
                <c:pt idx="323">
                  <c:v>3.6578679407848348E-2</c:v>
                </c:pt>
                <c:pt idx="324">
                  <c:v>3.7494798131551751E-2</c:v>
                </c:pt>
                <c:pt idx="325">
                  <c:v>4.9190078081939349E-2</c:v>
                </c:pt>
                <c:pt idx="326">
                  <c:v>4.9923918818981061E-2</c:v>
                </c:pt>
                <c:pt idx="327">
                  <c:v>3.2328191566708006E-2</c:v>
                </c:pt>
                <c:pt idx="328">
                  <c:v>2.6645564366227205E-2</c:v>
                </c:pt>
                <c:pt idx="329">
                  <c:v>2.4685670444238073E-2</c:v>
                </c:pt>
                <c:pt idx="330">
                  <c:v>1.715504800150601E-2</c:v>
                </c:pt>
                <c:pt idx="331">
                  <c:v>1.8123022582544134E-2</c:v>
                </c:pt>
                <c:pt idx="332">
                  <c:v>2.1781864495737748E-3</c:v>
                </c:pt>
                <c:pt idx="333">
                  <c:v>-6.2065779342207299E-3</c:v>
                </c:pt>
                <c:pt idx="334">
                  <c:v>-3.1352643620478494E-2</c:v>
                </c:pt>
                <c:pt idx="335">
                  <c:v>-2.7942655542411703E-2</c:v>
                </c:pt>
                <c:pt idx="336">
                  <c:v>-4.2639805873185097E-2</c:v>
                </c:pt>
                <c:pt idx="337">
                  <c:v>-4.2602412391351943E-2</c:v>
                </c:pt>
                <c:pt idx="338">
                  <c:v>-4.8131122326695391E-2</c:v>
                </c:pt>
                <c:pt idx="339">
                  <c:v>-4.0154820511967997E-2</c:v>
                </c:pt>
                <c:pt idx="340">
                  <c:v>-4.2363124043094315E-2</c:v>
                </c:pt>
                <c:pt idx="341">
                  <c:v>-4.6267220642904033E-2</c:v>
                </c:pt>
                <c:pt idx="342">
                  <c:v>-5.0626229369505366E-2</c:v>
                </c:pt>
                <c:pt idx="343">
                  <c:v>-5.366353799509798E-2</c:v>
                </c:pt>
                <c:pt idx="344">
                  <c:v>-5.9537225117018443E-2</c:v>
                </c:pt>
                <c:pt idx="345">
                  <c:v>-6.0170615643722468E-2</c:v>
                </c:pt>
                <c:pt idx="346">
                  <c:v>-3.8476483095819733E-2</c:v>
                </c:pt>
                <c:pt idx="347">
                  <c:v>-4.6045965549962251E-2</c:v>
                </c:pt>
                <c:pt idx="348">
                  <c:v>-3.135344292439083E-2</c:v>
                </c:pt>
                <c:pt idx="349">
                  <c:v>-1.7532583757749406E-2</c:v>
                </c:pt>
                <c:pt idx="350">
                  <c:v>-1.5896680183358426E-2</c:v>
                </c:pt>
                <c:pt idx="351">
                  <c:v>-5.1471875045574706E-3</c:v>
                </c:pt>
                <c:pt idx="352">
                  <c:v>8.3949624718469666E-3</c:v>
                </c:pt>
                <c:pt idx="353">
                  <c:v>-3.8849732426594397E-3</c:v>
                </c:pt>
                <c:pt idx="354">
                  <c:v>1.0959071959869322E-2</c:v>
                </c:pt>
                <c:pt idx="355">
                  <c:v>2.1601634537319742E-2</c:v>
                </c:pt>
                <c:pt idx="356">
                  <c:v>2.7538159014204245E-2</c:v>
                </c:pt>
                <c:pt idx="357">
                  <c:v>3.1087179777080517E-2</c:v>
                </c:pt>
                <c:pt idx="358">
                  <c:v>1.5910863989193863E-2</c:v>
                </c:pt>
                <c:pt idx="359">
                  <c:v>2.1210094675044047E-2</c:v>
                </c:pt>
                <c:pt idx="360">
                  <c:v>1.0465887540521102E-2</c:v>
                </c:pt>
                <c:pt idx="361">
                  <c:v>-9.1412556322003832E-3</c:v>
                </c:pt>
                <c:pt idx="362">
                  <c:v>-1.9080252844872938E-2</c:v>
                </c:pt>
                <c:pt idx="363">
                  <c:v>-1.0936757013789886E-2</c:v>
                </c:pt>
                <c:pt idx="364">
                  <c:v>-1.3475570409081724E-2</c:v>
                </c:pt>
                <c:pt idx="365">
                  <c:v>-6.6125350905380546E-3</c:v>
                </c:pt>
                <c:pt idx="366">
                  <c:v>-3.2017644136785564E-3</c:v>
                </c:pt>
                <c:pt idx="367">
                  <c:v>-1.4135420753615928E-2</c:v>
                </c:pt>
                <c:pt idx="368">
                  <c:v>-5.0694061748602134E-3</c:v>
                </c:pt>
                <c:pt idx="369">
                  <c:v>6.2565962909998636E-3</c:v>
                </c:pt>
                <c:pt idx="370">
                  <c:v>1.4583431166996737E-2</c:v>
                </c:pt>
                <c:pt idx="371">
                  <c:v>8.5352890084077846E-3</c:v>
                </c:pt>
                <c:pt idx="372">
                  <c:v>1.6614692783966468E-2</c:v>
                </c:pt>
                <c:pt idx="373">
                  <c:v>2.2099627076337978E-2</c:v>
                </c:pt>
                <c:pt idx="374">
                  <c:v>3.0589659265236397E-2</c:v>
                </c:pt>
                <c:pt idx="375">
                  <c:v>2.8780383874314475E-2</c:v>
                </c:pt>
                <c:pt idx="376">
                  <c:v>1.8024343057578791E-2</c:v>
                </c:pt>
                <c:pt idx="377">
                  <c:v>3.4216084905791644E-2</c:v>
                </c:pt>
                <c:pt idx="378">
                  <c:v>3.0271739130434756E-2</c:v>
                </c:pt>
                <c:pt idx="379">
                  <c:v>2.423016300257896E-2</c:v>
                </c:pt>
                <c:pt idx="380">
                  <c:v>3.5182572400667286E-2</c:v>
                </c:pt>
                <c:pt idx="381">
                  <c:v>2.0070613106286533E-2</c:v>
                </c:pt>
                <c:pt idx="382">
                  <c:v>1.9908064962586194E-2</c:v>
                </c:pt>
                <c:pt idx="383">
                  <c:v>3.2871863754464069E-2</c:v>
                </c:pt>
                <c:pt idx="384">
                  <c:v>4.158042349791375E-2</c:v>
                </c:pt>
                <c:pt idx="385">
                  <c:v>2.9670344645882814E-2</c:v>
                </c:pt>
                <c:pt idx="386">
                  <c:v>5.092649494212876E-2</c:v>
                </c:pt>
                <c:pt idx="387">
                  <c:v>4.0403785738918729E-2</c:v>
                </c:pt>
                <c:pt idx="388">
                  <c:v>3.7827379334094538E-2</c:v>
                </c:pt>
                <c:pt idx="389">
                  <c:v>3.433155233569983E-2</c:v>
                </c:pt>
                <c:pt idx="390">
                  <c:v>3.5876913228242643E-2</c:v>
                </c:pt>
                <c:pt idx="391">
                  <c:v>6.0026324567492739E-2</c:v>
                </c:pt>
                <c:pt idx="392">
                  <c:v>6.5142160455594844E-2</c:v>
                </c:pt>
                <c:pt idx="393">
                  <c:v>7.6130093633658982E-2</c:v>
                </c:pt>
                <c:pt idx="394">
                  <c:v>7.461018454334882E-2</c:v>
                </c:pt>
                <c:pt idx="395">
                  <c:v>7.7080411252838474E-2</c:v>
                </c:pt>
                <c:pt idx="396">
                  <c:v>5.7750369763717925E-2</c:v>
                </c:pt>
                <c:pt idx="397">
                  <c:v>6.6874133654739515E-2</c:v>
                </c:pt>
                <c:pt idx="398">
                  <c:v>4.2131152085549593E-2</c:v>
                </c:pt>
                <c:pt idx="399">
                  <c:v>3.351129981886021E-2</c:v>
                </c:pt>
                <c:pt idx="400">
                  <c:v>3.8322530280710546E-2</c:v>
                </c:pt>
                <c:pt idx="401">
                  <c:v>3.3413824563774758E-2</c:v>
                </c:pt>
                <c:pt idx="402">
                  <c:v>2.1648728195479007E-2</c:v>
                </c:pt>
                <c:pt idx="403">
                  <c:v>5.5714641698978024E-3</c:v>
                </c:pt>
                <c:pt idx="404">
                  <c:v>-2.5381983523537072E-2</c:v>
                </c:pt>
                <c:pt idx="405">
                  <c:v>-3.4430756300296447E-2</c:v>
                </c:pt>
                <c:pt idx="406">
                  <c:v>-7.9244945547046301E-3</c:v>
                </c:pt>
                <c:pt idx="407">
                  <c:v>-3.6116449615913843E-2</c:v>
                </c:pt>
                <c:pt idx="408">
                  <c:v>-2.5290783338244756E-2</c:v>
                </c:pt>
                <c:pt idx="409">
                  <c:v>-1.1882776672772953E-2</c:v>
                </c:pt>
                <c:pt idx="410">
                  <c:v>-1.0810860238562139E-2</c:v>
                </c:pt>
                <c:pt idx="411">
                  <c:v>-6.2955227930081258E-3</c:v>
                </c:pt>
                <c:pt idx="412">
                  <c:v>3.2604819828304992E-3</c:v>
                </c:pt>
                <c:pt idx="413">
                  <c:v>-3.6076959709171125E-3</c:v>
                </c:pt>
                <c:pt idx="414">
                  <c:v>-9.3269081299547933E-4</c:v>
                </c:pt>
                <c:pt idx="415">
                  <c:v>1.5435179014245217E-3</c:v>
                </c:pt>
                <c:pt idx="416">
                  <c:v>5.8867725835554776E-3</c:v>
                </c:pt>
                <c:pt idx="417">
                  <c:v>7.9839891844747761E-3</c:v>
                </c:pt>
                <c:pt idx="418">
                  <c:v>-1.7138283150178929E-2</c:v>
                </c:pt>
                <c:pt idx="419">
                  <c:v>-1.0126264510919984E-3</c:v>
                </c:pt>
                <c:pt idx="420">
                  <c:v>-2.2819542186428142E-2</c:v>
                </c:pt>
                <c:pt idx="421">
                  <c:v>-4.6791995493719707E-2</c:v>
                </c:pt>
                <c:pt idx="422">
                  <c:v>-6.0768837734631327E-2</c:v>
                </c:pt>
                <c:pt idx="423">
                  <c:v>-6.7812792837736724E-2</c:v>
                </c:pt>
                <c:pt idx="424">
                  <c:v>-8.2677195056015798E-2</c:v>
                </c:pt>
                <c:pt idx="425">
                  <c:v>-8.1402696846666775E-2</c:v>
                </c:pt>
                <c:pt idx="426">
                  <c:v>-9.5897233816575389E-2</c:v>
                </c:pt>
                <c:pt idx="427">
                  <c:v>-0.12067161576403768</c:v>
                </c:pt>
                <c:pt idx="428">
                  <c:v>-0.12971639992590062</c:v>
                </c:pt>
                <c:pt idx="429">
                  <c:v>-0.17268577936814197</c:v>
                </c:pt>
                <c:pt idx="430">
                  <c:v>-0.21988034427559028</c:v>
                </c:pt>
                <c:pt idx="431">
                  <c:v>-0.25455337298521624</c:v>
                </c:pt>
                <c:pt idx="432">
                  <c:v>-0.25199586786886718</c:v>
                </c:pt>
                <c:pt idx="433">
                  <c:v>-0.26738498038847247</c:v>
                </c:pt>
                <c:pt idx="434">
                  <c:v>-0.26734995168390535</c:v>
                </c:pt>
                <c:pt idx="435">
                  <c:v>-0.26273715346237053</c:v>
                </c:pt>
                <c:pt idx="436">
                  <c:v>-0.25444791078409335</c:v>
                </c:pt>
                <c:pt idx="437">
                  <c:v>-0.2497187830910777</c:v>
                </c:pt>
                <c:pt idx="438">
                  <c:v>-0.2282710868221216</c:v>
                </c:pt>
                <c:pt idx="439">
                  <c:v>-0.21011225488360122</c:v>
                </c:pt>
                <c:pt idx="440">
                  <c:v>-0.2106560770513636</c:v>
                </c:pt>
                <c:pt idx="441">
                  <c:v>-0.15261568176214355</c:v>
                </c:pt>
                <c:pt idx="442">
                  <c:v>-0.1220670871497215</c:v>
                </c:pt>
                <c:pt idx="443">
                  <c:v>-6.4198388520342833E-2</c:v>
                </c:pt>
                <c:pt idx="444">
                  <c:v>-4.6773875867502507E-2</c:v>
                </c:pt>
                <c:pt idx="445">
                  <c:v>3.360683834439581E-3</c:v>
                </c:pt>
                <c:pt idx="446">
                  <c:v>5.2996987197727566E-2</c:v>
                </c:pt>
                <c:pt idx="447">
                  <c:v>6.0350313590131974E-2</c:v>
                </c:pt>
                <c:pt idx="448">
                  <c:v>5.9520789132755568E-2</c:v>
                </c:pt>
                <c:pt idx="449">
                  <c:v>4.9684398158887581E-2</c:v>
                </c:pt>
                <c:pt idx="450">
                  <c:v>4.8613265721654468E-2</c:v>
                </c:pt>
                <c:pt idx="451">
                  <c:v>5.2486130749675168E-2</c:v>
                </c:pt>
                <c:pt idx="452">
                  <c:v>7.2519343645821049E-2</c:v>
                </c:pt>
                <c:pt idx="453">
                  <c:v>5.9627065627235486E-2</c:v>
                </c:pt>
                <c:pt idx="454">
                  <c:v>6.975394672234822E-2</c:v>
                </c:pt>
                <c:pt idx="455">
                  <c:v>4.4999172451393621E-2</c:v>
                </c:pt>
                <c:pt idx="456">
                  <c:v>3.9192259027468083E-2</c:v>
                </c:pt>
                <c:pt idx="457">
                  <c:v>3.041600271394411E-2</c:v>
                </c:pt>
                <c:pt idx="458">
                  <c:v>7.9676654276377844E-4</c:v>
                </c:pt>
                <c:pt idx="459">
                  <c:v>1.0187632838175063E-2</c:v>
                </c:pt>
                <c:pt idx="460">
                  <c:v>1.3777626106923959E-2</c:v>
                </c:pt>
                <c:pt idx="461">
                  <c:v>2.916959866940376E-2</c:v>
                </c:pt>
                <c:pt idx="462">
                  <c:v>2.0288598787584523E-2</c:v>
                </c:pt>
                <c:pt idx="463">
                  <c:v>2.2495792291084529E-2</c:v>
                </c:pt>
                <c:pt idx="464">
                  <c:v>2.3228723342906193E-2</c:v>
                </c:pt>
                <c:pt idx="465">
                  <c:v>1.6515044205260659E-2</c:v>
                </c:pt>
                <c:pt idx="466">
                  <c:v>3.6469513693453942E-2</c:v>
                </c:pt>
                <c:pt idx="467">
                  <c:v>5.61815810313505E-2</c:v>
                </c:pt>
                <c:pt idx="468">
                  <c:v>7.0050433692326358E-2</c:v>
                </c:pt>
                <c:pt idx="469">
                  <c:v>5.7501498340522664E-2</c:v>
                </c:pt>
                <c:pt idx="470">
                  <c:v>7.2668213349526445E-2</c:v>
                </c:pt>
                <c:pt idx="471">
                  <c:v>4.8422361215406794E-2</c:v>
                </c:pt>
                <c:pt idx="472">
                  <c:v>3.7424331463847479E-2</c:v>
                </c:pt>
                <c:pt idx="473">
                  <c:v>2.2845834972040308E-2</c:v>
                </c:pt>
                <c:pt idx="474">
                  <c:v>3.0843856093723348E-2</c:v>
                </c:pt>
                <c:pt idx="475">
                  <c:v>2.5764082124212013E-2</c:v>
                </c:pt>
                <c:pt idx="476">
                  <c:v>2.0537213837257828E-2</c:v>
                </c:pt>
                <c:pt idx="477">
                  <c:v>3.3658440498635277E-2</c:v>
                </c:pt>
                <c:pt idx="478">
                  <c:v>3.1428788698876789E-2</c:v>
                </c:pt>
                <c:pt idx="479">
                  <c:v>2.2111052549171874E-2</c:v>
                </c:pt>
                <c:pt idx="480">
                  <c:v>2.8106541214328467E-2</c:v>
                </c:pt>
                <c:pt idx="481">
                  <c:v>2.7391328655383601E-2</c:v>
                </c:pt>
                <c:pt idx="482">
                  <c:v>7.4673546312831055E-3</c:v>
                </c:pt>
                <c:pt idx="483">
                  <c:v>1.7796994164114597E-2</c:v>
                </c:pt>
                <c:pt idx="484">
                  <c:v>3.3595042413149812E-2</c:v>
                </c:pt>
                <c:pt idx="485">
                  <c:v>3.7827368160528847E-2</c:v>
                </c:pt>
                <c:pt idx="486">
                  <c:v>3.6914407410134333E-2</c:v>
                </c:pt>
                <c:pt idx="487">
                  <c:v>5.0732858124658622E-2</c:v>
                </c:pt>
                <c:pt idx="488">
                  <c:v>5.2043870597201239E-2</c:v>
                </c:pt>
                <c:pt idx="489">
                  <c:v>4.5249627584044043E-2</c:v>
                </c:pt>
                <c:pt idx="490">
                  <c:v>2.3841069655085617E-2</c:v>
                </c:pt>
                <c:pt idx="491">
                  <c:v>1.4811618436311555E-2</c:v>
                </c:pt>
                <c:pt idx="492">
                  <c:v>6.217374201299199E-3</c:v>
                </c:pt>
                <c:pt idx="493">
                  <c:v>2.3528344767981577E-2</c:v>
                </c:pt>
                <c:pt idx="494">
                  <c:v>2.2240309005180602E-2</c:v>
                </c:pt>
                <c:pt idx="495">
                  <c:v>3.8977241641948691E-2</c:v>
                </c:pt>
                <c:pt idx="496">
                  <c:v>3.8673186512645098E-2</c:v>
                </c:pt>
                <c:pt idx="497">
                  <c:v>4.8492752543130638E-2</c:v>
                </c:pt>
                <c:pt idx="498">
                  <c:v>4.2650984697786734E-2</c:v>
                </c:pt>
                <c:pt idx="499">
                  <c:v>3.578245625068794E-2</c:v>
                </c:pt>
                <c:pt idx="500">
                  <c:v>3.1136680979727261E-2</c:v>
                </c:pt>
                <c:pt idx="501">
                  <c:v>2.1909984768961159E-2</c:v>
                </c:pt>
                <c:pt idx="502">
                  <c:v>4.763079725300616E-2</c:v>
                </c:pt>
                <c:pt idx="503">
                  <c:v>4.09884076304474E-2</c:v>
                </c:pt>
                <c:pt idx="504">
                  <c:v>2.2409286186733903E-2</c:v>
                </c:pt>
                <c:pt idx="505">
                  <c:v>3.113855353235424E-3</c:v>
                </c:pt>
                <c:pt idx="506">
                  <c:v>1.6767354012090851E-2</c:v>
                </c:pt>
                <c:pt idx="507">
                  <c:v>6.1155227723978002E-3</c:v>
                </c:pt>
                <c:pt idx="508">
                  <c:v>2.1075042314012303E-3</c:v>
                </c:pt>
                <c:pt idx="509">
                  <c:v>-7.537234323405537E-3</c:v>
                </c:pt>
                <c:pt idx="510">
                  <c:v>-4.6247639337520239E-4</c:v>
                </c:pt>
                <c:pt idx="511">
                  <c:v>-1.2453549656328274E-2</c:v>
                </c:pt>
                <c:pt idx="512">
                  <c:v>3.4973650129101301E-3</c:v>
                </c:pt>
                <c:pt idx="513">
                  <c:v>5.9016446922406998E-3</c:v>
                </c:pt>
                <c:pt idx="514">
                  <c:v>1.4293180010169428E-3</c:v>
                </c:pt>
                <c:pt idx="515">
                  <c:v>1.130952563305263E-2</c:v>
                </c:pt>
                <c:pt idx="516">
                  <c:v>2.2685958825894151E-2</c:v>
                </c:pt>
                <c:pt idx="517">
                  <c:v>2.6555524147621013E-2</c:v>
                </c:pt>
                <c:pt idx="518">
                  <c:v>2.2932840863953533E-2</c:v>
                </c:pt>
                <c:pt idx="519">
                  <c:v>1.0983721966007245E-2</c:v>
                </c:pt>
                <c:pt idx="520">
                  <c:v>3.9495221824510113E-3</c:v>
                </c:pt>
                <c:pt idx="521">
                  <c:v>1.3370901586931458E-2</c:v>
                </c:pt>
                <c:pt idx="522">
                  <c:v>-9.3961738048095199E-4</c:v>
                </c:pt>
                <c:pt idx="523">
                  <c:v>1.0388934319554555E-2</c:v>
                </c:pt>
                <c:pt idx="524">
                  <c:v>5.0781095430919186E-3</c:v>
                </c:pt>
                <c:pt idx="525">
                  <c:v>9.7364756532367716E-3</c:v>
                </c:pt>
                <c:pt idx="526">
                  <c:v>-1.150906886767592E-2</c:v>
                </c:pt>
                <c:pt idx="527">
                  <c:v>6.5674547477730305E-3</c:v>
                </c:pt>
                <c:pt idx="528">
                  <c:v>1.0045483069404768E-2</c:v>
                </c:pt>
                <c:pt idx="529">
                  <c:v>4.4948324611941331E-3</c:v>
                </c:pt>
                <c:pt idx="530">
                  <c:v>7.963747600840421E-3</c:v>
                </c:pt>
                <c:pt idx="531">
                  <c:v>1.2775784275411248E-2</c:v>
                </c:pt>
                <c:pt idx="532">
                  <c:v>1.6287898846791535E-2</c:v>
                </c:pt>
                <c:pt idx="533">
                  <c:v>6.1171743278578402E-3</c:v>
                </c:pt>
                <c:pt idx="534">
                  <c:v>6.1560071453654087E-3</c:v>
                </c:pt>
                <c:pt idx="535">
                  <c:v>1.9881661365701714E-2</c:v>
                </c:pt>
                <c:pt idx="536">
                  <c:v>1.9296230193981915E-2</c:v>
                </c:pt>
                <c:pt idx="537">
                  <c:v>1.3480757475843408E-2</c:v>
                </c:pt>
                <c:pt idx="538">
                  <c:v>2.7479972837602475E-2</c:v>
                </c:pt>
                <c:pt idx="539">
                  <c:v>-9.1187971614358748E-3</c:v>
                </c:pt>
                <c:pt idx="540">
                  <c:v>1.7244932669027834E-2</c:v>
                </c:pt>
                <c:pt idx="541">
                  <c:v>1.7361709504041749E-2</c:v>
                </c:pt>
                <c:pt idx="542">
                  <c:v>1.9428871040205537E-2</c:v>
                </c:pt>
                <c:pt idx="543">
                  <c:v>2.7753973766476082E-2</c:v>
                </c:pt>
                <c:pt idx="544">
                  <c:v>2.5500275564908012E-2</c:v>
                </c:pt>
                <c:pt idx="545">
                  <c:v>2.5976645403286772E-2</c:v>
                </c:pt>
                <c:pt idx="546">
                  <c:v>3.6885067622455268E-2</c:v>
                </c:pt>
                <c:pt idx="547">
                  <c:v>1.2435522734482471E-2</c:v>
                </c:pt>
                <c:pt idx="548">
                  <c:v>8.1180680245968185E-3</c:v>
                </c:pt>
                <c:pt idx="549">
                  <c:v>3.8564382910451687E-3</c:v>
                </c:pt>
                <c:pt idx="550">
                  <c:v>1.5874482958757988E-2</c:v>
                </c:pt>
                <c:pt idx="551">
                  <c:v>3.1987786407924233E-2</c:v>
                </c:pt>
                <c:pt idx="552">
                  <c:v>-1.5314075751123457E-2</c:v>
                </c:pt>
                <c:pt idx="553">
                  <c:v>-8.4886296544317997E-3</c:v>
                </c:pt>
                <c:pt idx="554">
                  <c:v>-2.1671446772005613E-2</c:v>
                </c:pt>
                <c:pt idx="555">
                  <c:v>-2.0471571704137381E-2</c:v>
                </c:pt>
                <c:pt idx="556">
                  <c:v>-1.0206195439115568E-2</c:v>
                </c:pt>
                <c:pt idx="557">
                  <c:v>-1.6482205243164311E-2</c:v>
                </c:pt>
                <c:pt idx="558">
                  <c:v>-1.5899094992604584E-2</c:v>
                </c:pt>
                <c:pt idx="559">
                  <c:v>-1.1429222506413981E-2</c:v>
                </c:pt>
                <c:pt idx="560">
                  <c:v>-2.0117494498585301E-2</c:v>
                </c:pt>
                <c:pt idx="561">
                  <c:v>-2.0966147544379851E-2</c:v>
                </c:pt>
                <c:pt idx="562">
                  <c:v>-2.1020780117768072E-2</c:v>
                </c:pt>
                <c:pt idx="563">
                  <c:v>4.2370220964773452E-3</c:v>
                </c:pt>
                <c:pt idx="564">
                  <c:v>2.2668661594117463E-2</c:v>
                </c:pt>
                <c:pt idx="565">
                  <c:v>-1.0825268083992499E-2</c:v>
                </c:pt>
                <c:pt idx="566">
                  <c:v>-0.11503049480951155</c:v>
                </c:pt>
                <c:pt idx="567">
                  <c:v>-8.778809872265865E-2</c:v>
                </c:pt>
                <c:pt idx="568">
                  <c:v>-8.2599093936243845E-2</c:v>
                </c:pt>
                <c:pt idx="569">
                  <c:v>-6.0938718197584792E-2</c:v>
                </c:pt>
                <c:pt idx="570">
                  <c:v>-5.2602045469867104E-2</c:v>
                </c:pt>
                <c:pt idx="571">
                  <c:v>-4.6062619727042169E-2</c:v>
                </c:pt>
                <c:pt idx="572">
                  <c:v>-1.6764884574742227E-2</c:v>
                </c:pt>
                <c:pt idx="573">
                  <c:v>-1.0985688978639375E-2</c:v>
                </c:pt>
                <c:pt idx="574">
                  <c:v>-6.4435410695797453E-3</c:v>
                </c:pt>
                <c:pt idx="575">
                  <c:v>-1.9458476242762552E-2</c:v>
                </c:pt>
                <c:pt idx="576">
                  <c:v>-5.2514791454650891E-2</c:v>
                </c:pt>
                <c:pt idx="577">
                  <c:v>1.6746392152426522E-2</c:v>
                </c:pt>
                <c:pt idx="578">
                  <c:v>0.13088485873618172</c:v>
                </c:pt>
                <c:pt idx="579">
                  <c:v>8.5415272855859689E-2</c:v>
                </c:pt>
                <c:pt idx="580">
                  <c:v>6.6094972042992237E-2</c:v>
                </c:pt>
                <c:pt idx="581">
                  <c:v>6.1476959245159168E-2</c:v>
                </c:pt>
                <c:pt idx="582">
                  <c:v>5.2891870114377064E-2</c:v>
                </c:pt>
                <c:pt idx="583">
                  <c:v>6.1695913741959145E-2</c:v>
                </c:pt>
                <c:pt idx="584">
                  <c:v>5.3207847295864218E-2</c:v>
                </c:pt>
                <c:pt idx="585">
                  <c:v>6.804315931042923E-2</c:v>
                </c:pt>
                <c:pt idx="586">
                  <c:v>5.5624172738281547E-2</c:v>
                </c:pt>
                <c:pt idx="587">
                  <c:v>3.3450627049817334E-2</c:v>
                </c:pt>
                <c:pt idx="588">
                  <c:v>9.0793830117963326E-2</c:v>
                </c:pt>
                <c:pt idx="589">
                  <c:v>4.5400360008106141E-2</c:v>
                </c:pt>
                <c:pt idx="590">
                  <c:v>5.2234384570581285E-2</c:v>
                </c:pt>
                <c:pt idx="591">
                  <c:v>5.7235939126106694E-2</c:v>
                </c:pt>
                <c:pt idx="592">
                  <c:v>4.8368586006934437E-2</c:v>
                </c:pt>
                <c:pt idx="593">
                  <c:v>4.2043860576760086E-2</c:v>
                </c:pt>
                <c:pt idx="594">
                  <c:v>3.4818725562886101E-2</c:v>
                </c:pt>
                <c:pt idx="595">
                  <c:v>2.2935653811817471E-2</c:v>
                </c:pt>
                <c:pt idx="596">
                  <c:v>9.2622533405879535E-3</c:v>
                </c:pt>
                <c:pt idx="597">
                  <c:v>-9.7341983834210426E-3</c:v>
                </c:pt>
                <c:pt idx="598">
                  <c:v>-2.3536798698106313E-2</c:v>
                </c:pt>
                <c:pt idx="599">
                  <c:v>-3.6989407359706763E-3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51E-4C01-83B4-7B667C3BBB45}"/>
            </c:ext>
          </c:extLst>
        </c:ser>
        <c:dLbls>
          <c:showLegendKey val="0"/>
          <c:showVal val="0"/>
          <c:showCatName val="0"/>
          <c:showSerName val="0"/>
          <c:showPercent val="0"/>
          <c:showBubbleSize val="0"/>
        </c:dLbls>
        <c:gapWidth val="219"/>
        <c:overlap val="-27"/>
        <c:axId val="1294078479"/>
        <c:axId val="1294080127"/>
      </c:barChart>
      <c:dateAx>
        <c:axId val="129407847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80127"/>
        <c:crosses val="autoZero"/>
        <c:auto val="0"/>
        <c:lblOffset val="100"/>
        <c:baseTimeUnit val="months"/>
      </c:dateAx>
      <c:valAx>
        <c:axId val="12940801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7847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Construction!$AA$1</c:f>
          <c:strCache>
            <c:ptCount val="1"/>
            <c:pt idx="0">
              <c:v>Industrial Production: Construction supplies yoy since 2010 </c:v>
            </c:pt>
          </c:strCache>
        </c:strRef>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supplies yoy since 2010 </c:v>
                </c:pt>
              </c:strCache>
            </c:strRef>
          </c:tx>
          <c:spPr>
            <a:solidFill>
              <a:srgbClr val="00B050"/>
            </a:solidFill>
            <a:ln>
              <a:noFill/>
              <a:prstDash val="solid"/>
            </a:ln>
          </c:spPr>
          <c:invertIfNegative val="1"/>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Construction!$D$463:$D$619</c:f>
              <c:numCache>
                <c:formatCode>0.0%</c:formatCode>
                <c:ptCount val="157"/>
                <c:pt idx="0">
                  <c:v>-6.4198388520342833E-2</c:v>
                </c:pt>
                <c:pt idx="1">
                  <c:v>-4.6773875867502507E-2</c:v>
                </c:pt>
                <c:pt idx="2">
                  <c:v>3.360683834439581E-3</c:v>
                </c:pt>
                <c:pt idx="3">
                  <c:v>5.2996987197727566E-2</c:v>
                </c:pt>
                <c:pt idx="4">
                  <c:v>6.0350313590131974E-2</c:v>
                </c:pt>
                <c:pt idx="5">
                  <c:v>5.9520789132755568E-2</c:v>
                </c:pt>
                <c:pt idx="6">
                  <c:v>4.9684398158887581E-2</c:v>
                </c:pt>
                <c:pt idx="7">
                  <c:v>4.8613265721654468E-2</c:v>
                </c:pt>
                <c:pt idx="8">
                  <c:v>5.2486130749675168E-2</c:v>
                </c:pt>
                <c:pt idx="9">
                  <c:v>7.2519343645821049E-2</c:v>
                </c:pt>
                <c:pt idx="10">
                  <c:v>5.9627065627235486E-2</c:v>
                </c:pt>
                <c:pt idx="11">
                  <c:v>6.975394672234822E-2</c:v>
                </c:pt>
                <c:pt idx="12">
                  <c:v>4.4999172451393621E-2</c:v>
                </c:pt>
                <c:pt idx="13">
                  <c:v>3.9192259027468083E-2</c:v>
                </c:pt>
                <c:pt idx="14">
                  <c:v>3.041600271394411E-2</c:v>
                </c:pt>
                <c:pt idx="15">
                  <c:v>7.9676654276377844E-4</c:v>
                </c:pt>
                <c:pt idx="16">
                  <c:v>1.0187632838175063E-2</c:v>
                </c:pt>
                <c:pt idx="17">
                  <c:v>1.3777626106923959E-2</c:v>
                </c:pt>
                <c:pt idx="18">
                  <c:v>2.916959866940376E-2</c:v>
                </c:pt>
                <c:pt idx="19">
                  <c:v>2.0288598787584523E-2</c:v>
                </c:pt>
                <c:pt idx="20">
                  <c:v>2.2495792291084529E-2</c:v>
                </c:pt>
                <c:pt idx="21">
                  <c:v>2.3228723342906193E-2</c:v>
                </c:pt>
                <c:pt idx="22">
                  <c:v>1.6515044205260659E-2</c:v>
                </c:pt>
                <c:pt idx="23">
                  <c:v>3.6469513693453942E-2</c:v>
                </c:pt>
                <c:pt idx="24">
                  <c:v>5.61815810313505E-2</c:v>
                </c:pt>
                <c:pt idx="25">
                  <c:v>7.0050433692326358E-2</c:v>
                </c:pt>
                <c:pt idx="26">
                  <c:v>5.7501498340522664E-2</c:v>
                </c:pt>
                <c:pt idx="27">
                  <c:v>7.2668213349526445E-2</c:v>
                </c:pt>
                <c:pt idx="28">
                  <c:v>4.8422361215406794E-2</c:v>
                </c:pt>
                <c:pt idx="29">
                  <c:v>3.7424331463847479E-2</c:v>
                </c:pt>
                <c:pt idx="30">
                  <c:v>2.2845834972040308E-2</c:v>
                </c:pt>
                <c:pt idx="31">
                  <c:v>3.0843856093723348E-2</c:v>
                </c:pt>
                <c:pt idx="32">
                  <c:v>2.5764082124212013E-2</c:v>
                </c:pt>
                <c:pt idx="33">
                  <c:v>2.0537213837257828E-2</c:v>
                </c:pt>
                <c:pt idx="34">
                  <c:v>3.3658440498635277E-2</c:v>
                </c:pt>
                <c:pt idx="35">
                  <c:v>3.1428788698876789E-2</c:v>
                </c:pt>
                <c:pt idx="36">
                  <c:v>2.2111052549171874E-2</c:v>
                </c:pt>
                <c:pt idx="37">
                  <c:v>2.8106541214328467E-2</c:v>
                </c:pt>
                <c:pt idx="38">
                  <c:v>2.7391328655383601E-2</c:v>
                </c:pt>
                <c:pt idx="39">
                  <c:v>7.4673546312831055E-3</c:v>
                </c:pt>
                <c:pt idx="40">
                  <c:v>1.7796994164114597E-2</c:v>
                </c:pt>
                <c:pt idx="41">
                  <c:v>3.3595042413149812E-2</c:v>
                </c:pt>
                <c:pt idx="42">
                  <c:v>3.7827368160528847E-2</c:v>
                </c:pt>
                <c:pt idx="43">
                  <c:v>3.6914407410134333E-2</c:v>
                </c:pt>
                <c:pt idx="44">
                  <c:v>5.0732858124658622E-2</c:v>
                </c:pt>
                <c:pt idx="45">
                  <c:v>5.2043870597201239E-2</c:v>
                </c:pt>
                <c:pt idx="46">
                  <c:v>4.5249627584044043E-2</c:v>
                </c:pt>
                <c:pt idx="47">
                  <c:v>2.3841069655085617E-2</c:v>
                </c:pt>
                <c:pt idx="48">
                  <c:v>1.4811618436311555E-2</c:v>
                </c:pt>
                <c:pt idx="49">
                  <c:v>6.217374201299199E-3</c:v>
                </c:pt>
                <c:pt idx="50">
                  <c:v>2.3528344767981577E-2</c:v>
                </c:pt>
                <c:pt idx="51">
                  <c:v>2.2240309005180602E-2</c:v>
                </c:pt>
                <c:pt idx="52">
                  <c:v>3.8977241641948691E-2</c:v>
                </c:pt>
                <c:pt idx="53">
                  <c:v>3.8673186512645098E-2</c:v>
                </c:pt>
                <c:pt idx="54">
                  <c:v>4.8492752543130638E-2</c:v>
                </c:pt>
                <c:pt idx="55">
                  <c:v>4.2650984697786734E-2</c:v>
                </c:pt>
                <c:pt idx="56">
                  <c:v>3.578245625068794E-2</c:v>
                </c:pt>
                <c:pt idx="57">
                  <c:v>3.1136680979727261E-2</c:v>
                </c:pt>
                <c:pt idx="58">
                  <c:v>2.1909984768961159E-2</c:v>
                </c:pt>
                <c:pt idx="59">
                  <c:v>4.763079725300616E-2</c:v>
                </c:pt>
                <c:pt idx="60">
                  <c:v>4.09884076304474E-2</c:v>
                </c:pt>
                <c:pt idx="61">
                  <c:v>2.2409286186733903E-2</c:v>
                </c:pt>
                <c:pt idx="62">
                  <c:v>3.113855353235424E-3</c:v>
                </c:pt>
                <c:pt idx="63">
                  <c:v>1.6767354012090851E-2</c:v>
                </c:pt>
                <c:pt idx="64">
                  <c:v>6.1155227723978002E-3</c:v>
                </c:pt>
                <c:pt idx="65">
                  <c:v>2.1075042314012303E-3</c:v>
                </c:pt>
                <c:pt idx="66">
                  <c:v>-7.537234323405537E-3</c:v>
                </c:pt>
                <c:pt idx="67">
                  <c:v>-4.6247639337520239E-4</c:v>
                </c:pt>
                <c:pt idx="68">
                  <c:v>-1.2453549656328274E-2</c:v>
                </c:pt>
                <c:pt idx="69">
                  <c:v>3.4973650129101301E-3</c:v>
                </c:pt>
                <c:pt idx="70">
                  <c:v>5.9016446922406998E-3</c:v>
                </c:pt>
                <c:pt idx="71">
                  <c:v>1.4293180010169428E-3</c:v>
                </c:pt>
                <c:pt idx="72">
                  <c:v>1.130952563305263E-2</c:v>
                </c:pt>
                <c:pt idx="73">
                  <c:v>2.2685958825894151E-2</c:v>
                </c:pt>
                <c:pt idx="74">
                  <c:v>2.6555524147621013E-2</c:v>
                </c:pt>
                <c:pt idx="75">
                  <c:v>2.2932840863953533E-2</c:v>
                </c:pt>
                <c:pt idx="76">
                  <c:v>1.0983721966007245E-2</c:v>
                </c:pt>
                <c:pt idx="77">
                  <c:v>3.9495221824510113E-3</c:v>
                </c:pt>
                <c:pt idx="78">
                  <c:v>1.3370901586931458E-2</c:v>
                </c:pt>
                <c:pt idx="79">
                  <c:v>-9.3961738048095199E-4</c:v>
                </c:pt>
                <c:pt idx="80">
                  <c:v>1.0388934319554555E-2</c:v>
                </c:pt>
                <c:pt idx="81">
                  <c:v>5.0781095430919186E-3</c:v>
                </c:pt>
                <c:pt idx="82">
                  <c:v>9.7364756532367716E-3</c:v>
                </c:pt>
                <c:pt idx="83">
                  <c:v>-1.150906886767592E-2</c:v>
                </c:pt>
                <c:pt idx="84">
                  <c:v>6.5674547477730305E-3</c:v>
                </c:pt>
                <c:pt idx="85">
                  <c:v>1.0045483069404768E-2</c:v>
                </c:pt>
                <c:pt idx="86">
                  <c:v>4.4948324611941331E-3</c:v>
                </c:pt>
                <c:pt idx="87">
                  <c:v>7.963747600840421E-3</c:v>
                </c:pt>
                <c:pt idx="88">
                  <c:v>1.2775784275411248E-2</c:v>
                </c:pt>
                <c:pt idx="89">
                  <c:v>1.6287898846791535E-2</c:v>
                </c:pt>
                <c:pt idx="90">
                  <c:v>6.1171743278578402E-3</c:v>
                </c:pt>
                <c:pt idx="91">
                  <c:v>6.1560071453654087E-3</c:v>
                </c:pt>
                <c:pt idx="92">
                  <c:v>1.9881661365701714E-2</c:v>
                </c:pt>
                <c:pt idx="93">
                  <c:v>1.9296230193981915E-2</c:v>
                </c:pt>
                <c:pt idx="94">
                  <c:v>1.3480757475843408E-2</c:v>
                </c:pt>
                <c:pt idx="95">
                  <c:v>2.7479972837602475E-2</c:v>
                </c:pt>
                <c:pt idx="96">
                  <c:v>-9.1187971614358748E-3</c:v>
                </c:pt>
                <c:pt idx="97">
                  <c:v>1.7244932669027834E-2</c:v>
                </c:pt>
                <c:pt idx="98">
                  <c:v>1.7361709504041749E-2</c:v>
                </c:pt>
                <c:pt idx="99">
                  <c:v>1.9428871040205537E-2</c:v>
                </c:pt>
                <c:pt idx="100">
                  <c:v>2.7753973766476082E-2</c:v>
                </c:pt>
                <c:pt idx="101">
                  <c:v>2.5500275564908012E-2</c:v>
                </c:pt>
                <c:pt idx="102">
                  <c:v>2.5976645403286772E-2</c:v>
                </c:pt>
                <c:pt idx="103">
                  <c:v>3.6885067622455268E-2</c:v>
                </c:pt>
                <c:pt idx="104">
                  <c:v>1.2435522734482471E-2</c:v>
                </c:pt>
                <c:pt idx="105">
                  <c:v>8.1180680245968185E-3</c:v>
                </c:pt>
                <c:pt idx="106">
                  <c:v>3.8564382910451687E-3</c:v>
                </c:pt>
                <c:pt idx="107">
                  <c:v>1.5874482958757988E-2</c:v>
                </c:pt>
                <c:pt idx="108">
                  <c:v>3.1987786407924233E-2</c:v>
                </c:pt>
                <c:pt idx="109">
                  <c:v>-1.5314075751123457E-2</c:v>
                </c:pt>
                <c:pt idx="110">
                  <c:v>-8.4886296544317997E-3</c:v>
                </c:pt>
                <c:pt idx="111">
                  <c:v>-2.1671446772005613E-2</c:v>
                </c:pt>
                <c:pt idx="112">
                  <c:v>-2.0471571704137381E-2</c:v>
                </c:pt>
                <c:pt idx="113">
                  <c:v>-1.0206195439115568E-2</c:v>
                </c:pt>
                <c:pt idx="114">
                  <c:v>-1.6482205243164311E-2</c:v>
                </c:pt>
                <c:pt idx="115">
                  <c:v>-1.5899094992604584E-2</c:v>
                </c:pt>
                <c:pt idx="116">
                  <c:v>-1.1429222506413981E-2</c:v>
                </c:pt>
                <c:pt idx="117">
                  <c:v>-2.0117494498585301E-2</c:v>
                </c:pt>
                <c:pt idx="118">
                  <c:v>-2.0966147544379851E-2</c:v>
                </c:pt>
                <c:pt idx="119">
                  <c:v>-2.1020780117768072E-2</c:v>
                </c:pt>
                <c:pt idx="120">
                  <c:v>4.2370220964773452E-3</c:v>
                </c:pt>
                <c:pt idx="121">
                  <c:v>2.2668661594117463E-2</c:v>
                </c:pt>
                <c:pt idx="122">
                  <c:v>-1.0825268083992499E-2</c:v>
                </c:pt>
                <c:pt idx="123">
                  <c:v>-0.11503049480951155</c:v>
                </c:pt>
                <c:pt idx="124">
                  <c:v>-8.778809872265865E-2</c:v>
                </c:pt>
                <c:pt idx="125">
                  <c:v>-8.2599093936243845E-2</c:v>
                </c:pt>
                <c:pt idx="126">
                  <c:v>-6.0938718197584792E-2</c:v>
                </c:pt>
                <c:pt idx="127">
                  <c:v>-5.2602045469867104E-2</c:v>
                </c:pt>
                <c:pt idx="128">
                  <c:v>-4.6062619727042169E-2</c:v>
                </c:pt>
                <c:pt idx="129">
                  <c:v>-1.6764884574742227E-2</c:v>
                </c:pt>
                <c:pt idx="130">
                  <c:v>-1.0985688978639375E-2</c:v>
                </c:pt>
                <c:pt idx="131">
                  <c:v>-6.4435410695797453E-3</c:v>
                </c:pt>
                <c:pt idx="132">
                  <c:v>-1.9458476242762552E-2</c:v>
                </c:pt>
                <c:pt idx="133">
                  <c:v>-5.2514791454650891E-2</c:v>
                </c:pt>
                <c:pt idx="134">
                  <c:v>1.6746392152426522E-2</c:v>
                </c:pt>
                <c:pt idx="135">
                  <c:v>0.13088485873618172</c:v>
                </c:pt>
                <c:pt idx="136">
                  <c:v>8.5415272855859689E-2</c:v>
                </c:pt>
                <c:pt idx="137">
                  <c:v>6.6094972042992237E-2</c:v>
                </c:pt>
                <c:pt idx="138">
                  <c:v>6.1476959245159168E-2</c:v>
                </c:pt>
                <c:pt idx="139">
                  <c:v>5.2891870114377064E-2</c:v>
                </c:pt>
                <c:pt idx="140">
                  <c:v>6.1695913741959145E-2</c:v>
                </c:pt>
                <c:pt idx="141">
                  <c:v>5.3207847295864218E-2</c:v>
                </c:pt>
                <c:pt idx="142">
                  <c:v>6.804315931042923E-2</c:v>
                </c:pt>
                <c:pt idx="143">
                  <c:v>5.5624172738281547E-2</c:v>
                </c:pt>
                <c:pt idx="144">
                  <c:v>3.3450627049817334E-2</c:v>
                </c:pt>
                <c:pt idx="145">
                  <c:v>9.0793830117963326E-2</c:v>
                </c:pt>
                <c:pt idx="146">
                  <c:v>4.5400360008106141E-2</c:v>
                </c:pt>
                <c:pt idx="147">
                  <c:v>5.2234384570581285E-2</c:v>
                </c:pt>
                <c:pt idx="148">
                  <c:v>5.7235939126106694E-2</c:v>
                </c:pt>
                <c:pt idx="149">
                  <c:v>4.8368586006934437E-2</c:v>
                </c:pt>
                <c:pt idx="150">
                  <c:v>4.2043860576760086E-2</c:v>
                </c:pt>
                <c:pt idx="151">
                  <c:v>3.4818725562886101E-2</c:v>
                </c:pt>
                <c:pt idx="152">
                  <c:v>2.2935653811817471E-2</c:v>
                </c:pt>
                <c:pt idx="153">
                  <c:v>9.2622533405879535E-3</c:v>
                </c:pt>
                <c:pt idx="154">
                  <c:v>-9.7341983834210426E-3</c:v>
                </c:pt>
                <c:pt idx="155">
                  <c:v>-2.3536798698106313E-2</c:v>
                </c:pt>
                <c:pt idx="156">
                  <c:v>-3.6989407359706763E-3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0D5-4648-BC40-A7A5A13E56FB}"/>
            </c:ext>
          </c:extLst>
        </c:ser>
        <c:dLbls>
          <c:showLegendKey val="0"/>
          <c:showVal val="0"/>
          <c:showCatName val="0"/>
          <c:showSerName val="0"/>
          <c:showPercent val="0"/>
          <c:showBubbleSize val="0"/>
        </c:dLbls>
        <c:gapWidth val="219"/>
        <c:overlap val="-27"/>
        <c:axId val="1095794447"/>
        <c:axId val="1095796095"/>
      </c:barChart>
      <c:dateAx>
        <c:axId val="10957944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6095"/>
        <c:crosses val="autoZero"/>
        <c:auto val="0"/>
        <c:lblOffset val="100"/>
        <c:baseTimeUnit val="months"/>
      </c:dateAx>
      <c:valAx>
        <c:axId val="1095796095"/>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44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Manu!$A$20:$A$630</c:f>
              <c:numCache>
                <c:formatCode>mmm\-yy</c:formatCode>
                <c:ptCount val="61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Manu!$B$20:$B$630</c:f>
              <c:numCache>
                <c:formatCode>0.0</c:formatCode>
                <c:ptCount val="611"/>
                <c:pt idx="0">
                  <c:v>40.485900000000001</c:v>
                </c:pt>
                <c:pt idx="1">
                  <c:v>40.561</c:v>
                </c:pt>
                <c:pt idx="2">
                  <c:v>40.4985</c:v>
                </c:pt>
                <c:pt idx="3">
                  <c:v>40.768000000000001</c:v>
                </c:pt>
                <c:pt idx="4">
                  <c:v>40.7744</c:v>
                </c:pt>
                <c:pt idx="5">
                  <c:v>40.9621</c:v>
                </c:pt>
                <c:pt idx="6">
                  <c:v>40.8521</c:v>
                </c:pt>
                <c:pt idx="7">
                  <c:v>41.189399999999999</c:v>
                </c:pt>
                <c:pt idx="8">
                  <c:v>41.597099999999998</c:v>
                </c:pt>
                <c:pt idx="9">
                  <c:v>41.885599999999997</c:v>
                </c:pt>
                <c:pt idx="10">
                  <c:v>41.890099999999997</c:v>
                </c:pt>
                <c:pt idx="11">
                  <c:v>41.5396</c:v>
                </c:pt>
                <c:pt idx="12">
                  <c:v>41.368299999999998</c:v>
                </c:pt>
                <c:pt idx="13">
                  <c:v>41.347900000000003</c:v>
                </c:pt>
                <c:pt idx="14">
                  <c:v>41.171300000000002</c:v>
                </c:pt>
                <c:pt idx="15">
                  <c:v>41.461500000000001</c:v>
                </c:pt>
                <c:pt idx="16">
                  <c:v>41.482300000000002</c:v>
                </c:pt>
                <c:pt idx="17">
                  <c:v>41.462499999999999</c:v>
                </c:pt>
                <c:pt idx="18">
                  <c:v>41.0702</c:v>
                </c:pt>
                <c:pt idx="19">
                  <c:v>41.125500000000002</c:v>
                </c:pt>
                <c:pt idx="20">
                  <c:v>40.834299999999999</c:v>
                </c:pt>
                <c:pt idx="21">
                  <c:v>39.579599999999999</c:v>
                </c:pt>
                <c:pt idx="22">
                  <c:v>37.755899999999997</c:v>
                </c:pt>
                <c:pt idx="23">
                  <c:v>36.9621</c:v>
                </c:pt>
                <c:pt idx="24">
                  <c:v>35.9238</c:v>
                </c:pt>
                <c:pt idx="25">
                  <c:v>35.424100000000003</c:v>
                </c:pt>
                <c:pt idx="26">
                  <c:v>35.420499999999997</c:v>
                </c:pt>
                <c:pt idx="27">
                  <c:v>35.355800000000002</c:v>
                </c:pt>
                <c:pt idx="28">
                  <c:v>35.6616</c:v>
                </c:pt>
                <c:pt idx="29">
                  <c:v>36.1755</c:v>
                </c:pt>
                <c:pt idx="30">
                  <c:v>36.552500000000002</c:v>
                </c:pt>
                <c:pt idx="31">
                  <c:v>37.187399999999997</c:v>
                </c:pt>
                <c:pt idx="32">
                  <c:v>37.390799999999999</c:v>
                </c:pt>
                <c:pt idx="33">
                  <c:v>37.473399999999998</c:v>
                </c:pt>
                <c:pt idx="34">
                  <c:v>38.001800000000003</c:v>
                </c:pt>
                <c:pt idx="35">
                  <c:v>38.473199999999999</c:v>
                </c:pt>
                <c:pt idx="36">
                  <c:v>39.0839</c:v>
                </c:pt>
                <c:pt idx="37">
                  <c:v>39.201799999999999</c:v>
                </c:pt>
                <c:pt idx="38">
                  <c:v>39.415300000000002</c:v>
                </c:pt>
                <c:pt idx="39">
                  <c:v>39.605200000000004</c:v>
                </c:pt>
                <c:pt idx="40">
                  <c:v>39.658200000000001</c:v>
                </c:pt>
                <c:pt idx="41">
                  <c:v>39.924900000000001</c:v>
                </c:pt>
                <c:pt idx="42">
                  <c:v>40.181699999999999</c:v>
                </c:pt>
                <c:pt idx="43">
                  <c:v>40.281700000000001</c:v>
                </c:pt>
                <c:pt idx="44">
                  <c:v>40.221899999999998</c:v>
                </c:pt>
                <c:pt idx="45">
                  <c:v>40.765999999999998</c:v>
                </c:pt>
                <c:pt idx="46">
                  <c:v>41.208300000000001</c:v>
                </c:pt>
                <c:pt idx="47">
                  <c:v>41.065899999999999</c:v>
                </c:pt>
                <c:pt idx="48">
                  <c:v>41.833500000000001</c:v>
                </c:pt>
                <c:pt idx="49">
                  <c:v>42.444000000000003</c:v>
                </c:pt>
                <c:pt idx="50">
                  <c:v>42.876100000000001</c:v>
                </c:pt>
                <c:pt idx="51">
                  <c:v>43.229199999999999</c:v>
                </c:pt>
                <c:pt idx="52">
                  <c:v>43.611800000000002</c:v>
                </c:pt>
                <c:pt idx="53">
                  <c:v>43.613199999999999</c:v>
                </c:pt>
                <c:pt idx="54">
                  <c:v>43.851900000000001</c:v>
                </c:pt>
                <c:pt idx="55">
                  <c:v>43.856000000000002</c:v>
                </c:pt>
                <c:pt idx="56">
                  <c:v>43.949599999999997</c:v>
                </c:pt>
                <c:pt idx="57">
                  <c:v>44.072200000000002</c:v>
                </c:pt>
                <c:pt idx="58">
                  <c:v>44.551900000000003</c:v>
                </c:pt>
                <c:pt idx="59">
                  <c:v>43.876800000000003</c:v>
                </c:pt>
                <c:pt idx="60">
                  <c:v>44.034999999999997</c:v>
                </c:pt>
                <c:pt idx="61">
                  <c:v>44.822099999999999</c:v>
                </c:pt>
                <c:pt idx="62">
                  <c:v>45.5167</c:v>
                </c:pt>
                <c:pt idx="63">
                  <c:v>45.757399999999997</c:v>
                </c:pt>
                <c:pt idx="64">
                  <c:v>46.097099999999998</c:v>
                </c:pt>
                <c:pt idx="65">
                  <c:v>46.0535</c:v>
                </c:pt>
                <c:pt idx="66">
                  <c:v>46.319499999999998</c:v>
                </c:pt>
                <c:pt idx="67">
                  <c:v>46.561399999999999</c:v>
                </c:pt>
                <c:pt idx="68">
                  <c:v>46.891500000000001</c:v>
                </c:pt>
                <c:pt idx="69">
                  <c:v>47.333399999999997</c:v>
                </c:pt>
                <c:pt idx="70">
                  <c:v>47.671399999999998</c:v>
                </c:pt>
                <c:pt idx="71">
                  <c:v>47.324800000000003</c:v>
                </c:pt>
                <c:pt idx="72">
                  <c:v>47.465400000000002</c:v>
                </c:pt>
                <c:pt idx="73">
                  <c:v>47.694299999999998</c:v>
                </c:pt>
                <c:pt idx="74">
                  <c:v>46.894399999999997</c:v>
                </c:pt>
                <c:pt idx="75">
                  <c:v>47.548900000000003</c:v>
                </c:pt>
                <c:pt idx="76">
                  <c:v>47.599899999999998</c:v>
                </c:pt>
                <c:pt idx="77">
                  <c:v>47.630299999999998</c:v>
                </c:pt>
                <c:pt idx="78">
                  <c:v>47.007599999999996</c:v>
                </c:pt>
                <c:pt idx="79">
                  <c:v>47.064</c:v>
                </c:pt>
                <c:pt idx="80">
                  <c:v>47.314900000000002</c:v>
                </c:pt>
                <c:pt idx="81">
                  <c:v>47.136400000000002</c:v>
                </c:pt>
                <c:pt idx="82">
                  <c:v>47.286999999999999</c:v>
                </c:pt>
                <c:pt idx="83">
                  <c:v>47.524999999999999</c:v>
                </c:pt>
                <c:pt idx="84">
                  <c:v>47.456200000000003</c:v>
                </c:pt>
                <c:pt idx="85">
                  <c:v>47.063600000000001</c:v>
                </c:pt>
                <c:pt idx="86">
                  <c:v>46.084099999999999</c:v>
                </c:pt>
                <c:pt idx="87">
                  <c:v>44.647599999999997</c:v>
                </c:pt>
                <c:pt idx="88">
                  <c:v>43.926099999999998</c:v>
                </c:pt>
                <c:pt idx="89">
                  <c:v>43.427500000000002</c:v>
                </c:pt>
                <c:pt idx="90">
                  <c:v>43.744199999999999</c:v>
                </c:pt>
                <c:pt idx="91">
                  <c:v>44.510199999999998</c:v>
                </c:pt>
                <c:pt idx="92">
                  <c:v>45.3538</c:v>
                </c:pt>
                <c:pt idx="93">
                  <c:v>46.168999999999997</c:v>
                </c:pt>
                <c:pt idx="94">
                  <c:v>46.354199999999999</c:v>
                </c:pt>
                <c:pt idx="95">
                  <c:v>46.167700000000004</c:v>
                </c:pt>
                <c:pt idx="96">
                  <c:v>45.938800000000001</c:v>
                </c:pt>
                <c:pt idx="97">
                  <c:v>46.084499999999998</c:v>
                </c:pt>
                <c:pt idx="98">
                  <c:v>46.328699999999998</c:v>
                </c:pt>
                <c:pt idx="99">
                  <c:v>46.537700000000001</c:v>
                </c:pt>
                <c:pt idx="100">
                  <c:v>46.319400000000002</c:v>
                </c:pt>
                <c:pt idx="101">
                  <c:v>46.4129</c:v>
                </c:pt>
                <c:pt idx="102">
                  <c:v>46.393300000000004</c:v>
                </c:pt>
                <c:pt idx="103">
                  <c:v>46.205100000000002</c:v>
                </c:pt>
                <c:pt idx="104">
                  <c:v>45.726700000000001</c:v>
                </c:pt>
                <c:pt idx="105">
                  <c:v>45.124000000000002</c:v>
                </c:pt>
                <c:pt idx="106">
                  <c:v>44.339100000000002</c:v>
                </c:pt>
                <c:pt idx="107">
                  <c:v>43.240099999999998</c:v>
                </c:pt>
                <c:pt idx="108">
                  <c:v>44.481299999999997</c:v>
                </c:pt>
                <c:pt idx="109">
                  <c:v>44.141599999999997</c:v>
                </c:pt>
                <c:pt idx="110">
                  <c:v>43.820399999999999</c:v>
                </c:pt>
                <c:pt idx="111">
                  <c:v>43.719299999999997</c:v>
                </c:pt>
                <c:pt idx="112">
                  <c:v>43.690899999999999</c:v>
                </c:pt>
                <c:pt idx="113">
                  <c:v>43.624899999999997</c:v>
                </c:pt>
                <c:pt idx="114">
                  <c:v>43.2104</c:v>
                </c:pt>
                <c:pt idx="115">
                  <c:v>43.128500000000003</c:v>
                </c:pt>
                <c:pt idx="116">
                  <c:v>42.570399999999999</c:v>
                </c:pt>
                <c:pt idx="117">
                  <c:v>42.309699999999999</c:v>
                </c:pt>
                <c:pt idx="118">
                  <c:v>42.1691</c:v>
                </c:pt>
                <c:pt idx="119">
                  <c:v>43.165799999999997</c:v>
                </c:pt>
                <c:pt idx="120">
                  <c:v>43.157400000000003</c:v>
                </c:pt>
                <c:pt idx="121">
                  <c:v>43.574399999999997</c:v>
                </c:pt>
                <c:pt idx="122">
                  <c:v>44.1008</c:v>
                </c:pt>
                <c:pt idx="123">
                  <c:v>44.650399999999998</c:v>
                </c:pt>
                <c:pt idx="124">
                  <c:v>45.018700000000003</c:v>
                </c:pt>
                <c:pt idx="125">
                  <c:v>45.693199999999997</c:v>
                </c:pt>
                <c:pt idx="126">
                  <c:v>46.087499999999999</c:v>
                </c:pt>
                <c:pt idx="127">
                  <c:v>46.968400000000003</c:v>
                </c:pt>
                <c:pt idx="128">
                  <c:v>47.458300000000001</c:v>
                </c:pt>
                <c:pt idx="129">
                  <c:v>47.700499999999998</c:v>
                </c:pt>
                <c:pt idx="130">
                  <c:v>47.849400000000003</c:v>
                </c:pt>
                <c:pt idx="131">
                  <c:v>48.732599999999998</c:v>
                </c:pt>
                <c:pt idx="132">
                  <c:v>49.265900000000002</c:v>
                </c:pt>
                <c:pt idx="133">
                  <c:v>49.481400000000001</c:v>
                </c:pt>
                <c:pt idx="134">
                  <c:v>49.728000000000002</c:v>
                </c:pt>
                <c:pt idx="135">
                  <c:v>49.881100000000004</c:v>
                </c:pt>
                <c:pt idx="136">
                  <c:v>50.1051</c:v>
                </c:pt>
                <c:pt idx="137">
                  <c:v>50.3185</c:v>
                </c:pt>
                <c:pt idx="138">
                  <c:v>50.411000000000001</c:v>
                </c:pt>
                <c:pt idx="139">
                  <c:v>50.218899999999998</c:v>
                </c:pt>
                <c:pt idx="140">
                  <c:v>50.487900000000003</c:v>
                </c:pt>
                <c:pt idx="141">
                  <c:v>50.623800000000003</c:v>
                </c:pt>
                <c:pt idx="142">
                  <c:v>50.765599999999999</c:v>
                </c:pt>
                <c:pt idx="143">
                  <c:v>50.628</c:v>
                </c:pt>
                <c:pt idx="144">
                  <c:v>50.4069</c:v>
                </c:pt>
                <c:pt idx="145">
                  <c:v>50.79</c:v>
                </c:pt>
                <c:pt idx="146">
                  <c:v>50.609699999999997</c:v>
                </c:pt>
                <c:pt idx="147">
                  <c:v>50.724499999999999</c:v>
                </c:pt>
                <c:pt idx="148">
                  <c:v>50.737200000000001</c:v>
                </c:pt>
                <c:pt idx="149">
                  <c:v>50.5184</c:v>
                </c:pt>
                <c:pt idx="150">
                  <c:v>50.775199999999998</c:v>
                </c:pt>
                <c:pt idx="151">
                  <c:v>50.8264</c:v>
                </c:pt>
                <c:pt idx="152">
                  <c:v>50.734400000000001</c:v>
                </c:pt>
                <c:pt idx="153">
                  <c:v>51.0852</c:v>
                </c:pt>
                <c:pt idx="154">
                  <c:v>51.2667</c:v>
                </c:pt>
                <c:pt idx="155">
                  <c:v>51.882899999999999</c:v>
                </c:pt>
                <c:pt idx="156">
                  <c:v>51.613900000000001</c:v>
                </c:pt>
                <c:pt idx="157">
                  <c:v>51.425400000000003</c:v>
                </c:pt>
                <c:pt idx="158">
                  <c:v>51.559199999999997</c:v>
                </c:pt>
                <c:pt idx="159">
                  <c:v>51.617899999999999</c:v>
                </c:pt>
                <c:pt idx="160">
                  <c:v>51.421399999999998</c:v>
                </c:pt>
                <c:pt idx="161">
                  <c:v>51.7014</c:v>
                </c:pt>
                <c:pt idx="162">
                  <c:v>51.846200000000003</c:v>
                </c:pt>
                <c:pt idx="163">
                  <c:v>51.988</c:v>
                </c:pt>
                <c:pt idx="164">
                  <c:v>52.187199999999997</c:v>
                </c:pt>
                <c:pt idx="165">
                  <c:v>52.374899999999997</c:v>
                </c:pt>
                <c:pt idx="166">
                  <c:v>52.903300000000002</c:v>
                </c:pt>
                <c:pt idx="167">
                  <c:v>52.707900000000002</c:v>
                </c:pt>
                <c:pt idx="168">
                  <c:v>53.497999999999998</c:v>
                </c:pt>
                <c:pt idx="169">
                  <c:v>53.510399999999997</c:v>
                </c:pt>
                <c:pt idx="170">
                  <c:v>53.835000000000001</c:v>
                </c:pt>
                <c:pt idx="171">
                  <c:v>54.214300000000001</c:v>
                </c:pt>
                <c:pt idx="172">
                  <c:v>54.424999999999997</c:v>
                </c:pt>
                <c:pt idx="173">
                  <c:v>54.850099999999998</c:v>
                </c:pt>
                <c:pt idx="174">
                  <c:v>55.142200000000003</c:v>
                </c:pt>
                <c:pt idx="175">
                  <c:v>55.537300000000002</c:v>
                </c:pt>
                <c:pt idx="176">
                  <c:v>56.402200000000001</c:v>
                </c:pt>
                <c:pt idx="177">
                  <c:v>56.695500000000003</c:v>
                </c:pt>
                <c:pt idx="178">
                  <c:v>57.104900000000001</c:v>
                </c:pt>
                <c:pt idx="179">
                  <c:v>56.9621</c:v>
                </c:pt>
                <c:pt idx="180">
                  <c:v>57.165599999999998</c:v>
                </c:pt>
                <c:pt idx="181">
                  <c:v>57.3371</c:v>
                </c:pt>
                <c:pt idx="182">
                  <c:v>57.866799999999998</c:v>
                </c:pt>
                <c:pt idx="183">
                  <c:v>57.744300000000003</c:v>
                </c:pt>
                <c:pt idx="184">
                  <c:v>57.875399999999999</c:v>
                </c:pt>
                <c:pt idx="185">
                  <c:v>57.854999999999997</c:v>
                </c:pt>
                <c:pt idx="186">
                  <c:v>57.953600000000002</c:v>
                </c:pt>
                <c:pt idx="187">
                  <c:v>58.1355</c:v>
                </c:pt>
                <c:pt idx="188">
                  <c:v>58.372100000000003</c:v>
                </c:pt>
                <c:pt idx="189">
                  <c:v>58.607599999999998</c:v>
                </c:pt>
                <c:pt idx="190">
                  <c:v>58.871200000000002</c:v>
                </c:pt>
                <c:pt idx="191">
                  <c:v>59.383099999999999</c:v>
                </c:pt>
                <c:pt idx="192">
                  <c:v>58.777500000000003</c:v>
                </c:pt>
                <c:pt idx="193">
                  <c:v>58.711399999999998</c:v>
                </c:pt>
                <c:pt idx="194">
                  <c:v>58.811300000000003</c:v>
                </c:pt>
                <c:pt idx="195">
                  <c:v>58.334200000000003</c:v>
                </c:pt>
                <c:pt idx="196">
                  <c:v>58.441600000000001</c:v>
                </c:pt>
                <c:pt idx="197">
                  <c:v>57.728999999999999</c:v>
                </c:pt>
                <c:pt idx="198">
                  <c:v>58.316800000000001</c:v>
                </c:pt>
                <c:pt idx="199">
                  <c:v>58.1873</c:v>
                </c:pt>
                <c:pt idx="200">
                  <c:v>58.042900000000003</c:v>
                </c:pt>
                <c:pt idx="201">
                  <c:v>58.1648</c:v>
                </c:pt>
                <c:pt idx="202">
                  <c:v>58.1965</c:v>
                </c:pt>
                <c:pt idx="203">
                  <c:v>58.131599999999999</c:v>
                </c:pt>
                <c:pt idx="204">
                  <c:v>58.945900000000002</c:v>
                </c:pt>
                <c:pt idx="205">
                  <c:v>59.265300000000003</c:v>
                </c:pt>
                <c:pt idx="206">
                  <c:v>59.046199999999999</c:v>
                </c:pt>
                <c:pt idx="207">
                  <c:v>59.2181</c:v>
                </c:pt>
                <c:pt idx="208">
                  <c:v>59.409599999999998</c:v>
                </c:pt>
                <c:pt idx="209">
                  <c:v>59.271599999999999</c:v>
                </c:pt>
                <c:pt idx="210">
                  <c:v>59.500799999999998</c:v>
                </c:pt>
                <c:pt idx="211">
                  <c:v>59.423499999999997</c:v>
                </c:pt>
                <c:pt idx="212">
                  <c:v>59.0289</c:v>
                </c:pt>
                <c:pt idx="213">
                  <c:v>58.322299999999998</c:v>
                </c:pt>
                <c:pt idx="214">
                  <c:v>57.840400000000002</c:v>
                </c:pt>
                <c:pt idx="215">
                  <c:v>57.471800000000002</c:v>
                </c:pt>
                <c:pt idx="216">
                  <c:v>57.051000000000002</c:v>
                </c:pt>
                <c:pt idx="217">
                  <c:v>56.660400000000003</c:v>
                </c:pt>
                <c:pt idx="218">
                  <c:v>56.908700000000003</c:v>
                </c:pt>
                <c:pt idx="219">
                  <c:v>57.318199999999997</c:v>
                </c:pt>
                <c:pt idx="220">
                  <c:v>57.8765</c:v>
                </c:pt>
                <c:pt idx="221">
                  <c:v>58.198999999999998</c:v>
                </c:pt>
                <c:pt idx="222">
                  <c:v>58.247100000000003</c:v>
                </c:pt>
                <c:pt idx="223">
                  <c:v>58.886600000000001</c:v>
                </c:pt>
                <c:pt idx="224">
                  <c:v>58.816800000000001</c:v>
                </c:pt>
                <c:pt idx="225">
                  <c:v>58.707799999999999</c:v>
                </c:pt>
                <c:pt idx="226">
                  <c:v>58.580399999999997</c:v>
                </c:pt>
                <c:pt idx="227">
                  <c:v>58.273400000000002</c:v>
                </c:pt>
                <c:pt idx="228">
                  <c:v>58.829599999999999</c:v>
                </c:pt>
                <c:pt idx="229">
                  <c:v>59.444200000000002</c:v>
                </c:pt>
                <c:pt idx="230">
                  <c:v>59.7834</c:v>
                </c:pt>
                <c:pt idx="231">
                  <c:v>60.133800000000001</c:v>
                </c:pt>
                <c:pt idx="232">
                  <c:v>60.331200000000003</c:v>
                </c:pt>
                <c:pt idx="233">
                  <c:v>60.894799999999996</c:v>
                </c:pt>
                <c:pt idx="234">
                  <c:v>60.609200000000001</c:v>
                </c:pt>
                <c:pt idx="235">
                  <c:v>60.711500000000001</c:v>
                </c:pt>
                <c:pt idx="236">
                  <c:v>61.091099999999997</c:v>
                </c:pt>
                <c:pt idx="237">
                  <c:v>61.350099999999998</c:v>
                </c:pt>
                <c:pt idx="238">
                  <c:v>61.300400000000003</c:v>
                </c:pt>
                <c:pt idx="239">
                  <c:v>61.871200000000002</c:v>
                </c:pt>
                <c:pt idx="240">
                  <c:v>62.028599999999997</c:v>
                </c:pt>
                <c:pt idx="241">
                  <c:v>61.901299999999999</c:v>
                </c:pt>
                <c:pt idx="242">
                  <c:v>62.2209</c:v>
                </c:pt>
                <c:pt idx="243">
                  <c:v>62.145699999999998</c:v>
                </c:pt>
                <c:pt idx="244">
                  <c:v>62.052500000000002</c:v>
                </c:pt>
                <c:pt idx="245">
                  <c:v>62.203400000000002</c:v>
                </c:pt>
                <c:pt idx="246">
                  <c:v>62.121000000000002</c:v>
                </c:pt>
                <c:pt idx="247">
                  <c:v>62.577800000000003</c:v>
                </c:pt>
                <c:pt idx="248">
                  <c:v>63.120399999999997</c:v>
                </c:pt>
                <c:pt idx="249">
                  <c:v>63.424900000000001</c:v>
                </c:pt>
                <c:pt idx="250">
                  <c:v>63.835999999999999</c:v>
                </c:pt>
                <c:pt idx="251">
                  <c:v>63.908999999999999</c:v>
                </c:pt>
                <c:pt idx="252">
                  <c:v>64.026399999999995</c:v>
                </c:pt>
                <c:pt idx="253">
                  <c:v>64.879199999999997</c:v>
                </c:pt>
                <c:pt idx="254">
                  <c:v>65.4726</c:v>
                </c:pt>
                <c:pt idx="255">
                  <c:v>65.906400000000005</c:v>
                </c:pt>
                <c:pt idx="256">
                  <c:v>66.134699999999995</c:v>
                </c:pt>
                <c:pt idx="257">
                  <c:v>66.422200000000004</c:v>
                </c:pt>
                <c:pt idx="258">
                  <c:v>66.971999999999994</c:v>
                </c:pt>
                <c:pt idx="259">
                  <c:v>67.233999999999995</c:v>
                </c:pt>
                <c:pt idx="260">
                  <c:v>67.912899999999993</c:v>
                </c:pt>
                <c:pt idx="261">
                  <c:v>68.482699999999994</c:v>
                </c:pt>
                <c:pt idx="262">
                  <c:v>69.232600000000005</c:v>
                </c:pt>
                <c:pt idx="263">
                  <c:v>69.366299999999995</c:v>
                </c:pt>
                <c:pt idx="264">
                  <c:v>69.178200000000004</c:v>
                </c:pt>
                <c:pt idx="265">
                  <c:v>69.373900000000006</c:v>
                </c:pt>
                <c:pt idx="266">
                  <c:v>69.190899999999999</c:v>
                </c:pt>
                <c:pt idx="267">
                  <c:v>69.423699999999997</c:v>
                </c:pt>
                <c:pt idx="268">
                  <c:v>69.750900000000001</c:v>
                </c:pt>
                <c:pt idx="269">
                  <c:v>69.283699999999996</c:v>
                </c:pt>
                <c:pt idx="270">
                  <c:v>70.130399999999995</c:v>
                </c:pt>
                <c:pt idx="271">
                  <c:v>70.778000000000006</c:v>
                </c:pt>
                <c:pt idx="272">
                  <c:v>70.731700000000004</c:v>
                </c:pt>
                <c:pt idx="273">
                  <c:v>70.804199999999994</c:v>
                </c:pt>
                <c:pt idx="274">
                  <c:v>71.097899999999996</c:v>
                </c:pt>
                <c:pt idx="275">
                  <c:v>70.644599999999997</c:v>
                </c:pt>
                <c:pt idx="276">
                  <c:v>71.681700000000006</c:v>
                </c:pt>
                <c:pt idx="277">
                  <c:v>71.495400000000004</c:v>
                </c:pt>
                <c:pt idx="278">
                  <c:v>72.395700000000005</c:v>
                </c:pt>
                <c:pt idx="279">
                  <c:v>72.983099999999993</c:v>
                </c:pt>
                <c:pt idx="280">
                  <c:v>73.708200000000005</c:v>
                </c:pt>
                <c:pt idx="281">
                  <c:v>74.042599999999993</c:v>
                </c:pt>
                <c:pt idx="282">
                  <c:v>74.351200000000006</c:v>
                </c:pt>
                <c:pt idx="283">
                  <c:v>74.985100000000003</c:v>
                </c:pt>
                <c:pt idx="284">
                  <c:v>74.881600000000006</c:v>
                </c:pt>
                <c:pt idx="285">
                  <c:v>75.5364</c:v>
                </c:pt>
                <c:pt idx="286">
                  <c:v>76.165800000000004</c:v>
                </c:pt>
                <c:pt idx="287">
                  <c:v>76.256200000000007</c:v>
                </c:pt>
                <c:pt idx="288">
                  <c:v>77.3018</c:v>
                </c:pt>
                <c:pt idx="289">
                  <c:v>78.077500000000001</c:v>
                </c:pt>
                <c:pt idx="290">
                  <c:v>77.973299999999995</c:v>
                </c:pt>
                <c:pt idx="291">
                  <c:v>78.532399999999996</c:v>
                </c:pt>
                <c:pt idx="292">
                  <c:v>79.019800000000004</c:v>
                </c:pt>
                <c:pt idx="293">
                  <c:v>79.601299999999995</c:v>
                </c:pt>
                <c:pt idx="294">
                  <c:v>80.607900000000001</c:v>
                </c:pt>
                <c:pt idx="295">
                  <c:v>81.333200000000005</c:v>
                </c:pt>
                <c:pt idx="296">
                  <c:v>82.057000000000002</c:v>
                </c:pt>
                <c:pt idx="297">
                  <c:v>82.916499999999999</c:v>
                </c:pt>
                <c:pt idx="298">
                  <c:v>83.389200000000002</c:v>
                </c:pt>
                <c:pt idx="299">
                  <c:v>84.085499999999996</c:v>
                </c:pt>
                <c:pt idx="300">
                  <c:v>84.185900000000004</c:v>
                </c:pt>
                <c:pt idx="301">
                  <c:v>84.006399999999999</c:v>
                </c:pt>
                <c:pt idx="302">
                  <c:v>84.402199999999993</c:v>
                </c:pt>
                <c:pt idx="303">
                  <c:v>84.8416</c:v>
                </c:pt>
                <c:pt idx="304">
                  <c:v>84.154700000000005</c:v>
                </c:pt>
                <c:pt idx="305">
                  <c:v>83.724400000000003</c:v>
                </c:pt>
                <c:pt idx="306">
                  <c:v>85.864400000000003</c:v>
                </c:pt>
                <c:pt idx="307">
                  <c:v>85.803299999999993</c:v>
                </c:pt>
                <c:pt idx="308">
                  <c:v>86.548299999999998</c:v>
                </c:pt>
                <c:pt idx="309">
                  <c:v>86.6571</c:v>
                </c:pt>
                <c:pt idx="310">
                  <c:v>87.195300000000003</c:v>
                </c:pt>
                <c:pt idx="311">
                  <c:v>87.441500000000005</c:v>
                </c:pt>
                <c:pt idx="312">
                  <c:v>88.245000000000005</c:v>
                </c:pt>
                <c:pt idx="313">
                  <c:v>88.2119</c:v>
                </c:pt>
                <c:pt idx="314">
                  <c:v>88.558099999999996</c:v>
                </c:pt>
                <c:pt idx="315">
                  <c:v>89.287499999999994</c:v>
                </c:pt>
                <c:pt idx="316">
                  <c:v>89.093599999999995</c:v>
                </c:pt>
                <c:pt idx="317">
                  <c:v>89.510599999999997</c:v>
                </c:pt>
                <c:pt idx="318">
                  <c:v>89.982200000000006</c:v>
                </c:pt>
                <c:pt idx="319">
                  <c:v>89.570700000000002</c:v>
                </c:pt>
                <c:pt idx="320">
                  <c:v>90.940700000000007</c:v>
                </c:pt>
                <c:pt idx="321">
                  <c:v>91.546999999999997</c:v>
                </c:pt>
                <c:pt idx="322">
                  <c:v>92.207599999999999</c:v>
                </c:pt>
                <c:pt idx="323">
                  <c:v>92.276399999999995</c:v>
                </c:pt>
                <c:pt idx="324">
                  <c:v>92.566900000000004</c:v>
                </c:pt>
                <c:pt idx="325">
                  <c:v>93.194900000000004</c:v>
                </c:pt>
                <c:pt idx="326">
                  <c:v>93.805099999999996</c:v>
                </c:pt>
                <c:pt idx="327">
                  <c:v>93.881500000000003</c:v>
                </c:pt>
                <c:pt idx="328">
                  <c:v>94.015900000000002</c:v>
                </c:pt>
                <c:pt idx="329">
                  <c:v>94.093000000000004</c:v>
                </c:pt>
                <c:pt idx="330">
                  <c:v>93.496899999999997</c:v>
                </c:pt>
                <c:pt idx="331">
                  <c:v>93.942599999999999</c:v>
                </c:pt>
                <c:pt idx="332">
                  <c:v>93.668899999999994</c:v>
                </c:pt>
                <c:pt idx="333">
                  <c:v>93.4114</c:v>
                </c:pt>
                <c:pt idx="334">
                  <c:v>92.862399999999994</c:v>
                </c:pt>
                <c:pt idx="335">
                  <c:v>92.431200000000004</c:v>
                </c:pt>
                <c:pt idx="336">
                  <c:v>91.897999999999996</c:v>
                </c:pt>
                <c:pt idx="337">
                  <c:v>91.716300000000004</c:v>
                </c:pt>
                <c:pt idx="338">
                  <c:v>91.3506</c:v>
                </c:pt>
                <c:pt idx="339">
                  <c:v>90.750399999999999</c:v>
                </c:pt>
                <c:pt idx="340">
                  <c:v>90.148399999999995</c:v>
                </c:pt>
                <c:pt idx="341">
                  <c:v>89.633200000000002</c:v>
                </c:pt>
                <c:pt idx="342">
                  <c:v>89.272999999999996</c:v>
                </c:pt>
                <c:pt idx="343">
                  <c:v>88.916499999999999</c:v>
                </c:pt>
                <c:pt idx="344">
                  <c:v>88.521100000000004</c:v>
                </c:pt>
                <c:pt idx="345">
                  <c:v>88.2363</c:v>
                </c:pt>
                <c:pt idx="346">
                  <c:v>88.409199999999998</c:v>
                </c:pt>
                <c:pt idx="347">
                  <c:v>89.022800000000004</c:v>
                </c:pt>
                <c:pt idx="348">
                  <c:v>89.048599999999993</c:v>
                </c:pt>
                <c:pt idx="349">
                  <c:v>89.761499999999998</c:v>
                </c:pt>
                <c:pt idx="350">
                  <c:v>90.066999999999993</c:v>
                </c:pt>
                <c:pt idx="351">
                  <c:v>90.579099999999997</c:v>
                </c:pt>
                <c:pt idx="352">
                  <c:v>91.500299999999996</c:v>
                </c:pt>
                <c:pt idx="353">
                  <c:v>91.402799999999999</c:v>
                </c:pt>
                <c:pt idx="354">
                  <c:v>91.470399999999998</c:v>
                </c:pt>
                <c:pt idx="355">
                  <c:v>91.57</c:v>
                </c:pt>
                <c:pt idx="356">
                  <c:v>91.275599999999997</c:v>
                </c:pt>
                <c:pt idx="357">
                  <c:v>91.762500000000003</c:v>
                </c:pt>
                <c:pt idx="358">
                  <c:v>91.134699999999995</c:v>
                </c:pt>
                <c:pt idx="359">
                  <c:v>91.931399999999996</c:v>
                </c:pt>
                <c:pt idx="360">
                  <c:v>91.804500000000004</c:v>
                </c:pt>
                <c:pt idx="361">
                  <c:v>91.894300000000001</c:v>
                </c:pt>
                <c:pt idx="362">
                  <c:v>91.236900000000006</c:v>
                </c:pt>
                <c:pt idx="363">
                  <c:v>91.2911</c:v>
                </c:pt>
                <c:pt idx="364">
                  <c:v>91.719200000000001</c:v>
                </c:pt>
                <c:pt idx="365">
                  <c:v>92.087800000000001</c:v>
                </c:pt>
                <c:pt idx="366">
                  <c:v>91.709000000000003</c:v>
                </c:pt>
                <c:pt idx="367">
                  <c:v>92.54</c:v>
                </c:pt>
                <c:pt idx="368">
                  <c:v>92.616299999999995</c:v>
                </c:pt>
                <c:pt idx="369">
                  <c:v>93.462599999999995</c:v>
                </c:pt>
                <c:pt idx="370">
                  <c:v>93.421599999999998</c:v>
                </c:pt>
                <c:pt idx="371">
                  <c:v>93.357100000000003</c:v>
                </c:pt>
                <c:pt idx="372">
                  <c:v>94.042000000000002</c:v>
                </c:pt>
                <c:pt idx="373">
                  <c:v>94.000699999999995</c:v>
                </c:pt>
                <c:pt idx="374">
                  <c:v>94.311999999999998</c:v>
                </c:pt>
                <c:pt idx="375">
                  <c:v>94.9846</c:v>
                </c:pt>
                <c:pt idx="376">
                  <c:v>94.276300000000006</c:v>
                </c:pt>
                <c:pt idx="377">
                  <c:v>95.096800000000002</c:v>
                </c:pt>
                <c:pt idx="378">
                  <c:v>95.533900000000003</c:v>
                </c:pt>
                <c:pt idx="379">
                  <c:v>95.61</c:v>
                </c:pt>
                <c:pt idx="380">
                  <c:v>96.613399999999999</c:v>
                </c:pt>
                <c:pt idx="381">
                  <c:v>96.595399999999998</c:v>
                </c:pt>
                <c:pt idx="382">
                  <c:v>97.375900000000001</c:v>
                </c:pt>
                <c:pt idx="383">
                  <c:v>97.999200000000002</c:v>
                </c:pt>
                <c:pt idx="384">
                  <c:v>98.919499999999999</c:v>
                </c:pt>
                <c:pt idx="385">
                  <c:v>98.430599999999998</c:v>
                </c:pt>
                <c:pt idx="386">
                  <c:v>98.836600000000004</c:v>
                </c:pt>
                <c:pt idx="387">
                  <c:v>99.113900000000001</c:v>
                </c:pt>
                <c:pt idx="388">
                  <c:v>99.3489</c:v>
                </c:pt>
                <c:pt idx="389">
                  <c:v>99.015699999999995</c:v>
                </c:pt>
                <c:pt idx="390">
                  <c:v>99.5702</c:v>
                </c:pt>
                <c:pt idx="391">
                  <c:v>98.430300000000003</c:v>
                </c:pt>
                <c:pt idx="392">
                  <c:v>99.900099999999995</c:v>
                </c:pt>
                <c:pt idx="393">
                  <c:v>100.8458</c:v>
                </c:pt>
                <c:pt idx="394">
                  <c:v>100.93940000000001</c:v>
                </c:pt>
                <c:pt idx="395">
                  <c:v>101.76220000000001</c:v>
                </c:pt>
                <c:pt idx="396">
                  <c:v>101.4658</c:v>
                </c:pt>
                <c:pt idx="397">
                  <c:v>101.41759999999999</c:v>
                </c:pt>
                <c:pt idx="398">
                  <c:v>101.7898</c:v>
                </c:pt>
                <c:pt idx="399">
                  <c:v>101.5625</c:v>
                </c:pt>
                <c:pt idx="400">
                  <c:v>101.90309999999999</c:v>
                </c:pt>
                <c:pt idx="401">
                  <c:v>101.60339999999999</c:v>
                </c:pt>
                <c:pt idx="402">
                  <c:v>102.41119999999999</c:v>
                </c:pt>
                <c:pt idx="403">
                  <c:v>102.4877</c:v>
                </c:pt>
                <c:pt idx="404">
                  <c:v>102.0098</c:v>
                </c:pt>
                <c:pt idx="405">
                  <c:v>102.1152</c:v>
                </c:pt>
                <c:pt idx="406">
                  <c:v>103.6789</c:v>
                </c:pt>
                <c:pt idx="407">
                  <c:v>103.2709</c:v>
                </c:pt>
                <c:pt idx="408">
                  <c:v>103.65170000000001</c:v>
                </c:pt>
                <c:pt idx="409">
                  <c:v>104.5857</c:v>
                </c:pt>
                <c:pt idx="410">
                  <c:v>105.27979999999999</c:v>
                </c:pt>
                <c:pt idx="411">
                  <c:v>105.2647</c:v>
                </c:pt>
                <c:pt idx="412">
                  <c:v>105.6801</c:v>
                </c:pt>
                <c:pt idx="413">
                  <c:v>105.7557</c:v>
                </c:pt>
                <c:pt idx="414">
                  <c:v>105.5295</c:v>
                </c:pt>
                <c:pt idx="415">
                  <c:v>105.8948</c:v>
                </c:pt>
                <c:pt idx="416">
                  <c:v>105.75539999999999</c:v>
                </c:pt>
                <c:pt idx="417">
                  <c:v>106.3892</c:v>
                </c:pt>
                <c:pt idx="418">
                  <c:v>106.47369999999999</c:v>
                </c:pt>
                <c:pt idx="419">
                  <c:v>106.2347</c:v>
                </c:pt>
                <c:pt idx="420">
                  <c:v>105.4327</c:v>
                </c:pt>
                <c:pt idx="421">
                  <c:v>104.9422</c:v>
                </c:pt>
                <c:pt idx="422">
                  <c:v>103.8964</c:v>
                </c:pt>
                <c:pt idx="423">
                  <c:v>103.3681</c:v>
                </c:pt>
                <c:pt idx="424">
                  <c:v>102.6801</c:v>
                </c:pt>
                <c:pt idx="425">
                  <c:v>101.5866</c:v>
                </c:pt>
                <c:pt idx="426">
                  <c:v>100.29089999999999</c:v>
                </c:pt>
                <c:pt idx="427">
                  <c:v>96.742599999999996</c:v>
                </c:pt>
                <c:pt idx="428">
                  <c:v>96.190600000000003</c:v>
                </c:pt>
                <c:pt idx="429">
                  <c:v>93.768699999999995</c:v>
                </c:pt>
                <c:pt idx="430">
                  <c:v>90.561700000000002</c:v>
                </c:pt>
                <c:pt idx="431">
                  <c:v>87.620199999999997</c:v>
                </c:pt>
                <c:pt idx="432">
                  <c:v>87.6267</c:v>
                </c:pt>
                <c:pt idx="433">
                  <c:v>86.084199999999996</c:v>
                </c:pt>
                <c:pt idx="434">
                  <c:v>85.530500000000004</c:v>
                </c:pt>
                <c:pt idx="435">
                  <c:v>84.616900000000001</c:v>
                </c:pt>
                <c:pt idx="436">
                  <c:v>84.4011</c:v>
                </c:pt>
                <c:pt idx="437">
                  <c:v>85.829899999999995</c:v>
                </c:pt>
                <c:pt idx="438">
                  <c:v>86.809700000000007</c:v>
                </c:pt>
                <c:pt idx="439">
                  <c:v>87.698700000000002</c:v>
                </c:pt>
                <c:pt idx="440">
                  <c:v>87.705699999999993</c:v>
                </c:pt>
                <c:pt idx="441">
                  <c:v>88.642899999999997</c:v>
                </c:pt>
                <c:pt idx="442">
                  <c:v>88.529300000000006</c:v>
                </c:pt>
                <c:pt idx="443">
                  <c:v>89.569400000000002</c:v>
                </c:pt>
                <c:pt idx="444">
                  <c:v>89.589699999999993</c:v>
                </c:pt>
                <c:pt idx="445">
                  <c:v>90.800299999999993</c:v>
                </c:pt>
                <c:pt idx="446">
                  <c:v>91.630600000000001</c:v>
                </c:pt>
                <c:pt idx="447">
                  <c:v>92.847200000000001</c:v>
                </c:pt>
                <c:pt idx="448">
                  <c:v>92.851299999999995</c:v>
                </c:pt>
                <c:pt idx="449">
                  <c:v>93.360900000000001</c:v>
                </c:pt>
                <c:pt idx="450">
                  <c:v>93.5501</c:v>
                </c:pt>
                <c:pt idx="451">
                  <c:v>93.635499999999993</c:v>
                </c:pt>
                <c:pt idx="452">
                  <c:v>93.683400000000006</c:v>
                </c:pt>
                <c:pt idx="453">
                  <c:v>93.792199999999994</c:v>
                </c:pt>
                <c:pt idx="454">
                  <c:v>94.265100000000004</c:v>
                </c:pt>
                <c:pt idx="455">
                  <c:v>94.366399999999999</c:v>
                </c:pt>
                <c:pt idx="456">
                  <c:v>94.5685</c:v>
                </c:pt>
                <c:pt idx="457">
                  <c:v>95.212400000000002</c:v>
                </c:pt>
                <c:pt idx="458">
                  <c:v>94.647199999999998</c:v>
                </c:pt>
                <c:pt idx="459">
                  <c:v>94.668199999999999</c:v>
                </c:pt>
                <c:pt idx="460">
                  <c:v>94.759900000000002</c:v>
                </c:pt>
                <c:pt idx="461">
                  <c:v>95.332099999999997</c:v>
                </c:pt>
                <c:pt idx="462">
                  <c:v>95.786900000000003</c:v>
                </c:pt>
                <c:pt idx="463">
                  <c:v>96.0685</c:v>
                </c:pt>
                <c:pt idx="464">
                  <c:v>96.587000000000003</c:v>
                </c:pt>
                <c:pt idx="465">
                  <c:v>96.420900000000003</c:v>
                </c:pt>
                <c:pt idx="466">
                  <c:v>97.021799999999999</c:v>
                </c:pt>
                <c:pt idx="467">
                  <c:v>97.928399999999996</c:v>
                </c:pt>
                <c:pt idx="468">
                  <c:v>98.349199999999996</c:v>
                </c:pt>
                <c:pt idx="469">
                  <c:v>97.824399999999997</c:v>
                </c:pt>
                <c:pt idx="470">
                  <c:v>98.361699999999999</c:v>
                </c:pt>
                <c:pt idx="471">
                  <c:v>98.0749</c:v>
                </c:pt>
                <c:pt idx="472">
                  <c:v>98.399600000000007</c:v>
                </c:pt>
                <c:pt idx="473">
                  <c:v>98.263000000000005</c:v>
                </c:pt>
                <c:pt idx="474">
                  <c:v>98.134900000000002</c:v>
                </c:pt>
                <c:pt idx="475">
                  <c:v>97.9375</c:v>
                </c:pt>
                <c:pt idx="476">
                  <c:v>97.784000000000006</c:v>
                </c:pt>
                <c:pt idx="477">
                  <c:v>98.404399999999995</c:v>
                </c:pt>
                <c:pt idx="478">
                  <c:v>99.126900000000006</c:v>
                </c:pt>
                <c:pt idx="479">
                  <c:v>98.881600000000006</c:v>
                </c:pt>
                <c:pt idx="480">
                  <c:v>99.366</c:v>
                </c:pt>
                <c:pt idx="481">
                  <c:v>99.3249</c:v>
                </c:pt>
                <c:pt idx="482">
                  <c:v>98.980500000000006</c:v>
                </c:pt>
                <c:pt idx="483">
                  <c:v>99.280199999999994</c:v>
                </c:pt>
                <c:pt idx="484">
                  <c:v>99.443600000000004</c:v>
                </c:pt>
                <c:pt idx="485">
                  <c:v>98.598399999999998</c:v>
                </c:pt>
                <c:pt idx="486">
                  <c:v>99.427899999999994</c:v>
                </c:pt>
                <c:pt idx="487">
                  <c:v>99.486099999999993</c:v>
                </c:pt>
                <c:pt idx="488">
                  <c:v>99.6678</c:v>
                </c:pt>
                <c:pt idx="489">
                  <c:v>99.672700000000006</c:v>
                </c:pt>
                <c:pt idx="490">
                  <c:v>99.506600000000006</c:v>
                </c:pt>
                <c:pt idx="491">
                  <c:v>98.404600000000002</c:v>
                </c:pt>
                <c:pt idx="492">
                  <c:v>99.352099999999993</c:v>
                </c:pt>
                <c:pt idx="493">
                  <c:v>100.2411</c:v>
                </c:pt>
                <c:pt idx="494">
                  <c:v>100.2186</c:v>
                </c:pt>
                <c:pt idx="495">
                  <c:v>100.5074</c:v>
                </c:pt>
                <c:pt idx="496">
                  <c:v>100.84099999999999</c:v>
                </c:pt>
                <c:pt idx="497">
                  <c:v>101.39870000000001</c:v>
                </c:pt>
                <c:pt idx="498">
                  <c:v>100.8009</c:v>
                </c:pt>
                <c:pt idx="499">
                  <c:v>100.87220000000001</c:v>
                </c:pt>
                <c:pt idx="500">
                  <c:v>100.7754</c:v>
                </c:pt>
                <c:pt idx="501">
                  <c:v>101.4676</c:v>
                </c:pt>
                <c:pt idx="502">
                  <c:v>101.2936</c:v>
                </c:pt>
                <c:pt idx="503">
                  <c:v>100.708</c:v>
                </c:pt>
                <c:pt idx="504">
                  <c:v>99.965500000000006</c:v>
                </c:pt>
                <c:pt idx="505">
                  <c:v>100.28060000000001</c:v>
                </c:pt>
                <c:pt idx="506">
                  <c:v>100.24550000000001</c:v>
                </c:pt>
                <c:pt idx="507">
                  <c:v>100.2375</c:v>
                </c:pt>
                <c:pt idx="508">
                  <c:v>99.855099999999993</c:v>
                </c:pt>
                <c:pt idx="509">
                  <c:v>100.5954</c:v>
                </c:pt>
                <c:pt idx="510">
                  <c:v>100.23399999999999</c:v>
                </c:pt>
                <c:pt idx="511">
                  <c:v>100.0236</c:v>
                </c:pt>
                <c:pt idx="512">
                  <c:v>99.892799999999994</c:v>
                </c:pt>
                <c:pt idx="513">
                  <c:v>99.578000000000003</c:v>
                </c:pt>
                <c:pt idx="514">
                  <c:v>99.299499999999995</c:v>
                </c:pt>
                <c:pt idx="515">
                  <c:v>99.750200000000007</c:v>
                </c:pt>
                <c:pt idx="516">
                  <c:v>99.426500000000004</c:v>
                </c:pt>
                <c:pt idx="517">
                  <c:v>99.360100000000003</c:v>
                </c:pt>
                <c:pt idx="518">
                  <c:v>99.195999999999998</c:v>
                </c:pt>
                <c:pt idx="519">
                  <c:v>99.114999999999995</c:v>
                </c:pt>
                <c:pt idx="520">
                  <c:v>99.361400000000003</c:v>
                </c:pt>
                <c:pt idx="521">
                  <c:v>99.448700000000002</c:v>
                </c:pt>
                <c:pt idx="522">
                  <c:v>99.092200000000005</c:v>
                </c:pt>
                <c:pt idx="523">
                  <c:v>99.29</c:v>
                </c:pt>
                <c:pt idx="524">
                  <c:v>99.440200000000004</c:v>
                </c:pt>
                <c:pt idx="525">
                  <c:v>99.331999999999994</c:v>
                </c:pt>
                <c:pt idx="526">
                  <c:v>99.291200000000003</c:v>
                </c:pt>
                <c:pt idx="527">
                  <c:v>99.516000000000005</c:v>
                </c:pt>
                <c:pt idx="528">
                  <c:v>99.500600000000006</c:v>
                </c:pt>
                <c:pt idx="529">
                  <c:v>99.212800000000001</c:v>
                </c:pt>
                <c:pt idx="530">
                  <c:v>100.3682</c:v>
                </c:pt>
                <c:pt idx="531">
                  <c:v>100.15519999999999</c:v>
                </c:pt>
                <c:pt idx="532">
                  <c:v>100.1335</c:v>
                </c:pt>
                <c:pt idx="533">
                  <c:v>99.833100000000002</c:v>
                </c:pt>
                <c:pt idx="534">
                  <c:v>99.616600000000005</c:v>
                </c:pt>
                <c:pt idx="535">
                  <c:v>99.658199999999994</c:v>
                </c:pt>
                <c:pt idx="536">
                  <c:v>100.7491</c:v>
                </c:pt>
                <c:pt idx="537">
                  <c:v>100.77889999999999</c:v>
                </c:pt>
                <c:pt idx="538">
                  <c:v>100.4778</c:v>
                </c:pt>
                <c:pt idx="539">
                  <c:v>100.08929999999999</c:v>
                </c:pt>
                <c:pt idx="540">
                  <c:v>101.1146</c:v>
                </c:pt>
                <c:pt idx="541">
                  <c:v>101.205</c:v>
                </c:pt>
                <c:pt idx="542">
                  <c:v>101.9431</c:v>
                </c:pt>
                <c:pt idx="543">
                  <c:v>101.0712</c:v>
                </c:pt>
                <c:pt idx="544">
                  <c:v>101.73390000000001</c:v>
                </c:pt>
                <c:pt idx="545">
                  <c:v>101.8353</c:v>
                </c:pt>
                <c:pt idx="546">
                  <c:v>102.1497</c:v>
                </c:pt>
                <c:pt idx="547">
                  <c:v>102.11150000000001</c:v>
                </c:pt>
                <c:pt idx="548">
                  <c:v>101.7088</c:v>
                </c:pt>
                <c:pt idx="549">
                  <c:v>101.2783</c:v>
                </c:pt>
                <c:pt idx="550">
                  <c:v>101.44450000000001</c:v>
                </c:pt>
                <c:pt idx="551">
                  <c:v>100.6521</c:v>
                </c:pt>
                <c:pt idx="552">
                  <c:v>100.2042</c:v>
                </c:pt>
                <c:pt idx="553">
                  <c:v>100.1091</c:v>
                </c:pt>
                <c:pt idx="554">
                  <c:v>99.486599999999996</c:v>
                </c:pt>
                <c:pt idx="555">
                  <c:v>99.550899999999999</c:v>
                </c:pt>
                <c:pt idx="556">
                  <c:v>99.851699999999994</c:v>
                </c:pt>
                <c:pt idx="557">
                  <c:v>99.239900000000006</c:v>
                </c:pt>
                <c:pt idx="558">
                  <c:v>99.912700000000001</c:v>
                </c:pt>
                <c:pt idx="559">
                  <c:v>99.182000000000002</c:v>
                </c:pt>
                <c:pt idx="560">
                  <c:v>98.440700000000007</c:v>
                </c:pt>
                <c:pt idx="561">
                  <c:v>99.114999999999995</c:v>
                </c:pt>
                <c:pt idx="562">
                  <c:v>98.980800000000002</c:v>
                </c:pt>
                <c:pt idx="563">
                  <c:v>98.870999999999995</c:v>
                </c:pt>
                <c:pt idx="564">
                  <c:v>99.191400000000002</c:v>
                </c:pt>
                <c:pt idx="565">
                  <c:v>94.962400000000002</c:v>
                </c:pt>
                <c:pt idx="566">
                  <c:v>80.395200000000003</c:v>
                </c:pt>
                <c:pt idx="567">
                  <c:v>83.931100000000001</c:v>
                </c:pt>
                <c:pt idx="568">
                  <c:v>90.209900000000005</c:v>
                </c:pt>
                <c:pt idx="569">
                  <c:v>93.500399999999999</c:v>
                </c:pt>
                <c:pt idx="570">
                  <c:v>94.836399999999998</c:v>
                </c:pt>
                <c:pt idx="571">
                  <c:v>94.836600000000004</c:v>
                </c:pt>
                <c:pt idx="572">
                  <c:v>95.814700000000002</c:v>
                </c:pt>
                <c:pt idx="573">
                  <c:v>96.358000000000004</c:v>
                </c:pt>
                <c:pt idx="574">
                  <c:v>96.746099999999998</c:v>
                </c:pt>
                <c:pt idx="575">
                  <c:v>98.323599999999999</c:v>
                </c:pt>
                <c:pt idx="576">
                  <c:v>94.746499999999997</c:v>
                </c:pt>
                <c:pt idx="577">
                  <c:v>97.722999999999999</c:v>
                </c:pt>
                <c:pt idx="578">
                  <c:v>97.670699999999997</c:v>
                </c:pt>
                <c:pt idx="579">
                  <c:v>98.610299999999995</c:v>
                </c:pt>
                <c:pt idx="580">
                  <c:v>98.577399999999997</c:v>
                </c:pt>
                <c:pt idx="581">
                  <c:v>99.677599999999998</c:v>
                </c:pt>
                <c:pt idx="582">
                  <c:v>99.352699999999999</c:v>
                </c:pt>
                <c:pt idx="583">
                  <c:v>98.578400000000002</c:v>
                </c:pt>
                <c:pt idx="584">
                  <c:v>100.25109999999999</c:v>
                </c:pt>
                <c:pt idx="585">
                  <c:v>100.8291</c:v>
                </c:pt>
                <c:pt idx="586">
                  <c:v>100.7976</c:v>
                </c:pt>
                <c:pt idx="587">
                  <c:v>100.4851</c:v>
                </c:pt>
                <c:pt idx="588">
                  <c:v>101.71729999999999</c:v>
                </c:pt>
                <c:pt idx="589">
                  <c:v>102.43389999999999</c:v>
                </c:pt>
                <c:pt idx="590">
                  <c:v>102.90309999999999</c:v>
                </c:pt>
                <c:pt idx="591">
                  <c:v>102.47629999999999</c:v>
                </c:pt>
                <c:pt idx="592">
                  <c:v>101.7132</c:v>
                </c:pt>
                <c:pt idx="593">
                  <c:v>102.1307</c:v>
                </c:pt>
                <c:pt idx="594">
                  <c:v>102.1622</c:v>
                </c:pt>
                <c:pt idx="595">
                  <c:v>102.1784</c:v>
                </c:pt>
                <c:pt idx="596">
                  <c:v>102.5286</c:v>
                </c:pt>
                <c:pt idx="597">
                  <c:v>101.6932</c:v>
                </c:pt>
                <c:pt idx="598">
                  <c:v>99.891099999999994</c:v>
                </c:pt>
                <c:pt idx="599">
                  <c:v>100.8257</c:v>
                </c:pt>
              </c:numCache>
            </c:numRef>
          </c:val>
          <c:smooth val="0"/>
          <c:extLst>
            <c:ext xmlns:c16="http://schemas.microsoft.com/office/drawing/2014/chart" uri="{C3380CC4-5D6E-409C-BE32-E72D297353CC}">
              <c16:uniqueId val="{00000000-2401-4409-A6A2-F43EB8AEDBD1}"/>
            </c:ext>
          </c:extLst>
        </c:ser>
        <c:dLbls>
          <c:showLegendKey val="0"/>
          <c:showVal val="0"/>
          <c:showCatName val="0"/>
          <c:showSerName val="0"/>
          <c:showPercent val="0"/>
          <c:showBubbleSize val="0"/>
        </c:dLbls>
        <c:smooth val="0"/>
        <c:axId val="1407243583"/>
        <c:axId val="1407245231"/>
      </c:lineChart>
      <c:dateAx>
        <c:axId val="14072435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5231"/>
        <c:crosses val="autoZero"/>
        <c:auto val="0"/>
        <c:lblOffset val="100"/>
        <c:baseTimeUnit val="months"/>
      </c:dateAx>
      <c:valAx>
        <c:axId val="1407245231"/>
        <c:scaling>
          <c:orientation val="minMax"/>
          <c:max val="110"/>
          <c:min val="3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35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Manu!$U$2</c:f>
          <c:strCache>
            <c:ptCount val="1"/>
            <c:pt idx="0">
              <c:v>Industrial Production: Manufacturing (NAICS) yoy</c:v>
            </c:pt>
          </c:strCache>
        </c:strRef>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00B050"/>
            </a:solidFill>
            <a:ln>
              <a:noFill/>
              <a:prstDash val="solid"/>
            </a:ln>
          </c:spPr>
          <c:invertIfNegative val="1"/>
          <c:cat>
            <c:numRef>
              <c:f>Manu!$A$20:$A$625</c:f>
              <c:numCache>
                <c:formatCode>mmm\-yy</c:formatCode>
                <c:ptCount val="60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Manu!$D$20:$D$625</c:f>
              <c:numCache>
                <c:formatCode>0.0%</c:formatCode>
                <c:ptCount val="606"/>
                <c:pt idx="0">
                  <c:v>0.1144298738191187</c:v>
                </c:pt>
                <c:pt idx="1">
                  <c:v>0.10903006009832283</c:v>
                </c:pt>
                <c:pt idx="2">
                  <c:v>9.5086798983289186E-2</c:v>
                </c:pt>
                <c:pt idx="3">
                  <c:v>0.10024100157339218</c:v>
                </c:pt>
                <c:pt idx="4">
                  <c:v>9.7165490778561611E-2</c:v>
                </c:pt>
                <c:pt idx="5">
                  <c:v>0.10251282520576857</c:v>
                </c:pt>
                <c:pt idx="6">
                  <c:v>8.5026081783122903E-2</c:v>
                </c:pt>
                <c:pt idx="7">
                  <c:v>8.6249864843125676E-2</c:v>
                </c:pt>
                <c:pt idx="8">
                  <c:v>8.0809104372905019E-2</c:v>
                </c:pt>
                <c:pt idx="9">
                  <c:v>7.4394707748817998E-2</c:v>
                </c:pt>
                <c:pt idx="10">
                  <c:v>5.9186888263508944E-2</c:v>
                </c:pt>
                <c:pt idx="11">
                  <c:v>4.242253902848496E-2</c:v>
                </c:pt>
                <c:pt idx="12">
                  <c:v>2.1795242294230757E-2</c:v>
                </c:pt>
                <c:pt idx="13">
                  <c:v>1.9400409260126792E-2</c:v>
                </c:pt>
                <c:pt idx="14">
                  <c:v>1.6612960973863285E-2</c:v>
                </c:pt>
                <c:pt idx="15">
                  <c:v>1.7010890894819473E-2</c:v>
                </c:pt>
                <c:pt idx="16">
                  <c:v>1.7361383613247582E-2</c:v>
                </c:pt>
                <c:pt idx="17">
                  <c:v>1.2216170557661816E-2</c:v>
                </c:pt>
                <c:pt idx="18">
                  <c:v>5.3387708343022693E-3</c:v>
                </c:pt>
                <c:pt idx="19">
                  <c:v>-1.5513700126730842E-3</c:v>
                </c:pt>
                <c:pt idx="20">
                  <c:v>-1.8337816818960906E-2</c:v>
                </c:pt>
                <c:pt idx="21">
                  <c:v>-5.5054720476727027E-2</c:v>
                </c:pt>
                <c:pt idx="22">
                  <c:v>-9.869157629129556E-2</c:v>
                </c:pt>
                <c:pt idx="23">
                  <c:v>-0.11019605388593055</c:v>
                </c:pt>
                <c:pt idx="24">
                  <c:v>-0.13161043601018166</c:v>
                </c:pt>
                <c:pt idx="25">
                  <c:v>-0.14326725178304098</c:v>
                </c:pt>
                <c:pt idx="26">
                  <c:v>-0.13967982550951769</c:v>
                </c:pt>
                <c:pt idx="27">
                  <c:v>-0.14726191768266944</c:v>
                </c:pt>
                <c:pt idx="28">
                  <c:v>-0.1403176776601105</c:v>
                </c:pt>
                <c:pt idx="29">
                  <c:v>-0.1275128127826349</c:v>
                </c:pt>
                <c:pt idx="30">
                  <c:v>-0.10999946433180256</c:v>
                </c:pt>
                <c:pt idx="31">
                  <c:v>-9.5758106284422204E-2</c:v>
                </c:pt>
                <c:pt idx="32">
                  <c:v>-8.4328615893991085E-2</c:v>
                </c:pt>
                <c:pt idx="33">
                  <c:v>-5.3214282104922767E-2</c:v>
                </c:pt>
                <c:pt idx="34">
                  <c:v>6.5128893762301E-3</c:v>
                </c:pt>
                <c:pt idx="35">
                  <c:v>4.0882417395115514E-2</c:v>
                </c:pt>
                <c:pt idx="36">
                  <c:v>8.7966751846964966E-2</c:v>
                </c:pt>
                <c:pt idx="37">
                  <c:v>0.10664208829582109</c:v>
                </c:pt>
                <c:pt idx="38">
                  <c:v>0.1127821459324404</c:v>
                </c:pt>
                <c:pt idx="39">
                  <c:v>0.12018961528235823</c:v>
                </c:pt>
                <c:pt idx="40">
                  <c:v>0.11207012584965344</c:v>
                </c:pt>
                <c:pt idx="41">
                  <c:v>0.10364473193183235</c:v>
                </c:pt>
                <c:pt idx="42">
                  <c:v>9.9287326448259272E-2</c:v>
                </c:pt>
                <c:pt idx="43">
                  <c:v>8.3208290980278377E-2</c:v>
                </c:pt>
                <c:pt idx="44">
                  <c:v>7.571648640842131E-2</c:v>
                </c:pt>
                <c:pt idx="45">
                  <c:v>8.7864992234491679E-2</c:v>
                </c:pt>
                <c:pt idx="46">
                  <c:v>8.4377582114531363E-2</c:v>
                </c:pt>
                <c:pt idx="47">
                  <c:v>6.738976742251751E-2</c:v>
                </c:pt>
                <c:pt idx="48">
                  <c:v>7.0351218788299044E-2</c:v>
                </c:pt>
                <c:pt idx="49">
                  <c:v>8.2705385977174625E-2</c:v>
                </c:pt>
                <c:pt idx="50">
                  <c:v>8.7803467181525929E-2</c:v>
                </c:pt>
                <c:pt idx="51">
                  <c:v>9.1503135951844575E-2</c:v>
                </c:pt>
                <c:pt idx="52">
                  <c:v>9.9691867003545334E-2</c:v>
                </c:pt>
                <c:pt idx="53">
                  <c:v>9.2380945224659256E-2</c:v>
                </c:pt>
                <c:pt idx="54">
                  <c:v>9.1340087651841539E-2</c:v>
                </c:pt>
                <c:pt idx="55">
                  <c:v>8.8732600659853E-2</c:v>
                </c:pt>
                <c:pt idx="56">
                  <c:v>9.2678366760396674E-2</c:v>
                </c:pt>
                <c:pt idx="57">
                  <c:v>8.1101898641024489E-2</c:v>
                </c:pt>
                <c:pt idx="58">
                  <c:v>8.1138993843473325E-2</c:v>
                </c:pt>
                <c:pt idx="59">
                  <c:v>6.8448518113568765E-2</c:v>
                </c:pt>
                <c:pt idx="60">
                  <c:v>5.2625288345464656E-2</c:v>
                </c:pt>
                <c:pt idx="61">
                  <c:v>5.6029120723777123E-2</c:v>
                </c:pt>
                <c:pt idx="62">
                  <c:v>6.1586758123989803E-2</c:v>
                </c:pt>
                <c:pt idx="63">
                  <c:v>5.848361755480088E-2</c:v>
                </c:pt>
                <c:pt idx="64">
                  <c:v>5.6986870525866741E-2</c:v>
                </c:pt>
                <c:pt idx="65">
                  <c:v>5.5953243513431727E-2</c:v>
                </c:pt>
                <c:pt idx="66">
                  <c:v>5.627122199950281E-2</c:v>
                </c:pt>
                <c:pt idx="67">
                  <c:v>6.1688252462604828E-2</c:v>
                </c:pt>
                <c:pt idx="68">
                  <c:v>6.693803811638796E-2</c:v>
                </c:pt>
                <c:pt idx="69">
                  <c:v>7.3996759862225966E-2</c:v>
                </c:pt>
                <c:pt idx="70">
                  <c:v>7.0019460449498111E-2</c:v>
                </c:pt>
                <c:pt idx="71">
                  <c:v>7.8583670641432374E-2</c:v>
                </c:pt>
                <c:pt idx="72">
                  <c:v>7.7901669126831066E-2</c:v>
                </c:pt>
                <c:pt idx="73">
                  <c:v>6.4079996251848959E-2</c:v>
                </c:pt>
                <c:pt idx="74">
                  <c:v>3.0268011521046061E-2</c:v>
                </c:pt>
                <c:pt idx="75">
                  <c:v>3.9152137140659356E-2</c:v>
                </c:pt>
                <c:pt idx="76">
                  <c:v>3.2600749287916175E-2</c:v>
                </c:pt>
                <c:pt idx="77">
                  <c:v>3.4238440075129981E-2</c:v>
                </c:pt>
                <c:pt idx="78">
                  <c:v>1.4855514416174585E-2</c:v>
                </c:pt>
                <c:pt idx="79">
                  <c:v>1.0794348967170254E-2</c:v>
                </c:pt>
                <c:pt idx="80">
                  <c:v>9.0293550003732216E-3</c:v>
                </c:pt>
                <c:pt idx="81">
                  <c:v>-4.1619659690619228E-3</c:v>
                </c:pt>
                <c:pt idx="82">
                  <c:v>-8.063534949676314E-3</c:v>
                </c:pt>
                <c:pt idx="83">
                  <c:v>4.2303401176549136E-3</c:v>
                </c:pt>
                <c:pt idx="84">
                  <c:v>-1.9382539702604158E-4</c:v>
                </c:pt>
                <c:pt idx="85">
                  <c:v>-1.3223802425027674E-2</c:v>
                </c:pt>
                <c:pt idx="86">
                  <c:v>-1.7279248694940078E-2</c:v>
                </c:pt>
                <c:pt idx="87">
                  <c:v>-6.1017184414360923E-2</c:v>
                </c:pt>
                <c:pt idx="88">
                  <c:v>-7.7180834413517682E-2</c:v>
                </c:pt>
                <c:pt idx="89">
                  <c:v>-8.8237949372563185E-2</c:v>
                </c:pt>
                <c:pt idx="90">
                  <c:v>-6.9422816736017107E-2</c:v>
                </c:pt>
                <c:pt idx="91">
                  <c:v>-5.4262281149073659E-2</c:v>
                </c:pt>
                <c:pt idx="92">
                  <c:v>-4.1447831444217396E-2</c:v>
                </c:pt>
                <c:pt idx="93">
                  <c:v>-2.0523417146833547E-2</c:v>
                </c:pt>
                <c:pt idx="94">
                  <c:v>-1.9726351851460239E-2</c:v>
                </c:pt>
                <c:pt idx="95">
                  <c:v>-2.8559705418200843E-2</c:v>
                </c:pt>
                <c:pt idx="96">
                  <c:v>-3.1974747240613492E-2</c:v>
                </c:pt>
                <c:pt idx="97">
                  <c:v>-2.0803763418013124E-2</c:v>
                </c:pt>
                <c:pt idx="98">
                  <c:v>5.3076874670439124E-3</c:v>
                </c:pt>
                <c:pt idx="99">
                  <c:v>4.2333742463200798E-2</c:v>
                </c:pt>
                <c:pt idx="100">
                  <c:v>5.4484691333853988E-2</c:v>
                </c:pt>
                <c:pt idx="101">
                  <c:v>6.8744459156064669E-2</c:v>
                </c:pt>
                <c:pt idx="102">
                  <c:v>6.0558885520823433E-2</c:v>
                </c:pt>
                <c:pt idx="103">
                  <c:v>3.8078912249327211E-2</c:v>
                </c:pt>
                <c:pt idx="104">
                  <c:v>8.2220232924253619E-3</c:v>
                </c:pt>
                <c:pt idx="105">
                  <c:v>-2.2634235092811077E-2</c:v>
                </c:pt>
                <c:pt idx="106">
                  <c:v>-4.3471788964106743E-2</c:v>
                </c:pt>
                <c:pt idx="107">
                  <c:v>-6.3412299074894457E-2</c:v>
                </c:pt>
                <c:pt idx="108">
                  <c:v>-3.1726993304135136E-2</c:v>
                </c:pt>
                <c:pt idx="109">
                  <c:v>-4.2159511332443701E-2</c:v>
                </c:pt>
                <c:pt idx="110">
                  <c:v>-5.4141385361557708E-2</c:v>
                </c:pt>
                <c:pt idx="111">
                  <c:v>-6.0561652165878499E-2</c:v>
                </c:pt>
                <c:pt idx="112">
                  <c:v>-5.674728083697117E-2</c:v>
                </c:pt>
                <c:pt idx="113">
                  <c:v>-6.0069506538053083E-2</c:v>
                </c:pt>
                <c:pt idx="114">
                  <c:v>-6.8606889356868414E-2</c:v>
                </c:pt>
                <c:pt idx="115">
                  <c:v>-6.6585723221029694E-2</c:v>
                </c:pt>
                <c:pt idx="116">
                  <c:v>-6.9025317812131684E-2</c:v>
                </c:pt>
                <c:pt idx="117">
                  <c:v>-6.2368141122240997E-2</c:v>
                </c:pt>
                <c:pt idx="118">
                  <c:v>-4.8941002410964628E-2</c:v>
                </c:pt>
                <c:pt idx="119">
                  <c:v>-1.7183123998325842E-3</c:v>
                </c:pt>
                <c:pt idx="120">
                  <c:v>-2.976306897505232E-2</c:v>
                </c:pt>
                <c:pt idx="121">
                  <c:v>-1.2849556880584296E-2</c:v>
                </c:pt>
                <c:pt idx="122">
                  <c:v>6.3988461994870013E-3</c:v>
                </c:pt>
                <c:pt idx="123">
                  <c:v>2.1297230285022881E-2</c:v>
                </c:pt>
                <c:pt idx="124">
                  <c:v>3.0390767871570589E-2</c:v>
                </c:pt>
                <c:pt idx="125">
                  <c:v>4.7410996930652011E-2</c:v>
                </c:pt>
                <c:pt idx="126">
                  <c:v>6.6583507674078432E-2</c:v>
                </c:pt>
                <c:pt idx="127">
                  <c:v>8.9033933477862662E-2</c:v>
                </c:pt>
                <c:pt idx="128">
                  <c:v>0.11481921710860132</c:v>
                </c:pt>
                <c:pt idx="129">
                  <c:v>0.12741286277142119</c:v>
                </c:pt>
                <c:pt idx="130">
                  <c:v>0.13470289856790879</c:v>
                </c:pt>
                <c:pt idx="131">
                  <c:v>0.12896320698330624</c:v>
                </c:pt>
                <c:pt idx="132">
                  <c:v>0.14154003716627969</c:v>
                </c:pt>
                <c:pt idx="133">
                  <c:v>0.13556124697069849</c:v>
                </c:pt>
                <c:pt idx="134">
                  <c:v>0.12759859231578571</c:v>
                </c:pt>
                <c:pt idx="135">
                  <c:v>0.11714788669306447</c:v>
                </c:pt>
                <c:pt idx="136">
                  <c:v>0.11298415991576828</c:v>
                </c:pt>
                <c:pt idx="137">
                  <c:v>0.10122512759010101</c:v>
                </c:pt>
                <c:pt idx="138">
                  <c:v>9.3810686194738327E-2</c:v>
                </c:pt>
                <c:pt idx="139">
                  <c:v>6.9206104529854012E-2</c:v>
                </c:pt>
                <c:pt idx="140">
                  <c:v>6.3837094881190479E-2</c:v>
                </c:pt>
                <c:pt idx="141">
                  <c:v>6.1284472909089102E-2</c:v>
                </c:pt>
                <c:pt idx="142">
                  <c:v>6.0945382805217961E-2</c:v>
                </c:pt>
                <c:pt idx="143">
                  <c:v>3.8893882124081257E-2</c:v>
                </c:pt>
                <c:pt idx="144">
                  <c:v>2.3160035643315115E-2</c:v>
                </c:pt>
                <c:pt idx="145">
                  <c:v>2.6446301034328018E-2</c:v>
                </c:pt>
                <c:pt idx="146">
                  <c:v>1.7730453667953568E-2</c:v>
                </c:pt>
                <c:pt idx="147">
                  <c:v>1.6908207717953202E-2</c:v>
                </c:pt>
                <c:pt idx="148">
                  <c:v>1.2615482256297288E-2</c:v>
                </c:pt>
                <c:pt idx="149">
                  <c:v>3.9726939396047085E-3</c:v>
                </c:pt>
                <c:pt idx="150">
                  <c:v>7.2246136755866131E-3</c:v>
                </c:pt>
                <c:pt idx="151">
                  <c:v>1.2097039162546407E-2</c:v>
                </c:pt>
                <c:pt idx="152">
                  <c:v>4.8823579511129891E-3</c:v>
                </c:pt>
                <c:pt idx="153">
                  <c:v>9.1142901165064179E-3</c:v>
                </c:pt>
                <c:pt idx="154">
                  <c:v>9.8708574310162975E-3</c:v>
                </c:pt>
                <c:pt idx="155">
                  <c:v>2.4786679307892849E-2</c:v>
                </c:pt>
                <c:pt idx="156">
                  <c:v>2.3945134495475834E-2</c:v>
                </c:pt>
                <c:pt idx="157">
                  <c:v>1.2510336680448989E-2</c:v>
                </c:pt>
                <c:pt idx="158">
                  <c:v>1.8761225614852498E-2</c:v>
                </c:pt>
                <c:pt idx="159">
                  <c:v>1.7612790663288937E-2</c:v>
                </c:pt>
                <c:pt idx="160">
                  <c:v>1.3485174585905351E-2</c:v>
                </c:pt>
                <c:pt idx="161">
                  <c:v>2.341721036295686E-2</c:v>
                </c:pt>
                <c:pt idx="162">
                  <c:v>2.1092974522995578E-2</c:v>
                </c:pt>
                <c:pt idx="163">
                  <c:v>2.2854264712826405E-2</c:v>
                </c:pt>
                <c:pt idx="164">
                  <c:v>2.8635403197830197E-2</c:v>
                </c:pt>
                <c:pt idx="165">
                  <c:v>2.5246059524089096E-2</c:v>
                </c:pt>
                <c:pt idx="166">
                  <c:v>3.1923256226751504E-2</c:v>
                </c:pt>
                <c:pt idx="167">
                  <c:v>1.5901192878578545E-2</c:v>
                </c:pt>
                <c:pt idx="168">
                  <c:v>3.6503732521665611E-2</c:v>
                </c:pt>
                <c:pt idx="169">
                  <c:v>4.0544166890291444E-2</c:v>
                </c:pt>
                <c:pt idx="170">
                  <c:v>4.4139552204068407E-2</c:v>
                </c:pt>
                <c:pt idx="171">
                  <c:v>5.0300380294432796E-2</c:v>
                </c:pt>
                <c:pt idx="172">
                  <c:v>5.8411478489500457E-2</c:v>
                </c:pt>
                <c:pt idx="173">
                  <c:v>6.0901639027182979E-2</c:v>
                </c:pt>
                <c:pt idx="174">
                  <c:v>6.3572643703877996E-2</c:v>
                </c:pt>
                <c:pt idx="175">
                  <c:v>6.827152419789187E-2</c:v>
                </c:pt>
                <c:pt idx="176">
                  <c:v>8.0766931354815039E-2</c:v>
                </c:pt>
                <c:pt idx="177">
                  <c:v>8.2493713591816051E-2</c:v>
                </c:pt>
                <c:pt idx="178">
                  <c:v>7.9420376422642797E-2</c:v>
                </c:pt>
                <c:pt idx="179">
                  <c:v>8.0712758429002052E-2</c:v>
                </c:pt>
                <c:pt idx="180">
                  <c:v>6.8555833862948154E-2</c:v>
                </c:pt>
                <c:pt idx="181">
                  <c:v>7.1513201172108645E-2</c:v>
                </c:pt>
                <c:pt idx="182">
                  <c:v>7.4891799015510296E-2</c:v>
                </c:pt>
                <c:pt idx="183">
                  <c:v>6.5111972302510618E-2</c:v>
                </c:pt>
                <c:pt idx="184">
                  <c:v>6.3397335783187916E-2</c:v>
                </c:pt>
                <c:pt idx="185">
                  <c:v>5.478385636489267E-2</c:v>
                </c:pt>
                <c:pt idx="186">
                  <c:v>5.098454541168105E-2</c:v>
                </c:pt>
                <c:pt idx="187">
                  <c:v>4.6782972884889945E-2</c:v>
                </c:pt>
                <c:pt idx="188">
                  <c:v>3.4925942605075734E-2</c:v>
                </c:pt>
                <c:pt idx="189">
                  <c:v>3.3725780705699662E-2</c:v>
                </c:pt>
                <c:pt idx="190">
                  <c:v>3.0930795781097614E-2</c:v>
                </c:pt>
                <c:pt idx="191">
                  <c:v>4.2501944275228604E-2</c:v>
                </c:pt>
                <c:pt idx="192">
                  <c:v>2.8197027583022057E-2</c:v>
                </c:pt>
                <c:pt idx="193">
                  <c:v>2.3968774144489311E-2</c:v>
                </c:pt>
                <c:pt idx="194">
                  <c:v>1.6321967000076123E-2</c:v>
                </c:pt>
                <c:pt idx="195">
                  <c:v>1.021572692023282E-2</c:v>
                </c:pt>
                <c:pt idx="196">
                  <c:v>9.7830857324528557E-3</c:v>
                </c:pt>
                <c:pt idx="197">
                  <c:v>-2.1778584392014117E-3</c:v>
                </c:pt>
                <c:pt idx="198">
                  <c:v>6.2670826316225236E-3</c:v>
                </c:pt>
                <c:pt idx="199">
                  <c:v>8.9102183691548308E-4</c:v>
                </c:pt>
                <c:pt idx="200">
                  <c:v>-5.6396806008349905E-3</c:v>
                </c:pt>
                <c:pt idx="201">
                  <c:v>-7.5553341204894642E-3</c:v>
                </c:pt>
                <c:pt idx="202">
                  <c:v>-1.1460612319776077E-2</c:v>
                </c:pt>
                <c:pt idx="203">
                  <c:v>-2.1075019660475793E-2</c:v>
                </c:pt>
                <c:pt idx="204">
                  <c:v>2.8650418952830305E-3</c:v>
                </c:pt>
                <c:pt idx="205">
                  <c:v>9.4342836314583855E-3</c:v>
                </c:pt>
                <c:pt idx="206">
                  <c:v>3.9941303797058746E-3</c:v>
                </c:pt>
                <c:pt idx="207">
                  <c:v>1.5152346307997657E-2</c:v>
                </c:pt>
                <c:pt idx="208">
                  <c:v>1.6563543777035474E-2</c:v>
                </c:pt>
                <c:pt idx="209">
                  <c:v>2.6721405186301516E-2</c:v>
                </c:pt>
                <c:pt idx="210">
                  <c:v>2.0302897278314268E-2</c:v>
                </c:pt>
                <c:pt idx="211">
                  <c:v>2.1245185805149863E-2</c:v>
                </c:pt>
                <c:pt idx="212">
                  <c:v>1.6987435155720976E-2</c:v>
                </c:pt>
                <c:pt idx="213">
                  <c:v>2.7078232883118118E-3</c:v>
                </c:pt>
                <c:pt idx="214">
                  <c:v>-6.11892467760085E-3</c:v>
                </c:pt>
                <c:pt idx="215">
                  <c:v>-1.1350109062884852E-2</c:v>
                </c:pt>
                <c:pt idx="216">
                  <c:v>-3.2146425790428167E-2</c:v>
                </c:pt>
                <c:pt idx="217">
                  <c:v>-4.395320701995941E-2</c:v>
                </c:pt>
                <c:pt idx="218">
                  <c:v>-3.6200466753152548E-2</c:v>
                </c:pt>
                <c:pt idx="219">
                  <c:v>-3.2083096215515229E-2</c:v>
                </c:pt>
                <c:pt idx="220">
                  <c:v>-2.5805593708760833E-2</c:v>
                </c:pt>
                <c:pt idx="221">
                  <c:v>-1.8096356433772689E-2</c:v>
                </c:pt>
                <c:pt idx="222">
                  <c:v>-2.107030493707639E-2</c:v>
                </c:pt>
                <c:pt idx="223">
                  <c:v>-9.0351460280864593E-3</c:v>
                </c:pt>
                <c:pt idx="224">
                  <c:v>-3.5931552171902157E-3</c:v>
                </c:pt>
                <c:pt idx="225">
                  <c:v>6.6098216291195716E-3</c:v>
                </c:pt>
                <c:pt idx="226">
                  <c:v>1.2793825768839685E-2</c:v>
                </c:pt>
                <c:pt idx="227">
                  <c:v>1.394771000734274E-2</c:v>
                </c:pt>
                <c:pt idx="228">
                  <c:v>3.1175614800792225E-2</c:v>
                </c:pt>
                <c:pt idx="229">
                  <c:v>4.9131315698441931E-2</c:v>
                </c:pt>
                <c:pt idx="230">
                  <c:v>5.0514244746409545E-2</c:v>
                </c:pt>
                <c:pt idx="231">
                  <c:v>4.9122268319661183E-2</c:v>
                </c:pt>
                <c:pt idx="232">
                  <c:v>4.2412723644311638E-2</c:v>
                </c:pt>
                <c:pt idx="233">
                  <c:v>4.6320383511744161E-2</c:v>
                </c:pt>
                <c:pt idx="234">
                  <c:v>4.0553091913588794E-2</c:v>
                </c:pt>
                <c:pt idx="235">
                  <c:v>3.0990072444325185E-2</c:v>
                </c:pt>
                <c:pt idx="236">
                  <c:v>3.8667523564695744E-2</c:v>
                </c:pt>
                <c:pt idx="237">
                  <c:v>4.5007648046767192E-2</c:v>
                </c:pt>
                <c:pt idx="238">
                  <c:v>4.6431912380250157E-2</c:v>
                </c:pt>
                <c:pt idx="239">
                  <c:v>6.1740004873578669E-2</c:v>
                </c:pt>
                <c:pt idx="240">
                  <c:v>5.4377388253532201E-2</c:v>
                </c:pt>
                <c:pt idx="241">
                  <c:v>4.1334562497266289E-2</c:v>
                </c:pt>
                <c:pt idx="242">
                  <c:v>4.0772187597225985E-2</c:v>
                </c:pt>
                <c:pt idx="243">
                  <c:v>3.3457057428600841E-2</c:v>
                </c:pt>
                <c:pt idx="244">
                  <c:v>2.8530843079534293E-2</c:v>
                </c:pt>
                <c:pt idx="245">
                  <c:v>2.14895196305761E-2</c:v>
                </c:pt>
                <c:pt idx="246">
                  <c:v>2.4943407931469163E-2</c:v>
                </c:pt>
                <c:pt idx="247">
                  <c:v>3.0740469268590011E-2</c:v>
                </c:pt>
                <c:pt idx="248">
                  <c:v>3.3217604528319171E-2</c:v>
                </c:pt>
                <c:pt idx="249">
                  <c:v>3.3819015779925438E-2</c:v>
                </c:pt>
                <c:pt idx="250">
                  <c:v>4.1363514756836743E-2</c:v>
                </c:pt>
                <c:pt idx="251">
                  <c:v>3.2936164160384751E-2</c:v>
                </c:pt>
                <c:pt idx="252">
                  <c:v>3.2207723533982678E-2</c:v>
                </c:pt>
                <c:pt idx="253">
                  <c:v>4.8107228765793257E-2</c:v>
                </c:pt>
                <c:pt idx="254">
                  <c:v>5.2260574822929264E-2</c:v>
                </c:pt>
                <c:pt idx="255">
                  <c:v>6.051424314152077E-2</c:v>
                </c:pt>
                <c:pt idx="256">
                  <c:v>6.5786229402521948E-2</c:v>
                </c:pt>
                <c:pt idx="257">
                  <c:v>6.7822659211554379E-2</c:v>
                </c:pt>
                <c:pt idx="258">
                  <c:v>7.8089534939875277E-2</c:v>
                </c:pt>
                <c:pt idx="259">
                  <c:v>7.4406578690845493E-2</c:v>
                </c:pt>
                <c:pt idx="260">
                  <c:v>7.5926324928232355E-2</c:v>
                </c:pt>
                <c:pt idx="261">
                  <c:v>7.9744705943564642E-2</c:v>
                </c:pt>
                <c:pt idx="262">
                  <c:v>8.4538504918854673E-2</c:v>
                </c:pt>
                <c:pt idx="263">
                  <c:v>8.5391728864479127E-2</c:v>
                </c:pt>
                <c:pt idx="264">
                  <c:v>8.0463683730461324E-2</c:v>
                </c:pt>
                <c:pt idx="265">
                  <c:v>6.9277981232814353E-2</c:v>
                </c:pt>
                <c:pt idx="266">
                  <c:v>5.6791696068278934E-2</c:v>
                </c:pt>
                <c:pt idx="267">
                  <c:v>5.3368109925591316E-2</c:v>
                </c:pt>
                <c:pt idx="268">
                  <c:v>5.4679313582733521E-2</c:v>
                </c:pt>
                <c:pt idx="269">
                  <c:v>4.3080476105880144E-2</c:v>
                </c:pt>
                <c:pt idx="270">
                  <c:v>4.7160007167174348E-2</c:v>
                </c:pt>
                <c:pt idx="271">
                  <c:v>5.2711425766725335E-2</c:v>
                </c:pt>
                <c:pt idx="272">
                  <c:v>4.1506105614691917E-2</c:v>
                </c:pt>
                <c:pt idx="273">
                  <c:v>3.3899072320454665E-2</c:v>
                </c:pt>
                <c:pt idx="274">
                  <c:v>2.6942509742520004E-2</c:v>
                </c:pt>
                <c:pt idx="275">
                  <c:v>1.8428256948979573E-2</c:v>
                </c:pt>
                <c:pt idx="276">
                  <c:v>3.6189146291750907E-2</c:v>
                </c:pt>
                <c:pt idx="277">
                  <c:v>3.0580665062797354E-2</c:v>
                </c:pt>
                <c:pt idx="278">
                  <c:v>4.6318229709398286E-2</c:v>
                </c:pt>
                <c:pt idx="279">
                  <c:v>5.1270675576208076E-2</c:v>
                </c:pt>
                <c:pt idx="280">
                  <c:v>5.6734751809654121E-2</c:v>
                </c:pt>
                <c:pt idx="281">
                  <c:v>6.8687151523374151E-2</c:v>
                </c:pt>
                <c:pt idx="282">
                  <c:v>6.0185026750168423E-2</c:v>
                </c:pt>
                <c:pt idx="283">
                  <c:v>5.9440786685128102E-2</c:v>
                </c:pt>
                <c:pt idx="284">
                  <c:v>5.8671006069414451E-2</c:v>
                </c:pt>
                <c:pt idx="285">
                  <c:v>6.6835018261628631E-2</c:v>
                </c:pt>
                <c:pt idx="286">
                  <c:v>7.1280586346432306E-2</c:v>
                </c:pt>
                <c:pt idx="287">
                  <c:v>7.943423842728263E-2</c:v>
                </c:pt>
                <c:pt idx="288">
                  <c:v>7.8403553487152139E-2</c:v>
                </c:pt>
                <c:pt idx="289">
                  <c:v>9.206326560869646E-2</c:v>
                </c:pt>
                <c:pt idx="290">
                  <c:v>7.7043249806272876E-2</c:v>
                </c:pt>
                <c:pt idx="291">
                  <c:v>7.6035410937600661E-2</c:v>
                </c:pt>
                <c:pt idx="292">
                  <c:v>7.2062538496395226E-2</c:v>
                </c:pt>
                <c:pt idx="293">
                  <c:v>7.5074349090928763E-2</c:v>
                </c:pt>
                <c:pt idx="294">
                  <c:v>8.4150625679208876E-2</c:v>
                </c:pt>
                <c:pt idx="295">
                  <c:v>8.4658152086214494E-2</c:v>
                </c:pt>
                <c:pt idx="296">
                  <c:v>9.5823273006986967E-2</c:v>
                </c:pt>
                <c:pt idx="297">
                  <c:v>9.7702564591375801E-2</c:v>
                </c:pt>
                <c:pt idx="298">
                  <c:v>9.4837840605626111E-2</c:v>
                </c:pt>
                <c:pt idx="299">
                  <c:v>0.1026709959321339</c:v>
                </c:pt>
                <c:pt idx="300">
                  <c:v>8.905484736448574E-2</c:v>
                </c:pt>
                <c:pt idx="301">
                  <c:v>7.5936089142198446E-2</c:v>
                </c:pt>
                <c:pt idx="302">
                  <c:v>8.2450018147237569E-2</c:v>
                </c:pt>
                <c:pt idx="303">
                  <c:v>8.0338815571662198E-2</c:v>
                </c:pt>
                <c:pt idx="304">
                  <c:v>6.4982447437224616E-2</c:v>
                </c:pt>
                <c:pt idx="305">
                  <c:v>5.1796892764314255E-2</c:v>
                </c:pt>
                <c:pt idx="306">
                  <c:v>6.521072996567337E-2</c:v>
                </c:pt>
                <c:pt idx="307">
                  <c:v>5.4960336000550669E-2</c:v>
                </c:pt>
                <c:pt idx="308">
                  <c:v>5.4733904481031423E-2</c:v>
                </c:pt>
                <c:pt idx="309">
                  <c:v>4.5112854498200003E-2</c:v>
                </c:pt>
                <c:pt idx="310">
                  <c:v>4.5642601200155425E-2</c:v>
                </c:pt>
                <c:pt idx="311">
                  <c:v>3.991175648595785E-2</c:v>
                </c:pt>
                <c:pt idx="312">
                  <c:v>4.8215912640952943E-2</c:v>
                </c:pt>
                <c:pt idx="313">
                  <c:v>5.0061661968611927E-2</c:v>
                </c:pt>
                <c:pt idx="314">
                  <c:v>4.9239237839771986E-2</c:v>
                </c:pt>
                <c:pt idx="315">
                  <c:v>5.2402359220005218E-2</c:v>
                </c:pt>
                <c:pt idx="316">
                  <c:v>5.8688344204185734E-2</c:v>
                </c:pt>
                <c:pt idx="317">
                  <c:v>6.9110080215564321E-2</c:v>
                </c:pt>
                <c:pt idx="318">
                  <c:v>4.795701128756507E-2</c:v>
                </c:pt>
                <c:pt idx="319">
                  <c:v>4.3907402162853985E-2</c:v>
                </c:pt>
                <c:pt idx="320">
                  <c:v>5.0750852414201193E-2</c:v>
                </c:pt>
                <c:pt idx="321">
                  <c:v>5.6428151876764823E-2</c:v>
                </c:pt>
                <c:pt idx="322">
                  <c:v>5.7483602900615008E-2</c:v>
                </c:pt>
                <c:pt idx="323">
                  <c:v>5.5292967298136354E-2</c:v>
                </c:pt>
                <c:pt idx="324">
                  <c:v>4.8976145957278026E-2</c:v>
                </c:pt>
                <c:pt idx="325">
                  <c:v>5.6488977110798019E-2</c:v>
                </c:pt>
                <c:pt idx="326">
                  <c:v>5.9249238635426915E-2</c:v>
                </c:pt>
                <c:pt idx="327">
                  <c:v>5.1451770964580805E-2</c:v>
                </c:pt>
                <c:pt idx="328">
                  <c:v>5.5248637388095295E-2</c:v>
                </c:pt>
                <c:pt idx="329">
                  <c:v>5.1193936807484332E-2</c:v>
                </c:pt>
                <c:pt idx="330">
                  <c:v>3.9059947411821345E-2</c:v>
                </c:pt>
                <c:pt idx="331">
                  <c:v>4.8809487924064414E-2</c:v>
                </c:pt>
                <c:pt idx="332">
                  <c:v>2.9999769080290638E-2</c:v>
                </c:pt>
                <c:pt idx="333">
                  <c:v>2.0365495319344201E-2</c:v>
                </c:pt>
                <c:pt idx="334">
                  <c:v>7.1013669155253418E-3</c:v>
                </c:pt>
                <c:pt idx="335">
                  <c:v>1.6775686957879665E-3</c:v>
                </c:pt>
                <c:pt idx="336">
                  <c:v>-7.2261251051942733E-3</c:v>
                </c:pt>
                <c:pt idx="337">
                  <c:v>-1.5865675053034017E-2</c:v>
                </c:pt>
                <c:pt idx="338">
                  <c:v>-2.6165954729540249E-2</c:v>
                </c:pt>
                <c:pt idx="339">
                  <c:v>-3.3351618796035466E-2</c:v>
                </c:pt>
                <c:pt idx="340">
                  <c:v>-4.1136658799203182E-2</c:v>
                </c:pt>
                <c:pt idx="341">
                  <c:v>-4.7397787295548034E-2</c:v>
                </c:pt>
                <c:pt idx="342">
                  <c:v>-4.5176898913226009E-2</c:v>
                </c:pt>
                <c:pt idx="343">
                  <c:v>-5.3501819195977116E-2</c:v>
                </c:pt>
                <c:pt idx="344">
                  <c:v>-5.4957408488836637E-2</c:v>
                </c:pt>
                <c:pt idx="345">
                  <c:v>-5.5401160886144524E-2</c:v>
                </c:pt>
                <c:pt idx="346">
                  <c:v>-4.7954823480762888E-2</c:v>
                </c:pt>
                <c:pt idx="347">
                  <c:v>-3.6874994590571149E-2</c:v>
                </c:pt>
                <c:pt idx="348">
                  <c:v>-3.1006115475853697E-2</c:v>
                </c:pt>
                <c:pt idx="349">
                  <c:v>-2.1313550590244108E-2</c:v>
                </c:pt>
                <c:pt idx="350">
                  <c:v>-1.4051358173892749E-2</c:v>
                </c:pt>
                <c:pt idx="351">
                  <c:v>-1.8875949858072497E-3</c:v>
                </c:pt>
                <c:pt idx="352">
                  <c:v>1.4996383740587749E-2</c:v>
                </c:pt>
                <c:pt idx="353">
                  <c:v>1.9742684630248579E-2</c:v>
                </c:pt>
                <c:pt idx="354">
                  <c:v>2.4614385088436615E-2</c:v>
                </c:pt>
                <c:pt idx="355">
                  <c:v>2.9842605140778078E-2</c:v>
                </c:pt>
                <c:pt idx="356">
                  <c:v>3.1116874959755278E-2</c:v>
                </c:pt>
                <c:pt idx="357">
                  <c:v>3.996314442015364E-2</c:v>
                </c:pt>
                <c:pt idx="358">
                  <c:v>3.082823959497424E-2</c:v>
                </c:pt>
                <c:pt idx="359">
                  <c:v>3.2672528835309522E-2</c:v>
                </c:pt>
                <c:pt idx="360">
                  <c:v>3.0948268698216607E-2</c:v>
                </c:pt>
                <c:pt idx="361">
                  <c:v>2.3760743748711899E-2</c:v>
                </c:pt>
                <c:pt idx="362">
                  <c:v>1.2989219136864918E-2</c:v>
                </c:pt>
                <c:pt idx="363">
                  <c:v>7.8605329485499781E-3</c:v>
                </c:pt>
                <c:pt idx="364">
                  <c:v>2.3923418830321319E-3</c:v>
                </c:pt>
                <c:pt idx="365">
                  <c:v>7.4942999558000661E-3</c:v>
                </c:pt>
                <c:pt idx="366">
                  <c:v>2.6084941139429287E-3</c:v>
                </c:pt>
                <c:pt idx="367">
                  <c:v>1.0592988970186887E-2</c:v>
                </c:pt>
                <c:pt idx="368">
                  <c:v>1.4688481916306201E-2</c:v>
                </c:pt>
                <c:pt idx="369">
                  <c:v>1.8527176134041597E-2</c:v>
                </c:pt>
                <c:pt idx="370">
                  <c:v>2.5093625150464125E-2</c:v>
                </c:pt>
                <c:pt idx="371">
                  <c:v>1.5508302930228477E-2</c:v>
                </c:pt>
                <c:pt idx="372">
                  <c:v>2.4372443616598283E-2</c:v>
                </c:pt>
                <c:pt idx="373">
                  <c:v>2.2921987544385163E-2</c:v>
                </c:pt>
                <c:pt idx="374">
                  <c:v>3.3704564710111719E-2</c:v>
                </c:pt>
                <c:pt idx="375">
                  <c:v>4.0458489381768874E-2</c:v>
                </c:pt>
                <c:pt idx="376">
                  <c:v>2.7879658784638391E-2</c:v>
                </c:pt>
                <c:pt idx="377">
                  <c:v>3.2675338101246856E-2</c:v>
                </c:pt>
                <c:pt idx="378">
                  <c:v>4.1706920803846942E-2</c:v>
                </c:pt>
                <c:pt idx="379">
                  <c:v>3.3174843311000575E-2</c:v>
                </c:pt>
                <c:pt idx="380">
                  <c:v>4.315762992043521E-2</c:v>
                </c:pt>
                <c:pt idx="381">
                  <c:v>3.3519290068968796E-2</c:v>
                </c:pt>
                <c:pt idx="382">
                  <c:v>4.232747030665289E-2</c:v>
                </c:pt>
                <c:pt idx="383">
                  <c:v>4.9724123821326918E-2</c:v>
                </c:pt>
                <c:pt idx="384">
                  <c:v>5.1865124093490117E-2</c:v>
                </c:pt>
                <c:pt idx="385">
                  <c:v>4.7126244804560007E-2</c:v>
                </c:pt>
                <c:pt idx="386">
                  <c:v>4.7974807023496553E-2</c:v>
                </c:pt>
                <c:pt idx="387">
                  <c:v>4.3473363050431341E-2</c:v>
                </c:pt>
                <c:pt idx="388">
                  <c:v>5.3805675445472448E-2</c:v>
                </c:pt>
                <c:pt idx="389">
                  <c:v>4.1209588545566132E-2</c:v>
                </c:pt>
                <c:pt idx="390">
                  <c:v>4.2249923849021098E-2</c:v>
                </c:pt>
                <c:pt idx="391">
                  <c:v>2.9497960464386602E-2</c:v>
                </c:pt>
                <c:pt idx="392">
                  <c:v>3.4019090519534521E-2</c:v>
                </c:pt>
                <c:pt idx="393">
                  <c:v>4.400209533787322E-2</c:v>
                </c:pt>
                <c:pt idx="394">
                  <c:v>3.6595297193658852E-2</c:v>
                </c:pt>
                <c:pt idx="395">
                  <c:v>3.8398272638960368E-2</c:v>
                </c:pt>
                <c:pt idx="396">
                  <c:v>2.5741132941432196E-2</c:v>
                </c:pt>
                <c:pt idx="397">
                  <c:v>3.0346254112034215E-2</c:v>
                </c:pt>
                <c:pt idx="398">
                  <c:v>2.987961949318365E-2</c:v>
                </c:pt>
                <c:pt idx="399">
                  <c:v>2.4704910209365175E-2</c:v>
                </c:pt>
                <c:pt idx="400">
                  <c:v>2.5709393863444834E-2</c:v>
                </c:pt>
                <c:pt idx="401">
                  <c:v>2.6134239317603149E-2</c:v>
                </c:pt>
                <c:pt idx="402">
                  <c:v>2.8532633257741715E-2</c:v>
                </c:pt>
                <c:pt idx="403">
                  <c:v>4.1221046771167023E-2</c:v>
                </c:pt>
                <c:pt idx="404">
                  <c:v>2.111809697888194E-2</c:v>
                </c:pt>
                <c:pt idx="405">
                  <c:v>1.2587534632081896E-2</c:v>
                </c:pt>
                <c:pt idx="406">
                  <c:v>2.7140046404079996E-2</c:v>
                </c:pt>
                <c:pt idx="407">
                  <c:v>1.482574079569811E-2</c:v>
                </c:pt>
                <c:pt idx="408">
                  <c:v>2.154321948873417E-2</c:v>
                </c:pt>
                <c:pt idx="409">
                  <c:v>3.123816773420008E-2</c:v>
                </c:pt>
                <c:pt idx="410">
                  <c:v>3.428634303240595E-2</c:v>
                </c:pt>
                <c:pt idx="411">
                  <c:v>3.6452430769230819E-2</c:v>
                </c:pt>
                <c:pt idx="412">
                  <c:v>3.7064623156704765E-2</c:v>
                </c:pt>
                <c:pt idx="413">
                  <c:v>4.086772686740809E-2</c:v>
                </c:pt>
                <c:pt idx="414">
                  <c:v>3.044881809802058E-2</c:v>
                </c:pt>
                <c:pt idx="415">
                  <c:v>3.3243989278713443E-2</c:v>
                </c:pt>
                <c:pt idx="416">
                  <c:v>3.6718040815686297E-2</c:v>
                </c:pt>
                <c:pt idx="417">
                  <c:v>4.1854689605465206E-2</c:v>
                </c:pt>
                <c:pt idx="418">
                  <c:v>2.6956304513261573E-2</c:v>
                </c:pt>
                <c:pt idx="419">
                  <c:v>2.8699275400911644E-2</c:v>
                </c:pt>
                <c:pt idx="420">
                  <c:v>1.7182545004085718E-2</c:v>
                </c:pt>
                <c:pt idx="421">
                  <c:v>3.4086878033994794E-3</c:v>
                </c:pt>
                <c:pt idx="422">
                  <c:v>-1.3140222530817827E-2</c:v>
                </c:pt>
                <c:pt idx="423">
                  <c:v>-1.8017436044562008E-2</c:v>
                </c:pt>
                <c:pt idx="424">
                  <c:v>-2.8387558300947861E-2</c:v>
                </c:pt>
                <c:pt idx="425">
                  <c:v>-3.9421988602032797E-2</c:v>
                </c:pt>
                <c:pt idx="426">
                  <c:v>-4.9641095617813082E-2</c:v>
                </c:pt>
                <c:pt idx="427">
                  <c:v>-8.6427284437007368E-2</c:v>
                </c:pt>
                <c:pt idx="428">
                  <c:v>-9.0442662975129318E-2</c:v>
                </c:pt>
                <c:pt idx="429">
                  <c:v>-0.11862576276539354</c:v>
                </c:pt>
                <c:pt idx="430">
                  <c:v>-0.14944535598931935</c:v>
                </c:pt>
                <c:pt idx="431">
                  <c:v>-0.17522052587337289</c:v>
                </c:pt>
                <c:pt idx="432">
                  <c:v>-0.16888498539826827</c:v>
                </c:pt>
                <c:pt idx="433">
                  <c:v>-0.1796989199769016</c:v>
                </c:pt>
                <c:pt idx="434">
                  <c:v>-0.17677128370184142</c:v>
                </c:pt>
                <c:pt idx="435">
                  <c:v>-0.18140219274611796</c:v>
                </c:pt>
                <c:pt idx="436">
                  <c:v>-0.17801891505754278</c:v>
                </c:pt>
                <c:pt idx="437">
                  <c:v>-0.15510608682641222</c:v>
                </c:pt>
                <c:pt idx="438">
                  <c:v>-0.13442096940001524</c:v>
                </c:pt>
                <c:pt idx="439">
                  <c:v>-9.3484152793081782E-2</c:v>
                </c:pt>
                <c:pt idx="440">
                  <c:v>-8.8209242898994386E-2</c:v>
                </c:pt>
                <c:pt idx="441">
                  <c:v>-5.4664296295032333E-2</c:v>
                </c:pt>
                <c:pt idx="442">
                  <c:v>-2.2442158219202989E-2</c:v>
                </c:pt>
                <c:pt idx="443">
                  <c:v>2.2246011764410545E-2</c:v>
                </c:pt>
                <c:pt idx="444">
                  <c:v>2.2401847838615329E-2</c:v>
                </c:pt>
                <c:pt idx="445">
                  <c:v>5.4784734016230595E-2</c:v>
                </c:pt>
                <c:pt idx="446">
                  <c:v>7.1320756922968964E-2</c:v>
                </c:pt>
                <c:pt idx="447">
                  <c:v>9.7265439882576646E-2</c:v>
                </c:pt>
                <c:pt idx="448">
                  <c:v>0.1001195482049404</c:v>
                </c:pt>
                <c:pt idx="449">
                  <c:v>8.7743315557865104E-2</c:v>
                </c:pt>
                <c:pt idx="450">
                  <c:v>7.7645700883656937E-2</c:v>
                </c:pt>
                <c:pt idx="451">
                  <c:v>6.7695416237640818E-2</c:v>
                </c:pt>
                <c:pt idx="452">
                  <c:v>6.8156345596694548E-2</c:v>
                </c:pt>
                <c:pt idx="453">
                  <c:v>5.8090382873303974E-2</c:v>
                </c:pt>
                <c:pt idx="454">
                  <c:v>6.4789849236354488E-2</c:v>
                </c:pt>
                <c:pt idx="455">
                  <c:v>5.3556236839813566E-2</c:v>
                </c:pt>
                <c:pt idx="456">
                  <c:v>5.5573352740326258E-2</c:v>
                </c:pt>
                <c:pt idx="457">
                  <c:v>4.8591249147855349E-2</c:v>
                </c:pt>
                <c:pt idx="458">
                  <c:v>3.2921316678052932E-2</c:v>
                </c:pt>
                <c:pt idx="459">
                  <c:v>1.9612869316468325E-2</c:v>
                </c:pt>
                <c:pt idx="460">
                  <c:v>2.0555447258142935E-2</c:v>
                </c:pt>
                <c:pt idx="461">
                  <c:v>2.1113763899019783E-2</c:v>
                </c:pt>
                <c:pt idx="462">
                  <c:v>2.3910182885961664E-2</c:v>
                </c:pt>
                <c:pt idx="463">
                  <c:v>2.5983734801437564E-2</c:v>
                </c:pt>
                <c:pt idx="464">
                  <c:v>3.099375129425274E-2</c:v>
                </c:pt>
                <c:pt idx="465">
                  <c:v>2.8026850846872228E-2</c:v>
                </c:pt>
                <c:pt idx="466">
                  <c:v>2.9244121101022487E-2</c:v>
                </c:pt>
                <c:pt idx="467">
                  <c:v>3.7746486037403118E-2</c:v>
                </c:pt>
                <c:pt idx="468">
                  <c:v>3.9978428335016372E-2</c:v>
                </c:pt>
                <c:pt idx="469">
                  <c:v>2.7433401531733206E-2</c:v>
                </c:pt>
                <c:pt idx="470">
                  <c:v>3.9245746308395821E-2</c:v>
                </c:pt>
                <c:pt idx="471">
                  <c:v>3.5985684738909167E-2</c:v>
                </c:pt>
                <c:pt idx="472">
                  <c:v>3.8409707059631815E-2</c:v>
                </c:pt>
                <c:pt idx="473">
                  <c:v>3.074410403211519E-2</c:v>
                </c:pt>
                <c:pt idx="474">
                  <c:v>2.4512746523793951E-2</c:v>
                </c:pt>
                <c:pt idx="475">
                  <c:v>1.9454868140961916E-2</c:v>
                </c:pt>
                <c:pt idx="476">
                  <c:v>1.2392972139107776E-2</c:v>
                </c:pt>
                <c:pt idx="477">
                  <c:v>2.0571266188139627E-2</c:v>
                </c:pt>
                <c:pt idx="478">
                  <c:v>2.1697185580972601E-2</c:v>
                </c:pt>
                <c:pt idx="479">
                  <c:v>9.7336421303729007E-3</c:v>
                </c:pt>
                <c:pt idx="480">
                  <c:v>1.0338670777189887E-2</c:v>
                </c:pt>
                <c:pt idx="481">
                  <c:v>1.5338708951958841E-2</c:v>
                </c:pt>
                <c:pt idx="482">
                  <c:v>6.2910665431769415E-3</c:v>
                </c:pt>
                <c:pt idx="483">
                  <c:v>1.2289586836183305E-2</c:v>
                </c:pt>
                <c:pt idx="484">
                  <c:v>1.0609799226826094E-2</c:v>
                </c:pt>
                <c:pt idx="485">
                  <c:v>3.4132888269235908E-3</c:v>
                </c:pt>
                <c:pt idx="486">
                  <c:v>1.3175740740551957E-2</c:v>
                </c:pt>
                <c:pt idx="487">
                  <c:v>1.5812125079770194E-2</c:v>
                </c:pt>
                <c:pt idx="488">
                  <c:v>1.9264910414791721E-2</c:v>
                </c:pt>
                <c:pt idx="489">
                  <c:v>1.2888651320469518E-2</c:v>
                </c:pt>
                <c:pt idx="490">
                  <c:v>3.8304436030986511E-3</c:v>
                </c:pt>
                <c:pt idx="491">
                  <c:v>-4.823951068752972E-3</c:v>
                </c:pt>
                <c:pt idx="492">
                  <c:v>-1.3988688283725505E-4</c:v>
                </c:pt>
                <c:pt idx="493">
                  <c:v>9.2242730674785833E-3</c:v>
                </c:pt>
                <c:pt idx="494">
                  <c:v>1.2508524406322342E-2</c:v>
                </c:pt>
                <c:pt idx="495">
                  <c:v>1.2360974292960838E-2</c:v>
                </c:pt>
                <c:pt idx="496">
                  <c:v>1.4052186364934398E-2</c:v>
                </c:pt>
                <c:pt idx="497">
                  <c:v>2.8401069388549988E-2</c:v>
                </c:pt>
                <c:pt idx="498">
                  <c:v>1.3809001296416849E-2</c:v>
                </c:pt>
                <c:pt idx="499">
                  <c:v>1.3932599629496114E-2</c:v>
                </c:pt>
                <c:pt idx="500">
                  <c:v>1.1112917110641602E-2</c:v>
                </c:pt>
                <c:pt idx="501">
                  <c:v>1.8007939987579331E-2</c:v>
                </c:pt>
                <c:pt idx="502">
                  <c:v>1.7958607770740754E-2</c:v>
                </c:pt>
                <c:pt idx="503">
                  <c:v>2.3407442335012758E-2</c:v>
                </c:pt>
                <c:pt idx="504">
                  <c:v>6.1740013547777334E-3</c:v>
                </c:pt>
                <c:pt idx="505">
                  <c:v>3.9404994558124226E-4</c:v>
                </c:pt>
                <c:pt idx="506">
                  <c:v>2.6841324863859518E-4</c:v>
                </c:pt>
                <c:pt idx="507">
                  <c:v>-2.6853744102424987E-3</c:v>
                </c:pt>
                <c:pt idx="508">
                  <c:v>-9.7767773028827661E-3</c:v>
                </c:pt>
                <c:pt idx="509">
                  <c:v>-7.9221922963510095E-3</c:v>
                </c:pt>
                <c:pt idx="510">
                  <c:v>-5.6239577225997385E-3</c:v>
                </c:pt>
                <c:pt idx="511">
                  <c:v>-8.412625084017248E-3</c:v>
                </c:pt>
                <c:pt idx="512">
                  <c:v>-8.7580897719087263E-3</c:v>
                </c:pt>
                <c:pt idx="513">
                  <c:v>-1.8622693352360768E-2</c:v>
                </c:pt>
                <c:pt idx="514">
                  <c:v>-1.9686337537613462E-2</c:v>
                </c:pt>
                <c:pt idx="515">
                  <c:v>-9.5106644953726789E-3</c:v>
                </c:pt>
                <c:pt idx="516">
                  <c:v>-5.3918601917661742E-3</c:v>
                </c:pt>
                <c:pt idx="517">
                  <c:v>-9.1792430440185251E-3</c:v>
                </c:pt>
                <c:pt idx="518">
                  <c:v>-1.0469297873720106E-2</c:v>
                </c:pt>
                <c:pt idx="519">
                  <c:v>-1.1198403790996406E-2</c:v>
                </c:pt>
                <c:pt idx="520">
                  <c:v>-4.9441640937717734E-3</c:v>
                </c:pt>
                <c:pt idx="521">
                  <c:v>-1.1399129582465955E-2</c:v>
                </c:pt>
                <c:pt idx="522">
                  <c:v>-1.1391344254444493E-2</c:v>
                </c:pt>
                <c:pt idx="523">
                  <c:v>-7.3342691124894084E-3</c:v>
                </c:pt>
                <c:pt idx="524">
                  <c:v>-4.5308570787883579E-3</c:v>
                </c:pt>
                <c:pt idx="525">
                  <c:v>-2.4704251943201243E-3</c:v>
                </c:pt>
                <c:pt idx="526">
                  <c:v>-8.3585516543298959E-5</c:v>
                </c:pt>
                <c:pt idx="527">
                  <c:v>-2.3478649666867964E-3</c:v>
                </c:pt>
                <c:pt idx="528">
                  <c:v>7.4527414723440314E-4</c:v>
                </c:pt>
                <c:pt idx="529">
                  <c:v>-1.4824864306698696E-3</c:v>
                </c:pt>
                <c:pt idx="530">
                  <c:v>1.1817008750352874E-2</c:v>
                </c:pt>
                <c:pt idx="531">
                  <c:v>1.0494879685214132E-2</c:v>
                </c:pt>
                <c:pt idx="532">
                  <c:v>7.770623199753573E-3</c:v>
                </c:pt>
                <c:pt idx="533">
                  <c:v>3.8653094510033756E-3</c:v>
                </c:pt>
                <c:pt idx="534">
                  <c:v>5.2920411495556655E-3</c:v>
                </c:pt>
                <c:pt idx="535">
                  <c:v>3.7083291368716627E-3</c:v>
                </c:pt>
                <c:pt idx="536">
                  <c:v>1.3162684709000928E-2</c:v>
                </c:pt>
                <c:pt idx="537">
                  <c:v>1.4566302903394671E-2</c:v>
                </c:pt>
                <c:pt idx="538">
                  <c:v>1.1950706608440612E-2</c:v>
                </c:pt>
                <c:pt idx="539">
                  <c:v>5.7608826721330135E-3</c:v>
                </c:pt>
                <c:pt idx="540">
                  <c:v>1.6221007712516205E-2</c:v>
                </c:pt>
                <c:pt idx="541">
                  <c:v>2.0080070313507902E-2</c:v>
                </c:pt>
                <c:pt idx="542">
                  <c:v>1.5691224909881809E-2</c:v>
                </c:pt>
                <c:pt idx="543">
                  <c:v>9.1458057095389067E-3</c:v>
                </c:pt>
                <c:pt idx="544">
                  <c:v>1.5982663144701901E-2</c:v>
                </c:pt>
                <c:pt idx="545">
                  <c:v>2.0055472583742285E-2</c:v>
                </c:pt>
                <c:pt idx="546">
                  <c:v>2.542849284155442E-2</c:v>
                </c:pt>
                <c:pt idx="547">
                  <c:v>2.4617141389268651E-2</c:v>
                </c:pt>
                <c:pt idx="548">
                  <c:v>9.5256434052512426E-3</c:v>
                </c:pt>
                <c:pt idx="549">
                  <c:v>4.9554023709328888E-3</c:v>
                </c:pt>
                <c:pt idx="550">
                  <c:v>9.6210307152426004E-3</c:v>
                </c:pt>
                <c:pt idx="551">
                  <c:v>5.6229786800388254E-3</c:v>
                </c:pt>
                <c:pt idx="552">
                  <c:v>-9.0036453687202013E-3</c:v>
                </c:pt>
                <c:pt idx="553">
                  <c:v>-1.0828516377649328E-2</c:v>
                </c:pt>
                <c:pt idx="554">
                  <c:v>-2.4096775554206272E-2</c:v>
                </c:pt>
                <c:pt idx="555">
                  <c:v>-1.5041871472783601E-2</c:v>
                </c:pt>
                <c:pt idx="556">
                  <c:v>-1.8501207562081189E-2</c:v>
                </c:pt>
                <c:pt idx="557">
                  <c:v>-2.5486250838363492E-2</c:v>
                </c:pt>
                <c:pt idx="558">
                  <c:v>-2.1899232205282979E-2</c:v>
                </c:pt>
                <c:pt idx="559">
                  <c:v>-2.8689226972476209E-2</c:v>
                </c:pt>
                <c:pt idx="560">
                  <c:v>-3.2131929587213594E-2</c:v>
                </c:pt>
                <c:pt idx="561">
                  <c:v>-2.1359955686460048E-2</c:v>
                </c:pt>
                <c:pt idx="562">
                  <c:v>-2.4286186042614462E-2</c:v>
                </c:pt>
                <c:pt idx="563">
                  <c:v>-1.7695606947098066E-2</c:v>
                </c:pt>
                <c:pt idx="564">
                  <c:v>-1.0107360769309057E-2</c:v>
                </c:pt>
                <c:pt idx="565">
                  <c:v>-5.1410910696430154E-2</c:v>
                </c:pt>
                <c:pt idx="566">
                  <c:v>-0.19189921054694797</c:v>
                </c:pt>
                <c:pt idx="567">
                  <c:v>-0.15690264980025292</c:v>
                </c:pt>
                <c:pt idx="568">
                  <c:v>-9.6561200259985464E-2</c:v>
                </c:pt>
                <c:pt idx="569">
                  <c:v>-5.783460080068608E-2</c:v>
                </c:pt>
                <c:pt idx="570">
                  <c:v>-5.0807354820758557E-2</c:v>
                </c:pt>
                <c:pt idx="571">
                  <c:v>-4.3812385311850915E-2</c:v>
                </c:pt>
                <c:pt idx="572">
                  <c:v>-2.6675958216469453E-2</c:v>
                </c:pt>
                <c:pt idx="573">
                  <c:v>-2.7816173132220057E-2</c:v>
                </c:pt>
                <c:pt idx="574">
                  <c:v>-2.2577105862955277E-2</c:v>
                </c:pt>
                <c:pt idx="575">
                  <c:v>-5.5365071659030062E-3</c:v>
                </c:pt>
                <c:pt idx="576">
                  <c:v>-4.4811344531884859E-2</c:v>
                </c:pt>
                <c:pt idx="577">
                  <c:v>2.9070453147772134E-2</c:v>
                </c:pt>
                <c:pt idx="578">
                  <c:v>0.21488223177503127</c:v>
                </c:pt>
                <c:pt idx="579">
                  <c:v>0.17489583718073509</c:v>
                </c:pt>
                <c:pt idx="580">
                  <c:v>9.2755894862980581E-2</c:v>
                </c:pt>
                <c:pt idx="581">
                  <c:v>6.6066027525015933E-2</c:v>
                </c:pt>
                <c:pt idx="582">
                  <c:v>4.7622010114259941E-2</c:v>
                </c:pt>
                <c:pt idx="583">
                  <c:v>3.9455231419093448E-2</c:v>
                </c:pt>
                <c:pt idx="584">
                  <c:v>4.630187225968449E-2</c:v>
                </c:pt>
                <c:pt idx="585">
                  <c:v>4.6400921563336646E-2</c:v>
                </c:pt>
                <c:pt idx="586">
                  <c:v>4.1877657083851487E-2</c:v>
                </c:pt>
                <c:pt idx="587">
                  <c:v>2.1983531929262189E-2</c:v>
                </c:pt>
                <c:pt idx="588">
                  <c:v>7.3573166291103068E-2</c:v>
                </c:pt>
                <c:pt idx="589">
                  <c:v>4.8206665779806139E-2</c:v>
                </c:pt>
                <c:pt idx="590">
                  <c:v>5.3571849080635218E-2</c:v>
                </c:pt>
                <c:pt idx="591">
                  <c:v>3.9204829515780804E-2</c:v>
                </c:pt>
                <c:pt idx="592">
                  <c:v>3.1810536695023435E-2</c:v>
                </c:pt>
                <c:pt idx="593">
                  <c:v>2.4610343748244404E-2</c:v>
                </c:pt>
                <c:pt idx="594">
                  <c:v>2.827804377737092E-2</c:v>
                </c:pt>
                <c:pt idx="595">
                  <c:v>3.6519156326335123E-2</c:v>
                </c:pt>
                <c:pt idx="596">
                  <c:v>2.2717955214456534E-2</c:v>
                </c:pt>
                <c:pt idx="597">
                  <c:v>8.569946572963635E-3</c:v>
                </c:pt>
                <c:pt idx="598">
                  <c:v>-8.9932696810242335E-3</c:v>
                </c:pt>
                <c:pt idx="599">
                  <c:v>3.3895572577426394E-3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838-45A6-98DB-0866B4C8F0D2}"/>
            </c:ext>
          </c:extLst>
        </c:ser>
        <c:dLbls>
          <c:showLegendKey val="0"/>
          <c:showVal val="0"/>
          <c:showCatName val="0"/>
          <c:showSerName val="0"/>
          <c:showPercent val="0"/>
          <c:showBubbleSize val="0"/>
        </c:dLbls>
        <c:gapWidth val="150"/>
        <c:axId val="1407722495"/>
        <c:axId val="1407555119"/>
      </c:barChart>
      <c:dateAx>
        <c:axId val="140772249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555119"/>
        <c:crosses val="autoZero"/>
        <c:auto val="0"/>
        <c:lblOffset val="100"/>
        <c:baseTimeUnit val="months"/>
      </c:dateAx>
      <c:valAx>
        <c:axId val="1407555119"/>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722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2010</c:v>
                </c:pt>
              </c:strCache>
            </c:strRef>
          </c:tx>
          <c:spPr>
            <a:ln w="28575" cap="rnd">
              <a:solidFill>
                <a:schemeClr val="accent1"/>
              </a:solidFill>
              <a:prstDash val="solid"/>
              <a:round/>
            </a:ln>
          </c:spPr>
          <c:marker>
            <c:symbol val="none"/>
          </c:marker>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Manu!$B$463:$B$619</c:f>
              <c:numCache>
                <c:formatCode>0.0</c:formatCode>
                <c:ptCount val="157"/>
                <c:pt idx="0">
                  <c:v>89.569400000000002</c:v>
                </c:pt>
                <c:pt idx="1">
                  <c:v>89.589699999999993</c:v>
                </c:pt>
                <c:pt idx="2">
                  <c:v>90.800299999999993</c:v>
                </c:pt>
                <c:pt idx="3">
                  <c:v>91.630600000000001</c:v>
                </c:pt>
                <c:pt idx="4">
                  <c:v>92.847200000000001</c:v>
                </c:pt>
                <c:pt idx="5">
                  <c:v>92.851299999999995</c:v>
                </c:pt>
                <c:pt idx="6">
                  <c:v>93.360900000000001</c:v>
                </c:pt>
                <c:pt idx="7">
                  <c:v>93.5501</c:v>
                </c:pt>
                <c:pt idx="8">
                  <c:v>93.635499999999993</c:v>
                </c:pt>
                <c:pt idx="9">
                  <c:v>93.683400000000006</c:v>
                </c:pt>
                <c:pt idx="10">
                  <c:v>93.792199999999994</c:v>
                </c:pt>
                <c:pt idx="11">
                  <c:v>94.265100000000004</c:v>
                </c:pt>
                <c:pt idx="12">
                  <c:v>94.366399999999999</c:v>
                </c:pt>
                <c:pt idx="13">
                  <c:v>94.5685</c:v>
                </c:pt>
                <c:pt idx="14">
                  <c:v>95.212400000000002</c:v>
                </c:pt>
                <c:pt idx="15">
                  <c:v>94.647199999999998</c:v>
                </c:pt>
                <c:pt idx="16">
                  <c:v>94.668199999999999</c:v>
                </c:pt>
                <c:pt idx="17">
                  <c:v>94.759900000000002</c:v>
                </c:pt>
                <c:pt idx="18">
                  <c:v>95.332099999999997</c:v>
                </c:pt>
                <c:pt idx="19">
                  <c:v>95.786900000000003</c:v>
                </c:pt>
                <c:pt idx="20">
                  <c:v>96.0685</c:v>
                </c:pt>
                <c:pt idx="21">
                  <c:v>96.587000000000003</c:v>
                </c:pt>
                <c:pt idx="22">
                  <c:v>96.420900000000003</c:v>
                </c:pt>
                <c:pt idx="23">
                  <c:v>97.021799999999999</c:v>
                </c:pt>
                <c:pt idx="24">
                  <c:v>97.928399999999996</c:v>
                </c:pt>
                <c:pt idx="25">
                  <c:v>98.349199999999996</c:v>
                </c:pt>
                <c:pt idx="26">
                  <c:v>97.824399999999997</c:v>
                </c:pt>
                <c:pt idx="27">
                  <c:v>98.361699999999999</c:v>
                </c:pt>
                <c:pt idx="28">
                  <c:v>98.0749</c:v>
                </c:pt>
                <c:pt idx="29">
                  <c:v>98.399600000000007</c:v>
                </c:pt>
                <c:pt idx="30">
                  <c:v>98.263000000000005</c:v>
                </c:pt>
                <c:pt idx="31">
                  <c:v>98.134900000000002</c:v>
                </c:pt>
                <c:pt idx="32">
                  <c:v>97.9375</c:v>
                </c:pt>
                <c:pt idx="33">
                  <c:v>97.784000000000006</c:v>
                </c:pt>
                <c:pt idx="34">
                  <c:v>98.404399999999995</c:v>
                </c:pt>
                <c:pt idx="35">
                  <c:v>99.126900000000006</c:v>
                </c:pt>
                <c:pt idx="36">
                  <c:v>98.881600000000006</c:v>
                </c:pt>
                <c:pt idx="37">
                  <c:v>99.366</c:v>
                </c:pt>
                <c:pt idx="38">
                  <c:v>99.3249</c:v>
                </c:pt>
                <c:pt idx="39">
                  <c:v>98.980500000000006</c:v>
                </c:pt>
                <c:pt idx="40">
                  <c:v>99.280199999999994</c:v>
                </c:pt>
                <c:pt idx="41">
                  <c:v>99.443600000000004</c:v>
                </c:pt>
                <c:pt idx="42">
                  <c:v>98.598399999999998</c:v>
                </c:pt>
                <c:pt idx="43">
                  <c:v>99.427899999999994</c:v>
                </c:pt>
                <c:pt idx="44">
                  <c:v>99.486099999999993</c:v>
                </c:pt>
                <c:pt idx="45">
                  <c:v>99.6678</c:v>
                </c:pt>
                <c:pt idx="46">
                  <c:v>99.672700000000006</c:v>
                </c:pt>
                <c:pt idx="47">
                  <c:v>99.506600000000006</c:v>
                </c:pt>
                <c:pt idx="48">
                  <c:v>98.404600000000002</c:v>
                </c:pt>
                <c:pt idx="49">
                  <c:v>99.352099999999993</c:v>
                </c:pt>
                <c:pt idx="50">
                  <c:v>100.2411</c:v>
                </c:pt>
                <c:pt idx="51">
                  <c:v>100.2186</c:v>
                </c:pt>
                <c:pt idx="52">
                  <c:v>100.5074</c:v>
                </c:pt>
                <c:pt idx="53">
                  <c:v>100.84099999999999</c:v>
                </c:pt>
                <c:pt idx="54">
                  <c:v>101.39870000000001</c:v>
                </c:pt>
                <c:pt idx="55">
                  <c:v>100.8009</c:v>
                </c:pt>
                <c:pt idx="56">
                  <c:v>100.87220000000001</c:v>
                </c:pt>
                <c:pt idx="57">
                  <c:v>100.7754</c:v>
                </c:pt>
                <c:pt idx="58">
                  <c:v>101.4676</c:v>
                </c:pt>
                <c:pt idx="59">
                  <c:v>101.2936</c:v>
                </c:pt>
                <c:pt idx="60">
                  <c:v>100.708</c:v>
                </c:pt>
                <c:pt idx="61">
                  <c:v>99.965500000000006</c:v>
                </c:pt>
                <c:pt idx="62">
                  <c:v>100.28060000000001</c:v>
                </c:pt>
                <c:pt idx="63">
                  <c:v>100.24550000000001</c:v>
                </c:pt>
                <c:pt idx="64">
                  <c:v>100.2375</c:v>
                </c:pt>
                <c:pt idx="65">
                  <c:v>99.855099999999993</c:v>
                </c:pt>
                <c:pt idx="66">
                  <c:v>100.5954</c:v>
                </c:pt>
                <c:pt idx="67">
                  <c:v>100.23399999999999</c:v>
                </c:pt>
                <c:pt idx="68">
                  <c:v>100.0236</c:v>
                </c:pt>
                <c:pt idx="69">
                  <c:v>99.892799999999994</c:v>
                </c:pt>
                <c:pt idx="70">
                  <c:v>99.578000000000003</c:v>
                </c:pt>
                <c:pt idx="71">
                  <c:v>99.299499999999995</c:v>
                </c:pt>
                <c:pt idx="72">
                  <c:v>99.750200000000007</c:v>
                </c:pt>
                <c:pt idx="73">
                  <c:v>99.426500000000004</c:v>
                </c:pt>
                <c:pt idx="74">
                  <c:v>99.360100000000003</c:v>
                </c:pt>
                <c:pt idx="75">
                  <c:v>99.195999999999998</c:v>
                </c:pt>
                <c:pt idx="76">
                  <c:v>99.114999999999995</c:v>
                </c:pt>
                <c:pt idx="77">
                  <c:v>99.361400000000003</c:v>
                </c:pt>
                <c:pt idx="78">
                  <c:v>99.448700000000002</c:v>
                </c:pt>
                <c:pt idx="79">
                  <c:v>99.092200000000005</c:v>
                </c:pt>
                <c:pt idx="80">
                  <c:v>99.29</c:v>
                </c:pt>
                <c:pt idx="81">
                  <c:v>99.440200000000004</c:v>
                </c:pt>
                <c:pt idx="82">
                  <c:v>99.331999999999994</c:v>
                </c:pt>
                <c:pt idx="83">
                  <c:v>99.291200000000003</c:v>
                </c:pt>
                <c:pt idx="84">
                  <c:v>99.516000000000005</c:v>
                </c:pt>
                <c:pt idx="85">
                  <c:v>99.500600000000006</c:v>
                </c:pt>
                <c:pt idx="86">
                  <c:v>99.212800000000001</c:v>
                </c:pt>
                <c:pt idx="87">
                  <c:v>100.3682</c:v>
                </c:pt>
                <c:pt idx="88">
                  <c:v>100.15519999999999</c:v>
                </c:pt>
                <c:pt idx="89">
                  <c:v>100.1335</c:v>
                </c:pt>
                <c:pt idx="90">
                  <c:v>99.833100000000002</c:v>
                </c:pt>
                <c:pt idx="91">
                  <c:v>99.616600000000005</c:v>
                </c:pt>
                <c:pt idx="92">
                  <c:v>99.658199999999994</c:v>
                </c:pt>
                <c:pt idx="93">
                  <c:v>100.7491</c:v>
                </c:pt>
                <c:pt idx="94">
                  <c:v>100.77889999999999</c:v>
                </c:pt>
                <c:pt idx="95">
                  <c:v>100.4778</c:v>
                </c:pt>
                <c:pt idx="96">
                  <c:v>100.08929999999999</c:v>
                </c:pt>
                <c:pt idx="97">
                  <c:v>101.1146</c:v>
                </c:pt>
                <c:pt idx="98">
                  <c:v>101.205</c:v>
                </c:pt>
                <c:pt idx="99">
                  <c:v>101.9431</c:v>
                </c:pt>
                <c:pt idx="100">
                  <c:v>101.0712</c:v>
                </c:pt>
                <c:pt idx="101">
                  <c:v>101.73390000000001</c:v>
                </c:pt>
                <c:pt idx="102">
                  <c:v>101.8353</c:v>
                </c:pt>
                <c:pt idx="103">
                  <c:v>102.1497</c:v>
                </c:pt>
                <c:pt idx="104">
                  <c:v>102.11150000000001</c:v>
                </c:pt>
                <c:pt idx="105">
                  <c:v>101.7088</c:v>
                </c:pt>
                <c:pt idx="106">
                  <c:v>101.2783</c:v>
                </c:pt>
                <c:pt idx="107">
                  <c:v>101.44450000000001</c:v>
                </c:pt>
                <c:pt idx="108">
                  <c:v>100.6521</c:v>
                </c:pt>
                <c:pt idx="109">
                  <c:v>100.2042</c:v>
                </c:pt>
                <c:pt idx="110">
                  <c:v>100.1091</c:v>
                </c:pt>
                <c:pt idx="111">
                  <c:v>99.486599999999996</c:v>
                </c:pt>
                <c:pt idx="112">
                  <c:v>99.550899999999999</c:v>
                </c:pt>
                <c:pt idx="113">
                  <c:v>99.851699999999994</c:v>
                </c:pt>
                <c:pt idx="114">
                  <c:v>99.239900000000006</c:v>
                </c:pt>
                <c:pt idx="115">
                  <c:v>99.912700000000001</c:v>
                </c:pt>
                <c:pt idx="116">
                  <c:v>99.182000000000002</c:v>
                </c:pt>
                <c:pt idx="117">
                  <c:v>98.440700000000007</c:v>
                </c:pt>
                <c:pt idx="118">
                  <c:v>99.114999999999995</c:v>
                </c:pt>
                <c:pt idx="119">
                  <c:v>98.980800000000002</c:v>
                </c:pt>
                <c:pt idx="120">
                  <c:v>98.870999999999995</c:v>
                </c:pt>
                <c:pt idx="121">
                  <c:v>99.191400000000002</c:v>
                </c:pt>
                <c:pt idx="122">
                  <c:v>94.962400000000002</c:v>
                </c:pt>
                <c:pt idx="123">
                  <c:v>80.395200000000003</c:v>
                </c:pt>
                <c:pt idx="124">
                  <c:v>83.931100000000001</c:v>
                </c:pt>
                <c:pt idx="125">
                  <c:v>90.209900000000005</c:v>
                </c:pt>
                <c:pt idx="126">
                  <c:v>93.500399999999999</c:v>
                </c:pt>
                <c:pt idx="127">
                  <c:v>94.836399999999998</c:v>
                </c:pt>
                <c:pt idx="128">
                  <c:v>94.836600000000004</c:v>
                </c:pt>
                <c:pt idx="129">
                  <c:v>95.814700000000002</c:v>
                </c:pt>
                <c:pt idx="130">
                  <c:v>96.358000000000004</c:v>
                </c:pt>
                <c:pt idx="131">
                  <c:v>96.746099999999998</c:v>
                </c:pt>
                <c:pt idx="132">
                  <c:v>98.323599999999999</c:v>
                </c:pt>
                <c:pt idx="133">
                  <c:v>94.746499999999997</c:v>
                </c:pt>
                <c:pt idx="134">
                  <c:v>97.722999999999999</c:v>
                </c:pt>
                <c:pt idx="135">
                  <c:v>97.670699999999997</c:v>
                </c:pt>
                <c:pt idx="136">
                  <c:v>98.610299999999995</c:v>
                </c:pt>
                <c:pt idx="137">
                  <c:v>98.577399999999997</c:v>
                </c:pt>
                <c:pt idx="138">
                  <c:v>99.677599999999998</c:v>
                </c:pt>
                <c:pt idx="139">
                  <c:v>99.352699999999999</c:v>
                </c:pt>
                <c:pt idx="140">
                  <c:v>98.578400000000002</c:v>
                </c:pt>
                <c:pt idx="141">
                  <c:v>100.25109999999999</c:v>
                </c:pt>
                <c:pt idx="142">
                  <c:v>100.8291</c:v>
                </c:pt>
                <c:pt idx="143">
                  <c:v>100.7976</c:v>
                </c:pt>
                <c:pt idx="144">
                  <c:v>100.4851</c:v>
                </c:pt>
                <c:pt idx="145">
                  <c:v>101.71729999999999</c:v>
                </c:pt>
                <c:pt idx="146">
                  <c:v>102.43389999999999</c:v>
                </c:pt>
                <c:pt idx="147">
                  <c:v>102.90309999999999</c:v>
                </c:pt>
                <c:pt idx="148">
                  <c:v>102.47629999999999</c:v>
                </c:pt>
                <c:pt idx="149">
                  <c:v>101.7132</c:v>
                </c:pt>
                <c:pt idx="150">
                  <c:v>102.1307</c:v>
                </c:pt>
                <c:pt idx="151">
                  <c:v>102.1622</c:v>
                </c:pt>
                <c:pt idx="152">
                  <c:v>102.1784</c:v>
                </c:pt>
                <c:pt idx="153">
                  <c:v>102.5286</c:v>
                </c:pt>
                <c:pt idx="154">
                  <c:v>101.6932</c:v>
                </c:pt>
                <c:pt idx="155">
                  <c:v>99.891099999999994</c:v>
                </c:pt>
                <c:pt idx="156">
                  <c:v>100.8257</c:v>
                </c:pt>
              </c:numCache>
            </c:numRef>
          </c:val>
          <c:smooth val="0"/>
          <c:extLst>
            <c:ext xmlns:c16="http://schemas.microsoft.com/office/drawing/2014/chart" uri="{C3380CC4-5D6E-409C-BE32-E72D297353CC}">
              <c16:uniqueId val="{00000000-C60E-41D1-8403-37B75BBDD73E}"/>
            </c:ext>
          </c:extLst>
        </c:ser>
        <c:dLbls>
          <c:showLegendKey val="0"/>
          <c:showVal val="0"/>
          <c:showCatName val="0"/>
          <c:showSerName val="0"/>
          <c:showPercent val="0"/>
          <c:showBubbleSize val="0"/>
        </c:dLbls>
        <c:smooth val="0"/>
        <c:axId val="1095958751"/>
        <c:axId val="1095960399"/>
      </c:lineChart>
      <c:dateAx>
        <c:axId val="109595875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60399"/>
        <c:crosses val="autoZero"/>
        <c:auto val="0"/>
        <c:lblOffset val="100"/>
        <c:baseTimeUnit val="months"/>
      </c:dateAx>
      <c:valAx>
        <c:axId val="1095960399"/>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587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Manu!$Y$1</c:f>
          <c:strCache>
            <c:ptCount val="1"/>
            <c:pt idx="0">
              <c:v>Industrial Production: Manufacturing (NAICS) yoy since 2010</c:v>
            </c:pt>
          </c:strCache>
        </c:strRef>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2010</c:v>
                </c:pt>
              </c:strCache>
            </c:strRef>
          </c:tx>
          <c:spPr>
            <a:solidFill>
              <a:srgbClr val="00B050"/>
            </a:solidFill>
            <a:ln>
              <a:noFill/>
              <a:prstDash val="solid"/>
            </a:ln>
          </c:spPr>
          <c:invertIfNegative val="1"/>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Manu!$D$463:$D$619</c:f>
              <c:numCache>
                <c:formatCode>0.0%</c:formatCode>
                <c:ptCount val="157"/>
                <c:pt idx="0">
                  <c:v>2.2246011764410545E-2</c:v>
                </c:pt>
                <c:pt idx="1">
                  <c:v>2.2401847838615329E-2</c:v>
                </c:pt>
                <c:pt idx="2">
                  <c:v>5.4784734016230595E-2</c:v>
                </c:pt>
                <c:pt idx="3">
                  <c:v>7.1320756922968964E-2</c:v>
                </c:pt>
                <c:pt idx="4">
                  <c:v>9.7265439882576646E-2</c:v>
                </c:pt>
                <c:pt idx="5">
                  <c:v>0.1001195482049404</c:v>
                </c:pt>
                <c:pt idx="6">
                  <c:v>8.7743315557865104E-2</c:v>
                </c:pt>
                <c:pt idx="7">
                  <c:v>7.7645700883656937E-2</c:v>
                </c:pt>
                <c:pt idx="8">
                  <c:v>6.7695416237640818E-2</c:v>
                </c:pt>
                <c:pt idx="9">
                  <c:v>6.8156345596694548E-2</c:v>
                </c:pt>
                <c:pt idx="10">
                  <c:v>5.8090382873303974E-2</c:v>
                </c:pt>
                <c:pt idx="11">
                  <c:v>6.4789849236354488E-2</c:v>
                </c:pt>
                <c:pt idx="12">
                  <c:v>5.3556236839813566E-2</c:v>
                </c:pt>
                <c:pt idx="13">
                  <c:v>5.5573352740326258E-2</c:v>
                </c:pt>
                <c:pt idx="14">
                  <c:v>4.8591249147855349E-2</c:v>
                </c:pt>
                <c:pt idx="15">
                  <c:v>3.2921316678052932E-2</c:v>
                </c:pt>
                <c:pt idx="16">
                  <c:v>1.9612869316468325E-2</c:v>
                </c:pt>
                <c:pt idx="17">
                  <c:v>2.0555447258142935E-2</c:v>
                </c:pt>
                <c:pt idx="18">
                  <c:v>2.1113763899019783E-2</c:v>
                </c:pt>
                <c:pt idx="19">
                  <c:v>2.3910182885961664E-2</c:v>
                </c:pt>
                <c:pt idx="20">
                  <c:v>2.5983734801437564E-2</c:v>
                </c:pt>
                <c:pt idx="21">
                  <c:v>3.099375129425274E-2</c:v>
                </c:pt>
                <c:pt idx="22">
                  <c:v>2.8026850846872228E-2</c:v>
                </c:pt>
                <c:pt idx="23">
                  <c:v>2.9244121101022487E-2</c:v>
                </c:pt>
                <c:pt idx="24">
                  <c:v>3.7746486037403118E-2</c:v>
                </c:pt>
                <c:pt idx="25">
                  <c:v>3.9978428335016372E-2</c:v>
                </c:pt>
                <c:pt idx="26">
                  <c:v>2.7433401531733206E-2</c:v>
                </c:pt>
                <c:pt idx="27">
                  <c:v>3.9245746308395821E-2</c:v>
                </c:pt>
                <c:pt idx="28">
                  <c:v>3.5985684738909167E-2</c:v>
                </c:pt>
                <c:pt idx="29">
                  <c:v>3.8409707059631815E-2</c:v>
                </c:pt>
                <c:pt idx="30">
                  <c:v>3.074410403211519E-2</c:v>
                </c:pt>
                <c:pt idx="31">
                  <c:v>2.4512746523793951E-2</c:v>
                </c:pt>
                <c:pt idx="32">
                  <c:v>1.9454868140961916E-2</c:v>
                </c:pt>
                <c:pt idx="33">
                  <c:v>1.2392972139107776E-2</c:v>
                </c:pt>
                <c:pt idx="34">
                  <c:v>2.0571266188139627E-2</c:v>
                </c:pt>
                <c:pt idx="35">
                  <c:v>2.1697185580972601E-2</c:v>
                </c:pt>
                <c:pt idx="36">
                  <c:v>9.7336421303729007E-3</c:v>
                </c:pt>
                <c:pt idx="37">
                  <c:v>1.0338670777189887E-2</c:v>
                </c:pt>
                <c:pt idx="38">
                  <c:v>1.5338708951958841E-2</c:v>
                </c:pt>
                <c:pt idx="39">
                  <c:v>6.2910665431769415E-3</c:v>
                </c:pt>
                <c:pt idx="40">
                  <c:v>1.2289586836183305E-2</c:v>
                </c:pt>
                <c:pt idx="41">
                  <c:v>1.0609799226826094E-2</c:v>
                </c:pt>
                <c:pt idx="42">
                  <c:v>3.4132888269235908E-3</c:v>
                </c:pt>
                <c:pt idx="43">
                  <c:v>1.3175740740551957E-2</c:v>
                </c:pt>
                <c:pt idx="44">
                  <c:v>1.5812125079770194E-2</c:v>
                </c:pt>
                <c:pt idx="45">
                  <c:v>1.9264910414791721E-2</c:v>
                </c:pt>
                <c:pt idx="46">
                  <c:v>1.2888651320469518E-2</c:v>
                </c:pt>
                <c:pt idx="47">
                  <c:v>3.8304436030986511E-3</c:v>
                </c:pt>
                <c:pt idx="48">
                  <c:v>-4.823951068752972E-3</c:v>
                </c:pt>
                <c:pt idx="49">
                  <c:v>-1.3988688283725505E-4</c:v>
                </c:pt>
                <c:pt idx="50">
                  <c:v>9.2242730674785833E-3</c:v>
                </c:pt>
                <c:pt idx="51">
                  <c:v>1.2508524406322342E-2</c:v>
                </c:pt>
                <c:pt idx="52">
                  <c:v>1.2360974292960838E-2</c:v>
                </c:pt>
                <c:pt idx="53">
                  <c:v>1.4052186364934398E-2</c:v>
                </c:pt>
                <c:pt idx="54">
                  <c:v>2.8401069388549988E-2</c:v>
                </c:pt>
                <c:pt idx="55">
                  <c:v>1.3809001296416849E-2</c:v>
                </c:pt>
                <c:pt idx="56">
                  <c:v>1.3932599629496114E-2</c:v>
                </c:pt>
                <c:pt idx="57">
                  <c:v>1.1112917110641602E-2</c:v>
                </c:pt>
                <c:pt idx="58">
                  <c:v>1.8007939987579331E-2</c:v>
                </c:pt>
                <c:pt idx="59">
                  <c:v>1.7958607770740754E-2</c:v>
                </c:pt>
                <c:pt idx="60">
                  <c:v>2.3407442335012758E-2</c:v>
                </c:pt>
                <c:pt idx="61">
                  <c:v>6.1740013547777334E-3</c:v>
                </c:pt>
                <c:pt idx="62">
                  <c:v>3.9404994558124226E-4</c:v>
                </c:pt>
                <c:pt idx="63">
                  <c:v>2.6841324863859518E-4</c:v>
                </c:pt>
                <c:pt idx="64">
                  <c:v>-2.6853744102424987E-3</c:v>
                </c:pt>
                <c:pt idx="65">
                  <c:v>-9.7767773028827661E-3</c:v>
                </c:pt>
                <c:pt idx="66">
                  <c:v>-7.9221922963510095E-3</c:v>
                </c:pt>
                <c:pt idx="67">
                  <c:v>-5.6239577225997385E-3</c:v>
                </c:pt>
                <c:pt idx="68">
                  <c:v>-8.412625084017248E-3</c:v>
                </c:pt>
                <c:pt idx="69">
                  <c:v>-8.7580897719087263E-3</c:v>
                </c:pt>
                <c:pt idx="70">
                  <c:v>-1.8622693352360768E-2</c:v>
                </c:pt>
                <c:pt idx="71">
                  <c:v>-1.9686337537613462E-2</c:v>
                </c:pt>
                <c:pt idx="72">
                  <c:v>-9.5106644953726789E-3</c:v>
                </c:pt>
                <c:pt idx="73">
                  <c:v>-5.3918601917661742E-3</c:v>
                </c:pt>
                <c:pt idx="74">
                  <c:v>-9.1792430440185251E-3</c:v>
                </c:pt>
                <c:pt idx="75">
                  <c:v>-1.0469297873720106E-2</c:v>
                </c:pt>
                <c:pt idx="76">
                  <c:v>-1.1198403790996406E-2</c:v>
                </c:pt>
                <c:pt idx="77">
                  <c:v>-4.9441640937717734E-3</c:v>
                </c:pt>
                <c:pt idx="78">
                  <c:v>-1.1399129582465955E-2</c:v>
                </c:pt>
                <c:pt idx="79">
                  <c:v>-1.1391344254444493E-2</c:v>
                </c:pt>
                <c:pt idx="80">
                  <c:v>-7.3342691124894084E-3</c:v>
                </c:pt>
                <c:pt idx="81">
                  <c:v>-4.5308570787883579E-3</c:v>
                </c:pt>
                <c:pt idx="82">
                  <c:v>-2.4704251943201243E-3</c:v>
                </c:pt>
                <c:pt idx="83">
                  <c:v>-8.3585516543298959E-5</c:v>
                </c:pt>
                <c:pt idx="84">
                  <c:v>-2.3478649666867964E-3</c:v>
                </c:pt>
                <c:pt idx="85">
                  <c:v>7.4527414723440314E-4</c:v>
                </c:pt>
                <c:pt idx="86">
                  <c:v>-1.4824864306698696E-3</c:v>
                </c:pt>
                <c:pt idx="87">
                  <c:v>1.1817008750352874E-2</c:v>
                </c:pt>
                <c:pt idx="88">
                  <c:v>1.0494879685214132E-2</c:v>
                </c:pt>
                <c:pt idx="89">
                  <c:v>7.770623199753573E-3</c:v>
                </c:pt>
                <c:pt idx="90">
                  <c:v>3.8653094510033756E-3</c:v>
                </c:pt>
                <c:pt idx="91">
                  <c:v>5.2920411495556655E-3</c:v>
                </c:pt>
                <c:pt idx="92">
                  <c:v>3.7083291368716627E-3</c:v>
                </c:pt>
                <c:pt idx="93">
                  <c:v>1.3162684709000928E-2</c:v>
                </c:pt>
                <c:pt idx="94">
                  <c:v>1.4566302903394671E-2</c:v>
                </c:pt>
                <c:pt idx="95">
                  <c:v>1.1950706608440612E-2</c:v>
                </c:pt>
                <c:pt idx="96">
                  <c:v>5.7608826721330135E-3</c:v>
                </c:pt>
                <c:pt idx="97">
                  <c:v>1.6221007712516205E-2</c:v>
                </c:pt>
                <c:pt idx="98">
                  <c:v>2.0080070313507902E-2</c:v>
                </c:pt>
                <c:pt idx="99">
                  <c:v>1.5691224909881809E-2</c:v>
                </c:pt>
                <c:pt idx="100">
                  <c:v>9.1458057095389067E-3</c:v>
                </c:pt>
                <c:pt idx="101">
                  <c:v>1.5982663144701901E-2</c:v>
                </c:pt>
                <c:pt idx="102">
                  <c:v>2.0055472583742285E-2</c:v>
                </c:pt>
                <c:pt idx="103">
                  <c:v>2.542849284155442E-2</c:v>
                </c:pt>
                <c:pt idx="104">
                  <c:v>2.4617141389268651E-2</c:v>
                </c:pt>
                <c:pt idx="105">
                  <c:v>9.5256434052512426E-3</c:v>
                </c:pt>
                <c:pt idx="106">
                  <c:v>4.9554023709328888E-3</c:v>
                </c:pt>
                <c:pt idx="107">
                  <c:v>9.6210307152426004E-3</c:v>
                </c:pt>
                <c:pt idx="108">
                  <c:v>5.6229786800388254E-3</c:v>
                </c:pt>
                <c:pt idx="109">
                  <c:v>-9.0036453687202013E-3</c:v>
                </c:pt>
                <c:pt idx="110">
                  <c:v>-1.0828516377649328E-2</c:v>
                </c:pt>
                <c:pt idx="111">
                  <c:v>-2.4096775554206272E-2</c:v>
                </c:pt>
                <c:pt idx="112">
                  <c:v>-1.5041871472783601E-2</c:v>
                </c:pt>
                <c:pt idx="113">
                  <c:v>-1.8501207562081189E-2</c:v>
                </c:pt>
                <c:pt idx="114">
                  <c:v>-2.5486250838363492E-2</c:v>
                </c:pt>
                <c:pt idx="115">
                  <c:v>-2.1899232205282979E-2</c:v>
                </c:pt>
                <c:pt idx="116">
                  <c:v>-2.8689226972476209E-2</c:v>
                </c:pt>
                <c:pt idx="117">
                  <c:v>-3.2131929587213594E-2</c:v>
                </c:pt>
                <c:pt idx="118">
                  <c:v>-2.1359955686460048E-2</c:v>
                </c:pt>
                <c:pt idx="119">
                  <c:v>-2.4286186042614462E-2</c:v>
                </c:pt>
                <c:pt idx="120">
                  <c:v>-1.7695606947098066E-2</c:v>
                </c:pt>
                <c:pt idx="121">
                  <c:v>-1.0107360769309057E-2</c:v>
                </c:pt>
                <c:pt idx="122">
                  <c:v>-5.1410910696430154E-2</c:v>
                </c:pt>
                <c:pt idx="123">
                  <c:v>-0.19189921054694797</c:v>
                </c:pt>
                <c:pt idx="124">
                  <c:v>-0.15690264980025292</c:v>
                </c:pt>
                <c:pt idx="125">
                  <c:v>-9.6561200259985464E-2</c:v>
                </c:pt>
                <c:pt idx="126">
                  <c:v>-5.783460080068608E-2</c:v>
                </c:pt>
                <c:pt idx="127">
                  <c:v>-5.0807354820758557E-2</c:v>
                </c:pt>
                <c:pt idx="128">
                  <c:v>-4.3812385311850915E-2</c:v>
                </c:pt>
                <c:pt idx="129">
                  <c:v>-2.6675958216469453E-2</c:v>
                </c:pt>
                <c:pt idx="130">
                  <c:v>-2.7816173132220057E-2</c:v>
                </c:pt>
                <c:pt idx="131">
                  <c:v>-2.2577105862955277E-2</c:v>
                </c:pt>
                <c:pt idx="132">
                  <c:v>-5.5365071659030062E-3</c:v>
                </c:pt>
                <c:pt idx="133">
                  <c:v>-4.4811344531884859E-2</c:v>
                </c:pt>
                <c:pt idx="134">
                  <c:v>2.9070453147772134E-2</c:v>
                </c:pt>
                <c:pt idx="135">
                  <c:v>0.21488223177503127</c:v>
                </c:pt>
                <c:pt idx="136">
                  <c:v>0.17489583718073509</c:v>
                </c:pt>
                <c:pt idx="137">
                  <c:v>9.2755894862980581E-2</c:v>
                </c:pt>
                <c:pt idx="138">
                  <c:v>6.6066027525015933E-2</c:v>
                </c:pt>
                <c:pt idx="139">
                  <c:v>4.7622010114259941E-2</c:v>
                </c:pt>
                <c:pt idx="140">
                  <c:v>3.9455231419093448E-2</c:v>
                </c:pt>
                <c:pt idx="141">
                  <c:v>4.630187225968449E-2</c:v>
                </c:pt>
                <c:pt idx="142">
                  <c:v>4.6400921563336646E-2</c:v>
                </c:pt>
                <c:pt idx="143">
                  <c:v>4.1877657083851487E-2</c:v>
                </c:pt>
                <c:pt idx="144">
                  <c:v>2.1983531929262189E-2</c:v>
                </c:pt>
                <c:pt idx="145">
                  <c:v>7.3573166291103068E-2</c:v>
                </c:pt>
                <c:pt idx="146">
                  <c:v>4.8206665779806139E-2</c:v>
                </c:pt>
                <c:pt idx="147">
                  <c:v>5.3571849080635218E-2</c:v>
                </c:pt>
                <c:pt idx="148">
                  <c:v>3.9204829515780804E-2</c:v>
                </c:pt>
                <c:pt idx="149">
                  <c:v>3.1810536695023435E-2</c:v>
                </c:pt>
                <c:pt idx="150">
                  <c:v>2.4610343748244404E-2</c:v>
                </c:pt>
                <c:pt idx="151">
                  <c:v>2.827804377737092E-2</c:v>
                </c:pt>
                <c:pt idx="152">
                  <c:v>3.6519156326335123E-2</c:v>
                </c:pt>
                <c:pt idx="153">
                  <c:v>2.2717955214456534E-2</c:v>
                </c:pt>
                <c:pt idx="154">
                  <c:v>8.569946572963635E-3</c:v>
                </c:pt>
                <c:pt idx="155">
                  <c:v>-8.9932696810242335E-3</c:v>
                </c:pt>
                <c:pt idx="156">
                  <c:v>3.3895572577426394E-3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2A0-4266-88D2-82384AAD5EDF}"/>
            </c:ext>
          </c:extLst>
        </c:ser>
        <c:dLbls>
          <c:showLegendKey val="0"/>
          <c:showVal val="0"/>
          <c:showCatName val="0"/>
          <c:showSerName val="0"/>
          <c:showPercent val="0"/>
          <c:showBubbleSize val="0"/>
        </c:dLbls>
        <c:gapWidth val="219"/>
        <c:overlap val="-27"/>
        <c:axId val="1294460367"/>
        <c:axId val="1294462015"/>
      </c:barChart>
      <c:dateAx>
        <c:axId val="129446036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2015"/>
        <c:crosses val="autoZero"/>
        <c:auto val="0"/>
        <c:lblOffset val="100"/>
        <c:baseTimeUnit val="months"/>
      </c:dateAx>
      <c:valAx>
        <c:axId val="1294462015"/>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03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Mining!$S$1</c:f>
          <c:strCache>
            <c:ptCount val="1"/>
            <c:pt idx="0">
              <c:v>Industrial Production: Mining</c:v>
            </c:pt>
          </c:strCache>
        </c:strRef>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Mining!$A$20:$A$619</c:f>
              <c:numCache>
                <c:formatCode>mmm\-yy</c:formatCode>
                <c:ptCount val="600"/>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Mining!$B$20:$B$619</c:f>
              <c:numCache>
                <c:formatCode>0.0</c:formatCode>
                <c:ptCount val="600"/>
                <c:pt idx="0">
                  <c:v>86.860900000000001</c:v>
                </c:pt>
                <c:pt idx="1">
                  <c:v>85.989000000000004</c:v>
                </c:pt>
                <c:pt idx="2">
                  <c:v>85.701400000000007</c:v>
                </c:pt>
                <c:pt idx="3">
                  <c:v>86.124499999999998</c:v>
                </c:pt>
                <c:pt idx="4">
                  <c:v>86.434299999999993</c:v>
                </c:pt>
                <c:pt idx="5">
                  <c:v>87.837800000000001</c:v>
                </c:pt>
                <c:pt idx="6">
                  <c:v>87.963099999999997</c:v>
                </c:pt>
                <c:pt idx="7">
                  <c:v>87.162800000000004</c:v>
                </c:pt>
                <c:pt idx="8">
                  <c:v>87.440600000000003</c:v>
                </c:pt>
                <c:pt idx="9">
                  <c:v>87.084000000000003</c:v>
                </c:pt>
                <c:pt idx="10">
                  <c:v>88.207400000000007</c:v>
                </c:pt>
                <c:pt idx="11">
                  <c:v>87.970799999999997</c:v>
                </c:pt>
                <c:pt idx="12">
                  <c:v>87.987700000000004</c:v>
                </c:pt>
                <c:pt idx="13">
                  <c:v>87.234399999999994</c:v>
                </c:pt>
                <c:pt idx="14">
                  <c:v>87.038799999999995</c:v>
                </c:pt>
                <c:pt idx="15">
                  <c:v>87.691500000000005</c:v>
                </c:pt>
                <c:pt idx="16">
                  <c:v>86.283900000000003</c:v>
                </c:pt>
                <c:pt idx="17">
                  <c:v>86.799800000000005</c:v>
                </c:pt>
                <c:pt idx="18">
                  <c:v>84.368899999999996</c:v>
                </c:pt>
                <c:pt idx="19">
                  <c:v>85.408500000000004</c:v>
                </c:pt>
                <c:pt idx="20">
                  <c:v>86.156800000000004</c:v>
                </c:pt>
                <c:pt idx="21">
                  <c:v>79.848399999999998</c:v>
                </c:pt>
                <c:pt idx="22">
                  <c:v>81.947299999999998</c:v>
                </c:pt>
                <c:pt idx="23">
                  <c:v>86.391000000000005</c:v>
                </c:pt>
                <c:pt idx="24">
                  <c:v>85.294200000000004</c:v>
                </c:pt>
                <c:pt idx="25">
                  <c:v>83.583299999999994</c:v>
                </c:pt>
                <c:pt idx="26">
                  <c:v>83.348600000000005</c:v>
                </c:pt>
                <c:pt idx="27">
                  <c:v>83.087999999999994</c:v>
                </c:pt>
                <c:pt idx="28">
                  <c:v>84.447000000000003</c:v>
                </c:pt>
                <c:pt idx="29">
                  <c:v>82.301199999999994</c:v>
                </c:pt>
                <c:pt idx="30">
                  <c:v>82.9833</c:v>
                </c:pt>
                <c:pt idx="31">
                  <c:v>82.640199999999993</c:v>
                </c:pt>
                <c:pt idx="32">
                  <c:v>82.863799999999998</c:v>
                </c:pt>
                <c:pt idx="33">
                  <c:v>83.882999999999996</c:v>
                </c:pt>
                <c:pt idx="34">
                  <c:v>84.095299999999995</c:v>
                </c:pt>
                <c:pt idx="35">
                  <c:v>85.653700000000001</c:v>
                </c:pt>
                <c:pt idx="36">
                  <c:v>85.269300000000001</c:v>
                </c:pt>
                <c:pt idx="37">
                  <c:v>84.228399999999993</c:v>
                </c:pt>
                <c:pt idx="38">
                  <c:v>83.879900000000006</c:v>
                </c:pt>
                <c:pt idx="39">
                  <c:v>84.081999999999994</c:v>
                </c:pt>
                <c:pt idx="40">
                  <c:v>83.589299999999994</c:v>
                </c:pt>
                <c:pt idx="41">
                  <c:v>82.820099999999996</c:v>
                </c:pt>
                <c:pt idx="42">
                  <c:v>83.941299999999998</c:v>
                </c:pt>
                <c:pt idx="43">
                  <c:v>84.202799999999996</c:v>
                </c:pt>
                <c:pt idx="44">
                  <c:v>84.025400000000005</c:v>
                </c:pt>
                <c:pt idx="45">
                  <c:v>84.639899999999997</c:v>
                </c:pt>
                <c:pt idx="46">
                  <c:v>85.734999999999999</c:v>
                </c:pt>
                <c:pt idx="47">
                  <c:v>83.102999999999994</c:v>
                </c:pt>
                <c:pt idx="48">
                  <c:v>86.039699999999996</c:v>
                </c:pt>
                <c:pt idx="49">
                  <c:v>87.544700000000006</c:v>
                </c:pt>
                <c:pt idx="50">
                  <c:v>87.290599999999998</c:v>
                </c:pt>
                <c:pt idx="51">
                  <c:v>87.258799999999994</c:v>
                </c:pt>
                <c:pt idx="52">
                  <c:v>86.610799999999998</c:v>
                </c:pt>
                <c:pt idx="53">
                  <c:v>87.008700000000005</c:v>
                </c:pt>
                <c:pt idx="54">
                  <c:v>85.005700000000004</c:v>
                </c:pt>
                <c:pt idx="55">
                  <c:v>87.934399999999997</c:v>
                </c:pt>
                <c:pt idx="56">
                  <c:v>87.840500000000006</c:v>
                </c:pt>
                <c:pt idx="57">
                  <c:v>88.520700000000005</c:v>
                </c:pt>
                <c:pt idx="58">
                  <c:v>81.027199999999993</c:v>
                </c:pt>
                <c:pt idx="59">
                  <c:v>79.192700000000002</c:v>
                </c:pt>
                <c:pt idx="60">
                  <c:v>79.955299999999994</c:v>
                </c:pt>
                <c:pt idx="61">
                  <c:v>83.961600000000004</c:v>
                </c:pt>
                <c:pt idx="62">
                  <c:v>92.189400000000006</c:v>
                </c:pt>
                <c:pt idx="63">
                  <c:v>91.720600000000005</c:v>
                </c:pt>
                <c:pt idx="64">
                  <c:v>91.52</c:v>
                </c:pt>
                <c:pt idx="65">
                  <c:v>92.424499999999995</c:v>
                </c:pt>
                <c:pt idx="66">
                  <c:v>91.472200000000001</c:v>
                </c:pt>
                <c:pt idx="67">
                  <c:v>89.905299999999997</c:v>
                </c:pt>
                <c:pt idx="68">
                  <c:v>92.074200000000005</c:v>
                </c:pt>
                <c:pt idx="69">
                  <c:v>91.916499999999999</c:v>
                </c:pt>
                <c:pt idx="70">
                  <c:v>91.233699999999999</c:v>
                </c:pt>
                <c:pt idx="71">
                  <c:v>90.2273</c:v>
                </c:pt>
                <c:pt idx="72">
                  <c:v>90.252200000000002</c:v>
                </c:pt>
                <c:pt idx="73">
                  <c:v>90.515500000000003</c:v>
                </c:pt>
                <c:pt idx="74">
                  <c:v>91.686999999999998</c:v>
                </c:pt>
                <c:pt idx="75">
                  <c:v>91.161000000000001</c:v>
                </c:pt>
                <c:pt idx="76">
                  <c:v>91.281899999999993</c:v>
                </c:pt>
                <c:pt idx="77">
                  <c:v>90.397999999999996</c:v>
                </c:pt>
                <c:pt idx="78">
                  <c:v>92.429900000000004</c:v>
                </c:pt>
                <c:pt idx="79">
                  <c:v>92.131100000000004</c:v>
                </c:pt>
                <c:pt idx="80">
                  <c:v>93.414299999999997</c:v>
                </c:pt>
                <c:pt idx="81">
                  <c:v>93.718900000000005</c:v>
                </c:pt>
                <c:pt idx="82">
                  <c:v>93.598200000000006</c:v>
                </c:pt>
                <c:pt idx="83">
                  <c:v>95.375</c:v>
                </c:pt>
                <c:pt idx="84">
                  <c:v>94.304000000000002</c:v>
                </c:pt>
                <c:pt idx="85">
                  <c:v>95.1267</c:v>
                </c:pt>
                <c:pt idx="86">
                  <c:v>94.034300000000002</c:v>
                </c:pt>
                <c:pt idx="87">
                  <c:v>93.986900000000006</c:v>
                </c:pt>
                <c:pt idx="88">
                  <c:v>93.640600000000006</c:v>
                </c:pt>
                <c:pt idx="89">
                  <c:v>92.034800000000004</c:v>
                </c:pt>
                <c:pt idx="90">
                  <c:v>90.350200000000001</c:v>
                </c:pt>
                <c:pt idx="91">
                  <c:v>92.036500000000004</c:v>
                </c:pt>
                <c:pt idx="92">
                  <c:v>91.759500000000003</c:v>
                </c:pt>
                <c:pt idx="93">
                  <c:v>93.462999999999994</c:v>
                </c:pt>
                <c:pt idx="94">
                  <c:v>95.429699999999997</c:v>
                </c:pt>
                <c:pt idx="95">
                  <c:v>94.272900000000007</c:v>
                </c:pt>
                <c:pt idx="96">
                  <c:v>95.411600000000007</c:v>
                </c:pt>
                <c:pt idx="97">
                  <c:v>96.269199999999998</c:v>
                </c:pt>
                <c:pt idx="98">
                  <c:v>91.197400000000002</c:v>
                </c:pt>
                <c:pt idx="99">
                  <c:v>91.736800000000002</c:v>
                </c:pt>
                <c:pt idx="100">
                  <c:v>95.693299999999994</c:v>
                </c:pt>
                <c:pt idx="101">
                  <c:v>98.742199999999997</c:v>
                </c:pt>
                <c:pt idx="102">
                  <c:v>99.0655</c:v>
                </c:pt>
                <c:pt idx="103">
                  <c:v>98.4602</c:v>
                </c:pt>
                <c:pt idx="104">
                  <c:v>97.815399999999997</c:v>
                </c:pt>
                <c:pt idx="105">
                  <c:v>96.953000000000003</c:v>
                </c:pt>
                <c:pt idx="106">
                  <c:v>96.903999999999996</c:v>
                </c:pt>
                <c:pt idx="107">
                  <c:v>95.755799999999994</c:v>
                </c:pt>
                <c:pt idx="108">
                  <c:v>96.777799999999999</c:v>
                </c:pt>
                <c:pt idx="109">
                  <c:v>95.976299999999995</c:v>
                </c:pt>
                <c:pt idx="110">
                  <c:v>93.976600000000005</c:v>
                </c:pt>
                <c:pt idx="111">
                  <c:v>92.453800000000001</c:v>
                </c:pt>
                <c:pt idx="112">
                  <c:v>91.178899999999999</c:v>
                </c:pt>
                <c:pt idx="113">
                  <c:v>89.857500000000002</c:v>
                </c:pt>
                <c:pt idx="114">
                  <c:v>89.176699999999997</c:v>
                </c:pt>
                <c:pt idx="115">
                  <c:v>88.304299999999998</c:v>
                </c:pt>
                <c:pt idx="116">
                  <c:v>87.997100000000003</c:v>
                </c:pt>
                <c:pt idx="117">
                  <c:v>87.756600000000006</c:v>
                </c:pt>
                <c:pt idx="118">
                  <c:v>86.704800000000006</c:v>
                </c:pt>
                <c:pt idx="119">
                  <c:v>87.543300000000002</c:v>
                </c:pt>
                <c:pt idx="120">
                  <c:v>85.814899999999994</c:v>
                </c:pt>
                <c:pt idx="121">
                  <c:v>84.724900000000005</c:v>
                </c:pt>
                <c:pt idx="122">
                  <c:v>85.602599999999995</c:v>
                </c:pt>
                <c:pt idx="123">
                  <c:v>85.209500000000006</c:v>
                </c:pt>
                <c:pt idx="124">
                  <c:v>85.443200000000004</c:v>
                </c:pt>
                <c:pt idx="125">
                  <c:v>85.967600000000004</c:v>
                </c:pt>
                <c:pt idx="126">
                  <c:v>86.742199999999997</c:v>
                </c:pt>
                <c:pt idx="127">
                  <c:v>87.312600000000003</c:v>
                </c:pt>
                <c:pt idx="128">
                  <c:v>88.189899999999994</c:v>
                </c:pt>
                <c:pt idx="129">
                  <c:v>88.188699999999997</c:v>
                </c:pt>
                <c:pt idx="130">
                  <c:v>87.206400000000002</c:v>
                </c:pt>
                <c:pt idx="131">
                  <c:v>91.299700000000001</c:v>
                </c:pt>
                <c:pt idx="132">
                  <c:v>90.296099999999996</c:v>
                </c:pt>
                <c:pt idx="133">
                  <c:v>89.636300000000006</c:v>
                </c:pt>
                <c:pt idx="134">
                  <c:v>91.393299999999996</c:v>
                </c:pt>
                <c:pt idx="135">
                  <c:v>92.756100000000004</c:v>
                </c:pt>
                <c:pt idx="136">
                  <c:v>93.133099999999999</c:v>
                </c:pt>
                <c:pt idx="137">
                  <c:v>94.707300000000004</c:v>
                </c:pt>
                <c:pt idx="138">
                  <c:v>93.714699999999993</c:v>
                </c:pt>
                <c:pt idx="139">
                  <c:v>94.320599999999999</c:v>
                </c:pt>
                <c:pt idx="140">
                  <c:v>91.242900000000006</c:v>
                </c:pt>
                <c:pt idx="141">
                  <c:v>91.304900000000004</c:v>
                </c:pt>
                <c:pt idx="142">
                  <c:v>91.437700000000007</c:v>
                </c:pt>
                <c:pt idx="143">
                  <c:v>89.293099999999995</c:v>
                </c:pt>
                <c:pt idx="144">
                  <c:v>90.9619</c:v>
                </c:pt>
                <c:pt idx="145">
                  <c:v>91.1982</c:v>
                </c:pt>
                <c:pt idx="146">
                  <c:v>90.949200000000005</c:v>
                </c:pt>
                <c:pt idx="147">
                  <c:v>91.122699999999995</c:v>
                </c:pt>
                <c:pt idx="148">
                  <c:v>91.231700000000004</c:v>
                </c:pt>
                <c:pt idx="149">
                  <c:v>89.664699999999996</c:v>
                </c:pt>
                <c:pt idx="150">
                  <c:v>89.505200000000002</c:v>
                </c:pt>
                <c:pt idx="151">
                  <c:v>90.54</c:v>
                </c:pt>
                <c:pt idx="152">
                  <c:v>89.951099999999997</c:v>
                </c:pt>
                <c:pt idx="153">
                  <c:v>88.841899999999995</c:v>
                </c:pt>
                <c:pt idx="154">
                  <c:v>90.679900000000004</c:v>
                </c:pt>
                <c:pt idx="155">
                  <c:v>90.405199999999994</c:v>
                </c:pt>
                <c:pt idx="156">
                  <c:v>89.166300000000007</c:v>
                </c:pt>
                <c:pt idx="157">
                  <c:v>86.772300000000001</c:v>
                </c:pt>
                <c:pt idx="158">
                  <c:v>83.902699999999996</c:v>
                </c:pt>
                <c:pt idx="159">
                  <c:v>83.398099999999999</c:v>
                </c:pt>
                <c:pt idx="160">
                  <c:v>82.269900000000007</c:v>
                </c:pt>
                <c:pt idx="161">
                  <c:v>81.926299999999998</c:v>
                </c:pt>
                <c:pt idx="162">
                  <c:v>81.172899999999998</c:v>
                </c:pt>
                <c:pt idx="163">
                  <c:v>80.534899999999993</c:v>
                </c:pt>
                <c:pt idx="164">
                  <c:v>81.063100000000006</c:v>
                </c:pt>
                <c:pt idx="165">
                  <c:v>82.037000000000006</c:v>
                </c:pt>
                <c:pt idx="166">
                  <c:v>82.091999999999999</c:v>
                </c:pt>
                <c:pt idx="167">
                  <c:v>82.789100000000005</c:v>
                </c:pt>
                <c:pt idx="168">
                  <c:v>82.903499999999994</c:v>
                </c:pt>
                <c:pt idx="169">
                  <c:v>82.504000000000005</c:v>
                </c:pt>
                <c:pt idx="170">
                  <c:v>83.109300000000005</c:v>
                </c:pt>
                <c:pt idx="171">
                  <c:v>82.897300000000001</c:v>
                </c:pt>
                <c:pt idx="172">
                  <c:v>83.671999999999997</c:v>
                </c:pt>
                <c:pt idx="173">
                  <c:v>83.966099999999997</c:v>
                </c:pt>
                <c:pt idx="174">
                  <c:v>85.811700000000002</c:v>
                </c:pt>
                <c:pt idx="175">
                  <c:v>86.155600000000007</c:v>
                </c:pt>
                <c:pt idx="176">
                  <c:v>86.899000000000001</c:v>
                </c:pt>
                <c:pt idx="177">
                  <c:v>87.406899999999993</c:v>
                </c:pt>
                <c:pt idx="178">
                  <c:v>87.563999999999993</c:v>
                </c:pt>
                <c:pt idx="179">
                  <c:v>86.316400000000002</c:v>
                </c:pt>
                <c:pt idx="180">
                  <c:v>86.656700000000001</c:v>
                </c:pt>
                <c:pt idx="181">
                  <c:v>87.297899999999998</c:v>
                </c:pt>
                <c:pt idx="182">
                  <c:v>86.928299999999993</c:v>
                </c:pt>
                <c:pt idx="183">
                  <c:v>87.638099999999994</c:v>
                </c:pt>
                <c:pt idx="184">
                  <c:v>87.450699999999998</c:v>
                </c:pt>
                <c:pt idx="185">
                  <c:v>87.184100000000001</c:v>
                </c:pt>
                <c:pt idx="186">
                  <c:v>87.369399999999999</c:v>
                </c:pt>
                <c:pt idx="187">
                  <c:v>86.264899999999997</c:v>
                </c:pt>
                <c:pt idx="188">
                  <c:v>86.4315</c:v>
                </c:pt>
                <c:pt idx="189">
                  <c:v>86.442700000000002</c:v>
                </c:pt>
                <c:pt idx="190">
                  <c:v>86.323700000000002</c:v>
                </c:pt>
                <c:pt idx="191">
                  <c:v>86.136200000000002</c:v>
                </c:pt>
                <c:pt idx="192">
                  <c:v>84.578299999999999</c:v>
                </c:pt>
                <c:pt idx="193">
                  <c:v>85.213999999999999</c:v>
                </c:pt>
                <c:pt idx="194">
                  <c:v>86.948899999999995</c:v>
                </c:pt>
                <c:pt idx="195">
                  <c:v>87.232900000000001</c:v>
                </c:pt>
                <c:pt idx="196">
                  <c:v>86.095399999999998</c:v>
                </c:pt>
                <c:pt idx="197">
                  <c:v>85.641800000000003</c:v>
                </c:pt>
                <c:pt idx="198">
                  <c:v>86.481800000000007</c:v>
                </c:pt>
                <c:pt idx="199">
                  <c:v>86.465400000000002</c:v>
                </c:pt>
                <c:pt idx="200">
                  <c:v>85.786799999999999</c:v>
                </c:pt>
                <c:pt idx="201">
                  <c:v>86.437799999999996</c:v>
                </c:pt>
                <c:pt idx="202">
                  <c:v>84.064599999999999</c:v>
                </c:pt>
                <c:pt idx="203">
                  <c:v>88.0792</c:v>
                </c:pt>
                <c:pt idx="204">
                  <c:v>87.322199999999995</c:v>
                </c:pt>
                <c:pt idx="205">
                  <c:v>86.6023</c:v>
                </c:pt>
                <c:pt idx="206">
                  <c:v>86.960499999999996</c:v>
                </c:pt>
                <c:pt idx="207">
                  <c:v>86.871899999999997</c:v>
                </c:pt>
                <c:pt idx="208">
                  <c:v>86.618300000000005</c:v>
                </c:pt>
                <c:pt idx="209">
                  <c:v>87.184899999999999</c:v>
                </c:pt>
                <c:pt idx="210">
                  <c:v>86.820099999999996</c:v>
                </c:pt>
                <c:pt idx="211">
                  <c:v>87.307900000000004</c:v>
                </c:pt>
                <c:pt idx="212">
                  <c:v>88.165099999999995</c:v>
                </c:pt>
                <c:pt idx="213">
                  <c:v>87.538399999999996</c:v>
                </c:pt>
                <c:pt idx="214">
                  <c:v>86.162400000000005</c:v>
                </c:pt>
                <c:pt idx="215">
                  <c:v>86.161000000000001</c:v>
                </c:pt>
                <c:pt idx="216">
                  <c:v>87.495699999999999</c:v>
                </c:pt>
                <c:pt idx="217">
                  <c:v>86.550700000000006</c:v>
                </c:pt>
                <c:pt idx="218">
                  <c:v>85.691900000000004</c:v>
                </c:pt>
                <c:pt idx="219">
                  <c:v>85.439099999999996</c:v>
                </c:pt>
                <c:pt idx="220">
                  <c:v>85.608099999999993</c:v>
                </c:pt>
                <c:pt idx="221">
                  <c:v>84.717699999999994</c:v>
                </c:pt>
                <c:pt idx="222">
                  <c:v>84.579700000000003</c:v>
                </c:pt>
                <c:pt idx="223">
                  <c:v>84.683000000000007</c:v>
                </c:pt>
                <c:pt idx="224">
                  <c:v>84.558199999999999</c:v>
                </c:pt>
                <c:pt idx="225">
                  <c:v>83.850700000000003</c:v>
                </c:pt>
                <c:pt idx="226">
                  <c:v>84.302800000000005</c:v>
                </c:pt>
                <c:pt idx="227">
                  <c:v>84.111599999999996</c:v>
                </c:pt>
                <c:pt idx="228">
                  <c:v>83.043300000000002</c:v>
                </c:pt>
                <c:pt idx="229">
                  <c:v>83.322400000000002</c:v>
                </c:pt>
                <c:pt idx="230">
                  <c:v>84.277299999999997</c:v>
                </c:pt>
                <c:pt idx="231">
                  <c:v>84.096400000000003</c:v>
                </c:pt>
                <c:pt idx="232">
                  <c:v>83.197800000000001</c:v>
                </c:pt>
                <c:pt idx="233">
                  <c:v>84.300700000000006</c:v>
                </c:pt>
                <c:pt idx="234">
                  <c:v>82.903599999999997</c:v>
                </c:pt>
                <c:pt idx="235">
                  <c:v>83.454400000000007</c:v>
                </c:pt>
                <c:pt idx="236">
                  <c:v>83.863100000000003</c:v>
                </c:pt>
                <c:pt idx="237">
                  <c:v>83.755499999999998</c:v>
                </c:pt>
                <c:pt idx="238">
                  <c:v>84.058999999999997</c:v>
                </c:pt>
                <c:pt idx="239">
                  <c:v>83.631600000000006</c:v>
                </c:pt>
                <c:pt idx="240">
                  <c:v>83.215999999999994</c:v>
                </c:pt>
                <c:pt idx="241">
                  <c:v>82.6708</c:v>
                </c:pt>
                <c:pt idx="242">
                  <c:v>82.782799999999995</c:v>
                </c:pt>
                <c:pt idx="243">
                  <c:v>82.821899999999999</c:v>
                </c:pt>
                <c:pt idx="244">
                  <c:v>83.634699999999995</c:v>
                </c:pt>
                <c:pt idx="245">
                  <c:v>82.735500000000002</c:v>
                </c:pt>
                <c:pt idx="246">
                  <c:v>82.804000000000002</c:v>
                </c:pt>
                <c:pt idx="247">
                  <c:v>83.507099999999994</c:v>
                </c:pt>
                <c:pt idx="248">
                  <c:v>84.596599999999995</c:v>
                </c:pt>
                <c:pt idx="249">
                  <c:v>84.553100000000001</c:v>
                </c:pt>
                <c:pt idx="250">
                  <c:v>84.885400000000004</c:v>
                </c:pt>
                <c:pt idx="251">
                  <c:v>83.971599999999995</c:v>
                </c:pt>
                <c:pt idx="252">
                  <c:v>84.556299999999993</c:v>
                </c:pt>
                <c:pt idx="253">
                  <c:v>85.681899999999999</c:v>
                </c:pt>
                <c:pt idx="254">
                  <c:v>84.964600000000004</c:v>
                </c:pt>
                <c:pt idx="255">
                  <c:v>85.237799999999993</c:v>
                </c:pt>
                <c:pt idx="256">
                  <c:v>85.129599999999996</c:v>
                </c:pt>
                <c:pt idx="257">
                  <c:v>85.123000000000005</c:v>
                </c:pt>
                <c:pt idx="258">
                  <c:v>85.085700000000003</c:v>
                </c:pt>
                <c:pt idx="259">
                  <c:v>84.679100000000005</c:v>
                </c:pt>
                <c:pt idx="260">
                  <c:v>84.435500000000005</c:v>
                </c:pt>
                <c:pt idx="261">
                  <c:v>85.111999999999995</c:v>
                </c:pt>
                <c:pt idx="262">
                  <c:v>86.029499999999999</c:v>
                </c:pt>
                <c:pt idx="263">
                  <c:v>85.664699999999996</c:v>
                </c:pt>
                <c:pt idx="264">
                  <c:v>85.4529</c:v>
                </c:pt>
                <c:pt idx="265">
                  <c:v>84.302199999999999</c:v>
                </c:pt>
                <c:pt idx="266">
                  <c:v>84.656300000000002</c:v>
                </c:pt>
                <c:pt idx="267">
                  <c:v>84.885599999999997</c:v>
                </c:pt>
                <c:pt idx="268">
                  <c:v>84.8108</c:v>
                </c:pt>
                <c:pt idx="269">
                  <c:v>85.430599999999998</c:v>
                </c:pt>
                <c:pt idx="270">
                  <c:v>84.322299999999998</c:v>
                </c:pt>
                <c:pt idx="271">
                  <c:v>85.4011</c:v>
                </c:pt>
                <c:pt idx="272">
                  <c:v>84.283299999999997</c:v>
                </c:pt>
                <c:pt idx="273">
                  <c:v>85.141599999999997</c:v>
                </c:pt>
                <c:pt idx="274">
                  <c:v>84.915800000000004</c:v>
                </c:pt>
                <c:pt idx="275">
                  <c:v>83.611199999999997</c:v>
                </c:pt>
                <c:pt idx="276">
                  <c:v>84.896500000000003</c:v>
                </c:pt>
                <c:pt idx="277">
                  <c:v>85.982600000000005</c:v>
                </c:pt>
                <c:pt idx="278">
                  <c:v>86.498999999999995</c:v>
                </c:pt>
                <c:pt idx="279">
                  <c:v>86.174899999999994</c:v>
                </c:pt>
                <c:pt idx="280">
                  <c:v>87.513999999999996</c:v>
                </c:pt>
                <c:pt idx="281">
                  <c:v>87.100899999999996</c:v>
                </c:pt>
                <c:pt idx="282">
                  <c:v>87.219499999999996</c:v>
                </c:pt>
                <c:pt idx="283">
                  <c:v>87.415499999999994</c:v>
                </c:pt>
                <c:pt idx="284">
                  <c:v>87.027600000000007</c:v>
                </c:pt>
                <c:pt idx="285">
                  <c:v>86.709299999999999</c:v>
                </c:pt>
                <c:pt idx="286">
                  <c:v>86.872299999999996</c:v>
                </c:pt>
                <c:pt idx="287">
                  <c:v>86.581400000000002</c:v>
                </c:pt>
                <c:pt idx="288">
                  <c:v>88.199299999999994</c:v>
                </c:pt>
                <c:pt idx="289">
                  <c:v>88.414199999999994</c:v>
                </c:pt>
                <c:pt idx="290">
                  <c:v>87.673199999999994</c:v>
                </c:pt>
                <c:pt idx="291">
                  <c:v>88.758300000000006</c:v>
                </c:pt>
                <c:pt idx="292">
                  <c:v>88.229299999999995</c:v>
                </c:pt>
                <c:pt idx="293">
                  <c:v>88.224100000000007</c:v>
                </c:pt>
                <c:pt idx="294">
                  <c:v>88.243799999999993</c:v>
                </c:pt>
                <c:pt idx="295">
                  <c:v>88.901399999999995</c:v>
                </c:pt>
                <c:pt idx="296">
                  <c:v>88.084199999999996</c:v>
                </c:pt>
                <c:pt idx="297">
                  <c:v>87.573400000000007</c:v>
                </c:pt>
                <c:pt idx="298">
                  <c:v>88.023600000000002</c:v>
                </c:pt>
                <c:pt idx="299">
                  <c:v>90.415599999999998</c:v>
                </c:pt>
                <c:pt idx="300">
                  <c:v>89.139799999999994</c:v>
                </c:pt>
                <c:pt idx="301">
                  <c:v>87.815200000000004</c:v>
                </c:pt>
                <c:pt idx="302">
                  <c:v>88.381600000000006</c:v>
                </c:pt>
                <c:pt idx="303">
                  <c:v>88.623699999999999</c:v>
                </c:pt>
                <c:pt idx="304">
                  <c:v>86.763300000000001</c:v>
                </c:pt>
                <c:pt idx="305">
                  <c:v>85.726600000000005</c:v>
                </c:pt>
                <c:pt idx="306">
                  <c:v>86.055300000000003</c:v>
                </c:pt>
                <c:pt idx="307">
                  <c:v>83.401300000000006</c:v>
                </c:pt>
                <c:pt idx="308">
                  <c:v>84.224100000000007</c:v>
                </c:pt>
                <c:pt idx="309">
                  <c:v>84.489199999999997</c:v>
                </c:pt>
                <c:pt idx="310">
                  <c:v>82.532799999999995</c:v>
                </c:pt>
                <c:pt idx="311">
                  <c:v>82.465299999999999</c:v>
                </c:pt>
                <c:pt idx="312">
                  <c:v>81.841700000000003</c:v>
                </c:pt>
                <c:pt idx="313">
                  <c:v>81.200100000000006</c:v>
                </c:pt>
                <c:pt idx="314">
                  <c:v>80.941800000000001</c:v>
                </c:pt>
                <c:pt idx="315">
                  <c:v>80.948599999999999</c:v>
                </c:pt>
                <c:pt idx="316">
                  <c:v>81.241399999999999</c:v>
                </c:pt>
                <c:pt idx="317">
                  <c:v>81.996899999999997</c:v>
                </c:pt>
                <c:pt idx="318">
                  <c:v>82.089699999999993</c:v>
                </c:pt>
                <c:pt idx="319">
                  <c:v>82.013599999999997</c:v>
                </c:pt>
                <c:pt idx="320">
                  <c:v>82.831299999999999</c:v>
                </c:pt>
                <c:pt idx="321">
                  <c:v>83.716999999999999</c:v>
                </c:pt>
                <c:pt idx="322">
                  <c:v>84.385199999999998</c:v>
                </c:pt>
                <c:pt idx="323">
                  <c:v>83.336100000000002</c:v>
                </c:pt>
                <c:pt idx="324">
                  <c:v>83.787000000000006</c:v>
                </c:pt>
                <c:pt idx="325">
                  <c:v>84.616799999999998</c:v>
                </c:pt>
                <c:pt idx="326">
                  <c:v>83.607500000000002</c:v>
                </c:pt>
                <c:pt idx="327">
                  <c:v>83.3506</c:v>
                </c:pt>
                <c:pt idx="328">
                  <c:v>83.867699999999999</c:v>
                </c:pt>
                <c:pt idx="329">
                  <c:v>83.818399999999997</c:v>
                </c:pt>
                <c:pt idx="330">
                  <c:v>84.381500000000003</c:v>
                </c:pt>
                <c:pt idx="331">
                  <c:v>84.020099999999999</c:v>
                </c:pt>
                <c:pt idx="332">
                  <c:v>84.572299999999998</c:v>
                </c:pt>
                <c:pt idx="333">
                  <c:v>83.939899999999994</c:v>
                </c:pt>
                <c:pt idx="334">
                  <c:v>83.499700000000004</c:v>
                </c:pt>
                <c:pt idx="335">
                  <c:v>83.744500000000002</c:v>
                </c:pt>
                <c:pt idx="336">
                  <c:v>84.758700000000005</c:v>
                </c:pt>
                <c:pt idx="337">
                  <c:v>84.877799999999993</c:v>
                </c:pt>
                <c:pt idx="338">
                  <c:v>85.131</c:v>
                </c:pt>
                <c:pt idx="339">
                  <c:v>85.207899999999995</c:v>
                </c:pt>
                <c:pt idx="340">
                  <c:v>84.332099999999997</c:v>
                </c:pt>
                <c:pt idx="341">
                  <c:v>84.036100000000005</c:v>
                </c:pt>
                <c:pt idx="342">
                  <c:v>84.022900000000007</c:v>
                </c:pt>
                <c:pt idx="343">
                  <c:v>84.092699999999994</c:v>
                </c:pt>
                <c:pt idx="344">
                  <c:v>83.666700000000006</c:v>
                </c:pt>
                <c:pt idx="345">
                  <c:v>83.030900000000003</c:v>
                </c:pt>
                <c:pt idx="346">
                  <c:v>82.144599999999997</c:v>
                </c:pt>
                <c:pt idx="347">
                  <c:v>81.502200000000002</c:v>
                </c:pt>
                <c:pt idx="348">
                  <c:v>81.090699999999998</c:v>
                </c:pt>
                <c:pt idx="349">
                  <c:v>80.018799999999999</c:v>
                </c:pt>
                <c:pt idx="350">
                  <c:v>80.179900000000004</c:v>
                </c:pt>
                <c:pt idx="351">
                  <c:v>80.937600000000003</c:v>
                </c:pt>
                <c:pt idx="352">
                  <c:v>80.931899999999999</c:v>
                </c:pt>
                <c:pt idx="353">
                  <c:v>80.403499999999994</c:v>
                </c:pt>
                <c:pt idx="354">
                  <c:v>80.763599999999997</c:v>
                </c:pt>
                <c:pt idx="355">
                  <c:v>79.122299999999996</c:v>
                </c:pt>
                <c:pt idx="356">
                  <c:v>77.730500000000006</c:v>
                </c:pt>
                <c:pt idx="357">
                  <c:v>79.733400000000003</c:v>
                </c:pt>
                <c:pt idx="358">
                  <c:v>80.207599999999999</c:v>
                </c:pt>
                <c:pt idx="359">
                  <c:v>80.407300000000006</c:v>
                </c:pt>
                <c:pt idx="360">
                  <c:v>80.492900000000006</c:v>
                </c:pt>
                <c:pt idx="361">
                  <c:v>80.376199999999997</c:v>
                </c:pt>
                <c:pt idx="362">
                  <c:v>80.153999999999996</c:v>
                </c:pt>
                <c:pt idx="363">
                  <c:v>79.6404</c:v>
                </c:pt>
                <c:pt idx="364">
                  <c:v>79.800799999999995</c:v>
                </c:pt>
                <c:pt idx="365">
                  <c:v>79.480800000000002</c:v>
                </c:pt>
                <c:pt idx="366">
                  <c:v>80.560400000000001</c:v>
                </c:pt>
                <c:pt idx="367">
                  <c:v>81.050700000000006</c:v>
                </c:pt>
                <c:pt idx="368">
                  <c:v>80.930899999999994</c:v>
                </c:pt>
                <c:pt idx="369">
                  <c:v>80.502799999999993</c:v>
                </c:pt>
                <c:pt idx="370">
                  <c:v>80.500500000000002</c:v>
                </c:pt>
                <c:pt idx="371">
                  <c:v>81.11</c:v>
                </c:pt>
                <c:pt idx="372">
                  <c:v>80.23</c:v>
                </c:pt>
                <c:pt idx="373">
                  <c:v>80.486099999999993</c:v>
                </c:pt>
                <c:pt idx="374">
                  <c:v>80.236500000000007</c:v>
                </c:pt>
                <c:pt idx="375">
                  <c:v>79.898499999999999</c:v>
                </c:pt>
                <c:pt idx="376">
                  <c:v>79.809700000000007</c:v>
                </c:pt>
                <c:pt idx="377">
                  <c:v>81.2119</c:v>
                </c:pt>
                <c:pt idx="378">
                  <c:v>80.575900000000004</c:v>
                </c:pt>
                <c:pt idx="379">
                  <c:v>78.290000000000006</c:v>
                </c:pt>
                <c:pt idx="380">
                  <c:v>79.2166</c:v>
                </c:pt>
                <c:pt idx="381">
                  <c:v>80.901200000000003</c:v>
                </c:pt>
                <c:pt idx="382">
                  <c:v>80.878200000000007</c:v>
                </c:pt>
                <c:pt idx="383">
                  <c:v>80.798699999999997</c:v>
                </c:pt>
                <c:pt idx="384">
                  <c:v>81.843800000000002</c:v>
                </c:pt>
                <c:pt idx="385">
                  <c:v>81.655699999999996</c:v>
                </c:pt>
                <c:pt idx="386">
                  <c:v>81.889200000000002</c:v>
                </c:pt>
                <c:pt idx="387">
                  <c:v>81.038600000000002</c:v>
                </c:pt>
                <c:pt idx="388">
                  <c:v>81.008499999999998</c:v>
                </c:pt>
                <c:pt idx="389">
                  <c:v>80.685299999999998</c:v>
                </c:pt>
                <c:pt idx="390">
                  <c:v>80.300700000000006</c:v>
                </c:pt>
                <c:pt idx="391">
                  <c:v>72.559799999999996</c:v>
                </c:pt>
                <c:pt idx="392">
                  <c:v>74.261700000000005</c:v>
                </c:pt>
                <c:pt idx="393">
                  <c:v>77.391999999999996</c:v>
                </c:pt>
                <c:pt idx="394">
                  <c:v>78.246899999999997</c:v>
                </c:pt>
                <c:pt idx="395">
                  <c:v>80.2684</c:v>
                </c:pt>
                <c:pt idx="396">
                  <c:v>79.805999999999997</c:v>
                </c:pt>
                <c:pt idx="397">
                  <c:v>79.884100000000004</c:v>
                </c:pt>
                <c:pt idx="398">
                  <c:v>80.511899999999997</c:v>
                </c:pt>
                <c:pt idx="399">
                  <c:v>81.162199999999999</c:v>
                </c:pt>
                <c:pt idx="400">
                  <c:v>81.580100000000002</c:v>
                </c:pt>
                <c:pt idx="401">
                  <c:v>81.931299999999993</c:v>
                </c:pt>
                <c:pt idx="402">
                  <c:v>81.690799999999996</c:v>
                </c:pt>
                <c:pt idx="403">
                  <c:v>82.024699999999996</c:v>
                </c:pt>
                <c:pt idx="404">
                  <c:v>82.405799999999999</c:v>
                </c:pt>
                <c:pt idx="405">
                  <c:v>81.284899999999993</c:v>
                </c:pt>
                <c:pt idx="406">
                  <c:v>82.572299999999998</c:v>
                </c:pt>
                <c:pt idx="407">
                  <c:v>80.695099999999996</c:v>
                </c:pt>
                <c:pt idx="408">
                  <c:v>81.465500000000006</c:v>
                </c:pt>
                <c:pt idx="409">
                  <c:v>81.471100000000007</c:v>
                </c:pt>
                <c:pt idx="410">
                  <c:v>81.664100000000005</c:v>
                </c:pt>
                <c:pt idx="411">
                  <c:v>82.290099999999995</c:v>
                </c:pt>
                <c:pt idx="412">
                  <c:v>81.867699999999999</c:v>
                </c:pt>
                <c:pt idx="413">
                  <c:v>81.835300000000004</c:v>
                </c:pt>
                <c:pt idx="414">
                  <c:v>81.820099999999996</c:v>
                </c:pt>
                <c:pt idx="415">
                  <c:v>81.942499999999995</c:v>
                </c:pt>
                <c:pt idx="416">
                  <c:v>81.690100000000001</c:v>
                </c:pt>
                <c:pt idx="417">
                  <c:v>82.644499999999994</c:v>
                </c:pt>
                <c:pt idx="418">
                  <c:v>83.313999999999993</c:v>
                </c:pt>
                <c:pt idx="419">
                  <c:v>82.909599999999998</c:v>
                </c:pt>
                <c:pt idx="420">
                  <c:v>83.002499999999998</c:v>
                </c:pt>
                <c:pt idx="421">
                  <c:v>83.430599999999998</c:v>
                </c:pt>
                <c:pt idx="422">
                  <c:v>83.836200000000005</c:v>
                </c:pt>
                <c:pt idx="423">
                  <c:v>83.663700000000006</c:v>
                </c:pt>
                <c:pt idx="424">
                  <c:v>84.298100000000005</c:v>
                </c:pt>
                <c:pt idx="425">
                  <c:v>86.441900000000004</c:v>
                </c:pt>
                <c:pt idx="426">
                  <c:v>85.057599999999994</c:v>
                </c:pt>
                <c:pt idx="427">
                  <c:v>75.412000000000006</c:v>
                </c:pt>
                <c:pt idx="428">
                  <c:v>82.012100000000004</c:v>
                </c:pt>
                <c:pt idx="429">
                  <c:v>83.923199999999994</c:v>
                </c:pt>
                <c:pt idx="430">
                  <c:v>82.355199999999996</c:v>
                </c:pt>
                <c:pt idx="431">
                  <c:v>81.878699999999995</c:v>
                </c:pt>
                <c:pt idx="432">
                  <c:v>80.8172</c:v>
                </c:pt>
                <c:pt idx="433">
                  <c:v>79.056600000000003</c:v>
                </c:pt>
                <c:pt idx="434">
                  <c:v>77.805400000000006</c:v>
                </c:pt>
                <c:pt idx="435">
                  <c:v>77.594200000000001</c:v>
                </c:pt>
                <c:pt idx="436">
                  <c:v>77.376800000000003</c:v>
                </c:pt>
                <c:pt idx="437">
                  <c:v>78.179000000000002</c:v>
                </c:pt>
                <c:pt idx="438">
                  <c:v>79.051199999999994</c:v>
                </c:pt>
                <c:pt idx="439">
                  <c:v>78.778499999999994</c:v>
                </c:pt>
                <c:pt idx="440">
                  <c:v>78.420299999999997</c:v>
                </c:pt>
                <c:pt idx="441">
                  <c:v>78.244399999999999</c:v>
                </c:pt>
                <c:pt idx="442">
                  <c:v>77.556299999999993</c:v>
                </c:pt>
                <c:pt idx="443">
                  <c:v>79.062200000000004</c:v>
                </c:pt>
                <c:pt idx="444">
                  <c:v>80.464200000000005</c:v>
                </c:pt>
                <c:pt idx="445">
                  <c:v>81.242800000000003</c:v>
                </c:pt>
                <c:pt idx="446">
                  <c:v>81.636799999999994</c:v>
                </c:pt>
                <c:pt idx="447">
                  <c:v>81.573899999999995</c:v>
                </c:pt>
                <c:pt idx="448">
                  <c:v>81.704599999999999</c:v>
                </c:pt>
                <c:pt idx="449">
                  <c:v>82.181399999999996</c:v>
                </c:pt>
                <c:pt idx="450">
                  <c:v>83.448800000000006</c:v>
                </c:pt>
                <c:pt idx="451">
                  <c:v>84.630099999999999</c:v>
                </c:pt>
                <c:pt idx="452">
                  <c:v>84.751599999999996</c:v>
                </c:pt>
                <c:pt idx="453">
                  <c:v>84.07</c:v>
                </c:pt>
                <c:pt idx="454">
                  <c:v>84.537599999999998</c:v>
                </c:pt>
                <c:pt idx="455">
                  <c:v>84.398300000000006</c:v>
                </c:pt>
                <c:pt idx="456">
                  <c:v>82.689400000000006</c:v>
                </c:pt>
                <c:pt idx="457">
                  <c:v>85.716999999999999</c:v>
                </c:pt>
                <c:pt idx="458">
                  <c:v>86.2547</c:v>
                </c:pt>
                <c:pt idx="459">
                  <c:v>87.177400000000006</c:v>
                </c:pt>
                <c:pt idx="460">
                  <c:v>87.634299999999996</c:v>
                </c:pt>
                <c:pt idx="461">
                  <c:v>87.138099999999994</c:v>
                </c:pt>
                <c:pt idx="462">
                  <c:v>88.742900000000006</c:v>
                </c:pt>
                <c:pt idx="463">
                  <c:v>88.326499999999996</c:v>
                </c:pt>
                <c:pt idx="464">
                  <c:v>90.490099999999998</c:v>
                </c:pt>
                <c:pt idx="465">
                  <c:v>91.536799999999999</c:v>
                </c:pt>
                <c:pt idx="466">
                  <c:v>92.360100000000003</c:v>
                </c:pt>
                <c:pt idx="467">
                  <c:v>93.602400000000003</c:v>
                </c:pt>
                <c:pt idx="468">
                  <c:v>93.311700000000002</c:v>
                </c:pt>
                <c:pt idx="469">
                  <c:v>93.325400000000002</c:v>
                </c:pt>
                <c:pt idx="470">
                  <c:v>93.554400000000001</c:v>
                </c:pt>
                <c:pt idx="471">
                  <c:v>93.860200000000006</c:v>
                </c:pt>
                <c:pt idx="472">
                  <c:v>93.941299999999998</c:v>
                </c:pt>
                <c:pt idx="473">
                  <c:v>95.007900000000006</c:v>
                </c:pt>
                <c:pt idx="474">
                  <c:v>93.897099999999995</c:v>
                </c:pt>
                <c:pt idx="475">
                  <c:v>95.256500000000003</c:v>
                </c:pt>
                <c:pt idx="476">
                  <c:v>96.7971</c:v>
                </c:pt>
                <c:pt idx="477">
                  <c:v>97.016599999999997</c:v>
                </c:pt>
                <c:pt idx="478">
                  <c:v>97.130099999999999</c:v>
                </c:pt>
                <c:pt idx="479">
                  <c:v>97.372</c:v>
                </c:pt>
                <c:pt idx="480">
                  <c:v>98.056200000000004</c:v>
                </c:pt>
                <c:pt idx="481">
                  <c:v>98.565299999999993</c:v>
                </c:pt>
                <c:pt idx="482">
                  <c:v>99.396600000000007</c:v>
                </c:pt>
                <c:pt idx="483">
                  <c:v>99.709800000000001</c:v>
                </c:pt>
                <c:pt idx="484">
                  <c:v>100.3891</c:v>
                </c:pt>
                <c:pt idx="485">
                  <c:v>101.6883</c:v>
                </c:pt>
                <c:pt idx="486">
                  <c:v>101.6709</c:v>
                </c:pt>
                <c:pt idx="487">
                  <c:v>103.4384</c:v>
                </c:pt>
                <c:pt idx="488">
                  <c:v>101.6648</c:v>
                </c:pt>
                <c:pt idx="489">
                  <c:v>102.46250000000001</c:v>
                </c:pt>
                <c:pt idx="490">
                  <c:v>102.9012</c:v>
                </c:pt>
                <c:pt idx="491">
                  <c:v>104.3058</c:v>
                </c:pt>
                <c:pt idx="492">
                  <c:v>105.3349</c:v>
                </c:pt>
                <c:pt idx="493">
                  <c:v>107.541</c:v>
                </c:pt>
                <c:pt idx="494">
                  <c:v>109.386</c:v>
                </c:pt>
                <c:pt idx="495">
                  <c:v>110.58450000000001</c:v>
                </c:pt>
                <c:pt idx="496">
                  <c:v>112.0368</c:v>
                </c:pt>
                <c:pt idx="497">
                  <c:v>112.71559999999999</c:v>
                </c:pt>
                <c:pt idx="498">
                  <c:v>113.6481</c:v>
                </c:pt>
                <c:pt idx="499">
                  <c:v>114.3013</c:v>
                </c:pt>
                <c:pt idx="500">
                  <c:v>114.6057</c:v>
                </c:pt>
                <c:pt idx="501">
                  <c:v>113.86069999999999</c:v>
                </c:pt>
                <c:pt idx="502">
                  <c:v>116.68</c:v>
                </c:pt>
                <c:pt idx="503">
                  <c:v>113.7843</c:v>
                </c:pt>
                <c:pt idx="504">
                  <c:v>109.8081</c:v>
                </c:pt>
                <c:pt idx="505">
                  <c:v>107.9909</c:v>
                </c:pt>
                <c:pt idx="506">
                  <c:v>106.2953</c:v>
                </c:pt>
                <c:pt idx="507">
                  <c:v>103.7818</c:v>
                </c:pt>
                <c:pt idx="508">
                  <c:v>102.979</c:v>
                </c:pt>
                <c:pt idx="509">
                  <c:v>104.1902</c:v>
                </c:pt>
                <c:pt idx="510">
                  <c:v>104.65819999999999</c:v>
                </c:pt>
                <c:pt idx="511">
                  <c:v>103.1339</c:v>
                </c:pt>
                <c:pt idx="512">
                  <c:v>101.20659999999999</c:v>
                </c:pt>
                <c:pt idx="513">
                  <c:v>99.033500000000004</c:v>
                </c:pt>
                <c:pt idx="514">
                  <c:v>98.3108</c:v>
                </c:pt>
                <c:pt idx="515">
                  <c:v>96.282799999999995</c:v>
                </c:pt>
                <c:pt idx="516">
                  <c:v>94.243200000000002</c:v>
                </c:pt>
                <c:pt idx="517">
                  <c:v>91.919700000000006</c:v>
                </c:pt>
                <c:pt idx="518">
                  <c:v>89.849400000000003</c:v>
                </c:pt>
                <c:pt idx="519">
                  <c:v>89.809600000000003</c:v>
                </c:pt>
                <c:pt idx="520">
                  <c:v>89.665400000000005</c:v>
                </c:pt>
                <c:pt idx="521">
                  <c:v>90.213300000000004</c:v>
                </c:pt>
                <c:pt idx="522">
                  <c:v>89.859899999999996</c:v>
                </c:pt>
                <c:pt idx="523">
                  <c:v>90.008899999999997</c:v>
                </c:pt>
                <c:pt idx="524">
                  <c:v>92.623900000000006</c:v>
                </c:pt>
                <c:pt idx="525">
                  <c:v>92.096800000000002</c:v>
                </c:pt>
                <c:pt idx="526">
                  <c:v>91.9221</c:v>
                </c:pt>
                <c:pt idx="527">
                  <c:v>94.077500000000001</c:v>
                </c:pt>
                <c:pt idx="528">
                  <c:v>96.228499999999997</c:v>
                </c:pt>
                <c:pt idx="529">
                  <c:v>97.435000000000002</c:v>
                </c:pt>
                <c:pt idx="530">
                  <c:v>98.568399999999997</c:v>
                </c:pt>
                <c:pt idx="531">
                  <c:v>99.450400000000002</c:v>
                </c:pt>
                <c:pt idx="532">
                  <c:v>100.7711</c:v>
                </c:pt>
                <c:pt idx="533">
                  <c:v>100.7694</c:v>
                </c:pt>
                <c:pt idx="534">
                  <c:v>100.03149999999999</c:v>
                </c:pt>
                <c:pt idx="535">
                  <c:v>101.128</c:v>
                </c:pt>
                <c:pt idx="536">
                  <c:v>102.6926</c:v>
                </c:pt>
                <c:pt idx="537">
                  <c:v>104.392</c:v>
                </c:pt>
                <c:pt idx="538">
                  <c:v>104.4556</c:v>
                </c:pt>
                <c:pt idx="539">
                  <c:v>104.0635</c:v>
                </c:pt>
                <c:pt idx="540">
                  <c:v>106.9061</c:v>
                </c:pt>
                <c:pt idx="541">
                  <c:v>108.709</c:v>
                </c:pt>
                <c:pt idx="542">
                  <c:v>109.8935</c:v>
                </c:pt>
                <c:pt idx="543">
                  <c:v>110.4678</c:v>
                </c:pt>
                <c:pt idx="544">
                  <c:v>112.93380000000001</c:v>
                </c:pt>
                <c:pt idx="545">
                  <c:v>114.3934</c:v>
                </c:pt>
                <c:pt idx="546">
                  <c:v>117.3459</c:v>
                </c:pt>
                <c:pt idx="547">
                  <c:v>117.749</c:v>
                </c:pt>
                <c:pt idx="548">
                  <c:v>117.8592</c:v>
                </c:pt>
                <c:pt idx="549">
                  <c:v>118.5522</c:v>
                </c:pt>
                <c:pt idx="550">
                  <c:v>120.4772</c:v>
                </c:pt>
                <c:pt idx="551">
                  <c:v>119.6639</c:v>
                </c:pt>
                <c:pt idx="552">
                  <c:v>118.06950000000001</c:v>
                </c:pt>
                <c:pt idx="553">
                  <c:v>118.6683</c:v>
                </c:pt>
                <c:pt idx="554">
                  <c:v>120.95489999999999</c:v>
                </c:pt>
                <c:pt idx="555">
                  <c:v>121.1386</c:v>
                </c:pt>
                <c:pt idx="556">
                  <c:v>122.0834</c:v>
                </c:pt>
                <c:pt idx="557">
                  <c:v>120.0346</c:v>
                </c:pt>
                <c:pt idx="558">
                  <c:v>122.8742</c:v>
                </c:pt>
                <c:pt idx="559">
                  <c:v>123.3466</c:v>
                </c:pt>
                <c:pt idx="560">
                  <c:v>122.604</c:v>
                </c:pt>
                <c:pt idx="561">
                  <c:v>120.12779999999999</c:v>
                </c:pt>
                <c:pt idx="562">
                  <c:v>120.3918</c:v>
                </c:pt>
                <c:pt idx="563">
                  <c:v>120.28579999999999</c:v>
                </c:pt>
                <c:pt idx="564">
                  <c:v>119.0613</c:v>
                </c:pt>
                <c:pt idx="565">
                  <c:v>118.91240000000001</c:v>
                </c:pt>
                <c:pt idx="566">
                  <c:v>102.9563</c:v>
                </c:pt>
                <c:pt idx="567">
                  <c:v>89.588899999999995</c:v>
                </c:pt>
                <c:pt idx="568">
                  <c:v>91.824399999999997</c:v>
                </c:pt>
                <c:pt idx="569">
                  <c:v>96.726900000000001</c:v>
                </c:pt>
                <c:pt idx="570">
                  <c:v>96.860699999999994</c:v>
                </c:pt>
                <c:pt idx="571">
                  <c:v>98.024900000000002</c:v>
                </c:pt>
                <c:pt idx="572">
                  <c:v>96.868600000000001</c:v>
                </c:pt>
                <c:pt idx="573">
                  <c:v>100.19410000000001</c:v>
                </c:pt>
                <c:pt idx="574">
                  <c:v>100.7398</c:v>
                </c:pt>
                <c:pt idx="575">
                  <c:v>103.065</c:v>
                </c:pt>
                <c:pt idx="576">
                  <c:v>93.845299999999995</c:v>
                </c:pt>
                <c:pt idx="577">
                  <c:v>104.55370000000001</c:v>
                </c:pt>
                <c:pt idx="578">
                  <c:v>105.06610000000001</c:v>
                </c:pt>
                <c:pt idx="579">
                  <c:v>106.4371</c:v>
                </c:pt>
                <c:pt idx="580">
                  <c:v>106.8877</c:v>
                </c:pt>
                <c:pt idx="581">
                  <c:v>107.60760000000001</c:v>
                </c:pt>
                <c:pt idx="582">
                  <c:v>107.55549999999999</c:v>
                </c:pt>
                <c:pt idx="583">
                  <c:v>105.8827</c:v>
                </c:pt>
                <c:pt idx="584">
                  <c:v>109.7944</c:v>
                </c:pt>
                <c:pt idx="585">
                  <c:v>110.1619</c:v>
                </c:pt>
                <c:pt idx="586">
                  <c:v>110.31019999999999</c:v>
                </c:pt>
                <c:pt idx="587">
                  <c:v>109.11499999999999</c:v>
                </c:pt>
                <c:pt idx="588">
                  <c:v>108.5333</c:v>
                </c:pt>
                <c:pt idx="589">
                  <c:v>111.91</c:v>
                </c:pt>
                <c:pt idx="590">
                  <c:v>112.34350000000001</c:v>
                </c:pt>
                <c:pt idx="591">
                  <c:v>113.6204</c:v>
                </c:pt>
                <c:pt idx="592">
                  <c:v>115.3869</c:v>
                </c:pt>
                <c:pt idx="593">
                  <c:v>116.87730000000001</c:v>
                </c:pt>
                <c:pt idx="594">
                  <c:v>116.9345</c:v>
                </c:pt>
                <c:pt idx="595">
                  <c:v>119.187</c:v>
                </c:pt>
                <c:pt idx="596">
                  <c:v>119.2145</c:v>
                </c:pt>
                <c:pt idx="597">
                  <c:v>117.5946</c:v>
                </c:pt>
                <c:pt idx="598">
                  <c:v>116.17919999999999</c:v>
                </c:pt>
                <c:pt idx="599">
                  <c:v>118.46259999999999</c:v>
                </c:pt>
              </c:numCache>
            </c:numRef>
          </c:val>
          <c:smooth val="0"/>
          <c:extLst>
            <c:ext xmlns:c16="http://schemas.microsoft.com/office/drawing/2014/chart" uri="{C3380CC4-5D6E-409C-BE32-E72D297353CC}">
              <c16:uniqueId val="{00000000-F4E2-476E-A4ED-BB342D69A63B}"/>
            </c:ext>
          </c:extLst>
        </c:ser>
        <c:dLbls>
          <c:showLegendKey val="0"/>
          <c:showVal val="0"/>
          <c:showCatName val="0"/>
          <c:showSerName val="0"/>
          <c:showPercent val="0"/>
          <c:showBubbleSize val="0"/>
        </c:dLbls>
        <c:smooth val="0"/>
        <c:axId val="1068126063"/>
        <c:axId val="1068118543"/>
      </c:lineChart>
      <c:dateAx>
        <c:axId val="106812606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18543"/>
        <c:crosses val="autoZero"/>
        <c:auto val="0"/>
        <c:lblOffset val="100"/>
        <c:baseTimeUnit val="months"/>
      </c:dateAx>
      <c:valAx>
        <c:axId val="1068118543"/>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2606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Mining!$U$4</c:f>
          <c:strCache>
            <c:ptCount val="1"/>
            <c:pt idx="0">
              <c:v>Industrial Production: Mining yoy</c:v>
            </c:pt>
          </c:strCache>
        </c:strRef>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00B050"/>
            </a:solidFill>
            <a:ln>
              <a:noFill/>
              <a:prstDash val="solid"/>
            </a:ln>
          </c:spPr>
          <c:invertIfNegative val="1"/>
          <c:cat>
            <c:numRef>
              <c:f>Mining!$A$20:$A$623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Mining!$D$20:$D$623</c:f>
              <c:numCache>
                <c:formatCode>0.0%</c:formatCode>
                <c:ptCount val="604"/>
                <c:pt idx="0">
                  <c:v>1.6467396964672133E-2</c:v>
                </c:pt>
                <c:pt idx="1">
                  <c:v>-1.0037711123038358E-3</c:v>
                </c:pt>
                <c:pt idx="2">
                  <c:v>-1.4511852112497744E-2</c:v>
                </c:pt>
                <c:pt idx="3">
                  <c:v>-1.1342773273272291E-3</c:v>
                </c:pt>
                <c:pt idx="4">
                  <c:v>1.6072661873838302E-3</c:v>
                </c:pt>
                <c:pt idx="5">
                  <c:v>1.9870794553121893E-2</c:v>
                </c:pt>
                <c:pt idx="6">
                  <c:v>9.7249755785109356E-3</c:v>
                </c:pt>
                <c:pt idx="7">
                  <c:v>-8.0474132495729619E-4</c:v>
                </c:pt>
                <c:pt idx="8">
                  <c:v>6.655346092963089E-3</c:v>
                </c:pt>
                <c:pt idx="9">
                  <c:v>3.2060106651982711E-3</c:v>
                </c:pt>
                <c:pt idx="10">
                  <c:v>1.7604699508775936E-2</c:v>
                </c:pt>
                <c:pt idx="11">
                  <c:v>1.4134581132910742E-2</c:v>
                </c:pt>
                <c:pt idx="12">
                  <c:v>1.2972465171325682E-2</c:v>
                </c:pt>
                <c:pt idx="13">
                  <c:v>1.4483247857283948E-2</c:v>
                </c:pt>
                <c:pt idx="14">
                  <c:v>1.5605346003682415E-2</c:v>
                </c:pt>
                <c:pt idx="15">
                  <c:v>1.8194590389494364E-2</c:v>
                </c:pt>
                <c:pt idx="16">
                  <c:v>-1.7400499570192683E-3</c:v>
                </c:pt>
                <c:pt idx="17">
                  <c:v>-1.1817235859732333E-2</c:v>
                </c:pt>
                <c:pt idx="18">
                  <c:v>-4.0860315291298292E-2</c:v>
                </c:pt>
                <c:pt idx="19">
                  <c:v>-2.0126705429380429E-2</c:v>
                </c:pt>
                <c:pt idx="20">
                  <c:v>-1.4681966958140719E-2</c:v>
                </c:pt>
                <c:pt idx="21">
                  <c:v>-8.3087593587800337E-2</c:v>
                </c:pt>
                <c:pt idx="22">
                  <c:v>-7.097023605729233E-2</c:v>
                </c:pt>
                <c:pt idx="23">
                  <c:v>-1.7958231595029166E-2</c:v>
                </c:pt>
                <c:pt idx="24">
                  <c:v>-3.0612233300790909E-2</c:v>
                </c:pt>
                <c:pt idx="25">
                  <c:v>-4.1853901671817538E-2</c:v>
                </c:pt>
                <c:pt idx="26">
                  <c:v>-4.2397183784702801E-2</c:v>
                </c:pt>
                <c:pt idx="27">
                  <c:v>-5.2496536152306789E-2</c:v>
                </c:pt>
                <c:pt idx="28">
                  <c:v>-2.1289023792387687E-2</c:v>
                </c:pt>
                <c:pt idx="29">
                  <c:v>-5.1827308357853479E-2</c:v>
                </c:pt>
                <c:pt idx="30">
                  <c:v>-1.6423113256187963E-2</c:v>
                </c:pt>
                <c:pt idx="31">
                  <c:v>-3.2412464801512851E-2</c:v>
                </c:pt>
                <c:pt idx="32">
                  <c:v>-3.8221010993908851E-2</c:v>
                </c:pt>
                <c:pt idx="33">
                  <c:v>5.0528251035712644E-2</c:v>
                </c:pt>
                <c:pt idx="34">
                  <c:v>2.6211967935490202E-2</c:v>
                </c:pt>
                <c:pt idx="35">
                  <c:v>-8.5344538204211624E-3</c:v>
                </c:pt>
                <c:pt idx="36">
                  <c:v>-2.919307526186114E-4</c:v>
                </c:pt>
                <c:pt idx="37">
                  <c:v>7.7180489403983737E-3</c:v>
                </c:pt>
                <c:pt idx="38">
                  <c:v>6.3744322040202427E-3</c:v>
                </c:pt>
                <c:pt idx="39">
                  <c:v>1.1963219718852299E-2</c:v>
                </c:pt>
                <c:pt idx="40">
                  <c:v>-1.0156666311414358E-2</c:v>
                </c:pt>
                <c:pt idx="41">
                  <c:v>6.304889843647507E-3</c:v>
                </c:pt>
                <c:pt idx="42">
                  <c:v>1.1544491482021062E-2</c:v>
                </c:pt>
                <c:pt idx="43">
                  <c:v>1.8908473115989595E-2</c:v>
                </c:pt>
                <c:pt idx="44">
                  <c:v>1.4018184056246601E-2</c:v>
                </c:pt>
                <c:pt idx="45">
                  <c:v>9.0232824290976919E-3</c:v>
                </c:pt>
                <c:pt idx="46">
                  <c:v>1.9498117017241211E-2</c:v>
                </c:pt>
                <c:pt idx="47">
                  <c:v>-2.977921560889963E-2</c:v>
                </c:pt>
                <c:pt idx="48">
                  <c:v>9.0349047077904372E-3</c:v>
                </c:pt>
                <c:pt idx="49">
                  <c:v>3.9372705643227375E-2</c:v>
                </c:pt>
                <c:pt idx="50">
                  <c:v>4.0661707989637461E-2</c:v>
                </c:pt>
                <c:pt idx="51">
                  <c:v>3.7782165029376091E-2</c:v>
                </c:pt>
                <c:pt idx="52">
                  <c:v>3.6146970963987057E-2</c:v>
                </c:pt>
                <c:pt idx="53">
                  <c:v>5.0574679335089044E-2</c:v>
                </c:pt>
                <c:pt idx="54">
                  <c:v>1.268028967862073E-2</c:v>
                </c:pt>
                <c:pt idx="55">
                  <c:v>4.4316816067874229E-2</c:v>
                </c:pt>
                <c:pt idx="56">
                  <c:v>4.5404127799451126E-2</c:v>
                </c:pt>
                <c:pt idx="57">
                  <c:v>4.5850715797159589E-2</c:v>
                </c:pt>
                <c:pt idx="58">
                  <c:v>-5.491106315973647E-2</c:v>
                </c:pt>
                <c:pt idx="59">
                  <c:v>-4.7053656306029777E-2</c:v>
                </c:pt>
                <c:pt idx="60">
                  <c:v>-7.0716192641303979E-2</c:v>
                </c:pt>
                <c:pt idx="61">
                  <c:v>-4.0928805513069343E-2</c:v>
                </c:pt>
                <c:pt idx="62">
                  <c:v>5.6120590304110735E-2</c:v>
                </c:pt>
                <c:pt idx="63">
                  <c:v>5.1132951633531647E-2</c:v>
                </c:pt>
                <c:pt idx="64">
                  <c:v>5.6681152927810376E-2</c:v>
                </c:pt>
                <c:pt idx="65">
                  <c:v>6.2244350277615802E-2</c:v>
                </c:pt>
                <c:pt idx="66">
                  <c:v>7.6071369331703595E-2</c:v>
                </c:pt>
                <c:pt idx="67">
                  <c:v>2.241329900471261E-2</c:v>
                </c:pt>
                <c:pt idx="68">
                  <c:v>4.8197585396257972E-2</c:v>
                </c:pt>
                <c:pt idx="69">
                  <c:v>3.8361648744304935E-2</c:v>
                </c:pt>
                <c:pt idx="70">
                  <c:v>0.12596387385964228</c:v>
                </c:pt>
                <c:pt idx="71">
                  <c:v>0.13933860065384812</c:v>
                </c:pt>
                <c:pt idx="72">
                  <c:v>0.12878320761725626</c:v>
                </c:pt>
                <c:pt idx="73">
                  <c:v>7.8058302843204488E-2</c:v>
                </c:pt>
                <c:pt idx="74">
                  <c:v>-5.4496503936462175E-3</c:v>
                </c:pt>
                <c:pt idx="75">
                  <c:v>-6.1011375852317055E-3</c:v>
                </c:pt>
                <c:pt idx="76">
                  <c:v>-2.6016171328671644E-3</c:v>
                </c:pt>
                <c:pt idx="77">
                  <c:v>-2.1926004468512124E-2</c:v>
                </c:pt>
                <c:pt idx="78">
                  <c:v>1.0469847669565208E-2</c:v>
                </c:pt>
                <c:pt idx="79">
                  <c:v>2.4757161146228383E-2</c:v>
                </c:pt>
                <c:pt idx="80">
                  <c:v>1.4554565774125569E-2</c:v>
                </c:pt>
                <c:pt idx="81">
                  <c:v>1.9609101739078465E-2</c:v>
                </c:pt>
                <c:pt idx="82">
                  <c:v>2.5916958316937785E-2</c:v>
                </c:pt>
                <c:pt idx="83">
                  <c:v>5.7052577213326794E-2</c:v>
                </c:pt>
                <c:pt idx="84">
                  <c:v>4.4894196484961034E-2</c:v>
                </c:pt>
                <c:pt idx="85">
                  <c:v>5.0943761013307075E-2</c:v>
                </c:pt>
                <c:pt idx="86">
                  <c:v>2.5601230272557771E-2</c:v>
                </c:pt>
                <c:pt idx="87">
                  <c:v>3.0999001766106166E-2</c:v>
                </c:pt>
                <c:pt idx="88">
                  <c:v>2.5839733835514085E-2</c:v>
                </c:pt>
                <c:pt idx="89">
                  <c:v>1.8106595278656698E-2</c:v>
                </c:pt>
                <c:pt idx="90">
                  <c:v>-2.2500294818018872E-2</c:v>
                </c:pt>
                <c:pt idx="91">
                  <c:v>-1.0267976828671295E-3</c:v>
                </c:pt>
                <c:pt idx="92">
                  <c:v>-1.7714632556257388E-2</c:v>
                </c:pt>
                <c:pt idx="93">
                  <c:v>-2.730505799790769E-3</c:v>
                </c:pt>
                <c:pt idx="94">
                  <c:v>1.9567683993922867E-2</c:v>
                </c:pt>
                <c:pt idx="95">
                  <c:v>-1.1555439056356413E-2</c:v>
                </c:pt>
                <c:pt idx="96">
                  <c:v>1.1744994910078098E-2</c:v>
                </c:pt>
                <c:pt idx="97">
                  <c:v>1.201029784487424E-2</c:v>
                </c:pt>
                <c:pt idx="98">
                  <c:v>-3.0168778839210798E-2</c:v>
                </c:pt>
                <c:pt idx="99">
                  <c:v>-2.3940570441199818E-2</c:v>
                </c:pt>
                <c:pt idx="100">
                  <c:v>2.1921047067190804E-2</c:v>
                </c:pt>
                <c:pt idx="101">
                  <c:v>7.2878954482434824E-2</c:v>
                </c:pt>
                <c:pt idx="102">
                  <c:v>9.6461324933425699E-2</c:v>
                </c:pt>
                <c:pt idx="103">
                  <c:v>6.9795135625539823E-2</c:v>
                </c:pt>
                <c:pt idx="104">
                  <c:v>6.5997526141707327E-2</c:v>
                </c:pt>
                <c:pt idx="105">
                  <c:v>3.734097985299005E-2</c:v>
                </c:pt>
                <c:pt idx="106">
                  <c:v>1.5449068790952916E-2</c:v>
                </c:pt>
                <c:pt idx="107">
                  <c:v>1.572986510439359E-2</c:v>
                </c:pt>
                <c:pt idx="108">
                  <c:v>1.4319013620985204E-2</c:v>
                </c:pt>
                <c:pt idx="109">
                  <c:v>-3.0425099616492404E-3</c:v>
                </c:pt>
                <c:pt idx="110">
                  <c:v>3.0474553002607561E-2</c:v>
                </c:pt>
                <c:pt idx="111">
                  <c:v>7.8158383549458751E-3</c:v>
                </c:pt>
                <c:pt idx="112">
                  <c:v>-4.7175716586218629E-2</c:v>
                </c:pt>
                <c:pt idx="113">
                  <c:v>-8.9978752752116073E-2</c:v>
                </c:pt>
                <c:pt idx="114">
                  <c:v>-9.9820825615375725E-2</c:v>
                </c:pt>
                <c:pt idx="115">
                  <c:v>-0.1031472615330865</c:v>
                </c:pt>
                <c:pt idx="116">
                  <c:v>-0.10037580994403739</c:v>
                </c:pt>
                <c:pt idx="117">
                  <c:v>-9.4854207708889846E-2</c:v>
                </c:pt>
                <c:pt idx="118">
                  <c:v>-0.1052505572525385</c:v>
                </c:pt>
                <c:pt idx="119">
                  <c:v>-8.5765039820042147E-2</c:v>
                </c:pt>
                <c:pt idx="120">
                  <c:v>-0.11327907846634254</c:v>
                </c:pt>
                <c:pt idx="121">
                  <c:v>-0.11723102474256655</c:v>
                </c:pt>
                <c:pt idx="122">
                  <c:v>-8.9107288410093674E-2</c:v>
                </c:pt>
                <c:pt idx="123">
                  <c:v>-7.8355892348394504E-2</c:v>
                </c:pt>
                <c:pt idx="124">
                  <c:v>-6.290600127880458E-2</c:v>
                </c:pt>
                <c:pt idx="125">
                  <c:v>-4.3289653061792249E-2</c:v>
                </c:pt>
                <c:pt idx="126">
                  <c:v>-2.7299731880636981E-2</c:v>
                </c:pt>
                <c:pt idx="127">
                  <c:v>-1.1230483679730143E-2</c:v>
                </c:pt>
                <c:pt idx="128">
                  <c:v>2.1909812937016241E-3</c:v>
                </c:pt>
                <c:pt idx="129">
                  <c:v>4.9238461836487654E-3</c:v>
                </c:pt>
                <c:pt idx="130">
                  <c:v>5.7851468430813085E-3</c:v>
                </c:pt>
                <c:pt idx="131">
                  <c:v>4.2909051863477835E-2</c:v>
                </c:pt>
                <c:pt idx="132">
                  <c:v>5.2219369829714903E-2</c:v>
                </c:pt>
                <c:pt idx="133">
                  <c:v>5.7968790756908535E-2</c:v>
                </c:pt>
                <c:pt idx="134">
                  <c:v>6.7646309808346961E-2</c:v>
                </c:pt>
                <c:pt idx="135">
                  <c:v>8.8565242138493913E-2</c:v>
                </c:pt>
                <c:pt idx="136">
                  <c:v>9.0000140444178048E-2</c:v>
                </c:pt>
                <c:pt idx="137">
                  <c:v>0.10166271944313902</c:v>
                </c:pt>
                <c:pt idx="138">
                  <c:v>8.038186718805837E-2</c:v>
                </c:pt>
                <c:pt idx="139">
                  <c:v>8.0263329691247262E-2</c:v>
                </c:pt>
                <c:pt idx="140">
                  <c:v>3.4618476718989495E-2</c:v>
                </c:pt>
                <c:pt idx="141">
                  <c:v>3.5335592882081338E-2</c:v>
                </c:pt>
                <c:pt idx="142">
                  <c:v>4.8520521429619892E-2</c:v>
                </c:pt>
                <c:pt idx="143">
                  <c:v>-2.1978166412376009E-2</c:v>
                </c:pt>
                <c:pt idx="144">
                  <c:v>7.3735189005948694E-3</c:v>
                </c:pt>
                <c:pt idx="145">
                  <c:v>1.7424860240772926E-2</c:v>
                </c:pt>
                <c:pt idx="146">
                  <c:v>-4.8592183453271933E-3</c:v>
                </c:pt>
                <c:pt idx="147">
                  <c:v>-1.7609623518022088E-2</c:v>
                </c:pt>
                <c:pt idx="148">
                  <c:v>-2.0415942344880558E-2</c:v>
                </c:pt>
                <c:pt idx="149">
                  <c:v>-5.3244047713323125E-2</c:v>
                </c:pt>
                <c:pt idx="150">
                  <c:v>-4.4918246550434367E-2</c:v>
                </c:pt>
                <c:pt idx="151">
                  <c:v>-4.00824422236499E-2</c:v>
                </c:pt>
                <c:pt idx="152">
                  <c:v>-1.4157813923056031E-2</c:v>
                </c:pt>
                <c:pt idx="153">
                  <c:v>-2.6975551147857432E-2</c:v>
                </c:pt>
                <c:pt idx="154">
                  <c:v>-8.2876100339357075E-3</c:v>
                </c:pt>
                <c:pt idx="155">
                  <c:v>1.2454489764606651E-2</c:v>
                </c:pt>
                <c:pt idx="156">
                  <c:v>-1.9740132956765341E-2</c:v>
                </c:pt>
                <c:pt idx="157">
                  <c:v>-4.8530563103219126E-2</c:v>
                </c:pt>
                <c:pt idx="158">
                  <c:v>-7.7477317007736274E-2</c:v>
                </c:pt>
                <c:pt idx="159">
                  <c:v>-8.4771412611786043E-2</c:v>
                </c:pt>
                <c:pt idx="160">
                  <c:v>-9.8231206916017083E-2</c:v>
                </c:pt>
                <c:pt idx="161">
                  <c:v>-8.6303751643623403E-2</c:v>
                </c:pt>
                <c:pt idx="162">
                  <c:v>-9.3092915271961896E-2</c:v>
                </c:pt>
                <c:pt idx="163">
                  <c:v>-0.1105047492820854</c:v>
                </c:pt>
                <c:pt idx="164">
                  <c:v>-9.8809241910326737E-2</c:v>
                </c:pt>
                <c:pt idx="165">
                  <c:v>-7.6595615357168065E-2</c:v>
                </c:pt>
                <c:pt idx="166">
                  <c:v>-9.4705662445591629E-2</c:v>
                </c:pt>
                <c:pt idx="167">
                  <c:v>-8.4244047908748496E-2</c:v>
                </c:pt>
                <c:pt idx="168">
                  <c:v>-7.0237298172067392E-2</c:v>
                </c:pt>
                <c:pt idx="169">
                  <c:v>-4.9189660755794146E-2</c:v>
                </c:pt>
                <c:pt idx="170">
                  <c:v>-9.4561915170786066E-3</c:v>
                </c:pt>
                <c:pt idx="171">
                  <c:v>-6.0049329660987255E-3</c:v>
                </c:pt>
                <c:pt idx="172">
                  <c:v>1.7042685113267307E-2</c:v>
                </c:pt>
                <c:pt idx="173">
                  <c:v>2.4897987581521435E-2</c:v>
                </c:pt>
                <c:pt idx="174">
                  <c:v>5.7147151327598296E-2</c:v>
                </c:pt>
                <c:pt idx="175">
                  <c:v>6.9792102554296506E-2</c:v>
                </c:pt>
                <c:pt idx="176">
                  <c:v>7.1992065440379102E-2</c:v>
                </c:pt>
                <c:pt idx="177">
                  <c:v>6.5457049867742437E-2</c:v>
                </c:pt>
                <c:pt idx="178">
                  <c:v>6.6656921502704219E-2</c:v>
                </c:pt>
                <c:pt idx="179">
                  <c:v>4.2605850287054658E-2</c:v>
                </c:pt>
                <c:pt idx="180">
                  <c:v>4.5271912524803018E-2</c:v>
                </c:pt>
                <c:pt idx="181">
                  <c:v>5.8105061572772149E-2</c:v>
                </c:pt>
                <c:pt idx="182">
                  <c:v>4.5951536109677116E-2</c:v>
                </c:pt>
                <c:pt idx="183">
                  <c:v>5.718883485951886E-2</c:v>
                </c:pt>
                <c:pt idx="184">
                  <c:v>4.5160866239602263E-2</c:v>
                </c:pt>
                <c:pt idx="185">
                  <c:v>3.8324990680762873E-2</c:v>
                </c:pt>
                <c:pt idx="186">
                  <c:v>1.8152536309151281E-2</c:v>
                </c:pt>
                <c:pt idx="187">
                  <c:v>1.2686348885039441E-3</c:v>
                </c:pt>
                <c:pt idx="188">
                  <c:v>-5.3798087434838273E-3</c:v>
                </c:pt>
                <c:pt idx="189">
                  <c:v>-1.103116573176707E-2</c:v>
                </c:pt>
                <c:pt idx="190">
                  <c:v>-1.4164496825179191E-2</c:v>
                </c:pt>
                <c:pt idx="191">
                  <c:v>-2.08766816039593E-3</c:v>
                </c:pt>
                <c:pt idx="192">
                  <c:v>-2.3984296655653884E-2</c:v>
                </c:pt>
                <c:pt idx="193">
                  <c:v>-2.3871135502686776E-2</c:v>
                </c:pt>
                <c:pt idx="194">
                  <c:v>2.3697691085643836E-4</c:v>
                </c:pt>
                <c:pt idx="195">
                  <c:v>-4.6235598444054997E-3</c:v>
                </c:pt>
                <c:pt idx="196">
                  <c:v>-1.5497874802603064E-2</c:v>
                </c:pt>
                <c:pt idx="197">
                  <c:v>-1.7690152218122309E-2</c:v>
                </c:pt>
                <c:pt idx="198">
                  <c:v>-1.0159163276845119E-2</c:v>
                </c:pt>
                <c:pt idx="199">
                  <c:v>2.324236160941533E-3</c:v>
                </c:pt>
                <c:pt idx="200">
                  <c:v>-7.4590860970826641E-3</c:v>
                </c:pt>
                <c:pt idx="201">
                  <c:v>-5.6684948526669618E-5</c:v>
                </c:pt>
                <c:pt idx="202">
                  <c:v>-2.6170101605932132E-2</c:v>
                </c:pt>
                <c:pt idx="203">
                  <c:v>2.2557298789591344E-2</c:v>
                </c:pt>
                <c:pt idx="204">
                  <c:v>3.2442127590646734E-2</c:v>
                </c:pt>
                <c:pt idx="205">
                  <c:v>1.6291923862276163E-2</c:v>
                </c:pt>
                <c:pt idx="206">
                  <c:v>1.3341169353495429E-4</c:v>
                </c:pt>
                <c:pt idx="207">
                  <c:v>-4.1383468851775443E-3</c:v>
                </c:pt>
                <c:pt idx="208">
                  <c:v>6.073495215772353E-3</c:v>
                </c:pt>
                <c:pt idx="209">
                  <c:v>1.8018070615050074E-2</c:v>
                </c:pt>
                <c:pt idx="210">
                  <c:v>3.9118057209723851E-3</c:v>
                </c:pt>
                <c:pt idx="211">
                  <c:v>9.7437819058259264E-3</c:v>
                </c:pt>
                <c:pt idx="212">
                  <c:v>2.7723379354399464E-2</c:v>
                </c:pt>
                <c:pt idx="213">
                  <c:v>1.2732855301731419E-2</c:v>
                </c:pt>
                <c:pt idx="214">
                  <c:v>2.4954618234072447E-2</c:v>
                </c:pt>
                <c:pt idx="215">
                  <c:v>-2.1778126958464639E-2</c:v>
                </c:pt>
                <c:pt idx="216">
                  <c:v>1.9868945125066043E-3</c:v>
                </c:pt>
                <c:pt idx="217">
                  <c:v>-5.9582713161190209E-4</c:v>
                </c:pt>
                <c:pt idx="218">
                  <c:v>-1.4588232588358993E-2</c:v>
                </c:pt>
                <c:pt idx="219">
                  <c:v>-1.6493250406633218E-2</c:v>
                </c:pt>
                <c:pt idx="220">
                  <c:v>-1.1662662508961866E-2</c:v>
                </c:pt>
                <c:pt idx="221">
                  <c:v>-2.829847829153908E-2</c:v>
                </c:pt>
                <c:pt idx="222">
                  <c:v>-2.5805084306514205E-2</c:v>
                </c:pt>
                <c:pt idx="223">
                  <c:v>-3.0064862400767819E-2</c:v>
                </c:pt>
                <c:pt idx="224">
                  <c:v>-4.0910745862024728E-2</c:v>
                </c:pt>
                <c:pt idx="225">
                  <c:v>-4.2126655273571283E-2</c:v>
                </c:pt>
                <c:pt idx="226">
                  <c:v>-2.1582500023211985E-2</c:v>
                </c:pt>
                <c:pt idx="227">
                  <c:v>-2.3785703508548018E-2</c:v>
                </c:pt>
                <c:pt idx="228">
                  <c:v>-5.0887072164689205E-2</c:v>
                </c:pt>
                <c:pt idx="229">
                  <c:v>-3.7299525018284131E-2</c:v>
                </c:pt>
                <c:pt idx="230">
                  <c:v>-1.6507978000254483E-2</c:v>
                </c:pt>
                <c:pt idx="231">
                  <c:v>-1.5715287263091415E-2</c:v>
                </c:pt>
                <c:pt idx="232">
                  <c:v>-2.8155046076247369E-2</c:v>
                </c:pt>
                <c:pt idx="233">
                  <c:v>-4.922229947224575E-3</c:v>
                </c:pt>
                <c:pt idx="234">
                  <c:v>-1.9816811835464125E-2</c:v>
                </c:pt>
                <c:pt idx="235">
                  <c:v>-1.4508224791280423E-2</c:v>
                </c:pt>
                <c:pt idx="236">
                  <c:v>-8.2203736597987725E-3</c:v>
                </c:pt>
                <c:pt idx="237">
                  <c:v>-1.1353512850817643E-3</c:v>
                </c:pt>
                <c:pt idx="238">
                  <c:v>-2.8919561390607111E-3</c:v>
                </c:pt>
                <c:pt idx="239">
                  <c:v>-5.7067039504656884E-3</c:v>
                </c:pt>
                <c:pt idx="240">
                  <c:v>2.079637971997643E-3</c:v>
                </c:pt>
                <c:pt idx="241">
                  <c:v>-7.820226013653014E-3</c:v>
                </c:pt>
                <c:pt idx="242">
                  <c:v>-1.7733126239212721E-2</c:v>
                </c:pt>
                <c:pt idx="243">
                  <c:v>-1.5155226620877984E-2</c:v>
                </c:pt>
                <c:pt idx="244">
                  <c:v>5.2513407806455735E-3</c:v>
                </c:pt>
                <c:pt idx="245">
                  <c:v>-1.8566868365268666E-2</c:v>
                </c:pt>
                <c:pt idx="246">
                  <c:v>-1.2013953555695441E-3</c:v>
                </c:pt>
                <c:pt idx="247">
                  <c:v>6.3148258210456621E-4</c:v>
                </c:pt>
                <c:pt idx="248">
                  <c:v>8.7463974024331592E-3</c:v>
                </c:pt>
                <c:pt idx="249">
                  <c:v>9.5229567013509885E-3</c:v>
                </c:pt>
                <c:pt idx="250">
                  <c:v>9.8311899975018352E-3</c:v>
                </c:pt>
                <c:pt idx="251">
                  <c:v>4.0654489451354414E-3</c:v>
                </c:pt>
                <c:pt idx="252">
                  <c:v>1.6106277638915586E-2</c:v>
                </c:pt>
                <c:pt idx="253">
                  <c:v>3.6422775635411762E-2</c:v>
                </c:pt>
                <c:pt idx="254">
                  <c:v>2.6355716404857166E-2</c:v>
                </c:pt>
                <c:pt idx="255">
                  <c:v>2.9169821025598223E-2</c:v>
                </c:pt>
                <c:pt idx="256">
                  <c:v>1.7874159888180401E-2</c:v>
                </c:pt>
                <c:pt idx="257">
                  <c:v>2.8857020263369445E-2</c:v>
                </c:pt>
                <c:pt idx="258">
                  <c:v>2.7555432104729247E-2</c:v>
                </c:pt>
                <c:pt idx="259">
                  <c:v>1.403473477105553E-2</c:v>
                </c:pt>
                <c:pt idx="260">
                  <c:v>-1.9043318525802512E-3</c:v>
                </c:pt>
                <c:pt idx="261">
                  <c:v>6.6100474139918486E-3</c:v>
                </c:pt>
                <c:pt idx="262">
                  <c:v>1.3478171746849217E-2</c:v>
                </c:pt>
                <c:pt idx="263">
                  <c:v>2.0162769317245369E-2</c:v>
                </c:pt>
                <c:pt idx="264">
                  <c:v>1.0603586013106138E-2</c:v>
                </c:pt>
                <c:pt idx="265">
                  <c:v>-1.6102584093023144E-2</c:v>
                </c:pt>
                <c:pt idx="266">
                  <c:v>-3.6285700162185506E-3</c:v>
                </c:pt>
                <c:pt idx="267">
                  <c:v>-4.1319696191126042E-3</c:v>
                </c:pt>
                <c:pt idx="268">
                  <c:v>-3.7448783971732041E-3</c:v>
                </c:pt>
                <c:pt idx="269">
                  <c:v>3.6135944456844055E-3</c:v>
                </c:pt>
                <c:pt idx="270">
                  <c:v>-8.9721304520031485E-3</c:v>
                </c:pt>
                <c:pt idx="271">
                  <c:v>8.5263069635836252E-3</c:v>
                </c:pt>
                <c:pt idx="272">
                  <c:v>-1.8025593500365089E-3</c:v>
                </c:pt>
                <c:pt idx="273">
                  <c:v>3.4777704671494112E-4</c:v>
                </c:pt>
                <c:pt idx="274">
                  <c:v>-1.2945559372075793E-2</c:v>
                </c:pt>
                <c:pt idx="275">
                  <c:v>-2.397136743606176E-2</c:v>
                </c:pt>
                <c:pt idx="276">
                  <c:v>-6.5111892048133699E-3</c:v>
                </c:pt>
                <c:pt idx="277">
                  <c:v>1.9933050383026847E-2</c:v>
                </c:pt>
                <c:pt idx="278">
                  <c:v>2.1766838380604794E-2</c:v>
                </c:pt>
                <c:pt idx="279">
                  <c:v>1.518867746708508E-2</c:v>
                </c:pt>
                <c:pt idx="280">
                  <c:v>3.1873299155296207E-2</c:v>
                </c:pt>
                <c:pt idx="281">
                  <c:v>1.9551542421567886E-2</c:v>
                </c:pt>
                <c:pt idx="282">
                  <c:v>3.4358645340556389E-2</c:v>
                </c:pt>
                <c:pt idx="283">
                  <c:v>2.3587518193559507E-2</c:v>
                </c:pt>
                <c:pt idx="284">
                  <c:v>3.2560424188421783E-2</c:v>
                </c:pt>
                <c:pt idx="285">
                  <c:v>1.8412855760286419E-2</c:v>
                </c:pt>
                <c:pt idx="286">
                  <c:v>2.3040470678012705E-2</c:v>
                </c:pt>
                <c:pt idx="287">
                  <c:v>3.5523948944639061E-2</c:v>
                </c:pt>
                <c:pt idx="288">
                  <c:v>3.8903841736702811E-2</c:v>
                </c:pt>
                <c:pt idx="289">
                  <c:v>2.8280140400499504E-2</c:v>
                </c:pt>
                <c:pt idx="290">
                  <c:v>1.357472340720701E-2</c:v>
                </c:pt>
                <c:pt idx="291">
                  <c:v>2.997856684487028E-2</c:v>
                </c:pt>
                <c:pt idx="292">
                  <c:v>8.1735493749571404E-3</c:v>
                </c:pt>
                <c:pt idx="293">
                  <c:v>1.2895389140640468E-2</c:v>
                </c:pt>
                <c:pt idx="294">
                  <c:v>1.1743933409386625E-2</c:v>
                </c:pt>
                <c:pt idx="295">
                  <c:v>1.6998129622320994E-2</c:v>
                </c:pt>
                <c:pt idx="296">
                  <c:v>1.2140975966245063E-2</c:v>
                </c:pt>
                <c:pt idx="297">
                  <c:v>9.9654823646368688E-3</c:v>
                </c:pt>
                <c:pt idx="298">
                  <c:v>1.3252785985866683E-2</c:v>
                </c:pt>
                <c:pt idx="299">
                  <c:v>4.4284338206589356E-2</c:v>
                </c:pt>
                <c:pt idx="300">
                  <c:v>1.0663349935883847E-2</c:v>
                </c:pt>
                <c:pt idx="301">
                  <c:v>-6.7749298189656139E-3</c:v>
                </c:pt>
                <c:pt idx="302">
                  <c:v>8.0800062048609119E-3</c:v>
                </c:pt>
                <c:pt idx="303">
                  <c:v>-1.5164778955884242E-3</c:v>
                </c:pt>
                <c:pt idx="304">
                  <c:v>-1.6615795433036349E-2</c:v>
                </c:pt>
                <c:pt idx="305">
                  <c:v>-2.8308591416631081E-2</c:v>
                </c:pt>
                <c:pt idx="306">
                  <c:v>-2.4800609221270965E-2</c:v>
                </c:pt>
                <c:pt idx="307">
                  <c:v>-6.1867417161034464E-2</c:v>
                </c:pt>
                <c:pt idx="308">
                  <c:v>-4.3822842235043159E-2</c:v>
                </c:pt>
                <c:pt idx="309">
                  <c:v>-3.5218456745998321E-2</c:v>
                </c:pt>
                <c:pt idx="310">
                  <c:v>-6.2378725705379091E-2</c:v>
                </c:pt>
                <c:pt idx="311">
                  <c:v>-8.7930622591676638E-2</c:v>
                </c:pt>
                <c:pt idx="312">
                  <c:v>-8.1872519346015943E-2</c:v>
                </c:pt>
                <c:pt idx="313">
                  <c:v>-7.5329783454345003E-2</c:v>
                </c:pt>
                <c:pt idx="314">
                  <c:v>-8.4178154729038682E-2</c:v>
                </c:pt>
                <c:pt idx="315">
                  <c:v>-8.660324495592038E-2</c:v>
                </c:pt>
                <c:pt idx="316">
                  <c:v>-6.3643268524825616E-2</c:v>
                </c:pt>
                <c:pt idx="317">
                  <c:v>-4.3506916173043232E-2</c:v>
                </c:pt>
                <c:pt idx="318">
                  <c:v>-4.608199611180263E-2</c:v>
                </c:pt>
                <c:pt idx="319">
                  <c:v>-1.6638829370765315E-2</c:v>
                </c:pt>
                <c:pt idx="320">
                  <c:v>-1.6536834468994125E-2</c:v>
                </c:pt>
                <c:pt idx="321">
                  <c:v>-9.1396296804798494E-3</c:v>
                </c:pt>
                <c:pt idx="322">
                  <c:v>2.2444409980032217E-2</c:v>
                </c:pt>
                <c:pt idx="323">
                  <c:v>1.0559592943941303E-2</c:v>
                </c:pt>
                <c:pt idx="324">
                  <c:v>2.3769056605617955E-2</c:v>
                </c:pt>
                <c:pt idx="325">
                  <c:v>4.2077534387272818E-2</c:v>
                </c:pt>
                <c:pt idx="326">
                  <c:v>3.293353990150949E-2</c:v>
                </c:pt>
                <c:pt idx="327">
                  <c:v>2.9673150616564104E-2</c:v>
                </c:pt>
                <c:pt idx="328">
                  <c:v>3.2327114008375048E-2</c:v>
                </c:pt>
                <c:pt idx="329">
                  <c:v>2.2214254441326447E-2</c:v>
                </c:pt>
                <c:pt idx="330">
                  <c:v>2.791824065625784E-2</c:v>
                </c:pt>
                <c:pt idx="331">
                  <c:v>2.4465454509983744E-2</c:v>
                </c:pt>
                <c:pt idx="332">
                  <c:v>2.1018624602052602E-2</c:v>
                </c:pt>
                <c:pt idx="333">
                  <c:v>2.6625416582055695E-3</c:v>
                </c:pt>
                <c:pt idx="334">
                  <c:v>-1.0493546261666658E-2</c:v>
                </c:pt>
                <c:pt idx="335">
                  <c:v>4.9006372988416825E-3</c:v>
                </c:pt>
                <c:pt idx="336">
                  <c:v>1.159726449210496E-2</c:v>
                </c:pt>
                <c:pt idx="337">
                  <c:v>3.0844938593753922E-3</c:v>
                </c:pt>
                <c:pt idx="338">
                  <c:v>1.8222049457285512E-2</c:v>
                </c:pt>
                <c:pt idx="339">
                  <c:v>2.2282982965929399E-2</c:v>
                </c:pt>
                <c:pt idx="340">
                  <c:v>5.5372926645180171E-3</c:v>
                </c:pt>
                <c:pt idx="341">
                  <c:v>2.597281742433735E-3</c:v>
                </c:pt>
                <c:pt idx="342">
                  <c:v>-4.2497466861811601E-3</c:v>
                </c:pt>
                <c:pt idx="343">
                  <c:v>8.6407895253628867E-4</c:v>
                </c:pt>
                <c:pt idx="344">
                  <c:v>-1.0707997772320165E-2</c:v>
                </c:pt>
                <c:pt idx="345">
                  <c:v>-1.0829176589440681E-2</c:v>
                </c:pt>
                <c:pt idx="346">
                  <c:v>-1.622880082203897E-2</c:v>
                </c:pt>
                <c:pt idx="347">
                  <c:v>-2.6775489733654151E-2</c:v>
                </c:pt>
                <c:pt idx="348">
                  <c:v>-4.3275793517361709E-2</c:v>
                </c:pt>
                <c:pt idx="349">
                  <c:v>-5.7247006873410895E-2</c:v>
                </c:pt>
                <c:pt idx="350">
                  <c:v>-5.8158602624190911E-2</c:v>
                </c:pt>
                <c:pt idx="351">
                  <c:v>-5.0116245089950488E-2</c:v>
                </c:pt>
                <c:pt idx="352">
                  <c:v>-4.031916672299158E-2</c:v>
                </c:pt>
                <c:pt idx="353">
                  <c:v>-4.3226660923103413E-2</c:v>
                </c:pt>
                <c:pt idx="354">
                  <c:v>-3.8790615415559448E-2</c:v>
                </c:pt>
                <c:pt idx="355">
                  <c:v>-5.910620065713193E-2</c:v>
                </c:pt>
                <c:pt idx="356">
                  <c:v>-7.0950569342402639E-2</c:v>
                </c:pt>
                <c:pt idx="357">
                  <c:v>-3.9714130522492223E-2</c:v>
                </c:pt>
                <c:pt idx="358">
                  <c:v>-2.3580369251295856E-2</c:v>
                </c:pt>
                <c:pt idx="359">
                  <c:v>-1.3433993192821734E-2</c:v>
                </c:pt>
                <c:pt idx="360">
                  <c:v>-7.3719921026701258E-3</c:v>
                </c:pt>
                <c:pt idx="361">
                  <c:v>4.4664503841597026E-3</c:v>
                </c:pt>
                <c:pt idx="362">
                  <c:v>-3.2302360067806445E-4</c:v>
                </c:pt>
                <c:pt idx="363">
                  <c:v>-1.6027161665282931E-2</c:v>
                </c:pt>
                <c:pt idx="364">
                  <c:v>-1.3975947679468833E-2</c:v>
                </c:pt>
                <c:pt idx="365">
                  <c:v>-1.1475868587810132E-2</c:v>
                </c:pt>
                <c:pt idx="366">
                  <c:v>-2.5159849239013046E-3</c:v>
                </c:pt>
                <c:pt idx="367">
                  <c:v>2.437239564572833E-2</c:v>
                </c:pt>
                <c:pt idx="368">
                  <c:v>4.1173027318748591E-2</c:v>
                </c:pt>
                <c:pt idx="369">
                  <c:v>9.6496574835638546E-3</c:v>
                </c:pt>
                <c:pt idx="370">
                  <c:v>3.651773647385074E-3</c:v>
                </c:pt>
                <c:pt idx="371">
                  <c:v>8.7392562615582533E-3</c:v>
                </c:pt>
                <c:pt idx="372">
                  <c:v>-3.2661265776236402E-3</c:v>
                </c:pt>
                <c:pt idx="373">
                  <c:v>1.3673201768682286E-3</c:v>
                </c:pt>
                <c:pt idx="374">
                  <c:v>1.0292686578337979E-3</c:v>
                </c:pt>
                <c:pt idx="375">
                  <c:v>3.2408174745480797E-3</c:v>
                </c:pt>
                <c:pt idx="376">
                  <c:v>1.1152770398305823E-4</c:v>
                </c:pt>
                <c:pt idx="377">
                  <c:v>2.1780102867610767E-2</c:v>
                </c:pt>
                <c:pt idx="378">
                  <c:v>1.9240222243190148E-4</c:v>
                </c:pt>
                <c:pt idx="379">
                  <c:v>-3.4061396138466413E-2</c:v>
                </c:pt>
                <c:pt idx="380">
                  <c:v>-2.1182267835894504E-2</c:v>
                </c:pt>
                <c:pt idx="381">
                  <c:v>4.9488961874619196E-3</c:v>
                </c:pt>
                <c:pt idx="382">
                  <c:v>4.6918963236253731E-3</c:v>
                </c:pt>
                <c:pt idx="383">
                  <c:v>-3.8379977807915522E-3</c:v>
                </c:pt>
                <c:pt idx="384">
                  <c:v>2.0114670322821857E-2</c:v>
                </c:pt>
                <c:pt idx="385">
                  <c:v>1.4531701747258256E-2</c:v>
                </c:pt>
                <c:pt idx="386">
                  <c:v>2.0597857583518668E-2</c:v>
                </c:pt>
                <c:pt idx="387">
                  <c:v>1.4269354243196104E-2</c:v>
                </c:pt>
                <c:pt idx="388">
                  <c:v>1.5020730562826214E-2</c:v>
                </c:pt>
                <c:pt idx="389">
                  <c:v>-6.4842713937243428E-3</c:v>
                </c:pt>
                <c:pt idx="390">
                  <c:v>-3.4154132935530113E-3</c:v>
                </c:pt>
                <c:pt idx="391">
                  <c:v>-7.3191978541320854E-2</c:v>
                </c:pt>
                <c:pt idx="392">
                  <c:v>-6.2548758719763217E-2</c:v>
                </c:pt>
                <c:pt idx="393">
                  <c:v>-4.3376365245509425E-2</c:v>
                </c:pt>
                <c:pt idx="394">
                  <c:v>-3.2534106842140524E-2</c:v>
                </c:pt>
                <c:pt idx="395">
                  <c:v>-6.5632244083134615E-3</c:v>
                </c:pt>
                <c:pt idx="396">
                  <c:v>-2.4898648400978499E-2</c:v>
                </c:pt>
                <c:pt idx="397">
                  <c:v>-2.169597468394726E-2</c:v>
                </c:pt>
                <c:pt idx="398">
                  <c:v>-1.6819067715889337E-2</c:v>
                </c:pt>
                <c:pt idx="399">
                  <c:v>1.5251991026498009E-3</c:v>
                </c:pt>
                <c:pt idx="400">
                  <c:v>7.0560496737997087E-3</c:v>
                </c:pt>
                <c:pt idx="401">
                  <c:v>1.5442713852461293E-2</c:v>
                </c:pt>
                <c:pt idx="402">
                  <c:v>1.7311181596175246E-2</c:v>
                </c:pt>
                <c:pt idx="403">
                  <c:v>0.13044275204727687</c:v>
                </c:pt>
                <c:pt idx="404">
                  <c:v>0.10966756753481262</c:v>
                </c:pt>
                <c:pt idx="405">
                  <c:v>5.030106470953067E-2</c:v>
                </c:pt>
                <c:pt idx="406">
                  <c:v>5.5278867277809118E-2</c:v>
                </c:pt>
                <c:pt idx="407">
                  <c:v>5.3159151048232777E-3</c:v>
                </c:pt>
                <c:pt idx="408">
                  <c:v>2.079417587650062E-2</c:v>
                </c:pt>
                <c:pt idx="409">
                  <c:v>1.9866281274997191E-2</c:v>
                </c:pt>
                <c:pt idx="410">
                  <c:v>1.4310927949781432E-2</c:v>
                </c:pt>
                <c:pt idx="411">
                  <c:v>1.3896863318145601E-2</c:v>
                </c:pt>
                <c:pt idx="412">
                  <c:v>3.525369544778661E-3</c:v>
                </c:pt>
                <c:pt idx="413">
                  <c:v>-1.1717133744977735E-3</c:v>
                </c:pt>
                <c:pt idx="414">
                  <c:v>1.5827975732885544E-3</c:v>
                </c:pt>
                <c:pt idx="415">
                  <c:v>-1.002137161123421E-3</c:v>
                </c:pt>
                <c:pt idx="416">
                  <c:v>-8.6850682840285305E-3</c:v>
                </c:pt>
                <c:pt idx="417">
                  <c:v>1.6726353849238918E-2</c:v>
                </c:pt>
                <c:pt idx="418">
                  <c:v>8.9824311542732183E-3</c:v>
                </c:pt>
                <c:pt idx="419">
                  <c:v>2.7442806316616511E-2</c:v>
                </c:pt>
                <c:pt idx="420">
                  <c:v>1.8866882299869169E-2</c:v>
                </c:pt>
                <c:pt idx="421">
                  <c:v>2.4051473467278473E-2</c:v>
                </c:pt>
                <c:pt idx="422">
                  <c:v>2.6597978793619231E-2</c:v>
                </c:pt>
                <c:pt idx="423">
                  <c:v>1.6692165886297506E-2</c:v>
                </c:pt>
                <c:pt idx="424">
                  <c:v>2.9686921704164228E-2</c:v>
                </c:pt>
                <c:pt idx="425">
                  <c:v>5.6291111537441665E-2</c:v>
                </c:pt>
                <c:pt idx="426">
                  <c:v>3.9568516782550953E-2</c:v>
                </c:pt>
                <c:pt idx="427">
                  <c:v>-7.969612838270726E-2</c:v>
                </c:pt>
                <c:pt idx="428">
                  <c:v>3.9417261087941226E-3</c:v>
                </c:pt>
                <c:pt idx="429">
                  <c:v>1.5472293982055681E-2</c:v>
                </c:pt>
                <c:pt idx="430">
                  <c:v>-1.150826991862108E-2</c:v>
                </c:pt>
                <c:pt idx="431">
                  <c:v>-1.2434024527919597E-2</c:v>
                </c:pt>
                <c:pt idx="432">
                  <c:v>-2.6328122646908203E-2</c:v>
                </c:pt>
                <c:pt idx="433">
                  <c:v>-5.242680743036722E-2</c:v>
                </c:pt>
                <c:pt idx="434">
                  <c:v>-7.1935512344309491E-2</c:v>
                </c:pt>
                <c:pt idx="435">
                  <c:v>-7.2546397063481594E-2</c:v>
                </c:pt>
                <c:pt idx="436">
                  <c:v>-8.2105053376054754E-2</c:v>
                </c:pt>
                <c:pt idx="437">
                  <c:v>-9.5589060397793219E-2</c:v>
                </c:pt>
                <c:pt idx="438">
                  <c:v>-7.0615676906002511E-2</c:v>
                </c:pt>
                <c:pt idx="439">
                  <c:v>4.4641436376173391E-2</c:v>
                </c:pt>
                <c:pt idx="440">
                  <c:v>-4.3795976447377961E-2</c:v>
                </c:pt>
                <c:pt idx="441">
                  <c:v>-6.7666628536566714E-2</c:v>
                </c:pt>
                <c:pt idx="442">
                  <c:v>-5.8270758859185617E-2</c:v>
                </c:pt>
                <c:pt idx="443">
                  <c:v>-3.4398445505363313E-2</c:v>
                </c:pt>
                <c:pt idx="444">
                  <c:v>-4.3678820845066942E-3</c:v>
                </c:pt>
                <c:pt idx="445">
                  <c:v>2.7653605138596896E-2</c:v>
                </c:pt>
                <c:pt idx="446">
                  <c:v>4.9243368712197193E-2</c:v>
                </c:pt>
                <c:pt idx="447">
                  <c:v>5.1288627242757755E-2</c:v>
                </c:pt>
                <c:pt idx="448">
                  <c:v>5.5931493677691457E-2</c:v>
                </c:pt>
                <c:pt idx="449">
                  <c:v>5.1195333785287539E-2</c:v>
                </c:pt>
                <c:pt idx="450">
                  <c:v>5.5629769061064371E-2</c:v>
                </c:pt>
                <c:pt idx="451">
                  <c:v>7.4279149768020525E-2</c:v>
                </c:pt>
                <c:pt idx="452">
                  <c:v>8.0735472830376812E-2</c:v>
                </c:pt>
                <c:pt idx="453">
                  <c:v>7.4453890629872482E-2</c:v>
                </c:pt>
                <c:pt idx="454">
                  <c:v>9.0015898128198546E-2</c:v>
                </c:pt>
                <c:pt idx="455">
                  <c:v>6.7492430010801643E-2</c:v>
                </c:pt>
                <c:pt idx="456">
                  <c:v>2.765453456319706E-2</c:v>
                </c:pt>
                <c:pt idx="457">
                  <c:v>5.5071957145740869E-2</c:v>
                </c:pt>
                <c:pt idx="458">
                  <c:v>5.6566401426807592E-2</c:v>
                </c:pt>
                <c:pt idx="459">
                  <c:v>6.8692314576108429E-2</c:v>
                </c:pt>
                <c:pt idx="460">
                  <c:v>7.2574861146128822E-2</c:v>
                </c:pt>
                <c:pt idx="461">
                  <c:v>6.0314134341834018E-2</c:v>
                </c:pt>
                <c:pt idx="462">
                  <c:v>6.3441295740621795E-2</c:v>
                </c:pt>
                <c:pt idx="463">
                  <c:v>4.367713142250803E-2</c:v>
                </c:pt>
                <c:pt idx="464">
                  <c:v>6.7709636160261308E-2</c:v>
                </c:pt>
                <c:pt idx="465">
                  <c:v>8.8816462471749819E-2</c:v>
                </c:pt>
                <c:pt idx="466">
                  <c:v>9.2532790143084326E-2</c:v>
                </c:pt>
                <c:pt idx="467">
                  <c:v>0.10905551415135134</c:v>
                </c:pt>
                <c:pt idx="468">
                  <c:v>0.12846023795069253</c:v>
                </c:pt>
                <c:pt idx="469">
                  <c:v>8.8761855874564005E-2</c:v>
                </c:pt>
                <c:pt idx="470">
                  <c:v>8.4629591199088292E-2</c:v>
                </c:pt>
                <c:pt idx="471">
                  <c:v>7.6657482329135759E-2</c:v>
                </c:pt>
                <c:pt idx="472">
                  <c:v>7.1969537042002985E-2</c:v>
                </c:pt>
                <c:pt idx="473">
                  <c:v>9.0314110589971699E-2</c:v>
                </c:pt>
                <c:pt idx="474">
                  <c:v>5.8080139368895861E-2</c:v>
                </c:pt>
                <c:pt idx="475">
                  <c:v>7.8458899650727776E-2</c:v>
                </c:pt>
                <c:pt idx="476">
                  <c:v>6.9698232182305045E-2</c:v>
                </c:pt>
                <c:pt idx="477">
                  <c:v>5.9864447959727646E-2</c:v>
                </c:pt>
                <c:pt idx="478">
                  <c:v>5.1645678166221086E-2</c:v>
                </c:pt>
                <c:pt idx="479">
                  <c:v>4.0272471646026139E-2</c:v>
                </c:pt>
                <c:pt idx="480">
                  <c:v>5.0845713881538995E-2</c:v>
                </c:pt>
                <c:pt idx="481">
                  <c:v>5.614655817173022E-2</c:v>
                </c:pt>
                <c:pt idx="482">
                  <c:v>6.2447089607757682E-2</c:v>
                </c:pt>
                <c:pt idx="483">
                  <c:v>6.2322475340985797E-2</c:v>
                </c:pt>
                <c:pt idx="484">
                  <c:v>6.8636478311456209E-2</c:v>
                </c:pt>
                <c:pt idx="485">
                  <c:v>7.0314152823080942E-2</c:v>
                </c:pt>
                <c:pt idx="486">
                  <c:v>8.2790629316560463E-2</c:v>
                </c:pt>
                <c:pt idx="487">
                  <c:v>8.5893351109898E-2</c:v>
                </c:pt>
                <c:pt idx="488">
                  <c:v>5.0287663576698054E-2</c:v>
                </c:pt>
                <c:pt idx="489">
                  <c:v>5.6133692584568094E-2</c:v>
                </c:pt>
                <c:pt idx="490">
                  <c:v>5.9416185096072216E-2</c:v>
                </c:pt>
                <c:pt idx="491">
                  <c:v>7.1209382574045979E-2</c:v>
                </c:pt>
                <c:pt idx="492">
                  <c:v>7.4229880415516813E-2</c:v>
                </c:pt>
                <c:pt idx="493">
                  <c:v>9.1063487860332221E-2</c:v>
                </c:pt>
                <c:pt idx="494">
                  <c:v>0.10050041953145267</c:v>
                </c:pt>
                <c:pt idx="495">
                  <c:v>0.10906350228362713</c:v>
                </c:pt>
                <c:pt idx="496">
                  <c:v>0.11602554460593829</c:v>
                </c:pt>
                <c:pt idx="497">
                  <c:v>0.10844217082987911</c:v>
                </c:pt>
                <c:pt idx="498">
                  <c:v>0.11780361932470348</c:v>
                </c:pt>
                <c:pt idx="499">
                  <c:v>0.1050180590573713</c:v>
                </c:pt>
                <c:pt idx="500">
                  <c:v>0.12728987810923742</c:v>
                </c:pt>
                <c:pt idx="501">
                  <c:v>0.11124264974990838</c:v>
                </c:pt>
                <c:pt idx="502">
                  <c:v>0.13390320035140507</c:v>
                </c:pt>
                <c:pt idx="503">
                  <c:v>9.0872223788130632E-2</c:v>
                </c:pt>
                <c:pt idx="504">
                  <c:v>4.2466456986240943E-2</c:v>
                </c:pt>
                <c:pt idx="505">
                  <c:v>4.183520703731596E-3</c:v>
                </c:pt>
                <c:pt idx="506">
                  <c:v>-2.825498692702904E-2</c:v>
                </c:pt>
                <c:pt idx="507">
                  <c:v>-6.1515854391890376E-2</c:v>
                </c:pt>
                <c:pt idx="508">
                  <c:v>-8.0846650386301649E-2</c:v>
                </c:pt>
                <c:pt idx="509">
                  <c:v>-7.563638041229423E-2</c:v>
                </c:pt>
                <c:pt idx="510">
                  <c:v>-7.9102950247298506E-2</c:v>
                </c:pt>
                <c:pt idx="511">
                  <c:v>-9.770142596803362E-2</c:v>
                </c:pt>
                <c:pt idx="512">
                  <c:v>-0.11691477823528851</c:v>
                </c:pt>
                <c:pt idx="513">
                  <c:v>-0.1302222803829591</c:v>
                </c:pt>
                <c:pt idx="514">
                  <c:v>-0.15743229345217694</c:v>
                </c:pt>
                <c:pt idx="515">
                  <c:v>-0.15381296013597665</c:v>
                </c:pt>
                <c:pt idx="516">
                  <c:v>-0.14174637390137881</c:v>
                </c:pt>
                <c:pt idx="517">
                  <c:v>-0.14881994686589325</c:v>
                </c:pt>
                <c:pt idx="518">
                  <c:v>-0.15471897628587525</c:v>
                </c:pt>
                <c:pt idx="519">
                  <c:v>-0.13463054215671727</c:v>
                </c:pt>
                <c:pt idx="520">
                  <c:v>-0.12928461142563041</c:v>
                </c:pt>
                <c:pt idx="521">
                  <c:v>-0.13414793329890912</c:v>
                </c:pt>
                <c:pt idx="522">
                  <c:v>-0.14139646965072969</c:v>
                </c:pt>
                <c:pt idx="523">
                  <c:v>-0.12726174419856129</c:v>
                </c:pt>
                <c:pt idx="524">
                  <c:v>-8.4803757857689011E-2</c:v>
                </c:pt>
                <c:pt idx="525">
                  <c:v>-7.0043975018554347E-2</c:v>
                </c:pt>
                <c:pt idx="526">
                  <c:v>-6.4984721922718564E-2</c:v>
                </c:pt>
                <c:pt idx="527">
                  <c:v>-2.2904402447789161E-2</c:v>
                </c:pt>
                <c:pt idx="528">
                  <c:v>2.106571084173707E-2</c:v>
                </c:pt>
                <c:pt idx="529">
                  <c:v>6.0001283729167916E-2</c:v>
                </c:pt>
                <c:pt idx="530">
                  <c:v>9.7040158309348687E-2</c:v>
                </c:pt>
                <c:pt idx="531">
                  <c:v>0.10734709875113571</c:v>
                </c:pt>
                <c:pt idx="532">
                  <c:v>0.12385713998933812</c:v>
                </c:pt>
                <c:pt idx="533">
                  <c:v>0.11701267994852201</c:v>
                </c:pt>
                <c:pt idx="534">
                  <c:v>0.11319398307810268</c:v>
                </c:pt>
                <c:pt idx="535">
                  <c:v>0.1235333394808736</c:v>
                </c:pt>
                <c:pt idx="536">
                  <c:v>0.10870520459622184</c:v>
                </c:pt>
                <c:pt idx="537">
                  <c:v>0.1335030098765646</c:v>
                </c:pt>
                <c:pt idx="538">
                  <c:v>0.13634914781102697</c:v>
                </c:pt>
                <c:pt idx="539">
                  <c:v>0.10614652812840482</c:v>
                </c:pt>
                <c:pt idx="540">
                  <c:v>0.11096088996503113</c:v>
                </c:pt>
                <c:pt idx="541">
                  <c:v>0.11570790783599323</c:v>
                </c:pt>
                <c:pt idx="542">
                  <c:v>0.11489584897391057</c:v>
                </c:pt>
                <c:pt idx="543">
                  <c:v>0.11078286261292056</c:v>
                </c:pt>
                <c:pt idx="544">
                  <c:v>0.12069631074782354</c:v>
                </c:pt>
                <c:pt idx="545">
                  <c:v>0.13519977294694616</c:v>
                </c:pt>
                <c:pt idx="546">
                  <c:v>0.17308947681480341</c:v>
                </c:pt>
                <c:pt idx="547">
                  <c:v>0.16435606360256305</c:v>
                </c:pt>
                <c:pt idx="548">
                  <c:v>0.14768931743864702</c:v>
                </c:pt>
                <c:pt idx="549">
                  <c:v>0.13564449383094493</c:v>
                </c:pt>
                <c:pt idx="550">
                  <c:v>0.15338191537839993</c:v>
                </c:pt>
                <c:pt idx="551">
                  <c:v>0.1499123131549486</c:v>
                </c:pt>
                <c:pt idx="552">
                  <c:v>0.1044224791662965</c:v>
                </c:pt>
                <c:pt idx="553">
                  <c:v>9.1614309762761123E-2</c:v>
                </c:pt>
                <c:pt idx="554">
                  <c:v>0.10065563477366715</c:v>
                </c:pt>
                <c:pt idx="555">
                  <c:v>9.6596474266709392E-2</c:v>
                </c:pt>
                <c:pt idx="556">
                  <c:v>8.1017374780623624E-2</c:v>
                </c:pt>
                <c:pt idx="557">
                  <c:v>4.9314033851603309E-2</c:v>
                </c:pt>
                <c:pt idx="558">
                  <c:v>4.7111147470853279E-2</c:v>
                </c:pt>
                <c:pt idx="559">
                  <c:v>4.7538407969494434E-2</c:v>
                </c:pt>
                <c:pt idx="560">
                  <c:v>4.0258206402215509E-2</c:v>
                </c:pt>
                <c:pt idx="561">
                  <c:v>1.3290348049213717E-2</c:v>
                </c:pt>
                <c:pt idx="562">
                  <c:v>-7.0884781518820836E-4</c:v>
                </c:pt>
                <c:pt idx="563">
                  <c:v>5.1970560879262386E-3</c:v>
                </c:pt>
                <c:pt idx="564">
                  <c:v>8.4001372073227859E-3</c:v>
                </c:pt>
                <c:pt idx="565">
                  <c:v>2.0569941593500799E-3</c:v>
                </c:pt>
                <c:pt idx="566">
                  <c:v>-0.14880422372305707</c:v>
                </c:pt>
                <c:pt idx="567">
                  <c:v>-0.26044299669964821</c:v>
                </c:pt>
                <c:pt idx="568">
                  <c:v>-0.2478551547548643</c:v>
                </c:pt>
                <c:pt idx="569">
                  <c:v>-0.19417484625266379</c:v>
                </c:pt>
                <c:pt idx="570">
                  <c:v>-0.21170839769455269</c:v>
                </c:pt>
                <c:pt idx="571">
                  <c:v>-0.20528899864284864</c:v>
                </c:pt>
                <c:pt idx="572">
                  <c:v>-0.20990669146194249</c:v>
                </c:pt>
                <c:pt idx="573">
                  <c:v>-0.1659374432895632</c:v>
                </c:pt>
                <c:pt idx="574">
                  <c:v>-0.16323370860806136</c:v>
                </c:pt>
                <c:pt idx="575">
                  <c:v>-0.14316569370615648</c:v>
                </c:pt>
                <c:pt idx="576">
                  <c:v>-0.21179006108618004</c:v>
                </c:pt>
                <c:pt idx="577">
                  <c:v>-0.12075023294458777</c:v>
                </c:pt>
                <c:pt idx="578">
                  <c:v>2.0492189404630965E-2</c:v>
                </c:pt>
                <c:pt idx="579">
                  <c:v>0.18806124419431433</c:v>
                </c:pt>
                <c:pt idx="580">
                  <c:v>0.16404463301693231</c:v>
                </c:pt>
                <c:pt idx="581">
                  <c:v>0.11248887331238781</c:v>
                </c:pt>
                <c:pt idx="582">
                  <c:v>0.11041423404951649</c:v>
                </c:pt>
                <c:pt idx="583">
                  <c:v>8.016126514793688E-2</c:v>
                </c:pt>
                <c:pt idx="584">
                  <c:v>0.13343642831629646</c:v>
                </c:pt>
                <c:pt idx="585">
                  <c:v>9.9484899809469785E-2</c:v>
                </c:pt>
                <c:pt idx="586">
                  <c:v>9.5001181261030812E-2</c:v>
                </c:pt>
                <c:pt idx="587">
                  <c:v>5.8700819870955198E-2</c:v>
                </c:pt>
                <c:pt idx="588">
                  <c:v>0.15651289942064231</c:v>
                </c:pt>
                <c:pt idx="589">
                  <c:v>7.0359059507219643E-2</c:v>
                </c:pt>
                <c:pt idx="590">
                  <c:v>6.9264967482375372E-2</c:v>
                </c:pt>
                <c:pt idx="591">
                  <c:v>6.7488685805983092E-2</c:v>
                </c:pt>
                <c:pt idx="592">
                  <c:v>7.9515229535297341E-2</c:v>
                </c:pt>
                <c:pt idx="593">
                  <c:v>8.6143543764566816E-2</c:v>
                </c:pt>
                <c:pt idx="594">
                  <c:v>8.7201491323084412E-2</c:v>
                </c:pt>
                <c:pt idx="595">
                  <c:v>0.12565131036514934</c:v>
                </c:pt>
                <c:pt idx="596">
                  <c:v>8.5797636309320011E-2</c:v>
                </c:pt>
                <c:pt idx="597">
                  <c:v>6.7470695403764797E-2</c:v>
                </c:pt>
                <c:pt idx="598">
                  <c:v>5.3204508739898938E-2</c:v>
                </c:pt>
                <c:pt idx="599">
                  <c:v>8.5667415112495995E-2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78B-467A-AF6E-8AA1BD0E2813}"/>
            </c:ext>
          </c:extLst>
        </c:ser>
        <c:dLbls>
          <c:showLegendKey val="0"/>
          <c:showVal val="0"/>
          <c:showCatName val="0"/>
          <c:showSerName val="0"/>
          <c:showPercent val="0"/>
          <c:showBubbleSize val="0"/>
        </c:dLbls>
        <c:gapWidth val="150"/>
        <c:axId val="1972806415"/>
        <c:axId val="1972808063"/>
      </c:barChart>
      <c:dateAx>
        <c:axId val="197280641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8063"/>
        <c:crosses val="autoZero"/>
        <c:auto val="0"/>
        <c:lblOffset val="100"/>
        <c:baseTimeUnit val="months"/>
      </c:dateAx>
      <c:valAx>
        <c:axId val="1972808063"/>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641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Mining!$Y$1</c:f>
          <c:strCache>
            <c:ptCount val="1"/>
            <c:pt idx="0">
              <c:v>Industrial Production: Mining yoy since 2010 </c:v>
            </c:pt>
          </c:strCache>
        </c:strRef>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2010 </c:v>
                </c:pt>
              </c:strCache>
            </c:strRef>
          </c:tx>
          <c:spPr>
            <a:solidFill>
              <a:srgbClr val="00B050"/>
            </a:solidFill>
            <a:ln>
              <a:noFill/>
              <a:prstDash val="solid"/>
            </a:ln>
          </c:spPr>
          <c:invertIfNegative val="1"/>
          <c:cat>
            <c:numRef>
              <c:f>Mining!$A$463:$A$623</c:f>
              <c:numCache>
                <c:formatCode>mmm\-yy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Mining!$D$463:$D$623</c:f>
              <c:numCache>
                <c:formatCode>0.0%</c:formatCode>
                <c:ptCount val="161"/>
                <c:pt idx="0">
                  <c:v>-3.4398445505363313E-2</c:v>
                </c:pt>
                <c:pt idx="1">
                  <c:v>-4.3678820845066942E-3</c:v>
                </c:pt>
                <c:pt idx="2">
                  <c:v>2.7653605138596896E-2</c:v>
                </c:pt>
                <c:pt idx="3">
                  <c:v>4.9243368712197193E-2</c:v>
                </c:pt>
                <c:pt idx="4">
                  <c:v>5.1288627242757755E-2</c:v>
                </c:pt>
                <c:pt idx="5">
                  <c:v>5.5931493677691457E-2</c:v>
                </c:pt>
                <c:pt idx="6">
                  <c:v>5.1195333785287539E-2</c:v>
                </c:pt>
                <c:pt idx="7">
                  <c:v>5.5629769061064371E-2</c:v>
                </c:pt>
                <c:pt idx="8">
                  <c:v>7.4279149768020525E-2</c:v>
                </c:pt>
                <c:pt idx="9">
                  <c:v>8.0735472830376812E-2</c:v>
                </c:pt>
                <c:pt idx="10">
                  <c:v>7.4453890629872482E-2</c:v>
                </c:pt>
                <c:pt idx="11">
                  <c:v>9.0015898128198546E-2</c:v>
                </c:pt>
                <c:pt idx="12">
                  <c:v>6.7492430010801643E-2</c:v>
                </c:pt>
                <c:pt idx="13">
                  <c:v>2.765453456319706E-2</c:v>
                </c:pt>
                <c:pt idx="14">
                  <c:v>5.5071957145740869E-2</c:v>
                </c:pt>
                <c:pt idx="15">
                  <c:v>5.6566401426807592E-2</c:v>
                </c:pt>
                <c:pt idx="16">
                  <c:v>6.8692314576108429E-2</c:v>
                </c:pt>
                <c:pt idx="17">
                  <c:v>7.2574861146128822E-2</c:v>
                </c:pt>
                <c:pt idx="18">
                  <c:v>6.0314134341834018E-2</c:v>
                </c:pt>
                <c:pt idx="19">
                  <c:v>6.3441295740621795E-2</c:v>
                </c:pt>
                <c:pt idx="20">
                  <c:v>4.367713142250803E-2</c:v>
                </c:pt>
                <c:pt idx="21">
                  <c:v>6.7709636160261308E-2</c:v>
                </c:pt>
                <c:pt idx="22">
                  <c:v>8.8816462471749819E-2</c:v>
                </c:pt>
                <c:pt idx="23">
                  <c:v>9.2532790143084326E-2</c:v>
                </c:pt>
                <c:pt idx="24">
                  <c:v>0.10905551415135134</c:v>
                </c:pt>
                <c:pt idx="25">
                  <c:v>0.12846023795069253</c:v>
                </c:pt>
                <c:pt idx="26">
                  <c:v>8.8761855874564005E-2</c:v>
                </c:pt>
                <c:pt idx="27">
                  <c:v>8.4629591199088292E-2</c:v>
                </c:pt>
                <c:pt idx="28">
                  <c:v>7.6657482329135759E-2</c:v>
                </c:pt>
                <c:pt idx="29">
                  <c:v>7.1969537042002985E-2</c:v>
                </c:pt>
                <c:pt idx="30">
                  <c:v>9.0314110589971699E-2</c:v>
                </c:pt>
                <c:pt idx="31">
                  <c:v>5.8080139368895861E-2</c:v>
                </c:pt>
                <c:pt idx="32">
                  <c:v>7.8458899650727776E-2</c:v>
                </c:pt>
                <c:pt idx="33">
                  <c:v>6.9698232182305045E-2</c:v>
                </c:pt>
                <c:pt idx="34">
                  <c:v>5.9864447959727646E-2</c:v>
                </c:pt>
                <c:pt idx="35">
                  <c:v>5.1645678166221086E-2</c:v>
                </c:pt>
                <c:pt idx="36">
                  <c:v>4.0272471646026139E-2</c:v>
                </c:pt>
                <c:pt idx="37">
                  <c:v>5.0845713881538995E-2</c:v>
                </c:pt>
                <c:pt idx="38">
                  <c:v>5.614655817173022E-2</c:v>
                </c:pt>
                <c:pt idx="39">
                  <c:v>6.2447089607757682E-2</c:v>
                </c:pt>
                <c:pt idx="40">
                  <c:v>6.2322475340985797E-2</c:v>
                </c:pt>
                <c:pt idx="41">
                  <c:v>6.8636478311456209E-2</c:v>
                </c:pt>
                <c:pt idx="42">
                  <c:v>7.0314152823080942E-2</c:v>
                </c:pt>
                <c:pt idx="43">
                  <c:v>8.2790629316560463E-2</c:v>
                </c:pt>
                <c:pt idx="44">
                  <c:v>8.5893351109898E-2</c:v>
                </c:pt>
                <c:pt idx="45">
                  <c:v>5.0287663576698054E-2</c:v>
                </c:pt>
                <c:pt idx="46">
                  <c:v>5.6133692584568094E-2</c:v>
                </c:pt>
                <c:pt idx="47">
                  <c:v>5.9416185096072216E-2</c:v>
                </c:pt>
                <c:pt idx="48">
                  <c:v>7.1209382574045979E-2</c:v>
                </c:pt>
                <c:pt idx="49">
                  <c:v>7.4229880415516813E-2</c:v>
                </c:pt>
                <c:pt idx="50">
                  <c:v>9.1063487860332221E-2</c:v>
                </c:pt>
                <c:pt idx="51">
                  <c:v>0.10050041953145267</c:v>
                </c:pt>
                <c:pt idx="52">
                  <c:v>0.10906350228362713</c:v>
                </c:pt>
                <c:pt idx="53">
                  <c:v>0.11602554460593829</c:v>
                </c:pt>
                <c:pt idx="54">
                  <c:v>0.10844217082987911</c:v>
                </c:pt>
                <c:pt idx="55">
                  <c:v>0.11780361932470348</c:v>
                </c:pt>
                <c:pt idx="56">
                  <c:v>0.1050180590573713</c:v>
                </c:pt>
                <c:pt idx="57">
                  <c:v>0.12728987810923742</c:v>
                </c:pt>
                <c:pt idx="58">
                  <c:v>0.11124264974990838</c:v>
                </c:pt>
                <c:pt idx="59">
                  <c:v>0.13390320035140507</c:v>
                </c:pt>
                <c:pt idx="60">
                  <c:v>9.0872223788130632E-2</c:v>
                </c:pt>
                <c:pt idx="61">
                  <c:v>4.2466456986240943E-2</c:v>
                </c:pt>
                <c:pt idx="62">
                  <c:v>4.183520703731596E-3</c:v>
                </c:pt>
                <c:pt idx="63">
                  <c:v>-2.825498692702904E-2</c:v>
                </c:pt>
                <c:pt idx="64">
                  <c:v>-6.1515854391890376E-2</c:v>
                </c:pt>
                <c:pt idx="65">
                  <c:v>-8.0846650386301649E-2</c:v>
                </c:pt>
                <c:pt idx="66">
                  <c:v>-7.563638041229423E-2</c:v>
                </c:pt>
                <c:pt idx="67">
                  <c:v>-7.9102950247298506E-2</c:v>
                </c:pt>
                <c:pt idx="68">
                  <c:v>-9.770142596803362E-2</c:v>
                </c:pt>
                <c:pt idx="69">
                  <c:v>-0.11691477823528851</c:v>
                </c:pt>
                <c:pt idx="70">
                  <c:v>-0.1302222803829591</c:v>
                </c:pt>
                <c:pt idx="71">
                  <c:v>-0.15743229345217694</c:v>
                </c:pt>
                <c:pt idx="72">
                  <c:v>-0.15381296013597665</c:v>
                </c:pt>
                <c:pt idx="73">
                  <c:v>-0.14174637390137881</c:v>
                </c:pt>
                <c:pt idx="74">
                  <c:v>-0.14881994686589325</c:v>
                </c:pt>
                <c:pt idx="75">
                  <c:v>-0.15471897628587525</c:v>
                </c:pt>
                <c:pt idx="76">
                  <c:v>-0.13463054215671727</c:v>
                </c:pt>
                <c:pt idx="77">
                  <c:v>-0.12928461142563041</c:v>
                </c:pt>
                <c:pt idx="78">
                  <c:v>-0.13414793329890912</c:v>
                </c:pt>
                <c:pt idx="79">
                  <c:v>-0.14139646965072969</c:v>
                </c:pt>
                <c:pt idx="80">
                  <c:v>-0.12726174419856129</c:v>
                </c:pt>
                <c:pt idx="81">
                  <c:v>-8.4803757857689011E-2</c:v>
                </c:pt>
                <c:pt idx="82">
                  <c:v>-7.0043975018554347E-2</c:v>
                </c:pt>
                <c:pt idx="83">
                  <c:v>-6.4984721922718564E-2</c:v>
                </c:pt>
                <c:pt idx="84">
                  <c:v>-2.2904402447789161E-2</c:v>
                </c:pt>
                <c:pt idx="85">
                  <c:v>2.106571084173707E-2</c:v>
                </c:pt>
                <c:pt idx="86">
                  <c:v>6.0001283729167916E-2</c:v>
                </c:pt>
                <c:pt idx="87">
                  <c:v>9.7040158309348687E-2</c:v>
                </c:pt>
                <c:pt idx="88">
                  <c:v>0.10734709875113571</c:v>
                </c:pt>
                <c:pt idx="89">
                  <c:v>0.12385713998933812</c:v>
                </c:pt>
                <c:pt idx="90">
                  <c:v>0.11701267994852201</c:v>
                </c:pt>
                <c:pt idx="91">
                  <c:v>0.11319398307810268</c:v>
                </c:pt>
                <c:pt idx="92">
                  <c:v>0.1235333394808736</c:v>
                </c:pt>
                <c:pt idx="93">
                  <c:v>0.10870520459622184</c:v>
                </c:pt>
                <c:pt idx="94">
                  <c:v>0.1335030098765646</c:v>
                </c:pt>
                <c:pt idx="95">
                  <c:v>0.13634914781102697</c:v>
                </c:pt>
                <c:pt idx="96">
                  <c:v>0.10614652812840482</c:v>
                </c:pt>
                <c:pt idx="97">
                  <c:v>0.11096088996503113</c:v>
                </c:pt>
                <c:pt idx="98">
                  <c:v>0.11570790783599323</c:v>
                </c:pt>
                <c:pt idx="99">
                  <c:v>0.11489584897391057</c:v>
                </c:pt>
                <c:pt idx="100">
                  <c:v>0.11078286261292056</c:v>
                </c:pt>
                <c:pt idx="101">
                  <c:v>0.12069631074782354</c:v>
                </c:pt>
                <c:pt idx="102">
                  <c:v>0.13519977294694616</c:v>
                </c:pt>
                <c:pt idx="103">
                  <c:v>0.17308947681480341</c:v>
                </c:pt>
                <c:pt idx="104">
                  <c:v>0.16435606360256305</c:v>
                </c:pt>
                <c:pt idx="105">
                  <c:v>0.14768931743864702</c:v>
                </c:pt>
                <c:pt idx="106">
                  <c:v>0.13564449383094493</c:v>
                </c:pt>
                <c:pt idx="107">
                  <c:v>0.15338191537839993</c:v>
                </c:pt>
                <c:pt idx="108">
                  <c:v>0.1499123131549486</c:v>
                </c:pt>
                <c:pt idx="109">
                  <c:v>0.1044224791662965</c:v>
                </c:pt>
                <c:pt idx="110">
                  <c:v>9.1614309762761123E-2</c:v>
                </c:pt>
                <c:pt idx="111">
                  <c:v>0.10065563477366715</c:v>
                </c:pt>
                <c:pt idx="112">
                  <c:v>9.6596474266709392E-2</c:v>
                </c:pt>
                <c:pt idx="113">
                  <c:v>8.1017374780623624E-2</c:v>
                </c:pt>
                <c:pt idx="114">
                  <c:v>4.9314033851603309E-2</c:v>
                </c:pt>
                <c:pt idx="115">
                  <c:v>4.7111147470853279E-2</c:v>
                </c:pt>
                <c:pt idx="116">
                  <c:v>4.7538407969494434E-2</c:v>
                </c:pt>
                <c:pt idx="117">
                  <c:v>4.0258206402215509E-2</c:v>
                </c:pt>
                <c:pt idx="118">
                  <c:v>1.3290348049213717E-2</c:v>
                </c:pt>
                <c:pt idx="119">
                  <c:v>-7.0884781518820836E-4</c:v>
                </c:pt>
                <c:pt idx="120">
                  <c:v>5.1970560879262386E-3</c:v>
                </c:pt>
                <c:pt idx="121">
                  <c:v>8.4001372073227859E-3</c:v>
                </c:pt>
                <c:pt idx="122">
                  <c:v>2.0569941593500799E-3</c:v>
                </c:pt>
                <c:pt idx="123">
                  <c:v>-0.14880422372305707</c:v>
                </c:pt>
                <c:pt idx="124">
                  <c:v>-0.26044299669964821</c:v>
                </c:pt>
                <c:pt idx="125">
                  <c:v>-0.2478551547548643</c:v>
                </c:pt>
                <c:pt idx="126">
                  <c:v>-0.19417484625266379</c:v>
                </c:pt>
                <c:pt idx="127">
                  <c:v>-0.21170839769455269</c:v>
                </c:pt>
                <c:pt idx="128">
                  <c:v>-0.20528899864284864</c:v>
                </c:pt>
                <c:pt idx="129">
                  <c:v>-0.20990669146194249</c:v>
                </c:pt>
                <c:pt idx="130">
                  <c:v>-0.1659374432895632</c:v>
                </c:pt>
                <c:pt idx="131">
                  <c:v>-0.16323370860806136</c:v>
                </c:pt>
                <c:pt idx="132">
                  <c:v>-0.14316569370615648</c:v>
                </c:pt>
                <c:pt idx="133">
                  <c:v>-0.21179006108618004</c:v>
                </c:pt>
                <c:pt idx="134">
                  <c:v>-0.12075023294458777</c:v>
                </c:pt>
                <c:pt idx="135">
                  <c:v>2.0492189404630965E-2</c:v>
                </c:pt>
                <c:pt idx="136">
                  <c:v>0.18806124419431433</c:v>
                </c:pt>
                <c:pt idx="137">
                  <c:v>0.16404463301693231</c:v>
                </c:pt>
                <c:pt idx="138">
                  <c:v>0.11248887331238781</c:v>
                </c:pt>
                <c:pt idx="139">
                  <c:v>0.11041423404951649</c:v>
                </c:pt>
                <c:pt idx="140">
                  <c:v>8.016126514793688E-2</c:v>
                </c:pt>
                <c:pt idx="141">
                  <c:v>0.13343642831629646</c:v>
                </c:pt>
                <c:pt idx="142">
                  <c:v>9.9484899809469785E-2</c:v>
                </c:pt>
                <c:pt idx="143">
                  <c:v>9.5001181261030812E-2</c:v>
                </c:pt>
                <c:pt idx="144">
                  <c:v>5.8700819870955198E-2</c:v>
                </c:pt>
                <c:pt idx="145">
                  <c:v>0.15651289942064231</c:v>
                </c:pt>
                <c:pt idx="146">
                  <c:v>7.0359059507219643E-2</c:v>
                </c:pt>
                <c:pt idx="147">
                  <c:v>6.9264967482375372E-2</c:v>
                </c:pt>
                <c:pt idx="148">
                  <c:v>6.7488685805983092E-2</c:v>
                </c:pt>
                <c:pt idx="149">
                  <c:v>7.9515229535297341E-2</c:v>
                </c:pt>
                <c:pt idx="150">
                  <c:v>8.6143543764566816E-2</c:v>
                </c:pt>
                <c:pt idx="151">
                  <c:v>8.7201491323084412E-2</c:v>
                </c:pt>
                <c:pt idx="152">
                  <c:v>0.12565131036514934</c:v>
                </c:pt>
                <c:pt idx="153">
                  <c:v>8.5797636309320011E-2</c:v>
                </c:pt>
                <c:pt idx="154">
                  <c:v>6.7470695403764797E-2</c:v>
                </c:pt>
                <c:pt idx="155">
                  <c:v>5.3204508739898938E-2</c:v>
                </c:pt>
                <c:pt idx="156">
                  <c:v>8.5667415112495995E-2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D42-4091-AE52-656BE771517A}"/>
            </c:ext>
          </c:extLst>
        </c:ser>
        <c:dLbls>
          <c:showLegendKey val="0"/>
          <c:showVal val="0"/>
          <c:showCatName val="0"/>
          <c:showSerName val="0"/>
          <c:showPercent val="0"/>
          <c:showBubbleSize val="0"/>
        </c:dLbls>
        <c:gapWidth val="219"/>
        <c:overlap val="-27"/>
        <c:axId val="1294592431"/>
        <c:axId val="1294594079"/>
      </c:barChart>
      <c:dateAx>
        <c:axId val="12945924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4079"/>
        <c:crosses val="autoZero"/>
        <c:auto val="0"/>
        <c:lblOffset val="100"/>
        <c:baseTimeUnit val="months"/>
      </c:dateAx>
      <c:valAx>
        <c:axId val="1294594079"/>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2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Mining!$U$1</c:f>
          <c:strCache>
            <c:ptCount val="1"/>
            <c:pt idx="0">
              <c:v>Industrial Production: Mining since 2010 </c:v>
            </c:pt>
          </c:strCache>
        </c:strRef>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2010 </c:v>
                </c:pt>
              </c:strCache>
            </c:strRef>
          </c:tx>
          <c:spPr>
            <a:ln w="28575" cap="rnd">
              <a:solidFill>
                <a:schemeClr val="accent1"/>
              </a:solidFill>
              <a:prstDash val="solid"/>
              <a:round/>
            </a:ln>
          </c:spPr>
          <c:marker>
            <c:symbol val="none"/>
          </c:marker>
          <c:cat>
            <c:numRef>
              <c:f>Mining!$A$463:$A$619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Mining!$B$463:$B$619</c:f>
              <c:numCache>
                <c:formatCode>0.0</c:formatCode>
                <c:ptCount val="157"/>
                <c:pt idx="0">
                  <c:v>79.062200000000004</c:v>
                </c:pt>
                <c:pt idx="1">
                  <c:v>80.464200000000005</c:v>
                </c:pt>
                <c:pt idx="2">
                  <c:v>81.242800000000003</c:v>
                </c:pt>
                <c:pt idx="3">
                  <c:v>81.636799999999994</c:v>
                </c:pt>
                <c:pt idx="4">
                  <c:v>81.573899999999995</c:v>
                </c:pt>
                <c:pt idx="5">
                  <c:v>81.704599999999999</c:v>
                </c:pt>
                <c:pt idx="6">
                  <c:v>82.181399999999996</c:v>
                </c:pt>
                <c:pt idx="7">
                  <c:v>83.448800000000006</c:v>
                </c:pt>
                <c:pt idx="8">
                  <c:v>84.630099999999999</c:v>
                </c:pt>
                <c:pt idx="9">
                  <c:v>84.751599999999996</c:v>
                </c:pt>
                <c:pt idx="10">
                  <c:v>84.07</c:v>
                </c:pt>
                <c:pt idx="11">
                  <c:v>84.537599999999998</c:v>
                </c:pt>
                <c:pt idx="12">
                  <c:v>84.398300000000006</c:v>
                </c:pt>
                <c:pt idx="13">
                  <c:v>82.689400000000006</c:v>
                </c:pt>
                <c:pt idx="14">
                  <c:v>85.716999999999999</c:v>
                </c:pt>
                <c:pt idx="15">
                  <c:v>86.2547</c:v>
                </c:pt>
                <c:pt idx="16">
                  <c:v>87.177400000000006</c:v>
                </c:pt>
                <c:pt idx="17">
                  <c:v>87.634299999999996</c:v>
                </c:pt>
                <c:pt idx="18">
                  <c:v>87.138099999999994</c:v>
                </c:pt>
                <c:pt idx="19">
                  <c:v>88.742900000000006</c:v>
                </c:pt>
                <c:pt idx="20">
                  <c:v>88.326499999999996</c:v>
                </c:pt>
                <c:pt idx="21">
                  <c:v>90.490099999999998</c:v>
                </c:pt>
                <c:pt idx="22">
                  <c:v>91.536799999999999</c:v>
                </c:pt>
                <c:pt idx="23">
                  <c:v>92.360100000000003</c:v>
                </c:pt>
                <c:pt idx="24">
                  <c:v>93.602400000000003</c:v>
                </c:pt>
                <c:pt idx="25">
                  <c:v>93.311700000000002</c:v>
                </c:pt>
                <c:pt idx="26">
                  <c:v>93.325400000000002</c:v>
                </c:pt>
                <c:pt idx="27">
                  <c:v>93.554400000000001</c:v>
                </c:pt>
                <c:pt idx="28">
                  <c:v>93.860200000000006</c:v>
                </c:pt>
                <c:pt idx="29">
                  <c:v>93.941299999999998</c:v>
                </c:pt>
                <c:pt idx="30">
                  <c:v>95.007900000000006</c:v>
                </c:pt>
                <c:pt idx="31">
                  <c:v>93.897099999999995</c:v>
                </c:pt>
                <c:pt idx="32">
                  <c:v>95.256500000000003</c:v>
                </c:pt>
                <c:pt idx="33">
                  <c:v>96.7971</c:v>
                </c:pt>
                <c:pt idx="34">
                  <c:v>97.016599999999997</c:v>
                </c:pt>
                <c:pt idx="35">
                  <c:v>97.130099999999999</c:v>
                </c:pt>
                <c:pt idx="36">
                  <c:v>97.372</c:v>
                </c:pt>
                <c:pt idx="37">
                  <c:v>98.056200000000004</c:v>
                </c:pt>
                <c:pt idx="38">
                  <c:v>98.565299999999993</c:v>
                </c:pt>
                <c:pt idx="39">
                  <c:v>99.396600000000007</c:v>
                </c:pt>
                <c:pt idx="40">
                  <c:v>99.709800000000001</c:v>
                </c:pt>
                <c:pt idx="41">
                  <c:v>100.3891</c:v>
                </c:pt>
                <c:pt idx="42">
                  <c:v>101.6883</c:v>
                </c:pt>
                <c:pt idx="43">
                  <c:v>101.6709</c:v>
                </c:pt>
                <c:pt idx="44">
                  <c:v>103.4384</c:v>
                </c:pt>
                <c:pt idx="45">
                  <c:v>101.6648</c:v>
                </c:pt>
                <c:pt idx="46">
                  <c:v>102.46250000000001</c:v>
                </c:pt>
                <c:pt idx="47">
                  <c:v>102.9012</c:v>
                </c:pt>
                <c:pt idx="48">
                  <c:v>104.3058</c:v>
                </c:pt>
                <c:pt idx="49">
                  <c:v>105.3349</c:v>
                </c:pt>
                <c:pt idx="50">
                  <c:v>107.541</c:v>
                </c:pt>
                <c:pt idx="51">
                  <c:v>109.386</c:v>
                </c:pt>
                <c:pt idx="52">
                  <c:v>110.58450000000001</c:v>
                </c:pt>
                <c:pt idx="53">
                  <c:v>112.0368</c:v>
                </c:pt>
                <c:pt idx="54">
                  <c:v>112.71559999999999</c:v>
                </c:pt>
                <c:pt idx="55">
                  <c:v>113.6481</c:v>
                </c:pt>
                <c:pt idx="56">
                  <c:v>114.3013</c:v>
                </c:pt>
                <c:pt idx="57">
                  <c:v>114.6057</c:v>
                </c:pt>
                <c:pt idx="58">
                  <c:v>113.86069999999999</c:v>
                </c:pt>
                <c:pt idx="59">
                  <c:v>116.68</c:v>
                </c:pt>
                <c:pt idx="60">
                  <c:v>113.7843</c:v>
                </c:pt>
                <c:pt idx="61">
                  <c:v>109.8081</c:v>
                </c:pt>
                <c:pt idx="62">
                  <c:v>107.9909</c:v>
                </c:pt>
                <c:pt idx="63">
                  <c:v>106.2953</c:v>
                </c:pt>
                <c:pt idx="64">
                  <c:v>103.7818</c:v>
                </c:pt>
                <c:pt idx="65">
                  <c:v>102.979</c:v>
                </c:pt>
                <c:pt idx="66">
                  <c:v>104.1902</c:v>
                </c:pt>
                <c:pt idx="67">
                  <c:v>104.65819999999999</c:v>
                </c:pt>
                <c:pt idx="68">
                  <c:v>103.1339</c:v>
                </c:pt>
                <c:pt idx="69">
                  <c:v>101.20659999999999</c:v>
                </c:pt>
                <c:pt idx="70">
                  <c:v>99.033500000000004</c:v>
                </c:pt>
                <c:pt idx="71">
                  <c:v>98.3108</c:v>
                </c:pt>
                <c:pt idx="72">
                  <c:v>96.282799999999995</c:v>
                </c:pt>
                <c:pt idx="73">
                  <c:v>94.243200000000002</c:v>
                </c:pt>
                <c:pt idx="74">
                  <c:v>91.919700000000006</c:v>
                </c:pt>
                <c:pt idx="75">
                  <c:v>89.849400000000003</c:v>
                </c:pt>
                <c:pt idx="76">
                  <c:v>89.809600000000003</c:v>
                </c:pt>
                <c:pt idx="77">
                  <c:v>89.665400000000005</c:v>
                </c:pt>
                <c:pt idx="78">
                  <c:v>90.213300000000004</c:v>
                </c:pt>
                <c:pt idx="79">
                  <c:v>89.859899999999996</c:v>
                </c:pt>
                <c:pt idx="80">
                  <c:v>90.008899999999997</c:v>
                </c:pt>
                <c:pt idx="81">
                  <c:v>92.623900000000006</c:v>
                </c:pt>
                <c:pt idx="82">
                  <c:v>92.096800000000002</c:v>
                </c:pt>
                <c:pt idx="83">
                  <c:v>91.9221</c:v>
                </c:pt>
                <c:pt idx="84">
                  <c:v>94.077500000000001</c:v>
                </c:pt>
                <c:pt idx="85">
                  <c:v>96.228499999999997</c:v>
                </c:pt>
                <c:pt idx="86">
                  <c:v>97.435000000000002</c:v>
                </c:pt>
                <c:pt idx="87">
                  <c:v>98.568399999999997</c:v>
                </c:pt>
                <c:pt idx="88">
                  <c:v>99.450400000000002</c:v>
                </c:pt>
                <c:pt idx="89">
                  <c:v>100.7711</c:v>
                </c:pt>
                <c:pt idx="90">
                  <c:v>100.7694</c:v>
                </c:pt>
                <c:pt idx="91">
                  <c:v>100.03149999999999</c:v>
                </c:pt>
                <c:pt idx="92">
                  <c:v>101.128</c:v>
                </c:pt>
                <c:pt idx="93">
                  <c:v>102.6926</c:v>
                </c:pt>
                <c:pt idx="94">
                  <c:v>104.392</c:v>
                </c:pt>
                <c:pt idx="95">
                  <c:v>104.4556</c:v>
                </c:pt>
                <c:pt idx="96">
                  <c:v>104.0635</c:v>
                </c:pt>
                <c:pt idx="97">
                  <c:v>106.9061</c:v>
                </c:pt>
                <c:pt idx="98">
                  <c:v>108.709</c:v>
                </c:pt>
                <c:pt idx="99">
                  <c:v>109.8935</c:v>
                </c:pt>
                <c:pt idx="100">
                  <c:v>110.4678</c:v>
                </c:pt>
                <c:pt idx="101">
                  <c:v>112.93380000000001</c:v>
                </c:pt>
                <c:pt idx="102">
                  <c:v>114.3934</c:v>
                </c:pt>
                <c:pt idx="103">
                  <c:v>117.3459</c:v>
                </c:pt>
                <c:pt idx="104">
                  <c:v>117.749</c:v>
                </c:pt>
                <c:pt idx="105">
                  <c:v>117.8592</c:v>
                </c:pt>
                <c:pt idx="106">
                  <c:v>118.5522</c:v>
                </c:pt>
                <c:pt idx="107">
                  <c:v>120.4772</c:v>
                </c:pt>
                <c:pt idx="108">
                  <c:v>119.6639</c:v>
                </c:pt>
                <c:pt idx="109">
                  <c:v>118.06950000000001</c:v>
                </c:pt>
                <c:pt idx="110">
                  <c:v>118.6683</c:v>
                </c:pt>
                <c:pt idx="111">
                  <c:v>120.95489999999999</c:v>
                </c:pt>
                <c:pt idx="112">
                  <c:v>121.1386</c:v>
                </c:pt>
                <c:pt idx="113">
                  <c:v>122.0834</c:v>
                </c:pt>
                <c:pt idx="114">
                  <c:v>120.0346</c:v>
                </c:pt>
                <c:pt idx="115">
                  <c:v>122.8742</c:v>
                </c:pt>
                <c:pt idx="116">
                  <c:v>123.3466</c:v>
                </c:pt>
                <c:pt idx="117">
                  <c:v>122.604</c:v>
                </c:pt>
                <c:pt idx="118">
                  <c:v>120.12779999999999</c:v>
                </c:pt>
                <c:pt idx="119">
                  <c:v>120.3918</c:v>
                </c:pt>
                <c:pt idx="120">
                  <c:v>120.28579999999999</c:v>
                </c:pt>
                <c:pt idx="121">
                  <c:v>119.0613</c:v>
                </c:pt>
                <c:pt idx="122">
                  <c:v>118.91240000000001</c:v>
                </c:pt>
                <c:pt idx="123">
                  <c:v>102.9563</c:v>
                </c:pt>
                <c:pt idx="124">
                  <c:v>89.588899999999995</c:v>
                </c:pt>
                <c:pt idx="125">
                  <c:v>91.824399999999997</c:v>
                </c:pt>
                <c:pt idx="126">
                  <c:v>96.726900000000001</c:v>
                </c:pt>
                <c:pt idx="127">
                  <c:v>96.860699999999994</c:v>
                </c:pt>
                <c:pt idx="128">
                  <c:v>98.024900000000002</c:v>
                </c:pt>
                <c:pt idx="129">
                  <c:v>96.868600000000001</c:v>
                </c:pt>
                <c:pt idx="130">
                  <c:v>100.19410000000001</c:v>
                </c:pt>
                <c:pt idx="131">
                  <c:v>100.7398</c:v>
                </c:pt>
                <c:pt idx="132">
                  <c:v>103.065</c:v>
                </c:pt>
                <c:pt idx="133">
                  <c:v>93.845299999999995</c:v>
                </c:pt>
                <c:pt idx="134">
                  <c:v>104.55370000000001</c:v>
                </c:pt>
                <c:pt idx="135">
                  <c:v>105.06610000000001</c:v>
                </c:pt>
                <c:pt idx="136">
                  <c:v>106.4371</c:v>
                </c:pt>
                <c:pt idx="137">
                  <c:v>106.8877</c:v>
                </c:pt>
                <c:pt idx="138">
                  <c:v>107.60760000000001</c:v>
                </c:pt>
                <c:pt idx="139">
                  <c:v>107.55549999999999</c:v>
                </c:pt>
                <c:pt idx="140">
                  <c:v>105.8827</c:v>
                </c:pt>
                <c:pt idx="141">
                  <c:v>109.7944</c:v>
                </c:pt>
                <c:pt idx="142">
                  <c:v>110.1619</c:v>
                </c:pt>
                <c:pt idx="143">
                  <c:v>110.31019999999999</c:v>
                </c:pt>
                <c:pt idx="144">
                  <c:v>109.11499999999999</c:v>
                </c:pt>
                <c:pt idx="145">
                  <c:v>108.5333</c:v>
                </c:pt>
                <c:pt idx="146">
                  <c:v>111.91</c:v>
                </c:pt>
                <c:pt idx="147">
                  <c:v>112.34350000000001</c:v>
                </c:pt>
                <c:pt idx="148">
                  <c:v>113.6204</c:v>
                </c:pt>
                <c:pt idx="149">
                  <c:v>115.3869</c:v>
                </c:pt>
                <c:pt idx="150">
                  <c:v>116.87730000000001</c:v>
                </c:pt>
                <c:pt idx="151">
                  <c:v>116.9345</c:v>
                </c:pt>
                <c:pt idx="152">
                  <c:v>119.187</c:v>
                </c:pt>
                <c:pt idx="153">
                  <c:v>119.2145</c:v>
                </c:pt>
                <c:pt idx="154">
                  <c:v>117.5946</c:v>
                </c:pt>
                <c:pt idx="155">
                  <c:v>116.17919999999999</c:v>
                </c:pt>
                <c:pt idx="156">
                  <c:v>118.46259999999999</c:v>
                </c:pt>
              </c:numCache>
            </c:numRef>
          </c:val>
          <c:smooth val="0"/>
          <c:extLst>
            <c:ext xmlns:c16="http://schemas.microsoft.com/office/drawing/2014/chart" uri="{C3380CC4-5D6E-409C-BE32-E72D297353CC}">
              <c16:uniqueId val="{00000000-6C26-4654-BC5D-9EE94677C6FB}"/>
            </c:ext>
          </c:extLst>
        </c:ser>
        <c:dLbls>
          <c:showLegendKey val="0"/>
          <c:showVal val="0"/>
          <c:showCatName val="0"/>
          <c:showSerName val="0"/>
          <c:showPercent val="0"/>
          <c:showBubbleSize val="0"/>
        </c:dLbls>
        <c:smooth val="0"/>
        <c:axId val="1189784431"/>
        <c:axId val="1843875455"/>
      </c:lineChart>
      <c:dateAx>
        <c:axId val="11897844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3875455"/>
        <c:crosses val="autoZero"/>
        <c:auto val="0"/>
        <c:lblOffset val="100"/>
        <c:baseTimeUnit val="months"/>
      </c:dateAx>
      <c:valAx>
        <c:axId val="1843875455"/>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89784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Utilities!$S$1</c:f>
          <c:strCache>
            <c:ptCount val="1"/>
            <c:pt idx="0">
              <c:v>Industrial Production: Electric and gas utilities</c:v>
            </c:pt>
          </c:strCache>
        </c:strRef>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Utilities!$B$20:$B$621</c:f>
              <c:numCache>
                <c:formatCode>0.0</c:formatCode>
                <c:ptCount val="602"/>
                <c:pt idx="0">
                  <c:v>48.4178</c:v>
                </c:pt>
                <c:pt idx="1">
                  <c:v>48.093200000000003</c:v>
                </c:pt>
                <c:pt idx="2">
                  <c:v>48.243499999999997</c:v>
                </c:pt>
                <c:pt idx="3">
                  <c:v>48.770299999999999</c:v>
                </c:pt>
                <c:pt idx="4">
                  <c:v>49.379399999999997</c:v>
                </c:pt>
                <c:pt idx="5">
                  <c:v>48.813899999999997</c:v>
                </c:pt>
                <c:pt idx="6">
                  <c:v>49.259500000000003</c:v>
                </c:pt>
                <c:pt idx="7">
                  <c:v>50.565399999999997</c:v>
                </c:pt>
                <c:pt idx="8">
                  <c:v>50.249299999999998</c:v>
                </c:pt>
                <c:pt idx="9">
                  <c:v>49.472700000000003</c:v>
                </c:pt>
                <c:pt idx="10">
                  <c:v>46.688800000000001</c:v>
                </c:pt>
                <c:pt idx="11">
                  <c:v>46.861499999999999</c:v>
                </c:pt>
                <c:pt idx="12">
                  <c:v>47.063899999999997</c:v>
                </c:pt>
                <c:pt idx="13">
                  <c:v>48.070700000000002</c:v>
                </c:pt>
                <c:pt idx="14">
                  <c:v>48.641100000000002</c:v>
                </c:pt>
                <c:pt idx="15">
                  <c:v>49.253700000000002</c:v>
                </c:pt>
                <c:pt idx="16">
                  <c:v>48.782400000000003</c:v>
                </c:pt>
                <c:pt idx="17">
                  <c:v>49.849200000000003</c:v>
                </c:pt>
                <c:pt idx="18">
                  <c:v>49.419699999999999</c:v>
                </c:pt>
                <c:pt idx="19">
                  <c:v>48.765700000000002</c:v>
                </c:pt>
                <c:pt idx="20">
                  <c:v>50.011099999999999</c:v>
                </c:pt>
                <c:pt idx="21">
                  <c:v>48.959099999999999</c:v>
                </c:pt>
                <c:pt idx="22">
                  <c:v>48.990099999999998</c:v>
                </c:pt>
                <c:pt idx="23">
                  <c:v>48.042900000000003</c:v>
                </c:pt>
                <c:pt idx="24">
                  <c:v>48.760100000000001</c:v>
                </c:pt>
                <c:pt idx="25">
                  <c:v>49.904499999999999</c:v>
                </c:pt>
                <c:pt idx="26">
                  <c:v>51.200400000000002</c:v>
                </c:pt>
                <c:pt idx="27">
                  <c:v>50.315600000000003</c:v>
                </c:pt>
                <c:pt idx="28">
                  <c:v>49.137300000000003</c:v>
                </c:pt>
                <c:pt idx="29">
                  <c:v>49.845799999999997</c:v>
                </c:pt>
                <c:pt idx="30">
                  <c:v>50.3093</c:v>
                </c:pt>
                <c:pt idx="31">
                  <c:v>50.081200000000003</c:v>
                </c:pt>
                <c:pt idx="32">
                  <c:v>49.949199999999998</c:v>
                </c:pt>
                <c:pt idx="33">
                  <c:v>49.371899999999997</c:v>
                </c:pt>
                <c:pt idx="34">
                  <c:v>50.247</c:v>
                </c:pt>
                <c:pt idx="35">
                  <c:v>51.426099999999998</c:v>
                </c:pt>
                <c:pt idx="36">
                  <c:v>50.377699999999997</c:v>
                </c:pt>
                <c:pt idx="37">
                  <c:v>50.729900000000001</c:v>
                </c:pt>
                <c:pt idx="38">
                  <c:v>51.109200000000001</c:v>
                </c:pt>
                <c:pt idx="39">
                  <c:v>50.965400000000002</c:v>
                </c:pt>
                <c:pt idx="40">
                  <c:v>51.417499999999997</c:v>
                </c:pt>
                <c:pt idx="41">
                  <c:v>51.618899999999996</c:v>
                </c:pt>
                <c:pt idx="42">
                  <c:v>51.815100000000001</c:v>
                </c:pt>
                <c:pt idx="43">
                  <c:v>52.241799999999998</c:v>
                </c:pt>
                <c:pt idx="44">
                  <c:v>52.782299999999999</c:v>
                </c:pt>
                <c:pt idx="45">
                  <c:v>55.2</c:v>
                </c:pt>
                <c:pt idx="46">
                  <c:v>55.641100000000002</c:v>
                </c:pt>
                <c:pt idx="47">
                  <c:v>55.193600000000004</c:v>
                </c:pt>
                <c:pt idx="48">
                  <c:v>53.379300000000001</c:v>
                </c:pt>
                <c:pt idx="49">
                  <c:v>52.567599999999999</c:v>
                </c:pt>
                <c:pt idx="50">
                  <c:v>53.251899999999999</c:v>
                </c:pt>
                <c:pt idx="51">
                  <c:v>54.098599999999998</c:v>
                </c:pt>
                <c:pt idx="52">
                  <c:v>54.817300000000003</c:v>
                </c:pt>
                <c:pt idx="53">
                  <c:v>55.476300000000002</c:v>
                </c:pt>
                <c:pt idx="54">
                  <c:v>54.567799999999998</c:v>
                </c:pt>
                <c:pt idx="55">
                  <c:v>54.772100000000002</c:v>
                </c:pt>
                <c:pt idx="56">
                  <c:v>54.7804</c:v>
                </c:pt>
                <c:pt idx="57">
                  <c:v>54.055399999999999</c:v>
                </c:pt>
                <c:pt idx="58">
                  <c:v>54.862200000000001</c:v>
                </c:pt>
                <c:pt idx="59">
                  <c:v>54.942100000000003</c:v>
                </c:pt>
                <c:pt idx="60">
                  <c:v>55.822000000000003</c:v>
                </c:pt>
                <c:pt idx="61">
                  <c:v>55.701999999999998</c:v>
                </c:pt>
                <c:pt idx="62">
                  <c:v>54.309800000000003</c:v>
                </c:pt>
                <c:pt idx="63">
                  <c:v>55.3566</c:v>
                </c:pt>
                <c:pt idx="64">
                  <c:v>55.929600000000001</c:v>
                </c:pt>
                <c:pt idx="65">
                  <c:v>55.2288</c:v>
                </c:pt>
                <c:pt idx="66">
                  <c:v>55.994999999999997</c:v>
                </c:pt>
                <c:pt idx="67">
                  <c:v>56.447299999999998</c:v>
                </c:pt>
                <c:pt idx="68">
                  <c:v>56.054900000000004</c:v>
                </c:pt>
                <c:pt idx="69">
                  <c:v>56.251899999999999</c:v>
                </c:pt>
                <c:pt idx="70">
                  <c:v>56.167900000000003</c:v>
                </c:pt>
                <c:pt idx="71">
                  <c:v>57.316400000000002</c:v>
                </c:pt>
                <c:pt idx="72">
                  <c:v>59.114899999999999</c:v>
                </c:pt>
                <c:pt idx="73">
                  <c:v>58.110599999999998</c:v>
                </c:pt>
                <c:pt idx="74">
                  <c:v>58.58</c:v>
                </c:pt>
                <c:pt idx="75">
                  <c:v>57.071100000000001</c:v>
                </c:pt>
                <c:pt idx="76">
                  <c:v>56.263199999999998</c:v>
                </c:pt>
                <c:pt idx="77">
                  <c:v>55.209699999999998</c:v>
                </c:pt>
                <c:pt idx="78">
                  <c:v>56.074800000000003</c:v>
                </c:pt>
                <c:pt idx="79">
                  <c:v>55.657699999999998</c:v>
                </c:pt>
                <c:pt idx="80">
                  <c:v>56.478400000000001</c:v>
                </c:pt>
                <c:pt idx="81">
                  <c:v>56.860700000000001</c:v>
                </c:pt>
                <c:pt idx="82">
                  <c:v>55.823799999999999</c:v>
                </c:pt>
                <c:pt idx="83">
                  <c:v>54.948599999999999</c:v>
                </c:pt>
                <c:pt idx="84">
                  <c:v>56.978099999999998</c:v>
                </c:pt>
                <c:pt idx="85">
                  <c:v>58.0854</c:v>
                </c:pt>
                <c:pt idx="86">
                  <c:v>56.421199999999999</c:v>
                </c:pt>
                <c:pt idx="87">
                  <c:v>55.535299999999999</c:v>
                </c:pt>
                <c:pt idx="88">
                  <c:v>55.543599999999998</c:v>
                </c:pt>
                <c:pt idx="89">
                  <c:v>57.664999999999999</c:v>
                </c:pt>
                <c:pt idx="90">
                  <c:v>57.962400000000002</c:v>
                </c:pt>
                <c:pt idx="91">
                  <c:v>58.706299999999999</c:v>
                </c:pt>
                <c:pt idx="92">
                  <c:v>58.228999999999999</c:v>
                </c:pt>
                <c:pt idx="93">
                  <c:v>58.462600000000002</c:v>
                </c:pt>
                <c:pt idx="94">
                  <c:v>58.726900000000001</c:v>
                </c:pt>
                <c:pt idx="95">
                  <c:v>57.889699999999998</c:v>
                </c:pt>
                <c:pt idx="96">
                  <c:v>56.419400000000003</c:v>
                </c:pt>
                <c:pt idx="97">
                  <c:v>57.346299999999999</c:v>
                </c:pt>
                <c:pt idx="98">
                  <c:v>57.388100000000001</c:v>
                </c:pt>
                <c:pt idx="99">
                  <c:v>58.208399999999997</c:v>
                </c:pt>
                <c:pt idx="100">
                  <c:v>59.655999999999999</c:v>
                </c:pt>
                <c:pt idx="101">
                  <c:v>59.5047</c:v>
                </c:pt>
                <c:pt idx="102">
                  <c:v>58.290199999999999</c:v>
                </c:pt>
                <c:pt idx="103">
                  <c:v>57.462699999999998</c:v>
                </c:pt>
                <c:pt idx="104">
                  <c:v>58.1755</c:v>
                </c:pt>
                <c:pt idx="105">
                  <c:v>57.662100000000002</c:v>
                </c:pt>
                <c:pt idx="106">
                  <c:v>58.7866</c:v>
                </c:pt>
                <c:pt idx="107">
                  <c:v>58.699800000000003</c:v>
                </c:pt>
                <c:pt idx="108">
                  <c:v>57.078400000000002</c:v>
                </c:pt>
                <c:pt idx="109">
                  <c:v>57.0869</c:v>
                </c:pt>
                <c:pt idx="110">
                  <c:v>57.1509</c:v>
                </c:pt>
                <c:pt idx="111">
                  <c:v>55.6</c:v>
                </c:pt>
                <c:pt idx="112">
                  <c:v>55.790100000000002</c:v>
                </c:pt>
                <c:pt idx="113">
                  <c:v>55.776600000000002</c:v>
                </c:pt>
                <c:pt idx="114">
                  <c:v>55.08</c:v>
                </c:pt>
                <c:pt idx="115">
                  <c:v>55.257100000000001</c:v>
                </c:pt>
                <c:pt idx="116">
                  <c:v>55.417299999999997</c:v>
                </c:pt>
                <c:pt idx="117">
                  <c:v>56.1524</c:v>
                </c:pt>
                <c:pt idx="118">
                  <c:v>54.436599999999999</c:v>
                </c:pt>
                <c:pt idx="119">
                  <c:v>54.318300000000001</c:v>
                </c:pt>
                <c:pt idx="120">
                  <c:v>52.920200000000001</c:v>
                </c:pt>
                <c:pt idx="121">
                  <c:v>54.8506</c:v>
                </c:pt>
                <c:pt idx="122">
                  <c:v>55.890599999999999</c:v>
                </c:pt>
                <c:pt idx="123">
                  <c:v>54.855600000000003</c:v>
                </c:pt>
                <c:pt idx="124">
                  <c:v>54.692700000000002</c:v>
                </c:pt>
                <c:pt idx="125">
                  <c:v>56.575299999999999</c:v>
                </c:pt>
                <c:pt idx="126">
                  <c:v>58.870899999999999</c:v>
                </c:pt>
                <c:pt idx="127">
                  <c:v>58.7254</c:v>
                </c:pt>
                <c:pt idx="128">
                  <c:v>57.797499999999999</c:v>
                </c:pt>
                <c:pt idx="129">
                  <c:v>58.148299999999999</c:v>
                </c:pt>
                <c:pt idx="130">
                  <c:v>60.862499999999997</c:v>
                </c:pt>
                <c:pt idx="131">
                  <c:v>60.644199999999998</c:v>
                </c:pt>
                <c:pt idx="132">
                  <c:v>59.357999999999997</c:v>
                </c:pt>
                <c:pt idx="133">
                  <c:v>60.814300000000003</c:v>
                </c:pt>
                <c:pt idx="134">
                  <c:v>60.497599999999998</c:v>
                </c:pt>
                <c:pt idx="135">
                  <c:v>61.063000000000002</c:v>
                </c:pt>
                <c:pt idx="136">
                  <c:v>60.740299999999998</c:v>
                </c:pt>
                <c:pt idx="137">
                  <c:v>59.097200000000001</c:v>
                </c:pt>
                <c:pt idx="138">
                  <c:v>59.723999999999997</c:v>
                </c:pt>
                <c:pt idx="139">
                  <c:v>59.101700000000001</c:v>
                </c:pt>
                <c:pt idx="140">
                  <c:v>59.07</c:v>
                </c:pt>
                <c:pt idx="141">
                  <c:v>59.827800000000003</c:v>
                </c:pt>
                <c:pt idx="142">
                  <c:v>58.823799999999999</c:v>
                </c:pt>
                <c:pt idx="143">
                  <c:v>61.299199999999999</c:v>
                </c:pt>
                <c:pt idx="144">
                  <c:v>63.43</c:v>
                </c:pt>
                <c:pt idx="145">
                  <c:v>60.510199999999998</c:v>
                </c:pt>
                <c:pt idx="146">
                  <c:v>61.102800000000002</c:v>
                </c:pt>
                <c:pt idx="147">
                  <c:v>60.967100000000002</c:v>
                </c:pt>
                <c:pt idx="148">
                  <c:v>60.4238</c:v>
                </c:pt>
                <c:pt idx="149">
                  <c:v>60.637099999999997</c:v>
                </c:pt>
                <c:pt idx="150">
                  <c:v>60.5032</c:v>
                </c:pt>
                <c:pt idx="151">
                  <c:v>61.673699999999997</c:v>
                </c:pt>
                <c:pt idx="152">
                  <c:v>61.118899999999996</c:v>
                </c:pt>
                <c:pt idx="153">
                  <c:v>61.014200000000002</c:v>
                </c:pt>
                <c:pt idx="154">
                  <c:v>63.918799999999997</c:v>
                </c:pt>
                <c:pt idx="155">
                  <c:v>61.895899999999997</c:v>
                </c:pt>
                <c:pt idx="156">
                  <c:v>61.363500000000002</c:v>
                </c:pt>
                <c:pt idx="157">
                  <c:v>60.503399999999999</c:v>
                </c:pt>
                <c:pt idx="158">
                  <c:v>60.863</c:v>
                </c:pt>
                <c:pt idx="159">
                  <c:v>61.572600000000001</c:v>
                </c:pt>
                <c:pt idx="160">
                  <c:v>61.933700000000002</c:v>
                </c:pt>
                <c:pt idx="161">
                  <c:v>63.050800000000002</c:v>
                </c:pt>
                <c:pt idx="162">
                  <c:v>61.499000000000002</c:v>
                </c:pt>
                <c:pt idx="163">
                  <c:v>62.091999999999999</c:v>
                </c:pt>
                <c:pt idx="164">
                  <c:v>62.491799999999998</c:v>
                </c:pt>
                <c:pt idx="165">
                  <c:v>62.521500000000003</c:v>
                </c:pt>
                <c:pt idx="166">
                  <c:v>63.403199999999998</c:v>
                </c:pt>
                <c:pt idx="167">
                  <c:v>62.491999999999997</c:v>
                </c:pt>
                <c:pt idx="168">
                  <c:v>63.094700000000003</c:v>
                </c:pt>
                <c:pt idx="169">
                  <c:v>63.766800000000003</c:v>
                </c:pt>
                <c:pt idx="170">
                  <c:v>64.386499999999998</c:v>
                </c:pt>
                <c:pt idx="171">
                  <c:v>64.854699999999994</c:v>
                </c:pt>
                <c:pt idx="172">
                  <c:v>65.587000000000003</c:v>
                </c:pt>
                <c:pt idx="173">
                  <c:v>65.703000000000003</c:v>
                </c:pt>
                <c:pt idx="174">
                  <c:v>66.573800000000006</c:v>
                </c:pt>
                <c:pt idx="175">
                  <c:v>65.163799999999995</c:v>
                </c:pt>
                <c:pt idx="176">
                  <c:v>65.807000000000002</c:v>
                </c:pt>
                <c:pt idx="177">
                  <c:v>65.831000000000003</c:v>
                </c:pt>
                <c:pt idx="178">
                  <c:v>65.838700000000003</c:v>
                </c:pt>
                <c:pt idx="179">
                  <c:v>67.639899999999997</c:v>
                </c:pt>
                <c:pt idx="180">
                  <c:v>69.045000000000002</c:v>
                </c:pt>
                <c:pt idx="181">
                  <c:v>68.786199999999994</c:v>
                </c:pt>
                <c:pt idx="182">
                  <c:v>68.033199999999994</c:v>
                </c:pt>
                <c:pt idx="183">
                  <c:v>67.806399999999996</c:v>
                </c:pt>
                <c:pt idx="184">
                  <c:v>68.709400000000002</c:v>
                </c:pt>
                <c:pt idx="185">
                  <c:v>69.371600000000001</c:v>
                </c:pt>
                <c:pt idx="186">
                  <c:v>71.790099999999995</c:v>
                </c:pt>
                <c:pt idx="187">
                  <c:v>68.496300000000005</c:v>
                </c:pt>
                <c:pt idx="188">
                  <c:v>68.964399999999998</c:v>
                </c:pt>
                <c:pt idx="189">
                  <c:v>68.608699999999999</c:v>
                </c:pt>
                <c:pt idx="190">
                  <c:v>69.022900000000007</c:v>
                </c:pt>
                <c:pt idx="191">
                  <c:v>66.712599999999995</c:v>
                </c:pt>
                <c:pt idx="192">
                  <c:v>70.064300000000003</c:v>
                </c:pt>
                <c:pt idx="193">
                  <c:v>71.925600000000003</c:v>
                </c:pt>
                <c:pt idx="194">
                  <c:v>69.966999999999999</c:v>
                </c:pt>
                <c:pt idx="195">
                  <c:v>70.298000000000002</c:v>
                </c:pt>
                <c:pt idx="196">
                  <c:v>70.128100000000003</c:v>
                </c:pt>
                <c:pt idx="197">
                  <c:v>70.494900000000001</c:v>
                </c:pt>
                <c:pt idx="198">
                  <c:v>71.403800000000004</c:v>
                </c:pt>
                <c:pt idx="199">
                  <c:v>70.462199999999996</c:v>
                </c:pt>
                <c:pt idx="200">
                  <c:v>71.375600000000006</c:v>
                </c:pt>
                <c:pt idx="201">
                  <c:v>72.044799999999995</c:v>
                </c:pt>
                <c:pt idx="202">
                  <c:v>77.233900000000006</c:v>
                </c:pt>
                <c:pt idx="203">
                  <c:v>71.405100000000004</c:v>
                </c:pt>
                <c:pt idx="204">
                  <c:v>70.509500000000003</c:v>
                </c:pt>
                <c:pt idx="205">
                  <c:v>71.496200000000002</c:v>
                </c:pt>
                <c:pt idx="206">
                  <c:v>71.977999999999994</c:v>
                </c:pt>
                <c:pt idx="207">
                  <c:v>72.376400000000004</c:v>
                </c:pt>
                <c:pt idx="208">
                  <c:v>73.114999999999995</c:v>
                </c:pt>
                <c:pt idx="209">
                  <c:v>72.872399999999999</c:v>
                </c:pt>
                <c:pt idx="210">
                  <c:v>73.575900000000004</c:v>
                </c:pt>
                <c:pt idx="211">
                  <c:v>74.4452</c:v>
                </c:pt>
                <c:pt idx="212">
                  <c:v>73.315100000000001</c:v>
                </c:pt>
                <c:pt idx="213">
                  <c:v>71.789599999999993</c:v>
                </c:pt>
                <c:pt idx="214">
                  <c:v>72.278300000000002</c:v>
                </c:pt>
                <c:pt idx="215">
                  <c:v>73.537400000000005</c:v>
                </c:pt>
                <c:pt idx="216">
                  <c:v>71.664900000000003</c:v>
                </c:pt>
                <c:pt idx="217">
                  <c:v>72.638199999999998</c:v>
                </c:pt>
                <c:pt idx="218">
                  <c:v>72.563900000000004</c:v>
                </c:pt>
                <c:pt idx="219">
                  <c:v>75.726500000000001</c:v>
                </c:pt>
                <c:pt idx="220">
                  <c:v>76.002600000000001</c:v>
                </c:pt>
                <c:pt idx="221">
                  <c:v>75.412300000000002</c:v>
                </c:pt>
                <c:pt idx="222">
                  <c:v>74.873500000000007</c:v>
                </c:pt>
                <c:pt idx="223">
                  <c:v>74.746700000000004</c:v>
                </c:pt>
                <c:pt idx="224">
                  <c:v>74.664699999999996</c:v>
                </c:pt>
                <c:pt idx="225">
                  <c:v>75.381699999999995</c:v>
                </c:pt>
                <c:pt idx="226">
                  <c:v>73.389499999999998</c:v>
                </c:pt>
                <c:pt idx="227">
                  <c:v>73.039100000000005</c:v>
                </c:pt>
                <c:pt idx="228">
                  <c:v>73.512</c:v>
                </c:pt>
                <c:pt idx="229">
                  <c:v>73.250900000000001</c:v>
                </c:pt>
                <c:pt idx="230">
                  <c:v>74.9512</c:v>
                </c:pt>
                <c:pt idx="231">
                  <c:v>73.899500000000003</c:v>
                </c:pt>
                <c:pt idx="232">
                  <c:v>72.819800000000001</c:v>
                </c:pt>
                <c:pt idx="233">
                  <c:v>73.267300000000006</c:v>
                </c:pt>
                <c:pt idx="234">
                  <c:v>73.040999999999997</c:v>
                </c:pt>
                <c:pt idx="235">
                  <c:v>74.1357</c:v>
                </c:pt>
                <c:pt idx="236">
                  <c:v>75.379900000000006</c:v>
                </c:pt>
                <c:pt idx="237">
                  <c:v>76.027799999999999</c:v>
                </c:pt>
                <c:pt idx="238">
                  <c:v>77.293499999999995</c:v>
                </c:pt>
                <c:pt idx="239">
                  <c:v>74.679900000000004</c:v>
                </c:pt>
                <c:pt idx="240">
                  <c:v>76.7226</c:v>
                </c:pt>
                <c:pt idx="241">
                  <c:v>77.495000000000005</c:v>
                </c:pt>
                <c:pt idx="242">
                  <c:v>76.601500000000001</c:v>
                </c:pt>
                <c:pt idx="243">
                  <c:v>74.5154</c:v>
                </c:pt>
                <c:pt idx="244">
                  <c:v>76.407499999999999</c:v>
                </c:pt>
                <c:pt idx="245">
                  <c:v>77.500200000000007</c:v>
                </c:pt>
                <c:pt idx="246">
                  <c:v>77.982900000000001</c:v>
                </c:pt>
                <c:pt idx="247">
                  <c:v>77.105099999999993</c:v>
                </c:pt>
                <c:pt idx="248">
                  <c:v>76.848200000000006</c:v>
                </c:pt>
                <c:pt idx="249">
                  <c:v>77.351200000000006</c:v>
                </c:pt>
                <c:pt idx="250">
                  <c:v>77.665400000000005</c:v>
                </c:pt>
                <c:pt idx="251">
                  <c:v>79.941100000000006</c:v>
                </c:pt>
                <c:pt idx="252">
                  <c:v>79.141599999999997</c:v>
                </c:pt>
                <c:pt idx="253">
                  <c:v>77.846199999999996</c:v>
                </c:pt>
                <c:pt idx="254">
                  <c:v>77.102099999999993</c:v>
                </c:pt>
                <c:pt idx="255">
                  <c:v>76.768299999999996</c:v>
                </c:pt>
                <c:pt idx="256">
                  <c:v>80.061899999999994</c:v>
                </c:pt>
                <c:pt idx="257">
                  <c:v>78.639099999999999</c:v>
                </c:pt>
                <c:pt idx="258">
                  <c:v>78.093900000000005</c:v>
                </c:pt>
                <c:pt idx="259">
                  <c:v>78.0304</c:v>
                </c:pt>
                <c:pt idx="260">
                  <c:v>78.305499999999995</c:v>
                </c:pt>
                <c:pt idx="261">
                  <c:v>77.781999999999996</c:v>
                </c:pt>
                <c:pt idx="262">
                  <c:v>77.872299999999996</c:v>
                </c:pt>
                <c:pt idx="263">
                  <c:v>78.490799999999993</c:v>
                </c:pt>
                <c:pt idx="264">
                  <c:v>79.207700000000003</c:v>
                </c:pt>
                <c:pt idx="265">
                  <c:v>79.153999999999996</c:v>
                </c:pt>
                <c:pt idx="266">
                  <c:v>79.8964</c:v>
                </c:pt>
                <c:pt idx="267">
                  <c:v>81.096900000000005</c:v>
                </c:pt>
                <c:pt idx="268">
                  <c:v>80.558000000000007</c:v>
                </c:pt>
                <c:pt idx="269">
                  <c:v>81.562200000000004</c:v>
                </c:pt>
                <c:pt idx="270">
                  <c:v>84.811499999999995</c:v>
                </c:pt>
                <c:pt idx="271">
                  <c:v>81.305199999999999</c:v>
                </c:pt>
                <c:pt idx="272">
                  <c:v>81.391199999999998</c:v>
                </c:pt>
                <c:pt idx="273">
                  <c:v>82.418499999999995</c:v>
                </c:pt>
                <c:pt idx="274">
                  <c:v>83.054199999999994</c:v>
                </c:pt>
                <c:pt idx="275">
                  <c:v>83.820400000000006</c:v>
                </c:pt>
                <c:pt idx="276">
                  <c:v>84.903800000000004</c:v>
                </c:pt>
                <c:pt idx="277">
                  <c:v>84.669700000000006</c:v>
                </c:pt>
                <c:pt idx="278">
                  <c:v>84.097499999999997</c:v>
                </c:pt>
                <c:pt idx="279">
                  <c:v>84.981099999999998</c:v>
                </c:pt>
                <c:pt idx="280">
                  <c:v>83.851699999999994</c:v>
                </c:pt>
                <c:pt idx="281">
                  <c:v>80.9649</c:v>
                </c:pt>
                <c:pt idx="282">
                  <c:v>82.003900000000002</c:v>
                </c:pt>
                <c:pt idx="283">
                  <c:v>81.660399999999996</c:v>
                </c:pt>
                <c:pt idx="284">
                  <c:v>82.507400000000004</c:v>
                </c:pt>
                <c:pt idx="285">
                  <c:v>83.991900000000001</c:v>
                </c:pt>
                <c:pt idx="286">
                  <c:v>83.047700000000006</c:v>
                </c:pt>
                <c:pt idx="287">
                  <c:v>83.791799999999995</c:v>
                </c:pt>
                <c:pt idx="288">
                  <c:v>82.837599999999995</c:v>
                </c:pt>
                <c:pt idx="289">
                  <c:v>81.031400000000005</c:v>
                </c:pt>
                <c:pt idx="290">
                  <c:v>82.918000000000006</c:v>
                </c:pt>
                <c:pt idx="291">
                  <c:v>81.7898</c:v>
                </c:pt>
                <c:pt idx="292">
                  <c:v>81.410499999999999</c:v>
                </c:pt>
                <c:pt idx="293">
                  <c:v>83.15</c:v>
                </c:pt>
                <c:pt idx="294">
                  <c:v>82.786799999999999</c:v>
                </c:pt>
                <c:pt idx="295">
                  <c:v>83.736699999999999</c:v>
                </c:pt>
                <c:pt idx="296">
                  <c:v>85.244600000000005</c:v>
                </c:pt>
                <c:pt idx="297">
                  <c:v>85.168800000000005</c:v>
                </c:pt>
                <c:pt idx="298">
                  <c:v>84.802099999999996</c:v>
                </c:pt>
                <c:pt idx="299">
                  <c:v>81.4268</c:v>
                </c:pt>
                <c:pt idx="300">
                  <c:v>82.359200000000001</c:v>
                </c:pt>
                <c:pt idx="301">
                  <c:v>84.829099999999997</c:v>
                </c:pt>
                <c:pt idx="302">
                  <c:v>84.031499999999994</c:v>
                </c:pt>
                <c:pt idx="303">
                  <c:v>85.697299999999998</c:v>
                </c:pt>
                <c:pt idx="304">
                  <c:v>87.102599999999995</c:v>
                </c:pt>
                <c:pt idx="305">
                  <c:v>87.366</c:v>
                </c:pt>
                <c:pt idx="306">
                  <c:v>86.868200000000002</c:v>
                </c:pt>
                <c:pt idx="307">
                  <c:v>88.317300000000003</c:v>
                </c:pt>
                <c:pt idx="308">
                  <c:v>87.412499999999994</c:v>
                </c:pt>
                <c:pt idx="309">
                  <c:v>85.188400000000001</c:v>
                </c:pt>
                <c:pt idx="310">
                  <c:v>85.385099999999994</c:v>
                </c:pt>
                <c:pt idx="311">
                  <c:v>87.359899999999996</c:v>
                </c:pt>
                <c:pt idx="312">
                  <c:v>85.936300000000003</c:v>
                </c:pt>
                <c:pt idx="313">
                  <c:v>88.521500000000003</c:v>
                </c:pt>
                <c:pt idx="314">
                  <c:v>87.906099999999995</c:v>
                </c:pt>
                <c:pt idx="315">
                  <c:v>87.156499999999994</c:v>
                </c:pt>
                <c:pt idx="316">
                  <c:v>88.414199999999994</c:v>
                </c:pt>
                <c:pt idx="317">
                  <c:v>90.321399999999997</c:v>
                </c:pt>
                <c:pt idx="318">
                  <c:v>89.2136</c:v>
                </c:pt>
                <c:pt idx="319">
                  <c:v>88.62</c:v>
                </c:pt>
                <c:pt idx="320">
                  <c:v>88.335300000000004</c:v>
                </c:pt>
                <c:pt idx="321">
                  <c:v>87.062299999999993</c:v>
                </c:pt>
                <c:pt idx="322">
                  <c:v>88.567700000000002</c:v>
                </c:pt>
                <c:pt idx="323">
                  <c:v>88.474900000000005</c:v>
                </c:pt>
                <c:pt idx="324">
                  <c:v>89.627799999999993</c:v>
                </c:pt>
                <c:pt idx="325">
                  <c:v>87.163799999999995</c:v>
                </c:pt>
                <c:pt idx="326">
                  <c:v>89.031000000000006</c:v>
                </c:pt>
                <c:pt idx="327">
                  <c:v>92.330200000000005</c:v>
                </c:pt>
                <c:pt idx="328">
                  <c:v>90.976100000000002</c:v>
                </c:pt>
                <c:pt idx="329">
                  <c:v>88.276200000000003</c:v>
                </c:pt>
                <c:pt idx="330">
                  <c:v>90.867800000000003</c:v>
                </c:pt>
                <c:pt idx="331">
                  <c:v>91.303299999999993</c:v>
                </c:pt>
                <c:pt idx="332">
                  <c:v>90.394000000000005</c:v>
                </c:pt>
                <c:pt idx="333">
                  <c:v>93.597899999999996</c:v>
                </c:pt>
                <c:pt idx="334">
                  <c:v>95.745199999999997</c:v>
                </c:pt>
                <c:pt idx="335">
                  <c:v>93.9358</c:v>
                </c:pt>
                <c:pt idx="336">
                  <c:v>92.060599999999994</c:v>
                </c:pt>
                <c:pt idx="337">
                  <c:v>91.402600000000007</c:v>
                </c:pt>
                <c:pt idx="338">
                  <c:v>90.939700000000002</c:v>
                </c:pt>
                <c:pt idx="339">
                  <c:v>90.202799999999996</c:v>
                </c:pt>
                <c:pt idx="340">
                  <c:v>90.472999999999999</c:v>
                </c:pt>
                <c:pt idx="341">
                  <c:v>88.906300000000002</c:v>
                </c:pt>
                <c:pt idx="342">
                  <c:v>91.307299999999998</c:v>
                </c:pt>
                <c:pt idx="343">
                  <c:v>89.340599999999995</c:v>
                </c:pt>
                <c:pt idx="344">
                  <c:v>90.163799999999995</c:v>
                </c:pt>
                <c:pt idx="345">
                  <c:v>88.158600000000007</c:v>
                </c:pt>
                <c:pt idx="346">
                  <c:v>86.987700000000004</c:v>
                </c:pt>
                <c:pt idx="347">
                  <c:v>88.944000000000003</c:v>
                </c:pt>
                <c:pt idx="348">
                  <c:v>89.384600000000006</c:v>
                </c:pt>
                <c:pt idx="349">
                  <c:v>91.804699999999997</c:v>
                </c:pt>
                <c:pt idx="350">
                  <c:v>93.975099999999998</c:v>
                </c:pt>
                <c:pt idx="351">
                  <c:v>93.3887</c:v>
                </c:pt>
                <c:pt idx="352">
                  <c:v>93.461600000000004</c:v>
                </c:pt>
                <c:pt idx="353">
                  <c:v>94.377099999999999</c:v>
                </c:pt>
                <c:pt idx="354">
                  <c:v>92.302000000000007</c:v>
                </c:pt>
                <c:pt idx="355">
                  <c:v>93.989400000000003</c:v>
                </c:pt>
                <c:pt idx="356">
                  <c:v>95.145200000000003</c:v>
                </c:pt>
                <c:pt idx="357">
                  <c:v>94.827699999999993</c:v>
                </c:pt>
                <c:pt idx="358">
                  <c:v>93.858699999999999</c:v>
                </c:pt>
                <c:pt idx="359">
                  <c:v>95.274100000000004</c:v>
                </c:pt>
                <c:pt idx="360">
                  <c:v>97.330500000000001</c:v>
                </c:pt>
                <c:pt idx="361">
                  <c:v>93.991100000000003</c:v>
                </c:pt>
                <c:pt idx="362">
                  <c:v>94.164699999999996</c:v>
                </c:pt>
                <c:pt idx="363">
                  <c:v>94.056200000000004</c:v>
                </c:pt>
                <c:pt idx="364">
                  <c:v>91.548199999999994</c:v>
                </c:pt>
                <c:pt idx="365">
                  <c:v>94.333799999999997</c:v>
                </c:pt>
                <c:pt idx="366">
                  <c:v>94.802700000000002</c:v>
                </c:pt>
                <c:pt idx="367">
                  <c:v>93.929599999999994</c:v>
                </c:pt>
                <c:pt idx="368">
                  <c:v>94.448499999999996</c:v>
                </c:pt>
                <c:pt idx="369">
                  <c:v>94.677499999999995</c:v>
                </c:pt>
                <c:pt idx="370">
                  <c:v>95.813699999999997</c:v>
                </c:pt>
                <c:pt idx="371">
                  <c:v>97.4589</c:v>
                </c:pt>
                <c:pt idx="372">
                  <c:v>98.378200000000007</c:v>
                </c:pt>
                <c:pt idx="373">
                  <c:v>94.397300000000001</c:v>
                </c:pt>
                <c:pt idx="374">
                  <c:v>95.876599999999996</c:v>
                </c:pt>
                <c:pt idx="375">
                  <c:v>97.784899999999993</c:v>
                </c:pt>
                <c:pt idx="376">
                  <c:v>95.539900000000003</c:v>
                </c:pt>
                <c:pt idx="377">
                  <c:v>94.094700000000003</c:v>
                </c:pt>
                <c:pt idx="378">
                  <c:v>91.854399999999998</c:v>
                </c:pt>
                <c:pt idx="379">
                  <c:v>95.697999999999993</c:v>
                </c:pt>
                <c:pt idx="380">
                  <c:v>95.919399999999996</c:v>
                </c:pt>
                <c:pt idx="381">
                  <c:v>96.218299999999999</c:v>
                </c:pt>
                <c:pt idx="382">
                  <c:v>97.976600000000005</c:v>
                </c:pt>
                <c:pt idx="383">
                  <c:v>96.4071</c:v>
                </c:pt>
                <c:pt idx="384">
                  <c:v>95.250399999999999</c:v>
                </c:pt>
                <c:pt idx="385">
                  <c:v>98.098799999999997</c:v>
                </c:pt>
                <c:pt idx="386">
                  <c:v>96.259</c:v>
                </c:pt>
                <c:pt idx="387">
                  <c:v>96.150400000000005</c:v>
                </c:pt>
                <c:pt idx="388">
                  <c:v>99.268799999999999</c:v>
                </c:pt>
                <c:pt idx="389">
                  <c:v>99.33</c:v>
                </c:pt>
                <c:pt idx="390">
                  <c:v>99.007099999999994</c:v>
                </c:pt>
                <c:pt idx="391">
                  <c:v>100.2611</c:v>
                </c:pt>
                <c:pt idx="392">
                  <c:v>98.320599999999999</c:v>
                </c:pt>
                <c:pt idx="393">
                  <c:v>97.448300000000003</c:v>
                </c:pt>
                <c:pt idx="394">
                  <c:v>100.3901</c:v>
                </c:pt>
                <c:pt idx="395">
                  <c:v>92.316299999999998</c:v>
                </c:pt>
                <c:pt idx="396">
                  <c:v>95.739199999999997</c:v>
                </c:pt>
                <c:pt idx="397">
                  <c:v>98.170500000000004</c:v>
                </c:pt>
                <c:pt idx="398">
                  <c:v>97.407899999999998</c:v>
                </c:pt>
                <c:pt idx="399">
                  <c:v>98.631500000000003</c:v>
                </c:pt>
                <c:pt idx="400">
                  <c:v>99.1066</c:v>
                </c:pt>
                <c:pt idx="401">
                  <c:v>100.5998</c:v>
                </c:pt>
                <c:pt idx="402">
                  <c:v>99.770600000000002</c:v>
                </c:pt>
                <c:pt idx="403">
                  <c:v>96.723299999999995</c:v>
                </c:pt>
                <c:pt idx="404">
                  <c:v>98.6815</c:v>
                </c:pt>
                <c:pt idx="405">
                  <c:v>99.093100000000007</c:v>
                </c:pt>
                <c:pt idx="406">
                  <c:v>95.929199999999994</c:v>
                </c:pt>
                <c:pt idx="407">
                  <c:v>98.005300000000005</c:v>
                </c:pt>
                <c:pt idx="408">
                  <c:v>104.0941</c:v>
                </c:pt>
                <c:pt idx="409">
                  <c:v>99.237200000000001</c:v>
                </c:pt>
                <c:pt idx="410">
                  <c:v>100.8605</c:v>
                </c:pt>
                <c:pt idx="411">
                  <c:v>101.0402</c:v>
                </c:pt>
                <c:pt idx="412">
                  <c:v>99.191699999999997</c:v>
                </c:pt>
                <c:pt idx="413">
                  <c:v>98.100300000000004</c:v>
                </c:pt>
                <c:pt idx="414">
                  <c:v>102.7539</c:v>
                </c:pt>
                <c:pt idx="415">
                  <c:v>102.8199</c:v>
                </c:pt>
                <c:pt idx="416">
                  <c:v>101.56829999999999</c:v>
                </c:pt>
                <c:pt idx="417">
                  <c:v>101.6339</c:v>
                </c:pt>
                <c:pt idx="418">
                  <c:v>99.676900000000003</c:v>
                </c:pt>
                <c:pt idx="419">
                  <c:v>100.9131</c:v>
                </c:pt>
                <c:pt idx="420">
                  <c:v>102.3261</c:v>
                </c:pt>
                <c:pt idx="421">
                  <c:v>101.5296</c:v>
                </c:pt>
                <c:pt idx="422">
                  <c:v>101.54859999999999</c:v>
                </c:pt>
                <c:pt idx="423">
                  <c:v>100.3322</c:v>
                </c:pt>
                <c:pt idx="424">
                  <c:v>101.804</c:v>
                </c:pt>
                <c:pt idx="425">
                  <c:v>100.42659999999999</c:v>
                </c:pt>
                <c:pt idx="426">
                  <c:v>96.780699999999996</c:v>
                </c:pt>
                <c:pt idx="427">
                  <c:v>98.697000000000003</c:v>
                </c:pt>
                <c:pt idx="428">
                  <c:v>99.389200000000002</c:v>
                </c:pt>
                <c:pt idx="429">
                  <c:v>100.75360000000001</c:v>
                </c:pt>
                <c:pt idx="430">
                  <c:v>100.3211</c:v>
                </c:pt>
                <c:pt idx="431">
                  <c:v>100.2004</c:v>
                </c:pt>
                <c:pt idx="432">
                  <c:v>97.337599999999995</c:v>
                </c:pt>
                <c:pt idx="433">
                  <c:v>98.618600000000001</c:v>
                </c:pt>
                <c:pt idx="434">
                  <c:v>98.191199999999995</c:v>
                </c:pt>
                <c:pt idx="435">
                  <c:v>96.816599999999994</c:v>
                </c:pt>
                <c:pt idx="436">
                  <c:v>96.004099999999994</c:v>
                </c:pt>
                <c:pt idx="437">
                  <c:v>94.6935</c:v>
                </c:pt>
                <c:pt idx="438">
                  <c:v>95.726299999999995</c:v>
                </c:pt>
                <c:pt idx="439">
                  <c:v>96.807699999999997</c:v>
                </c:pt>
                <c:pt idx="440">
                  <c:v>98.962299999999999</c:v>
                </c:pt>
                <c:pt idx="441">
                  <c:v>96.0077</c:v>
                </c:pt>
                <c:pt idx="442">
                  <c:v>101.19370000000001</c:v>
                </c:pt>
                <c:pt idx="443">
                  <c:v>101.6905</c:v>
                </c:pt>
                <c:pt idx="444">
                  <c:v>103.1914</c:v>
                </c:pt>
                <c:pt idx="445">
                  <c:v>99.703400000000002</c:v>
                </c:pt>
                <c:pt idx="446">
                  <c:v>96.643000000000001</c:v>
                </c:pt>
                <c:pt idx="447">
                  <c:v>100.6739</c:v>
                </c:pt>
                <c:pt idx="448">
                  <c:v>102.6952</c:v>
                </c:pt>
                <c:pt idx="449">
                  <c:v>101.8014</c:v>
                </c:pt>
                <c:pt idx="450">
                  <c:v>102.09520000000001</c:v>
                </c:pt>
                <c:pt idx="451">
                  <c:v>102.1328</c:v>
                </c:pt>
                <c:pt idx="452">
                  <c:v>98.753100000000003</c:v>
                </c:pt>
                <c:pt idx="453">
                  <c:v>99.984300000000005</c:v>
                </c:pt>
                <c:pt idx="454">
                  <c:v>105.2658</c:v>
                </c:pt>
                <c:pt idx="455">
                  <c:v>103.0813</c:v>
                </c:pt>
                <c:pt idx="456">
                  <c:v>101.2598</c:v>
                </c:pt>
                <c:pt idx="457">
                  <c:v>100.9816</c:v>
                </c:pt>
                <c:pt idx="458">
                  <c:v>100.5693</c:v>
                </c:pt>
                <c:pt idx="459">
                  <c:v>100.0181</c:v>
                </c:pt>
                <c:pt idx="460">
                  <c:v>101.1793</c:v>
                </c:pt>
                <c:pt idx="461">
                  <c:v>102.8909</c:v>
                </c:pt>
                <c:pt idx="462">
                  <c:v>102.79179999999999</c:v>
                </c:pt>
                <c:pt idx="463">
                  <c:v>100.9898</c:v>
                </c:pt>
                <c:pt idx="464">
                  <c:v>99.679400000000001</c:v>
                </c:pt>
                <c:pt idx="465">
                  <c:v>98.964299999999994</c:v>
                </c:pt>
                <c:pt idx="466">
                  <c:v>97.685400000000001</c:v>
                </c:pt>
                <c:pt idx="467">
                  <c:v>95.034499999999994</c:v>
                </c:pt>
                <c:pt idx="468">
                  <c:v>95.707700000000003</c:v>
                </c:pt>
                <c:pt idx="469">
                  <c:v>94.389600000000002</c:v>
                </c:pt>
                <c:pt idx="470">
                  <c:v>97.753100000000003</c:v>
                </c:pt>
                <c:pt idx="471">
                  <c:v>101.964</c:v>
                </c:pt>
                <c:pt idx="472">
                  <c:v>99.7774</c:v>
                </c:pt>
                <c:pt idx="473">
                  <c:v>101.5692</c:v>
                </c:pt>
                <c:pt idx="474">
                  <c:v>100.4208</c:v>
                </c:pt>
                <c:pt idx="475">
                  <c:v>98.699799999999996</c:v>
                </c:pt>
                <c:pt idx="476">
                  <c:v>100.5003</c:v>
                </c:pt>
                <c:pt idx="477">
                  <c:v>99.540099999999995</c:v>
                </c:pt>
                <c:pt idx="478">
                  <c:v>96.674499999999995</c:v>
                </c:pt>
                <c:pt idx="479">
                  <c:v>98.090999999999994</c:v>
                </c:pt>
                <c:pt idx="480">
                  <c:v>98.662800000000004</c:v>
                </c:pt>
                <c:pt idx="481">
                  <c:v>102.6965</c:v>
                </c:pt>
                <c:pt idx="482">
                  <c:v>102.3365</c:v>
                </c:pt>
                <c:pt idx="483">
                  <c:v>100.14239999999999</c:v>
                </c:pt>
                <c:pt idx="484">
                  <c:v>99.072599999999994</c:v>
                </c:pt>
                <c:pt idx="485">
                  <c:v>98.989400000000003</c:v>
                </c:pt>
                <c:pt idx="486">
                  <c:v>98.742000000000004</c:v>
                </c:pt>
                <c:pt idx="487">
                  <c:v>100.0003</c:v>
                </c:pt>
                <c:pt idx="488">
                  <c:v>101.48860000000001</c:v>
                </c:pt>
                <c:pt idx="489">
                  <c:v>102.6978</c:v>
                </c:pt>
                <c:pt idx="490">
                  <c:v>105.16719999999999</c:v>
                </c:pt>
                <c:pt idx="491">
                  <c:v>106.21259999999999</c:v>
                </c:pt>
                <c:pt idx="492">
                  <c:v>105.239</c:v>
                </c:pt>
                <c:pt idx="493">
                  <c:v>104.7718</c:v>
                </c:pt>
                <c:pt idx="494">
                  <c:v>101.86</c:v>
                </c:pt>
                <c:pt idx="495">
                  <c:v>101.6146</c:v>
                </c:pt>
                <c:pt idx="496">
                  <c:v>99.918999999999997</c:v>
                </c:pt>
                <c:pt idx="497">
                  <c:v>97.729299999999995</c:v>
                </c:pt>
                <c:pt idx="498">
                  <c:v>98.548900000000003</c:v>
                </c:pt>
                <c:pt idx="499">
                  <c:v>100.67019999999999</c:v>
                </c:pt>
                <c:pt idx="500">
                  <c:v>101.31529999999999</c:v>
                </c:pt>
                <c:pt idx="501">
                  <c:v>104.3845</c:v>
                </c:pt>
                <c:pt idx="502">
                  <c:v>101.2255</c:v>
                </c:pt>
                <c:pt idx="503">
                  <c:v>102.36969999999999</c:v>
                </c:pt>
                <c:pt idx="504">
                  <c:v>107.6135</c:v>
                </c:pt>
                <c:pt idx="505">
                  <c:v>104.437</c:v>
                </c:pt>
                <c:pt idx="506">
                  <c:v>101.5466</c:v>
                </c:pt>
                <c:pt idx="507">
                  <c:v>100.3026</c:v>
                </c:pt>
                <c:pt idx="508">
                  <c:v>101.1622</c:v>
                </c:pt>
                <c:pt idx="509">
                  <c:v>100.53870000000001</c:v>
                </c:pt>
                <c:pt idx="510">
                  <c:v>100.8438</c:v>
                </c:pt>
                <c:pt idx="511">
                  <c:v>101.82810000000001</c:v>
                </c:pt>
                <c:pt idx="512">
                  <c:v>100.4087</c:v>
                </c:pt>
                <c:pt idx="513">
                  <c:v>97.724400000000003</c:v>
                </c:pt>
                <c:pt idx="514">
                  <c:v>95.655900000000003</c:v>
                </c:pt>
                <c:pt idx="515">
                  <c:v>99.796800000000005</c:v>
                </c:pt>
                <c:pt idx="516">
                  <c:v>99.523799999999994</c:v>
                </c:pt>
                <c:pt idx="517">
                  <c:v>95.404300000000006</c:v>
                </c:pt>
                <c:pt idx="518">
                  <c:v>101.4188</c:v>
                </c:pt>
                <c:pt idx="519">
                  <c:v>99.861599999999996</c:v>
                </c:pt>
                <c:pt idx="520">
                  <c:v>102.8034</c:v>
                </c:pt>
                <c:pt idx="521">
                  <c:v>102.9808</c:v>
                </c:pt>
                <c:pt idx="522">
                  <c:v>105.042</c:v>
                </c:pt>
                <c:pt idx="523">
                  <c:v>102.5745</c:v>
                </c:pt>
                <c:pt idx="524">
                  <c:v>99.6173</c:v>
                </c:pt>
                <c:pt idx="525">
                  <c:v>97.071200000000005</c:v>
                </c:pt>
                <c:pt idx="526">
                  <c:v>103.077</c:v>
                </c:pt>
                <c:pt idx="527">
                  <c:v>97.831100000000006</c:v>
                </c:pt>
                <c:pt idx="528">
                  <c:v>92.947800000000001</c:v>
                </c:pt>
                <c:pt idx="529">
                  <c:v>99.710800000000006</c:v>
                </c:pt>
                <c:pt idx="530">
                  <c:v>99.642399999999995</c:v>
                </c:pt>
                <c:pt idx="531">
                  <c:v>100.7774</c:v>
                </c:pt>
                <c:pt idx="532">
                  <c:v>100.9515</c:v>
                </c:pt>
                <c:pt idx="533">
                  <c:v>101.5258</c:v>
                </c:pt>
                <c:pt idx="534">
                  <c:v>99.749600000000001</c:v>
                </c:pt>
                <c:pt idx="535">
                  <c:v>99.285700000000006</c:v>
                </c:pt>
                <c:pt idx="536">
                  <c:v>101.4318</c:v>
                </c:pt>
                <c:pt idx="537">
                  <c:v>101.2769</c:v>
                </c:pt>
                <c:pt idx="538">
                  <c:v>104.86920000000001</c:v>
                </c:pt>
                <c:pt idx="539">
                  <c:v>107.6914</c:v>
                </c:pt>
                <c:pt idx="540">
                  <c:v>100.66249999999999</c:v>
                </c:pt>
                <c:pt idx="541">
                  <c:v>103.3884</c:v>
                </c:pt>
                <c:pt idx="542">
                  <c:v>107.8539</c:v>
                </c:pt>
                <c:pt idx="543">
                  <c:v>104.438</c:v>
                </c:pt>
                <c:pt idx="544">
                  <c:v>104.55929999999999</c:v>
                </c:pt>
                <c:pt idx="545">
                  <c:v>103.82510000000001</c:v>
                </c:pt>
                <c:pt idx="546">
                  <c:v>104.7383</c:v>
                </c:pt>
                <c:pt idx="547">
                  <c:v>104.3374</c:v>
                </c:pt>
                <c:pt idx="548">
                  <c:v>106.0998</c:v>
                </c:pt>
                <c:pt idx="549">
                  <c:v>107.48569999999999</c:v>
                </c:pt>
                <c:pt idx="550">
                  <c:v>103.3369</c:v>
                </c:pt>
                <c:pt idx="551">
                  <c:v>104.4662</c:v>
                </c:pt>
                <c:pt idx="552">
                  <c:v>105.15430000000001</c:v>
                </c:pt>
                <c:pt idx="553">
                  <c:v>106.0924</c:v>
                </c:pt>
                <c:pt idx="554">
                  <c:v>102.9877</c:v>
                </c:pt>
                <c:pt idx="555">
                  <c:v>104.29470000000001</c:v>
                </c:pt>
                <c:pt idx="556">
                  <c:v>101.07129999999999</c:v>
                </c:pt>
                <c:pt idx="557">
                  <c:v>104.3182</c:v>
                </c:pt>
                <c:pt idx="558">
                  <c:v>103.274</c:v>
                </c:pt>
                <c:pt idx="559">
                  <c:v>105.05</c:v>
                </c:pt>
                <c:pt idx="560">
                  <c:v>103.9808</c:v>
                </c:pt>
                <c:pt idx="561">
                  <c:v>104.9438</c:v>
                </c:pt>
                <c:pt idx="562">
                  <c:v>102.5188</c:v>
                </c:pt>
                <c:pt idx="563">
                  <c:v>99.0595</c:v>
                </c:pt>
                <c:pt idx="564">
                  <c:v>102.0314</c:v>
                </c:pt>
                <c:pt idx="565">
                  <c:v>98.553700000000006</c:v>
                </c:pt>
                <c:pt idx="566">
                  <c:v>100.4235</c:v>
                </c:pt>
                <c:pt idx="567">
                  <c:v>98.558199999999999</c:v>
                </c:pt>
                <c:pt idx="568">
                  <c:v>100.9439</c:v>
                </c:pt>
                <c:pt idx="569">
                  <c:v>105.1296</c:v>
                </c:pt>
                <c:pt idx="570">
                  <c:v>102.5446</c:v>
                </c:pt>
                <c:pt idx="571">
                  <c:v>100.7128</c:v>
                </c:pt>
                <c:pt idx="572">
                  <c:v>101.452</c:v>
                </c:pt>
                <c:pt idx="573">
                  <c:v>97.662800000000004</c:v>
                </c:pt>
                <c:pt idx="574">
                  <c:v>104.5528</c:v>
                </c:pt>
                <c:pt idx="575">
                  <c:v>101.7159</c:v>
                </c:pt>
                <c:pt idx="576">
                  <c:v>108.2527</c:v>
                </c:pt>
                <c:pt idx="577">
                  <c:v>99.933800000000005</c:v>
                </c:pt>
                <c:pt idx="578">
                  <c:v>102.10599999999999</c:v>
                </c:pt>
                <c:pt idx="579">
                  <c:v>101.57940000000001</c:v>
                </c:pt>
                <c:pt idx="580">
                  <c:v>105.8571</c:v>
                </c:pt>
                <c:pt idx="581">
                  <c:v>103.5836</c:v>
                </c:pt>
                <c:pt idx="582">
                  <c:v>105.2512</c:v>
                </c:pt>
                <c:pt idx="583">
                  <c:v>103.3258</c:v>
                </c:pt>
                <c:pt idx="584">
                  <c:v>100.4297</c:v>
                </c:pt>
                <c:pt idx="585">
                  <c:v>101.8721</c:v>
                </c:pt>
                <c:pt idx="586">
                  <c:v>100.4218</c:v>
                </c:pt>
                <c:pt idx="587">
                  <c:v>108.3532</c:v>
                </c:pt>
                <c:pt idx="588">
                  <c:v>107.48439999999999</c:v>
                </c:pt>
                <c:pt idx="589">
                  <c:v>103.10420000000001</c:v>
                </c:pt>
                <c:pt idx="590">
                  <c:v>106.7054</c:v>
                </c:pt>
                <c:pt idx="591">
                  <c:v>107.0307</c:v>
                </c:pt>
                <c:pt idx="592">
                  <c:v>107.5915</c:v>
                </c:pt>
                <c:pt idx="593">
                  <c:v>107.7486</c:v>
                </c:pt>
                <c:pt idx="594">
                  <c:v>106.375</c:v>
                </c:pt>
                <c:pt idx="595">
                  <c:v>104.1845</c:v>
                </c:pt>
                <c:pt idx="596">
                  <c:v>101.5137</c:v>
                </c:pt>
                <c:pt idx="597">
                  <c:v>104.3045</c:v>
                </c:pt>
                <c:pt idx="598">
                  <c:v>109.58369999999999</c:v>
                </c:pt>
                <c:pt idx="599">
                  <c:v>98.730800000000002</c:v>
                </c:pt>
              </c:numCache>
            </c:numRef>
          </c:val>
          <c:smooth val="0"/>
          <c:extLst>
            <c:ext xmlns:c16="http://schemas.microsoft.com/office/drawing/2014/chart" uri="{C3380CC4-5D6E-409C-BE32-E72D297353CC}">
              <c16:uniqueId val="{00000000-3C1C-45D7-8F3F-2D78C1D70EF2}"/>
            </c:ext>
          </c:extLst>
        </c:ser>
        <c:dLbls>
          <c:showLegendKey val="0"/>
          <c:showVal val="0"/>
          <c:showCatName val="0"/>
          <c:showSerName val="0"/>
          <c:showPercent val="0"/>
          <c:showBubbleSize val="0"/>
        </c:dLbls>
        <c:smooth val="0"/>
        <c:axId val="1972772383"/>
        <c:axId val="1972774031"/>
      </c:lineChart>
      <c:dateAx>
        <c:axId val="19727723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4031"/>
        <c:crosses val="autoZero"/>
        <c:auto val="0"/>
        <c:lblOffset val="100"/>
        <c:baseTimeUnit val="months"/>
      </c:dateAx>
      <c:valAx>
        <c:axId val="1972774031"/>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23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Utilities!$U$2</c:f>
          <c:strCache>
            <c:ptCount val="1"/>
            <c:pt idx="0">
              <c:v>Industrial Production: Electric and gas utilities yoy</c:v>
            </c:pt>
          </c:strCache>
        </c:strRef>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00B050"/>
            </a:solidFill>
            <a:ln>
              <a:noFill/>
              <a:prstDash val="solid"/>
            </a:ln>
          </c:spPr>
          <c:invertIfNegative val="1"/>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pt idx="599">
                  <c:v>44927</c:v>
                </c:pt>
              </c:numCache>
            </c:numRef>
          </c:cat>
          <c:val>
            <c:numRef>
              <c:f>Utilities!$D$20:$D$621</c:f>
              <c:numCache>
                <c:formatCode>0.0%</c:formatCode>
                <c:ptCount val="602"/>
                <c:pt idx="0">
                  <c:v>4.9426278897380438E-2</c:v>
                </c:pt>
                <c:pt idx="1">
                  <c:v>3.7750546460468298E-2</c:v>
                </c:pt>
                <c:pt idx="2">
                  <c:v>4.3831692187192281E-2</c:v>
                </c:pt>
                <c:pt idx="3">
                  <c:v>6.8556329464761034E-2</c:v>
                </c:pt>
                <c:pt idx="4">
                  <c:v>8.9177790914144031E-2</c:v>
                </c:pt>
                <c:pt idx="5">
                  <c:v>8.7588313537287132E-2</c:v>
                </c:pt>
                <c:pt idx="6">
                  <c:v>7.492940657882681E-2</c:v>
                </c:pt>
                <c:pt idx="7">
                  <c:v>9.0377839402081217E-2</c:v>
                </c:pt>
                <c:pt idx="8">
                  <c:v>7.1601004866522391E-2</c:v>
                </c:pt>
                <c:pt idx="9">
                  <c:v>3.8720513977975386E-2</c:v>
                </c:pt>
                <c:pt idx="10">
                  <c:v>-2.0355064846230234E-2</c:v>
                </c:pt>
                <c:pt idx="11">
                  <c:v>-2.4460566444266283E-2</c:v>
                </c:pt>
                <c:pt idx="12">
                  <c:v>-2.7962856635369699E-2</c:v>
                </c:pt>
                <c:pt idx="13">
                  <c:v>-4.6784160754536713E-4</c:v>
                </c:pt>
                <c:pt idx="14">
                  <c:v>8.2415247649943353E-3</c:v>
                </c:pt>
                <c:pt idx="15">
                  <c:v>9.9117700731798479E-3</c:v>
                </c:pt>
                <c:pt idx="16">
                  <c:v>-1.2090061847652954E-2</c:v>
                </c:pt>
                <c:pt idx="17">
                  <c:v>2.1209122811330514E-2</c:v>
                </c:pt>
                <c:pt idx="18">
                  <c:v>3.2521645570904316E-3</c:v>
                </c:pt>
                <c:pt idx="19">
                  <c:v>-3.5591530967815824E-2</c:v>
                </c:pt>
                <c:pt idx="20">
                  <c:v>-4.7403645423916172E-3</c:v>
                </c:pt>
                <c:pt idx="21">
                  <c:v>-1.038148312099408E-2</c:v>
                </c:pt>
                <c:pt idx="22">
                  <c:v>4.9290193793800605E-2</c:v>
                </c:pt>
                <c:pt idx="23">
                  <c:v>2.521046061265652E-2</c:v>
                </c:pt>
                <c:pt idx="24">
                  <c:v>3.6040362145933605E-2</c:v>
                </c:pt>
                <c:pt idx="25">
                  <c:v>3.8147977874255973E-2</c:v>
                </c:pt>
                <c:pt idx="26">
                  <c:v>5.2615997582291525E-2</c:v>
                </c:pt>
                <c:pt idx="27">
                  <c:v>2.1559801598661651E-2</c:v>
                </c:pt>
                <c:pt idx="28">
                  <c:v>7.2751648135393225E-3</c:v>
                </c:pt>
                <c:pt idx="29">
                  <c:v>-6.8205708416710535E-5</c:v>
                </c:pt>
                <c:pt idx="30">
                  <c:v>1.8000918661991099E-2</c:v>
                </c:pt>
                <c:pt idx="31">
                  <c:v>2.6975927752498172E-2</c:v>
                </c:pt>
                <c:pt idx="32">
                  <c:v>-1.2377252250000779E-3</c:v>
                </c:pt>
                <c:pt idx="33">
                  <c:v>8.4315275403346306E-3</c:v>
                </c:pt>
                <c:pt idx="34">
                  <c:v>2.5656204008565033E-2</c:v>
                </c:pt>
                <c:pt idx="35">
                  <c:v>7.042039510520795E-2</c:v>
                </c:pt>
                <c:pt idx="36">
                  <c:v>3.3174665351383525E-2</c:v>
                </c:pt>
                <c:pt idx="37">
                  <c:v>1.6539590618080573E-2</c:v>
                </c:pt>
                <c:pt idx="38">
                  <c:v>-1.7812360840931049E-3</c:v>
                </c:pt>
                <c:pt idx="39">
                  <c:v>1.2914483778390778E-2</c:v>
                </c:pt>
                <c:pt idx="40">
                  <c:v>4.6404666109045339E-2</c:v>
                </c:pt>
                <c:pt idx="41">
                  <c:v>3.5571703132460497E-2</c:v>
                </c:pt>
                <c:pt idx="42">
                  <c:v>2.9930847775659783E-2</c:v>
                </c:pt>
                <c:pt idx="43">
                  <c:v>4.3141937493510439E-2</c:v>
                </c:pt>
                <c:pt idx="44">
                  <c:v>5.6719627141175469E-2</c:v>
                </c:pt>
                <c:pt idx="45">
                  <c:v>0.1180448797797939</c:v>
                </c:pt>
                <c:pt idx="46">
                  <c:v>0.10735168268752367</c:v>
                </c:pt>
                <c:pt idx="47">
                  <c:v>7.326046501679119E-2</c:v>
                </c:pt>
                <c:pt idx="48">
                  <c:v>5.9581918189992866E-2</c:v>
                </c:pt>
                <c:pt idx="49">
                  <c:v>3.6225184752976015E-2</c:v>
                </c:pt>
                <c:pt idx="50">
                  <c:v>4.1923958895854326E-2</c:v>
                </c:pt>
                <c:pt idx="51">
                  <c:v>6.1477002044524227E-2</c:v>
                </c:pt>
                <c:pt idx="52">
                  <c:v>6.6121456702484691E-2</c:v>
                </c:pt>
                <c:pt idx="53">
                  <c:v>7.4728442489088415E-2</c:v>
                </c:pt>
                <c:pt idx="54">
                  <c:v>5.3125440267412338E-2</c:v>
                </c:pt>
                <c:pt idx="55">
                  <c:v>4.8434395445792526E-2</c:v>
                </c:pt>
                <c:pt idx="56">
                  <c:v>3.7855493224054293E-2</c:v>
                </c:pt>
                <c:pt idx="57">
                  <c:v>-2.0735507246376884E-2</c:v>
                </c:pt>
                <c:pt idx="58">
                  <c:v>-1.3998644886603609E-2</c:v>
                </c:pt>
                <c:pt idx="59">
                  <c:v>-4.556687731910947E-3</c:v>
                </c:pt>
                <c:pt idx="60">
                  <c:v>4.5761184579040978E-2</c:v>
                </c:pt>
                <c:pt idx="61">
                  <c:v>5.9626081464628396E-2</c:v>
                </c:pt>
                <c:pt idx="62">
                  <c:v>1.9865957834368418E-2</c:v>
                </c:pt>
                <c:pt idx="63">
                  <c:v>2.3253836513329417E-2</c:v>
                </c:pt>
                <c:pt idx="64">
                  <c:v>2.029103950760066E-2</c:v>
                </c:pt>
                <c:pt idx="65">
                  <c:v>-4.4613645827137399E-3</c:v>
                </c:pt>
                <c:pt idx="66">
                  <c:v>2.6154618657889803E-2</c:v>
                </c:pt>
                <c:pt idx="67">
                  <c:v>3.05849145824242E-2</c:v>
                </c:pt>
                <c:pt idx="68">
                  <c:v>2.3265620550415901E-2</c:v>
                </c:pt>
                <c:pt idx="69">
                  <c:v>4.0634238207468643E-2</c:v>
                </c:pt>
                <c:pt idx="70">
                  <c:v>2.3799628888378548E-2</c:v>
                </c:pt>
                <c:pt idx="71">
                  <c:v>4.3214584080331804E-2</c:v>
                </c:pt>
                <c:pt idx="72">
                  <c:v>5.8989287377736302E-2</c:v>
                </c:pt>
                <c:pt idx="73">
                  <c:v>4.324081720584539E-2</c:v>
                </c:pt>
                <c:pt idx="74">
                  <c:v>7.8626693524925434E-2</c:v>
                </c:pt>
                <c:pt idx="75">
                  <c:v>3.0971916627827594E-2</c:v>
                </c:pt>
                <c:pt idx="76">
                  <c:v>5.9646412633023839E-3</c:v>
                </c:pt>
                <c:pt idx="77">
                  <c:v>-3.4583405759317008E-4</c:v>
                </c:pt>
                <c:pt idx="78">
                  <c:v>1.4251272435039891E-3</c:v>
                </c:pt>
                <c:pt idx="79">
                  <c:v>-1.3988268703728967E-2</c:v>
                </c:pt>
                <c:pt idx="80">
                  <c:v>7.5550933103082345E-3</c:v>
                </c:pt>
                <c:pt idx="81">
                  <c:v>1.082274554281726E-2</c:v>
                </c:pt>
                <c:pt idx="82">
                  <c:v>-6.1262749720036617E-3</c:v>
                </c:pt>
                <c:pt idx="83">
                  <c:v>-4.1311038376450761E-2</c:v>
                </c:pt>
                <c:pt idx="84">
                  <c:v>-3.6146555267792063E-2</c:v>
                </c:pt>
                <c:pt idx="85">
                  <c:v>-4.3365582182937562E-4</c:v>
                </c:pt>
                <c:pt idx="86">
                  <c:v>-3.6852167975418224E-2</c:v>
                </c:pt>
                <c:pt idx="87">
                  <c:v>-2.6910292599932398E-2</c:v>
                </c:pt>
                <c:pt idx="88">
                  <c:v>-1.2789887528615504E-2</c:v>
                </c:pt>
                <c:pt idx="89">
                  <c:v>4.4472257592415847E-2</c:v>
                </c:pt>
                <c:pt idx="90">
                  <c:v>3.3662179802692101E-2</c:v>
                </c:pt>
                <c:pt idx="91">
                  <c:v>5.4774092353798313E-2</c:v>
                </c:pt>
                <c:pt idx="92">
                  <c:v>3.0995920564321912E-2</c:v>
                </c:pt>
                <c:pt idx="93">
                  <c:v>2.8172358061015791E-2</c:v>
                </c:pt>
                <c:pt idx="94">
                  <c:v>5.2004700504086107E-2</c:v>
                </c:pt>
                <c:pt idx="95">
                  <c:v>5.3524566594963269E-2</c:v>
                </c:pt>
                <c:pt idx="96">
                  <c:v>-9.80552177064512E-3</c:v>
                </c:pt>
                <c:pt idx="97">
                  <c:v>-1.2724367913451582E-2</c:v>
                </c:pt>
                <c:pt idx="98">
                  <c:v>1.7137175387974778E-2</c:v>
                </c:pt>
                <c:pt idx="99">
                  <c:v>4.8133349419198203E-2</c:v>
                </c:pt>
                <c:pt idx="100">
                  <c:v>7.403913322146928E-2</c:v>
                </c:pt>
                <c:pt idx="101">
                  <c:v>3.1903234197520169E-2</c:v>
                </c:pt>
                <c:pt idx="102">
                  <c:v>5.655390391012041E-3</c:v>
                </c:pt>
                <c:pt idx="103">
                  <c:v>-2.1183416430604566E-2</c:v>
                </c:pt>
                <c:pt idx="104">
                  <c:v>-9.1878617183876869E-4</c:v>
                </c:pt>
                <c:pt idx="105">
                  <c:v>-1.3692514530657198E-2</c:v>
                </c:pt>
                <c:pt idx="106">
                  <c:v>1.0165699194065994E-3</c:v>
                </c:pt>
                <c:pt idx="107">
                  <c:v>1.3993853828919578E-2</c:v>
                </c:pt>
                <c:pt idx="108">
                  <c:v>1.168037944395011E-2</c:v>
                </c:pt>
                <c:pt idx="109">
                  <c:v>-4.5233955808831501E-3</c:v>
                </c:pt>
                <c:pt idx="110">
                  <c:v>-4.133261076773781E-3</c:v>
                </c:pt>
                <c:pt idx="111">
                  <c:v>-4.4811401790806761E-2</c:v>
                </c:pt>
                <c:pt idx="112">
                  <c:v>-6.4803205042242129E-2</c:v>
                </c:pt>
                <c:pt idx="113">
                  <c:v>-6.2652193860316882E-2</c:v>
                </c:pt>
                <c:pt idx="114">
                  <c:v>-5.5072722344407812E-2</c:v>
                </c:pt>
                <c:pt idx="115">
                  <c:v>-3.8383159858482056E-2</c:v>
                </c:pt>
                <c:pt idx="116">
                  <c:v>-4.7411711115503991E-2</c:v>
                </c:pt>
                <c:pt idx="117">
                  <c:v>-2.6181842145880953E-2</c:v>
                </c:pt>
                <c:pt idx="118">
                  <c:v>-7.3996454974432968E-2</c:v>
                </c:pt>
                <c:pt idx="119">
                  <c:v>-7.4642503040896258E-2</c:v>
                </c:pt>
                <c:pt idx="120">
                  <c:v>-7.2850675562033992E-2</c:v>
                </c:pt>
                <c:pt idx="121">
                  <c:v>-3.9173610758335101E-2</c:v>
                </c:pt>
                <c:pt idx="122">
                  <c:v>-2.2052146160427936E-2</c:v>
                </c:pt>
                <c:pt idx="123">
                  <c:v>-1.3388489208633073E-2</c:v>
                </c:pt>
                <c:pt idx="124">
                  <c:v>-1.967015653314836E-2</c:v>
                </c:pt>
                <c:pt idx="125">
                  <c:v>1.4319625075748551E-2</c:v>
                </c:pt>
                <c:pt idx="126">
                  <c:v>6.882534495279595E-2</c:v>
                </c:pt>
                <c:pt idx="127">
                  <c:v>6.2766594700047584E-2</c:v>
                </c:pt>
                <c:pt idx="128">
                  <c:v>4.2950486580905278E-2</c:v>
                </c:pt>
                <c:pt idx="129">
                  <c:v>3.5544340046017607E-2</c:v>
                </c:pt>
                <c:pt idx="130">
                  <c:v>0.11804374262903999</c:v>
                </c:pt>
                <c:pt idx="131">
                  <c:v>0.11645983029660349</c:v>
                </c:pt>
                <c:pt idx="132">
                  <c:v>0.12165108975400689</c:v>
                </c:pt>
                <c:pt idx="133">
                  <c:v>0.10872624912033785</c:v>
                </c:pt>
                <c:pt idx="134">
                  <c:v>8.2428887863075354E-2</c:v>
                </c:pt>
                <c:pt idx="135">
                  <c:v>0.11315891176105994</c:v>
                </c:pt>
                <c:pt idx="136">
                  <c:v>0.11057417169018892</c:v>
                </c:pt>
                <c:pt idx="137">
                  <c:v>4.4575989875440383E-2</c:v>
                </c:pt>
                <c:pt idx="138">
                  <c:v>1.4491030373240392E-2</c:v>
                </c:pt>
                <c:pt idx="139">
                  <c:v>6.4077894744012046E-3</c:v>
                </c:pt>
                <c:pt idx="140">
                  <c:v>2.2016523206021037E-2</c:v>
                </c:pt>
                <c:pt idx="141">
                  <c:v>2.888304559204662E-2</c:v>
                </c:pt>
                <c:pt idx="142">
                  <c:v>-3.3496816594783305E-2</c:v>
                </c:pt>
                <c:pt idx="143">
                  <c:v>1.0800703117528159E-2</c:v>
                </c:pt>
                <c:pt idx="144">
                  <c:v>6.8600694093466807E-2</c:v>
                </c:pt>
                <c:pt idx="145">
                  <c:v>-5.000468639777246E-3</c:v>
                </c:pt>
                <c:pt idx="146">
                  <c:v>1.0003702626219942E-2</c:v>
                </c:pt>
                <c:pt idx="147">
                  <c:v>-1.5705091462915402E-3</c:v>
                </c:pt>
                <c:pt idx="148">
                  <c:v>-5.2107085411168168E-3</c:v>
                </c:pt>
                <c:pt idx="149">
                  <c:v>2.6057072077864871E-2</c:v>
                </c:pt>
                <c:pt idx="150">
                  <c:v>1.3046681401111832E-2</c:v>
                </c:pt>
                <c:pt idx="151">
                  <c:v>4.3518206752089963E-2</c:v>
                </c:pt>
                <c:pt idx="152">
                  <c:v>3.4685965803284174E-2</c:v>
                </c:pt>
                <c:pt idx="153">
                  <c:v>1.9830246139754412E-2</c:v>
                </c:pt>
                <c:pt idx="154">
                  <c:v>8.6614601572832753E-2</c:v>
                </c:pt>
                <c:pt idx="155">
                  <c:v>9.7342216537899106E-3</c:v>
                </c:pt>
                <c:pt idx="156">
                  <c:v>-3.2579221188711933E-2</c:v>
                </c:pt>
                <c:pt idx="157">
                  <c:v>-1.123777478838008E-4</c:v>
                </c:pt>
                <c:pt idx="158">
                  <c:v>-3.9245337365882158E-3</c:v>
                </c:pt>
                <c:pt idx="159">
                  <c:v>9.9315860521494263E-3</c:v>
                </c:pt>
                <c:pt idx="160">
                  <c:v>2.4988497909764065E-2</c:v>
                </c:pt>
                <c:pt idx="161">
                  <c:v>3.9805663529423503E-2</c:v>
                </c:pt>
                <c:pt idx="162">
                  <c:v>1.6458633592933973E-2</c:v>
                </c:pt>
                <c:pt idx="163">
                  <c:v>6.7824696750803364E-3</c:v>
                </c:pt>
                <c:pt idx="164">
                  <c:v>2.2462773381065455E-2</c:v>
                </c:pt>
                <c:pt idx="165">
                  <c:v>2.4704085278508949E-2</c:v>
                </c:pt>
                <c:pt idx="166">
                  <c:v>-8.0664843520216155E-3</c:v>
                </c:pt>
                <c:pt idx="167">
                  <c:v>9.630686362101527E-3</c:v>
                </c:pt>
                <c:pt idx="168">
                  <c:v>2.8212210841950039E-2</c:v>
                </c:pt>
                <c:pt idx="169">
                  <c:v>5.3937464671406969E-2</c:v>
                </c:pt>
                <c:pt idx="170">
                  <c:v>5.7892315528317674E-2</c:v>
                </c:pt>
                <c:pt idx="171">
                  <c:v>5.3304554298502789E-2</c:v>
                </c:pt>
                <c:pt idx="172">
                  <c:v>5.8987271872986781E-2</c:v>
                </c:pt>
                <c:pt idx="173">
                  <c:v>4.2064494027038525E-2</c:v>
                </c:pt>
                <c:pt idx="174">
                  <c:v>8.2518414933576201E-2</c:v>
                </c:pt>
                <c:pt idx="175">
                  <c:v>4.9471751594408232E-2</c:v>
                </c:pt>
                <c:pt idx="176">
                  <c:v>5.3050160181015819E-2</c:v>
                </c:pt>
                <c:pt idx="177">
                  <c:v>5.2933790775973058E-2</c:v>
                </c:pt>
                <c:pt idx="178">
                  <c:v>3.8412887677593634E-2</c:v>
                </c:pt>
                <c:pt idx="179">
                  <c:v>8.2376944248863854E-2</c:v>
                </c:pt>
                <c:pt idx="180">
                  <c:v>9.4307445791801822E-2</c:v>
                </c:pt>
                <c:pt idx="181">
                  <c:v>7.8714942571996557E-2</c:v>
                </c:pt>
                <c:pt idx="182">
                  <c:v>5.66376491966483E-2</c:v>
                </c:pt>
                <c:pt idx="183">
                  <c:v>4.5512507189147476E-2</c:v>
                </c:pt>
                <c:pt idx="184">
                  <c:v>4.7606995288700486E-2</c:v>
                </c:pt>
                <c:pt idx="185">
                  <c:v>5.5836110984277702E-2</c:v>
                </c:pt>
                <c:pt idx="186">
                  <c:v>7.8353646629755094E-2</c:v>
                </c:pt>
                <c:pt idx="187">
                  <c:v>5.1140357069416005E-2</c:v>
                </c:pt>
                <c:pt idx="188">
                  <c:v>4.797969820839721E-2</c:v>
                </c:pt>
                <c:pt idx="189">
                  <c:v>4.2194406890370732E-2</c:v>
                </c:pt>
                <c:pt idx="190">
                  <c:v>4.8363652380742694E-2</c:v>
                </c:pt>
                <c:pt idx="191">
                  <c:v>-1.3709363851809398E-2</c:v>
                </c:pt>
                <c:pt idx="192">
                  <c:v>1.4762835831703978E-2</c:v>
                </c:pt>
                <c:pt idx="193">
                  <c:v>4.5639968482050312E-2</c:v>
                </c:pt>
                <c:pt idx="194">
                  <c:v>2.8424357519564056E-2</c:v>
                </c:pt>
                <c:pt idx="195">
                  <c:v>3.674579390735986E-2</c:v>
                </c:pt>
                <c:pt idx="196">
                  <c:v>2.0647829845697983E-2</c:v>
                </c:pt>
                <c:pt idx="197">
                  <c:v>1.6192505290349369E-2</c:v>
                </c:pt>
                <c:pt idx="198">
                  <c:v>-5.3809647848379015E-3</c:v>
                </c:pt>
                <c:pt idx="199">
                  <c:v>2.87008203362808E-2</c:v>
                </c:pt>
                <c:pt idx="200">
                  <c:v>3.4962966400055799E-2</c:v>
                </c:pt>
                <c:pt idx="201">
                  <c:v>5.0082569703259153E-2</c:v>
                </c:pt>
                <c:pt idx="202">
                  <c:v>0.11896051890024902</c:v>
                </c:pt>
                <c:pt idx="203">
                  <c:v>7.0339036403917851E-2</c:v>
                </c:pt>
                <c:pt idx="204">
                  <c:v>6.354163247188651E-3</c:v>
                </c:pt>
                <c:pt idx="205">
                  <c:v>-5.9700579487692992E-3</c:v>
                </c:pt>
                <c:pt idx="206">
                  <c:v>2.8742121285748934E-2</c:v>
                </c:pt>
                <c:pt idx="207">
                  <c:v>2.9565563742923014E-2</c:v>
                </c:pt>
                <c:pt idx="208">
                  <c:v>4.2592056536538012E-2</c:v>
                </c:pt>
                <c:pt idx="209">
                  <c:v>3.3725843997225301E-2</c:v>
                </c:pt>
                <c:pt idx="210">
                  <c:v>3.0419949638534647E-2</c:v>
                </c:pt>
                <c:pt idx="211">
                  <c:v>5.6526761866646291E-2</c:v>
                </c:pt>
                <c:pt idx="212">
                  <c:v>2.717315160923334E-2</c:v>
                </c:pt>
                <c:pt idx="213">
                  <c:v>-3.5422403837612445E-3</c:v>
                </c:pt>
                <c:pt idx="214">
                  <c:v>-6.4163534406523601E-2</c:v>
                </c:pt>
                <c:pt idx="215">
                  <c:v>2.9862012657359216E-2</c:v>
                </c:pt>
                <c:pt idx="216">
                  <c:v>1.6386444379835344E-2</c:v>
                </c:pt>
                <c:pt idx="217">
                  <c:v>1.5972876880169799E-2</c:v>
                </c:pt>
                <c:pt idx="218">
                  <c:v>8.1399872183168399E-3</c:v>
                </c:pt>
                <c:pt idx="219">
                  <c:v>4.6287187536268697E-2</c:v>
                </c:pt>
                <c:pt idx="220">
                  <c:v>3.9493947890309876E-2</c:v>
                </c:pt>
                <c:pt idx="221">
                  <c:v>3.4854073695939791E-2</c:v>
                </c:pt>
                <c:pt idx="222">
                  <c:v>1.7636209682790189E-2</c:v>
                </c:pt>
                <c:pt idx="223">
                  <c:v>4.0499588959396213E-3</c:v>
                </c:pt>
                <c:pt idx="224">
                  <c:v>1.8408213314855947E-2</c:v>
                </c:pt>
                <c:pt idx="225">
                  <c:v>5.0036495536958034E-2</c:v>
                </c:pt>
                <c:pt idx="226">
                  <c:v>1.5373908904885651E-2</c:v>
                </c:pt>
                <c:pt idx="227">
                  <c:v>-6.7761438397332561E-3</c:v>
                </c:pt>
                <c:pt idx="228">
                  <c:v>2.5774123734212947E-2</c:v>
                </c:pt>
                <c:pt idx="229">
                  <c:v>8.4349557120083352E-3</c:v>
                </c:pt>
                <c:pt idx="230">
                  <c:v>3.2899279118128934E-2</c:v>
                </c:pt>
                <c:pt idx="231">
                  <c:v>-2.4126296606868113E-2</c:v>
                </c:pt>
                <c:pt idx="232">
                  <c:v>-4.1877514716601803E-2</c:v>
                </c:pt>
                <c:pt idx="233">
                  <c:v>-2.8443635852506765E-2</c:v>
                </c:pt>
                <c:pt idx="234">
                  <c:v>-2.4474613848691595E-2</c:v>
                </c:pt>
                <c:pt idx="235">
                  <c:v>-8.1742739144337363E-3</c:v>
                </c:pt>
                <c:pt idx="236">
                  <c:v>9.5788237279465401E-3</c:v>
                </c:pt>
                <c:pt idx="237">
                  <c:v>8.5710457577900766E-3</c:v>
                </c:pt>
                <c:pt idx="238">
                  <c:v>5.3195620626928869E-2</c:v>
                </c:pt>
                <c:pt idx="239">
                  <c:v>2.2464679876942603E-2</c:v>
                </c:pt>
                <c:pt idx="240">
                  <c:v>4.3674502122102506E-2</c:v>
                </c:pt>
                <c:pt idx="241">
                  <c:v>5.7939219859414741E-2</c:v>
                </c:pt>
                <c:pt idx="242">
                  <c:v>2.2018326591168674E-2</c:v>
                </c:pt>
                <c:pt idx="243">
                  <c:v>8.3342918422992882E-3</c:v>
                </c:pt>
                <c:pt idx="244">
                  <c:v>4.9268193540767731E-2</c:v>
                </c:pt>
                <c:pt idx="245">
                  <c:v>5.7773385944343524E-2</c:v>
                </c:pt>
                <c:pt idx="246">
                  <c:v>6.7659259867745569E-2</c:v>
                </c:pt>
                <c:pt idx="247">
                  <c:v>4.0053577426260131E-2</c:v>
                </c:pt>
                <c:pt idx="248">
                  <c:v>1.947866739011327E-2</c:v>
                </c:pt>
                <c:pt idx="249">
                  <c:v>1.7406790673937779E-2</c:v>
                </c:pt>
                <c:pt idx="250">
                  <c:v>4.8115300769147572E-3</c:v>
                </c:pt>
                <c:pt idx="251">
                  <c:v>7.0450013993055727E-2</c:v>
                </c:pt>
                <c:pt idx="252">
                  <c:v>3.1529171326310591E-2</c:v>
                </c:pt>
                <c:pt idx="253">
                  <c:v>4.5319052842117749E-3</c:v>
                </c:pt>
                <c:pt idx="254">
                  <c:v>6.5351200694502261E-3</c:v>
                </c:pt>
                <c:pt idx="255">
                  <c:v>3.0234018739750398E-2</c:v>
                </c:pt>
                <c:pt idx="256">
                  <c:v>4.782776559892675E-2</c:v>
                </c:pt>
                <c:pt idx="257">
                  <c:v>1.4695445947236168E-2</c:v>
                </c:pt>
                <c:pt idx="258">
                  <c:v>1.4233889737366038E-3</c:v>
                </c:pt>
                <c:pt idx="259">
                  <c:v>1.2000503209256032E-2</c:v>
                </c:pt>
                <c:pt idx="260">
                  <c:v>1.8963358933585812E-2</c:v>
                </c:pt>
                <c:pt idx="261">
                  <c:v>5.5694029310468449E-3</c:v>
                </c:pt>
                <c:pt idx="262">
                  <c:v>2.6639919449328825E-3</c:v>
                </c:pt>
                <c:pt idx="263">
                  <c:v>-1.8142107126371949E-2</c:v>
                </c:pt>
                <c:pt idx="264">
                  <c:v>8.3521182285935366E-4</c:v>
                </c:pt>
                <c:pt idx="265">
                  <c:v>1.6799792411190274E-2</c:v>
                </c:pt>
                <c:pt idx="266">
                  <c:v>3.6241555028981146E-2</c:v>
                </c:pt>
                <c:pt idx="267">
                  <c:v>5.6385252767092782E-2</c:v>
                </c:pt>
                <c:pt idx="268">
                  <c:v>6.1964554925627883E-3</c:v>
                </c:pt>
                <c:pt idx="269">
                  <c:v>3.7171076474679966E-2</c:v>
                </c:pt>
                <c:pt idx="270">
                  <c:v>8.6019522651577016E-2</c:v>
                </c:pt>
                <c:pt idx="271">
                  <c:v>4.1968258524882597E-2</c:v>
                </c:pt>
                <c:pt idx="272">
                  <c:v>3.9405916570355887E-2</c:v>
                </c:pt>
                <c:pt idx="273">
                  <c:v>5.9608906945051533E-2</c:v>
                </c:pt>
                <c:pt idx="274">
                  <c:v>6.6543559134634514E-2</c:v>
                </c:pt>
                <c:pt idx="275">
                  <c:v>6.7900951449087199E-2</c:v>
                </c:pt>
                <c:pt idx="276">
                  <c:v>7.1913462958778013E-2</c:v>
                </c:pt>
                <c:pt idx="277">
                  <c:v>6.9683149303888747E-2</c:v>
                </c:pt>
                <c:pt idx="278">
                  <c:v>5.2581843487316031E-2</c:v>
                </c:pt>
                <c:pt idx="279">
                  <c:v>4.7895788864925695E-2</c:v>
                </c:pt>
                <c:pt idx="280">
                  <c:v>4.0886069664092785E-2</c:v>
                </c:pt>
                <c:pt idx="281">
                  <c:v>-7.3232453268794141E-3</c:v>
                </c:pt>
                <c:pt idx="282">
                  <c:v>-3.3104001226248729E-2</c:v>
                </c:pt>
                <c:pt idx="283">
                  <c:v>4.3687242636386899E-3</c:v>
                </c:pt>
                <c:pt idx="284">
                  <c:v>1.3714013308564149E-2</c:v>
                </c:pt>
                <c:pt idx="285">
                  <c:v>1.909037412716813E-2</c:v>
                </c:pt>
                <c:pt idx="286">
                  <c:v>-7.8262146887073797E-5</c:v>
                </c:pt>
                <c:pt idx="287">
                  <c:v>-3.4120572080318756E-4</c:v>
                </c:pt>
                <c:pt idx="288">
                  <c:v>-2.433577766837302E-2</c:v>
                </c:pt>
                <c:pt idx="289">
                  <c:v>-4.2970507749525516E-2</c:v>
                </c:pt>
                <c:pt idx="290">
                  <c:v>-1.4025387199381555E-2</c:v>
                </c:pt>
                <c:pt idx="291">
                  <c:v>-3.7553055914785735E-2</c:v>
                </c:pt>
                <c:pt idx="292">
                  <c:v>-2.9113303606247639E-2</c:v>
                </c:pt>
                <c:pt idx="293">
                  <c:v>2.6988238113058938E-2</c:v>
                </c:pt>
                <c:pt idx="294">
                  <c:v>9.5471069058910354E-3</c:v>
                </c:pt>
                <c:pt idx="295">
                  <c:v>2.5426032691488205E-2</c:v>
                </c:pt>
                <c:pt idx="296">
                  <c:v>3.3175206102725348E-2</c:v>
                </c:pt>
                <c:pt idx="297">
                  <c:v>1.4012065449168352E-2</c:v>
                </c:pt>
                <c:pt idx="298">
                  <c:v>2.1125208765564726E-2</c:v>
                </c:pt>
                <c:pt idx="299">
                  <c:v>-2.8224718886573567E-2</c:v>
                </c:pt>
                <c:pt idx="300">
                  <c:v>-5.7751552435125293E-3</c:v>
                </c:pt>
                <c:pt idx="301">
                  <c:v>4.6867016983539608E-2</c:v>
                </c:pt>
                <c:pt idx="302">
                  <c:v>1.3428929786053543E-2</c:v>
                </c:pt>
                <c:pt idx="303">
                  <c:v>4.7774905917363768E-2</c:v>
                </c:pt>
                <c:pt idx="304">
                  <c:v>6.9918499456458269E-2</c:v>
                </c:pt>
                <c:pt idx="305">
                  <c:v>5.0703547805171299E-2</c:v>
                </c:pt>
                <c:pt idx="306">
                  <c:v>4.9300129972411087E-2</c:v>
                </c:pt>
                <c:pt idx="307">
                  <c:v>5.4702418413909361E-2</c:v>
                </c:pt>
                <c:pt idx="308">
                  <c:v>2.5431522935176993E-2</c:v>
                </c:pt>
                <c:pt idx="309">
                  <c:v>2.3013122176192399E-4</c:v>
                </c:pt>
                <c:pt idx="310">
                  <c:v>6.8748297506783258E-3</c:v>
                </c:pt>
                <c:pt idx="311">
                  <c:v>7.2864216695240333E-2</c:v>
                </c:pt>
                <c:pt idx="312">
                  <c:v>4.3432913384297098E-2</c:v>
                </c:pt>
                <c:pt idx="313">
                  <c:v>4.3527515911403122E-2</c:v>
                </c:pt>
                <c:pt idx="314">
                  <c:v>4.6108899638825931E-2</c:v>
                </c:pt>
                <c:pt idx="315">
                  <c:v>1.7027374257998742E-2</c:v>
                </c:pt>
                <c:pt idx="316">
                  <c:v>1.5058103891273034E-2</c:v>
                </c:pt>
                <c:pt idx="317">
                  <c:v>3.3827804866881826E-2</c:v>
                </c:pt>
                <c:pt idx="318">
                  <c:v>2.6999523415933539E-2</c:v>
                </c:pt>
                <c:pt idx="319">
                  <c:v>3.42741456090711E-3</c:v>
                </c:pt>
                <c:pt idx="320">
                  <c:v>1.0556842556842664E-2</c:v>
                </c:pt>
                <c:pt idx="321">
                  <c:v>2.1997126369317794E-2</c:v>
                </c:pt>
                <c:pt idx="322">
                  <c:v>3.7273482141497852E-2</c:v>
                </c:pt>
                <c:pt idx="323">
                  <c:v>1.2763292998275057E-2</c:v>
                </c:pt>
                <c:pt idx="324">
                  <c:v>4.2956236188897948E-2</c:v>
                </c:pt>
                <c:pt idx="325">
                  <c:v>-1.5337516874431729E-2</c:v>
                </c:pt>
                <c:pt idx="326">
                  <c:v>1.2796609109038064E-2</c:v>
                </c:pt>
                <c:pt idx="327">
                  <c:v>5.9361034460998448E-2</c:v>
                </c:pt>
                <c:pt idx="328">
                  <c:v>2.8976114696508126E-2</c:v>
                </c:pt>
                <c:pt idx="329">
                  <c:v>-2.2643581698246418E-2</c:v>
                </c:pt>
                <c:pt idx="330">
                  <c:v>1.8542016015495429E-2</c:v>
                </c:pt>
                <c:pt idx="331">
                  <c:v>3.0278718122319886E-2</c:v>
                </c:pt>
                <c:pt idx="332">
                  <c:v>2.3305518858259402E-2</c:v>
                </c:pt>
                <c:pt idx="333">
                  <c:v>7.5068083429911711E-2</c:v>
                </c:pt>
                <c:pt idx="334">
                  <c:v>8.1039701832609348E-2</c:v>
                </c:pt>
                <c:pt idx="335">
                  <c:v>6.1722590248759757E-2</c:v>
                </c:pt>
                <c:pt idx="336">
                  <c:v>2.7143364000901511E-2</c:v>
                </c:pt>
                <c:pt idx="337">
                  <c:v>4.8630280001560423E-2</c:v>
                </c:pt>
                <c:pt idx="338">
                  <c:v>2.1438600038188899E-2</c:v>
                </c:pt>
                <c:pt idx="339">
                  <c:v>-2.3041215117047386E-2</c:v>
                </c:pt>
                <c:pt idx="340">
                  <c:v>-5.5300238194427266E-3</c:v>
                </c:pt>
                <c:pt idx="341">
                  <c:v>7.1378242380165744E-3</c:v>
                </c:pt>
                <c:pt idx="342">
                  <c:v>4.8366968276990895E-3</c:v>
                </c:pt>
                <c:pt idx="343">
                  <c:v>-2.149648479299213E-2</c:v>
                </c:pt>
                <c:pt idx="344">
                  <c:v>-2.5466292010532846E-3</c:v>
                </c:pt>
                <c:pt idx="345">
                  <c:v>-5.8113483315330672E-2</c:v>
                </c:pt>
                <c:pt idx="346">
                  <c:v>-9.1466726269306381E-2</c:v>
                </c:pt>
                <c:pt idx="347">
                  <c:v>-5.3140549183591325E-2</c:v>
                </c:pt>
                <c:pt idx="348">
                  <c:v>-2.9067809681883324E-2</c:v>
                </c:pt>
                <c:pt idx="349">
                  <c:v>4.3992184029774872E-3</c:v>
                </c:pt>
                <c:pt idx="350">
                  <c:v>3.3378161572998326E-2</c:v>
                </c:pt>
                <c:pt idx="351">
                  <c:v>3.5319302726744668E-2</c:v>
                </c:pt>
                <c:pt idx="352">
                  <c:v>3.3033059586838123E-2</c:v>
                </c:pt>
                <c:pt idx="353">
                  <c:v>6.1534446940205552E-2</c:v>
                </c:pt>
                <c:pt idx="354">
                  <c:v>1.0893981094611371E-2</c:v>
                </c:pt>
                <c:pt idx="355">
                  <c:v>5.2034573307096758E-2</c:v>
                </c:pt>
                <c:pt idx="356">
                  <c:v>5.5248336915702398E-2</c:v>
                </c:pt>
                <c:pt idx="357">
                  <c:v>7.56488873462145E-2</c:v>
                </c:pt>
                <c:pt idx="358">
                  <c:v>7.8988178788495331E-2</c:v>
                </c:pt>
                <c:pt idx="359">
                  <c:v>7.1169499910055778E-2</c:v>
                </c:pt>
                <c:pt idx="360">
                  <c:v>8.88956263159425E-2</c:v>
                </c:pt>
                <c:pt idx="361">
                  <c:v>2.3815774137925468E-2</c:v>
                </c:pt>
                <c:pt idx="362">
                  <c:v>2.017555714226414E-3</c:v>
                </c:pt>
                <c:pt idx="363">
                  <c:v>7.1475456880757951E-3</c:v>
                </c:pt>
                <c:pt idx="364">
                  <c:v>-2.0472579112705218E-2</c:v>
                </c:pt>
                <c:pt idx="365">
                  <c:v>-4.5879773801062033E-4</c:v>
                </c:pt>
                <c:pt idx="366">
                  <c:v>2.7092587376221475E-2</c:v>
                </c:pt>
                <c:pt idx="367">
                  <c:v>-6.3624195919975918E-4</c:v>
                </c:pt>
                <c:pt idx="368">
                  <c:v>-7.322492359047088E-3</c:v>
                </c:pt>
                <c:pt idx="369">
                  <c:v>-1.5839253720168066E-3</c:v>
                </c:pt>
                <c:pt idx="370">
                  <c:v>2.0829182590425804E-2</c:v>
                </c:pt>
                <c:pt idx="371">
                  <c:v>2.2931730659224235E-2</c:v>
                </c:pt>
                <c:pt idx="372">
                  <c:v>1.0764354441824567E-2</c:v>
                </c:pt>
                <c:pt idx="373">
                  <c:v>4.3216857766320248E-3</c:v>
                </c:pt>
                <c:pt idx="374">
                  <c:v>1.8179848711884602E-2</c:v>
                </c:pt>
                <c:pt idx="375">
                  <c:v>3.9643319632304823E-2</c:v>
                </c:pt>
                <c:pt idx="376">
                  <c:v>4.360216803825754E-2</c:v>
                </c:pt>
                <c:pt idx="377">
                  <c:v>-2.5346164365263927E-3</c:v>
                </c:pt>
                <c:pt idx="378">
                  <c:v>-3.1099325230188626E-2</c:v>
                </c:pt>
                <c:pt idx="379">
                  <c:v>1.8826866078424691E-2</c:v>
                </c:pt>
                <c:pt idx="380">
                  <c:v>1.5573566546848286E-2</c:v>
                </c:pt>
                <c:pt idx="381">
                  <c:v>1.6274193974281159E-2</c:v>
                </c:pt>
                <c:pt idx="382">
                  <c:v>2.2574016033197839E-2</c:v>
                </c:pt>
                <c:pt idx="383">
                  <c:v>-1.0792241652635112E-2</c:v>
                </c:pt>
                <c:pt idx="384">
                  <c:v>-3.1793629076360491E-2</c:v>
                </c:pt>
                <c:pt idx="385">
                  <c:v>3.921192661230772E-2</c:v>
                </c:pt>
                <c:pt idx="386">
                  <c:v>3.9884601665057381E-3</c:v>
                </c:pt>
                <c:pt idx="387">
                  <c:v>-1.6715259718013607E-2</c:v>
                </c:pt>
                <c:pt idx="388">
                  <c:v>3.902976662106613E-2</c:v>
                </c:pt>
                <c:pt idx="389">
                  <c:v>5.5638627892963102E-2</c:v>
                </c:pt>
                <c:pt idx="390">
                  <c:v>7.7869976832900714E-2</c:v>
                </c:pt>
                <c:pt idx="391">
                  <c:v>4.7682292210913559E-2</c:v>
                </c:pt>
                <c:pt idx="392">
                  <c:v>2.5033517724256021E-2</c:v>
                </c:pt>
                <c:pt idx="393">
                  <c:v>1.2783431010525067E-2</c:v>
                </c:pt>
                <c:pt idx="394">
                  <c:v>2.4633432880912371E-2</c:v>
                </c:pt>
                <c:pt idx="395">
                  <c:v>-4.243255942767702E-2</c:v>
                </c:pt>
                <c:pt idx="396">
                  <c:v>5.1317369795822135E-3</c:v>
                </c:pt>
                <c:pt idx="397">
                  <c:v>7.3089579077427024E-4</c:v>
                </c:pt>
                <c:pt idx="398">
                  <c:v>1.1935507329184778E-2</c:v>
                </c:pt>
                <c:pt idx="399">
                  <c:v>2.5804364828435428E-2</c:v>
                </c:pt>
                <c:pt idx="400">
                  <c:v>-1.6339474235610642E-3</c:v>
                </c:pt>
                <c:pt idx="401">
                  <c:v>1.2783650458069099E-2</c:v>
                </c:pt>
                <c:pt idx="402">
                  <c:v>7.7115681602633315E-3</c:v>
                </c:pt>
                <c:pt idx="403">
                  <c:v>-3.5285868597093033E-2</c:v>
                </c:pt>
                <c:pt idx="404">
                  <c:v>3.6706448089210285E-3</c:v>
                </c:pt>
                <c:pt idx="405">
                  <c:v>1.6878693625235162E-2</c:v>
                </c:pt>
                <c:pt idx="406">
                  <c:v>-4.4435656503978072E-2</c:v>
                </c:pt>
                <c:pt idx="407">
                  <c:v>6.1625086793989869E-2</c:v>
                </c:pt>
                <c:pt idx="408">
                  <c:v>8.7267284456105765E-2</c:v>
                </c:pt>
                <c:pt idx="409">
                  <c:v>1.0865789621118333E-2</c:v>
                </c:pt>
                <c:pt idx="410">
                  <c:v>3.5444763720396434E-2</c:v>
                </c:pt>
                <c:pt idx="411">
                  <c:v>2.4421204179192205E-2</c:v>
                </c:pt>
                <c:pt idx="412">
                  <c:v>8.5867137001972686E-4</c:v>
                </c:pt>
                <c:pt idx="413">
                  <c:v>-2.4845973848854546E-2</c:v>
                </c:pt>
                <c:pt idx="414">
                  <c:v>2.9901594257226074E-2</c:v>
                </c:pt>
                <c:pt idx="415">
                  <c:v>6.3031348186011124E-2</c:v>
                </c:pt>
                <c:pt idx="416">
                  <c:v>2.9253710168572568E-2</c:v>
                </c:pt>
                <c:pt idx="417">
                  <c:v>2.5640534002871945E-2</c:v>
                </c:pt>
                <c:pt idx="418">
                  <c:v>3.9067353840123852E-2</c:v>
                </c:pt>
                <c:pt idx="419">
                  <c:v>2.9669823978907207E-2</c:v>
                </c:pt>
                <c:pt idx="420">
                  <c:v>-1.6984632174157813E-2</c:v>
                </c:pt>
                <c:pt idx="421">
                  <c:v>2.3100208389595842E-2</c:v>
                </c:pt>
                <c:pt idx="422">
                  <c:v>6.8222941587637526E-3</c:v>
                </c:pt>
                <c:pt idx="423">
                  <c:v>-7.007112020760038E-3</c:v>
                </c:pt>
                <c:pt idx="424">
                  <c:v>2.6335872860330095E-2</c:v>
                </c:pt>
                <c:pt idx="425">
                  <c:v>2.3713485075988444E-2</c:v>
                </c:pt>
                <c:pt idx="426">
                  <c:v>-5.8131126896400091E-2</c:v>
                </c:pt>
                <c:pt idx="427">
                  <c:v>-4.0098268914869603E-2</c:v>
                </c:pt>
                <c:pt idx="428">
                  <c:v>-2.1454528627534292E-2</c:v>
                </c:pt>
                <c:pt idx="429">
                  <c:v>-8.6614800770214578E-3</c:v>
                </c:pt>
                <c:pt idx="430">
                  <c:v>6.4628815703537922E-3</c:v>
                </c:pt>
                <c:pt idx="431">
                  <c:v>-7.0625122010918116E-3</c:v>
                </c:pt>
                <c:pt idx="432">
                  <c:v>-4.8751002921053395E-2</c:v>
                </c:pt>
                <c:pt idx="433">
                  <c:v>-2.8671441628845197E-2</c:v>
                </c:pt>
                <c:pt idx="434">
                  <c:v>-3.3062001839513286E-2</c:v>
                </c:pt>
                <c:pt idx="435">
                  <c:v>-3.5039598453936088E-2</c:v>
                </c:pt>
                <c:pt idx="436">
                  <c:v>-5.6971238851125768E-2</c:v>
                </c:pt>
                <c:pt idx="437">
                  <c:v>-5.7087464874843855E-2</c:v>
                </c:pt>
                <c:pt idx="438">
                  <c:v>-1.0894734177372153E-2</c:v>
                </c:pt>
                <c:pt idx="439">
                  <c:v>-1.914242580828197E-2</c:v>
                </c:pt>
                <c:pt idx="440">
                  <c:v>-4.2952352971953028E-3</c:v>
                </c:pt>
                <c:pt idx="441">
                  <c:v>-4.710402407457407E-2</c:v>
                </c:pt>
                <c:pt idx="442">
                  <c:v>8.6980704956385602E-3</c:v>
                </c:pt>
                <c:pt idx="443">
                  <c:v>1.4871198118969567E-2</c:v>
                </c:pt>
                <c:pt idx="444">
                  <c:v>6.0139144585442901E-2</c:v>
                </c:pt>
                <c:pt idx="445">
                  <c:v>1.0999953355655031E-2</c:v>
                </c:pt>
                <c:pt idx="446">
                  <c:v>-1.5767197060428981E-2</c:v>
                </c:pt>
                <c:pt idx="447">
                  <c:v>3.9841308205411152E-2</c:v>
                </c:pt>
                <c:pt idx="448">
                  <c:v>6.969598173411351E-2</c:v>
                </c:pt>
                <c:pt idx="449">
                  <c:v>7.5062174278065552E-2</c:v>
                </c:pt>
                <c:pt idx="450">
                  <c:v>6.6532394963557673E-2</c:v>
                </c:pt>
                <c:pt idx="451">
                  <c:v>5.500698808049366E-2</c:v>
                </c:pt>
                <c:pt idx="452">
                  <c:v>-2.1139363171631584E-3</c:v>
                </c:pt>
                <c:pt idx="453">
                  <c:v>4.1419594470026931E-2</c:v>
                </c:pt>
                <c:pt idx="454">
                  <c:v>4.024064739208065E-2</c:v>
                </c:pt>
                <c:pt idx="455">
                  <c:v>1.3676793800797506E-2</c:v>
                </c:pt>
                <c:pt idx="456">
                  <c:v>-1.8718614148078259E-2</c:v>
                </c:pt>
                <c:pt idx="457">
                  <c:v>1.2820024191752721E-2</c:v>
                </c:pt>
                <c:pt idx="458">
                  <c:v>4.0626843123661285E-2</c:v>
                </c:pt>
                <c:pt idx="459">
                  <c:v>-6.5141014701923664E-3</c:v>
                </c:pt>
                <c:pt idx="460">
                  <c:v>-1.4761157288753535E-2</c:v>
                </c:pt>
                <c:pt idx="461">
                  <c:v>1.0702210382175502E-2</c:v>
                </c:pt>
                <c:pt idx="462">
                  <c:v>6.8230435906878033E-3</c:v>
                </c:pt>
                <c:pt idx="463">
                  <c:v>-1.1191311703977573E-2</c:v>
                </c:pt>
                <c:pt idx="464">
                  <c:v>9.3799587050937914E-3</c:v>
                </c:pt>
                <c:pt idx="465">
                  <c:v>-1.0201601651459381E-2</c:v>
                </c:pt>
                <c:pt idx="466">
                  <c:v>-7.201199249898825E-2</c:v>
                </c:pt>
                <c:pt idx="467">
                  <c:v>-7.8062655399184958E-2</c:v>
                </c:pt>
                <c:pt idx="468">
                  <c:v>-5.4830248529031227E-2</c:v>
                </c:pt>
                <c:pt idx="469">
                  <c:v>-6.5279219184485079E-2</c:v>
                </c:pt>
                <c:pt idx="470">
                  <c:v>-2.8002581304632675E-2</c:v>
                </c:pt>
                <c:pt idx="471">
                  <c:v>1.9455478558380878E-2</c:v>
                </c:pt>
                <c:pt idx="472">
                  <c:v>-1.3855600898602756E-2</c:v>
                </c:pt>
                <c:pt idx="473">
                  <c:v>-1.2845645241707546E-2</c:v>
                </c:pt>
                <c:pt idx="474">
                  <c:v>-2.3066042232940714E-2</c:v>
                </c:pt>
                <c:pt idx="475">
                  <c:v>-2.2675557333512952E-2</c:v>
                </c:pt>
                <c:pt idx="476">
                  <c:v>8.2354027010595431E-3</c:v>
                </c:pt>
                <c:pt idx="477">
                  <c:v>5.8182597158773514E-3</c:v>
                </c:pt>
                <c:pt idx="478">
                  <c:v>-1.034852700608286E-2</c:v>
                </c:pt>
                <c:pt idx="479">
                  <c:v>3.2162004324745225E-2</c:v>
                </c:pt>
                <c:pt idx="480">
                  <c:v>3.0876303578499971E-2</c:v>
                </c:pt>
                <c:pt idx="481">
                  <c:v>8.8006517667200607E-2</c:v>
                </c:pt>
                <c:pt idx="482">
                  <c:v>4.6887515587740923E-2</c:v>
                </c:pt>
                <c:pt idx="483">
                  <c:v>-1.786512886901263E-2</c:v>
                </c:pt>
                <c:pt idx="484">
                  <c:v>-7.0637238492885753E-3</c:v>
                </c:pt>
                <c:pt idx="485">
                  <c:v>-2.5399432111309253E-2</c:v>
                </c:pt>
                <c:pt idx="486">
                  <c:v>-1.6717652119879502E-2</c:v>
                </c:pt>
                <c:pt idx="487">
                  <c:v>1.3176318493046587E-2</c:v>
                </c:pt>
                <c:pt idx="488">
                  <c:v>9.8338014911399218E-3</c:v>
                </c:pt>
                <c:pt idx="489">
                  <c:v>3.172289358760947E-2</c:v>
                </c:pt>
                <c:pt idx="490">
                  <c:v>8.784839849184635E-2</c:v>
                </c:pt>
                <c:pt idx="491">
                  <c:v>8.2796586842829631E-2</c:v>
                </c:pt>
                <c:pt idx="492">
                  <c:v>6.665328776397994E-2</c:v>
                </c:pt>
                <c:pt idx="493">
                  <c:v>2.0208088883262806E-2</c:v>
                </c:pt>
                <c:pt idx="494">
                  <c:v>-4.65620770692765E-3</c:v>
                </c:pt>
                <c:pt idx="495">
                  <c:v>1.4701065682468175E-2</c:v>
                </c:pt>
                <c:pt idx="496">
                  <c:v>8.5432299142245462E-3</c:v>
                </c:pt>
                <c:pt idx="497">
                  <c:v>-1.2729645800459528E-2</c:v>
                </c:pt>
                <c:pt idx="498">
                  <c:v>-1.9556014664479262E-3</c:v>
                </c:pt>
                <c:pt idx="499">
                  <c:v>6.6989799030602749E-3</c:v>
                </c:pt>
                <c:pt idx="500">
                  <c:v>-1.7075809499787343E-3</c:v>
                </c:pt>
                <c:pt idx="501">
                  <c:v>1.6423915604813363E-2</c:v>
                </c:pt>
                <c:pt idx="502">
                  <c:v>-3.7480317057029165E-2</c:v>
                </c:pt>
                <c:pt idx="503">
                  <c:v>-3.6181206372878548E-2</c:v>
                </c:pt>
                <c:pt idx="504">
                  <c:v>2.2562928192020045E-2</c:v>
                </c:pt>
                <c:pt idx="505">
                  <c:v>-3.1955163507737896E-3</c:v>
                </c:pt>
                <c:pt idx="506">
                  <c:v>-3.0767720400549916E-3</c:v>
                </c:pt>
                <c:pt idx="507">
                  <c:v>-1.2911530429682325E-2</c:v>
                </c:pt>
                <c:pt idx="508">
                  <c:v>1.2442078083247448E-2</c:v>
                </c:pt>
                <c:pt idx="509">
                  <c:v>2.874675250922713E-2</c:v>
                </c:pt>
                <c:pt idx="510">
                  <c:v>2.3286916444526507E-2</c:v>
                </c:pt>
                <c:pt idx="511">
                  <c:v>1.1501914171224575E-2</c:v>
                </c:pt>
                <c:pt idx="512">
                  <c:v>-8.9483029710221203E-3</c:v>
                </c:pt>
                <c:pt idx="513">
                  <c:v>-6.3803534049595489E-2</c:v>
                </c:pt>
                <c:pt idx="514">
                  <c:v>-5.5021708956735152E-2</c:v>
                </c:pt>
                <c:pt idx="515">
                  <c:v>-2.5133413500283679E-2</c:v>
                </c:pt>
                <c:pt idx="516">
                  <c:v>-7.5173653863130629E-2</c:v>
                </c:pt>
                <c:pt idx="517">
                  <c:v>-8.6489462546798471E-2</c:v>
                </c:pt>
                <c:pt idx="518">
                  <c:v>-1.2585354901098952E-3</c:v>
                </c:pt>
                <c:pt idx="519">
                  <c:v>-4.396695599117097E-3</c:v>
                </c:pt>
                <c:pt idx="520">
                  <c:v>1.6223451051875087E-2</c:v>
                </c:pt>
                <c:pt idx="521">
                  <c:v>2.4290148967511974E-2</c:v>
                </c:pt>
                <c:pt idx="522">
                  <c:v>4.163071998476852E-2</c:v>
                </c:pt>
                <c:pt idx="523">
                  <c:v>7.3300002651526851E-3</c:v>
                </c:pt>
                <c:pt idx="524">
                  <c:v>-7.8817871359752288E-3</c:v>
                </c:pt>
                <c:pt idx="525">
                  <c:v>-6.6841034582969883E-3</c:v>
                </c:pt>
                <c:pt idx="526">
                  <c:v>7.7581205132145489E-2</c:v>
                </c:pt>
                <c:pt idx="527">
                  <c:v>-1.9697024353486265E-2</c:v>
                </c:pt>
                <c:pt idx="528">
                  <c:v>-6.6074647471258074E-2</c:v>
                </c:pt>
                <c:pt idx="529">
                  <c:v>4.5139474845473419E-2</c:v>
                </c:pt>
                <c:pt idx="530">
                  <c:v>-1.7515490224692162E-2</c:v>
                </c:pt>
                <c:pt idx="531">
                  <c:v>9.1706922380575158E-3</c:v>
                </c:pt>
                <c:pt idx="532">
                  <c:v>-1.8013995646058406E-2</c:v>
                </c:pt>
                <c:pt idx="533">
                  <c:v>-1.4128847319111895E-2</c:v>
                </c:pt>
                <c:pt idx="534">
                  <c:v>-5.0383656061384972E-2</c:v>
                </c:pt>
                <c:pt idx="535">
                  <c:v>-3.2062549659028265E-2</c:v>
                </c:pt>
                <c:pt idx="536">
                  <c:v>1.8214707686315484E-2</c:v>
                </c:pt>
                <c:pt idx="537">
                  <c:v>4.3325929832947287E-2</c:v>
                </c:pt>
                <c:pt idx="538">
                  <c:v>1.7387001949998624E-2</c:v>
                </c:pt>
                <c:pt idx="539">
                  <c:v>0.10078901290080551</c:v>
                </c:pt>
                <c:pt idx="540">
                  <c:v>8.3000350734498213E-2</c:v>
                </c:pt>
                <c:pt idx="541">
                  <c:v>3.6882664666214669E-2</c:v>
                </c:pt>
                <c:pt idx="542">
                  <c:v>8.240969707674646E-2</c:v>
                </c:pt>
                <c:pt idx="543">
                  <c:v>3.6323620176746001E-2</c:v>
                </c:pt>
                <c:pt idx="544">
                  <c:v>3.5737953373649697E-2</c:v>
                </c:pt>
                <c:pt idx="545">
                  <c:v>2.2647445279919017E-2</c:v>
                </c:pt>
                <c:pt idx="546">
                  <c:v>5.0012230625486161E-2</c:v>
                </c:pt>
                <c:pt idx="547">
                  <c:v>5.0880438975602696E-2</c:v>
                </c:pt>
                <c:pt idx="548">
                  <c:v>4.6021070315226648E-2</c:v>
                </c:pt>
                <c:pt idx="549">
                  <c:v>6.130519397809369E-2</c:v>
                </c:pt>
                <c:pt idx="550">
                  <c:v>-1.4611535131382773E-2</c:v>
                </c:pt>
                <c:pt idx="551">
                  <c:v>-2.9948538137678598E-2</c:v>
                </c:pt>
                <c:pt idx="552">
                  <c:v>4.4622376754004843E-2</c:v>
                </c:pt>
                <c:pt idx="553">
                  <c:v>2.6153804488704666E-2</c:v>
                </c:pt>
                <c:pt idx="554">
                  <c:v>-4.511844263397051E-2</c:v>
                </c:pt>
                <c:pt idx="555">
                  <c:v>-1.3721059384514873E-3</c:v>
                </c:pt>
                <c:pt idx="556">
                  <c:v>-3.3359060360962631E-2</c:v>
                </c:pt>
                <c:pt idx="557">
                  <c:v>4.7493332537122358E-3</c:v>
                </c:pt>
                <c:pt idx="558">
                  <c:v>-1.3980559165080916E-2</c:v>
                </c:pt>
                <c:pt idx="559">
                  <c:v>6.8297657407602142E-3</c:v>
                </c:pt>
                <c:pt idx="560">
                  <c:v>-1.997176243499045E-2</c:v>
                </c:pt>
                <c:pt idx="561">
                  <c:v>-2.3648727226040285E-2</c:v>
                </c:pt>
                <c:pt idx="562">
                  <c:v>-7.9168235160915531E-3</c:v>
                </c:pt>
                <c:pt idx="563">
                  <c:v>-5.1755496036038455E-2</c:v>
                </c:pt>
                <c:pt idx="564">
                  <c:v>-2.9698262458121075E-2</c:v>
                </c:pt>
                <c:pt idx="565">
                  <c:v>-7.1057870309277502E-2</c:v>
                </c:pt>
                <c:pt idx="566">
                  <c:v>-2.4898118901577563E-2</c:v>
                </c:pt>
                <c:pt idx="567">
                  <c:v>-5.5002794964653108E-2</c:v>
                </c:pt>
                <c:pt idx="568">
                  <c:v>-1.2604963031047826E-3</c:v>
                </c:pt>
                <c:pt idx="569">
                  <c:v>7.7781250059912061E-3</c:v>
                </c:pt>
                <c:pt idx="570">
                  <c:v>-7.0627650715571998E-3</c:v>
                </c:pt>
                <c:pt idx="571">
                  <c:v>-4.1287006187529708E-2</c:v>
                </c:pt>
                <c:pt idx="572">
                  <c:v>-2.4319874438357886E-2</c:v>
                </c:pt>
                <c:pt idx="573">
                  <c:v>-6.9379991957600085E-2</c:v>
                </c:pt>
                <c:pt idx="574">
                  <c:v>1.9840263444363435E-2</c:v>
                </c:pt>
                <c:pt idx="575">
                  <c:v>2.6816206421393252E-2</c:v>
                </c:pt>
                <c:pt idx="576">
                  <c:v>6.0974366714560413E-2</c:v>
                </c:pt>
                <c:pt idx="577">
                  <c:v>1.4003533099213917E-2</c:v>
                </c:pt>
                <c:pt idx="578">
                  <c:v>1.6754046612595559E-2</c:v>
                </c:pt>
                <c:pt idx="579">
                  <c:v>3.0653968923945521E-2</c:v>
                </c:pt>
                <c:pt idx="580">
                  <c:v>4.8672579521892884E-2</c:v>
                </c:pt>
                <c:pt idx="581">
                  <c:v>-1.4705658539554915E-2</c:v>
                </c:pt>
                <c:pt idx="582">
                  <c:v>2.6394368889244235E-2</c:v>
                </c:pt>
                <c:pt idx="583">
                  <c:v>2.5945063586753615E-2</c:v>
                </c:pt>
                <c:pt idx="584">
                  <c:v>-1.007668651184798E-2</c:v>
                </c:pt>
                <c:pt idx="585">
                  <c:v>4.310034117391677E-2</c:v>
                </c:pt>
                <c:pt idx="586">
                  <c:v>-3.9511136956638181E-2</c:v>
                </c:pt>
                <c:pt idx="587">
                  <c:v>6.5253318311099803E-2</c:v>
                </c:pt>
                <c:pt idx="588">
                  <c:v>-7.0972825620054802E-3</c:v>
                </c:pt>
                <c:pt idx="589">
                  <c:v>3.1725001951291763E-2</c:v>
                </c:pt>
                <c:pt idx="590">
                  <c:v>4.5045345033592574E-2</c:v>
                </c:pt>
                <c:pt idx="591">
                  <c:v>5.3665408537557704E-2</c:v>
                </c:pt>
                <c:pt idx="592">
                  <c:v>1.6384352112423197E-2</c:v>
                </c:pt>
                <c:pt idx="593">
                  <c:v>4.0209067844716652E-2</c:v>
                </c:pt>
                <c:pt idx="594">
                  <c:v>1.0677312942750324E-2</c:v>
                </c:pt>
                <c:pt idx="595">
                  <c:v>8.3106058699763171E-3</c:v>
                </c:pt>
                <c:pt idx="596">
                  <c:v>1.0793619815652175E-2</c:v>
                </c:pt>
                <c:pt idx="597">
                  <c:v>2.3876998707202474E-2</c:v>
                </c:pt>
                <c:pt idx="598">
                  <c:v>9.1234174253000719E-2</c:v>
                </c:pt>
                <c:pt idx="599">
                  <c:v>-8.8805868216167122E-2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33B-46B5-A5C1-86C22C6AE0CD}"/>
            </c:ext>
          </c:extLst>
        </c:ser>
        <c:dLbls>
          <c:showLegendKey val="0"/>
          <c:showVal val="0"/>
          <c:showCatName val="0"/>
          <c:showSerName val="0"/>
          <c:showPercent val="0"/>
          <c:showBubbleSize val="0"/>
        </c:dLbls>
        <c:gapWidth val="219"/>
        <c:overlap val="-27"/>
        <c:axId val="1972930831"/>
        <c:axId val="1972932479"/>
      </c:barChart>
      <c:dateAx>
        <c:axId val="19729308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2479"/>
        <c:crosses val="autoZero"/>
        <c:auto val="0"/>
        <c:lblOffset val="100"/>
        <c:baseTimeUnit val="months"/>
      </c:dateAx>
      <c:valAx>
        <c:axId val="1972932479"/>
        <c:scaling>
          <c:orientation val="minMax"/>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08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Utilities!$U$1</c:f>
          <c:strCache>
            <c:ptCount val="1"/>
            <c:pt idx="0">
              <c:v>Industrial Production: Electric and gas utilities since 2010</c:v>
            </c:pt>
          </c:strCache>
        </c:strRef>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2010</c:v>
                </c:pt>
              </c:strCache>
            </c:strRef>
          </c:tx>
          <c:spPr>
            <a:ln w="28575" cap="rnd">
              <a:solidFill>
                <a:schemeClr val="accent1"/>
              </a:solidFill>
              <a:prstDash val="solid"/>
              <a:round/>
            </a:ln>
          </c:spPr>
          <c:marker>
            <c:symbol val="none"/>
          </c:marker>
          <c:cat>
            <c:numRef>
              <c:f>Utilities!$A$463:$A$622</c:f>
              <c:numCache>
                <c:formatCode>mmm\-yy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Utilities!$B$463:$B$622</c:f>
              <c:numCache>
                <c:formatCode>0.0</c:formatCode>
                <c:ptCount val="160"/>
                <c:pt idx="0">
                  <c:v>101.6905</c:v>
                </c:pt>
                <c:pt idx="1">
                  <c:v>103.1914</c:v>
                </c:pt>
                <c:pt idx="2">
                  <c:v>99.703400000000002</c:v>
                </c:pt>
                <c:pt idx="3">
                  <c:v>96.643000000000001</c:v>
                </c:pt>
                <c:pt idx="4">
                  <c:v>100.6739</c:v>
                </c:pt>
                <c:pt idx="5">
                  <c:v>102.6952</c:v>
                </c:pt>
                <c:pt idx="6">
                  <c:v>101.8014</c:v>
                </c:pt>
                <c:pt idx="7">
                  <c:v>102.09520000000001</c:v>
                </c:pt>
                <c:pt idx="8">
                  <c:v>102.1328</c:v>
                </c:pt>
                <c:pt idx="9">
                  <c:v>98.753100000000003</c:v>
                </c:pt>
                <c:pt idx="10">
                  <c:v>99.984300000000005</c:v>
                </c:pt>
                <c:pt idx="11">
                  <c:v>105.2658</c:v>
                </c:pt>
                <c:pt idx="12">
                  <c:v>103.0813</c:v>
                </c:pt>
                <c:pt idx="13">
                  <c:v>101.2598</c:v>
                </c:pt>
                <c:pt idx="14">
                  <c:v>100.9816</c:v>
                </c:pt>
                <c:pt idx="15">
                  <c:v>100.5693</c:v>
                </c:pt>
                <c:pt idx="16">
                  <c:v>100.0181</c:v>
                </c:pt>
                <c:pt idx="17">
                  <c:v>101.1793</c:v>
                </c:pt>
                <c:pt idx="18">
                  <c:v>102.8909</c:v>
                </c:pt>
                <c:pt idx="19">
                  <c:v>102.79179999999999</c:v>
                </c:pt>
                <c:pt idx="20">
                  <c:v>100.9898</c:v>
                </c:pt>
                <c:pt idx="21">
                  <c:v>99.679400000000001</c:v>
                </c:pt>
                <c:pt idx="22">
                  <c:v>98.964299999999994</c:v>
                </c:pt>
                <c:pt idx="23">
                  <c:v>97.685400000000001</c:v>
                </c:pt>
                <c:pt idx="24">
                  <c:v>95.034499999999994</c:v>
                </c:pt>
                <c:pt idx="25">
                  <c:v>95.707700000000003</c:v>
                </c:pt>
                <c:pt idx="26">
                  <c:v>94.389600000000002</c:v>
                </c:pt>
                <c:pt idx="27">
                  <c:v>97.753100000000003</c:v>
                </c:pt>
                <c:pt idx="28">
                  <c:v>101.964</c:v>
                </c:pt>
                <c:pt idx="29">
                  <c:v>99.7774</c:v>
                </c:pt>
                <c:pt idx="30">
                  <c:v>101.5692</c:v>
                </c:pt>
                <c:pt idx="31">
                  <c:v>100.4208</c:v>
                </c:pt>
                <c:pt idx="32">
                  <c:v>98.699799999999996</c:v>
                </c:pt>
                <c:pt idx="33">
                  <c:v>100.5003</c:v>
                </c:pt>
                <c:pt idx="34">
                  <c:v>99.540099999999995</c:v>
                </c:pt>
                <c:pt idx="35">
                  <c:v>96.674499999999995</c:v>
                </c:pt>
                <c:pt idx="36">
                  <c:v>98.090999999999994</c:v>
                </c:pt>
                <c:pt idx="37">
                  <c:v>98.662800000000004</c:v>
                </c:pt>
                <c:pt idx="38">
                  <c:v>102.6965</c:v>
                </c:pt>
                <c:pt idx="39">
                  <c:v>102.3365</c:v>
                </c:pt>
                <c:pt idx="40">
                  <c:v>100.14239999999999</c:v>
                </c:pt>
                <c:pt idx="41">
                  <c:v>99.072599999999994</c:v>
                </c:pt>
                <c:pt idx="42">
                  <c:v>98.989400000000003</c:v>
                </c:pt>
                <c:pt idx="43">
                  <c:v>98.742000000000004</c:v>
                </c:pt>
                <c:pt idx="44">
                  <c:v>100.0003</c:v>
                </c:pt>
                <c:pt idx="45">
                  <c:v>101.48860000000001</c:v>
                </c:pt>
                <c:pt idx="46">
                  <c:v>102.6978</c:v>
                </c:pt>
                <c:pt idx="47">
                  <c:v>105.16719999999999</c:v>
                </c:pt>
                <c:pt idx="48">
                  <c:v>106.21259999999999</c:v>
                </c:pt>
                <c:pt idx="49">
                  <c:v>105.239</c:v>
                </c:pt>
                <c:pt idx="50">
                  <c:v>104.7718</c:v>
                </c:pt>
                <c:pt idx="51">
                  <c:v>101.86</c:v>
                </c:pt>
                <c:pt idx="52">
                  <c:v>101.6146</c:v>
                </c:pt>
                <c:pt idx="53">
                  <c:v>99.918999999999997</c:v>
                </c:pt>
                <c:pt idx="54">
                  <c:v>97.729299999999995</c:v>
                </c:pt>
                <c:pt idx="55">
                  <c:v>98.548900000000003</c:v>
                </c:pt>
                <c:pt idx="56">
                  <c:v>100.67019999999999</c:v>
                </c:pt>
                <c:pt idx="57">
                  <c:v>101.31529999999999</c:v>
                </c:pt>
                <c:pt idx="58">
                  <c:v>104.3845</c:v>
                </c:pt>
                <c:pt idx="59">
                  <c:v>101.2255</c:v>
                </c:pt>
                <c:pt idx="60">
                  <c:v>102.36969999999999</c:v>
                </c:pt>
                <c:pt idx="61">
                  <c:v>107.6135</c:v>
                </c:pt>
                <c:pt idx="62">
                  <c:v>104.437</c:v>
                </c:pt>
                <c:pt idx="63">
                  <c:v>101.5466</c:v>
                </c:pt>
                <c:pt idx="64">
                  <c:v>100.3026</c:v>
                </c:pt>
                <c:pt idx="65">
                  <c:v>101.1622</c:v>
                </c:pt>
                <c:pt idx="66">
                  <c:v>100.53870000000001</c:v>
                </c:pt>
                <c:pt idx="67">
                  <c:v>100.8438</c:v>
                </c:pt>
                <c:pt idx="68">
                  <c:v>101.82810000000001</c:v>
                </c:pt>
                <c:pt idx="69">
                  <c:v>100.4087</c:v>
                </c:pt>
                <c:pt idx="70">
                  <c:v>97.724400000000003</c:v>
                </c:pt>
                <c:pt idx="71">
                  <c:v>95.655900000000003</c:v>
                </c:pt>
                <c:pt idx="72">
                  <c:v>99.796800000000005</c:v>
                </c:pt>
                <c:pt idx="73">
                  <c:v>99.523799999999994</c:v>
                </c:pt>
                <c:pt idx="74">
                  <c:v>95.404300000000006</c:v>
                </c:pt>
                <c:pt idx="75">
                  <c:v>101.4188</c:v>
                </c:pt>
                <c:pt idx="76">
                  <c:v>99.861599999999996</c:v>
                </c:pt>
                <c:pt idx="77">
                  <c:v>102.8034</c:v>
                </c:pt>
                <c:pt idx="78">
                  <c:v>102.9808</c:v>
                </c:pt>
                <c:pt idx="79">
                  <c:v>105.042</c:v>
                </c:pt>
                <c:pt idx="80">
                  <c:v>102.5745</c:v>
                </c:pt>
                <c:pt idx="81">
                  <c:v>99.6173</c:v>
                </c:pt>
                <c:pt idx="82">
                  <c:v>97.071200000000005</c:v>
                </c:pt>
                <c:pt idx="83">
                  <c:v>103.077</c:v>
                </c:pt>
                <c:pt idx="84">
                  <c:v>97.831100000000006</c:v>
                </c:pt>
                <c:pt idx="85">
                  <c:v>92.947800000000001</c:v>
                </c:pt>
                <c:pt idx="86">
                  <c:v>99.710800000000006</c:v>
                </c:pt>
                <c:pt idx="87">
                  <c:v>99.642399999999995</c:v>
                </c:pt>
                <c:pt idx="88">
                  <c:v>100.7774</c:v>
                </c:pt>
                <c:pt idx="89">
                  <c:v>100.9515</c:v>
                </c:pt>
                <c:pt idx="90">
                  <c:v>101.5258</c:v>
                </c:pt>
                <c:pt idx="91">
                  <c:v>99.749600000000001</c:v>
                </c:pt>
                <c:pt idx="92">
                  <c:v>99.285700000000006</c:v>
                </c:pt>
                <c:pt idx="93">
                  <c:v>101.4318</c:v>
                </c:pt>
                <c:pt idx="94">
                  <c:v>101.2769</c:v>
                </c:pt>
                <c:pt idx="95">
                  <c:v>104.86920000000001</c:v>
                </c:pt>
                <c:pt idx="96">
                  <c:v>107.6914</c:v>
                </c:pt>
                <c:pt idx="97">
                  <c:v>100.66249999999999</c:v>
                </c:pt>
                <c:pt idx="98">
                  <c:v>103.3884</c:v>
                </c:pt>
                <c:pt idx="99">
                  <c:v>107.8539</c:v>
                </c:pt>
                <c:pt idx="100">
                  <c:v>104.438</c:v>
                </c:pt>
                <c:pt idx="101">
                  <c:v>104.55929999999999</c:v>
                </c:pt>
                <c:pt idx="102">
                  <c:v>103.82510000000001</c:v>
                </c:pt>
                <c:pt idx="103">
                  <c:v>104.7383</c:v>
                </c:pt>
                <c:pt idx="104">
                  <c:v>104.3374</c:v>
                </c:pt>
                <c:pt idx="105">
                  <c:v>106.0998</c:v>
                </c:pt>
                <c:pt idx="106">
                  <c:v>107.48569999999999</c:v>
                </c:pt>
                <c:pt idx="107">
                  <c:v>103.3369</c:v>
                </c:pt>
                <c:pt idx="108">
                  <c:v>104.4662</c:v>
                </c:pt>
                <c:pt idx="109">
                  <c:v>105.15430000000001</c:v>
                </c:pt>
                <c:pt idx="110">
                  <c:v>106.0924</c:v>
                </c:pt>
                <c:pt idx="111">
                  <c:v>102.9877</c:v>
                </c:pt>
                <c:pt idx="112">
                  <c:v>104.29470000000001</c:v>
                </c:pt>
                <c:pt idx="113">
                  <c:v>101.07129999999999</c:v>
                </c:pt>
                <c:pt idx="114">
                  <c:v>104.3182</c:v>
                </c:pt>
                <c:pt idx="115">
                  <c:v>103.274</c:v>
                </c:pt>
                <c:pt idx="116">
                  <c:v>105.05</c:v>
                </c:pt>
                <c:pt idx="117">
                  <c:v>103.9808</c:v>
                </c:pt>
                <c:pt idx="118">
                  <c:v>104.9438</c:v>
                </c:pt>
                <c:pt idx="119">
                  <c:v>102.5188</c:v>
                </c:pt>
                <c:pt idx="120">
                  <c:v>99.0595</c:v>
                </c:pt>
                <c:pt idx="121">
                  <c:v>102.0314</c:v>
                </c:pt>
                <c:pt idx="122">
                  <c:v>98.553700000000006</c:v>
                </c:pt>
                <c:pt idx="123">
                  <c:v>100.4235</c:v>
                </c:pt>
                <c:pt idx="124">
                  <c:v>98.558199999999999</c:v>
                </c:pt>
                <c:pt idx="125">
                  <c:v>100.9439</c:v>
                </c:pt>
                <c:pt idx="126">
                  <c:v>105.1296</c:v>
                </c:pt>
                <c:pt idx="127">
                  <c:v>102.5446</c:v>
                </c:pt>
                <c:pt idx="128">
                  <c:v>100.7128</c:v>
                </c:pt>
                <c:pt idx="129">
                  <c:v>101.452</c:v>
                </c:pt>
                <c:pt idx="130">
                  <c:v>97.662800000000004</c:v>
                </c:pt>
                <c:pt idx="131">
                  <c:v>104.5528</c:v>
                </c:pt>
                <c:pt idx="132">
                  <c:v>101.7159</c:v>
                </c:pt>
                <c:pt idx="133">
                  <c:v>108.2527</c:v>
                </c:pt>
                <c:pt idx="134">
                  <c:v>99.933800000000005</c:v>
                </c:pt>
                <c:pt idx="135">
                  <c:v>102.10599999999999</c:v>
                </c:pt>
                <c:pt idx="136">
                  <c:v>101.57940000000001</c:v>
                </c:pt>
                <c:pt idx="137">
                  <c:v>105.8571</c:v>
                </c:pt>
                <c:pt idx="138">
                  <c:v>103.5836</c:v>
                </c:pt>
                <c:pt idx="139">
                  <c:v>105.2512</c:v>
                </c:pt>
                <c:pt idx="140">
                  <c:v>103.3258</c:v>
                </c:pt>
                <c:pt idx="141">
                  <c:v>100.4297</c:v>
                </c:pt>
                <c:pt idx="142">
                  <c:v>101.8721</c:v>
                </c:pt>
                <c:pt idx="143">
                  <c:v>100.4218</c:v>
                </c:pt>
                <c:pt idx="144">
                  <c:v>108.3532</c:v>
                </c:pt>
                <c:pt idx="145">
                  <c:v>107.48439999999999</c:v>
                </c:pt>
                <c:pt idx="146">
                  <c:v>103.10420000000001</c:v>
                </c:pt>
                <c:pt idx="147">
                  <c:v>106.7054</c:v>
                </c:pt>
                <c:pt idx="148">
                  <c:v>107.0307</c:v>
                </c:pt>
                <c:pt idx="149">
                  <c:v>107.5915</c:v>
                </c:pt>
                <c:pt idx="150">
                  <c:v>107.7486</c:v>
                </c:pt>
                <c:pt idx="151">
                  <c:v>106.375</c:v>
                </c:pt>
                <c:pt idx="152">
                  <c:v>104.1845</c:v>
                </c:pt>
                <c:pt idx="153">
                  <c:v>101.5137</c:v>
                </c:pt>
                <c:pt idx="154">
                  <c:v>104.3045</c:v>
                </c:pt>
                <c:pt idx="155">
                  <c:v>109.58369999999999</c:v>
                </c:pt>
                <c:pt idx="156">
                  <c:v>98.730800000000002</c:v>
                </c:pt>
              </c:numCache>
            </c:numRef>
          </c:val>
          <c:smooth val="0"/>
          <c:extLst>
            <c:ext xmlns:c16="http://schemas.microsoft.com/office/drawing/2014/chart" uri="{C3380CC4-5D6E-409C-BE32-E72D297353CC}">
              <c16:uniqueId val="{00000000-4891-4687-9439-DD9490EEED32}"/>
            </c:ext>
          </c:extLst>
        </c:ser>
        <c:dLbls>
          <c:showLegendKey val="0"/>
          <c:showVal val="0"/>
          <c:showCatName val="0"/>
          <c:showSerName val="0"/>
          <c:showPercent val="0"/>
          <c:showBubbleSize val="0"/>
        </c:dLbls>
        <c:smooth val="0"/>
        <c:axId val="1514986031"/>
        <c:axId val="1514713455"/>
      </c:lineChart>
      <c:dateAx>
        <c:axId val="15149860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713455"/>
        <c:crosses val="autoZero"/>
        <c:auto val="0"/>
        <c:lblOffset val="100"/>
        <c:baseTimeUnit val="months"/>
      </c:dateAx>
      <c:valAx>
        <c:axId val="1514713455"/>
        <c:scaling>
          <c:orientation val="minMax"/>
          <c:min val="9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60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Utilities!$Y$1</c:f>
          <c:strCache>
            <c:ptCount val="1"/>
            <c:pt idx="0">
              <c:v>Industrial Production: Electric and gas utilities yoy since 2010</c:v>
            </c:pt>
          </c:strCache>
        </c:strRef>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2010</c:v>
                </c:pt>
              </c:strCache>
            </c:strRef>
          </c:tx>
          <c:spPr>
            <a:solidFill>
              <a:srgbClr val="00B050"/>
            </a:solidFill>
            <a:ln>
              <a:noFill/>
              <a:prstDash val="solid"/>
            </a:ln>
          </c:spPr>
          <c:invertIfNegative val="1"/>
          <c:cat>
            <c:numRef>
              <c:f>Utilities!$A$463:$A$624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Utilities!$D$463:$D$624</c:f>
              <c:numCache>
                <c:formatCode>0.0%</c:formatCode>
                <c:ptCount val="162"/>
                <c:pt idx="0">
                  <c:v>1.4871198118969567E-2</c:v>
                </c:pt>
                <c:pt idx="1">
                  <c:v>6.0139144585442901E-2</c:v>
                </c:pt>
                <c:pt idx="2">
                  <c:v>1.0999953355655031E-2</c:v>
                </c:pt>
                <c:pt idx="3">
                  <c:v>-1.5767197060428981E-2</c:v>
                </c:pt>
                <c:pt idx="4">
                  <c:v>3.9841308205411152E-2</c:v>
                </c:pt>
                <c:pt idx="5">
                  <c:v>6.969598173411351E-2</c:v>
                </c:pt>
                <c:pt idx="6">
                  <c:v>7.5062174278065552E-2</c:v>
                </c:pt>
                <c:pt idx="7">
                  <c:v>6.6532394963557673E-2</c:v>
                </c:pt>
                <c:pt idx="8">
                  <c:v>5.500698808049366E-2</c:v>
                </c:pt>
                <c:pt idx="9">
                  <c:v>-2.1139363171631584E-3</c:v>
                </c:pt>
                <c:pt idx="10">
                  <c:v>4.1419594470026931E-2</c:v>
                </c:pt>
                <c:pt idx="11">
                  <c:v>4.024064739208065E-2</c:v>
                </c:pt>
                <c:pt idx="12">
                  <c:v>1.3676793800797506E-2</c:v>
                </c:pt>
                <c:pt idx="13">
                  <c:v>-1.8718614148078259E-2</c:v>
                </c:pt>
                <c:pt idx="14">
                  <c:v>1.2820024191752721E-2</c:v>
                </c:pt>
                <c:pt idx="15">
                  <c:v>4.0626843123661285E-2</c:v>
                </c:pt>
                <c:pt idx="16">
                  <c:v>-6.5141014701923664E-3</c:v>
                </c:pt>
                <c:pt idx="17">
                  <c:v>-1.4761157288753535E-2</c:v>
                </c:pt>
                <c:pt idx="18">
                  <c:v>1.0702210382175502E-2</c:v>
                </c:pt>
                <c:pt idx="19">
                  <c:v>6.8230435906878033E-3</c:v>
                </c:pt>
                <c:pt idx="20">
                  <c:v>-1.1191311703977573E-2</c:v>
                </c:pt>
                <c:pt idx="21">
                  <c:v>9.3799587050937914E-3</c:v>
                </c:pt>
                <c:pt idx="22">
                  <c:v>-1.0201601651459381E-2</c:v>
                </c:pt>
                <c:pt idx="23">
                  <c:v>-7.201199249898825E-2</c:v>
                </c:pt>
                <c:pt idx="24">
                  <c:v>-7.8062655399184958E-2</c:v>
                </c:pt>
                <c:pt idx="25">
                  <c:v>-5.4830248529031227E-2</c:v>
                </c:pt>
                <c:pt idx="26">
                  <c:v>-6.5279219184485079E-2</c:v>
                </c:pt>
                <c:pt idx="27">
                  <c:v>-2.8002581304632675E-2</c:v>
                </c:pt>
                <c:pt idx="28">
                  <c:v>1.9455478558380878E-2</c:v>
                </c:pt>
                <c:pt idx="29">
                  <c:v>-1.3855600898602756E-2</c:v>
                </c:pt>
                <c:pt idx="30">
                  <c:v>-1.2845645241707546E-2</c:v>
                </c:pt>
                <c:pt idx="31">
                  <c:v>-2.3066042232940714E-2</c:v>
                </c:pt>
                <c:pt idx="32">
                  <c:v>-2.2675557333512952E-2</c:v>
                </c:pt>
                <c:pt idx="33">
                  <c:v>8.2354027010595431E-3</c:v>
                </c:pt>
                <c:pt idx="34">
                  <c:v>5.8182597158773514E-3</c:v>
                </c:pt>
                <c:pt idx="35">
                  <c:v>-1.034852700608286E-2</c:v>
                </c:pt>
                <c:pt idx="36">
                  <c:v>3.2162004324745225E-2</c:v>
                </c:pt>
                <c:pt idx="37">
                  <c:v>3.0876303578499971E-2</c:v>
                </c:pt>
                <c:pt idx="38">
                  <c:v>8.8006517667200607E-2</c:v>
                </c:pt>
                <c:pt idx="39">
                  <c:v>4.6887515587740923E-2</c:v>
                </c:pt>
                <c:pt idx="40">
                  <c:v>-1.786512886901263E-2</c:v>
                </c:pt>
                <c:pt idx="41">
                  <c:v>-7.0637238492885753E-3</c:v>
                </c:pt>
                <c:pt idx="42">
                  <c:v>-2.5399432111309253E-2</c:v>
                </c:pt>
                <c:pt idx="43">
                  <c:v>-1.6717652119879502E-2</c:v>
                </c:pt>
                <c:pt idx="44">
                  <c:v>1.3176318493046587E-2</c:v>
                </c:pt>
                <c:pt idx="45">
                  <c:v>9.8338014911399218E-3</c:v>
                </c:pt>
                <c:pt idx="46">
                  <c:v>3.172289358760947E-2</c:v>
                </c:pt>
                <c:pt idx="47">
                  <c:v>8.784839849184635E-2</c:v>
                </c:pt>
                <c:pt idx="48">
                  <c:v>8.2796586842829631E-2</c:v>
                </c:pt>
                <c:pt idx="49">
                  <c:v>6.665328776397994E-2</c:v>
                </c:pt>
                <c:pt idx="50">
                  <c:v>2.0208088883262806E-2</c:v>
                </c:pt>
                <c:pt idx="51">
                  <c:v>-4.65620770692765E-3</c:v>
                </c:pt>
                <c:pt idx="52">
                  <c:v>1.4701065682468175E-2</c:v>
                </c:pt>
                <c:pt idx="53">
                  <c:v>8.5432299142245462E-3</c:v>
                </c:pt>
                <c:pt idx="54">
                  <c:v>-1.2729645800459528E-2</c:v>
                </c:pt>
                <c:pt idx="55">
                  <c:v>-1.9556014664479262E-3</c:v>
                </c:pt>
                <c:pt idx="56">
                  <c:v>6.6989799030602749E-3</c:v>
                </c:pt>
                <c:pt idx="57">
                  <c:v>-1.7075809499787343E-3</c:v>
                </c:pt>
                <c:pt idx="58">
                  <c:v>1.6423915604813363E-2</c:v>
                </c:pt>
                <c:pt idx="59">
                  <c:v>-3.7480317057029165E-2</c:v>
                </c:pt>
                <c:pt idx="60">
                  <c:v>-3.6181206372878548E-2</c:v>
                </c:pt>
                <c:pt idx="61">
                  <c:v>2.2562928192020045E-2</c:v>
                </c:pt>
                <c:pt idx="62">
                  <c:v>-3.1955163507737896E-3</c:v>
                </c:pt>
                <c:pt idx="63">
                  <c:v>-3.0767720400549916E-3</c:v>
                </c:pt>
                <c:pt idx="64">
                  <c:v>-1.2911530429682325E-2</c:v>
                </c:pt>
                <c:pt idx="65">
                  <c:v>1.2442078083247448E-2</c:v>
                </c:pt>
                <c:pt idx="66">
                  <c:v>2.874675250922713E-2</c:v>
                </c:pt>
                <c:pt idx="67">
                  <c:v>2.3286916444526507E-2</c:v>
                </c:pt>
                <c:pt idx="68">
                  <c:v>1.1501914171224575E-2</c:v>
                </c:pt>
                <c:pt idx="69">
                  <c:v>-8.9483029710221203E-3</c:v>
                </c:pt>
                <c:pt idx="70">
                  <c:v>-6.3803534049595489E-2</c:v>
                </c:pt>
                <c:pt idx="71">
                  <c:v>-5.5021708956735152E-2</c:v>
                </c:pt>
                <c:pt idx="72">
                  <c:v>-2.5133413500283679E-2</c:v>
                </c:pt>
                <c:pt idx="73">
                  <c:v>-7.5173653863130629E-2</c:v>
                </c:pt>
                <c:pt idx="74">
                  <c:v>-8.6489462546798471E-2</c:v>
                </c:pt>
                <c:pt idx="75">
                  <c:v>-1.2585354901098952E-3</c:v>
                </c:pt>
                <c:pt idx="76">
                  <c:v>-4.396695599117097E-3</c:v>
                </c:pt>
                <c:pt idx="77">
                  <c:v>1.6223451051875087E-2</c:v>
                </c:pt>
                <c:pt idx="78">
                  <c:v>2.4290148967511974E-2</c:v>
                </c:pt>
                <c:pt idx="79">
                  <c:v>4.163071998476852E-2</c:v>
                </c:pt>
                <c:pt idx="80">
                  <c:v>7.3300002651526851E-3</c:v>
                </c:pt>
                <c:pt idx="81">
                  <c:v>-7.8817871359752288E-3</c:v>
                </c:pt>
                <c:pt idx="82">
                  <c:v>-6.6841034582969883E-3</c:v>
                </c:pt>
                <c:pt idx="83">
                  <c:v>7.7581205132145489E-2</c:v>
                </c:pt>
                <c:pt idx="84">
                  <c:v>-1.9697024353486265E-2</c:v>
                </c:pt>
                <c:pt idx="85">
                  <c:v>-6.6074647471258074E-2</c:v>
                </c:pt>
                <c:pt idx="86">
                  <c:v>4.5139474845473419E-2</c:v>
                </c:pt>
                <c:pt idx="87">
                  <c:v>-1.7515490224692162E-2</c:v>
                </c:pt>
                <c:pt idx="88">
                  <c:v>9.1706922380575158E-3</c:v>
                </c:pt>
                <c:pt idx="89">
                  <c:v>-1.8013995646058406E-2</c:v>
                </c:pt>
                <c:pt idx="90">
                  <c:v>-1.4128847319111895E-2</c:v>
                </c:pt>
                <c:pt idx="91">
                  <c:v>-5.0383656061384972E-2</c:v>
                </c:pt>
                <c:pt idx="92">
                  <c:v>-3.2062549659028265E-2</c:v>
                </c:pt>
                <c:pt idx="93">
                  <c:v>1.8214707686315484E-2</c:v>
                </c:pt>
                <c:pt idx="94">
                  <c:v>4.3325929832947287E-2</c:v>
                </c:pt>
                <c:pt idx="95">
                  <c:v>1.7387001949998624E-2</c:v>
                </c:pt>
                <c:pt idx="96">
                  <c:v>0.10078901290080551</c:v>
                </c:pt>
                <c:pt idx="97">
                  <c:v>8.3000350734498213E-2</c:v>
                </c:pt>
                <c:pt idx="98">
                  <c:v>3.6882664666214669E-2</c:v>
                </c:pt>
                <c:pt idx="99">
                  <c:v>8.240969707674646E-2</c:v>
                </c:pt>
                <c:pt idx="100">
                  <c:v>3.6323620176746001E-2</c:v>
                </c:pt>
                <c:pt idx="101">
                  <c:v>3.5737953373649697E-2</c:v>
                </c:pt>
                <c:pt idx="102">
                  <c:v>2.2647445279919017E-2</c:v>
                </c:pt>
                <c:pt idx="103">
                  <c:v>5.0012230625486161E-2</c:v>
                </c:pt>
                <c:pt idx="104">
                  <c:v>5.0880438975602696E-2</c:v>
                </c:pt>
                <c:pt idx="105">
                  <c:v>4.6021070315226648E-2</c:v>
                </c:pt>
                <c:pt idx="106">
                  <c:v>6.130519397809369E-2</c:v>
                </c:pt>
                <c:pt idx="107">
                  <c:v>-1.4611535131382773E-2</c:v>
                </c:pt>
                <c:pt idx="108">
                  <c:v>-2.9948538137678598E-2</c:v>
                </c:pt>
                <c:pt idx="109">
                  <c:v>4.4622376754004843E-2</c:v>
                </c:pt>
                <c:pt idx="110">
                  <c:v>2.6153804488704666E-2</c:v>
                </c:pt>
                <c:pt idx="111">
                  <c:v>-4.511844263397051E-2</c:v>
                </c:pt>
                <c:pt idx="112">
                  <c:v>-1.3721059384514873E-3</c:v>
                </c:pt>
                <c:pt idx="113">
                  <c:v>-3.3359060360962631E-2</c:v>
                </c:pt>
                <c:pt idx="114">
                  <c:v>4.7493332537122358E-3</c:v>
                </c:pt>
                <c:pt idx="115">
                  <c:v>-1.3980559165080916E-2</c:v>
                </c:pt>
                <c:pt idx="116">
                  <c:v>6.8297657407602142E-3</c:v>
                </c:pt>
                <c:pt idx="117">
                  <c:v>-1.997176243499045E-2</c:v>
                </c:pt>
                <c:pt idx="118">
                  <c:v>-2.3648727226040285E-2</c:v>
                </c:pt>
                <c:pt idx="119">
                  <c:v>-7.9168235160915531E-3</c:v>
                </c:pt>
                <c:pt idx="120">
                  <c:v>-5.1755496036038455E-2</c:v>
                </c:pt>
                <c:pt idx="121">
                  <c:v>-2.9698262458121075E-2</c:v>
                </c:pt>
                <c:pt idx="122">
                  <c:v>-7.1057870309277502E-2</c:v>
                </c:pt>
                <c:pt idx="123">
                  <c:v>-2.4898118901577563E-2</c:v>
                </c:pt>
                <c:pt idx="124">
                  <c:v>-5.5002794964653108E-2</c:v>
                </c:pt>
                <c:pt idx="125">
                  <c:v>-1.2604963031047826E-3</c:v>
                </c:pt>
                <c:pt idx="126">
                  <c:v>7.7781250059912061E-3</c:v>
                </c:pt>
                <c:pt idx="127">
                  <c:v>-7.0627650715571998E-3</c:v>
                </c:pt>
                <c:pt idx="128">
                  <c:v>-4.1287006187529708E-2</c:v>
                </c:pt>
                <c:pt idx="129">
                  <c:v>-2.4319874438357886E-2</c:v>
                </c:pt>
                <c:pt idx="130">
                  <c:v>-6.9379991957600085E-2</c:v>
                </c:pt>
                <c:pt idx="131">
                  <c:v>1.9840263444363435E-2</c:v>
                </c:pt>
                <c:pt idx="132">
                  <c:v>2.6816206421393252E-2</c:v>
                </c:pt>
                <c:pt idx="133">
                  <c:v>6.0974366714560413E-2</c:v>
                </c:pt>
                <c:pt idx="134">
                  <c:v>1.4003533099213917E-2</c:v>
                </c:pt>
                <c:pt idx="135">
                  <c:v>1.6754046612595559E-2</c:v>
                </c:pt>
                <c:pt idx="136">
                  <c:v>3.0653968923945521E-2</c:v>
                </c:pt>
                <c:pt idx="137">
                  <c:v>4.8672579521892884E-2</c:v>
                </c:pt>
                <c:pt idx="138">
                  <c:v>-1.4705658539554915E-2</c:v>
                </c:pt>
                <c:pt idx="139">
                  <c:v>2.6394368889244235E-2</c:v>
                </c:pt>
                <c:pt idx="140">
                  <c:v>2.5945063586753615E-2</c:v>
                </c:pt>
                <c:pt idx="141">
                  <c:v>-1.007668651184798E-2</c:v>
                </c:pt>
                <c:pt idx="142">
                  <c:v>4.310034117391677E-2</c:v>
                </c:pt>
                <c:pt idx="143">
                  <c:v>-3.9511136956638181E-2</c:v>
                </c:pt>
                <c:pt idx="144">
                  <c:v>6.5253318311099803E-2</c:v>
                </c:pt>
                <c:pt idx="145">
                  <c:v>-7.0972825620054802E-3</c:v>
                </c:pt>
                <c:pt idx="146">
                  <c:v>3.1725001951291763E-2</c:v>
                </c:pt>
                <c:pt idx="147">
                  <c:v>4.5045345033592574E-2</c:v>
                </c:pt>
                <c:pt idx="148">
                  <c:v>5.3665408537557704E-2</c:v>
                </c:pt>
                <c:pt idx="149">
                  <c:v>1.6384352112423197E-2</c:v>
                </c:pt>
                <c:pt idx="150">
                  <c:v>4.0209067844716652E-2</c:v>
                </c:pt>
                <c:pt idx="151">
                  <c:v>1.0677312942750324E-2</c:v>
                </c:pt>
                <c:pt idx="152">
                  <c:v>8.3106058699763171E-3</c:v>
                </c:pt>
                <c:pt idx="153">
                  <c:v>1.0793619815652175E-2</c:v>
                </c:pt>
                <c:pt idx="154">
                  <c:v>2.3876998707202474E-2</c:v>
                </c:pt>
                <c:pt idx="155">
                  <c:v>9.1234174253000719E-2</c:v>
                </c:pt>
                <c:pt idx="156">
                  <c:v>-8.8805868216167122E-2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9D0-47DD-A52F-E02C6BC08E41}"/>
            </c:ext>
          </c:extLst>
        </c:ser>
        <c:dLbls>
          <c:showLegendKey val="0"/>
          <c:showVal val="0"/>
          <c:showCatName val="0"/>
          <c:showSerName val="0"/>
          <c:showPercent val="0"/>
          <c:showBubbleSize val="0"/>
        </c:dLbls>
        <c:gapWidth val="219"/>
        <c:overlap val="-27"/>
        <c:axId val="1514988703"/>
        <c:axId val="1514870015"/>
      </c:barChart>
      <c:dateAx>
        <c:axId val="151498870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870015"/>
        <c:crosses val="autoZero"/>
        <c:auto val="0"/>
        <c:lblOffset val="100"/>
        <c:baseTimeUnit val="months"/>
      </c:dateAx>
      <c:valAx>
        <c:axId val="1514870015"/>
        <c:scaling>
          <c:orientation val="minMax"/>
          <c:max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870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4" Type="http://schemas.openxmlformats.org/officeDocument/2006/relationships/chart" Target="../charts/chart1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4" Type="http://schemas.openxmlformats.org/officeDocument/2006/relationships/chart" Target="../charts/chart2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4" Type="http://schemas.openxmlformats.org/officeDocument/2006/relationships/chart" Target="../charts/chart2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2.xml"/><Relationship Id="rId2" Type="http://schemas.openxmlformats.org/officeDocument/2006/relationships/chart" Target="../charts/chart31.xml"/><Relationship Id="rId1" Type="http://schemas.openxmlformats.org/officeDocument/2006/relationships/chart" Target="../charts/chart30.xml"/><Relationship Id="rId4" Type="http://schemas.openxmlformats.org/officeDocument/2006/relationships/chart" Target="../charts/chart33.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 Id="rId4"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275166</xdr:colOff>
      <xdr:row>1219</xdr:row>
      <xdr:rowOff>125940</xdr:rowOff>
    </xdr:from>
    <xdr:to>
      <xdr:col>15</xdr:col>
      <xdr:colOff>1534583</xdr:colOff>
      <xdr:row>1251</xdr:row>
      <xdr:rowOff>31749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312209</xdr:colOff>
      <xdr:row>1186</xdr:row>
      <xdr:rowOff>127000</xdr:rowOff>
    </xdr:from>
    <xdr:to>
      <xdr:col>15</xdr:col>
      <xdr:colOff>1571625</xdr:colOff>
      <xdr:row>1217</xdr:row>
      <xdr:rowOff>133349</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211666</xdr:colOff>
      <xdr:row>575</xdr:row>
      <xdr:rowOff>127000</xdr:rowOff>
    </xdr:from>
    <xdr:to>
      <xdr:col>14</xdr:col>
      <xdr:colOff>466725</xdr:colOff>
      <xdr:row>596</xdr:row>
      <xdr:rowOff>28575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42334</xdr:colOff>
      <xdr:row>575</xdr:row>
      <xdr:rowOff>105833</xdr:rowOff>
    </xdr:from>
    <xdr:to>
      <xdr:col>25</xdr:col>
      <xdr:colOff>594782</xdr:colOff>
      <xdr:row>596</xdr:row>
      <xdr:rowOff>7408</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200175</xdr:colOff>
      <xdr:row>596</xdr:row>
      <xdr:rowOff>169333</xdr:rowOff>
    </xdr:from>
    <xdr:to>
      <xdr:col>14</xdr:col>
      <xdr:colOff>465666</xdr:colOff>
      <xdr:row>619</xdr:row>
      <xdr:rowOff>18144</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48079</xdr:colOff>
      <xdr:row>596</xdr:row>
      <xdr:rowOff>140302</xdr:rowOff>
    </xdr:from>
    <xdr:to>
      <xdr:col>25</xdr:col>
      <xdr:colOff>624416</xdr:colOff>
      <xdr:row>619</xdr:row>
      <xdr:rowOff>10583</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509511</xdr:colOff>
      <xdr:row>624</xdr:row>
      <xdr:rowOff>0</xdr:rowOff>
    </xdr:from>
    <xdr:to>
      <xdr:col>16</xdr:col>
      <xdr:colOff>625929</xdr:colOff>
      <xdr:row>651</xdr:row>
      <xdr:rowOff>151190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520697</xdr:colOff>
      <xdr:row>652</xdr:row>
      <xdr:rowOff>73026</xdr:rowOff>
    </xdr:from>
    <xdr:to>
      <xdr:col>16</xdr:col>
      <xdr:colOff>687915</xdr:colOff>
      <xdr:row>680</xdr:row>
      <xdr:rowOff>84668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149225</xdr:colOff>
      <xdr:row>595</xdr:row>
      <xdr:rowOff>59797</xdr:rowOff>
    </xdr:from>
    <xdr:to>
      <xdr:col>15</xdr:col>
      <xdr:colOff>500062</xdr:colOff>
      <xdr:row>618</xdr:row>
      <xdr:rowOff>79377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604306</xdr:colOff>
      <xdr:row>595</xdr:row>
      <xdr:rowOff>57678</xdr:rowOff>
    </xdr:from>
    <xdr:to>
      <xdr:col>27</xdr:col>
      <xdr:colOff>500061</xdr:colOff>
      <xdr:row>618</xdr:row>
      <xdr:rowOff>103187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615949</xdr:colOff>
      <xdr:row>567</xdr:row>
      <xdr:rowOff>24341</xdr:rowOff>
    </xdr:from>
    <xdr:to>
      <xdr:col>27</xdr:col>
      <xdr:colOff>484187</xdr:colOff>
      <xdr:row>594</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174624</xdr:colOff>
      <xdr:row>567</xdr:row>
      <xdr:rowOff>35983</xdr:rowOff>
    </xdr:from>
    <xdr:to>
      <xdr:col>15</xdr:col>
      <xdr:colOff>515938</xdr:colOff>
      <xdr:row>594</xdr:row>
      <xdr:rowOff>95250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220133</xdr:colOff>
      <xdr:row>571</xdr:row>
      <xdr:rowOff>8466</xdr:rowOff>
    </xdr:from>
    <xdr:to>
      <xdr:col>14</xdr:col>
      <xdr:colOff>465666</xdr:colOff>
      <xdr:row>593</xdr:row>
      <xdr:rowOff>16933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685798</xdr:colOff>
      <xdr:row>570</xdr:row>
      <xdr:rowOff>169335</xdr:rowOff>
    </xdr:from>
    <xdr:to>
      <xdr:col>26</xdr:col>
      <xdr:colOff>0</xdr:colOff>
      <xdr:row>593</xdr:row>
      <xdr:rowOff>8468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203199</xdr:colOff>
      <xdr:row>594</xdr:row>
      <xdr:rowOff>71965</xdr:rowOff>
    </xdr:from>
    <xdr:to>
      <xdr:col>14</xdr:col>
      <xdr:colOff>347134</xdr:colOff>
      <xdr:row>616</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685801</xdr:colOff>
      <xdr:row>594</xdr:row>
      <xdr:rowOff>71966</xdr:rowOff>
    </xdr:from>
    <xdr:to>
      <xdr:col>25</xdr:col>
      <xdr:colOff>626534</xdr:colOff>
      <xdr:row>616</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221190</xdr:colOff>
      <xdr:row>576</xdr:row>
      <xdr:rowOff>64030</xdr:rowOff>
    </xdr:from>
    <xdr:to>
      <xdr:col>14</xdr:col>
      <xdr:colOff>539750</xdr:colOff>
      <xdr:row>599</xdr:row>
      <xdr:rowOff>134938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216957</xdr:colOff>
      <xdr:row>600</xdr:row>
      <xdr:rowOff>47094</xdr:rowOff>
    </xdr:from>
    <xdr:to>
      <xdr:col>14</xdr:col>
      <xdr:colOff>523876</xdr:colOff>
      <xdr:row>622</xdr:row>
      <xdr:rowOff>96838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92603</xdr:colOff>
      <xdr:row>576</xdr:row>
      <xdr:rowOff>46565</xdr:rowOff>
    </xdr:from>
    <xdr:to>
      <xdr:col>26</xdr:col>
      <xdr:colOff>298979</xdr:colOff>
      <xdr:row>599</xdr:row>
      <xdr:rowOff>131762</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82550</xdr:colOff>
      <xdr:row>600</xdr:row>
      <xdr:rowOff>33866</xdr:rowOff>
    </xdr:from>
    <xdr:to>
      <xdr:col>26</xdr:col>
      <xdr:colOff>260351</xdr:colOff>
      <xdr:row>622</xdr:row>
      <xdr:rowOff>119064</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262466</xdr:colOff>
      <xdr:row>568</xdr:row>
      <xdr:rowOff>12697</xdr:rowOff>
    </xdr:from>
    <xdr:to>
      <xdr:col>15</xdr:col>
      <xdr:colOff>643466</xdr:colOff>
      <xdr:row>593</xdr:row>
      <xdr:rowOff>186268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270933</xdr:colOff>
      <xdr:row>594</xdr:row>
      <xdr:rowOff>105833</xdr:rowOff>
    </xdr:from>
    <xdr:to>
      <xdr:col>15</xdr:col>
      <xdr:colOff>609600</xdr:colOff>
      <xdr:row>619</xdr:row>
      <xdr:rowOff>93133</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105832</xdr:colOff>
      <xdr:row>568</xdr:row>
      <xdr:rowOff>46565</xdr:rowOff>
    </xdr:from>
    <xdr:to>
      <xdr:col>29</xdr:col>
      <xdr:colOff>63500</xdr:colOff>
      <xdr:row>593</xdr:row>
      <xdr:rowOff>126999</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122765</xdr:colOff>
      <xdr:row>594</xdr:row>
      <xdr:rowOff>114300</xdr:rowOff>
    </xdr:from>
    <xdr:to>
      <xdr:col>29</xdr:col>
      <xdr:colOff>63500</xdr:colOff>
      <xdr:row>619</xdr:row>
      <xdr:rowOff>93133</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222250</xdr:colOff>
      <xdr:row>577</xdr:row>
      <xdr:rowOff>21167</xdr:rowOff>
    </xdr:from>
    <xdr:to>
      <xdr:col>14</xdr:col>
      <xdr:colOff>254000</xdr:colOff>
      <xdr:row>597</xdr:row>
      <xdr:rowOff>7940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170654</xdr:colOff>
      <xdr:row>597</xdr:row>
      <xdr:rowOff>156368</xdr:rowOff>
    </xdr:from>
    <xdr:to>
      <xdr:col>14</xdr:col>
      <xdr:colOff>246061</xdr:colOff>
      <xdr:row>617</xdr:row>
      <xdr:rowOff>127000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377029</xdr:colOff>
      <xdr:row>577</xdr:row>
      <xdr:rowOff>42334</xdr:rowOff>
    </xdr:from>
    <xdr:to>
      <xdr:col>24</xdr:col>
      <xdr:colOff>444499</xdr:colOff>
      <xdr:row>597</xdr:row>
      <xdr:rowOff>7939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369092</xdr:colOff>
      <xdr:row>597</xdr:row>
      <xdr:rowOff>140494</xdr:rowOff>
    </xdr:from>
    <xdr:to>
      <xdr:col>24</xdr:col>
      <xdr:colOff>455084</xdr:colOff>
      <xdr:row>617</xdr:row>
      <xdr:rowOff>137584</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205578</xdr:colOff>
      <xdr:row>582</xdr:row>
      <xdr:rowOff>166688</xdr:rowOff>
    </xdr:from>
    <xdr:to>
      <xdr:col>14</xdr:col>
      <xdr:colOff>455612</xdr:colOff>
      <xdr:row>603</xdr:row>
      <xdr:rowOff>98426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230981</xdr:colOff>
      <xdr:row>604</xdr:row>
      <xdr:rowOff>34130</xdr:rowOff>
    </xdr:from>
    <xdr:to>
      <xdr:col>14</xdr:col>
      <xdr:colOff>439737</xdr:colOff>
      <xdr:row>624</xdr:row>
      <xdr:rowOff>139699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556419</xdr:colOff>
      <xdr:row>604</xdr:row>
      <xdr:rowOff>76201</xdr:rowOff>
    </xdr:from>
    <xdr:to>
      <xdr:col>25</xdr:col>
      <xdr:colOff>593196</xdr:colOff>
      <xdr:row>624</xdr:row>
      <xdr:rowOff>144993</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580230</xdr:colOff>
      <xdr:row>582</xdr:row>
      <xdr:rowOff>177800</xdr:rowOff>
    </xdr:from>
    <xdr:to>
      <xdr:col>25</xdr:col>
      <xdr:colOff>552979</xdr:colOff>
      <xdr:row>603</xdr:row>
      <xdr:rowOff>161925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234156</xdr:colOff>
      <xdr:row>569</xdr:row>
      <xdr:rowOff>25400</xdr:rowOff>
    </xdr:from>
    <xdr:to>
      <xdr:col>15</xdr:col>
      <xdr:colOff>558800</xdr:colOff>
      <xdr:row>593</xdr:row>
      <xdr:rowOff>7938</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250029</xdr:colOff>
      <xdr:row>593</xdr:row>
      <xdr:rowOff>84931</xdr:rowOff>
    </xdr:from>
    <xdr:to>
      <xdr:col>15</xdr:col>
      <xdr:colOff>611187</xdr:colOff>
      <xdr:row>617</xdr:row>
      <xdr:rowOff>111124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7937</xdr:colOff>
      <xdr:row>569</xdr:row>
      <xdr:rowOff>25400</xdr:rowOff>
    </xdr:from>
    <xdr:to>
      <xdr:col>29</xdr:col>
      <xdr:colOff>139700</xdr:colOff>
      <xdr:row>593</xdr:row>
      <xdr:rowOff>31750</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643730</xdr:colOff>
      <xdr:row>593</xdr:row>
      <xdr:rowOff>84932</xdr:rowOff>
    </xdr:from>
    <xdr:to>
      <xdr:col>29</xdr:col>
      <xdr:colOff>139700</xdr:colOff>
      <xdr:row>617</xdr:row>
      <xdr:rowOff>101600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55" totalsRowShown="0" headerRowDxfId="68" dataDxfId="66" headerRowBorderDxfId="67">
  <autoFilter ref="A6:D1255" xr:uid="{00000000-0009-0000-0100-000001000000}"/>
  <tableColumns count="4">
    <tableColumn id="1" xr3:uid="{00000000-0010-0000-0000-000001000000}" name="Month" dataDxfId="65"/>
    <tableColumn id="2" xr3:uid="{00000000-0010-0000-0000-000002000000}" name="Industrial Production " dataDxfId="64">
      <calculatedColumnFormula>VLOOKUP(Table10[[#This Row],[Month]],database!A:J,MATCH('IP from start'!$A$1,database!$A$1:$J$1,),)</calculatedColumnFormula>
    </tableColumn>
    <tableColumn id="3" xr3:uid="{00000000-0010-0000-0000-000003000000}" name="yoy" dataDxfId="63"/>
    <tableColumn id="4" xr3:uid="{00000000-0010-0000-0000-000004000000}" name="Avg last 12 m"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19" totalsRowShown="0" headerRowDxfId="61" dataDxfId="59" headerRowBorderDxfId="60" tableBorderDxfId="58">
  <autoFilter ref="A6:D619" xr:uid="{00000000-0009-0000-0100-000002000000}"/>
  <tableColumns count="4">
    <tableColumn id="1" xr3:uid="{00000000-0010-0000-0100-000001000000}" name="Date" dataDxfId="57"/>
    <tableColumn id="2" xr3:uid="{00000000-0010-0000-0100-000002000000}" name="Index" dataDxfId="56">
      <calculatedColumnFormula>VLOOKUP(Table1[[#This Row],[Date]],database!A:B,2,)</calculatedColumnFormula>
    </tableColumn>
    <tableColumn id="3" xr3:uid="{00000000-0010-0000-0100-000003000000}" name="mom" dataDxfId="55">
      <calculatedColumnFormula>B7/B6-1</calculatedColumnFormula>
    </tableColumn>
    <tableColumn id="4" xr3:uid="{00000000-0010-0000-0100-000004000000}"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78" totalsRowShown="0" headerRowDxfId="53" dataDxfId="51" headerRowBorderDxfId="52">
  <autoFilter ref="A5:C678" xr:uid="{00000000-0009-0000-0100-000003000000}"/>
  <tableColumns count="3">
    <tableColumn id="1" xr3:uid="{00000000-0010-0000-0200-000001000000}" name="Month" dataDxfId="50"/>
    <tableColumn id="2" xr3:uid="{00000000-0010-0000-0200-000002000000}" name="Capacity Utilization" dataDxfId="49">
      <calculatedColumnFormula>VLOOKUP(Table8[[#This Row],[Month]],database!A:J,MATCH('Capacity Utilization'!$A$1,database!$A$1:$J$1,),)</calculatedColumnFormula>
    </tableColumn>
    <tableColumn id="3" xr3:uid="{00000000-0010-0000-0200-000003000000}" name="Core PPI" dataDxfId="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19" totalsRowShown="0" headerRowDxfId="47" dataDxfId="45" headerRowBorderDxfId="46" tableBorderDxfId="44">
  <autoFilter ref="A6:D619" xr:uid="{00000000-0009-0000-0100-000004000000}"/>
  <tableColumns count="4">
    <tableColumn id="1" xr3:uid="{00000000-0010-0000-0300-000001000000}" name="Date" dataDxfId="43"/>
    <tableColumn id="2" xr3:uid="{00000000-0010-0000-0300-000002000000}" name="Index" dataDxfId="42">
      <calculatedColumnFormula>VLOOKUP(Table17[[#This Row],[Date]],database!A:H,7,)</calculatedColumnFormula>
    </tableColumn>
    <tableColumn id="3" xr3:uid="{00000000-0010-0000-0300-000003000000}" name="mom" dataDxfId="41">
      <calculatedColumnFormula>B7/B6-1</calculatedColumnFormula>
    </tableColumn>
    <tableColumn id="4" xr3:uid="{00000000-0010-0000-0300-000004000000}"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19" totalsRowShown="0" headerRowBorderDxfId="39" tableBorderDxfId="38">
  <autoFilter ref="A6:D619" xr:uid="{00000000-0009-0000-0100-000005000000}"/>
  <tableColumns count="4">
    <tableColumn id="1" xr3:uid="{00000000-0010-0000-0400-000001000000}" name="Date" dataDxfId="37"/>
    <tableColumn id="2" xr3:uid="{00000000-0010-0000-0400-000002000000}" name="Index" dataDxfId="36">
      <calculatedColumnFormula>VLOOKUP(Table18[[#This Row],[Date]],database!A:G,5,)</calculatedColumnFormula>
    </tableColumn>
    <tableColumn id="3" xr3:uid="{00000000-0010-0000-0400-000003000000}" name="mom" dataDxfId="35">
      <calculatedColumnFormula>B7/B6-1</calculatedColumnFormula>
    </tableColumn>
    <tableColumn id="4" xr3:uid="{00000000-0010-0000-0400-000004000000}"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19" totalsRowShown="0" headerRowBorderDxfId="33" tableBorderDxfId="32">
  <autoFilter ref="A6:D619" xr:uid="{00000000-0009-0000-0100-000006000000}"/>
  <tableColumns count="4">
    <tableColumn id="1" xr3:uid="{00000000-0010-0000-0500-000001000000}" name="Date" dataDxfId="31"/>
    <tableColumn id="2" xr3:uid="{00000000-0010-0000-0500-000002000000}" name="Index" dataDxfId="30">
      <calculatedColumnFormula>VLOOKUP(Table16[[#This Row],[Date]],database!A:H,4,)</calculatedColumnFormula>
    </tableColumn>
    <tableColumn id="3" xr3:uid="{00000000-0010-0000-0500-000003000000}" name="mom" dataDxfId="29">
      <calculatedColumnFormula>B7/B6-1</calculatedColumnFormula>
    </tableColumn>
    <tableColumn id="4" xr3:uid="{00000000-0010-0000-0500-000004000000}"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19" totalsRowShown="0" headerRowBorderDxfId="27" tableBorderDxfId="26">
  <autoFilter ref="A6:D619" xr:uid="{00000000-0009-0000-0100-000007000000}"/>
  <tableColumns count="4">
    <tableColumn id="1" xr3:uid="{00000000-0010-0000-0600-000001000000}" name="Date" dataDxfId="25"/>
    <tableColumn id="2" xr3:uid="{00000000-0010-0000-0600-000002000000}" name="Index" dataDxfId="24">
      <calculatedColumnFormula>VLOOKUP(Table110[[#This Row],[Date]],database!A:H,3,)</calculatedColumnFormula>
    </tableColumn>
    <tableColumn id="3" xr3:uid="{00000000-0010-0000-0600-000003000000}" name="mom" dataDxfId="23">
      <calculatedColumnFormula>B7/B6-1</calculatedColumnFormula>
    </tableColumn>
    <tableColumn id="4" xr3:uid="{00000000-0010-0000-0600-000004000000}"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19" totalsRowShown="0" headerRowBorderDxfId="21" tableBorderDxfId="20">
  <autoFilter ref="A6:D619" xr:uid="{00000000-0009-0000-0100-000008000000}"/>
  <tableColumns count="4">
    <tableColumn id="1" xr3:uid="{00000000-0010-0000-0700-000001000000}" name="Date" dataDxfId="19"/>
    <tableColumn id="2" xr3:uid="{00000000-0010-0000-0700-000002000000}" name="Index" dataDxfId="18">
      <calculatedColumnFormula>VLOOKUP(Table13[[#This Row],[Date]],database!A:F,6,)</calculatedColumnFormula>
    </tableColumn>
    <tableColumn id="3" xr3:uid="{00000000-0010-0000-0700-000003000000}" name="mom" dataDxfId="17">
      <calculatedColumnFormula>B7/B6-1</calculatedColumnFormula>
    </tableColumn>
    <tableColumn id="4" xr3:uid="{00000000-0010-0000-0700-000004000000}"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19" totalsRowShown="0" headerRowDxfId="15" dataDxfId="13" headerRowBorderDxfId="14" tableBorderDxfId="12">
  <autoFilter ref="A6:D619" xr:uid="{00000000-0009-0000-0100-000009000000}"/>
  <tableColumns count="4">
    <tableColumn id="1" xr3:uid="{00000000-0010-0000-0800-000001000000}" name="Date" dataDxfId="11"/>
    <tableColumn id="2" xr3:uid="{00000000-0010-0000-0800-000002000000}" name="Index" dataDxfId="10">
      <calculatedColumnFormula>VLOOKUP(Table134[[#This Row],[Date]],database!A:I,8,)</calculatedColumnFormula>
    </tableColumn>
    <tableColumn id="3" xr3:uid="{00000000-0010-0000-0800-000003000000}" name="mom" dataDxfId="9">
      <calculatedColumnFormula>B7/B6-1</calculatedColumnFormula>
    </tableColumn>
    <tableColumn id="4" xr3:uid="{00000000-0010-0000-0800-000004000000}"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19" totalsRowShown="0" headerRowDxfId="7" dataDxfId="5" headerRowBorderDxfId="6" tableBorderDxfId="4">
  <autoFilter ref="A6:D619" xr:uid="{00000000-0009-0000-0100-00000A000000}"/>
  <tableColumns count="4">
    <tableColumn id="1" xr3:uid="{00000000-0010-0000-0900-000001000000}" name="Date" dataDxfId="3"/>
    <tableColumn id="2" xr3:uid="{00000000-0010-0000-0900-000002000000}" name="Index" dataDxfId="2">
      <calculatedColumnFormula>VLOOKUP(Table1345[[#This Row],[Date]],database!A:I,9,)</calculatedColumnFormula>
    </tableColumn>
    <tableColumn id="3" xr3:uid="{00000000-0010-0000-0900-000003000000}" name="mom" dataDxfId="1">
      <calculatedColumnFormula>B7/B6-1</calculatedColumnFormula>
    </tableColumn>
    <tableColumn id="4" xr3:uid="{00000000-0010-0000-0900-000004000000}"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zoomScale="70" zoomScaleNormal="70" workbookViewId="0">
      <selection activeCell="K1265" sqref="K1265"/>
    </sheetView>
  </sheetViews>
  <sheetFormatPr defaultColWidth="9.1796875" defaultRowHeight="14.5" x14ac:dyDescent="0.35"/>
  <cols>
    <col min="1" max="1" width="9.1796875" style="74" customWidth="1"/>
    <col min="2" max="10" width="12.81640625" style="74" customWidth="1"/>
    <col min="11" max="13" width="3" style="74" customWidth="1"/>
    <col min="14" max="14" width="19" style="74" customWidth="1"/>
    <col min="15" max="15" width="9.1796875" style="74" customWidth="1"/>
    <col min="16" max="19" width="12.36328125" style="74" customWidth="1"/>
    <col min="20" max="46" width="9.1796875" style="74" customWidth="1"/>
    <col min="47" max="16384" width="9.1796875" style="74"/>
  </cols>
  <sheetData>
    <row r="1" spans="2:19" x14ac:dyDescent="0.35">
      <c r="B1" s="86"/>
      <c r="C1" s="79"/>
      <c r="D1" s="79"/>
      <c r="E1" s="79"/>
      <c r="F1" s="79"/>
      <c r="G1" s="79"/>
      <c r="H1" s="79"/>
      <c r="I1" s="79"/>
      <c r="J1" s="79"/>
    </row>
    <row r="2" spans="2:19" ht="16" customHeight="1" thickBot="1" x14ac:dyDescent="0.4">
      <c r="B2" s="87"/>
      <c r="C2" s="87"/>
      <c r="D2" s="87"/>
      <c r="E2" s="87"/>
      <c r="F2" s="87"/>
      <c r="G2" s="87"/>
      <c r="H2" s="87"/>
      <c r="I2" s="87"/>
      <c r="J2" s="87"/>
    </row>
    <row r="3" spans="2:19" ht="16" customHeight="1" thickBot="1" x14ac:dyDescent="0.4">
      <c r="B3" s="88" t="s">
        <v>0</v>
      </c>
      <c r="C3" s="89"/>
      <c r="D3" s="89"/>
      <c r="E3" s="89"/>
      <c r="F3" s="89"/>
      <c r="G3" s="89"/>
      <c r="H3" s="89"/>
      <c r="I3" s="89"/>
      <c r="J3" s="90"/>
    </row>
    <row r="5" spans="2:19" x14ac:dyDescent="0.35">
      <c r="B5" s="81" t="s">
        <v>1</v>
      </c>
      <c r="C5" s="82"/>
      <c r="D5" s="82"/>
      <c r="E5" s="82"/>
      <c r="F5" s="82"/>
      <c r="G5" s="82"/>
      <c r="H5" s="82"/>
      <c r="I5" s="82"/>
      <c r="J5" s="83"/>
    </row>
    <row r="7" spans="2:19" ht="245.25" customHeight="1" x14ac:dyDescent="0.35">
      <c r="B7" s="91" t="s">
        <v>2</v>
      </c>
      <c r="C7" s="79"/>
      <c r="D7" s="79"/>
      <c r="E7" s="79"/>
      <c r="F7" s="79"/>
      <c r="G7" s="79"/>
      <c r="H7" s="79"/>
      <c r="I7" s="79"/>
      <c r="J7" s="79"/>
    </row>
    <row r="8" spans="2:19" ht="15" customHeight="1" x14ac:dyDescent="0.35">
      <c r="B8" s="92" t="s">
        <v>3</v>
      </c>
      <c r="C8" s="79"/>
      <c r="D8" s="79"/>
      <c r="E8" s="79"/>
      <c r="F8" s="79"/>
      <c r="G8" s="79"/>
      <c r="H8" s="79"/>
      <c r="I8" s="79"/>
      <c r="J8" s="79"/>
    </row>
    <row r="9" spans="2:19" ht="15" customHeight="1" x14ac:dyDescent="0.35">
      <c r="B9" s="2" t="s">
        <v>4</v>
      </c>
    </row>
    <row r="10" spans="2:19" ht="15" customHeight="1" x14ac:dyDescent="0.35">
      <c r="B10" s="2" t="s">
        <v>5</v>
      </c>
      <c r="N10" s="81" t="s">
        <v>6</v>
      </c>
      <c r="O10" s="82"/>
      <c r="P10" s="82"/>
      <c r="Q10" s="82"/>
      <c r="R10" s="82"/>
      <c r="S10" s="83"/>
    </row>
    <row r="11" spans="2:19" x14ac:dyDescent="0.35">
      <c r="B11" s="22"/>
      <c r="C11" s="22"/>
      <c r="D11" s="22"/>
      <c r="E11" s="22"/>
    </row>
    <row r="12" spans="2:19" x14ac:dyDescent="0.35">
      <c r="B12" s="81" t="s">
        <v>7</v>
      </c>
      <c r="C12" s="82"/>
      <c r="D12" s="82"/>
      <c r="E12" s="82"/>
      <c r="F12" s="82"/>
      <c r="G12" s="82"/>
      <c r="H12" s="82"/>
      <c r="I12" s="82"/>
      <c r="J12" s="83"/>
      <c r="N12" s="40" t="s">
        <v>8</v>
      </c>
    </row>
    <row r="13" spans="2:19" ht="16" customHeight="1" thickBot="1" x14ac:dyDescent="0.4"/>
    <row r="14" spans="2:19" x14ac:dyDescent="0.35">
      <c r="B14" s="81" t="s">
        <v>9</v>
      </c>
      <c r="C14" s="82"/>
      <c r="D14" s="82"/>
      <c r="E14" s="82"/>
      <c r="F14" s="83"/>
      <c r="G14" s="81" t="s">
        <v>10</v>
      </c>
      <c r="H14" s="82"/>
      <c r="I14" s="82"/>
      <c r="J14" s="83"/>
      <c r="P14" s="41">
        <v>44927</v>
      </c>
      <c r="Q14" s="42"/>
    </row>
    <row r="15" spans="2:19" ht="16" customHeight="1" thickBot="1" x14ac:dyDescent="0.4">
      <c r="P15" s="43" t="s">
        <v>11</v>
      </c>
      <c r="Q15" s="43" t="s">
        <v>12</v>
      </c>
    </row>
    <row r="16" spans="2:19" ht="16" customHeight="1" x14ac:dyDescent="0.35">
      <c r="B16" s="1" t="s">
        <v>13</v>
      </c>
      <c r="I16" s="11"/>
      <c r="J16" s="12" t="s">
        <v>14</v>
      </c>
      <c r="N16" s="84" t="s">
        <v>15</v>
      </c>
      <c r="O16" s="85"/>
      <c r="P16" s="44">
        <f>(VLOOKUP($P$14,database!A:J,MATCH(Note!S16,database!$A$1:$J$1,),)-VLOOKUP($N$28,database!A:J,MATCH(Note!S16,database!$A$1:$J$1,),))/VLOOKUP($N$28,database!A:J,MATCH(Note!S16,database!$A$1:$J$1,),)</f>
        <v>2.6135383228271397E-4</v>
      </c>
      <c r="Q16" s="45">
        <f>(VLOOKUP($P$14,database!A:J,MATCH(Note!S16,database!$A$1:$J$1,),)-VLOOKUP($N$29,database!A:J,MATCH(Note!S16,database!$A$1:$J$1,),))/VLOOKUP($N$29,database!A:J,MATCH(Note!S16,database!$A$1:$J$1,),)</f>
        <v>7.8955612554578725E-3</v>
      </c>
      <c r="S16" s="74" t="s">
        <v>16</v>
      </c>
    </row>
    <row r="17" spans="2:19" x14ac:dyDescent="0.35">
      <c r="B17" s="74" t="s">
        <v>17</v>
      </c>
      <c r="D17" s="74" t="s">
        <v>18</v>
      </c>
      <c r="I17" s="11">
        <v>2447752</v>
      </c>
      <c r="J17" s="25">
        <v>0.72596839700733096</v>
      </c>
      <c r="N17" s="93" t="s">
        <v>17</v>
      </c>
      <c r="O17" s="94"/>
      <c r="P17" s="46">
        <f>(VLOOKUP($P$14,database!A:J,MATCH(Note!S17,database!$A$1:$J$1,),)-VLOOKUP($N$28,database!A:J,MATCH(Note!S17,database!$A$1:$J$1,),))/VLOOKUP($N$28,database!A:J,MATCH(Note!S17,database!$A$1:$J$1,),)</f>
        <v>9.3561888897009168E-3</v>
      </c>
      <c r="Q17" s="47">
        <f>(VLOOKUP($P$14,database!A:J,MATCH(Note!S17,database!$A$1:$J$1,),)-VLOOKUP($N$29,database!A:J,MATCH(Note!S17,database!$A$1:$J$1,),))/VLOOKUP($N$29,database!A:J,MATCH(Note!S17,database!$A$1:$J$1,),)</f>
        <v>3.3895572577426394E-3</v>
      </c>
      <c r="S17" s="51" t="s">
        <v>19</v>
      </c>
    </row>
    <row r="18" spans="2:19" ht="15.75" customHeight="1" x14ac:dyDescent="0.35">
      <c r="B18" s="74" t="s">
        <v>20</v>
      </c>
      <c r="D18" s="74" t="s">
        <v>21</v>
      </c>
      <c r="G18" s="76"/>
      <c r="H18" s="76"/>
      <c r="I18" s="23">
        <v>608173</v>
      </c>
      <c r="J18" s="26">
        <v>0.18037545385036541</v>
      </c>
      <c r="N18" s="93" t="s">
        <v>20</v>
      </c>
      <c r="O18" s="94"/>
      <c r="P18" s="46">
        <f>(VLOOKUP($P$14,database!A:J,MATCH(Note!S18,database!$A$1:$J$1,),)-VLOOKUP($N$28,database!A:J,MATCH(Note!S18,database!$A$1:$J$1,),))/VLOOKUP($N$28,database!A:J,MATCH(Note!S18,database!$A$1:$J$1,),)</f>
        <v>1.9654120531041704E-2</v>
      </c>
      <c r="Q18" s="47">
        <f>(VLOOKUP($P$14,database!A:J,MATCH(Note!S18,database!$A$1:$J$1,),)-VLOOKUP($N$29,database!A:J,MATCH(Note!S18,database!$A$1:$J$1,),))/VLOOKUP($N$29,database!A:J,MATCH(Note!S18,database!$A$1:$J$1,),)</f>
        <v>8.5667415112495995E-2</v>
      </c>
      <c r="S18" s="51" t="s">
        <v>22</v>
      </c>
    </row>
    <row r="19" spans="2:19" ht="15.75" customHeight="1" x14ac:dyDescent="0.35">
      <c r="B19" s="74" t="s">
        <v>23</v>
      </c>
      <c r="D19" s="74" t="s">
        <v>24</v>
      </c>
      <c r="G19" s="76"/>
      <c r="H19" s="76"/>
      <c r="I19" s="23">
        <v>315781</v>
      </c>
      <c r="J19" s="26">
        <v>9.3656149142303635E-2</v>
      </c>
      <c r="N19" s="93" t="s">
        <v>23</v>
      </c>
      <c r="O19" s="94"/>
      <c r="P19" s="46">
        <f>(VLOOKUP($P$14,database!A:J,MATCH(Note!S19,database!$A$1:$J$1,),)-VLOOKUP($N$28,database!A:J,MATCH(Note!S19,database!$A$1:$J$1,),))/VLOOKUP($N$28,database!A:J,MATCH(Note!S19,database!$A$1:$J$1,),)</f>
        <v>-9.9037539342073613E-2</v>
      </c>
      <c r="Q19" s="47">
        <f>(VLOOKUP($P$14,database!A:J,MATCH(Note!S19,database!$A$1:$J$1,),)-VLOOKUP($N$29,database!A:J,MATCH(Note!S19,database!$A$1:$J$1,),))/VLOOKUP($N$29,database!A:J,MATCH(Note!S19,database!$A$1:$J$1,),)</f>
        <v>-8.8805868216167122E-2</v>
      </c>
      <c r="S19" s="51" t="s">
        <v>25</v>
      </c>
    </row>
    <row r="20" spans="2:19" ht="15.75" customHeight="1" x14ac:dyDescent="0.35">
      <c r="B20" s="74" t="s">
        <v>15</v>
      </c>
      <c r="D20" s="74" t="s">
        <v>26</v>
      </c>
      <c r="G20" s="52"/>
      <c r="H20" s="52"/>
      <c r="I20" s="24">
        <v>3371706</v>
      </c>
      <c r="J20" s="27">
        <v>1</v>
      </c>
      <c r="N20" s="93" t="s">
        <v>27</v>
      </c>
      <c r="O20" s="94"/>
      <c r="P20" s="46">
        <f>(VLOOKUP($P$14,database!A:J,MATCH(Note!S20,database!$A$1:$J$1,),)-VLOOKUP($N$28,database!A:J,MATCH(Note!S20,database!$A$1:$J$1,),))/VLOOKUP($N$28,database!A:J,MATCH(Note!S20,database!$A$1:$J$1,),)</f>
        <v>7.6203435958498318E-4</v>
      </c>
      <c r="Q20" s="47">
        <f>(VLOOKUP($P$14,database!A:J,MATCH(Note!S20,database!$A$1:$J$1,),)-VLOOKUP($N$29,database!A:J,MATCH(Note!S20,database!$A$1:$J$1,),))/VLOOKUP($N$29,database!A:J,MATCH(Note!S20,database!$A$1:$J$1,),)</f>
        <v>1.1123637656366309E-2</v>
      </c>
      <c r="S20" s="74" t="s">
        <v>28</v>
      </c>
    </row>
    <row r="21" spans="2:19" ht="15.75" customHeight="1" x14ac:dyDescent="0.35">
      <c r="G21" s="80"/>
      <c r="H21" s="79"/>
      <c r="I21" s="79"/>
      <c r="J21" s="79"/>
      <c r="N21" s="93" t="s">
        <v>29</v>
      </c>
      <c r="O21" s="94"/>
      <c r="P21" s="46">
        <f>(VLOOKUP($P$14,database!A:J,MATCH(Note!S21,database!$A$1:$J$1,),)-VLOOKUP($N$28,database!A:J,MATCH(Note!S21,database!$A$1:$J$1,),))/VLOOKUP($N$28,database!A:J,MATCH(Note!S21,database!$A$1:$J$1,),)</f>
        <v>-6.8152792179149557E-3</v>
      </c>
      <c r="Q21" s="47">
        <f>(VLOOKUP($P$14,database!A:J,MATCH(Note!S21,database!$A$1:$J$1,),)-VLOOKUP($N$29,database!A:J,MATCH(Note!S21,database!$A$1:$J$1,),))/VLOOKUP($N$29,database!A:J,MATCH(Note!S21,database!$A$1:$J$1,),)</f>
        <v>-8.5407525225102143E-3</v>
      </c>
      <c r="S21" s="74" t="s">
        <v>30</v>
      </c>
    </row>
    <row r="22" spans="2:19" ht="15.75" customHeight="1" x14ac:dyDescent="0.35">
      <c r="B22" s="1" t="s">
        <v>31</v>
      </c>
      <c r="I22" s="11"/>
      <c r="J22" s="12" t="s">
        <v>14</v>
      </c>
      <c r="N22" s="93" t="s">
        <v>32</v>
      </c>
      <c r="O22" s="94"/>
      <c r="P22" s="46">
        <f>(VLOOKUP($P$14,database!A:J,MATCH(Note!S22,database!$A$1:$J$1,),)-VLOOKUP($N$28,database!A:J,MATCH(Note!S22,database!$A$1:$J$1,),))/VLOOKUP($N$28,database!A:J,MATCH(Note!S22,database!$A$1:$J$1,),)</f>
        <v>1.2246032500734177E-2</v>
      </c>
      <c r="Q22" s="47">
        <f>(VLOOKUP($P$14,database!A:J,MATCH(Note!S22,database!$A$1:$J$1,),)-VLOOKUP($N$29,database!A:J,MATCH(Note!S22,database!$A$1:$J$1,),))/VLOOKUP($N$29,database!A:J,MATCH(Note!S22,database!$A$1:$J$1,),)</f>
        <v>3.6819718243528157E-2</v>
      </c>
      <c r="S22" s="74" t="s">
        <v>33</v>
      </c>
    </row>
    <row r="23" spans="2:19" ht="17.25" customHeight="1" thickBot="1" x14ac:dyDescent="0.4">
      <c r="B23" s="74" t="s">
        <v>15</v>
      </c>
      <c r="D23" s="74" t="s">
        <v>26</v>
      </c>
      <c r="I23" s="11">
        <v>3371706</v>
      </c>
      <c r="J23" s="25">
        <v>1</v>
      </c>
      <c r="N23" s="95" t="s">
        <v>34</v>
      </c>
      <c r="O23" s="96"/>
      <c r="P23" s="48">
        <f>(VLOOKUP($P$14,database!A:J,MATCH(Note!S23,database!$A$1:$J$1,),)-VLOOKUP($N$28,database!A:J,MATCH(Note!S23,database!$A$1:$J$1,),))/VLOOKUP($N$28,database!A:J,MATCH(Note!S23,database!$A$1:$J$1,),)</f>
        <v>8.432494669925664E-3</v>
      </c>
      <c r="Q23" s="49">
        <f>(VLOOKUP($P$14,database!A:J,MATCH(Note!S23,database!$A$1:$J$1,),)-VLOOKUP($N$29,database!A:J,MATCH(Note!S23,database!$A$1:$J$1,),))/VLOOKUP($N$29,database!A:J,MATCH(Note!S23,database!$A$1:$J$1,),)</f>
        <v>-3.6989407359706763E-3</v>
      </c>
      <c r="S23" s="74" t="s">
        <v>35</v>
      </c>
    </row>
    <row r="24" spans="2:19" ht="15.75" customHeight="1" x14ac:dyDescent="0.35">
      <c r="B24" s="74" t="s">
        <v>27</v>
      </c>
      <c r="D24" s="74" t="s">
        <v>36</v>
      </c>
      <c r="G24" s="76"/>
      <c r="H24" s="76"/>
      <c r="I24" s="23">
        <v>1624304</v>
      </c>
      <c r="J24" s="26">
        <v>0.48170000000000002</v>
      </c>
    </row>
    <row r="25" spans="2:19" ht="15.75" customHeight="1" x14ac:dyDescent="0.35">
      <c r="B25" s="74" t="s">
        <v>29</v>
      </c>
      <c r="D25" s="74" t="s">
        <v>37</v>
      </c>
      <c r="G25" s="76"/>
      <c r="H25" s="76"/>
      <c r="I25" s="23">
        <v>850761</v>
      </c>
      <c r="J25" s="26">
        <v>0.25230000000000002</v>
      </c>
    </row>
    <row r="26" spans="2:19" ht="15.75" customHeight="1" x14ac:dyDescent="0.35">
      <c r="B26" s="74" t="s">
        <v>38</v>
      </c>
      <c r="G26" s="52"/>
      <c r="H26" s="52"/>
      <c r="I26" s="24">
        <v>423708</v>
      </c>
      <c r="J26" s="27">
        <v>0.1258</v>
      </c>
    </row>
    <row r="27" spans="2:19" ht="15.75" customHeight="1" thickBot="1" x14ac:dyDescent="0.4">
      <c r="B27" s="74" t="s">
        <v>32</v>
      </c>
      <c r="D27" s="74" t="s">
        <v>39</v>
      </c>
      <c r="G27" s="53"/>
      <c r="H27" s="53"/>
      <c r="I27" s="24">
        <v>333915</v>
      </c>
      <c r="J27" s="27">
        <v>9.9000000000000005E-2</v>
      </c>
    </row>
    <row r="28" spans="2:19" ht="15.75" customHeight="1" thickBot="1" x14ac:dyDescent="0.4">
      <c r="B28" s="74" t="s">
        <v>34</v>
      </c>
      <c r="D28" s="74" t="s">
        <v>40</v>
      </c>
      <c r="G28" s="53"/>
      <c r="H28" s="53"/>
      <c r="I28" s="24">
        <v>139018</v>
      </c>
      <c r="J28" s="27">
        <v>4.1200000000000001E-2</v>
      </c>
      <c r="N28" s="42">
        <f>DATE(YEAR($P$14),MONTH($P$14)-1,DAY($P$14))</f>
        <v>44896</v>
      </c>
    </row>
    <row r="29" spans="2:19" ht="15.75" customHeight="1" thickBot="1" x14ac:dyDescent="0.4">
      <c r="B29" s="79"/>
      <c r="C29" s="79"/>
      <c r="D29" s="79"/>
      <c r="E29" s="79"/>
      <c r="F29" s="79"/>
      <c r="G29" s="80" t="s">
        <v>41</v>
      </c>
      <c r="H29" s="79"/>
      <c r="I29" s="79"/>
      <c r="J29" s="79"/>
      <c r="N29" s="50">
        <f>DATE(YEAR($P$14)-1,MONTH($P$14),DAY($P$14))</f>
        <v>44562</v>
      </c>
    </row>
    <row r="30" spans="2:19" x14ac:dyDescent="0.35">
      <c r="G30" s="80" t="s">
        <v>42</v>
      </c>
      <c r="H30" s="79"/>
      <c r="I30" s="79"/>
      <c r="J30" s="79"/>
    </row>
    <row r="32" spans="2:19" x14ac:dyDescent="0.35">
      <c r="B32" s="1" t="s">
        <v>43</v>
      </c>
      <c r="D32" s="75" t="s">
        <v>44</v>
      </c>
    </row>
    <row r="34" spans="2:10" x14ac:dyDescent="0.35">
      <c r="B34" s="1"/>
    </row>
    <row r="35" spans="2:10" ht="33.75" customHeight="1" x14ac:dyDescent="0.35">
      <c r="B35" s="78"/>
      <c r="C35" s="79"/>
      <c r="D35" s="79"/>
      <c r="E35" s="79"/>
      <c r="F35" s="79"/>
      <c r="G35" s="79"/>
      <c r="H35" s="79"/>
      <c r="I35" s="79"/>
      <c r="J35" s="79"/>
    </row>
    <row r="36" spans="2:10" x14ac:dyDescent="0.35">
      <c r="B36" s="21"/>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dxfId="70" priority="1" operator="lessThan">
      <formula>0</formula>
    </cfRule>
    <cfRule type="cellIs" dxfId="69"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51"/>
  <sheetViews>
    <sheetView zoomScale="70" zoomScaleNormal="70" workbookViewId="0">
      <pane ySplit="1" topLeftCell="A1221" activePane="bottomLeft" state="frozen"/>
      <selection activeCell="K1265" sqref="K1265"/>
      <selection pane="bottomLeft" activeCell="K1265" sqref="K1265"/>
    </sheetView>
  </sheetViews>
  <sheetFormatPr defaultColWidth="8.81640625" defaultRowHeight="14.5" x14ac:dyDescent="0.35"/>
  <cols>
    <col min="1" max="1" width="12.6328125" customWidth="1"/>
    <col min="2" max="9" width="11.6328125" customWidth="1"/>
    <col min="10" max="10" width="10.6328125" customWidth="1"/>
    <col min="11" max="256" width="9.1796875" customWidth="1"/>
    <col min="257" max="257" width="12.6328125" customWidth="1"/>
    <col min="258" max="265" width="11.6328125" customWidth="1"/>
    <col min="266" max="266" width="10.6328125" customWidth="1"/>
    <col min="267" max="512" width="9.1796875" customWidth="1"/>
    <col min="513" max="513" width="12.6328125" customWidth="1"/>
    <col min="514" max="521" width="11.6328125" customWidth="1"/>
    <col min="522" max="522" width="10.6328125" customWidth="1"/>
    <col min="523" max="768" width="9.1796875" customWidth="1"/>
    <col min="769" max="769" width="12.6328125" customWidth="1"/>
    <col min="770" max="777" width="11.6328125" customWidth="1"/>
    <col min="778" max="778" width="10.6328125" customWidth="1"/>
    <col min="779" max="1024" width="9.1796875" customWidth="1"/>
    <col min="1025" max="1025" width="12.6328125" customWidth="1"/>
    <col min="1026" max="1033" width="11.6328125" customWidth="1"/>
    <col min="1034" max="1034" width="10.6328125" customWidth="1"/>
    <col min="1035" max="1280" width="9.1796875" customWidth="1"/>
    <col min="1281" max="1281" width="12.6328125" customWidth="1"/>
    <col min="1282" max="1289" width="11.6328125" customWidth="1"/>
    <col min="1290" max="1290" width="10.6328125" customWidth="1"/>
    <col min="1291" max="1536" width="9.1796875" customWidth="1"/>
    <col min="1537" max="1537" width="12.6328125" customWidth="1"/>
    <col min="1538" max="1545" width="11.6328125" customWidth="1"/>
    <col min="1546" max="1546" width="10.6328125" customWidth="1"/>
    <col min="1547" max="1792" width="9.1796875" customWidth="1"/>
    <col min="1793" max="1793" width="12.6328125" customWidth="1"/>
    <col min="1794" max="1801" width="11.6328125" customWidth="1"/>
    <col min="1802" max="1802" width="10.6328125" customWidth="1"/>
    <col min="1803" max="2048" width="9.1796875" customWidth="1"/>
    <col min="2049" max="2049" width="12.6328125" customWidth="1"/>
    <col min="2050" max="2057" width="11.6328125" customWidth="1"/>
    <col min="2058" max="2058" width="10.6328125" customWidth="1"/>
    <col min="2059" max="2304" width="9.1796875" customWidth="1"/>
    <col min="2305" max="2305" width="12.6328125" customWidth="1"/>
    <col min="2306" max="2313" width="11.6328125" customWidth="1"/>
    <col min="2314" max="2314" width="10.6328125" customWidth="1"/>
    <col min="2315" max="2560" width="9.1796875" customWidth="1"/>
    <col min="2561" max="2561" width="12.6328125" customWidth="1"/>
    <col min="2562" max="2569" width="11.6328125" customWidth="1"/>
    <col min="2570" max="2570" width="10.6328125" customWidth="1"/>
    <col min="2571" max="2816" width="9.1796875" customWidth="1"/>
    <col min="2817" max="2817" width="12.6328125" customWidth="1"/>
    <col min="2818" max="2825" width="11.6328125" customWidth="1"/>
    <col min="2826" max="2826" width="10.6328125" customWidth="1"/>
    <col min="2827" max="3072" width="9.1796875" customWidth="1"/>
    <col min="3073" max="3073" width="12.6328125" customWidth="1"/>
    <col min="3074" max="3081" width="11.6328125" customWidth="1"/>
    <col min="3082" max="3082" width="10.6328125" customWidth="1"/>
    <col min="3083" max="3328" width="9.1796875" customWidth="1"/>
    <col min="3329" max="3329" width="12.6328125" customWidth="1"/>
    <col min="3330" max="3337" width="11.6328125" customWidth="1"/>
    <col min="3338" max="3338" width="10.6328125" customWidth="1"/>
    <col min="3339" max="3584" width="9.1796875" customWidth="1"/>
    <col min="3585" max="3585" width="12.6328125" customWidth="1"/>
    <col min="3586" max="3593" width="11.6328125" customWidth="1"/>
    <col min="3594" max="3594" width="10.6328125" customWidth="1"/>
    <col min="3595" max="3840" width="9.1796875" customWidth="1"/>
    <col min="3841" max="3841" width="12.6328125" customWidth="1"/>
    <col min="3842" max="3849" width="11.6328125" customWidth="1"/>
    <col min="3850" max="3850" width="10.6328125" customWidth="1"/>
    <col min="3851" max="4096" width="9.1796875" customWidth="1"/>
    <col min="4097" max="4097" width="12.6328125" customWidth="1"/>
    <col min="4098" max="4105" width="11.6328125" customWidth="1"/>
    <col min="4106" max="4106" width="10.6328125" customWidth="1"/>
    <col min="4107" max="4352" width="9.1796875" customWidth="1"/>
    <col min="4353" max="4353" width="12.6328125" customWidth="1"/>
    <col min="4354" max="4361" width="11.6328125" customWidth="1"/>
    <col min="4362" max="4362" width="10.6328125" customWidth="1"/>
    <col min="4363" max="4608" width="9.1796875" customWidth="1"/>
    <col min="4609" max="4609" width="12.6328125" customWidth="1"/>
    <col min="4610" max="4617" width="11.6328125" customWidth="1"/>
    <col min="4618" max="4618" width="10.6328125" customWidth="1"/>
    <col min="4619" max="4864" width="9.1796875" customWidth="1"/>
    <col min="4865" max="4865" width="12.6328125" customWidth="1"/>
    <col min="4866" max="4873" width="11.6328125" customWidth="1"/>
    <col min="4874" max="4874" width="10.6328125" customWidth="1"/>
    <col min="4875" max="5120" width="9.1796875" customWidth="1"/>
    <col min="5121" max="5121" width="12.6328125" customWidth="1"/>
    <col min="5122" max="5129" width="11.6328125" customWidth="1"/>
    <col min="5130" max="5130" width="10.6328125" customWidth="1"/>
    <col min="5131" max="5376" width="9.1796875" customWidth="1"/>
    <col min="5377" max="5377" width="12.6328125" customWidth="1"/>
    <col min="5378" max="5385" width="11.6328125" customWidth="1"/>
    <col min="5386" max="5386" width="10.6328125" customWidth="1"/>
    <col min="5387" max="5632" width="9.1796875" customWidth="1"/>
    <col min="5633" max="5633" width="12.6328125" customWidth="1"/>
    <col min="5634" max="5641" width="11.6328125" customWidth="1"/>
    <col min="5642" max="5642" width="10.6328125" customWidth="1"/>
    <col min="5643" max="5888" width="9.1796875" customWidth="1"/>
    <col min="5889" max="5889" width="12.6328125" customWidth="1"/>
    <col min="5890" max="5897" width="11.6328125" customWidth="1"/>
    <col min="5898" max="5898" width="10.6328125" customWidth="1"/>
    <col min="5899" max="6144" width="9.1796875" customWidth="1"/>
    <col min="6145" max="6145" width="12.6328125" customWidth="1"/>
    <col min="6146" max="6153" width="11.6328125" customWidth="1"/>
    <col min="6154" max="6154" width="10.6328125" customWidth="1"/>
    <col min="6155" max="6400" width="9.1796875" customWidth="1"/>
    <col min="6401" max="6401" width="12.6328125" customWidth="1"/>
    <col min="6402" max="6409" width="11.6328125" customWidth="1"/>
    <col min="6410" max="6410" width="10.6328125" customWidth="1"/>
    <col min="6411" max="6656" width="9.1796875" customWidth="1"/>
    <col min="6657" max="6657" width="12.6328125" customWidth="1"/>
    <col min="6658" max="6665" width="11.6328125" customWidth="1"/>
    <col min="6666" max="6666" width="10.6328125" customWidth="1"/>
    <col min="6667" max="6912" width="9.1796875" customWidth="1"/>
    <col min="6913" max="6913" width="12.6328125" customWidth="1"/>
    <col min="6914" max="6921" width="11.6328125" customWidth="1"/>
    <col min="6922" max="6922" width="10.6328125" customWidth="1"/>
    <col min="6923" max="7168" width="9.1796875" customWidth="1"/>
    <col min="7169" max="7169" width="12.6328125" customWidth="1"/>
    <col min="7170" max="7177" width="11.6328125" customWidth="1"/>
    <col min="7178" max="7178" width="10.6328125" customWidth="1"/>
    <col min="7179" max="7424" width="9.1796875" customWidth="1"/>
    <col min="7425" max="7425" width="12.6328125" customWidth="1"/>
    <col min="7426" max="7433" width="11.6328125" customWidth="1"/>
    <col min="7434" max="7434" width="10.6328125" customWidth="1"/>
    <col min="7435" max="7680" width="9.1796875" customWidth="1"/>
    <col min="7681" max="7681" width="12.6328125" customWidth="1"/>
    <col min="7682" max="7689" width="11.6328125" customWidth="1"/>
    <col min="7690" max="7690" width="10.6328125" customWidth="1"/>
    <col min="7691" max="7936" width="9.1796875" customWidth="1"/>
    <col min="7937" max="7937" width="12.6328125" customWidth="1"/>
    <col min="7938" max="7945" width="11.6328125" customWidth="1"/>
    <col min="7946" max="7946" width="10.6328125" customWidth="1"/>
    <col min="7947" max="8192" width="9.1796875" customWidth="1"/>
    <col min="8193" max="8193" width="12.6328125" customWidth="1"/>
    <col min="8194" max="8201" width="11.6328125" customWidth="1"/>
    <col min="8202" max="8202" width="10.6328125" customWidth="1"/>
    <col min="8203" max="8448" width="9.1796875" customWidth="1"/>
    <col min="8449" max="8449" width="12.6328125" customWidth="1"/>
    <col min="8450" max="8457" width="11.6328125" customWidth="1"/>
    <col min="8458" max="8458" width="10.6328125" customWidth="1"/>
    <col min="8459" max="8704" width="9.1796875" customWidth="1"/>
    <col min="8705" max="8705" width="12.6328125" customWidth="1"/>
    <col min="8706" max="8713" width="11.6328125" customWidth="1"/>
    <col min="8714" max="8714" width="10.6328125" customWidth="1"/>
    <col min="8715" max="8960" width="9.1796875" customWidth="1"/>
    <col min="8961" max="8961" width="12.6328125" customWidth="1"/>
    <col min="8962" max="8969" width="11.6328125" customWidth="1"/>
    <col min="8970" max="8970" width="10.6328125" customWidth="1"/>
    <col min="8971" max="9216" width="9.1796875" customWidth="1"/>
    <col min="9217" max="9217" width="12.6328125" customWidth="1"/>
    <col min="9218" max="9225" width="11.6328125" customWidth="1"/>
    <col min="9226" max="9226" width="10.6328125" customWidth="1"/>
    <col min="9227" max="9472" width="9.1796875" customWidth="1"/>
    <col min="9473" max="9473" width="12.6328125" customWidth="1"/>
    <col min="9474" max="9481" width="11.6328125" customWidth="1"/>
    <col min="9482" max="9482" width="10.6328125" customWidth="1"/>
    <col min="9483" max="9728" width="9.1796875" customWidth="1"/>
    <col min="9729" max="9729" width="12.6328125" customWidth="1"/>
    <col min="9730" max="9737" width="11.6328125" customWidth="1"/>
    <col min="9738" max="9738" width="10.6328125" customWidth="1"/>
    <col min="9739" max="9984" width="9.1796875" customWidth="1"/>
    <col min="9985" max="9985" width="12.6328125" customWidth="1"/>
    <col min="9986" max="9993" width="11.6328125" customWidth="1"/>
    <col min="9994" max="9994" width="10.6328125" customWidth="1"/>
    <col min="9995" max="10240" width="9.1796875" customWidth="1"/>
    <col min="10241" max="10241" width="12.6328125" customWidth="1"/>
    <col min="10242" max="10249" width="11.6328125" customWidth="1"/>
    <col min="10250" max="10250" width="10.6328125" customWidth="1"/>
    <col min="10251" max="10496" width="9.1796875" customWidth="1"/>
    <col min="10497" max="10497" width="12.6328125" customWidth="1"/>
    <col min="10498" max="10505" width="11.6328125" customWidth="1"/>
    <col min="10506" max="10506" width="10.6328125" customWidth="1"/>
    <col min="10507" max="10752" width="9.1796875" customWidth="1"/>
    <col min="10753" max="10753" width="12.6328125" customWidth="1"/>
    <col min="10754" max="10761" width="11.6328125" customWidth="1"/>
    <col min="10762" max="10762" width="10.6328125" customWidth="1"/>
    <col min="10763" max="11008" width="9.1796875" customWidth="1"/>
    <col min="11009" max="11009" width="12.6328125" customWidth="1"/>
    <col min="11010" max="11017" width="11.6328125" customWidth="1"/>
    <col min="11018" max="11018" width="10.6328125" customWidth="1"/>
    <col min="11019" max="11264" width="9.1796875" customWidth="1"/>
    <col min="11265" max="11265" width="12.6328125" customWidth="1"/>
    <col min="11266" max="11273" width="11.6328125" customWidth="1"/>
    <col min="11274" max="11274" width="10.6328125" customWidth="1"/>
    <col min="11275" max="11520" width="9.1796875" customWidth="1"/>
    <col min="11521" max="11521" width="12.6328125" customWidth="1"/>
    <col min="11522" max="11529" width="11.6328125" customWidth="1"/>
    <col min="11530" max="11530" width="10.6328125" customWidth="1"/>
    <col min="11531" max="11776" width="9.1796875" customWidth="1"/>
    <col min="11777" max="11777" width="12.6328125" customWidth="1"/>
    <col min="11778" max="11785" width="11.6328125" customWidth="1"/>
    <col min="11786" max="11786" width="10.6328125" customWidth="1"/>
    <col min="11787" max="12032" width="9.1796875" customWidth="1"/>
    <col min="12033" max="12033" width="12.6328125" customWidth="1"/>
    <col min="12034" max="12041" width="11.6328125" customWidth="1"/>
    <col min="12042" max="12042" width="10.6328125" customWidth="1"/>
    <col min="12043" max="12288" width="9.1796875" customWidth="1"/>
    <col min="12289" max="12289" width="12.6328125" customWidth="1"/>
    <col min="12290" max="12297" width="11.6328125" customWidth="1"/>
    <col min="12298" max="12298" width="10.6328125" customWidth="1"/>
    <col min="12299" max="12544" width="9.1796875" customWidth="1"/>
    <col min="12545" max="12545" width="12.6328125" customWidth="1"/>
    <col min="12546" max="12553" width="11.6328125" customWidth="1"/>
    <col min="12554" max="12554" width="10.6328125" customWidth="1"/>
    <col min="12555" max="12800" width="9.1796875" customWidth="1"/>
    <col min="12801" max="12801" width="12.6328125" customWidth="1"/>
    <col min="12802" max="12809" width="11.6328125" customWidth="1"/>
    <col min="12810" max="12810" width="10.6328125" customWidth="1"/>
    <col min="12811" max="13056" width="9.1796875" customWidth="1"/>
    <col min="13057" max="13057" width="12.6328125" customWidth="1"/>
    <col min="13058" max="13065" width="11.6328125" customWidth="1"/>
    <col min="13066" max="13066" width="10.6328125" customWidth="1"/>
    <col min="13067" max="13312" width="9.1796875" customWidth="1"/>
    <col min="13313" max="13313" width="12.6328125" customWidth="1"/>
    <col min="13314" max="13321" width="11.6328125" customWidth="1"/>
    <col min="13322" max="13322" width="10.6328125" customWidth="1"/>
    <col min="13323" max="13568" width="9.1796875" customWidth="1"/>
    <col min="13569" max="13569" width="12.6328125" customWidth="1"/>
    <col min="13570" max="13577" width="11.6328125" customWidth="1"/>
    <col min="13578" max="13578" width="10.6328125" customWidth="1"/>
    <col min="13579" max="13824" width="9.1796875" customWidth="1"/>
    <col min="13825" max="13825" width="12.6328125" customWidth="1"/>
    <col min="13826" max="13833" width="11.6328125" customWidth="1"/>
    <col min="13834" max="13834" width="10.6328125" customWidth="1"/>
    <col min="13835" max="14080" width="9.1796875" customWidth="1"/>
    <col min="14081" max="14081" width="12.6328125" customWidth="1"/>
    <col min="14082" max="14089" width="11.6328125" customWidth="1"/>
    <col min="14090" max="14090" width="10.6328125" customWidth="1"/>
    <col min="14091" max="14336" width="9.1796875" customWidth="1"/>
    <col min="14337" max="14337" width="12.6328125" customWidth="1"/>
    <col min="14338" max="14345" width="11.6328125" customWidth="1"/>
    <col min="14346" max="14346" width="10.6328125" customWidth="1"/>
    <col min="14347" max="14592" width="9.1796875" customWidth="1"/>
    <col min="14593" max="14593" width="12.6328125" customWidth="1"/>
    <col min="14594" max="14601" width="11.6328125" customWidth="1"/>
    <col min="14602" max="14602" width="10.6328125" customWidth="1"/>
    <col min="14603" max="14848" width="9.1796875" customWidth="1"/>
    <col min="14849" max="14849" width="12.6328125" customWidth="1"/>
    <col min="14850" max="14857" width="11.6328125" customWidth="1"/>
    <col min="14858" max="14858" width="10.6328125" customWidth="1"/>
    <col min="14859" max="15104" width="9.1796875" customWidth="1"/>
    <col min="15105" max="15105" width="12.6328125" customWidth="1"/>
    <col min="15106" max="15113" width="11.6328125" customWidth="1"/>
    <col min="15114" max="15114" width="10.6328125" customWidth="1"/>
    <col min="15115" max="15360" width="9.1796875" customWidth="1"/>
    <col min="15361" max="15361" width="12.6328125" customWidth="1"/>
    <col min="15362" max="15369" width="11.6328125" customWidth="1"/>
    <col min="15370" max="15370" width="10.6328125" customWidth="1"/>
    <col min="15371" max="15616" width="9.1796875" customWidth="1"/>
    <col min="15617" max="15617" width="12.6328125" customWidth="1"/>
    <col min="15618" max="15625" width="11.6328125" customWidth="1"/>
    <col min="15626" max="15626" width="10.6328125" customWidth="1"/>
    <col min="15627" max="15872" width="9.1796875" customWidth="1"/>
    <col min="15873" max="15873" width="12.6328125" customWidth="1"/>
    <col min="15874" max="15881" width="11.6328125" customWidth="1"/>
    <col min="15882" max="15882" width="10.6328125" customWidth="1"/>
    <col min="15883" max="16128" width="9.1796875" customWidth="1"/>
    <col min="16129" max="16129" width="12.6328125" customWidth="1"/>
    <col min="16130" max="16137" width="11.6328125" customWidth="1"/>
    <col min="16138" max="16138" width="10.6328125" customWidth="1"/>
    <col min="16139" max="16384" width="9.1796875" customWidth="1"/>
  </cols>
  <sheetData>
    <row r="1" spans="1:11" x14ac:dyDescent="0.35">
      <c r="A1" t="s">
        <v>45</v>
      </c>
      <c r="B1" t="s">
        <v>16</v>
      </c>
      <c r="C1" t="s">
        <v>35</v>
      </c>
      <c r="D1" t="s">
        <v>33</v>
      </c>
      <c r="E1" t="s">
        <v>30</v>
      </c>
      <c r="F1" t="s">
        <v>19</v>
      </c>
      <c r="G1" t="s">
        <v>28</v>
      </c>
      <c r="H1" t="s">
        <v>22</v>
      </c>
      <c r="I1" t="s">
        <v>25</v>
      </c>
      <c r="J1" t="s">
        <v>46</v>
      </c>
      <c r="K1" t="s">
        <v>47</v>
      </c>
    </row>
    <row r="2" spans="1:11" x14ac:dyDescent="0.35">
      <c r="A2" s="77">
        <v>6941</v>
      </c>
      <c r="B2">
        <v>4.8773</v>
      </c>
      <c r="H2">
        <v>23.5503</v>
      </c>
    </row>
    <row r="3" spans="1:11" x14ac:dyDescent="0.35">
      <c r="A3" s="77">
        <v>6972</v>
      </c>
      <c r="B3">
        <v>4.6616999999999997</v>
      </c>
      <c r="H3">
        <v>20.803899999999999</v>
      </c>
    </row>
    <row r="4" spans="1:11" x14ac:dyDescent="0.35">
      <c r="A4" s="77">
        <v>7000</v>
      </c>
      <c r="B4">
        <v>4.5270000000000001</v>
      </c>
      <c r="H4">
        <v>19.842600000000001</v>
      </c>
    </row>
    <row r="5" spans="1:11" x14ac:dyDescent="0.35">
      <c r="A5" s="77">
        <v>7031</v>
      </c>
      <c r="B5">
        <v>4.6078000000000001</v>
      </c>
      <c r="H5">
        <v>21.215800000000002</v>
      </c>
    </row>
    <row r="6" spans="1:11" x14ac:dyDescent="0.35">
      <c r="A6" s="77">
        <v>7061</v>
      </c>
      <c r="B6">
        <v>4.6348000000000003</v>
      </c>
      <c r="H6">
        <v>22.1084</v>
      </c>
    </row>
    <row r="7" spans="1:11" x14ac:dyDescent="0.35">
      <c r="A7" s="77">
        <v>7092</v>
      </c>
      <c r="B7">
        <v>4.9311999999999996</v>
      </c>
      <c r="H7">
        <v>22.726299999999998</v>
      </c>
    </row>
    <row r="8" spans="1:11" x14ac:dyDescent="0.35">
      <c r="A8" s="77">
        <v>7122</v>
      </c>
      <c r="B8">
        <v>5.2275999999999998</v>
      </c>
      <c r="H8">
        <v>24.099499999999999</v>
      </c>
    </row>
    <row r="9" spans="1:11" x14ac:dyDescent="0.35">
      <c r="A9" s="77">
        <v>7153</v>
      </c>
      <c r="B9">
        <v>5.3083999999999998</v>
      </c>
      <c r="H9">
        <v>23.413</v>
      </c>
    </row>
    <row r="10" spans="1:11" x14ac:dyDescent="0.35">
      <c r="A10" s="77">
        <v>7184</v>
      </c>
      <c r="B10">
        <v>5.2005999999999997</v>
      </c>
      <c r="H10">
        <v>25.2668</v>
      </c>
    </row>
    <row r="11" spans="1:11" x14ac:dyDescent="0.35">
      <c r="A11" s="77">
        <v>7214</v>
      </c>
      <c r="B11">
        <v>5.1467000000000001</v>
      </c>
      <c r="H11">
        <v>26.021999999999998</v>
      </c>
    </row>
    <row r="12" spans="1:11" x14ac:dyDescent="0.35">
      <c r="A12" s="77">
        <v>7245</v>
      </c>
      <c r="B12">
        <v>5.0659000000000001</v>
      </c>
      <c r="H12">
        <v>18.7441</v>
      </c>
    </row>
    <row r="13" spans="1:11" x14ac:dyDescent="0.35">
      <c r="A13" s="77">
        <v>7275</v>
      </c>
      <c r="B13">
        <v>5.1467000000000001</v>
      </c>
      <c r="H13">
        <v>22.932300000000001</v>
      </c>
    </row>
    <row r="14" spans="1:11" x14ac:dyDescent="0.35">
      <c r="A14" s="77">
        <v>7306</v>
      </c>
      <c r="B14">
        <v>5.6318000000000001</v>
      </c>
      <c r="H14">
        <v>25.61</v>
      </c>
    </row>
    <row r="15" spans="1:11" x14ac:dyDescent="0.35">
      <c r="A15" s="77">
        <v>7337</v>
      </c>
      <c r="B15">
        <v>5.6318000000000001</v>
      </c>
      <c r="H15">
        <v>25.2668</v>
      </c>
    </row>
    <row r="16" spans="1:11" x14ac:dyDescent="0.35">
      <c r="A16" s="77">
        <v>7366</v>
      </c>
      <c r="B16">
        <v>5.524</v>
      </c>
      <c r="H16">
        <v>25.884699999999999</v>
      </c>
    </row>
    <row r="17" spans="1:8" x14ac:dyDescent="0.35">
      <c r="A17" s="77">
        <v>7397</v>
      </c>
      <c r="B17">
        <v>5.2275999999999998</v>
      </c>
      <c r="H17">
        <v>24.374199999999998</v>
      </c>
    </row>
    <row r="18" spans="1:8" x14ac:dyDescent="0.35">
      <c r="A18" s="77">
        <v>7427</v>
      </c>
      <c r="B18">
        <v>5.3623000000000003</v>
      </c>
      <c r="H18">
        <v>25.2667</v>
      </c>
    </row>
    <row r="19" spans="1:8" x14ac:dyDescent="0.35">
      <c r="A19" s="77">
        <v>7458</v>
      </c>
      <c r="B19">
        <v>5.4161999999999999</v>
      </c>
      <c r="H19">
        <v>26.365300000000001</v>
      </c>
    </row>
    <row r="20" spans="1:8" x14ac:dyDescent="0.35">
      <c r="A20" s="77">
        <v>7488</v>
      </c>
      <c r="B20">
        <v>5.2815000000000003</v>
      </c>
      <c r="H20">
        <v>26.228000000000002</v>
      </c>
    </row>
    <row r="21" spans="1:8" x14ac:dyDescent="0.35">
      <c r="A21" s="77">
        <v>7519</v>
      </c>
      <c r="B21">
        <v>5.3083999999999998</v>
      </c>
      <c r="H21">
        <v>27.1206</v>
      </c>
    </row>
    <row r="22" spans="1:8" x14ac:dyDescent="0.35">
      <c r="A22" s="77">
        <v>7550</v>
      </c>
      <c r="B22">
        <v>5.1197999999999997</v>
      </c>
      <c r="H22">
        <v>25.2668</v>
      </c>
    </row>
    <row r="23" spans="1:8" x14ac:dyDescent="0.35">
      <c r="A23" s="77">
        <v>7580</v>
      </c>
      <c r="B23">
        <v>4.9042000000000003</v>
      </c>
      <c r="H23">
        <v>27.1892</v>
      </c>
    </row>
    <row r="24" spans="1:8" x14ac:dyDescent="0.35">
      <c r="A24" s="77">
        <v>7611</v>
      </c>
      <c r="B24">
        <v>4.5</v>
      </c>
      <c r="H24">
        <v>27.944500000000001</v>
      </c>
    </row>
    <row r="25" spans="1:8" x14ac:dyDescent="0.35">
      <c r="A25" s="77">
        <v>7641</v>
      </c>
      <c r="B25">
        <v>4.2305999999999999</v>
      </c>
      <c r="H25">
        <v>28.219100000000001</v>
      </c>
    </row>
    <row r="26" spans="1:8" x14ac:dyDescent="0.35">
      <c r="A26" s="77">
        <v>7672</v>
      </c>
      <c r="B26">
        <v>3.9881000000000002</v>
      </c>
      <c r="H26">
        <v>24.305499999999999</v>
      </c>
    </row>
    <row r="27" spans="1:8" x14ac:dyDescent="0.35">
      <c r="A27" s="77">
        <v>7703</v>
      </c>
      <c r="B27">
        <v>3.9072</v>
      </c>
      <c r="H27">
        <v>23.069600000000001</v>
      </c>
    </row>
    <row r="28" spans="1:8" x14ac:dyDescent="0.35">
      <c r="A28" s="77">
        <v>7731</v>
      </c>
      <c r="B28">
        <v>3.7993999999999999</v>
      </c>
      <c r="H28">
        <v>21.490500000000001</v>
      </c>
    </row>
    <row r="29" spans="1:8" x14ac:dyDescent="0.35">
      <c r="A29" s="77">
        <v>7762</v>
      </c>
      <c r="B29">
        <v>3.7993999999999999</v>
      </c>
      <c r="H29">
        <v>21.490500000000001</v>
      </c>
    </row>
    <row r="30" spans="1:8" x14ac:dyDescent="0.35">
      <c r="A30" s="77">
        <v>7792</v>
      </c>
      <c r="B30">
        <v>3.9072</v>
      </c>
      <c r="H30">
        <v>21.9024</v>
      </c>
    </row>
    <row r="31" spans="1:8" x14ac:dyDescent="0.35">
      <c r="A31" s="77">
        <v>7823</v>
      </c>
      <c r="B31">
        <v>3.8803000000000001</v>
      </c>
      <c r="H31">
        <v>21.078499999999998</v>
      </c>
    </row>
    <row r="32" spans="1:8" x14ac:dyDescent="0.35">
      <c r="A32" s="77">
        <v>7853</v>
      </c>
      <c r="B32">
        <v>3.8532999999999999</v>
      </c>
      <c r="H32">
        <v>20.1859</v>
      </c>
    </row>
    <row r="33" spans="1:8" x14ac:dyDescent="0.35">
      <c r="A33" s="77">
        <v>7884</v>
      </c>
      <c r="B33">
        <v>3.9881000000000002</v>
      </c>
      <c r="H33">
        <v>20.3919</v>
      </c>
    </row>
    <row r="34" spans="1:8" x14ac:dyDescent="0.35">
      <c r="A34" s="77">
        <v>7915</v>
      </c>
      <c r="B34">
        <v>4.0149999999999997</v>
      </c>
      <c r="H34">
        <v>19.98</v>
      </c>
    </row>
    <row r="35" spans="1:8" x14ac:dyDescent="0.35">
      <c r="A35" s="77">
        <v>7945</v>
      </c>
      <c r="B35">
        <v>4.2575000000000003</v>
      </c>
      <c r="H35">
        <v>21.284500000000001</v>
      </c>
    </row>
    <row r="36" spans="1:8" x14ac:dyDescent="0.35">
      <c r="A36" s="77">
        <v>7976</v>
      </c>
      <c r="B36">
        <v>4.2035999999999998</v>
      </c>
      <c r="H36">
        <v>20.3919</v>
      </c>
    </row>
    <row r="37" spans="1:8" x14ac:dyDescent="0.35">
      <c r="A37" s="77">
        <v>8006</v>
      </c>
      <c r="B37">
        <v>4.1767000000000003</v>
      </c>
      <c r="H37">
        <v>20.666499999999999</v>
      </c>
    </row>
    <row r="38" spans="1:8" x14ac:dyDescent="0.35">
      <c r="A38" s="77">
        <v>8037</v>
      </c>
      <c r="B38">
        <v>4.3384</v>
      </c>
      <c r="H38">
        <v>23.001000000000001</v>
      </c>
    </row>
    <row r="39" spans="1:8" x14ac:dyDescent="0.35">
      <c r="A39" s="77">
        <v>8068</v>
      </c>
      <c r="B39">
        <v>4.5270000000000001</v>
      </c>
      <c r="H39">
        <v>25.3354</v>
      </c>
    </row>
    <row r="40" spans="1:8" x14ac:dyDescent="0.35">
      <c r="A40" s="77">
        <v>8096</v>
      </c>
      <c r="B40">
        <v>4.7694999999999999</v>
      </c>
      <c r="H40">
        <v>27.326499999999999</v>
      </c>
    </row>
    <row r="41" spans="1:8" x14ac:dyDescent="0.35">
      <c r="A41" s="77">
        <v>8127</v>
      </c>
      <c r="B41">
        <v>4.6078000000000001</v>
      </c>
      <c r="H41">
        <v>15.8604</v>
      </c>
    </row>
    <row r="42" spans="1:8" x14ac:dyDescent="0.35">
      <c r="A42" s="77">
        <v>8157</v>
      </c>
      <c r="B42">
        <v>4.8502999999999998</v>
      </c>
      <c r="H42">
        <v>16.066299999999998</v>
      </c>
    </row>
    <row r="43" spans="1:8" x14ac:dyDescent="0.35">
      <c r="A43" s="77">
        <v>8188</v>
      </c>
      <c r="B43">
        <v>5.0929000000000002</v>
      </c>
      <c r="H43">
        <v>17.576899999999998</v>
      </c>
    </row>
    <row r="44" spans="1:8" x14ac:dyDescent="0.35">
      <c r="A44" s="77">
        <v>8218</v>
      </c>
      <c r="B44">
        <v>5.0929000000000002</v>
      </c>
      <c r="H44">
        <v>16.8903</v>
      </c>
    </row>
    <row r="45" spans="1:8" x14ac:dyDescent="0.35">
      <c r="A45" s="77">
        <v>8249</v>
      </c>
      <c r="B45">
        <v>4.9851000000000001</v>
      </c>
      <c r="H45">
        <v>18.6068</v>
      </c>
    </row>
    <row r="46" spans="1:8" x14ac:dyDescent="0.35">
      <c r="A46" s="77">
        <v>8280</v>
      </c>
      <c r="B46">
        <v>5.2545000000000002</v>
      </c>
      <c r="H46">
        <v>24.374199999999998</v>
      </c>
    </row>
    <row r="47" spans="1:8" x14ac:dyDescent="0.35">
      <c r="A47" s="77">
        <v>8310</v>
      </c>
      <c r="B47">
        <v>5.5509000000000004</v>
      </c>
      <c r="H47">
        <v>26.8459</v>
      </c>
    </row>
    <row r="48" spans="1:8" x14ac:dyDescent="0.35">
      <c r="A48" s="77">
        <v>8341</v>
      </c>
      <c r="B48">
        <v>5.7934999999999999</v>
      </c>
      <c r="H48">
        <v>28.150500000000001</v>
      </c>
    </row>
    <row r="49" spans="1:8" x14ac:dyDescent="0.35">
      <c r="A49" s="77">
        <v>8371</v>
      </c>
      <c r="B49">
        <v>5.9550999999999998</v>
      </c>
      <c r="H49">
        <v>29.935600000000001</v>
      </c>
    </row>
    <row r="50" spans="1:8" x14ac:dyDescent="0.35">
      <c r="A50" s="77">
        <v>8402</v>
      </c>
      <c r="B50">
        <v>5.8204000000000002</v>
      </c>
      <c r="H50">
        <v>29.661000000000001</v>
      </c>
    </row>
    <row r="51" spans="1:8" x14ac:dyDescent="0.35">
      <c r="A51" s="77">
        <v>8433</v>
      </c>
      <c r="B51">
        <v>5.9012000000000002</v>
      </c>
      <c r="H51">
        <v>29.866900000000001</v>
      </c>
    </row>
    <row r="52" spans="1:8" x14ac:dyDescent="0.35">
      <c r="A52" s="77">
        <v>8461</v>
      </c>
      <c r="B52">
        <v>6.0899000000000001</v>
      </c>
      <c r="H52">
        <v>30.965499999999999</v>
      </c>
    </row>
    <row r="53" spans="1:8" x14ac:dyDescent="0.35">
      <c r="A53" s="77">
        <v>8492</v>
      </c>
      <c r="B53">
        <v>6.2245999999999997</v>
      </c>
      <c r="H53">
        <v>33.025300000000001</v>
      </c>
    </row>
    <row r="54" spans="1:8" x14ac:dyDescent="0.35">
      <c r="A54" s="77">
        <v>8522</v>
      </c>
      <c r="B54">
        <v>6.3053999999999997</v>
      </c>
      <c r="H54">
        <v>32.2014</v>
      </c>
    </row>
    <row r="55" spans="1:8" x14ac:dyDescent="0.35">
      <c r="A55" s="77">
        <v>8553</v>
      </c>
      <c r="B55">
        <v>6.2515000000000001</v>
      </c>
      <c r="H55">
        <v>32.1327</v>
      </c>
    </row>
    <row r="56" spans="1:8" x14ac:dyDescent="0.35">
      <c r="A56" s="77">
        <v>8583</v>
      </c>
      <c r="B56">
        <v>6.1977000000000002</v>
      </c>
      <c r="H56">
        <v>32.887900000000002</v>
      </c>
    </row>
    <row r="57" spans="1:8" x14ac:dyDescent="0.35">
      <c r="A57" s="77">
        <v>8614</v>
      </c>
      <c r="B57">
        <v>6.0899000000000001</v>
      </c>
      <c r="H57">
        <v>32.544699999999999</v>
      </c>
    </row>
    <row r="58" spans="1:8" x14ac:dyDescent="0.35">
      <c r="A58" s="77">
        <v>8645</v>
      </c>
      <c r="B58">
        <v>5.9550999999999998</v>
      </c>
      <c r="H58">
        <v>29.935600000000001</v>
      </c>
    </row>
    <row r="59" spans="1:8" x14ac:dyDescent="0.35">
      <c r="A59" s="77">
        <v>8675</v>
      </c>
      <c r="B59">
        <v>5.9282000000000004</v>
      </c>
      <c r="H59">
        <v>31.377400000000002</v>
      </c>
    </row>
    <row r="60" spans="1:8" x14ac:dyDescent="0.35">
      <c r="A60" s="77">
        <v>8706</v>
      </c>
      <c r="B60">
        <v>5.9282000000000004</v>
      </c>
      <c r="H60">
        <v>31.377500000000001</v>
      </c>
    </row>
    <row r="61" spans="1:8" x14ac:dyDescent="0.35">
      <c r="A61" s="77">
        <v>8736</v>
      </c>
      <c r="B61">
        <v>5.7934999999999999</v>
      </c>
      <c r="H61">
        <v>29.248999999999999</v>
      </c>
    </row>
    <row r="62" spans="1:8" x14ac:dyDescent="0.35">
      <c r="A62" s="77">
        <v>8767</v>
      </c>
      <c r="B62">
        <v>5.9282000000000004</v>
      </c>
      <c r="H62">
        <v>30.2102</v>
      </c>
    </row>
    <row r="63" spans="1:8" x14ac:dyDescent="0.35">
      <c r="A63" s="77">
        <v>8798</v>
      </c>
      <c r="B63">
        <v>6.0359999999999996</v>
      </c>
      <c r="H63">
        <v>31.446100000000001</v>
      </c>
    </row>
    <row r="64" spans="1:8" x14ac:dyDescent="0.35">
      <c r="A64" s="77">
        <v>8827</v>
      </c>
      <c r="B64">
        <v>5.9282000000000004</v>
      </c>
      <c r="H64">
        <v>29.661000000000001</v>
      </c>
    </row>
    <row r="65" spans="1:8" x14ac:dyDescent="0.35">
      <c r="A65" s="77">
        <v>8858</v>
      </c>
      <c r="B65">
        <v>5.7396000000000003</v>
      </c>
      <c r="H65">
        <v>27.463899999999999</v>
      </c>
    </row>
    <row r="66" spans="1:8" x14ac:dyDescent="0.35">
      <c r="A66" s="77">
        <v>8888</v>
      </c>
      <c r="B66">
        <v>5.4969999999999999</v>
      </c>
      <c r="H66">
        <v>27.601199999999999</v>
      </c>
    </row>
    <row r="67" spans="1:8" x14ac:dyDescent="0.35">
      <c r="A67" s="77">
        <v>8919</v>
      </c>
      <c r="B67">
        <v>5.2545000000000002</v>
      </c>
      <c r="H67">
        <v>27.463899999999999</v>
      </c>
    </row>
    <row r="68" spans="1:8" x14ac:dyDescent="0.35">
      <c r="A68" s="77">
        <v>8949</v>
      </c>
      <c r="B68">
        <v>5.1737000000000002</v>
      </c>
      <c r="H68">
        <v>27.395199999999999</v>
      </c>
    </row>
    <row r="69" spans="1:8" x14ac:dyDescent="0.35">
      <c r="A69" s="77">
        <v>8980</v>
      </c>
      <c r="B69">
        <v>5.3623000000000003</v>
      </c>
      <c r="H69">
        <v>27.1206</v>
      </c>
    </row>
    <row r="70" spans="1:8" x14ac:dyDescent="0.35">
      <c r="A70" s="77">
        <v>9011</v>
      </c>
      <c r="B70">
        <v>5.5509000000000004</v>
      </c>
      <c r="H70">
        <v>28.974399999999999</v>
      </c>
    </row>
    <row r="71" spans="1:8" x14ac:dyDescent="0.35">
      <c r="A71" s="77">
        <v>9041</v>
      </c>
      <c r="B71">
        <v>5.6856999999999998</v>
      </c>
      <c r="H71">
        <v>28.7684</v>
      </c>
    </row>
    <row r="72" spans="1:8" x14ac:dyDescent="0.35">
      <c r="A72" s="77">
        <v>9072</v>
      </c>
      <c r="B72">
        <v>5.7934999999999999</v>
      </c>
      <c r="H72">
        <v>28.356400000000001</v>
      </c>
    </row>
    <row r="73" spans="1:8" x14ac:dyDescent="0.35">
      <c r="A73" s="77">
        <v>9102</v>
      </c>
      <c r="B73">
        <v>5.9550999999999998</v>
      </c>
      <c r="H73">
        <v>28.9057</v>
      </c>
    </row>
    <row r="74" spans="1:8" x14ac:dyDescent="0.35">
      <c r="A74" s="77">
        <v>9133</v>
      </c>
      <c r="B74">
        <v>6.1437999999999997</v>
      </c>
      <c r="H74">
        <v>30.072900000000001</v>
      </c>
    </row>
    <row r="75" spans="1:8" x14ac:dyDescent="0.35">
      <c r="A75" s="77">
        <v>9164</v>
      </c>
      <c r="B75">
        <v>6.1437999999999997</v>
      </c>
      <c r="H75">
        <v>29.248999999999999</v>
      </c>
    </row>
    <row r="76" spans="1:8" x14ac:dyDescent="0.35">
      <c r="A76" s="77">
        <v>9192</v>
      </c>
      <c r="B76">
        <v>6.1437999999999997</v>
      </c>
      <c r="H76">
        <v>28.4251</v>
      </c>
    </row>
    <row r="77" spans="1:8" x14ac:dyDescent="0.35">
      <c r="A77" s="77">
        <v>9223</v>
      </c>
      <c r="B77">
        <v>6.1977000000000002</v>
      </c>
      <c r="H77">
        <v>30.004300000000001</v>
      </c>
    </row>
    <row r="78" spans="1:8" x14ac:dyDescent="0.35">
      <c r="A78" s="77">
        <v>9253</v>
      </c>
      <c r="B78">
        <v>6.1707000000000001</v>
      </c>
      <c r="H78">
        <v>30.896799999999999</v>
      </c>
    </row>
    <row r="79" spans="1:8" x14ac:dyDescent="0.35">
      <c r="A79" s="77">
        <v>9284</v>
      </c>
      <c r="B79">
        <v>6.1167999999999996</v>
      </c>
      <c r="H79">
        <v>30.622199999999999</v>
      </c>
    </row>
    <row r="80" spans="1:8" x14ac:dyDescent="0.35">
      <c r="A80" s="77">
        <v>9314</v>
      </c>
      <c r="B80">
        <v>6.2785000000000002</v>
      </c>
      <c r="H80">
        <v>31.102799999999998</v>
      </c>
    </row>
    <row r="81" spans="1:8" x14ac:dyDescent="0.35">
      <c r="A81" s="77">
        <v>9345</v>
      </c>
      <c r="B81">
        <v>6.1707000000000001</v>
      </c>
      <c r="H81">
        <v>31.789400000000001</v>
      </c>
    </row>
    <row r="82" spans="1:8" x14ac:dyDescent="0.35">
      <c r="A82" s="77">
        <v>9376</v>
      </c>
      <c r="B82">
        <v>6.0899000000000001</v>
      </c>
      <c r="H82">
        <v>27.395199999999999</v>
      </c>
    </row>
    <row r="83" spans="1:8" x14ac:dyDescent="0.35">
      <c r="A83" s="77">
        <v>9406</v>
      </c>
      <c r="B83">
        <v>6.3323999999999998</v>
      </c>
      <c r="H83">
        <v>27.326499999999999</v>
      </c>
    </row>
    <row r="84" spans="1:8" x14ac:dyDescent="0.35">
      <c r="A84" s="77">
        <v>9437</v>
      </c>
      <c r="B84">
        <v>6.4671000000000003</v>
      </c>
      <c r="H84">
        <v>27.875800000000002</v>
      </c>
    </row>
    <row r="85" spans="1:8" x14ac:dyDescent="0.35">
      <c r="A85" s="77">
        <v>9467</v>
      </c>
      <c r="B85">
        <v>6.548</v>
      </c>
      <c r="H85">
        <v>27.601199999999999</v>
      </c>
    </row>
    <row r="86" spans="1:8" x14ac:dyDescent="0.35">
      <c r="A86" s="77">
        <v>9498</v>
      </c>
      <c r="B86">
        <v>6.4401999999999999</v>
      </c>
      <c r="H86">
        <v>27.1892</v>
      </c>
    </row>
    <row r="87" spans="1:8" x14ac:dyDescent="0.35">
      <c r="A87" s="77">
        <v>9529</v>
      </c>
      <c r="B87">
        <v>6.4401999999999999</v>
      </c>
      <c r="H87">
        <v>28.4251</v>
      </c>
    </row>
    <row r="88" spans="1:8" x14ac:dyDescent="0.35">
      <c r="A88" s="77">
        <v>9557</v>
      </c>
      <c r="B88">
        <v>6.5209999999999999</v>
      </c>
      <c r="H88">
        <v>31.377500000000001</v>
      </c>
    </row>
    <row r="89" spans="1:8" x14ac:dyDescent="0.35">
      <c r="A89" s="77">
        <v>9588</v>
      </c>
      <c r="B89">
        <v>6.5209999999999999</v>
      </c>
      <c r="H89">
        <v>31.446100000000001</v>
      </c>
    </row>
    <row r="90" spans="1:8" x14ac:dyDescent="0.35">
      <c r="A90" s="77">
        <v>9618</v>
      </c>
      <c r="B90">
        <v>6.4671000000000003</v>
      </c>
      <c r="H90">
        <v>30.759499999999999</v>
      </c>
    </row>
    <row r="91" spans="1:8" x14ac:dyDescent="0.35">
      <c r="A91" s="77">
        <v>9649</v>
      </c>
      <c r="B91">
        <v>6.5479000000000003</v>
      </c>
      <c r="H91">
        <v>31.720800000000001</v>
      </c>
    </row>
    <row r="92" spans="1:8" x14ac:dyDescent="0.35">
      <c r="A92" s="77">
        <v>9679</v>
      </c>
      <c r="B92">
        <v>6.5749000000000004</v>
      </c>
      <c r="H92">
        <v>32.1327</v>
      </c>
    </row>
    <row r="93" spans="1:8" x14ac:dyDescent="0.35">
      <c r="A93" s="77">
        <v>9710</v>
      </c>
      <c r="B93">
        <v>6.6557000000000004</v>
      </c>
      <c r="H93">
        <v>32.338700000000003</v>
      </c>
    </row>
    <row r="94" spans="1:8" x14ac:dyDescent="0.35">
      <c r="A94" s="77">
        <v>9741</v>
      </c>
      <c r="B94">
        <v>6.7634999999999996</v>
      </c>
      <c r="H94">
        <v>32.750700000000002</v>
      </c>
    </row>
    <row r="95" spans="1:8" x14ac:dyDescent="0.35">
      <c r="A95" s="77">
        <v>9771</v>
      </c>
      <c r="B95">
        <v>6.7634999999999996</v>
      </c>
      <c r="H95">
        <v>33.505899999999997</v>
      </c>
    </row>
    <row r="96" spans="1:8" x14ac:dyDescent="0.35">
      <c r="A96" s="77">
        <v>9802</v>
      </c>
      <c r="B96">
        <v>6.7366000000000001</v>
      </c>
      <c r="H96">
        <v>34.741799999999998</v>
      </c>
    </row>
    <row r="97" spans="1:8" x14ac:dyDescent="0.35">
      <c r="A97" s="77">
        <v>9832</v>
      </c>
      <c r="B97">
        <v>6.7096</v>
      </c>
      <c r="H97">
        <v>34.810400000000001</v>
      </c>
    </row>
    <row r="98" spans="1:8" x14ac:dyDescent="0.35">
      <c r="A98" s="77">
        <v>9863</v>
      </c>
      <c r="B98">
        <v>6.6826999999999996</v>
      </c>
      <c r="H98">
        <v>33.917900000000003</v>
      </c>
    </row>
    <row r="99" spans="1:8" x14ac:dyDescent="0.35">
      <c r="A99" s="77">
        <v>9894</v>
      </c>
      <c r="B99">
        <v>6.7366000000000001</v>
      </c>
      <c r="H99">
        <v>34.467100000000002</v>
      </c>
    </row>
    <row r="100" spans="1:8" x14ac:dyDescent="0.35">
      <c r="A100" s="77">
        <v>9922</v>
      </c>
      <c r="B100">
        <v>6.8174000000000001</v>
      </c>
      <c r="H100">
        <v>36.114899999999999</v>
      </c>
    </row>
    <row r="101" spans="1:8" x14ac:dyDescent="0.35">
      <c r="A101" s="77">
        <v>9953</v>
      </c>
      <c r="B101">
        <v>6.6557000000000004</v>
      </c>
      <c r="H101">
        <v>31.789400000000001</v>
      </c>
    </row>
    <row r="102" spans="1:8" x14ac:dyDescent="0.35">
      <c r="A102" s="77">
        <v>9983</v>
      </c>
      <c r="B102">
        <v>6.7096</v>
      </c>
      <c r="H102">
        <v>31.9954</v>
      </c>
    </row>
    <row r="103" spans="1:8" x14ac:dyDescent="0.35">
      <c r="A103" s="77">
        <v>10014</v>
      </c>
      <c r="B103">
        <v>6.6826999999999996</v>
      </c>
      <c r="H103">
        <v>31.583400000000001</v>
      </c>
    </row>
    <row r="104" spans="1:8" x14ac:dyDescent="0.35">
      <c r="A104" s="77">
        <v>10044</v>
      </c>
      <c r="B104">
        <v>6.6017999999999999</v>
      </c>
      <c r="H104">
        <v>30.3476</v>
      </c>
    </row>
    <row r="105" spans="1:8" x14ac:dyDescent="0.35">
      <c r="A105" s="77">
        <v>10075</v>
      </c>
      <c r="B105">
        <v>6.6017999999999999</v>
      </c>
      <c r="H105">
        <v>31.9268</v>
      </c>
    </row>
    <row r="106" spans="1:8" x14ac:dyDescent="0.35">
      <c r="A106" s="77">
        <v>10106</v>
      </c>
      <c r="B106">
        <v>6.4941000000000004</v>
      </c>
      <c r="H106">
        <v>31.171500000000002</v>
      </c>
    </row>
    <row r="107" spans="1:8" x14ac:dyDescent="0.35">
      <c r="A107" s="77">
        <v>10136</v>
      </c>
      <c r="B107">
        <v>6.3593000000000002</v>
      </c>
      <c r="H107">
        <v>30.622199999999999</v>
      </c>
    </row>
    <row r="108" spans="1:8" x14ac:dyDescent="0.35">
      <c r="A108" s="77">
        <v>10167</v>
      </c>
      <c r="B108">
        <v>6.3593000000000002</v>
      </c>
      <c r="H108">
        <v>30.4162</v>
      </c>
    </row>
    <row r="109" spans="1:8" x14ac:dyDescent="0.35">
      <c r="A109" s="77">
        <v>10197</v>
      </c>
      <c r="B109">
        <v>6.3863000000000003</v>
      </c>
      <c r="H109">
        <v>29.935600000000001</v>
      </c>
    </row>
    <row r="110" spans="1:8" x14ac:dyDescent="0.35">
      <c r="A110" s="77">
        <v>10228</v>
      </c>
      <c r="B110">
        <v>6.5209999999999999</v>
      </c>
      <c r="H110">
        <v>30.2102</v>
      </c>
    </row>
    <row r="111" spans="1:8" x14ac:dyDescent="0.35">
      <c r="A111" s="77">
        <v>10259</v>
      </c>
      <c r="B111">
        <v>6.5749000000000004</v>
      </c>
      <c r="H111">
        <v>30.004300000000001</v>
      </c>
    </row>
    <row r="112" spans="1:8" x14ac:dyDescent="0.35">
      <c r="A112" s="77">
        <v>10288</v>
      </c>
      <c r="B112">
        <v>6.6288</v>
      </c>
      <c r="H112">
        <v>31.514800000000001</v>
      </c>
    </row>
    <row r="113" spans="1:8" x14ac:dyDescent="0.35">
      <c r="A113" s="77">
        <v>10319</v>
      </c>
      <c r="B113">
        <v>6.6017999999999999</v>
      </c>
      <c r="H113">
        <v>30.622199999999999</v>
      </c>
    </row>
    <row r="114" spans="1:8" x14ac:dyDescent="0.35">
      <c r="A114" s="77">
        <v>10349</v>
      </c>
      <c r="B114">
        <v>6.6826999999999996</v>
      </c>
      <c r="H114">
        <v>31.514800000000001</v>
      </c>
    </row>
    <row r="115" spans="1:8" x14ac:dyDescent="0.35">
      <c r="A115" s="77">
        <v>10380</v>
      </c>
      <c r="B115">
        <v>6.7366000000000001</v>
      </c>
      <c r="H115">
        <v>30.690899999999999</v>
      </c>
    </row>
    <row r="116" spans="1:8" x14ac:dyDescent="0.35">
      <c r="A116" s="77">
        <v>10410</v>
      </c>
      <c r="B116">
        <v>6.8174000000000001</v>
      </c>
      <c r="H116">
        <v>30.759499999999999</v>
      </c>
    </row>
    <row r="117" spans="1:8" x14ac:dyDescent="0.35">
      <c r="A117" s="77">
        <v>10441</v>
      </c>
      <c r="B117">
        <v>6.9522000000000004</v>
      </c>
      <c r="H117">
        <v>31.720700000000001</v>
      </c>
    </row>
    <row r="118" spans="1:8" x14ac:dyDescent="0.35">
      <c r="A118" s="77">
        <v>10472</v>
      </c>
      <c r="B118">
        <v>7.0060000000000002</v>
      </c>
      <c r="H118">
        <v>31.9267</v>
      </c>
    </row>
    <row r="119" spans="1:8" x14ac:dyDescent="0.35">
      <c r="A119" s="77">
        <v>10502</v>
      </c>
      <c r="B119">
        <v>7.1407999999999996</v>
      </c>
      <c r="H119">
        <v>32.750700000000002</v>
      </c>
    </row>
    <row r="120" spans="1:8" x14ac:dyDescent="0.35">
      <c r="A120" s="77">
        <v>10533</v>
      </c>
      <c r="B120">
        <v>7.2755000000000001</v>
      </c>
      <c r="H120">
        <v>33.574599999999997</v>
      </c>
    </row>
    <row r="121" spans="1:8" x14ac:dyDescent="0.35">
      <c r="A121" s="77">
        <v>10563</v>
      </c>
      <c r="B121">
        <v>7.4101999999999997</v>
      </c>
      <c r="H121">
        <v>32.750599999999999</v>
      </c>
    </row>
    <row r="122" spans="1:8" x14ac:dyDescent="0.35">
      <c r="A122" s="77">
        <v>10594</v>
      </c>
      <c r="B122">
        <v>7.5179999999999998</v>
      </c>
      <c r="H122">
        <v>34.467100000000002</v>
      </c>
    </row>
    <row r="123" spans="1:8" x14ac:dyDescent="0.35">
      <c r="A123" s="77">
        <v>10625</v>
      </c>
      <c r="B123">
        <v>7.4911000000000003</v>
      </c>
      <c r="H123">
        <v>35.153700000000001</v>
      </c>
    </row>
    <row r="124" spans="1:8" x14ac:dyDescent="0.35">
      <c r="A124" s="77">
        <v>10653</v>
      </c>
      <c r="B124">
        <v>7.5179999999999998</v>
      </c>
      <c r="H124">
        <v>32.956600000000002</v>
      </c>
    </row>
    <row r="125" spans="1:8" x14ac:dyDescent="0.35">
      <c r="A125" s="77">
        <v>10684</v>
      </c>
      <c r="B125">
        <v>7.6528</v>
      </c>
      <c r="H125">
        <v>34.604399999999998</v>
      </c>
    </row>
    <row r="126" spans="1:8" x14ac:dyDescent="0.35">
      <c r="A126" s="77">
        <v>10714</v>
      </c>
      <c r="B126">
        <v>7.7874999999999996</v>
      </c>
      <c r="H126">
        <v>34.261200000000002</v>
      </c>
    </row>
    <row r="127" spans="1:8" x14ac:dyDescent="0.35">
      <c r="A127" s="77">
        <v>10745</v>
      </c>
      <c r="B127">
        <v>7.8414000000000001</v>
      </c>
      <c r="H127">
        <v>34.055199999999999</v>
      </c>
    </row>
    <row r="128" spans="1:8" x14ac:dyDescent="0.35">
      <c r="A128" s="77">
        <v>10775</v>
      </c>
      <c r="B128">
        <v>7.9492000000000003</v>
      </c>
      <c r="H128">
        <v>34.947800000000001</v>
      </c>
    </row>
    <row r="129" spans="1:8" x14ac:dyDescent="0.35">
      <c r="A129" s="77">
        <v>10806</v>
      </c>
      <c r="B129">
        <v>7.8682999999999996</v>
      </c>
      <c r="H129">
        <v>34.673099999999998</v>
      </c>
    </row>
    <row r="130" spans="1:8" x14ac:dyDescent="0.35">
      <c r="A130" s="77">
        <v>10837</v>
      </c>
      <c r="B130">
        <v>7.8144</v>
      </c>
      <c r="H130">
        <v>35.290999999999997</v>
      </c>
    </row>
    <row r="131" spans="1:8" x14ac:dyDescent="0.35">
      <c r="A131" s="77">
        <v>10867</v>
      </c>
      <c r="B131">
        <v>7.6797000000000004</v>
      </c>
      <c r="H131">
        <v>34.398499999999999</v>
      </c>
    </row>
    <row r="132" spans="1:8" x14ac:dyDescent="0.35">
      <c r="A132" s="77">
        <v>10898</v>
      </c>
      <c r="B132">
        <v>7.3025000000000002</v>
      </c>
      <c r="H132">
        <v>32.887999999999998</v>
      </c>
    </row>
    <row r="133" spans="1:8" x14ac:dyDescent="0.35">
      <c r="A133" s="77">
        <v>10928</v>
      </c>
      <c r="B133">
        <v>6.9790999999999999</v>
      </c>
      <c r="H133">
        <v>33.849200000000003</v>
      </c>
    </row>
    <row r="134" spans="1:8" x14ac:dyDescent="0.35">
      <c r="A134" s="77">
        <v>10959</v>
      </c>
      <c r="B134">
        <v>6.9790999999999999</v>
      </c>
      <c r="H134">
        <v>32.887999999999998</v>
      </c>
    </row>
    <row r="135" spans="1:8" x14ac:dyDescent="0.35">
      <c r="A135" s="77">
        <v>10990</v>
      </c>
      <c r="B135">
        <v>6.9520999999999997</v>
      </c>
      <c r="H135">
        <v>31.9954</v>
      </c>
    </row>
    <row r="136" spans="1:8" x14ac:dyDescent="0.35">
      <c r="A136" s="77">
        <v>11018</v>
      </c>
      <c r="B136">
        <v>6.8444000000000003</v>
      </c>
      <c r="H136">
        <v>30.1416</v>
      </c>
    </row>
    <row r="137" spans="1:8" x14ac:dyDescent="0.35">
      <c r="A137" s="77">
        <v>11049</v>
      </c>
      <c r="B137">
        <v>6.7904999999999998</v>
      </c>
      <c r="H137">
        <v>30.759499999999999</v>
      </c>
    </row>
    <row r="138" spans="1:8" x14ac:dyDescent="0.35">
      <c r="A138" s="77">
        <v>11079</v>
      </c>
      <c r="B138">
        <v>6.6826999999999996</v>
      </c>
      <c r="H138">
        <v>30.622199999999999</v>
      </c>
    </row>
    <row r="139" spans="1:8" x14ac:dyDescent="0.35">
      <c r="A139" s="77">
        <v>11110</v>
      </c>
      <c r="B139">
        <v>6.4941000000000004</v>
      </c>
      <c r="H139">
        <v>30.4162</v>
      </c>
    </row>
    <row r="140" spans="1:8" x14ac:dyDescent="0.35">
      <c r="A140" s="77">
        <v>11140</v>
      </c>
      <c r="B140">
        <v>6.1977000000000002</v>
      </c>
      <c r="H140">
        <v>30.004300000000001</v>
      </c>
    </row>
    <row r="141" spans="1:8" x14ac:dyDescent="0.35">
      <c r="A141" s="77">
        <v>11171</v>
      </c>
      <c r="B141">
        <v>6.0629</v>
      </c>
      <c r="H141">
        <v>29.180399999999999</v>
      </c>
    </row>
    <row r="142" spans="1:8" x14ac:dyDescent="0.35">
      <c r="A142" s="77">
        <v>11202</v>
      </c>
      <c r="B142">
        <v>5.9550999999999998</v>
      </c>
      <c r="H142">
        <v>28.4938</v>
      </c>
    </row>
    <row r="143" spans="1:8" x14ac:dyDescent="0.35">
      <c r="A143" s="77">
        <v>11232</v>
      </c>
      <c r="B143">
        <v>5.7934999999999999</v>
      </c>
      <c r="H143">
        <v>28.356400000000001</v>
      </c>
    </row>
    <row r="144" spans="1:8" x14ac:dyDescent="0.35">
      <c r="A144" s="77">
        <v>11263</v>
      </c>
      <c r="B144">
        <v>5.6586999999999996</v>
      </c>
      <c r="H144">
        <v>27.944500000000001</v>
      </c>
    </row>
    <row r="145" spans="1:8" x14ac:dyDescent="0.35">
      <c r="A145" s="77">
        <v>11293</v>
      </c>
      <c r="B145">
        <v>5.524</v>
      </c>
      <c r="H145">
        <v>27.257899999999999</v>
      </c>
    </row>
    <row r="146" spans="1:8" x14ac:dyDescent="0.35">
      <c r="A146" s="77">
        <v>11324</v>
      </c>
      <c r="B146">
        <v>5.4969999999999999</v>
      </c>
      <c r="H146">
        <v>26.296600000000002</v>
      </c>
    </row>
    <row r="147" spans="1:8" x14ac:dyDescent="0.35">
      <c r="A147" s="77">
        <v>11355</v>
      </c>
      <c r="B147">
        <v>5.524</v>
      </c>
      <c r="H147">
        <v>25.541399999999999</v>
      </c>
    </row>
    <row r="148" spans="1:8" x14ac:dyDescent="0.35">
      <c r="A148" s="77">
        <v>11383</v>
      </c>
      <c r="B148">
        <v>5.6318000000000001</v>
      </c>
      <c r="H148">
        <v>26.502600000000001</v>
      </c>
    </row>
    <row r="149" spans="1:8" x14ac:dyDescent="0.35">
      <c r="A149" s="77">
        <v>11414</v>
      </c>
      <c r="B149">
        <v>5.6586999999999996</v>
      </c>
      <c r="H149">
        <v>26.708600000000001</v>
      </c>
    </row>
    <row r="150" spans="1:8" x14ac:dyDescent="0.35">
      <c r="A150" s="77">
        <v>11444</v>
      </c>
      <c r="B150">
        <v>5.5778999999999996</v>
      </c>
      <c r="H150">
        <v>26.159300000000002</v>
      </c>
    </row>
    <row r="151" spans="1:8" x14ac:dyDescent="0.35">
      <c r="A151" s="77">
        <v>11475</v>
      </c>
      <c r="B151">
        <v>5.4432</v>
      </c>
      <c r="H151">
        <v>26.434000000000001</v>
      </c>
    </row>
    <row r="152" spans="1:8" x14ac:dyDescent="0.35">
      <c r="A152" s="77">
        <v>11505</v>
      </c>
      <c r="B152">
        <v>5.3623000000000003</v>
      </c>
      <c r="H152">
        <v>26.296600000000002</v>
      </c>
    </row>
    <row r="153" spans="1:8" x14ac:dyDescent="0.35">
      <c r="A153" s="77">
        <v>11536</v>
      </c>
      <c r="B153">
        <v>5.1737000000000002</v>
      </c>
      <c r="H153">
        <v>24.442799999999998</v>
      </c>
    </row>
    <row r="154" spans="1:8" x14ac:dyDescent="0.35">
      <c r="A154" s="77">
        <v>11567</v>
      </c>
      <c r="B154">
        <v>4.9311999999999996</v>
      </c>
      <c r="H154">
        <v>23.893599999999999</v>
      </c>
    </row>
    <row r="155" spans="1:8" x14ac:dyDescent="0.35">
      <c r="A155" s="77">
        <v>11597</v>
      </c>
      <c r="B155">
        <v>4.7426000000000004</v>
      </c>
      <c r="H155">
        <v>25.0608</v>
      </c>
    </row>
    <row r="156" spans="1:8" x14ac:dyDescent="0.35">
      <c r="A156" s="77">
        <v>11628</v>
      </c>
      <c r="B156">
        <v>4.6886999999999999</v>
      </c>
      <c r="H156">
        <v>25.1981</v>
      </c>
    </row>
    <row r="157" spans="1:8" x14ac:dyDescent="0.35">
      <c r="A157" s="77">
        <v>11658</v>
      </c>
      <c r="B157">
        <v>4.6616999999999997</v>
      </c>
      <c r="H157">
        <v>24.786100000000001</v>
      </c>
    </row>
    <row r="158" spans="1:8" x14ac:dyDescent="0.35">
      <c r="A158" s="77">
        <v>11689</v>
      </c>
      <c r="B158">
        <v>4.5270000000000001</v>
      </c>
      <c r="H158">
        <v>22.451699999999999</v>
      </c>
    </row>
    <row r="159" spans="1:8" x14ac:dyDescent="0.35">
      <c r="A159" s="77">
        <v>11720</v>
      </c>
      <c r="B159">
        <v>4.4192</v>
      </c>
      <c r="H159">
        <v>22.177099999999999</v>
      </c>
    </row>
    <row r="160" spans="1:8" x14ac:dyDescent="0.35">
      <c r="A160" s="77">
        <v>11749</v>
      </c>
      <c r="B160">
        <v>4.3653000000000004</v>
      </c>
      <c r="H160">
        <v>23.5503</v>
      </c>
    </row>
    <row r="161" spans="1:8" x14ac:dyDescent="0.35">
      <c r="A161" s="77">
        <v>11780</v>
      </c>
      <c r="B161">
        <v>4.0689000000000002</v>
      </c>
      <c r="H161">
        <v>22.0397</v>
      </c>
    </row>
    <row r="162" spans="1:8" x14ac:dyDescent="0.35">
      <c r="A162" s="77">
        <v>11810</v>
      </c>
      <c r="B162">
        <v>3.9342000000000001</v>
      </c>
      <c r="H162">
        <v>20.1859</v>
      </c>
    </row>
    <row r="163" spans="1:8" x14ac:dyDescent="0.35">
      <c r="A163" s="77">
        <v>11841</v>
      </c>
      <c r="B163">
        <v>3.7993999999999999</v>
      </c>
      <c r="H163">
        <v>19.224699999999999</v>
      </c>
    </row>
    <row r="164" spans="1:8" x14ac:dyDescent="0.35">
      <c r="A164" s="77">
        <v>11871</v>
      </c>
      <c r="B164">
        <v>3.6916000000000002</v>
      </c>
      <c r="H164">
        <v>19.636700000000001</v>
      </c>
    </row>
    <row r="165" spans="1:8" x14ac:dyDescent="0.35">
      <c r="A165" s="77">
        <v>11902</v>
      </c>
      <c r="B165">
        <v>3.7993999999999999</v>
      </c>
      <c r="H165">
        <v>20.2546</v>
      </c>
    </row>
    <row r="166" spans="1:8" x14ac:dyDescent="0.35">
      <c r="A166" s="77">
        <v>11933</v>
      </c>
      <c r="B166">
        <v>4.0419</v>
      </c>
      <c r="H166">
        <v>21.421800000000001</v>
      </c>
    </row>
    <row r="167" spans="1:8" x14ac:dyDescent="0.35">
      <c r="A167" s="77">
        <v>11963</v>
      </c>
      <c r="B167">
        <v>4.1767000000000003</v>
      </c>
      <c r="H167">
        <v>21.9711</v>
      </c>
    </row>
    <row r="168" spans="1:8" x14ac:dyDescent="0.35">
      <c r="A168" s="77">
        <v>11994</v>
      </c>
      <c r="B168">
        <v>4.1767000000000003</v>
      </c>
      <c r="H168">
        <v>22.1084</v>
      </c>
    </row>
    <row r="169" spans="1:8" x14ac:dyDescent="0.35">
      <c r="A169" s="77">
        <v>12024</v>
      </c>
      <c r="B169">
        <v>4.0957999999999997</v>
      </c>
      <c r="H169">
        <v>20.941199999999998</v>
      </c>
    </row>
    <row r="170" spans="1:8" x14ac:dyDescent="0.35">
      <c r="A170" s="77">
        <v>12055</v>
      </c>
      <c r="B170">
        <v>4.0149999999999997</v>
      </c>
      <c r="H170">
        <v>21.078499999999998</v>
      </c>
    </row>
    <row r="171" spans="1:8" x14ac:dyDescent="0.35">
      <c r="A171" s="77">
        <v>12086</v>
      </c>
      <c r="B171">
        <v>4.0419</v>
      </c>
      <c r="H171">
        <v>22.1084</v>
      </c>
    </row>
    <row r="172" spans="1:8" x14ac:dyDescent="0.35">
      <c r="A172" s="77">
        <v>12114</v>
      </c>
      <c r="B172">
        <v>3.7993999999999999</v>
      </c>
      <c r="H172">
        <v>22.795000000000002</v>
      </c>
    </row>
    <row r="173" spans="1:8" x14ac:dyDescent="0.35">
      <c r="A173" s="77">
        <v>12145</v>
      </c>
      <c r="B173">
        <v>4.0689000000000002</v>
      </c>
      <c r="H173">
        <v>20.803899999999999</v>
      </c>
    </row>
    <row r="174" spans="1:8" x14ac:dyDescent="0.35">
      <c r="A174" s="77">
        <v>12175</v>
      </c>
      <c r="B174">
        <v>4.7426000000000004</v>
      </c>
      <c r="H174">
        <v>24.236799999999999</v>
      </c>
    </row>
    <row r="175" spans="1:8" x14ac:dyDescent="0.35">
      <c r="A175" s="77">
        <v>12206</v>
      </c>
      <c r="B175">
        <v>5.4701000000000004</v>
      </c>
      <c r="H175">
        <v>25.541399999999999</v>
      </c>
    </row>
    <row r="176" spans="1:8" x14ac:dyDescent="0.35">
      <c r="A176" s="77">
        <v>12236</v>
      </c>
      <c r="B176">
        <v>5.9821</v>
      </c>
      <c r="H176">
        <v>26.708600000000001</v>
      </c>
    </row>
    <row r="177" spans="1:8" x14ac:dyDescent="0.35">
      <c r="A177" s="77">
        <v>12267</v>
      </c>
      <c r="B177">
        <v>5.7396000000000003</v>
      </c>
      <c r="H177">
        <v>27.807200000000002</v>
      </c>
    </row>
    <row r="178" spans="1:8" x14ac:dyDescent="0.35">
      <c r="A178" s="77">
        <v>12298</v>
      </c>
      <c r="B178">
        <v>5.4161999999999999</v>
      </c>
      <c r="H178">
        <v>26.021999999999998</v>
      </c>
    </row>
    <row r="179" spans="1:8" x14ac:dyDescent="0.35">
      <c r="A179" s="77">
        <v>12328</v>
      </c>
      <c r="B179">
        <v>5.1467000000000001</v>
      </c>
      <c r="H179">
        <v>24.511500000000002</v>
      </c>
    </row>
    <row r="180" spans="1:8" x14ac:dyDescent="0.35">
      <c r="A180" s="77">
        <v>12359</v>
      </c>
      <c r="B180">
        <v>4.8502999999999998</v>
      </c>
      <c r="H180">
        <v>24.511500000000002</v>
      </c>
    </row>
    <row r="181" spans="1:8" x14ac:dyDescent="0.35">
      <c r="A181" s="77">
        <v>12389</v>
      </c>
      <c r="B181">
        <v>4.8773</v>
      </c>
      <c r="H181">
        <v>24.442799999999998</v>
      </c>
    </row>
    <row r="182" spans="1:8" x14ac:dyDescent="0.35">
      <c r="A182" s="77">
        <v>12420</v>
      </c>
      <c r="B182">
        <v>5.0389999999999997</v>
      </c>
      <c r="H182">
        <v>25.0608</v>
      </c>
    </row>
    <row r="183" spans="1:8" x14ac:dyDescent="0.35">
      <c r="A183" s="77">
        <v>12451</v>
      </c>
      <c r="B183">
        <v>5.2815000000000003</v>
      </c>
      <c r="H183">
        <v>25.4727</v>
      </c>
    </row>
    <row r="184" spans="1:8" x14ac:dyDescent="0.35">
      <c r="A184" s="77">
        <v>12479</v>
      </c>
      <c r="B184">
        <v>5.524</v>
      </c>
      <c r="H184">
        <v>27.326499999999999</v>
      </c>
    </row>
    <row r="185" spans="1:8" x14ac:dyDescent="0.35">
      <c r="A185" s="77">
        <v>12510</v>
      </c>
      <c r="B185">
        <v>5.524</v>
      </c>
      <c r="H185">
        <v>25.678699999999999</v>
      </c>
    </row>
    <row r="186" spans="1:8" x14ac:dyDescent="0.35">
      <c r="A186" s="77">
        <v>12540</v>
      </c>
      <c r="B186">
        <v>5.6318000000000001</v>
      </c>
      <c r="H186">
        <v>25.953299999999999</v>
      </c>
    </row>
    <row r="187" spans="1:8" x14ac:dyDescent="0.35">
      <c r="A187" s="77">
        <v>12571</v>
      </c>
      <c r="B187">
        <v>5.524</v>
      </c>
      <c r="H187">
        <v>25.747399999999999</v>
      </c>
    </row>
    <row r="188" spans="1:8" x14ac:dyDescent="0.35">
      <c r="A188" s="77">
        <v>12601</v>
      </c>
      <c r="B188">
        <v>5.1467000000000001</v>
      </c>
      <c r="H188">
        <v>25.4727</v>
      </c>
    </row>
    <row r="189" spans="1:8" x14ac:dyDescent="0.35">
      <c r="A189" s="77">
        <v>12632</v>
      </c>
      <c r="B189">
        <v>5.0929000000000002</v>
      </c>
      <c r="H189">
        <v>25.1294</v>
      </c>
    </row>
    <row r="190" spans="1:8" x14ac:dyDescent="0.35">
      <c r="A190" s="77">
        <v>12663</v>
      </c>
      <c r="B190">
        <v>4.7964000000000002</v>
      </c>
      <c r="H190">
        <v>25.1981</v>
      </c>
    </row>
    <row r="191" spans="1:8" x14ac:dyDescent="0.35">
      <c r="A191" s="77">
        <v>12693</v>
      </c>
      <c r="B191">
        <v>5.0119999999999996</v>
      </c>
      <c r="H191">
        <v>24.786100000000001</v>
      </c>
    </row>
    <row r="192" spans="1:8" x14ac:dyDescent="0.35">
      <c r="A192" s="77">
        <v>12724</v>
      </c>
      <c r="B192">
        <v>5.0659000000000001</v>
      </c>
      <c r="H192">
        <v>24.923500000000001</v>
      </c>
    </row>
    <row r="193" spans="1:8" x14ac:dyDescent="0.35">
      <c r="A193" s="77">
        <v>12754</v>
      </c>
      <c r="B193">
        <v>5.3893000000000004</v>
      </c>
      <c r="H193">
        <v>25.678699999999999</v>
      </c>
    </row>
    <row r="194" spans="1:8" x14ac:dyDescent="0.35">
      <c r="A194" s="77">
        <v>12785</v>
      </c>
      <c r="B194">
        <v>5.8204000000000002</v>
      </c>
      <c r="H194">
        <v>26.9832</v>
      </c>
    </row>
    <row r="195" spans="1:8" x14ac:dyDescent="0.35">
      <c r="A195" s="77">
        <v>12816</v>
      </c>
      <c r="B195">
        <v>5.9282000000000004</v>
      </c>
      <c r="H195">
        <v>27.1206</v>
      </c>
    </row>
    <row r="196" spans="1:8" x14ac:dyDescent="0.35">
      <c r="A196" s="77">
        <v>12844</v>
      </c>
      <c r="B196">
        <v>5.9012000000000002</v>
      </c>
      <c r="H196">
        <v>27.944500000000001</v>
      </c>
    </row>
    <row r="197" spans="1:8" x14ac:dyDescent="0.35">
      <c r="A197" s="77">
        <v>12875</v>
      </c>
      <c r="B197">
        <v>5.7934999999999999</v>
      </c>
      <c r="H197">
        <v>25.61</v>
      </c>
    </row>
    <row r="198" spans="1:8" x14ac:dyDescent="0.35">
      <c r="A198" s="77">
        <v>12905</v>
      </c>
      <c r="B198">
        <v>5.7934999999999999</v>
      </c>
      <c r="H198">
        <v>26.708600000000001</v>
      </c>
    </row>
    <row r="199" spans="1:8" x14ac:dyDescent="0.35">
      <c r="A199" s="77">
        <v>12936</v>
      </c>
      <c r="B199">
        <v>5.8742999999999999</v>
      </c>
      <c r="H199">
        <v>29.111699999999999</v>
      </c>
    </row>
    <row r="200" spans="1:8" x14ac:dyDescent="0.35">
      <c r="A200" s="77">
        <v>12966</v>
      </c>
      <c r="B200">
        <v>5.8742999999999999</v>
      </c>
      <c r="H200">
        <v>26.296600000000002</v>
      </c>
    </row>
    <row r="201" spans="1:8" x14ac:dyDescent="0.35">
      <c r="A201" s="77">
        <v>12997</v>
      </c>
      <c r="B201">
        <v>6.0899000000000001</v>
      </c>
      <c r="H201">
        <v>26.502600000000001</v>
      </c>
    </row>
    <row r="202" spans="1:8" x14ac:dyDescent="0.35">
      <c r="A202" s="77">
        <v>13028</v>
      </c>
      <c r="B202">
        <v>6.2515000000000001</v>
      </c>
      <c r="H202">
        <v>27.1206</v>
      </c>
    </row>
    <row r="203" spans="1:8" x14ac:dyDescent="0.35">
      <c r="A203" s="77">
        <v>13058</v>
      </c>
      <c r="B203">
        <v>6.4401999999999999</v>
      </c>
      <c r="H203">
        <v>28.7684</v>
      </c>
    </row>
    <row r="204" spans="1:8" x14ac:dyDescent="0.35">
      <c r="A204" s="77">
        <v>13089</v>
      </c>
      <c r="B204">
        <v>6.5749000000000004</v>
      </c>
      <c r="H204">
        <v>29.042999999999999</v>
      </c>
    </row>
    <row r="205" spans="1:8" x14ac:dyDescent="0.35">
      <c r="A205" s="77">
        <v>13119</v>
      </c>
      <c r="B205">
        <v>6.6557000000000004</v>
      </c>
      <c r="H205">
        <v>29.798300000000001</v>
      </c>
    </row>
    <row r="206" spans="1:8" x14ac:dyDescent="0.35">
      <c r="A206" s="77">
        <v>13150</v>
      </c>
      <c r="B206">
        <v>6.548</v>
      </c>
      <c r="H206">
        <v>30.3475</v>
      </c>
    </row>
    <row r="207" spans="1:8" x14ac:dyDescent="0.35">
      <c r="A207" s="77">
        <v>13181</v>
      </c>
      <c r="B207">
        <v>6.3863000000000003</v>
      </c>
      <c r="H207">
        <v>31.240100000000002</v>
      </c>
    </row>
    <row r="208" spans="1:8" x14ac:dyDescent="0.35">
      <c r="A208" s="77">
        <v>13210</v>
      </c>
      <c r="B208">
        <v>6.4671000000000003</v>
      </c>
      <c r="H208">
        <v>29.180299999999999</v>
      </c>
    </row>
    <row r="209" spans="1:8" x14ac:dyDescent="0.35">
      <c r="A209" s="77">
        <v>13241</v>
      </c>
      <c r="B209">
        <v>6.8712999999999997</v>
      </c>
      <c r="H209">
        <v>31.377400000000002</v>
      </c>
    </row>
    <row r="210" spans="1:8" x14ac:dyDescent="0.35">
      <c r="A210" s="77">
        <v>13271</v>
      </c>
      <c r="B210">
        <v>7.0060000000000002</v>
      </c>
      <c r="H210">
        <v>30.622199999999999</v>
      </c>
    </row>
    <row r="211" spans="1:8" x14ac:dyDescent="0.35">
      <c r="A211" s="77">
        <v>13302</v>
      </c>
      <c r="B211">
        <v>7.1407999999999996</v>
      </c>
      <c r="H211">
        <v>31.034199999999998</v>
      </c>
    </row>
    <row r="212" spans="1:8" x14ac:dyDescent="0.35">
      <c r="A212" s="77">
        <v>13332</v>
      </c>
      <c r="B212">
        <v>7.2755000000000001</v>
      </c>
      <c r="H212">
        <v>31.652100000000001</v>
      </c>
    </row>
    <row r="213" spans="1:8" x14ac:dyDescent="0.35">
      <c r="A213" s="77">
        <v>13363</v>
      </c>
      <c r="B213">
        <v>7.3833000000000002</v>
      </c>
      <c r="H213">
        <v>31.652100000000001</v>
      </c>
    </row>
    <row r="214" spans="1:8" x14ac:dyDescent="0.35">
      <c r="A214" s="77">
        <v>13394</v>
      </c>
      <c r="B214">
        <v>7.5179999999999998</v>
      </c>
      <c r="H214">
        <v>32.1327</v>
      </c>
    </row>
    <row r="215" spans="1:8" x14ac:dyDescent="0.35">
      <c r="A215" s="77">
        <v>13424</v>
      </c>
      <c r="B215">
        <v>7.6257999999999999</v>
      </c>
      <c r="H215">
        <v>32.750599999999999</v>
      </c>
    </row>
    <row r="216" spans="1:8" x14ac:dyDescent="0.35">
      <c r="A216" s="77">
        <v>13455</v>
      </c>
      <c r="B216">
        <v>7.8414000000000001</v>
      </c>
      <c r="H216">
        <v>34.192500000000003</v>
      </c>
    </row>
    <row r="217" spans="1:8" x14ac:dyDescent="0.35">
      <c r="A217" s="77">
        <v>13485</v>
      </c>
      <c r="B217">
        <v>8.0838999999999999</v>
      </c>
      <c r="H217">
        <v>34.467100000000002</v>
      </c>
    </row>
    <row r="218" spans="1:8" x14ac:dyDescent="0.35">
      <c r="A218" s="77">
        <v>13516</v>
      </c>
      <c r="B218">
        <v>8.0569000000000006</v>
      </c>
      <c r="H218">
        <v>33.849200000000003</v>
      </c>
    </row>
    <row r="219" spans="1:8" x14ac:dyDescent="0.35">
      <c r="A219" s="77">
        <v>13547</v>
      </c>
      <c r="B219">
        <v>8.1646999999999998</v>
      </c>
      <c r="H219">
        <v>34.741799999999998</v>
      </c>
    </row>
    <row r="220" spans="1:8" x14ac:dyDescent="0.35">
      <c r="A220" s="77">
        <v>13575</v>
      </c>
      <c r="B220">
        <v>8.3534000000000006</v>
      </c>
      <c r="H220">
        <v>38.243400000000001</v>
      </c>
    </row>
    <row r="221" spans="1:8" x14ac:dyDescent="0.35">
      <c r="A221" s="77">
        <v>13606</v>
      </c>
      <c r="B221">
        <v>8.3534000000000006</v>
      </c>
      <c r="H221">
        <v>35.2224</v>
      </c>
    </row>
    <row r="222" spans="1:8" x14ac:dyDescent="0.35">
      <c r="A222" s="77">
        <v>13636</v>
      </c>
      <c r="B222">
        <v>8.3803000000000001</v>
      </c>
      <c r="H222">
        <v>35.634399999999999</v>
      </c>
    </row>
    <row r="223" spans="1:8" x14ac:dyDescent="0.35">
      <c r="A223" s="77">
        <v>13667</v>
      </c>
      <c r="B223">
        <v>8.2725000000000009</v>
      </c>
      <c r="H223">
        <v>36.801499999999997</v>
      </c>
    </row>
    <row r="224" spans="1:8" x14ac:dyDescent="0.35">
      <c r="A224" s="77">
        <v>13697</v>
      </c>
      <c r="B224">
        <v>8.3263999999999996</v>
      </c>
      <c r="H224">
        <v>36.320999999999998</v>
      </c>
    </row>
    <row r="225" spans="1:8" x14ac:dyDescent="0.35">
      <c r="A225" s="77">
        <v>13728</v>
      </c>
      <c r="B225">
        <v>8.2725000000000009</v>
      </c>
      <c r="H225">
        <v>36.801600000000001</v>
      </c>
    </row>
    <row r="226" spans="1:8" x14ac:dyDescent="0.35">
      <c r="A226" s="77">
        <v>13759</v>
      </c>
      <c r="B226">
        <v>8.0030999999999999</v>
      </c>
      <c r="H226">
        <v>37.213500000000003</v>
      </c>
    </row>
    <row r="227" spans="1:8" x14ac:dyDescent="0.35">
      <c r="A227" s="77">
        <v>13789</v>
      </c>
      <c r="B227">
        <v>7.4101999999999997</v>
      </c>
      <c r="H227">
        <v>36.115000000000002</v>
      </c>
    </row>
    <row r="228" spans="1:8" x14ac:dyDescent="0.35">
      <c r="A228" s="77">
        <v>13820</v>
      </c>
      <c r="B228">
        <v>6.6826999999999996</v>
      </c>
      <c r="H228">
        <v>35.2224</v>
      </c>
    </row>
    <row r="229" spans="1:8" x14ac:dyDescent="0.35">
      <c r="A229" s="77">
        <v>13850</v>
      </c>
      <c r="B229">
        <v>6.0899000000000001</v>
      </c>
      <c r="H229">
        <v>34.398400000000002</v>
      </c>
    </row>
    <row r="230" spans="1:8" x14ac:dyDescent="0.35">
      <c r="A230" s="77">
        <v>13881</v>
      </c>
      <c r="B230">
        <v>5.9550999999999998</v>
      </c>
      <c r="H230">
        <v>32.956600000000002</v>
      </c>
    </row>
    <row r="231" spans="1:8" x14ac:dyDescent="0.35">
      <c r="A231" s="77">
        <v>13912</v>
      </c>
      <c r="B231">
        <v>5.9012000000000002</v>
      </c>
      <c r="H231">
        <v>31.240100000000002</v>
      </c>
    </row>
    <row r="232" spans="1:8" x14ac:dyDescent="0.35">
      <c r="A232" s="77">
        <v>13940</v>
      </c>
      <c r="B232">
        <v>5.9012000000000002</v>
      </c>
      <c r="H232">
        <v>31.308800000000002</v>
      </c>
    </row>
    <row r="233" spans="1:8" x14ac:dyDescent="0.35">
      <c r="A233" s="77">
        <v>13971</v>
      </c>
      <c r="B233">
        <v>5.7934999999999999</v>
      </c>
      <c r="H233">
        <v>30.3476</v>
      </c>
    </row>
    <row r="234" spans="1:8" x14ac:dyDescent="0.35">
      <c r="A234" s="77">
        <v>14001</v>
      </c>
      <c r="B234">
        <v>5.6586999999999996</v>
      </c>
      <c r="H234">
        <v>28.6311</v>
      </c>
    </row>
    <row r="235" spans="1:8" x14ac:dyDescent="0.35">
      <c r="A235" s="77">
        <v>14032</v>
      </c>
      <c r="B235">
        <v>5.7126000000000001</v>
      </c>
      <c r="H235">
        <v>29.386299999999999</v>
      </c>
    </row>
    <row r="236" spans="1:8" x14ac:dyDescent="0.35">
      <c r="A236" s="77">
        <v>14062</v>
      </c>
      <c r="B236">
        <v>6.0359999999999996</v>
      </c>
      <c r="H236">
        <v>30.1416</v>
      </c>
    </row>
    <row r="237" spans="1:8" x14ac:dyDescent="0.35">
      <c r="A237" s="77">
        <v>14093</v>
      </c>
      <c r="B237">
        <v>6.3593000000000002</v>
      </c>
      <c r="H237">
        <v>31.034199999999998</v>
      </c>
    </row>
    <row r="238" spans="1:8" x14ac:dyDescent="0.35">
      <c r="A238" s="77">
        <v>14124</v>
      </c>
      <c r="B238">
        <v>6.548</v>
      </c>
      <c r="H238">
        <v>31.240200000000002</v>
      </c>
    </row>
    <row r="239" spans="1:8" x14ac:dyDescent="0.35">
      <c r="A239" s="77">
        <v>14154</v>
      </c>
      <c r="B239">
        <v>6.7096</v>
      </c>
      <c r="H239">
        <v>31.583400000000001</v>
      </c>
    </row>
    <row r="240" spans="1:8" x14ac:dyDescent="0.35">
      <c r="A240" s="77">
        <v>14185</v>
      </c>
      <c r="B240">
        <v>6.9790999999999999</v>
      </c>
      <c r="H240">
        <v>32.613300000000002</v>
      </c>
    </row>
    <row r="241" spans="1:9" x14ac:dyDescent="0.35">
      <c r="A241" s="77">
        <v>14215</v>
      </c>
      <c r="B241">
        <v>7.0598999999999998</v>
      </c>
      <c r="H241">
        <v>32.613300000000002</v>
      </c>
    </row>
    <row r="242" spans="1:9" x14ac:dyDescent="0.35">
      <c r="A242" s="77">
        <v>14246</v>
      </c>
      <c r="B242">
        <v>7.0598999999999998</v>
      </c>
      <c r="E242">
        <v>11.7767</v>
      </c>
      <c r="G242">
        <v>6.1791999999999998</v>
      </c>
      <c r="H242">
        <v>31.9954</v>
      </c>
      <c r="I242">
        <v>3.3283</v>
      </c>
    </row>
    <row r="243" spans="1:9" x14ac:dyDescent="0.35">
      <c r="A243" s="77">
        <v>14277</v>
      </c>
      <c r="B243">
        <v>7.1138000000000003</v>
      </c>
      <c r="E243">
        <v>11.7767</v>
      </c>
      <c r="G243">
        <v>6.2773000000000003</v>
      </c>
      <c r="H243">
        <v>32.1327</v>
      </c>
      <c r="I243">
        <v>3.3536999999999999</v>
      </c>
    </row>
    <row r="244" spans="1:9" x14ac:dyDescent="0.35">
      <c r="A244" s="77">
        <v>14305</v>
      </c>
      <c r="B244">
        <v>7.1407999999999996</v>
      </c>
      <c r="E244">
        <v>11.969799999999999</v>
      </c>
      <c r="G244">
        <v>6.2773000000000003</v>
      </c>
      <c r="H244">
        <v>32.887999999999998</v>
      </c>
      <c r="I244">
        <v>3.4298999999999999</v>
      </c>
    </row>
    <row r="245" spans="1:9" x14ac:dyDescent="0.35">
      <c r="A245" s="77">
        <v>14336</v>
      </c>
      <c r="B245">
        <v>7.1138000000000003</v>
      </c>
      <c r="E245">
        <v>11.969799999999999</v>
      </c>
      <c r="G245">
        <v>6.0811000000000002</v>
      </c>
      <c r="H245">
        <v>30.965499999999999</v>
      </c>
      <c r="I245">
        <v>3.4552999999999998</v>
      </c>
    </row>
    <row r="246" spans="1:9" x14ac:dyDescent="0.35">
      <c r="A246" s="77">
        <v>14366</v>
      </c>
      <c r="B246">
        <v>7.0869</v>
      </c>
      <c r="E246">
        <v>12.0084</v>
      </c>
      <c r="G246">
        <v>6.0566000000000004</v>
      </c>
      <c r="H246">
        <v>31.240100000000002</v>
      </c>
      <c r="I246">
        <v>3.4807000000000001</v>
      </c>
    </row>
    <row r="247" spans="1:9" x14ac:dyDescent="0.35">
      <c r="A247" s="77">
        <v>14397</v>
      </c>
      <c r="B247">
        <v>7.2485999999999997</v>
      </c>
      <c r="E247">
        <v>12.1242</v>
      </c>
      <c r="G247">
        <v>6.3509000000000002</v>
      </c>
      <c r="H247">
        <v>32.750700000000002</v>
      </c>
      <c r="I247">
        <v>3.5061</v>
      </c>
    </row>
    <row r="248" spans="1:9" x14ac:dyDescent="0.35">
      <c r="A248" s="77">
        <v>14427</v>
      </c>
      <c r="B248">
        <v>7.4641000000000002</v>
      </c>
      <c r="E248">
        <v>12.278700000000001</v>
      </c>
      <c r="G248">
        <v>6.6205999999999996</v>
      </c>
      <c r="H248">
        <v>33.986499999999999</v>
      </c>
      <c r="I248">
        <v>3.5061</v>
      </c>
    </row>
    <row r="249" spans="1:9" x14ac:dyDescent="0.35">
      <c r="A249" s="77">
        <v>14458</v>
      </c>
      <c r="B249">
        <v>7.5719000000000003</v>
      </c>
      <c r="E249">
        <v>12.317299999999999</v>
      </c>
      <c r="G249">
        <v>6.6942000000000004</v>
      </c>
      <c r="H249">
        <v>29.523599999999998</v>
      </c>
      <c r="I249">
        <v>3.5316000000000001</v>
      </c>
    </row>
    <row r="250" spans="1:9" x14ac:dyDescent="0.35">
      <c r="A250" s="77">
        <v>14489</v>
      </c>
      <c r="B250">
        <v>8.0299999999999994</v>
      </c>
      <c r="E250">
        <v>12.510300000000001</v>
      </c>
      <c r="G250">
        <v>7.4542999999999999</v>
      </c>
      <c r="H250">
        <v>35.5657</v>
      </c>
      <c r="I250">
        <v>3.6332</v>
      </c>
    </row>
    <row r="251" spans="1:9" x14ac:dyDescent="0.35">
      <c r="A251" s="77">
        <v>14519</v>
      </c>
      <c r="B251">
        <v>8.4342000000000006</v>
      </c>
      <c r="E251">
        <v>12.626200000000001</v>
      </c>
      <c r="G251">
        <v>8.1654</v>
      </c>
      <c r="H251">
        <v>37.213500000000003</v>
      </c>
      <c r="I251">
        <v>3.6332</v>
      </c>
    </row>
    <row r="252" spans="1:9" x14ac:dyDescent="0.35">
      <c r="A252" s="77">
        <v>14550</v>
      </c>
      <c r="B252">
        <v>8.6498000000000008</v>
      </c>
      <c r="E252">
        <v>12.742000000000001</v>
      </c>
      <c r="G252">
        <v>8.3125</v>
      </c>
      <c r="H252">
        <v>37.213500000000003</v>
      </c>
      <c r="I252">
        <v>3.6840000000000002</v>
      </c>
    </row>
    <row r="253" spans="1:9" x14ac:dyDescent="0.35">
      <c r="A253" s="77">
        <v>14580</v>
      </c>
      <c r="B253">
        <v>8.6498000000000008</v>
      </c>
      <c r="E253">
        <v>12.7806</v>
      </c>
      <c r="G253">
        <v>8.3125</v>
      </c>
      <c r="H253">
        <v>36.183599999999998</v>
      </c>
      <c r="I253">
        <v>3.6840000000000002</v>
      </c>
    </row>
    <row r="254" spans="1:9" x14ac:dyDescent="0.35">
      <c r="A254" s="77">
        <v>14611</v>
      </c>
      <c r="B254">
        <v>8.5419999999999998</v>
      </c>
      <c r="E254">
        <v>12.742000000000001</v>
      </c>
      <c r="G254">
        <v>8.0917999999999992</v>
      </c>
      <c r="H254">
        <v>37.213500000000003</v>
      </c>
      <c r="I254">
        <v>3.7094</v>
      </c>
    </row>
    <row r="255" spans="1:9" x14ac:dyDescent="0.35">
      <c r="A255" s="77">
        <v>14642</v>
      </c>
      <c r="B255">
        <v>8.2725000000000009</v>
      </c>
      <c r="E255">
        <v>12.7034</v>
      </c>
      <c r="G255">
        <v>7.6505000000000001</v>
      </c>
      <c r="H255">
        <v>36.458300000000001</v>
      </c>
      <c r="I255">
        <v>3.7602000000000002</v>
      </c>
    </row>
    <row r="256" spans="1:9" x14ac:dyDescent="0.35">
      <c r="A256" s="77">
        <v>14671</v>
      </c>
      <c r="B256">
        <v>8.0838999999999999</v>
      </c>
      <c r="E256">
        <v>12.5489</v>
      </c>
      <c r="G256">
        <v>7.3562000000000003</v>
      </c>
      <c r="H256">
        <v>37.213500000000003</v>
      </c>
      <c r="I256">
        <v>3.7856000000000001</v>
      </c>
    </row>
    <row r="257" spans="1:9" x14ac:dyDescent="0.35">
      <c r="A257" s="77">
        <v>14702</v>
      </c>
      <c r="B257">
        <v>8.2455999999999996</v>
      </c>
      <c r="E257">
        <v>12.626200000000001</v>
      </c>
      <c r="G257">
        <v>7.5769000000000002</v>
      </c>
      <c r="H257">
        <v>40.3718</v>
      </c>
      <c r="I257">
        <v>3.7856000000000001</v>
      </c>
    </row>
    <row r="258" spans="1:9" x14ac:dyDescent="0.35">
      <c r="A258" s="77">
        <v>14732</v>
      </c>
      <c r="B258">
        <v>8.4880999999999993</v>
      </c>
      <c r="E258">
        <v>12.7034</v>
      </c>
      <c r="G258">
        <v>7.9202000000000004</v>
      </c>
      <c r="H258">
        <v>38.243400000000001</v>
      </c>
      <c r="I258">
        <v>3.8363999999999998</v>
      </c>
    </row>
    <row r="259" spans="1:9" x14ac:dyDescent="0.35">
      <c r="A259" s="77">
        <v>14763</v>
      </c>
      <c r="B259">
        <v>8.7575000000000003</v>
      </c>
      <c r="E259">
        <v>12.8192</v>
      </c>
      <c r="G259">
        <v>8.3369999999999997</v>
      </c>
      <c r="H259">
        <v>37.282200000000003</v>
      </c>
      <c r="I259">
        <v>3.8618000000000001</v>
      </c>
    </row>
    <row r="260" spans="1:9" x14ac:dyDescent="0.35">
      <c r="A260" s="77">
        <v>14793</v>
      </c>
      <c r="B260">
        <v>8.8652999999999995</v>
      </c>
      <c r="E260">
        <v>12.7806</v>
      </c>
      <c r="G260">
        <v>8.5577000000000005</v>
      </c>
      <c r="H260">
        <v>37.282200000000003</v>
      </c>
      <c r="I260">
        <v>3.8618000000000001</v>
      </c>
    </row>
    <row r="261" spans="1:9" x14ac:dyDescent="0.35">
      <c r="A261" s="77">
        <v>14824</v>
      </c>
      <c r="B261">
        <v>8.9192</v>
      </c>
      <c r="E261">
        <v>12.7806</v>
      </c>
      <c r="G261">
        <v>8.6312999999999995</v>
      </c>
      <c r="H261">
        <v>36.252299999999998</v>
      </c>
      <c r="I261">
        <v>3.9127000000000001</v>
      </c>
    </row>
    <row r="262" spans="1:9" x14ac:dyDescent="0.35">
      <c r="A262" s="77">
        <v>14855</v>
      </c>
      <c r="B262">
        <v>9.1079000000000008</v>
      </c>
      <c r="E262">
        <v>13.1281</v>
      </c>
      <c r="G262">
        <v>8.7294</v>
      </c>
      <c r="H262">
        <v>36.320999999999998</v>
      </c>
      <c r="I262">
        <v>3.9380999999999999</v>
      </c>
    </row>
    <row r="263" spans="1:9" x14ac:dyDescent="0.35">
      <c r="A263" s="77">
        <v>14885</v>
      </c>
      <c r="B263">
        <v>9.2425999999999995</v>
      </c>
      <c r="E263">
        <v>13.3598</v>
      </c>
      <c r="G263">
        <v>8.8275000000000006</v>
      </c>
      <c r="H263">
        <v>35.703000000000003</v>
      </c>
      <c r="I263">
        <v>3.9889000000000001</v>
      </c>
    </row>
    <row r="264" spans="1:9" x14ac:dyDescent="0.35">
      <c r="A264" s="77">
        <v>14916</v>
      </c>
      <c r="B264">
        <v>9.4581999999999997</v>
      </c>
      <c r="E264">
        <v>13.630100000000001</v>
      </c>
      <c r="G264">
        <v>8.9991000000000003</v>
      </c>
      <c r="H264">
        <v>36.801499999999997</v>
      </c>
      <c r="I264">
        <v>4.0904999999999996</v>
      </c>
    </row>
    <row r="265" spans="1:9" x14ac:dyDescent="0.35">
      <c r="A265" s="77">
        <v>14946</v>
      </c>
      <c r="B265">
        <v>9.7814999999999994</v>
      </c>
      <c r="E265">
        <v>14.0548</v>
      </c>
      <c r="G265">
        <v>9.3178999999999998</v>
      </c>
      <c r="H265">
        <v>37.762799999999999</v>
      </c>
      <c r="I265">
        <v>4.0904999999999996</v>
      </c>
    </row>
    <row r="266" spans="1:9" x14ac:dyDescent="0.35">
      <c r="A266" s="77">
        <v>14977</v>
      </c>
      <c r="B266">
        <v>10.023999999999999</v>
      </c>
      <c r="E266">
        <v>14.325100000000001</v>
      </c>
      <c r="G266">
        <v>9.4405000000000001</v>
      </c>
      <c r="H266">
        <v>37.419499999999999</v>
      </c>
      <c r="I266">
        <v>4.1413000000000002</v>
      </c>
    </row>
    <row r="267" spans="1:9" x14ac:dyDescent="0.35">
      <c r="A267" s="77">
        <v>15008</v>
      </c>
      <c r="B267">
        <v>10.320399999999999</v>
      </c>
      <c r="E267">
        <v>14.7498</v>
      </c>
      <c r="G267">
        <v>9.7102000000000004</v>
      </c>
      <c r="H267">
        <v>37.694200000000002</v>
      </c>
      <c r="I267">
        <v>4.1666999999999996</v>
      </c>
    </row>
    <row r="268" spans="1:9" x14ac:dyDescent="0.35">
      <c r="A268" s="77">
        <v>15036</v>
      </c>
      <c r="B268">
        <v>10.643800000000001</v>
      </c>
      <c r="E268">
        <v>15.135999999999999</v>
      </c>
      <c r="G268">
        <v>10.0535</v>
      </c>
      <c r="H268">
        <v>40.028500000000001</v>
      </c>
      <c r="I268">
        <v>4.2428999999999997</v>
      </c>
    </row>
    <row r="269" spans="1:9" x14ac:dyDescent="0.35">
      <c r="A269" s="77">
        <v>15067</v>
      </c>
      <c r="B269">
        <v>10.6707</v>
      </c>
      <c r="E269">
        <v>15.4062</v>
      </c>
      <c r="G269">
        <v>9.8328000000000007</v>
      </c>
      <c r="H269">
        <v>32.064</v>
      </c>
      <c r="I269">
        <v>4.2683999999999997</v>
      </c>
    </row>
    <row r="270" spans="1:9" x14ac:dyDescent="0.35">
      <c r="A270" s="77">
        <v>15097</v>
      </c>
      <c r="B270">
        <v>11.155799999999999</v>
      </c>
      <c r="E270">
        <v>15.8696</v>
      </c>
      <c r="G270">
        <v>10.4458</v>
      </c>
      <c r="H270">
        <v>39.067300000000003</v>
      </c>
      <c r="I270">
        <v>4.3192000000000004</v>
      </c>
    </row>
    <row r="271" spans="1:9" x14ac:dyDescent="0.35">
      <c r="A271" s="77">
        <v>15128</v>
      </c>
      <c r="B271">
        <v>11.236599999999999</v>
      </c>
      <c r="E271">
        <v>15.908200000000001</v>
      </c>
      <c r="G271">
        <v>10.5929</v>
      </c>
      <c r="H271">
        <v>40.097299999999997</v>
      </c>
      <c r="I271">
        <v>4.37</v>
      </c>
    </row>
    <row r="272" spans="1:9" x14ac:dyDescent="0.35">
      <c r="A272" s="77">
        <v>15158</v>
      </c>
      <c r="B272">
        <v>11.3713</v>
      </c>
      <c r="E272">
        <v>15.908200000000001</v>
      </c>
      <c r="G272">
        <v>10.7401</v>
      </c>
      <c r="H272">
        <v>39.959899999999998</v>
      </c>
      <c r="I272">
        <v>4.4207999999999998</v>
      </c>
    </row>
    <row r="273" spans="1:9" x14ac:dyDescent="0.35">
      <c r="A273" s="77">
        <v>15189</v>
      </c>
      <c r="B273">
        <v>11.5061</v>
      </c>
      <c r="E273">
        <v>15.9468</v>
      </c>
      <c r="G273">
        <v>10.813599999999999</v>
      </c>
      <c r="H273">
        <v>40.646500000000003</v>
      </c>
      <c r="I273">
        <v>4.4462000000000002</v>
      </c>
    </row>
    <row r="274" spans="1:9" x14ac:dyDescent="0.35">
      <c r="A274" s="77">
        <v>15220</v>
      </c>
      <c r="B274">
        <v>11.5061</v>
      </c>
      <c r="E274">
        <v>15.8696</v>
      </c>
      <c r="G274">
        <v>10.813599999999999</v>
      </c>
      <c r="H274">
        <v>41.127099999999999</v>
      </c>
      <c r="I274">
        <v>4.4969999999999999</v>
      </c>
    </row>
    <row r="275" spans="1:9" x14ac:dyDescent="0.35">
      <c r="A275" s="77">
        <v>15250</v>
      </c>
      <c r="B275">
        <v>11.613899999999999</v>
      </c>
      <c r="E275">
        <v>15.8696</v>
      </c>
      <c r="G275">
        <v>10.8627</v>
      </c>
      <c r="H275">
        <v>42.0884</v>
      </c>
      <c r="I275">
        <v>4.5224000000000002</v>
      </c>
    </row>
    <row r="276" spans="1:9" x14ac:dyDescent="0.35">
      <c r="A276" s="77">
        <v>15281</v>
      </c>
      <c r="B276">
        <v>11.6678</v>
      </c>
      <c r="E276">
        <v>15.908200000000001</v>
      </c>
      <c r="G276">
        <v>10.936199999999999</v>
      </c>
      <c r="H276">
        <v>41.470399999999998</v>
      </c>
      <c r="I276">
        <v>4.5477999999999996</v>
      </c>
    </row>
    <row r="277" spans="1:9" x14ac:dyDescent="0.35">
      <c r="A277" s="77">
        <v>15311</v>
      </c>
      <c r="B277">
        <v>11.856400000000001</v>
      </c>
      <c r="E277">
        <v>15.908200000000001</v>
      </c>
      <c r="G277">
        <v>11.1569</v>
      </c>
      <c r="H277">
        <v>42.225700000000003</v>
      </c>
      <c r="I277">
        <v>4.6494999999999997</v>
      </c>
    </row>
    <row r="278" spans="1:9" x14ac:dyDescent="0.35">
      <c r="A278" s="77">
        <v>15342</v>
      </c>
      <c r="B278">
        <v>12.0989</v>
      </c>
      <c r="E278">
        <v>16.217099999999999</v>
      </c>
      <c r="G278">
        <v>11.1814</v>
      </c>
      <c r="H278">
        <v>41.676400000000001</v>
      </c>
      <c r="I278">
        <v>4.7511000000000001</v>
      </c>
    </row>
    <row r="279" spans="1:9" x14ac:dyDescent="0.35">
      <c r="A279" s="77">
        <v>15373</v>
      </c>
      <c r="B279">
        <v>12.314500000000001</v>
      </c>
      <c r="E279">
        <v>16.024000000000001</v>
      </c>
      <c r="G279">
        <v>11.3531</v>
      </c>
      <c r="H279">
        <v>41.951000000000001</v>
      </c>
      <c r="I279">
        <v>4.7765000000000004</v>
      </c>
    </row>
    <row r="280" spans="1:9" x14ac:dyDescent="0.35">
      <c r="A280" s="77">
        <v>15401</v>
      </c>
      <c r="B280">
        <v>12.449199999999999</v>
      </c>
      <c r="E280">
        <v>16.024000000000001</v>
      </c>
      <c r="G280">
        <v>11.4512</v>
      </c>
      <c r="H280">
        <v>40.303199999999997</v>
      </c>
      <c r="I280">
        <v>4.8018999999999998</v>
      </c>
    </row>
    <row r="281" spans="1:9" x14ac:dyDescent="0.35">
      <c r="A281" s="77">
        <v>15432</v>
      </c>
      <c r="B281">
        <v>12.0989</v>
      </c>
      <c r="E281">
        <v>13.8232</v>
      </c>
      <c r="G281">
        <v>11.7454</v>
      </c>
      <c r="H281">
        <v>41.539099999999998</v>
      </c>
      <c r="I281">
        <v>4.8273000000000001</v>
      </c>
    </row>
    <row r="282" spans="1:9" x14ac:dyDescent="0.35">
      <c r="A282" s="77">
        <v>15462</v>
      </c>
      <c r="B282">
        <v>12.1258</v>
      </c>
      <c r="E282">
        <v>13.668699999999999</v>
      </c>
      <c r="G282">
        <v>11.7209</v>
      </c>
      <c r="H282">
        <v>40.5092</v>
      </c>
      <c r="I282">
        <v>4.8018999999999998</v>
      </c>
    </row>
    <row r="283" spans="1:9" x14ac:dyDescent="0.35">
      <c r="A283" s="77">
        <v>15493</v>
      </c>
      <c r="B283">
        <v>12.152799999999999</v>
      </c>
      <c r="E283">
        <v>13.436999999999999</v>
      </c>
      <c r="G283">
        <v>11.7454</v>
      </c>
      <c r="H283">
        <v>40.028599999999997</v>
      </c>
      <c r="I283">
        <v>4.8273000000000001</v>
      </c>
    </row>
    <row r="284" spans="1:9" x14ac:dyDescent="0.35">
      <c r="A284" s="77">
        <v>15523</v>
      </c>
      <c r="B284">
        <v>12.449199999999999</v>
      </c>
      <c r="E284">
        <v>13.630100000000001</v>
      </c>
      <c r="G284">
        <v>11.966100000000001</v>
      </c>
      <c r="H284">
        <v>39.891199999999998</v>
      </c>
      <c r="I284">
        <v>4.9542999999999999</v>
      </c>
    </row>
    <row r="285" spans="1:9" x14ac:dyDescent="0.35">
      <c r="A285" s="77">
        <v>15554</v>
      </c>
      <c r="B285">
        <v>12.8264</v>
      </c>
      <c r="E285">
        <v>13.745900000000001</v>
      </c>
      <c r="G285">
        <v>12.3094</v>
      </c>
      <c r="H285">
        <v>41.058399999999999</v>
      </c>
      <c r="I285">
        <v>5.0052000000000003</v>
      </c>
    </row>
    <row r="286" spans="1:9" x14ac:dyDescent="0.35">
      <c r="A286" s="77">
        <v>15585</v>
      </c>
      <c r="B286">
        <v>13.1229</v>
      </c>
      <c r="E286">
        <v>13.7845</v>
      </c>
      <c r="G286">
        <v>12.4565</v>
      </c>
      <c r="H286">
        <v>40.852499999999999</v>
      </c>
      <c r="I286">
        <v>5.0305999999999997</v>
      </c>
    </row>
    <row r="287" spans="1:9" x14ac:dyDescent="0.35">
      <c r="A287" s="77">
        <v>15615</v>
      </c>
      <c r="B287">
        <v>13.554</v>
      </c>
      <c r="E287">
        <v>14.0162</v>
      </c>
      <c r="G287">
        <v>12.799799999999999</v>
      </c>
      <c r="H287">
        <v>40.5092</v>
      </c>
      <c r="I287">
        <v>5.056</v>
      </c>
    </row>
    <row r="288" spans="1:9" x14ac:dyDescent="0.35">
      <c r="A288" s="77">
        <v>15646</v>
      </c>
      <c r="B288">
        <v>13.8774</v>
      </c>
      <c r="E288">
        <v>14.093400000000001</v>
      </c>
      <c r="G288">
        <v>12.996</v>
      </c>
      <c r="H288">
        <v>40.783799999999999</v>
      </c>
      <c r="I288">
        <v>5.1067999999999998</v>
      </c>
    </row>
    <row r="289" spans="1:9" x14ac:dyDescent="0.35">
      <c r="A289" s="77">
        <v>15676</v>
      </c>
      <c r="B289">
        <v>14.200699999999999</v>
      </c>
      <c r="E289">
        <v>14.4023</v>
      </c>
      <c r="G289">
        <v>13.1431</v>
      </c>
      <c r="H289">
        <v>40.303199999999997</v>
      </c>
      <c r="I289">
        <v>5.1829999999999998</v>
      </c>
    </row>
    <row r="290" spans="1:9" x14ac:dyDescent="0.35">
      <c r="A290" s="77">
        <v>15707</v>
      </c>
      <c r="B290">
        <v>14.3355</v>
      </c>
      <c r="E290">
        <v>13.977600000000001</v>
      </c>
      <c r="G290">
        <v>13.3393</v>
      </c>
      <c r="H290">
        <v>39.067399999999999</v>
      </c>
      <c r="I290">
        <v>5.1576000000000004</v>
      </c>
    </row>
    <row r="291" spans="1:9" x14ac:dyDescent="0.35">
      <c r="A291" s="77">
        <v>15738</v>
      </c>
      <c r="B291">
        <v>14.7127</v>
      </c>
      <c r="E291">
        <v>14.093400000000001</v>
      </c>
      <c r="G291">
        <v>13.682600000000001</v>
      </c>
      <c r="H291">
        <v>41.127099999999999</v>
      </c>
      <c r="I291">
        <v>5.2084000000000001</v>
      </c>
    </row>
    <row r="292" spans="1:9" x14ac:dyDescent="0.35">
      <c r="A292" s="77">
        <v>15766</v>
      </c>
      <c r="B292">
        <v>14.820499999999999</v>
      </c>
      <c r="E292">
        <v>14.132099999999999</v>
      </c>
      <c r="G292">
        <v>13.829700000000001</v>
      </c>
      <c r="H292">
        <v>42.431600000000003</v>
      </c>
      <c r="I292">
        <v>5.2591999999999999</v>
      </c>
    </row>
    <row r="293" spans="1:9" x14ac:dyDescent="0.35">
      <c r="A293" s="77">
        <v>15797</v>
      </c>
      <c r="B293">
        <v>15.0091</v>
      </c>
      <c r="E293">
        <v>14.2865</v>
      </c>
      <c r="G293">
        <v>13.952299999999999</v>
      </c>
      <c r="H293">
        <v>43.049599999999998</v>
      </c>
      <c r="I293">
        <v>5.31</v>
      </c>
    </row>
    <row r="294" spans="1:9" x14ac:dyDescent="0.35">
      <c r="A294" s="77">
        <v>15827</v>
      </c>
      <c r="B294">
        <v>15.116899999999999</v>
      </c>
      <c r="E294">
        <v>14.5182</v>
      </c>
      <c r="G294">
        <v>13.9278</v>
      </c>
      <c r="H294">
        <v>41.607700000000001</v>
      </c>
      <c r="I294">
        <v>5.3353999999999999</v>
      </c>
    </row>
    <row r="295" spans="1:9" x14ac:dyDescent="0.35">
      <c r="A295" s="77">
        <v>15858</v>
      </c>
      <c r="B295">
        <v>15.036099999999999</v>
      </c>
      <c r="E295">
        <v>14.7498</v>
      </c>
      <c r="G295">
        <v>13.5845</v>
      </c>
      <c r="H295">
        <v>36.801600000000001</v>
      </c>
      <c r="I295">
        <v>5.4371</v>
      </c>
    </row>
    <row r="296" spans="1:9" x14ac:dyDescent="0.35">
      <c r="A296" s="77">
        <v>15888</v>
      </c>
      <c r="B296">
        <v>15.4941</v>
      </c>
      <c r="E296">
        <v>14.9815</v>
      </c>
      <c r="G296">
        <v>14.099399999999999</v>
      </c>
      <c r="H296">
        <v>42.706299999999999</v>
      </c>
      <c r="I296">
        <v>5.4371</v>
      </c>
    </row>
    <row r="297" spans="1:9" x14ac:dyDescent="0.35">
      <c r="A297" s="77">
        <v>15919</v>
      </c>
      <c r="B297">
        <v>15.817500000000001</v>
      </c>
      <c r="E297">
        <v>15.0588</v>
      </c>
      <c r="G297">
        <v>14.3691</v>
      </c>
      <c r="H297">
        <v>42.431600000000003</v>
      </c>
      <c r="I297">
        <v>5.4878999999999998</v>
      </c>
    </row>
    <row r="298" spans="1:9" x14ac:dyDescent="0.35">
      <c r="A298" s="77">
        <v>15950</v>
      </c>
      <c r="B298">
        <v>16.221699999999998</v>
      </c>
      <c r="E298">
        <v>15.1746</v>
      </c>
      <c r="G298">
        <v>14.7369</v>
      </c>
      <c r="H298">
        <v>43.049599999999998</v>
      </c>
      <c r="I298">
        <v>5.6148999999999996</v>
      </c>
    </row>
    <row r="299" spans="1:9" x14ac:dyDescent="0.35">
      <c r="A299" s="77">
        <v>15980</v>
      </c>
      <c r="B299">
        <v>16.464200000000002</v>
      </c>
      <c r="E299">
        <v>15.0588</v>
      </c>
      <c r="G299">
        <v>14.982200000000001</v>
      </c>
      <c r="H299">
        <v>42.706299999999999</v>
      </c>
      <c r="I299">
        <v>5.6402999999999999</v>
      </c>
    </row>
    <row r="300" spans="1:9" x14ac:dyDescent="0.35">
      <c r="A300" s="77">
        <v>16011</v>
      </c>
      <c r="B300">
        <v>16.6798</v>
      </c>
      <c r="E300">
        <v>15.020099999999999</v>
      </c>
      <c r="G300">
        <v>15.104799999999999</v>
      </c>
      <c r="H300">
        <v>41.813800000000001</v>
      </c>
      <c r="I300">
        <v>5.6910999999999996</v>
      </c>
    </row>
    <row r="301" spans="1:9" x14ac:dyDescent="0.35">
      <c r="A301" s="77">
        <v>16041</v>
      </c>
      <c r="B301">
        <v>16.464200000000002</v>
      </c>
      <c r="E301">
        <v>14.7112</v>
      </c>
      <c r="G301">
        <v>15.104699999999999</v>
      </c>
      <c r="H301">
        <v>43.9422</v>
      </c>
      <c r="I301">
        <v>5.6910999999999996</v>
      </c>
    </row>
    <row r="302" spans="1:9" x14ac:dyDescent="0.35">
      <c r="A302" s="77">
        <v>16072</v>
      </c>
      <c r="B302">
        <v>16.652799999999999</v>
      </c>
      <c r="E302">
        <v>14.8657</v>
      </c>
      <c r="G302">
        <v>15.251899999999999</v>
      </c>
      <c r="H302">
        <v>43.530200000000001</v>
      </c>
      <c r="I302">
        <v>5.6657000000000002</v>
      </c>
    </row>
    <row r="303" spans="1:9" x14ac:dyDescent="0.35">
      <c r="A303" s="77">
        <v>16103</v>
      </c>
      <c r="B303">
        <v>16.787600000000001</v>
      </c>
      <c r="E303">
        <v>14.9429</v>
      </c>
      <c r="G303">
        <v>15.374499999999999</v>
      </c>
      <c r="H303">
        <v>44.766100000000002</v>
      </c>
      <c r="I303">
        <v>5.7164999999999999</v>
      </c>
    </row>
    <row r="304" spans="1:9" x14ac:dyDescent="0.35">
      <c r="A304" s="77">
        <v>16132</v>
      </c>
      <c r="B304">
        <v>16.7606</v>
      </c>
      <c r="E304">
        <v>15.135999999999999</v>
      </c>
      <c r="G304">
        <v>15.3009</v>
      </c>
      <c r="H304">
        <v>44.491399999999999</v>
      </c>
      <c r="I304">
        <v>5.8182</v>
      </c>
    </row>
    <row r="305" spans="1:9" x14ac:dyDescent="0.35">
      <c r="A305" s="77">
        <v>16163</v>
      </c>
      <c r="B305">
        <v>16.7606</v>
      </c>
      <c r="E305">
        <v>15.213200000000001</v>
      </c>
      <c r="G305">
        <v>15.251899999999999</v>
      </c>
      <c r="H305">
        <v>45.7273</v>
      </c>
      <c r="I305">
        <v>5.8689999999999998</v>
      </c>
    </row>
    <row r="306" spans="1:9" x14ac:dyDescent="0.35">
      <c r="A306" s="77">
        <v>16193</v>
      </c>
      <c r="B306">
        <v>16.652799999999999</v>
      </c>
      <c r="E306">
        <v>15.329000000000001</v>
      </c>
      <c r="G306">
        <v>15.0312</v>
      </c>
      <c r="H306">
        <v>46.002000000000002</v>
      </c>
      <c r="I306">
        <v>5.8436000000000003</v>
      </c>
    </row>
    <row r="307" spans="1:9" x14ac:dyDescent="0.35">
      <c r="A307" s="77">
        <v>16224</v>
      </c>
      <c r="B307">
        <v>16.5989</v>
      </c>
      <c r="E307">
        <v>15.4062</v>
      </c>
      <c r="G307">
        <v>14.810499999999999</v>
      </c>
      <c r="H307">
        <v>44.628700000000002</v>
      </c>
      <c r="I307">
        <v>5.8182</v>
      </c>
    </row>
    <row r="308" spans="1:9" x14ac:dyDescent="0.35">
      <c r="A308" s="77">
        <v>16254</v>
      </c>
      <c r="B308">
        <v>16.571999999999999</v>
      </c>
      <c r="E308">
        <v>15.483499999999999</v>
      </c>
      <c r="G308">
        <v>14.5898</v>
      </c>
      <c r="H308">
        <v>44.148099999999999</v>
      </c>
      <c r="I308">
        <v>5.7419000000000002</v>
      </c>
    </row>
    <row r="309" spans="1:9" x14ac:dyDescent="0.35">
      <c r="A309" s="77">
        <v>16285</v>
      </c>
      <c r="B309">
        <v>16.787600000000001</v>
      </c>
      <c r="E309">
        <v>15.831</v>
      </c>
      <c r="G309">
        <v>14.7615</v>
      </c>
      <c r="H309">
        <v>44.560099999999998</v>
      </c>
      <c r="I309">
        <v>5.7927999999999997</v>
      </c>
    </row>
    <row r="310" spans="1:9" x14ac:dyDescent="0.35">
      <c r="A310" s="77">
        <v>16316</v>
      </c>
      <c r="B310">
        <v>16.6798</v>
      </c>
      <c r="E310">
        <v>15.483499999999999</v>
      </c>
      <c r="G310">
        <v>14.7369</v>
      </c>
      <c r="H310">
        <v>44.766100000000002</v>
      </c>
      <c r="I310">
        <v>5.7927999999999997</v>
      </c>
    </row>
    <row r="311" spans="1:9" x14ac:dyDescent="0.35">
      <c r="A311" s="77">
        <v>16346</v>
      </c>
      <c r="B311">
        <v>16.733699999999999</v>
      </c>
      <c r="E311">
        <v>15.5221</v>
      </c>
      <c r="G311">
        <v>14.786</v>
      </c>
      <c r="H311">
        <v>44.834800000000001</v>
      </c>
      <c r="I311">
        <v>5.7927999999999997</v>
      </c>
    </row>
    <row r="312" spans="1:9" x14ac:dyDescent="0.35">
      <c r="A312" s="77">
        <v>16377</v>
      </c>
      <c r="B312">
        <v>16.5989</v>
      </c>
      <c r="E312">
        <v>15.483499999999999</v>
      </c>
      <c r="G312">
        <v>14.810499999999999</v>
      </c>
      <c r="H312">
        <v>45.246699999999997</v>
      </c>
      <c r="I312">
        <v>5.7927999999999997</v>
      </c>
    </row>
    <row r="313" spans="1:9" x14ac:dyDescent="0.35">
      <c r="A313" s="77">
        <v>16407</v>
      </c>
      <c r="B313">
        <v>16.545000000000002</v>
      </c>
      <c r="E313">
        <v>15.483499999999999</v>
      </c>
      <c r="G313">
        <v>14.8841</v>
      </c>
      <c r="H313">
        <v>44.079500000000003</v>
      </c>
      <c r="I313">
        <v>5.8182</v>
      </c>
    </row>
    <row r="314" spans="1:9" x14ac:dyDescent="0.35">
      <c r="A314" s="77">
        <v>16438</v>
      </c>
      <c r="B314">
        <v>16.383400000000002</v>
      </c>
      <c r="E314">
        <v>15.7151</v>
      </c>
      <c r="G314">
        <v>14.712400000000001</v>
      </c>
      <c r="H314">
        <v>43.667499999999997</v>
      </c>
      <c r="I314">
        <v>5.9198000000000004</v>
      </c>
    </row>
    <row r="315" spans="1:9" x14ac:dyDescent="0.35">
      <c r="A315" s="77">
        <v>16469</v>
      </c>
      <c r="B315">
        <v>16.329499999999999</v>
      </c>
      <c r="E315">
        <v>15.599299999999999</v>
      </c>
      <c r="G315">
        <v>14.859500000000001</v>
      </c>
      <c r="H315">
        <v>44.491500000000002</v>
      </c>
      <c r="I315">
        <v>5.9451999999999998</v>
      </c>
    </row>
    <row r="316" spans="1:9" x14ac:dyDescent="0.35">
      <c r="A316" s="77">
        <v>16497</v>
      </c>
      <c r="B316">
        <v>16.221699999999998</v>
      </c>
      <c r="E316">
        <v>15.560700000000001</v>
      </c>
      <c r="G316">
        <v>14.8841</v>
      </c>
      <c r="H316">
        <v>45.521299999999997</v>
      </c>
      <c r="I316">
        <v>5.8944000000000001</v>
      </c>
    </row>
    <row r="317" spans="1:9" x14ac:dyDescent="0.35">
      <c r="A317" s="77">
        <v>16528</v>
      </c>
      <c r="B317">
        <v>15.9253</v>
      </c>
      <c r="E317">
        <v>15.676500000000001</v>
      </c>
      <c r="G317">
        <v>14.663399999999999</v>
      </c>
      <c r="H317">
        <v>45.933300000000003</v>
      </c>
      <c r="I317">
        <v>5.8944000000000001</v>
      </c>
    </row>
    <row r="318" spans="1:9" x14ac:dyDescent="0.35">
      <c r="A318" s="77">
        <v>16558</v>
      </c>
      <c r="B318">
        <v>15.4941</v>
      </c>
      <c r="E318">
        <v>15.7151</v>
      </c>
      <c r="G318">
        <v>14.271000000000001</v>
      </c>
      <c r="H318">
        <v>44.697400000000002</v>
      </c>
      <c r="I318">
        <v>5.9451999999999998</v>
      </c>
    </row>
    <row r="319" spans="1:9" x14ac:dyDescent="0.35">
      <c r="A319" s="77">
        <v>16589</v>
      </c>
      <c r="B319">
        <v>15.143800000000001</v>
      </c>
      <c r="E319">
        <v>15.831</v>
      </c>
      <c r="G319">
        <v>13.9032</v>
      </c>
      <c r="H319">
        <v>45.246699999999997</v>
      </c>
      <c r="I319">
        <v>5.9960000000000004</v>
      </c>
    </row>
    <row r="320" spans="1:9" x14ac:dyDescent="0.35">
      <c r="A320" s="77">
        <v>16619</v>
      </c>
      <c r="B320">
        <v>14.7935</v>
      </c>
      <c r="E320">
        <v>15.792400000000001</v>
      </c>
      <c r="G320">
        <v>13.388299999999999</v>
      </c>
      <c r="H320">
        <v>45.177999999999997</v>
      </c>
      <c r="I320">
        <v>5.9451999999999998</v>
      </c>
    </row>
    <row r="321" spans="1:9" x14ac:dyDescent="0.35">
      <c r="A321" s="77">
        <v>16650</v>
      </c>
      <c r="B321">
        <v>13.2576</v>
      </c>
      <c r="E321">
        <v>15.0974</v>
      </c>
      <c r="G321">
        <v>12.1378</v>
      </c>
      <c r="H321">
        <v>43.9422</v>
      </c>
      <c r="I321">
        <v>5.8689999999999998</v>
      </c>
    </row>
    <row r="322" spans="1:9" x14ac:dyDescent="0.35">
      <c r="A322" s="77">
        <v>16681</v>
      </c>
      <c r="B322">
        <v>12.071999999999999</v>
      </c>
      <c r="E322">
        <v>15.831</v>
      </c>
      <c r="G322">
        <v>11.230499999999999</v>
      </c>
      <c r="H322">
        <v>42.0197</v>
      </c>
      <c r="I322">
        <v>5.7927999999999997</v>
      </c>
    </row>
    <row r="323" spans="1:9" x14ac:dyDescent="0.35">
      <c r="A323" s="77">
        <v>16711</v>
      </c>
      <c r="B323">
        <v>11.5869</v>
      </c>
      <c r="E323">
        <v>16.0627</v>
      </c>
      <c r="G323">
        <v>10.6175</v>
      </c>
      <c r="H323">
        <v>38.792700000000004</v>
      </c>
      <c r="I323">
        <v>5.7927999999999997</v>
      </c>
    </row>
    <row r="324" spans="1:9" x14ac:dyDescent="0.35">
      <c r="A324" s="77">
        <v>16742</v>
      </c>
      <c r="B324">
        <v>12.0181</v>
      </c>
      <c r="E324">
        <v>16.526</v>
      </c>
      <c r="G324">
        <v>11.3531</v>
      </c>
      <c r="H324">
        <v>43.9422</v>
      </c>
      <c r="I324">
        <v>5.7927999999999997</v>
      </c>
    </row>
    <row r="325" spans="1:9" x14ac:dyDescent="0.35">
      <c r="A325" s="77">
        <v>16772</v>
      </c>
      <c r="B325">
        <v>12.071999999999999</v>
      </c>
      <c r="E325">
        <v>16.719100000000001</v>
      </c>
      <c r="G325">
        <v>11.4757</v>
      </c>
      <c r="H325">
        <v>42.912199999999999</v>
      </c>
      <c r="I325">
        <v>5.8689999999999998</v>
      </c>
    </row>
    <row r="326" spans="1:9" x14ac:dyDescent="0.35">
      <c r="A326" s="77">
        <v>16803</v>
      </c>
      <c r="B326">
        <v>11.398300000000001</v>
      </c>
      <c r="E326">
        <v>17.4527</v>
      </c>
      <c r="G326">
        <v>10.0535</v>
      </c>
      <c r="H326">
        <v>43.667499999999997</v>
      </c>
      <c r="I326">
        <v>5.8436000000000003</v>
      </c>
    </row>
    <row r="327" spans="1:9" x14ac:dyDescent="0.35">
      <c r="A327" s="77">
        <v>16834</v>
      </c>
      <c r="B327">
        <v>10.8324</v>
      </c>
      <c r="E327">
        <v>18.1477</v>
      </c>
      <c r="G327">
        <v>8.8520000000000003</v>
      </c>
      <c r="H327">
        <v>44.354100000000003</v>
      </c>
      <c r="I327">
        <v>5.8689999999999998</v>
      </c>
    </row>
    <row r="328" spans="1:9" x14ac:dyDescent="0.35">
      <c r="A328" s="77">
        <v>16862</v>
      </c>
      <c r="B328">
        <v>11.9642</v>
      </c>
      <c r="E328">
        <v>18.0319</v>
      </c>
      <c r="G328">
        <v>11.132400000000001</v>
      </c>
      <c r="H328">
        <v>43.736199999999997</v>
      </c>
      <c r="I328">
        <v>5.8689999999999998</v>
      </c>
    </row>
    <row r="329" spans="1:9" x14ac:dyDescent="0.35">
      <c r="A329" s="77">
        <v>16893</v>
      </c>
      <c r="B329">
        <v>11.7486</v>
      </c>
      <c r="E329">
        <v>18.224900000000002</v>
      </c>
      <c r="G329">
        <v>10.396800000000001</v>
      </c>
      <c r="H329">
        <v>33.780500000000004</v>
      </c>
      <c r="I329">
        <v>5.9706000000000001</v>
      </c>
    </row>
    <row r="330" spans="1:9" x14ac:dyDescent="0.35">
      <c r="A330" s="77">
        <v>16923</v>
      </c>
      <c r="B330">
        <v>11.317500000000001</v>
      </c>
      <c r="E330">
        <v>18.302199999999999</v>
      </c>
      <c r="G330">
        <v>9.6120999999999999</v>
      </c>
      <c r="H330">
        <v>37.3508</v>
      </c>
      <c r="I330">
        <v>5.9706000000000001</v>
      </c>
    </row>
    <row r="331" spans="1:9" x14ac:dyDescent="0.35">
      <c r="A331" s="77">
        <v>16954</v>
      </c>
      <c r="B331">
        <v>12.0181</v>
      </c>
      <c r="E331">
        <v>18.340800000000002</v>
      </c>
      <c r="G331">
        <v>10.960800000000001</v>
      </c>
      <c r="H331">
        <v>43.392899999999997</v>
      </c>
      <c r="I331">
        <v>5.9960000000000004</v>
      </c>
    </row>
    <row r="332" spans="1:9" x14ac:dyDescent="0.35">
      <c r="A332" s="77">
        <v>16984</v>
      </c>
      <c r="B332">
        <v>12.4223</v>
      </c>
      <c r="E332">
        <v>18.765499999999999</v>
      </c>
      <c r="G332">
        <v>11.5983</v>
      </c>
      <c r="H332">
        <v>46.276600000000002</v>
      </c>
      <c r="I332">
        <v>6.1231</v>
      </c>
    </row>
    <row r="333" spans="1:9" x14ac:dyDescent="0.35">
      <c r="A333" s="77">
        <v>17015</v>
      </c>
      <c r="B333">
        <v>12.8803</v>
      </c>
      <c r="E333">
        <v>19.383299999999998</v>
      </c>
      <c r="G333">
        <v>12.0397</v>
      </c>
      <c r="H333">
        <v>44.972099999999998</v>
      </c>
      <c r="I333">
        <v>6.2500999999999998</v>
      </c>
    </row>
    <row r="334" spans="1:9" x14ac:dyDescent="0.35">
      <c r="A334" s="77">
        <v>17046</v>
      </c>
      <c r="B334">
        <v>13.1229</v>
      </c>
      <c r="E334">
        <v>19.769400000000001</v>
      </c>
      <c r="G334">
        <v>12.113200000000001</v>
      </c>
      <c r="H334">
        <v>45.658700000000003</v>
      </c>
      <c r="I334">
        <v>6.3517000000000001</v>
      </c>
    </row>
    <row r="335" spans="1:9" x14ac:dyDescent="0.35">
      <c r="A335" s="77">
        <v>17076</v>
      </c>
      <c r="B335">
        <v>13.365399999999999</v>
      </c>
      <c r="E335">
        <v>20.001100000000001</v>
      </c>
      <c r="G335">
        <v>12.382999999999999</v>
      </c>
      <c r="H335">
        <v>45.315399999999997</v>
      </c>
      <c r="I335">
        <v>6.4279000000000002</v>
      </c>
    </row>
    <row r="336" spans="1:9" x14ac:dyDescent="0.35">
      <c r="A336" s="77">
        <v>17107</v>
      </c>
      <c r="B336">
        <v>13.446199999999999</v>
      </c>
      <c r="E336">
        <v>20.2714</v>
      </c>
      <c r="G336">
        <v>12.3584</v>
      </c>
      <c r="H336">
        <v>43.324199999999998</v>
      </c>
      <c r="I336">
        <v>6.4532999999999996</v>
      </c>
    </row>
    <row r="337" spans="1:9" x14ac:dyDescent="0.35">
      <c r="A337" s="77">
        <v>17137</v>
      </c>
      <c r="B337">
        <v>13.527100000000001</v>
      </c>
      <c r="E337">
        <v>20.3872</v>
      </c>
      <c r="G337">
        <v>12.432</v>
      </c>
      <c r="H337">
        <v>44.354100000000003</v>
      </c>
      <c r="I337">
        <v>6.4787999999999997</v>
      </c>
    </row>
    <row r="338" spans="1:9" x14ac:dyDescent="0.35">
      <c r="A338" s="77">
        <v>17168</v>
      </c>
      <c r="B338">
        <v>13.688700000000001</v>
      </c>
      <c r="C338">
        <v>24.013300000000001</v>
      </c>
      <c r="D338">
        <v>5.5114000000000001</v>
      </c>
      <c r="E338">
        <v>19.962499999999999</v>
      </c>
      <c r="G338">
        <v>12.432</v>
      </c>
      <c r="H338">
        <v>47.3752</v>
      </c>
      <c r="I338">
        <v>6.2500999999999998</v>
      </c>
    </row>
    <row r="339" spans="1:9" x14ac:dyDescent="0.35">
      <c r="A339" s="77">
        <v>17199</v>
      </c>
      <c r="B339">
        <v>13.769600000000001</v>
      </c>
      <c r="C339">
        <v>24.734200000000001</v>
      </c>
      <c r="D339">
        <v>5.5709</v>
      </c>
      <c r="E339">
        <v>19.885300000000001</v>
      </c>
      <c r="G339">
        <v>12.530099999999999</v>
      </c>
      <c r="H339">
        <v>47.924399999999999</v>
      </c>
      <c r="I339">
        <v>6.3009000000000004</v>
      </c>
    </row>
    <row r="340" spans="1:9" x14ac:dyDescent="0.35">
      <c r="A340" s="77">
        <v>17227</v>
      </c>
      <c r="B340">
        <v>13.8504</v>
      </c>
      <c r="C340">
        <v>25.0045</v>
      </c>
      <c r="D340">
        <v>5.6006</v>
      </c>
      <c r="E340">
        <v>19.962499999999999</v>
      </c>
      <c r="G340">
        <v>12.946899999999999</v>
      </c>
      <c r="H340">
        <v>48.817</v>
      </c>
      <c r="I340">
        <v>6.3517000000000001</v>
      </c>
    </row>
    <row r="341" spans="1:9" x14ac:dyDescent="0.35">
      <c r="A341" s="77">
        <v>17258</v>
      </c>
      <c r="B341">
        <v>13.742599999999999</v>
      </c>
      <c r="C341">
        <v>25.229700000000001</v>
      </c>
      <c r="D341">
        <v>5.6798999999999999</v>
      </c>
      <c r="E341">
        <v>19.885300000000001</v>
      </c>
      <c r="G341">
        <v>12.6282</v>
      </c>
      <c r="H341">
        <v>44.697400000000002</v>
      </c>
      <c r="I341">
        <v>6.4787999999999997</v>
      </c>
    </row>
    <row r="342" spans="1:9" x14ac:dyDescent="0.35">
      <c r="A342" s="77">
        <v>17288</v>
      </c>
      <c r="B342">
        <v>13.7965</v>
      </c>
      <c r="C342">
        <v>25.545100000000001</v>
      </c>
      <c r="D342">
        <v>5.7096999999999998</v>
      </c>
      <c r="E342">
        <v>19.730799999999999</v>
      </c>
      <c r="G342">
        <v>12.677199999999999</v>
      </c>
      <c r="H342">
        <v>48.405099999999997</v>
      </c>
      <c r="I342">
        <v>6.5804</v>
      </c>
    </row>
    <row r="343" spans="1:9" x14ac:dyDescent="0.35">
      <c r="A343" s="77">
        <v>17319</v>
      </c>
      <c r="B343">
        <v>13.7965</v>
      </c>
      <c r="C343">
        <v>25.590199999999999</v>
      </c>
      <c r="D343">
        <v>5.7492999999999999</v>
      </c>
      <c r="E343">
        <v>19.769400000000001</v>
      </c>
      <c r="G343">
        <v>12.554600000000001</v>
      </c>
      <c r="H343">
        <v>47.993099999999998</v>
      </c>
      <c r="I343">
        <v>6.6058000000000003</v>
      </c>
    </row>
    <row r="344" spans="1:9" x14ac:dyDescent="0.35">
      <c r="A344" s="77">
        <v>17349</v>
      </c>
      <c r="B344">
        <v>13.7157</v>
      </c>
      <c r="C344">
        <v>24.959399999999999</v>
      </c>
      <c r="D344">
        <v>5.6501999999999999</v>
      </c>
      <c r="E344">
        <v>19.846699999999998</v>
      </c>
      <c r="G344">
        <v>12.432</v>
      </c>
      <c r="H344">
        <v>48.7483</v>
      </c>
      <c r="I344">
        <v>6.6566000000000001</v>
      </c>
    </row>
    <row r="345" spans="1:9" x14ac:dyDescent="0.35">
      <c r="A345" s="77">
        <v>17380</v>
      </c>
      <c r="B345">
        <v>13.7965</v>
      </c>
      <c r="C345">
        <v>25.319900000000001</v>
      </c>
      <c r="D345">
        <v>5.7492999999999999</v>
      </c>
      <c r="E345">
        <v>20.001100000000001</v>
      </c>
      <c r="G345">
        <v>12.407500000000001</v>
      </c>
      <c r="H345">
        <v>49.572299999999998</v>
      </c>
      <c r="I345">
        <v>6.7328000000000001</v>
      </c>
    </row>
    <row r="346" spans="1:9" x14ac:dyDescent="0.35">
      <c r="A346" s="77">
        <v>17411</v>
      </c>
      <c r="B346">
        <v>13.904299999999999</v>
      </c>
      <c r="C346">
        <v>25.545100000000001</v>
      </c>
      <c r="D346">
        <v>5.8285999999999998</v>
      </c>
      <c r="E346">
        <v>20.194199999999999</v>
      </c>
      <c r="G346">
        <v>12.5791</v>
      </c>
      <c r="H346">
        <v>50.121499999999997</v>
      </c>
      <c r="I346">
        <v>6.8090000000000002</v>
      </c>
    </row>
    <row r="347" spans="1:9" x14ac:dyDescent="0.35">
      <c r="A347" s="77">
        <v>17441</v>
      </c>
      <c r="B347">
        <v>14.039</v>
      </c>
      <c r="C347">
        <v>25.5001</v>
      </c>
      <c r="D347">
        <v>5.8682999999999996</v>
      </c>
      <c r="E347">
        <v>20.5031</v>
      </c>
      <c r="G347">
        <v>12.677199999999999</v>
      </c>
      <c r="H347">
        <v>49.915599999999998</v>
      </c>
      <c r="I347">
        <v>6.8598999999999997</v>
      </c>
    </row>
    <row r="348" spans="1:9" x14ac:dyDescent="0.35">
      <c r="A348" s="77">
        <v>17472</v>
      </c>
      <c r="B348">
        <v>14.2277</v>
      </c>
      <c r="C348">
        <v>25.995699999999999</v>
      </c>
      <c r="D348">
        <v>5.8682999999999996</v>
      </c>
      <c r="E348">
        <v>20.811900000000001</v>
      </c>
      <c r="G348">
        <v>12.971500000000001</v>
      </c>
      <c r="H348">
        <v>50.327500000000001</v>
      </c>
      <c r="I348">
        <v>6.9107000000000003</v>
      </c>
    </row>
    <row r="349" spans="1:9" x14ac:dyDescent="0.35">
      <c r="A349" s="77">
        <v>17502</v>
      </c>
      <c r="B349">
        <v>14.281499999999999</v>
      </c>
      <c r="C349">
        <v>26.040700000000001</v>
      </c>
      <c r="D349">
        <v>5.9177999999999997</v>
      </c>
      <c r="E349">
        <v>20.8506</v>
      </c>
      <c r="G349">
        <v>12.824299999999999</v>
      </c>
      <c r="H349">
        <v>50.258899999999997</v>
      </c>
      <c r="I349">
        <v>6.9615</v>
      </c>
    </row>
    <row r="350" spans="1:9" x14ac:dyDescent="0.35">
      <c r="A350" s="77">
        <v>17533</v>
      </c>
      <c r="B350">
        <v>14.362399999999999</v>
      </c>
      <c r="C350">
        <v>27.2121</v>
      </c>
      <c r="D350">
        <v>5.9673999999999996</v>
      </c>
      <c r="E350">
        <v>20.7347</v>
      </c>
      <c r="G350">
        <v>12.8734</v>
      </c>
      <c r="H350">
        <v>50.945399999999999</v>
      </c>
      <c r="I350">
        <v>7.0884999999999998</v>
      </c>
    </row>
    <row r="351" spans="1:9" x14ac:dyDescent="0.35">
      <c r="A351" s="77">
        <v>17564</v>
      </c>
      <c r="B351">
        <v>14.3893</v>
      </c>
      <c r="C351">
        <v>26.941800000000001</v>
      </c>
      <c r="D351">
        <v>5.9377000000000004</v>
      </c>
      <c r="E351">
        <v>20.812000000000001</v>
      </c>
      <c r="G351">
        <v>12.946899999999999</v>
      </c>
      <c r="H351">
        <v>51.014099999999999</v>
      </c>
      <c r="I351">
        <v>7.1139000000000001</v>
      </c>
    </row>
    <row r="352" spans="1:9" x14ac:dyDescent="0.35">
      <c r="A352" s="77">
        <v>17593</v>
      </c>
      <c r="B352">
        <v>14.2277</v>
      </c>
      <c r="C352">
        <v>27.0319</v>
      </c>
      <c r="D352">
        <v>5.9772999999999996</v>
      </c>
      <c r="E352">
        <v>20.580300000000001</v>
      </c>
      <c r="G352">
        <v>12.824299999999999</v>
      </c>
      <c r="H352">
        <v>46.002000000000002</v>
      </c>
      <c r="I352">
        <v>7.2664</v>
      </c>
    </row>
    <row r="353" spans="1:9" x14ac:dyDescent="0.35">
      <c r="A353" s="77">
        <v>17624</v>
      </c>
      <c r="B353">
        <v>14.2546</v>
      </c>
      <c r="C353">
        <v>26.851700000000001</v>
      </c>
      <c r="D353">
        <v>5.9377000000000004</v>
      </c>
      <c r="E353">
        <v>20.7347</v>
      </c>
      <c r="G353">
        <v>12.7263</v>
      </c>
      <c r="H353">
        <v>47.169199999999996</v>
      </c>
      <c r="I353">
        <v>7.2156000000000002</v>
      </c>
    </row>
    <row r="354" spans="1:9" x14ac:dyDescent="0.35">
      <c r="A354" s="77">
        <v>17654</v>
      </c>
      <c r="B354">
        <v>14.4971</v>
      </c>
      <c r="C354">
        <v>27.076899999999998</v>
      </c>
      <c r="D354">
        <v>5.9177999999999997</v>
      </c>
      <c r="E354">
        <v>20.657499999999999</v>
      </c>
      <c r="G354">
        <v>13.388299999999999</v>
      </c>
      <c r="H354">
        <v>53.005299999999998</v>
      </c>
      <c r="I354">
        <v>7.2664</v>
      </c>
    </row>
    <row r="355" spans="1:9" x14ac:dyDescent="0.35">
      <c r="A355" s="77">
        <v>17685</v>
      </c>
      <c r="B355">
        <v>14.685700000000001</v>
      </c>
      <c r="C355">
        <v>26.761600000000001</v>
      </c>
      <c r="D355">
        <v>5.9970999999999997</v>
      </c>
      <c r="E355">
        <v>21.004999999999999</v>
      </c>
      <c r="G355">
        <v>13.412800000000001</v>
      </c>
      <c r="H355">
        <v>53.005200000000002</v>
      </c>
      <c r="I355">
        <v>7.3171999999999997</v>
      </c>
    </row>
    <row r="356" spans="1:9" x14ac:dyDescent="0.35">
      <c r="A356" s="77">
        <v>17715</v>
      </c>
      <c r="B356">
        <v>14.685700000000001</v>
      </c>
      <c r="C356">
        <v>27.482399999999998</v>
      </c>
      <c r="D356">
        <v>6.0269000000000004</v>
      </c>
      <c r="E356">
        <v>20.9664</v>
      </c>
      <c r="G356">
        <v>13.510899999999999</v>
      </c>
      <c r="H356">
        <v>53.005200000000002</v>
      </c>
      <c r="I356">
        <v>7.4188000000000001</v>
      </c>
    </row>
    <row r="357" spans="1:9" x14ac:dyDescent="0.35">
      <c r="A357" s="77">
        <v>17746</v>
      </c>
      <c r="B357">
        <v>14.6318</v>
      </c>
      <c r="C357">
        <v>27.392299999999999</v>
      </c>
      <c r="D357">
        <v>6.0170000000000003</v>
      </c>
      <c r="E357">
        <v>20.773299999999999</v>
      </c>
      <c r="G357">
        <v>13.3393</v>
      </c>
      <c r="H357">
        <v>52.867899999999999</v>
      </c>
      <c r="I357">
        <v>7.4695999999999998</v>
      </c>
    </row>
    <row r="358" spans="1:9" x14ac:dyDescent="0.35">
      <c r="A358" s="77">
        <v>17777</v>
      </c>
      <c r="B358">
        <v>14.524100000000001</v>
      </c>
      <c r="C358">
        <v>27.0319</v>
      </c>
      <c r="D358">
        <v>5.9871999999999996</v>
      </c>
      <c r="E358">
        <v>20.657499999999999</v>
      </c>
      <c r="G358">
        <v>13.363799999999999</v>
      </c>
      <c r="H358">
        <v>51.769399999999997</v>
      </c>
      <c r="I358">
        <v>7.5712000000000002</v>
      </c>
    </row>
    <row r="359" spans="1:9" x14ac:dyDescent="0.35">
      <c r="A359" s="77">
        <v>17807</v>
      </c>
      <c r="B359">
        <v>14.6319</v>
      </c>
      <c r="C359">
        <v>27.617599999999999</v>
      </c>
      <c r="D359">
        <v>5.9078999999999997</v>
      </c>
      <c r="E359">
        <v>20.889199999999999</v>
      </c>
      <c r="G359">
        <v>13.388299999999999</v>
      </c>
      <c r="H359">
        <v>52.387300000000003</v>
      </c>
      <c r="I359">
        <v>7.6475</v>
      </c>
    </row>
    <row r="360" spans="1:9" x14ac:dyDescent="0.35">
      <c r="A360" s="77">
        <v>17838</v>
      </c>
      <c r="B360">
        <v>14.443199999999999</v>
      </c>
      <c r="C360">
        <v>26.8066</v>
      </c>
      <c r="D360">
        <v>5.8682999999999996</v>
      </c>
      <c r="E360">
        <v>20.657499999999999</v>
      </c>
      <c r="G360">
        <v>13.265700000000001</v>
      </c>
      <c r="H360">
        <v>51.563400000000001</v>
      </c>
      <c r="I360">
        <v>7.7237</v>
      </c>
    </row>
    <row r="361" spans="1:9" x14ac:dyDescent="0.35">
      <c r="A361" s="77">
        <v>17868</v>
      </c>
      <c r="B361">
        <v>14.3085</v>
      </c>
      <c r="C361">
        <v>26.581399999999999</v>
      </c>
      <c r="D361">
        <v>5.8186999999999998</v>
      </c>
      <c r="E361">
        <v>20.425799999999999</v>
      </c>
      <c r="G361">
        <v>13.1921</v>
      </c>
      <c r="H361">
        <v>51.494700000000002</v>
      </c>
      <c r="I361">
        <v>7.7237</v>
      </c>
    </row>
    <row r="362" spans="1:9" x14ac:dyDescent="0.35">
      <c r="A362" s="77">
        <v>17899</v>
      </c>
      <c r="B362">
        <v>14.1738</v>
      </c>
      <c r="C362">
        <v>25.860499999999998</v>
      </c>
      <c r="D362">
        <v>5.6798999999999999</v>
      </c>
      <c r="E362">
        <v>20.194099999999999</v>
      </c>
      <c r="G362">
        <v>12.946899999999999</v>
      </c>
      <c r="H362">
        <v>50.190199999999997</v>
      </c>
      <c r="I362">
        <v>7.6729000000000003</v>
      </c>
    </row>
    <row r="363" spans="1:9" x14ac:dyDescent="0.35">
      <c r="A363" s="77">
        <v>17930</v>
      </c>
      <c r="B363">
        <v>14.039</v>
      </c>
      <c r="C363">
        <v>25.319900000000001</v>
      </c>
      <c r="D363">
        <v>5.6600999999999999</v>
      </c>
      <c r="E363">
        <v>20.116900000000001</v>
      </c>
      <c r="G363">
        <v>12.8734</v>
      </c>
      <c r="H363">
        <v>49.984200000000001</v>
      </c>
      <c r="I363">
        <v>7.6982999999999997</v>
      </c>
    </row>
    <row r="364" spans="1:9" x14ac:dyDescent="0.35">
      <c r="A364" s="77">
        <v>17958</v>
      </c>
      <c r="B364">
        <v>13.769600000000001</v>
      </c>
      <c r="C364">
        <v>25.0045</v>
      </c>
      <c r="D364">
        <v>5.5312000000000001</v>
      </c>
      <c r="E364">
        <v>20.2714</v>
      </c>
      <c r="G364">
        <v>12.358499999999999</v>
      </c>
      <c r="H364">
        <v>45.315399999999997</v>
      </c>
      <c r="I364">
        <v>7.6982999999999997</v>
      </c>
    </row>
    <row r="365" spans="1:9" x14ac:dyDescent="0.35">
      <c r="A365" s="77">
        <v>17989</v>
      </c>
      <c r="B365">
        <v>13.688700000000001</v>
      </c>
      <c r="C365">
        <v>24.599</v>
      </c>
      <c r="D365">
        <v>5.4420000000000002</v>
      </c>
      <c r="E365">
        <v>20.232800000000001</v>
      </c>
      <c r="G365">
        <v>12.1868</v>
      </c>
      <c r="H365">
        <v>49.434899999999999</v>
      </c>
      <c r="I365">
        <v>7.7237</v>
      </c>
    </row>
    <row r="366" spans="1:9" x14ac:dyDescent="0.35">
      <c r="A366" s="77">
        <v>18019</v>
      </c>
      <c r="B366">
        <v>13.5001</v>
      </c>
      <c r="C366">
        <v>24.328700000000001</v>
      </c>
      <c r="D366">
        <v>5.3231000000000002</v>
      </c>
      <c r="E366">
        <v>20.232800000000001</v>
      </c>
      <c r="G366">
        <v>11.843500000000001</v>
      </c>
      <c r="H366">
        <v>48.542400000000001</v>
      </c>
      <c r="I366">
        <v>7.7237</v>
      </c>
    </row>
    <row r="367" spans="1:9" x14ac:dyDescent="0.35">
      <c r="A367" s="77">
        <v>18050</v>
      </c>
      <c r="B367">
        <v>13.4732</v>
      </c>
      <c r="C367">
        <v>24.2836</v>
      </c>
      <c r="D367">
        <v>5.2339000000000002</v>
      </c>
      <c r="E367">
        <v>20.464400000000001</v>
      </c>
      <c r="G367">
        <v>11.671900000000001</v>
      </c>
      <c r="H367">
        <v>45.177999999999997</v>
      </c>
      <c r="I367">
        <v>7.8253000000000004</v>
      </c>
    </row>
    <row r="368" spans="1:9" x14ac:dyDescent="0.35">
      <c r="A368" s="77">
        <v>18080</v>
      </c>
      <c r="B368">
        <v>13.446199999999999</v>
      </c>
      <c r="C368">
        <v>24.013300000000001</v>
      </c>
      <c r="D368">
        <v>5.1346999999999996</v>
      </c>
      <c r="E368">
        <v>20.657499999999999</v>
      </c>
      <c r="G368">
        <v>11.6228</v>
      </c>
      <c r="H368">
        <v>44.010800000000003</v>
      </c>
      <c r="I368">
        <v>7.9268999999999998</v>
      </c>
    </row>
    <row r="369" spans="1:9" x14ac:dyDescent="0.35">
      <c r="A369" s="77">
        <v>18111</v>
      </c>
      <c r="B369">
        <v>13.5809</v>
      </c>
      <c r="C369">
        <v>24.238600000000002</v>
      </c>
      <c r="D369">
        <v>5.0852000000000004</v>
      </c>
      <c r="E369">
        <v>20.8506</v>
      </c>
      <c r="G369">
        <v>11.819000000000001</v>
      </c>
      <c r="H369">
        <v>43.8735</v>
      </c>
      <c r="I369">
        <v>8.0031999999999996</v>
      </c>
    </row>
    <row r="370" spans="1:9" x14ac:dyDescent="0.35">
      <c r="A370" s="77">
        <v>18142</v>
      </c>
      <c r="B370">
        <v>13.7157</v>
      </c>
      <c r="C370">
        <v>25.0045</v>
      </c>
      <c r="D370">
        <v>5.0553999999999997</v>
      </c>
      <c r="E370">
        <v>21.159500000000001</v>
      </c>
      <c r="G370">
        <v>12.0151</v>
      </c>
      <c r="H370">
        <v>39.616599999999998</v>
      </c>
      <c r="I370">
        <v>8.0031999999999996</v>
      </c>
    </row>
    <row r="371" spans="1:9" x14ac:dyDescent="0.35">
      <c r="A371" s="77">
        <v>18172</v>
      </c>
      <c r="B371">
        <v>13.2037</v>
      </c>
      <c r="C371">
        <v>24.1935</v>
      </c>
      <c r="D371">
        <v>4.8472999999999997</v>
      </c>
      <c r="E371">
        <v>21.236699999999999</v>
      </c>
      <c r="G371">
        <v>10.789099999999999</v>
      </c>
      <c r="H371">
        <v>37.282200000000003</v>
      </c>
      <c r="I371">
        <v>8.0286000000000008</v>
      </c>
    </row>
    <row r="372" spans="1:9" x14ac:dyDescent="0.35">
      <c r="A372" s="77">
        <v>18203</v>
      </c>
      <c r="B372">
        <v>13.554</v>
      </c>
      <c r="C372">
        <v>25.0045</v>
      </c>
      <c r="D372">
        <v>4.6985999999999999</v>
      </c>
      <c r="E372">
        <v>20.927800000000001</v>
      </c>
      <c r="G372">
        <v>11.794499999999999</v>
      </c>
      <c r="H372">
        <v>46.825899999999997</v>
      </c>
      <c r="I372">
        <v>8.1555999999999997</v>
      </c>
    </row>
    <row r="373" spans="1:9" x14ac:dyDescent="0.35">
      <c r="A373" s="77">
        <v>18233</v>
      </c>
      <c r="B373">
        <v>13.7965</v>
      </c>
      <c r="C373">
        <v>26.085799999999999</v>
      </c>
      <c r="D373">
        <v>4.7084999999999999</v>
      </c>
      <c r="E373">
        <v>20.696100000000001</v>
      </c>
      <c r="G373">
        <v>12.3584</v>
      </c>
      <c r="H373">
        <v>45.040700000000001</v>
      </c>
      <c r="I373">
        <v>8.3080999999999996</v>
      </c>
    </row>
    <row r="374" spans="1:9" x14ac:dyDescent="0.35">
      <c r="A374" s="77">
        <v>18264</v>
      </c>
      <c r="B374">
        <v>14.039</v>
      </c>
      <c r="C374">
        <v>25.770399999999999</v>
      </c>
      <c r="D374">
        <v>4.7976999999999999</v>
      </c>
      <c r="E374">
        <v>21.5456</v>
      </c>
      <c r="G374">
        <v>12.4565</v>
      </c>
      <c r="H374">
        <v>44.148099999999999</v>
      </c>
      <c r="I374">
        <v>8.4097000000000008</v>
      </c>
    </row>
    <row r="375" spans="1:9" x14ac:dyDescent="0.35">
      <c r="A375" s="77">
        <v>18295</v>
      </c>
      <c r="B375">
        <v>14.0929</v>
      </c>
      <c r="C375">
        <v>26.761600000000001</v>
      </c>
      <c r="D375">
        <v>4.9463999999999997</v>
      </c>
      <c r="E375">
        <v>21.584199999999999</v>
      </c>
      <c r="G375">
        <v>12.235799999999999</v>
      </c>
      <c r="H375">
        <v>40.646500000000003</v>
      </c>
      <c r="I375">
        <v>8.4859000000000009</v>
      </c>
    </row>
    <row r="376" spans="1:9" x14ac:dyDescent="0.35">
      <c r="A376" s="77">
        <v>18323</v>
      </c>
      <c r="B376">
        <v>14.551</v>
      </c>
      <c r="C376">
        <v>27.392299999999999</v>
      </c>
      <c r="D376">
        <v>4.9960000000000004</v>
      </c>
      <c r="E376">
        <v>22.047499999999999</v>
      </c>
      <c r="G376">
        <v>13.0695</v>
      </c>
      <c r="H376">
        <v>50.327500000000001</v>
      </c>
      <c r="I376">
        <v>8.6382999999999992</v>
      </c>
    </row>
    <row r="377" spans="1:9" x14ac:dyDescent="0.35">
      <c r="A377" s="77">
        <v>18354</v>
      </c>
      <c r="B377">
        <v>15.036</v>
      </c>
      <c r="C377">
        <v>28.834</v>
      </c>
      <c r="D377">
        <v>5.1445999999999996</v>
      </c>
      <c r="E377">
        <v>22.665299999999998</v>
      </c>
      <c r="G377">
        <v>13.609</v>
      </c>
      <c r="H377">
        <v>49.709600000000002</v>
      </c>
      <c r="I377">
        <v>8.74</v>
      </c>
    </row>
    <row r="378" spans="1:9" x14ac:dyDescent="0.35">
      <c r="A378" s="77">
        <v>18384</v>
      </c>
      <c r="B378">
        <v>15.3863</v>
      </c>
      <c r="C378">
        <v>29.104299999999999</v>
      </c>
      <c r="D378">
        <v>5.3627000000000002</v>
      </c>
      <c r="E378">
        <v>23.167300000000001</v>
      </c>
      <c r="G378">
        <v>14.001300000000001</v>
      </c>
      <c r="H378">
        <v>49.915500000000002</v>
      </c>
      <c r="I378">
        <v>8.8924000000000003</v>
      </c>
    </row>
    <row r="379" spans="1:9" x14ac:dyDescent="0.35">
      <c r="A379" s="77">
        <v>18415</v>
      </c>
      <c r="B379">
        <v>15.8444</v>
      </c>
      <c r="C379">
        <v>30.140599999999999</v>
      </c>
      <c r="D379">
        <v>5.5709</v>
      </c>
      <c r="E379">
        <v>23.7851</v>
      </c>
      <c r="G379">
        <v>14.540800000000001</v>
      </c>
      <c r="H379">
        <v>51.494700000000002</v>
      </c>
      <c r="I379">
        <v>8.9431999999999992</v>
      </c>
    </row>
    <row r="380" spans="1:9" x14ac:dyDescent="0.35">
      <c r="A380" s="77">
        <v>18445</v>
      </c>
      <c r="B380">
        <v>16.356400000000001</v>
      </c>
      <c r="C380">
        <v>30.906500000000001</v>
      </c>
      <c r="D380">
        <v>5.7591999999999999</v>
      </c>
      <c r="E380">
        <v>24.518699999999999</v>
      </c>
      <c r="G380">
        <v>14.9331</v>
      </c>
      <c r="H380">
        <v>52.456000000000003</v>
      </c>
      <c r="I380">
        <v>8.9939999999999998</v>
      </c>
    </row>
    <row r="381" spans="1:9" x14ac:dyDescent="0.35">
      <c r="A381" s="77">
        <v>18476</v>
      </c>
      <c r="B381">
        <v>16.868400000000001</v>
      </c>
      <c r="C381">
        <v>31.492100000000001</v>
      </c>
      <c r="D381">
        <v>6.0763999999999996</v>
      </c>
      <c r="E381">
        <v>25.291</v>
      </c>
      <c r="G381">
        <v>15.374499999999999</v>
      </c>
      <c r="H381">
        <v>53.554499999999997</v>
      </c>
      <c r="I381">
        <v>9.0957000000000008</v>
      </c>
    </row>
    <row r="382" spans="1:9" x14ac:dyDescent="0.35">
      <c r="A382" s="77">
        <v>18507</v>
      </c>
      <c r="B382">
        <v>16.7606</v>
      </c>
      <c r="C382">
        <v>31.5823</v>
      </c>
      <c r="D382">
        <v>5.9276999999999997</v>
      </c>
      <c r="E382">
        <v>24.673200000000001</v>
      </c>
      <c r="G382">
        <v>15.546099999999999</v>
      </c>
      <c r="H382">
        <v>54.378399999999999</v>
      </c>
      <c r="I382">
        <v>9.1719000000000008</v>
      </c>
    </row>
    <row r="383" spans="1:9" x14ac:dyDescent="0.35">
      <c r="A383" s="77">
        <v>18537</v>
      </c>
      <c r="B383">
        <v>16.868400000000001</v>
      </c>
      <c r="C383">
        <v>31.852599999999999</v>
      </c>
      <c r="D383">
        <v>6.0467000000000004</v>
      </c>
      <c r="E383">
        <v>24.4801</v>
      </c>
      <c r="G383">
        <v>15.7423</v>
      </c>
      <c r="H383">
        <v>54.515799999999999</v>
      </c>
      <c r="I383">
        <v>9.3750999999999998</v>
      </c>
    </row>
    <row r="384" spans="1:9" x14ac:dyDescent="0.35">
      <c r="A384" s="77">
        <v>18568</v>
      </c>
      <c r="B384">
        <v>16.8415</v>
      </c>
      <c r="C384">
        <v>31.897600000000001</v>
      </c>
      <c r="D384">
        <v>6.0963000000000003</v>
      </c>
      <c r="E384">
        <v>24.3643</v>
      </c>
      <c r="G384">
        <v>15.570600000000001</v>
      </c>
      <c r="H384">
        <v>53.348599999999998</v>
      </c>
      <c r="I384">
        <v>9.4259000000000004</v>
      </c>
    </row>
    <row r="385" spans="1:9" x14ac:dyDescent="0.35">
      <c r="A385" s="77">
        <v>18598</v>
      </c>
      <c r="B385">
        <v>17.137899999999998</v>
      </c>
      <c r="C385">
        <v>31.942699999999999</v>
      </c>
      <c r="D385">
        <v>6.1954000000000002</v>
      </c>
      <c r="E385">
        <v>24.750399999999999</v>
      </c>
      <c r="G385">
        <v>15.815899999999999</v>
      </c>
      <c r="H385">
        <v>54.0351</v>
      </c>
      <c r="I385">
        <v>9.5275999999999996</v>
      </c>
    </row>
    <row r="386" spans="1:9" x14ac:dyDescent="0.35">
      <c r="A386" s="77">
        <v>18629</v>
      </c>
      <c r="B386">
        <v>17.191700000000001</v>
      </c>
      <c r="C386">
        <v>32.213000000000001</v>
      </c>
      <c r="D386">
        <v>6.2747000000000002</v>
      </c>
      <c r="E386">
        <v>24.904800000000002</v>
      </c>
      <c r="G386">
        <v>15.6442</v>
      </c>
      <c r="H386">
        <v>54.790399999999998</v>
      </c>
      <c r="I386">
        <v>9.68</v>
      </c>
    </row>
    <row r="387" spans="1:9" x14ac:dyDescent="0.35">
      <c r="A387" s="77">
        <v>18660</v>
      </c>
      <c r="B387">
        <v>17.299499999999998</v>
      </c>
      <c r="C387">
        <v>31.897600000000001</v>
      </c>
      <c r="D387">
        <v>6.3639000000000001</v>
      </c>
      <c r="E387">
        <v>24.866199999999999</v>
      </c>
      <c r="G387">
        <v>15.7423</v>
      </c>
      <c r="H387">
        <v>53.829099999999997</v>
      </c>
      <c r="I387">
        <v>9.8579000000000008</v>
      </c>
    </row>
    <row r="388" spans="1:9" x14ac:dyDescent="0.35">
      <c r="A388" s="77">
        <v>18688</v>
      </c>
      <c r="B388">
        <v>17.380400000000002</v>
      </c>
      <c r="C388">
        <v>32.032800000000002</v>
      </c>
      <c r="D388">
        <v>6.4531000000000001</v>
      </c>
      <c r="E388">
        <v>24.518699999999999</v>
      </c>
      <c r="G388">
        <v>16.0611</v>
      </c>
      <c r="H388">
        <v>54.309800000000003</v>
      </c>
      <c r="I388">
        <v>9.9595000000000002</v>
      </c>
    </row>
    <row r="389" spans="1:9" x14ac:dyDescent="0.35">
      <c r="A389" s="77">
        <v>18719</v>
      </c>
      <c r="B389">
        <v>17.407299999999999</v>
      </c>
      <c r="C389">
        <v>31.897600000000001</v>
      </c>
      <c r="D389">
        <v>6.6116999999999999</v>
      </c>
      <c r="E389">
        <v>24.055399999999999</v>
      </c>
      <c r="G389">
        <v>16.183700000000002</v>
      </c>
      <c r="H389">
        <v>55.064999999999998</v>
      </c>
      <c r="I389">
        <v>10.1119</v>
      </c>
    </row>
    <row r="390" spans="1:9" x14ac:dyDescent="0.35">
      <c r="A390" s="77">
        <v>18749</v>
      </c>
      <c r="B390">
        <v>17.353400000000001</v>
      </c>
      <c r="C390">
        <v>31.6724</v>
      </c>
      <c r="D390">
        <v>6.6711999999999998</v>
      </c>
      <c r="E390">
        <v>23.630600000000001</v>
      </c>
      <c r="G390">
        <v>16.3063</v>
      </c>
      <c r="H390">
        <v>55.271099999999997</v>
      </c>
      <c r="I390">
        <v>10.162699999999999</v>
      </c>
    </row>
    <row r="391" spans="1:9" x14ac:dyDescent="0.35">
      <c r="A391" s="77">
        <v>18780</v>
      </c>
      <c r="B391">
        <v>17.272600000000001</v>
      </c>
      <c r="C391">
        <v>31.447099999999999</v>
      </c>
      <c r="D391">
        <v>6.7504999999999997</v>
      </c>
      <c r="E391">
        <v>23.3217</v>
      </c>
      <c r="G391">
        <v>16.379799999999999</v>
      </c>
      <c r="H391">
        <v>55.408299999999997</v>
      </c>
      <c r="I391">
        <v>10.239000000000001</v>
      </c>
    </row>
    <row r="392" spans="1:9" x14ac:dyDescent="0.35">
      <c r="A392" s="77">
        <v>18810</v>
      </c>
      <c r="B392">
        <v>17.0031</v>
      </c>
      <c r="C392">
        <v>30.6812</v>
      </c>
      <c r="D392">
        <v>6.81</v>
      </c>
      <c r="E392">
        <v>22.549499999999998</v>
      </c>
      <c r="G392">
        <v>16.085599999999999</v>
      </c>
      <c r="H392">
        <v>55.476999999999997</v>
      </c>
      <c r="I392">
        <v>10.2898</v>
      </c>
    </row>
    <row r="393" spans="1:9" x14ac:dyDescent="0.35">
      <c r="A393" s="77">
        <v>18841</v>
      </c>
      <c r="B393">
        <v>16.8415</v>
      </c>
      <c r="C393">
        <v>30.545999999999999</v>
      </c>
      <c r="D393">
        <v>6.8992000000000004</v>
      </c>
      <c r="E393">
        <v>22.047499999999999</v>
      </c>
      <c r="G393">
        <v>15.815899999999999</v>
      </c>
      <c r="H393">
        <v>55.957599999999999</v>
      </c>
      <c r="I393">
        <v>10.391400000000001</v>
      </c>
    </row>
    <row r="394" spans="1:9" x14ac:dyDescent="0.35">
      <c r="A394" s="77">
        <v>18872</v>
      </c>
      <c r="B394">
        <v>16.949200000000001</v>
      </c>
      <c r="C394">
        <v>30.501000000000001</v>
      </c>
      <c r="D394">
        <v>7.0479000000000003</v>
      </c>
      <c r="E394">
        <v>22.279199999999999</v>
      </c>
      <c r="G394">
        <v>15.9139</v>
      </c>
      <c r="H394">
        <v>56.300899999999999</v>
      </c>
      <c r="I394">
        <v>10.467599999999999</v>
      </c>
    </row>
    <row r="395" spans="1:9" x14ac:dyDescent="0.35">
      <c r="A395" s="77">
        <v>18902</v>
      </c>
      <c r="B395">
        <v>16.9223</v>
      </c>
      <c r="C395">
        <v>30.230699999999999</v>
      </c>
      <c r="D395">
        <v>7.1668000000000003</v>
      </c>
      <c r="E395">
        <v>22.1248</v>
      </c>
      <c r="G395">
        <v>15.693300000000001</v>
      </c>
      <c r="H395">
        <v>57.330800000000004</v>
      </c>
      <c r="I395">
        <v>10.467599999999999</v>
      </c>
    </row>
    <row r="396" spans="1:9" x14ac:dyDescent="0.35">
      <c r="A396" s="77">
        <v>18933</v>
      </c>
      <c r="B396">
        <v>17.056999999999999</v>
      </c>
      <c r="C396">
        <v>29.9603</v>
      </c>
      <c r="D396">
        <v>7.2957000000000001</v>
      </c>
      <c r="E396">
        <v>22.510899999999999</v>
      </c>
      <c r="G396">
        <v>15.7423</v>
      </c>
      <c r="H396">
        <v>56.918799999999997</v>
      </c>
      <c r="I396">
        <v>10.620100000000001</v>
      </c>
    </row>
    <row r="397" spans="1:9" x14ac:dyDescent="0.35">
      <c r="A397" s="77">
        <v>18963</v>
      </c>
      <c r="B397">
        <v>17.1648</v>
      </c>
      <c r="C397">
        <v>30.0504</v>
      </c>
      <c r="D397">
        <v>7.3849</v>
      </c>
      <c r="E397">
        <v>22.665299999999998</v>
      </c>
      <c r="G397">
        <v>15.7668</v>
      </c>
      <c r="H397">
        <v>56.781500000000001</v>
      </c>
      <c r="I397">
        <v>10.6455</v>
      </c>
    </row>
    <row r="398" spans="1:9" x14ac:dyDescent="0.35">
      <c r="A398" s="77">
        <v>18994</v>
      </c>
      <c r="B398">
        <v>17.353400000000001</v>
      </c>
      <c r="C398">
        <v>30.4559</v>
      </c>
      <c r="D398">
        <v>7.5731999999999999</v>
      </c>
      <c r="E398">
        <v>22.8584</v>
      </c>
      <c r="G398">
        <v>16.134599999999999</v>
      </c>
      <c r="H398">
        <v>57.1248</v>
      </c>
      <c r="I398">
        <v>10.772500000000001</v>
      </c>
    </row>
    <row r="399" spans="1:9" x14ac:dyDescent="0.35">
      <c r="A399" s="77">
        <v>19025</v>
      </c>
      <c r="B399">
        <v>17.461200000000002</v>
      </c>
      <c r="C399">
        <v>30.6812</v>
      </c>
      <c r="D399">
        <v>7.6624999999999996</v>
      </c>
      <c r="E399">
        <v>23.012799999999999</v>
      </c>
      <c r="G399">
        <v>15.987500000000001</v>
      </c>
      <c r="H399">
        <v>57.674100000000003</v>
      </c>
      <c r="I399">
        <v>10.848699999999999</v>
      </c>
    </row>
    <row r="400" spans="1:9" x14ac:dyDescent="0.35">
      <c r="A400" s="77">
        <v>19054</v>
      </c>
      <c r="B400">
        <v>17.5151</v>
      </c>
      <c r="C400">
        <v>30.501000000000001</v>
      </c>
      <c r="D400">
        <v>7.7317999999999998</v>
      </c>
      <c r="E400">
        <v>23.128699999999998</v>
      </c>
      <c r="G400">
        <v>15.987500000000001</v>
      </c>
      <c r="H400">
        <v>57.330800000000004</v>
      </c>
      <c r="I400">
        <v>10.8741</v>
      </c>
    </row>
    <row r="401" spans="1:9" x14ac:dyDescent="0.35">
      <c r="A401" s="77">
        <v>19085</v>
      </c>
      <c r="B401">
        <v>17.353400000000001</v>
      </c>
      <c r="C401">
        <v>30.005400000000002</v>
      </c>
      <c r="D401">
        <v>7.7020999999999997</v>
      </c>
      <c r="E401">
        <v>23.128699999999998</v>
      </c>
      <c r="G401">
        <v>15.693300000000001</v>
      </c>
      <c r="H401">
        <v>56.781500000000001</v>
      </c>
      <c r="I401">
        <v>10.7979</v>
      </c>
    </row>
    <row r="402" spans="1:9" x14ac:dyDescent="0.35">
      <c r="A402" s="77">
        <v>19115</v>
      </c>
      <c r="B402">
        <v>17.191800000000001</v>
      </c>
      <c r="C402">
        <v>29.5549</v>
      </c>
      <c r="D402">
        <v>7.7417999999999996</v>
      </c>
      <c r="E402">
        <v>23.0901</v>
      </c>
      <c r="G402">
        <v>15.4726</v>
      </c>
      <c r="H402">
        <v>50.602200000000003</v>
      </c>
      <c r="I402">
        <v>10.848699999999999</v>
      </c>
    </row>
    <row r="403" spans="1:9" x14ac:dyDescent="0.35">
      <c r="A403" s="77">
        <v>19146</v>
      </c>
      <c r="B403">
        <v>17.030100000000001</v>
      </c>
      <c r="C403">
        <v>29.374600000000001</v>
      </c>
      <c r="D403">
        <v>7.7912999999999997</v>
      </c>
      <c r="E403">
        <v>23.746500000000001</v>
      </c>
      <c r="G403">
        <v>14.5898</v>
      </c>
      <c r="H403">
        <v>51.082799999999999</v>
      </c>
      <c r="I403">
        <v>10.8995</v>
      </c>
    </row>
    <row r="404" spans="1:9" x14ac:dyDescent="0.35">
      <c r="A404" s="77">
        <v>19176</v>
      </c>
      <c r="B404">
        <v>16.7606</v>
      </c>
      <c r="C404">
        <v>29.329599999999999</v>
      </c>
      <c r="D404">
        <v>7.4146000000000001</v>
      </c>
      <c r="E404">
        <v>23.3217</v>
      </c>
      <c r="G404">
        <v>14.271000000000001</v>
      </c>
      <c r="H404">
        <v>50.808100000000003</v>
      </c>
      <c r="I404">
        <v>11.001200000000001</v>
      </c>
    </row>
    <row r="405" spans="1:9" x14ac:dyDescent="0.35">
      <c r="A405" s="77">
        <v>19207</v>
      </c>
      <c r="B405">
        <v>17.8385</v>
      </c>
      <c r="C405">
        <v>31.311900000000001</v>
      </c>
      <c r="D405">
        <v>7.5434999999999999</v>
      </c>
      <c r="E405">
        <v>23.7851</v>
      </c>
      <c r="G405">
        <v>16.085599999999999</v>
      </c>
      <c r="H405">
        <v>54.1038</v>
      </c>
      <c r="I405">
        <v>11.229799999999999</v>
      </c>
    </row>
    <row r="406" spans="1:9" x14ac:dyDescent="0.35">
      <c r="A406" s="77">
        <v>19238</v>
      </c>
      <c r="B406">
        <v>18.485199999999999</v>
      </c>
      <c r="C406">
        <v>31.627300000000002</v>
      </c>
      <c r="D406">
        <v>7.7218999999999998</v>
      </c>
      <c r="E406">
        <v>24.402899999999999</v>
      </c>
      <c r="G406">
        <v>17.14</v>
      </c>
      <c r="H406">
        <v>58.086100000000002</v>
      </c>
      <c r="I406">
        <v>11.4077</v>
      </c>
    </row>
    <row r="407" spans="1:9" x14ac:dyDescent="0.35">
      <c r="A407" s="77">
        <v>19268</v>
      </c>
      <c r="B407">
        <v>18.6738</v>
      </c>
      <c r="C407">
        <v>32.0779</v>
      </c>
      <c r="D407">
        <v>7.8011999999999997</v>
      </c>
      <c r="E407">
        <v>24.789000000000001</v>
      </c>
      <c r="G407">
        <v>17.041899999999998</v>
      </c>
      <c r="H407">
        <v>54.241100000000003</v>
      </c>
      <c r="I407">
        <v>11.5093</v>
      </c>
    </row>
    <row r="408" spans="1:9" x14ac:dyDescent="0.35">
      <c r="A408" s="77">
        <v>19299</v>
      </c>
      <c r="B408">
        <v>19.051100000000002</v>
      </c>
      <c r="C408">
        <v>32.618499999999997</v>
      </c>
      <c r="D408">
        <v>7.9002999999999997</v>
      </c>
      <c r="E408">
        <v>25.291</v>
      </c>
      <c r="G408">
        <v>17.556799999999999</v>
      </c>
      <c r="H408">
        <v>57.880099999999999</v>
      </c>
      <c r="I408">
        <v>11.5855</v>
      </c>
    </row>
    <row r="409" spans="1:9" x14ac:dyDescent="0.35">
      <c r="A409" s="77">
        <v>19329</v>
      </c>
      <c r="B409">
        <v>19.158799999999999</v>
      </c>
      <c r="C409">
        <v>32.753599999999999</v>
      </c>
      <c r="D409">
        <v>7.9795999999999996</v>
      </c>
      <c r="E409">
        <v>25.291</v>
      </c>
      <c r="G409">
        <v>17.605899999999998</v>
      </c>
      <c r="H409">
        <v>56.575499999999998</v>
      </c>
      <c r="I409">
        <v>11.661799999999999</v>
      </c>
    </row>
    <row r="410" spans="1:9" x14ac:dyDescent="0.35">
      <c r="A410" s="77">
        <v>19360</v>
      </c>
      <c r="B410">
        <v>19.212700000000002</v>
      </c>
      <c r="C410">
        <v>33.2943</v>
      </c>
      <c r="D410">
        <v>8.0390999999999995</v>
      </c>
      <c r="E410">
        <v>25.522600000000001</v>
      </c>
      <c r="G410">
        <v>17.5078</v>
      </c>
      <c r="H410">
        <v>55.889000000000003</v>
      </c>
      <c r="I410">
        <v>11.610900000000001</v>
      </c>
    </row>
    <row r="411" spans="1:9" x14ac:dyDescent="0.35">
      <c r="A411" s="77">
        <v>19391</v>
      </c>
      <c r="B411">
        <v>19.320499999999999</v>
      </c>
      <c r="C411">
        <v>33.7898</v>
      </c>
      <c r="D411">
        <v>8.0688999999999993</v>
      </c>
      <c r="E411">
        <v>25.715699999999998</v>
      </c>
      <c r="G411">
        <v>17.924600000000002</v>
      </c>
      <c r="H411">
        <v>55.476999999999997</v>
      </c>
      <c r="I411">
        <v>11.610900000000001</v>
      </c>
    </row>
    <row r="412" spans="1:9" x14ac:dyDescent="0.35">
      <c r="A412" s="77">
        <v>19419</v>
      </c>
      <c r="B412">
        <v>19.482199999999999</v>
      </c>
      <c r="C412">
        <v>33.880000000000003</v>
      </c>
      <c r="D412">
        <v>8.1282999999999994</v>
      </c>
      <c r="E412">
        <v>25.754300000000001</v>
      </c>
      <c r="G412">
        <v>18.145299999999999</v>
      </c>
      <c r="H412">
        <v>55.820300000000003</v>
      </c>
      <c r="I412">
        <v>11.763400000000001</v>
      </c>
    </row>
    <row r="413" spans="1:9" x14ac:dyDescent="0.35">
      <c r="A413" s="77">
        <v>19450</v>
      </c>
      <c r="B413">
        <v>19.562999999999999</v>
      </c>
      <c r="C413">
        <v>34.015099999999997</v>
      </c>
      <c r="D413">
        <v>8.1382999999999992</v>
      </c>
      <c r="E413">
        <v>25.677099999999999</v>
      </c>
      <c r="G413">
        <v>18.2925</v>
      </c>
      <c r="H413">
        <v>56.163600000000002</v>
      </c>
      <c r="I413">
        <v>11.8904</v>
      </c>
    </row>
    <row r="414" spans="1:9" x14ac:dyDescent="0.35">
      <c r="A414" s="77">
        <v>19480</v>
      </c>
      <c r="B414">
        <v>19.6708</v>
      </c>
      <c r="C414">
        <v>33.2943</v>
      </c>
      <c r="D414">
        <v>8.0886999999999993</v>
      </c>
      <c r="E414">
        <v>25.792899999999999</v>
      </c>
      <c r="G414">
        <v>18.660299999999999</v>
      </c>
      <c r="H414">
        <v>56.918900000000001</v>
      </c>
      <c r="I414">
        <v>12.042899999999999</v>
      </c>
    </row>
    <row r="415" spans="1:9" x14ac:dyDescent="0.35">
      <c r="A415" s="77">
        <v>19511</v>
      </c>
      <c r="B415">
        <v>19.59</v>
      </c>
      <c r="C415">
        <v>33.069000000000003</v>
      </c>
      <c r="D415">
        <v>8.0390999999999995</v>
      </c>
      <c r="E415">
        <v>25.4068</v>
      </c>
      <c r="G415">
        <v>18.684799999999999</v>
      </c>
      <c r="H415">
        <v>57.4681</v>
      </c>
      <c r="I415">
        <v>12.1699</v>
      </c>
    </row>
    <row r="416" spans="1:9" x14ac:dyDescent="0.35">
      <c r="A416" s="77">
        <v>19541</v>
      </c>
      <c r="B416">
        <v>19.8325</v>
      </c>
      <c r="C416">
        <v>33.519500000000001</v>
      </c>
      <c r="D416">
        <v>8.1580999999999992</v>
      </c>
      <c r="E416">
        <v>25.445399999999999</v>
      </c>
      <c r="G416">
        <v>18.9055</v>
      </c>
      <c r="H416">
        <v>58.154699999999998</v>
      </c>
      <c r="I416">
        <v>12.2715</v>
      </c>
    </row>
    <row r="417" spans="1:9" x14ac:dyDescent="0.35">
      <c r="A417" s="77">
        <v>19572</v>
      </c>
      <c r="B417">
        <v>19.724699999999999</v>
      </c>
      <c r="C417">
        <v>33.384399999999999</v>
      </c>
      <c r="D417">
        <v>8.1282999999999994</v>
      </c>
      <c r="E417">
        <v>25.291</v>
      </c>
      <c r="G417">
        <v>18.414999999999999</v>
      </c>
      <c r="H417">
        <v>58.566699999999997</v>
      </c>
      <c r="I417">
        <v>12.2461</v>
      </c>
    </row>
    <row r="418" spans="1:9" x14ac:dyDescent="0.35">
      <c r="A418" s="77">
        <v>19603</v>
      </c>
      <c r="B418">
        <v>19.320499999999999</v>
      </c>
      <c r="C418">
        <v>32.753599999999999</v>
      </c>
      <c r="D418">
        <v>8.0390999999999995</v>
      </c>
      <c r="E418">
        <v>24.9435</v>
      </c>
      <c r="G418">
        <v>17.949200000000001</v>
      </c>
      <c r="H418">
        <v>58.017400000000002</v>
      </c>
      <c r="I418">
        <v>12.2461</v>
      </c>
    </row>
    <row r="419" spans="1:9" x14ac:dyDescent="0.35">
      <c r="A419" s="77">
        <v>19633</v>
      </c>
      <c r="B419">
        <v>19.158799999999999</v>
      </c>
      <c r="C419">
        <v>32.843800000000002</v>
      </c>
      <c r="D419">
        <v>8.0390999999999995</v>
      </c>
      <c r="E419">
        <v>24.9435</v>
      </c>
      <c r="G419">
        <v>17.385200000000001</v>
      </c>
      <c r="H419">
        <v>56.438200000000002</v>
      </c>
      <c r="I419">
        <v>12.296900000000001</v>
      </c>
    </row>
    <row r="420" spans="1:9" x14ac:dyDescent="0.35">
      <c r="A420" s="77">
        <v>19664</v>
      </c>
      <c r="B420">
        <v>18.700800000000001</v>
      </c>
      <c r="C420">
        <v>32.303100000000001</v>
      </c>
      <c r="D420">
        <v>7.7615999999999996</v>
      </c>
      <c r="E420">
        <v>24.557300000000001</v>
      </c>
      <c r="G420">
        <v>16.9438</v>
      </c>
      <c r="H420">
        <v>55.5456</v>
      </c>
      <c r="I420">
        <v>12.220700000000001</v>
      </c>
    </row>
    <row r="421" spans="1:9" x14ac:dyDescent="0.35">
      <c r="A421" s="77">
        <v>19694</v>
      </c>
      <c r="B421">
        <v>18.242699999999999</v>
      </c>
      <c r="C421">
        <v>31.537199999999999</v>
      </c>
      <c r="D421">
        <v>7.6326999999999998</v>
      </c>
      <c r="E421">
        <v>24.171199999999999</v>
      </c>
      <c r="G421">
        <v>16.551500000000001</v>
      </c>
      <c r="H421">
        <v>54.927700000000002</v>
      </c>
      <c r="I421">
        <v>12.220700000000001</v>
      </c>
    </row>
    <row r="422" spans="1:9" x14ac:dyDescent="0.35">
      <c r="A422" s="77">
        <v>19725</v>
      </c>
      <c r="B422">
        <v>18.107900000000001</v>
      </c>
      <c r="C422">
        <v>32.122900000000001</v>
      </c>
      <c r="D422">
        <v>7.4047000000000001</v>
      </c>
      <c r="E422">
        <v>24.286999999999999</v>
      </c>
      <c r="G422">
        <v>16.3553</v>
      </c>
      <c r="H422">
        <v>54.721699999999998</v>
      </c>
      <c r="I422">
        <v>12.5002</v>
      </c>
    </row>
    <row r="423" spans="1:9" x14ac:dyDescent="0.35">
      <c r="A423" s="77">
        <v>19756</v>
      </c>
      <c r="B423">
        <v>18.161799999999999</v>
      </c>
      <c r="C423">
        <v>32.213000000000001</v>
      </c>
      <c r="D423">
        <v>7.3155000000000001</v>
      </c>
      <c r="E423">
        <v>24.557300000000001</v>
      </c>
      <c r="G423">
        <v>16.3308</v>
      </c>
      <c r="H423">
        <v>54.790399999999998</v>
      </c>
      <c r="I423">
        <v>12.5002</v>
      </c>
    </row>
    <row r="424" spans="1:9" x14ac:dyDescent="0.35">
      <c r="A424" s="77">
        <v>19784</v>
      </c>
      <c r="B424">
        <v>18.053999999999998</v>
      </c>
      <c r="C424">
        <v>31.9877</v>
      </c>
      <c r="D424">
        <v>7.2065000000000001</v>
      </c>
      <c r="E424">
        <v>24.5959</v>
      </c>
      <c r="G424">
        <v>16.159199999999998</v>
      </c>
      <c r="H424">
        <v>54.790399999999998</v>
      </c>
      <c r="I424">
        <v>12.6272</v>
      </c>
    </row>
    <row r="425" spans="1:9" x14ac:dyDescent="0.35">
      <c r="A425" s="77">
        <v>19815</v>
      </c>
      <c r="B425">
        <v>17.946200000000001</v>
      </c>
      <c r="C425">
        <v>31.9877</v>
      </c>
      <c r="D425">
        <v>7.0776000000000003</v>
      </c>
      <c r="E425">
        <v>24.5959</v>
      </c>
      <c r="G425">
        <v>16.134599999999999</v>
      </c>
      <c r="H425">
        <v>54.790399999999998</v>
      </c>
      <c r="I425">
        <v>12.7288</v>
      </c>
    </row>
    <row r="426" spans="1:9" x14ac:dyDescent="0.35">
      <c r="A426" s="77">
        <v>19845</v>
      </c>
      <c r="B426">
        <v>18.053999999999998</v>
      </c>
      <c r="C426">
        <v>32.3932</v>
      </c>
      <c r="D426">
        <v>7.0677000000000003</v>
      </c>
      <c r="E426">
        <v>24.750399999999999</v>
      </c>
      <c r="G426">
        <v>16.3553</v>
      </c>
      <c r="H426">
        <v>55.545699999999997</v>
      </c>
      <c r="I426">
        <v>12.754300000000001</v>
      </c>
    </row>
    <row r="427" spans="1:9" x14ac:dyDescent="0.35">
      <c r="A427" s="77">
        <v>19876</v>
      </c>
      <c r="B427">
        <v>18.107900000000001</v>
      </c>
      <c r="C427">
        <v>31.627300000000002</v>
      </c>
      <c r="D427">
        <v>6.9785000000000004</v>
      </c>
      <c r="E427">
        <v>24.904800000000002</v>
      </c>
      <c r="G427">
        <v>16.551500000000001</v>
      </c>
      <c r="H427">
        <v>56.712899999999998</v>
      </c>
      <c r="I427">
        <v>12.8559</v>
      </c>
    </row>
    <row r="428" spans="1:9" x14ac:dyDescent="0.35">
      <c r="A428" s="77">
        <v>19906</v>
      </c>
      <c r="B428">
        <v>18.134899999999998</v>
      </c>
      <c r="C428">
        <v>31.5823</v>
      </c>
      <c r="D428">
        <v>6.9585999999999997</v>
      </c>
      <c r="E428">
        <v>24.982099999999999</v>
      </c>
      <c r="G428">
        <v>16.625</v>
      </c>
      <c r="H428">
        <v>56.575499999999998</v>
      </c>
      <c r="I428">
        <v>12.9575</v>
      </c>
    </row>
    <row r="429" spans="1:9" x14ac:dyDescent="0.35">
      <c r="A429" s="77">
        <v>19937</v>
      </c>
      <c r="B429">
        <v>18.107900000000001</v>
      </c>
      <c r="C429">
        <v>31.402100000000001</v>
      </c>
      <c r="D429">
        <v>6.9189999999999996</v>
      </c>
      <c r="E429">
        <v>25.020700000000001</v>
      </c>
      <c r="G429">
        <v>16.527000000000001</v>
      </c>
      <c r="H429">
        <v>55.133699999999997</v>
      </c>
      <c r="I429">
        <v>12.982900000000001</v>
      </c>
    </row>
    <row r="430" spans="1:9" x14ac:dyDescent="0.35">
      <c r="A430" s="77">
        <v>19968</v>
      </c>
      <c r="B430">
        <v>18.134899999999998</v>
      </c>
      <c r="C430">
        <v>32.978900000000003</v>
      </c>
      <c r="D430">
        <v>6.8396999999999997</v>
      </c>
      <c r="E430">
        <v>25.252300000000002</v>
      </c>
      <c r="G430">
        <v>16.404399999999999</v>
      </c>
      <c r="H430">
        <v>54.378399999999999</v>
      </c>
      <c r="I430">
        <v>13.11</v>
      </c>
    </row>
    <row r="431" spans="1:9" x14ac:dyDescent="0.35">
      <c r="A431" s="77">
        <v>19998</v>
      </c>
      <c r="B431">
        <v>18.3505</v>
      </c>
      <c r="C431">
        <v>34.060200000000002</v>
      </c>
      <c r="D431">
        <v>6.8198999999999996</v>
      </c>
      <c r="E431">
        <v>25.329599999999999</v>
      </c>
      <c r="G431">
        <v>16.747599999999998</v>
      </c>
      <c r="H431">
        <v>54.927700000000002</v>
      </c>
      <c r="I431">
        <v>13.364000000000001</v>
      </c>
    </row>
    <row r="432" spans="1:9" x14ac:dyDescent="0.35">
      <c r="A432" s="77">
        <v>20029</v>
      </c>
      <c r="B432">
        <v>18.646899999999999</v>
      </c>
      <c r="C432">
        <v>34.375500000000002</v>
      </c>
      <c r="D432">
        <v>6.9486999999999997</v>
      </c>
      <c r="E432">
        <v>25.870100000000001</v>
      </c>
      <c r="G432">
        <v>17.066400000000002</v>
      </c>
      <c r="H432">
        <v>56.026299999999999</v>
      </c>
      <c r="I432">
        <v>13.516500000000001</v>
      </c>
    </row>
    <row r="433" spans="1:9" x14ac:dyDescent="0.35">
      <c r="A433" s="77">
        <v>20059</v>
      </c>
      <c r="B433">
        <v>18.889399999999998</v>
      </c>
      <c r="C433">
        <v>34.690899999999999</v>
      </c>
      <c r="D433">
        <v>6.9686000000000003</v>
      </c>
      <c r="E433">
        <v>26.333500000000001</v>
      </c>
      <c r="G433">
        <v>17.360700000000001</v>
      </c>
      <c r="H433">
        <v>56.712899999999998</v>
      </c>
      <c r="I433">
        <v>13.6181</v>
      </c>
    </row>
    <row r="434" spans="1:9" x14ac:dyDescent="0.35">
      <c r="A434" s="77">
        <v>20090</v>
      </c>
      <c r="B434">
        <v>19.320499999999999</v>
      </c>
      <c r="C434">
        <v>35.186500000000002</v>
      </c>
      <c r="D434">
        <v>7.0180999999999996</v>
      </c>
      <c r="E434">
        <v>26.912700000000001</v>
      </c>
      <c r="G434">
        <v>17.973700000000001</v>
      </c>
      <c r="H434">
        <v>58.360700000000001</v>
      </c>
      <c r="I434">
        <v>13.567299999999999</v>
      </c>
    </row>
    <row r="435" spans="1:9" x14ac:dyDescent="0.35">
      <c r="A435" s="77">
        <v>20121</v>
      </c>
      <c r="B435">
        <v>19.562999999999999</v>
      </c>
      <c r="C435">
        <v>35.682099999999998</v>
      </c>
      <c r="D435">
        <v>7.1272000000000002</v>
      </c>
      <c r="E435">
        <v>27.028500000000001</v>
      </c>
      <c r="G435">
        <v>18.415099999999999</v>
      </c>
      <c r="H435">
        <v>59.527900000000002</v>
      </c>
      <c r="I435">
        <v>13.8721</v>
      </c>
    </row>
    <row r="436" spans="1:9" x14ac:dyDescent="0.35">
      <c r="A436" s="77">
        <v>20149</v>
      </c>
      <c r="B436">
        <v>20.021100000000001</v>
      </c>
      <c r="C436">
        <v>36.853499999999997</v>
      </c>
      <c r="D436">
        <v>7.1966000000000001</v>
      </c>
      <c r="E436">
        <v>27.5305</v>
      </c>
      <c r="G436">
        <v>18.9055</v>
      </c>
      <c r="H436">
        <v>59.321899999999999</v>
      </c>
      <c r="I436">
        <v>14.0754</v>
      </c>
    </row>
    <row r="437" spans="1:9" x14ac:dyDescent="0.35">
      <c r="A437" s="77">
        <v>20180</v>
      </c>
      <c r="B437">
        <v>20.2636</v>
      </c>
      <c r="C437">
        <v>37.123800000000003</v>
      </c>
      <c r="D437">
        <v>7.4443999999999999</v>
      </c>
      <c r="E437">
        <v>27.723500000000001</v>
      </c>
      <c r="G437">
        <v>19.273299999999999</v>
      </c>
      <c r="H437">
        <v>60.5578</v>
      </c>
      <c r="I437">
        <v>14.202400000000001</v>
      </c>
    </row>
    <row r="438" spans="1:9" x14ac:dyDescent="0.35">
      <c r="A438" s="77">
        <v>20210</v>
      </c>
      <c r="B438">
        <v>20.587</v>
      </c>
      <c r="C438">
        <v>37.259</v>
      </c>
      <c r="D438">
        <v>7.5533999999999999</v>
      </c>
      <c r="E438">
        <v>28.1096</v>
      </c>
      <c r="G438">
        <v>19.641100000000002</v>
      </c>
      <c r="H438">
        <v>60.9011</v>
      </c>
      <c r="I438">
        <v>14.278700000000001</v>
      </c>
    </row>
    <row r="439" spans="1:9" x14ac:dyDescent="0.35">
      <c r="A439" s="77">
        <v>20241</v>
      </c>
      <c r="B439">
        <v>20.613900000000001</v>
      </c>
      <c r="C439">
        <v>37.934800000000003</v>
      </c>
      <c r="D439">
        <v>7.6425999999999998</v>
      </c>
      <c r="E439">
        <v>27.878</v>
      </c>
      <c r="G439">
        <v>19.690100000000001</v>
      </c>
      <c r="H439">
        <v>61.793700000000001</v>
      </c>
      <c r="I439">
        <v>14.3041</v>
      </c>
    </row>
    <row r="440" spans="1:9" x14ac:dyDescent="0.35">
      <c r="A440" s="77">
        <v>20271</v>
      </c>
      <c r="B440">
        <v>20.775600000000001</v>
      </c>
      <c r="C440">
        <v>37.979799999999997</v>
      </c>
      <c r="D440">
        <v>7.6623999999999999</v>
      </c>
      <c r="E440">
        <v>27.955200000000001</v>
      </c>
      <c r="G440">
        <v>19.935300000000002</v>
      </c>
      <c r="H440">
        <v>61.862299999999998</v>
      </c>
      <c r="I440">
        <v>14.354900000000001</v>
      </c>
    </row>
    <row r="441" spans="1:9" x14ac:dyDescent="0.35">
      <c r="A441" s="77">
        <v>20302</v>
      </c>
      <c r="B441">
        <v>20.748699999999999</v>
      </c>
      <c r="C441">
        <v>37.979799999999997</v>
      </c>
      <c r="D441">
        <v>7.7119999999999997</v>
      </c>
      <c r="E441">
        <v>28.032399999999999</v>
      </c>
      <c r="G441">
        <v>19.910799999999998</v>
      </c>
      <c r="H441">
        <v>62.617600000000003</v>
      </c>
      <c r="I441">
        <v>14.710599999999999</v>
      </c>
    </row>
    <row r="442" spans="1:9" x14ac:dyDescent="0.35">
      <c r="A442" s="77">
        <v>20333</v>
      </c>
      <c r="B442">
        <v>20.883400000000002</v>
      </c>
      <c r="C442">
        <v>38.205100000000002</v>
      </c>
      <c r="D442">
        <v>7.7615999999999996</v>
      </c>
      <c r="E442">
        <v>28.186900000000001</v>
      </c>
      <c r="G442">
        <v>20.131499999999999</v>
      </c>
      <c r="H442">
        <v>63.166899999999998</v>
      </c>
      <c r="I442">
        <v>14.9138</v>
      </c>
    </row>
    <row r="443" spans="1:9" x14ac:dyDescent="0.35">
      <c r="A443" s="77">
        <v>20363</v>
      </c>
      <c r="B443">
        <v>21.233699999999999</v>
      </c>
      <c r="C443">
        <v>38.205100000000002</v>
      </c>
      <c r="D443">
        <v>8.1183999999999994</v>
      </c>
      <c r="E443">
        <v>28.727399999999999</v>
      </c>
      <c r="G443">
        <v>20.3522</v>
      </c>
      <c r="H443">
        <v>64.196799999999996</v>
      </c>
      <c r="I443">
        <v>15.0663</v>
      </c>
    </row>
    <row r="444" spans="1:9" x14ac:dyDescent="0.35">
      <c r="A444" s="77">
        <v>20394</v>
      </c>
      <c r="B444">
        <v>21.287600000000001</v>
      </c>
      <c r="C444">
        <v>38.6556</v>
      </c>
      <c r="D444">
        <v>8.1580999999999992</v>
      </c>
      <c r="E444">
        <v>28.8047</v>
      </c>
      <c r="G444">
        <v>20.254100000000001</v>
      </c>
      <c r="H444">
        <v>64.471400000000003</v>
      </c>
      <c r="I444">
        <v>15.193300000000001</v>
      </c>
    </row>
    <row r="445" spans="1:9" x14ac:dyDescent="0.35">
      <c r="A445" s="77">
        <v>20424</v>
      </c>
      <c r="B445">
        <v>21.368400000000001</v>
      </c>
      <c r="C445">
        <v>38.880899999999997</v>
      </c>
      <c r="D445">
        <v>8.2969000000000008</v>
      </c>
      <c r="E445">
        <v>28.959099999999999</v>
      </c>
      <c r="G445">
        <v>20.401199999999999</v>
      </c>
      <c r="H445">
        <v>64.265500000000003</v>
      </c>
      <c r="I445">
        <v>15.3712</v>
      </c>
    </row>
    <row r="446" spans="1:9" x14ac:dyDescent="0.35">
      <c r="A446" s="77">
        <v>20455</v>
      </c>
      <c r="B446">
        <v>21.5032</v>
      </c>
      <c r="C446">
        <v>39.511600000000001</v>
      </c>
      <c r="D446">
        <v>8.3562999999999992</v>
      </c>
      <c r="E446">
        <v>28.997699999999998</v>
      </c>
      <c r="G446">
        <v>20.499300000000002</v>
      </c>
      <c r="H446">
        <v>64.471400000000003</v>
      </c>
      <c r="I446">
        <v>15.422000000000001</v>
      </c>
    </row>
    <row r="447" spans="1:9" x14ac:dyDescent="0.35">
      <c r="A447" s="77">
        <v>20486</v>
      </c>
      <c r="B447">
        <v>21.314499999999999</v>
      </c>
      <c r="C447">
        <v>39.376399999999997</v>
      </c>
      <c r="D447">
        <v>8.4753000000000007</v>
      </c>
      <c r="E447">
        <v>28.920500000000001</v>
      </c>
      <c r="G447">
        <v>20.106999999999999</v>
      </c>
      <c r="H447">
        <v>64.059399999999997</v>
      </c>
      <c r="I447">
        <v>15.5998</v>
      </c>
    </row>
    <row r="448" spans="1:9" x14ac:dyDescent="0.35">
      <c r="A448" s="77">
        <v>20515</v>
      </c>
      <c r="B448">
        <v>21.314499999999999</v>
      </c>
      <c r="C448">
        <v>39.286299999999997</v>
      </c>
      <c r="D448">
        <v>8.5744000000000007</v>
      </c>
      <c r="E448">
        <v>28.881900000000002</v>
      </c>
      <c r="G448">
        <v>20.0334</v>
      </c>
      <c r="H448">
        <v>64.951999999999998</v>
      </c>
      <c r="I448">
        <v>15.701499999999999</v>
      </c>
    </row>
    <row r="449" spans="1:9" x14ac:dyDescent="0.35">
      <c r="A449" s="77">
        <v>20546</v>
      </c>
      <c r="B449">
        <v>21.476199999999999</v>
      </c>
      <c r="C449">
        <v>39.106099999999998</v>
      </c>
      <c r="D449">
        <v>8.8222000000000005</v>
      </c>
      <c r="E449">
        <v>28.997699999999998</v>
      </c>
      <c r="G449">
        <v>20.180599999999998</v>
      </c>
      <c r="H449">
        <v>66.325199999999995</v>
      </c>
      <c r="I449">
        <v>15.8285</v>
      </c>
    </row>
    <row r="450" spans="1:9" x14ac:dyDescent="0.35">
      <c r="A450" s="77">
        <v>20576</v>
      </c>
      <c r="B450">
        <v>21.287600000000001</v>
      </c>
      <c r="C450">
        <v>38.5655</v>
      </c>
      <c r="D450">
        <v>8.7925000000000004</v>
      </c>
      <c r="E450">
        <v>28.843299999999999</v>
      </c>
      <c r="G450">
        <v>19.8127</v>
      </c>
      <c r="H450">
        <v>65.432599999999994</v>
      </c>
      <c r="I450">
        <v>16.031700000000001</v>
      </c>
    </row>
    <row r="451" spans="1:9" x14ac:dyDescent="0.35">
      <c r="A451" s="77">
        <v>20607</v>
      </c>
      <c r="B451">
        <v>21.099</v>
      </c>
      <c r="C451">
        <v>38.115000000000002</v>
      </c>
      <c r="D451">
        <v>8.8222000000000005</v>
      </c>
      <c r="E451">
        <v>28.766100000000002</v>
      </c>
      <c r="G451">
        <v>19.542999999999999</v>
      </c>
      <c r="H451">
        <v>65.432599999999994</v>
      </c>
      <c r="I451">
        <v>16.0063</v>
      </c>
    </row>
    <row r="452" spans="1:9" x14ac:dyDescent="0.35">
      <c r="A452" s="77">
        <v>20637</v>
      </c>
      <c r="B452">
        <v>20.452200000000001</v>
      </c>
      <c r="C452">
        <v>36.132599999999996</v>
      </c>
      <c r="D452">
        <v>8.8222000000000005</v>
      </c>
      <c r="E452">
        <v>28.843299999999999</v>
      </c>
      <c r="G452">
        <v>17.973700000000001</v>
      </c>
      <c r="H452">
        <v>61.862299999999998</v>
      </c>
      <c r="I452">
        <v>15.9047</v>
      </c>
    </row>
    <row r="453" spans="1:9" x14ac:dyDescent="0.35">
      <c r="A453" s="77">
        <v>20668</v>
      </c>
      <c r="B453">
        <v>21.287600000000001</v>
      </c>
      <c r="C453">
        <v>37.979799999999997</v>
      </c>
      <c r="D453">
        <v>8.9313000000000002</v>
      </c>
      <c r="E453">
        <v>28.997699999999998</v>
      </c>
      <c r="G453">
        <v>19.616599999999998</v>
      </c>
      <c r="H453">
        <v>65.089399999999998</v>
      </c>
      <c r="I453">
        <v>15.879300000000001</v>
      </c>
    </row>
    <row r="454" spans="1:9" x14ac:dyDescent="0.35">
      <c r="A454" s="77">
        <v>20699</v>
      </c>
      <c r="B454">
        <v>21.772600000000001</v>
      </c>
      <c r="C454">
        <v>38.970999999999997</v>
      </c>
      <c r="D454">
        <v>8.9709000000000003</v>
      </c>
      <c r="E454">
        <v>28.959099999999999</v>
      </c>
      <c r="G454">
        <v>20.670999999999999</v>
      </c>
      <c r="H454">
        <v>65.8446</v>
      </c>
      <c r="I454">
        <v>15.9047</v>
      </c>
    </row>
    <row r="455" spans="1:9" x14ac:dyDescent="0.35">
      <c r="A455" s="77">
        <v>20729</v>
      </c>
      <c r="B455">
        <v>21.961300000000001</v>
      </c>
      <c r="C455">
        <v>38.700699999999998</v>
      </c>
      <c r="D455">
        <v>9.0403000000000002</v>
      </c>
      <c r="E455">
        <v>29.190799999999999</v>
      </c>
      <c r="G455">
        <v>20.989699999999999</v>
      </c>
      <c r="H455">
        <v>65.981899999999996</v>
      </c>
      <c r="I455">
        <v>16.0825</v>
      </c>
    </row>
    <row r="456" spans="1:9" x14ac:dyDescent="0.35">
      <c r="A456" s="77">
        <v>20760</v>
      </c>
      <c r="B456">
        <v>21.772600000000001</v>
      </c>
      <c r="C456">
        <v>38.385300000000001</v>
      </c>
      <c r="D456">
        <v>9.1890000000000001</v>
      </c>
      <c r="E456">
        <v>29.0364</v>
      </c>
      <c r="G456">
        <v>20.523800000000001</v>
      </c>
      <c r="H456">
        <v>66.119299999999996</v>
      </c>
      <c r="I456">
        <v>16.184200000000001</v>
      </c>
    </row>
    <row r="457" spans="1:9" x14ac:dyDescent="0.35">
      <c r="A457" s="77">
        <v>20790</v>
      </c>
      <c r="B457">
        <v>22.096</v>
      </c>
      <c r="C457">
        <v>39.106099999999998</v>
      </c>
      <c r="D457">
        <v>9.298</v>
      </c>
      <c r="E457">
        <v>29.268000000000001</v>
      </c>
      <c r="G457">
        <v>20.8916</v>
      </c>
      <c r="H457">
        <v>65.089299999999994</v>
      </c>
      <c r="I457">
        <v>16.260400000000001</v>
      </c>
    </row>
    <row r="458" spans="1:9" x14ac:dyDescent="0.35">
      <c r="A458" s="77">
        <v>20821</v>
      </c>
      <c r="B458">
        <v>22.0151</v>
      </c>
      <c r="C458">
        <v>38.520400000000002</v>
      </c>
      <c r="D458">
        <v>9.4268999999999998</v>
      </c>
      <c r="E458">
        <v>29.461099999999998</v>
      </c>
      <c r="G458">
        <v>20.499300000000002</v>
      </c>
      <c r="H458">
        <v>65.364000000000004</v>
      </c>
      <c r="I458">
        <v>16.438199999999998</v>
      </c>
    </row>
    <row r="459" spans="1:9" x14ac:dyDescent="0.35">
      <c r="A459" s="77">
        <v>20852</v>
      </c>
      <c r="B459">
        <v>22.230699999999999</v>
      </c>
      <c r="C459">
        <v>39.691800000000001</v>
      </c>
      <c r="D459">
        <v>9.6350999999999996</v>
      </c>
      <c r="E459">
        <v>29.808599999999998</v>
      </c>
      <c r="G459">
        <v>20.6219</v>
      </c>
      <c r="H459">
        <v>66.462500000000006</v>
      </c>
      <c r="I459">
        <v>16.616099999999999</v>
      </c>
    </row>
    <row r="460" spans="1:9" x14ac:dyDescent="0.35">
      <c r="A460" s="77">
        <v>20880</v>
      </c>
      <c r="B460">
        <v>22.203800000000001</v>
      </c>
      <c r="C460">
        <v>39.061100000000003</v>
      </c>
      <c r="D460">
        <v>9.5854999999999997</v>
      </c>
      <c r="E460">
        <v>29.8858</v>
      </c>
      <c r="G460">
        <v>20.548400000000001</v>
      </c>
      <c r="H460">
        <v>67.080399999999997</v>
      </c>
      <c r="I460">
        <v>16.641500000000001</v>
      </c>
    </row>
    <row r="461" spans="1:9" x14ac:dyDescent="0.35">
      <c r="A461" s="77">
        <v>20911</v>
      </c>
      <c r="B461">
        <v>21.907399999999999</v>
      </c>
      <c r="C461">
        <v>38.205100000000002</v>
      </c>
      <c r="D461">
        <v>9.3971999999999998</v>
      </c>
      <c r="E461">
        <v>29.576899999999998</v>
      </c>
      <c r="G461">
        <v>20.278600000000001</v>
      </c>
      <c r="H461">
        <v>66.599900000000005</v>
      </c>
      <c r="I461">
        <v>16.7685</v>
      </c>
    </row>
    <row r="462" spans="1:9" x14ac:dyDescent="0.35">
      <c r="A462" s="77">
        <v>20941</v>
      </c>
      <c r="B462">
        <v>21.826499999999999</v>
      </c>
      <c r="C462">
        <v>38.024900000000002</v>
      </c>
      <c r="D462">
        <v>9.2286000000000001</v>
      </c>
      <c r="E462">
        <v>29.6541</v>
      </c>
      <c r="G462">
        <v>20.180499999999999</v>
      </c>
      <c r="H462">
        <v>66.187899999999999</v>
      </c>
      <c r="I462">
        <v>16.895600000000002</v>
      </c>
    </row>
    <row r="463" spans="1:9" x14ac:dyDescent="0.35">
      <c r="A463" s="77">
        <v>20972</v>
      </c>
      <c r="B463">
        <v>21.880400000000002</v>
      </c>
      <c r="C463">
        <v>38.295200000000001</v>
      </c>
      <c r="D463">
        <v>9.2683</v>
      </c>
      <c r="E463">
        <v>29.77</v>
      </c>
      <c r="G463">
        <v>20.278600000000001</v>
      </c>
      <c r="H463">
        <v>65.569999999999993</v>
      </c>
      <c r="I463">
        <v>16.895600000000002</v>
      </c>
    </row>
    <row r="464" spans="1:9" x14ac:dyDescent="0.35">
      <c r="A464" s="77">
        <v>21002</v>
      </c>
      <c r="B464">
        <v>22.0151</v>
      </c>
      <c r="C464">
        <v>38.385300000000001</v>
      </c>
      <c r="D464">
        <v>9.3079000000000001</v>
      </c>
      <c r="E464">
        <v>29.8858</v>
      </c>
      <c r="G464">
        <v>20.401199999999999</v>
      </c>
      <c r="H464">
        <v>65.8446</v>
      </c>
      <c r="I464">
        <v>17.175000000000001</v>
      </c>
    </row>
    <row r="465" spans="1:9" x14ac:dyDescent="0.35">
      <c r="A465" s="77">
        <v>21033</v>
      </c>
      <c r="B465">
        <v>22.0152</v>
      </c>
      <c r="C465">
        <v>38.069899999999997</v>
      </c>
      <c r="D465">
        <v>9.2881</v>
      </c>
      <c r="E465">
        <v>30.040299999999998</v>
      </c>
      <c r="G465">
        <v>20.450299999999999</v>
      </c>
      <c r="H465">
        <v>65.775899999999993</v>
      </c>
      <c r="I465">
        <v>17.276700000000002</v>
      </c>
    </row>
    <row r="466" spans="1:9" x14ac:dyDescent="0.35">
      <c r="A466" s="77">
        <v>21064</v>
      </c>
      <c r="B466">
        <v>21.826499999999999</v>
      </c>
      <c r="C466">
        <v>37.8446</v>
      </c>
      <c r="D466">
        <v>9.1692</v>
      </c>
      <c r="E466">
        <v>30.040299999999998</v>
      </c>
      <c r="G466">
        <v>20.180499999999999</v>
      </c>
      <c r="H466">
        <v>64.952100000000002</v>
      </c>
      <c r="I466">
        <v>17.124199999999998</v>
      </c>
    </row>
    <row r="467" spans="1:9" x14ac:dyDescent="0.35">
      <c r="A467" s="77">
        <v>21094</v>
      </c>
      <c r="B467">
        <v>21.5032</v>
      </c>
      <c r="C467">
        <v>37.394100000000002</v>
      </c>
      <c r="D467">
        <v>8.9213000000000005</v>
      </c>
      <c r="E467">
        <v>29.576899999999998</v>
      </c>
      <c r="G467">
        <v>19.861799999999999</v>
      </c>
      <c r="H467">
        <v>64.059399999999997</v>
      </c>
      <c r="I467">
        <v>17.200500000000002</v>
      </c>
    </row>
    <row r="468" spans="1:9" x14ac:dyDescent="0.35">
      <c r="A468" s="77">
        <v>21125</v>
      </c>
      <c r="B468">
        <v>20.991199999999999</v>
      </c>
      <c r="C468">
        <v>36.943600000000004</v>
      </c>
      <c r="D468">
        <v>8.6934000000000005</v>
      </c>
      <c r="E468">
        <v>29.499700000000001</v>
      </c>
      <c r="G468">
        <v>19.150700000000001</v>
      </c>
      <c r="H468">
        <v>62.137</v>
      </c>
      <c r="I468">
        <v>17.403700000000001</v>
      </c>
    </row>
    <row r="469" spans="1:9" x14ac:dyDescent="0.35">
      <c r="A469" s="77">
        <v>21155</v>
      </c>
      <c r="B469">
        <v>20.587</v>
      </c>
      <c r="C469">
        <v>36.357900000000001</v>
      </c>
      <c r="D469">
        <v>8.4257000000000009</v>
      </c>
      <c r="E469">
        <v>29.3066</v>
      </c>
      <c r="G469">
        <v>18.513100000000001</v>
      </c>
      <c r="H469">
        <v>61.519100000000002</v>
      </c>
      <c r="I469">
        <v>17.352900000000002</v>
      </c>
    </row>
    <row r="470" spans="1:9" x14ac:dyDescent="0.35">
      <c r="A470" s="77">
        <v>21186</v>
      </c>
      <c r="B470">
        <v>20.209700000000002</v>
      </c>
      <c r="C470">
        <v>35.907299999999999</v>
      </c>
      <c r="D470">
        <v>8.2571999999999992</v>
      </c>
      <c r="E470">
        <v>28.920500000000001</v>
      </c>
      <c r="G470">
        <v>17.973700000000001</v>
      </c>
      <c r="H470">
        <v>60.420499999999997</v>
      </c>
      <c r="I470">
        <v>17.378299999999999</v>
      </c>
    </row>
    <row r="471" spans="1:9" x14ac:dyDescent="0.35">
      <c r="A471" s="77">
        <v>21217</v>
      </c>
      <c r="B471">
        <v>19.778600000000001</v>
      </c>
      <c r="C471">
        <v>34.735999999999997</v>
      </c>
      <c r="D471">
        <v>7.9598000000000004</v>
      </c>
      <c r="E471">
        <v>28.727499999999999</v>
      </c>
      <c r="G471">
        <v>17.385200000000001</v>
      </c>
      <c r="H471">
        <v>59.596600000000002</v>
      </c>
      <c r="I471">
        <v>17.454499999999999</v>
      </c>
    </row>
    <row r="472" spans="1:9" x14ac:dyDescent="0.35">
      <c r="A472" s="77">
        <v>21245</v>
      </c>
      <c r="B472">
        <v>19.536100000000001</v>
      </c>
      <c r="C472">
        <v>34.555799999999998</v>
      </c>
      <c r="D472">
        <v>7.7912999999999997</v>
      </c>
      <c r="E472">
        <v>28.495799999999999</v>
      </c>
      <c r="G472">
        <v>16.9438</v>
      </c>
      <c r="H472">
        <v>56.644199999999998</v>
      </c>
      <c r="I472">
        <v>17.479900000000001</v>
      </c>
    </row>
    <row r="473" spans="1:9" x14ac:dyDescent="0.35">
      <c r="A473" s="77">
        <v>21276</v>
      </c>
      <c r="B473">
        <v>19.212700000000002</v>
      </c>
      <c r="C473">
        <v>34.105200000000004</v>
      </c>
      <c r="D473">
        <v>7.6326999999999998</v>
      </c>
      <c r="E473">
        <v>28.186900000000001</v>
      </c>
      <c r="G473">
        <v>16.527000000000001</v>
      </c>
      <c r="H473">
        <v>55.5456</v>
      </c>
      <c r="I473">
        <v>17.352900000000002</v>
      </c>
    </row>
    <row r="474" spans="1:9" x14ac:dyDescent="0.35">
      <c r="A474" s="77">
        <v>21306</v>
      </c>
      <c r="B474">
        <v>19.401299999999999</v>
      </c>
      <c r="C474">
        <v>35.276600000000002</v>
      </c>
      <c r="D474">
        <v>7.4443999999999999</v>
      </c>
      <c r="E474">
        <v>28.611599999999999</v>
      </c>
      <c r="G474">
        <v>16.723099999999999</v>
      </c>
      <c r="H474">
        <v>55.476999999999997</v>
      </c>
      <c r="I474">
        <v>17.429099999999998</v>
      </c>
    </row>
    <row r="475" spans="1:9" x14ac:dyDescent="0.35">
      <c r="A475" s="77">
        <v>21337</v>
      </c>
      <c r="B475">
        <v>19.9133</v>
      </c>
      <c r="C475">
        <v>36.673299999999998</v>
      </c>
      <c r="D475">
        <v>7.4443999999999999</v>
      </c>
      <c r="E475">
        <v>29.190799999999999</v>
      </c>
      <c r="G475">
        <v>17.434200000000001</v>
      </c>
      <c r="H475">
        <v>57.605400000000003</v>
      </c>
      <c r="I475">
        <v>17.606999999999999</v>
      </c>
    </row>
    <row r="476" spans="1:9" x14ac:dyDescent="0.35">
      <c r="A476" s="77">
        <v>21367</v>
      </c>
      <c r="B476">
        <v>20.209700000000002</v>
      </c>
      <c r="C476">
        <v>36.448</v>
      </c>
      <c r="D476">
        <v>7.4939</v>
      </c>
      <c r="E476">
        <v>29.615500000000001</v>
      </c>
      <c r="G476">
        <v>17.875599999999999</v>
      </c>
      <c r="H476">
        <v>59.459200000000003</v>
      </c>
      <c r="I476">
        <v>17.683199999999999</v>
      </c>
    </row>
    <row r="477" spans="1:9" x14ac:dyDescent="0.35">
      <c r="A477" s="77">
        <v>21398</v>
      </c>
      <c r="B477">
        <v>20.613900000000001</v>
      </c>
      <c r="C477">
        <v>38.069899999999997</v>
      </c>
      <c r="D477">
        <v>7.6227999999999998</v>
      </c>
      <c r="E477">
        <v>29.731400000000001</v>
      </c>
      <c r="G477">
        <v>18.439599999999999</v>
      </c>
      <c r="H477">
        <v>61.587699999999998</v>
      </c>
      <c r="I477">
        <v>17.886399999999998</v>
      </c>
    </row>
    <row r="478" spans="1:9" x14ac:dyDescent="0.35">
      <c r="A478" s="77">
        <v>21429</v>
      </c>
      <c r="B478">
        <v>20.802600000000002</v>
      </c>
      <c r="C478">
        <v>38.159999999999997</v>
      </c>
      <c r="D478">
        <v>7.6921999999999997</v>
      </c>
      <c r="E478">
        <v>29.383900000000001</v>
      </c>
      <c r="G478">
        <v>18.881</v>
      </c>
      <c r="H478">
        <v>62.617600000000003</v>
      </c>
      <c r="I478">
        <v>18.064299999999999</v>
      </c>
    </row>
    <row r="479" spans="1:9" x14ac:dyDescent="0.35">
      <c r="A479" s="77">
        <v>21459</v>
      </c>
      <c r="B479">
        <v>21.045100000000001</v>
      </c>
      <c r="C479">
        <v>38.114899999999999</v>
      </c>
      <c r="D479">
        <v>7.7912999999999997</v>
      </c>
      <c r="E479">
        <v>29.6541</v>
      </c>
      <c r="G479">
        <v>19.1997</v>
      </c>
      <c r="H479">
        <v>62.548900000000003</v>
      </c>
      <c r="I479">
        <v>18.165900000000001</v>
      </c>
    </row>
    <row r="480" spans="1:9" x14ac:dyDescent="0.35">
      <c r="A480" s="77">
        <v>21490</v>
      </c>
      <c r="B480">
        <v>21.664899999999999</v>
      </c>
      <c r="C480">
        <v>39.601700000000001</v>
      </c>
      <c r="D480">
        <v>7.9301000000000004</v>
      </c>
      <c r="E480">
        <v>31.082799999999999</v>
      </c>
      <c r="G480">
        <v>19.7392</v>
      </c>
      <c r="H480">
        <v>62.4116</v>
      </c>
      <c r="I480">
        <v>18.267499999999998</v>
      </c>
    </row>
    <row r="481" spans="1:9" x14ac:dyDescent="0.35">
      <c r="A481" s="77">
        <v>21520</v>
      </c>
      <c r="B481">
        <v>21.691800000000001</v>
      </c>
      <c r="C481">
        <v>39.106099999999998</v>
      </c>
      <c r="D481">
        <v>7.9896000000000003</v>
      </c>
      <c r="E481">
        <v>31.237200000000001</v>
      </c>
      <c r="G481">
        <v>19.7882</v>
      </c>
      <c r="H481">
        <v>62.754899999999999</v>
      </c>
      <c r="I481">
        <v>18.521599999999999</v>
      </c>
    </row>
    <row r="482" spans="1:9" x14ac:dyDescent="0.35">
      <c r="A482" s="77">
        <v>21551</v>
      </c>
      <c r="B482">
        <v>22.0151</v>
      </c>
      <c r="C482">
        <v>39.872</v>
      </c>
      <c r="D482">
        <v>8.1481999999999992</v>
      </c>
      <c r="E482">
        <v>31.584700000000002</v>
      </c>
      <c r="G482">
        <v>20.131499999999999</v>
      </c>
      <c r="H482">
        <v>62.617600000000003</v>
      </c>
      <c r="I482">
        <v>18.801100000000002</v>
      </c>
    </row>
    <row r="483" spans="1:9" x14ac:dyDescent="0.35">
      <c r="A483" s="77">
        <v>21582</v>
      </c>
      <c r="B483">
        <v>22.446300000000001</v>
      </c>
      <c r="C483">
        <v>40.953299999999999</v>
      </c>
      <c r="D483">
        <v>8.2571999999999992</v>
      </c>
      <c r="E483">
        <v>31.816400000000002</v>
      </c>
      <c r="G483">
        <v>20.768999999999998</v>
      </c>
      <c r="H483">
        <v>63.029499999999999</v>
      </c>
      <c r="I483">
        <v>18.928100000000001</v>
      </c>
    </row>
    <row r="484" spans="1:9" x14ac:dyDescent="0.35">
      <c r="A484" s="77">
        <v>21610</v>
      </c>
      <c r="B484">
        <v>22.769600000000001</v>
      </c>
      <c r="C484">
        <v>41.9895</v>
      </c>
      <c r="D484">
        <v>8.3463999999999992</v>
      </c>
      <c r="E484">
        <v>31.816400000000002</v>
      </c>
      <c r="G484">
        <v>21.308499999999999</v>
      </c>
      <c r="H484">
        <v>63.166800000000002</v>
      </c>
      <c r="I484">
        <v>19.0806</v>
      </c>
    </row>
    <row r="485" spans="1:9" x14ac:dyDescent="0.35">
      <c r="A485" s="77">
        <v>21641</v>
      </c>
      <c r="B485">
        <v>23.2547</v>
      </c>
      <c r="C485">
        <v>43.206000000000003</v>
      </c>
      <c r="D485">
        <v>8.5645000000000007</v>
      </c>
      <c r="E485">
        <v>32.318399999999997</v>
      </c>
      <c r="G485">
        <v>21.896999999999998</v>
      </c>
      <c r="H485">
        <v>65.020700000000005</v>
      </c>
      <c r="I485">
        <v>19.207599999999999</v>
      </c>
    </row>
    <row r="486" spans="1:9" x14ac:dyDescent="0.35">
      <c r="A486" s="77">
        <v>21671</v>
      </c>
      <c r="B486">
        <v>23.605</v>
      </c>
      <c r="C486">
        <v>43.566400000000002</v>
      </c>
      <c r="D486">
        <v>8.8420000000000005</v>
      </c>
      <c r="E486">
        <v>32.472799999999999</v>
      </c>
      <c r="G486">
        <v>22.460999999999999</v>
      </c>
      <c r="H486">
        <v>66.462500000000006</v>
      </c>
      <c r="I486">
        <v>19.487100000000002</v>
      </c>
    </row>
    <row r="487" spans="1:9" x14ac:dyDescent="0.35">
      <c r="A487" s="77">
        <v>21702</v>
      </c>
      <c r="B487">
        <v>23.631900000000002</v>
      </c>
      <c r="C487">
        <v>43.386200000000002</v>
      </c>
      <c r="D487">
        <v>9.0502000000000002</v>
      </c>
      <c r="E487">
        <v>32.318399999999997</v>
      </c>
      <c r="G487">
        <v>22.313800000000001</v>
      </c>
      <c r="H487">
        <v>65.158000000000001</v>
      </c>
      <c r="I487">
        <v>19.690300000000001</v>
      </c>
    </row>
    <row r="488" spans="1:9" x14ac:dyDescent="0.35">
      <c r="A488" s="77">
        <v>21732</v>
      </c>
      <c r="B488">
        <v>23.065999999999999</v>
      </c>
      <c r="C488">
        <v>41.674100000000003</v>
      </c>
      <c r="D488">
        <v>9.07</v>
      </c>
      <c r="E488">
        <v>32.743099999999998</v>
      </c>
      <c r="G488">
        <v>20.989699999999999</v>
      </c>
      <c r="H488">
        <v>62.137</v>
      </c>
      <c r="I488">
        <v>19.792000000000002</v>
      </c>
    </row>
    <row r="489" spans="1:9" x14ac:dyDescent="0.35">
      <c r="A489" s="77">
        <v>21763</v>
      </c>
      <c r="B489">
        <v>22.284600000000001</v>
      </c>
      <c r="C489">
        <v>39.061100000000003</v>
      </c>
      <c r="D489">
        <v>8.9907000000000004</v>
      </c>
      <c r="E489">
        <v>32.781700000000001</v>
      </c>
      <c r="G489">
        <v>19.395900000000001</v>
      </c>
      <c r="H489">
        <v>58.841299999999997</v>
      </c>
      <c r="I489">
        <v>19.588699999999999</v>
      </c>
    </row>
    <row r="490" spans="1:9" x14ac:dyDescent="0.35">
      <c r="A490" s="77">
        <v>21794</v>
      </c>
      <c r="B490">
        <v>22.2577</v>
      </c>
      <c r="C490">
        <v>38.610599999999998</v>
      </c>
      <c r="D490">
        <v>8.9213000000000005</v>
      </c>
      <c r="E490">
        <v>32.665900000000001</v>
      </c>
      <c r="G490">
        <v>19.371400000000001</v>
      </c>
      <c r="H490">
        <v>58.497999999999998</v>
      </c>
      <c r="I490">
        <v>19.893599999999999</v>
      </c>
    </row>
    <row r="491" spans="1:9" x14ac:dyDescent="0.35">
      <c r="A491" s="77">
        <v>21824</v>
      </c>
      <c r="B491">
        <v>22.096</v>
      </c>
      <c r="C491">
        <v>38.745699999999999</v>
      </c>
      <c r="D491">
        <v>8.8520000000000003</v>
      </c>
      <c r="E491">
        <v>32.511499999999998</v>
      </c>
      <c r="G491">
        <v>19.1752</v>
      </c>
      <c r="H491">
        <v>58.841299999999997</v>
      </c>
      <c r="I491">
        <v>19.8428</v>
      </c>
    </row>
    <row r="492" spans="1:9" x14ac:dyDescent="0.35">
      <c r="A492" s="77">
        <v>21855</v>
      </c>
      <c r="B492">
        <v>22.230699999999999</v>
      </c>
      <c r="C492">
        <v>40.052199999999999</v>
      </c>
      <c r="D492">
        <v>8.7132000000000005</v>
      </c>
      <c r="E492">
        <v>31.816400000000002</v>
      </c>
      <c r="G492">
        <v>19.935300000000002</v>
      </c>
      <c r="H492">
        <v>62.754899999999999</v>
      </c>
      <c r="I492">
        <v>20.020600000000002</v>
      </c>
    </row>
    <row r="493" spans="1:9" x14ac:dyDescent="0.35">
      <c r="A493" s="77">
        <v>21885</v>
      </c>
      <c r="B493">
        <v>23.605</v>
      </c>
      <c r="C493">
        <v>43.206000000000003</v>
      </c>
      <c r="D493">
        <v>8.8421000000000003</v>
      </c>
      <c r="E493">
        <v>32.858899999999998</v>
      </c>
      <c r="G493">
        <v>22.0686</v>
      </c>
      <c r="H493">
        <v>64.0595</v>
      </c>
      <c r="I493">
        <v>20.401700000000002</v>
      </c>
    </row>
    <row r="494" spans="1:9" x14ac:dyDescent="0.35">
      <c r="A494" s="77">
        <v>21916</v>
      </c>
      <c r="B494">
        <v>24.224699999999999</v>
      </c>
      <c r="C494">
        <v>42.890599999999999</v>
      </c>
      <c r="D494">
        <v>9.1692</v>
      </c>
      <c r="E494">
        <v>33.901499999999999</v>
      </c>
      <c r="G494">
        <v>22.706199999999999</v>
      </c>
      <c r="H494">
        <v>62.823599999999999</v>
      </c>
      <c r="I494">
        <v>20.452500000000001</v>
      </c>
    </row>
    <row r="495" spans="1:9" x14ac:dyDescent="0.35">
      <c r="A495" s="77">
        <v>21947</v>
      </c>
      <c r="B495">
        <v>24.0092</v>
      </c>
      <c r="C495">
        <v>42.44</v>
      </c>
      <c r="D495">
        <v>9.2286000000000001</v>
      </c>
      <c r="E495">
        <v>33.5154</v>
      </c>
      <c r="G495">
        <v>22.411899999999999</v>
      </c>
      <c r="H495">
        <v>63.372799999999998</v>
      </c>
      <c r="I495">
        <v>20.630400000000002</v>
      </c>
    </row>
    <row r="496" spans="1:9" x14ac:dyDescent="0.35">
      <c r="A496" s="77">
        <v>21976</v>
      </c>
      <c r="B496">
        <v>23.793600000000001</v>
      </c>
      <c r="C496">
        <v>41.133499999999998</v>
      </c>
      <c r="D496">
        <v>9.2484999999999999</v>
      </c>
      <c r="E496">
        <v>33.554000000000002</v>
      </c>
      <c r="G496">
        <v>22.0441</v>
      </c>
      <c r="H496">
        <v>63.647500000000001</v>
      </c>
      <c r="I496">
        <v>20.9861</v>
      </c>
    </row>
    <row r="497" spans="1:9" x14ac:dyDescent="0.35">
      <c r="A497" s="77">
        <v>22007</v>
      </c>
      <c r="B497">
        <v>23.605</v>
      </c>
      <c r="C497">
        <v>41.133499999999998</v>
      </c>
      <c r="D497">
        <v>9.1493000000000002</v>
      </c>
      <c r="E497">
        <v>33.785600000000002</v>
      </c>
      <c r="G497">
        <v>21.529199999999999</v>
      </c>
      <c r="H497">
        <v>65.364000000000004</v>
      </c>
      <c r="I497">
        <v>20.935300000000002</v>
      </c>
    </row>
    <row r="498" spans="1:9" x14ac:dyDescent="0.35">
      <c r="A498" s="77">
        <v>22037</v>
      </c>
      <c r="B498">
        <v>23.577999999999999</v>
      </c>
      <c r="C498">
        <v>40.728099999999998</v>
      </c>
      <c r="D498">
        <v>9.1791</v>
      </c>
      <c r="E498">
        <v>33.978700000000003</v>
      </c>
      <c r="G498">
        <v>21.332999999999998</v>
      </c>
      <c r="H498">
        <v>64.540099999999995</v>
      </c>
      <c r="I498">
        <v>20.731999999999999</v>
      </c>
    </row>
    <row r="499" spans="1:9" x14ac:dyDescent="0.35">
      <c r="A499" s="77">
        <v>22068</v>
      </c>
      <c r="B499">
        <v>23.281600000000001</v>
      </c>
      <c r="C499">
        <v>39.962200000000003</v>
      </c>
      <c r="D499">
        <v>9.0601000000000003</v>
      </c>
      <c r="E499">
        <v>33.747</v>
      </c>
      <c r="G499">
        <v>20.989699999999999</v>
      </c>
      <c r="H499">
        <v>63.9221</v>
      </c>
      <c r="I499">
        <v>20.833600000000001</v>
      </c>
    </row>
    <row r="500" spans="1:9" x14ac:dyDescent="0.35">
      <c r="A500" s="77">
        <v>22098</v>
      </c>
      <c r="B500">
        <v>23.200800000000001</v>
      </c>
      <c r="C500">
        <v>40.367600000000003</v>
      </c>
      <c r="D500">
        <v>8.9511000000000003</v>
      </c>
      <c r="E500">
        <v>33.438099999999999</v>
      </c>
      <c r="G500">
        <v>21.014199999999999</v>
      </c>
      <c r="H500">
        <v>63.441499999999998</v>
      </c>
      <c r="I500">
        <v>20.884399999999999</v>
      </c>
    </row>
    <row r="501" spans="1:9" x14ac:dyDescent="0.35">
      <c r="A501" s="77">
        <v>22129</v>
      </c>
      <c r="B501">
        <v>23.1738</v>
      </c>
      <c r="C501">
        <v>39.3765</v>
      </c>
      <c r="D501">
        <v>8.8321000000000005</v>
      </c>
      <c r="E501">
        <v>33.5154</v>
      </c>
      <c r="G501">
        <v>20.9162</v>
      </c>
      <c r="H501">
        <v>63.9908</v>
      </c>
      <c r="I501">
        <v>21.036899999999999</v>
      </c>
    </row>
    <row r="502" spans="1:9" x14ac:dyDescent="0.35">
      <c r="A502" s="77">
        <v>22160</v>
      </c>
      <c r="B502">
        <v>22.9313</v>
      </c>
      <c r="C502">
        <v>39.015999999999998</v>
      </c>
      <c r="D502">
        <v>8.7528000000000006</v>
      </c>
      <c r="E502">
        <v>33.360900000000001</v>
      </c>
      <c r="G502">
        <v>20.572900000000001</v>
      </c>
      <c r="H502">
        <v>63.441499999999998</v>
      </c>
      <c r="I502">
        <v>21.138500000000001</v>
      </c>
    </row>
    <row r="503" spans="1:9" x14ac:dyDescent="0.35">
      <c r="A503" s="77">
        <v>22190</v>
      </c>
      <c r="B503">
        <v>22.904399999999999</v>
      </c>
      <c r="C503">
        <v>39.106099999999998</v>
      </c>
      <c r="D503">
        <v>8.6834000000000007</v>
      </c>
      <c r="E503">
        <v>33.708399999999997</v>
      </c>
      <c r="G503">
        <v>20.499300000000002</v>
      </c>
      <c r="H503">
        <v>63.166899999999998</v>
      </c>
      <c r="I503">
        <v>21.113099999999999</v>
      </c>
    </row>
    <row r="504" spans="1:9" x14ac:dyDescent="0.35">
      <c r="A504" s="77">
        <v>22221</v>
      </c>
      <c r="B504">
        <v>22.581</v>
      </c>
      <c r="C504">
        <v>38.6556</v>
      </c>
      <c r="D504">
        <v>8.6636000000000006</v>
      </c>
      <c r="E504">
        <v>33.090600000000002</v>
      </c>
      <c r="G504">
        <v>19.959900000000001</v>
      </c>
      <c r="H504">
        <v>62.960900000000002</v>
      </c>
      <c r="I504">
        <v>21.163900000000002</v>
      </c>
    </row>
    <row r="505" spans="1:9" x14ac:dyDescent="0.35">
      <c r="A505" s="77">
        <v>22251</v>
      </c>
      <c r="B505">
        <v>22.149899999999999</v>
      </c>
      <c r="C505">
        <v>38.159999999999997</v>
      </c>
      <c r="D505">
        <v>8.4654000000000007</v>
      </c>
      <c r="E505">
        <v>32.858899999999998</v>
      </c>
      <c r="G505">
        <v>19.420400000000001</v>
      </c>
      <c r="H505">
        <v>62.892200000000003</v>
      </c>
      <c r="I505">
        <v>21.189299999999999</v>
      </c>
    </row>
    <row r="506" spans="1:9" x14ac:dyDescent="0.35">
      <c r="A506" s="77">
        <v>22282</v>
      </c>
      <c r="B506">
        <v>22.1768</v>
      </c>
      <c r="C506">
        <v>37.799599999999998</v>
      </c>
      <c r="D506">
        <v>8.5248000000000008</v>
      </c>
      <c r="E506">
        <v>32.588700000000003</v>
      </c>
      <c r="G506">
        <v>19.591999999999999</v>
      </c>
      <c r="H506">
        <v>62.823599999999999</v>
      </c>
      <c r="I506">
        <v>21.2148</v>
      </c>
    </row>
    <row r="507" spans="1:9" x14ac:dyDescent="0.35">
      <c r="A507" s="77">
        <v>22313</v>
      </c>
      <c r="B507">
        <v>22.149899999999999</v>
      </c>
      <c r="C507">
        <v>37.7545</v>
      </c>
      <c r="D507">
        <v>8.4454999999999991</v>
      </c>
      <c r="E507">
        <v>32.781700000000001</v>
      </c>
      <c r="G507">
        <v>19.444900000000001</v>
      </c>
      <c r="H507">
        <v>62.548900000000003</v>
      </c>
      <c r="I507">
        <v>21.291</v>
      </c>
    </row>
    <row r="508" spans="1:9" x14ac:dyDescent="0.35">
      <c r="A508" s="77">
        <v>22341</v>
      </c>
      <c r="B508">
        <v>22.284600000000001</v>
      </c>
      <c r="C508">
        <v>38.610500000000002</v>
      </c>
      <c r="D508">
        <v>8.4356000000000009</v>
      </c>
      <c r="E508">
        <v>32.781700000000001</v>
      </c>
      <c r="G508">
        <v>19.616599999999998</v>
      </c>
      <c r="H508">
        <v>63.029499999999999</v>
      </c>
      <c r="I508">
        <v>21.316400000000002</v>
      </c>
    </row>
    <row r="509" spans="1:9" x14ac:dyDescent="0.35">
      <c r="A509" s="77">
        <v>22372</v>
      </c>
      <c r="B509">
        <v>22.742699999999999</v>
      </c>
      <c r="C509">
        <v>39.601700000000001</v>
      </c>
      <c r="D509">
        <v>8.5248000000000008</v>
      </c>
      <c r="E509">
        <v>33.554000000000002</v>
      </c>
      <c r="G509">
        <v>20.205100000000002</v>
      </c>
      <c r="H509">
        <v>62.823599999999999</v>
      </c>
      <c r="I509">
        <v>21.6721</v>
      </c>
    </row>
    <row r="510" spans="1:9" x14ac:dyDescent="0.35">
      <c r="A510" s="77">
        <v>22402</v>
      </c>
      <c r="B510">
        <v>23.093</v>
      </c>
      <c r="C510">
        <v>39.736899999999999</v>
      </c>
      <c r="D510">
        <v>8.5348000000000006</v>
      </c>
      <c r="E510">
        <v>33.940100000000001</v>
      </c>
      <c r="G510">
        <v>20.818100000000001</v>
      </c>
      <c r="H510">
        <v>62.892299999999999</v>
      </c>
      <c r="I510">
        <v>22.1294</v>
      </c>
    </row>
    <row r="511" spans="1:9" x14ac:dyDescent="0.35">
      <c r="A511" s="77">
        <v>22433</v>
      </c>
      <c r="B511">
        <v>23.416399999999999</v>
      </c>
      <c r="C511">
        <v>40.5929</v>
      </c>
      <c r="D511">
        <v>8.6041000000000007</v>
      </c>
      <c r="E511">
        <v>34.3262</v>
      </c>
      <c r="G511">
        <v>21.136800000000001</v>
      </c>
      <c r="H511">
        <v>63.441499999999998</v>
      </c>
      <c r="I511">
        <v>22.0532</v>
      </c>
    </row>
    <row r="512" spans="1:9" x14ac:dyDescent="0.35">
      <c r="A512" s="77">
        <v>22463</v>
      </c>
      <c r="B512">
        <v>23.6858</v>
      </c>
      <c r="C512">
        <v>41.223599999999998</v>
      </c>
      <c r="D512">
        <v>8.6537000000000006</v>
      </c>
      <c r="E512">
        <v>34.635100000000001</v>
      </c>
      <c r="G512">
        <v>21.431100000000001</v>
      </c>
      <c r="H512">
        <v>63.647500000000001</v>
      </c>
      <c r="I512">
        <v>22.0532</v>
      </c>
    </row>
    <row r="513" spans="1:9" x14ac:dyDescent="0.35">
      <c r="A513" s="77">
        <v>22494</v>
      </c>
      <c r="B513">
        <v>23.901399999999999</v>
      </c>
      <c r="C513">
        <v>41.719200000000001</v>
      </c>
      <c r="D513">
        <v>8.6934000000000005</v>
      </c>
      <c r="E513">
        <v>34.866799999999998</v>
      </c>
      <c r="G513">
        <v>21.847999999999999</v>
      </c>
      <c r="H513">
        <v>64.814700000000002</v>
      </c>
      <c r="I513">
        <v>22.383500000000002</v>
      </c>
    </row>
    <row r="514" spans="1:9" x14ac:dyDescent="0.35">
      <c r="A514" s="77">
        <v>22525</v>
      </c>
      <c r="B514">
        <v>23.874500000000001</v>
      </c>
      <c r="C514">
        <v>42.079700000000003</v>
      </c>
      <c r="D514">
        <v>8.8222000000000005</v>
      </c>
      <c r="E514">
        <v>34.287599999999998</v>
      </c>
      <c r="G514">
        <v>21.896999999999998</v>
      </c>
      <c r="H514">
        <v>64.745999999999995</v>
      </c>
      <c r="I514">
        <v>22.612100000000002</v>
      </c>
    </row>
    <row r="515" spans="1:9" x14ac:dyDescent="0.35">
      <c r="A515" s="77">
        <v>22555</v>
      </c>
      <c r="B515">
        <v>24.3325</v>
      </c>
      <c r="C515">
        <v>42.395000000000003</v>
      </c>
      <c r="D515">
        <v>8.8123000000000005</v>
      </c>
      <c r="E515">
        <v>35.214300000000001</v>
      </c>
      <c r="G515">
        <v>22.289300000000001</v>
      </c>
      <c r="H515">
        <v>66.119200000000006</v>
      </c>
      <c r="I515">
        <v>22.764600000000002</v>
      </c>
    </row>
    <row r="516" spans="1:9" x14ac:dyDescent="0.35">
      <c r="A516" s="77">
        <v>22586</v>
      </c>
      <c r="B516">
        <v>24.709800000000001</v>
      </c>
      <c r="C516">
        <v>42.079599999999999</v>
      </c>
      <c r="D516">
        <v>9.0502000000000002</v>
      </c>
      <c r="E516">
        <v>35.832099999999997</v>
      </c>
      <c r="G516">
        <v>22.583600000000001</v>
      </c>
      <c r="H516">
        <v>66.256600000000006</v>
      </c>
      <c r="I516">
        <v>22.79</v>
      </c>
    </row>
    <row r="517" spans="1:9" x14ac:dyDescent="0.35">
      <c r="A517" s="77">
        <v>22616</v>
      </c>
      <c r="B517">
        <v>24.9253</v>
      </c>
      <c r="C517">
        <v>42.395000000000003</v>
      </c>
      <c r="D517">
        <v>9.08</v>
      </c>
      <c r="E517">
        <v>35.909300000000002</v>
      </c>
      <c r="G517">
        <v>22.9023</v>
      </c>
      <c r="H517">
        <v>66.187899999999999</v>
      </c>
      <c r="I517">
        <v>22.8916</v>
      </c>
    </row>
    <row r="518" spans="1:9" x14ac:dyDescent="0.35">
      <c r="A518" s="77">
        <v>22647</v>
      </c>
      <c r="B518">
        <v>24.709800000000001</v>
      </c>
      <c r="C518">
        <v>40.412700000000001</v>
      </c>
      <c r="D518">
        <v>9.0502000000000002</v>
      </c>
      <c r="E518">
        <v>35.639000000000003</v>
      </c>
      <c r="G518">
        <v>22.730699999999999</v>
      </c>
      <c r="H518">
        <v>65.638599999999997</v>
      </c>
      <c r="I518">
        <v>23.247299999999999</v>
      </c>
    </row>
    <row r="519" spans="1:9" x14ac:dyDescent="0.35">
      <c r="A519" s="77">
        <v>22678</v>
      </c>
      <c r="B519">
        <v>25.114000000000001</v>
      </c>
      <c r="C519">
        <v>42.755400000000002</v>
      </c>
      <c r="D519">
        <v>9.1791</v>
      </c>
      <c r="E519">
        <v>35.870699999999999</v>
      </c>
      <c r="G519">
        <v>23.098500000000001</v>
      </c>
      <c r="H519">
        <v>65.981899999999996</v>
      </c>
      <c r="I519">
        <v>23.171099999999999</v>
      </c>
    </row>
    <row r="520" spans="1:9" x14ac:dyDescent="0.35">
      <c r="A520" s="77">
        <v>22706</v>
      </c>
      <c r="B520">
        <v>25.248699999999999</v>
      </c>
      <c r="C520">
        <v>43.296100000000003</v>
      </c>
      <c r="D520">
        <v>9.298</v>
      </c>
      <c r="E520">
        <v>36.140999999999998</v>
      </c>
      <c r="G520">
        <v>23.123000000000001</v>
      </c>
      <c r="H520">
        <v>66.325199999999995</v>
      </c>
      <c r="I520">
        <v>23.3489</v>
      </c>
    </row>
    <row r="521" spans="1:9" x14ac:dyDescent="0.35">
      <c r="A521" s="77">
        <v>22737</v>
      </c>
      <c r="B521">
        <v>25.302600000000002</v>
      </c>
      <c r="C521">
        <v>42.7104</v>
      </c>
      <c r="D521">
        <v>9.3574999999999999</v>
      </c>
      <c r="E521">
        <v>36.4499</v>
      </c>
      <c r="G521">
        <v>23.098500000000001</v>
      </c>
      <c r="H521">
        <v>66.050600000000003</v>
      </c>
      <c r="I521">
        <v>23.247299999999999</v>
      </c>
    </row>
    <row r="522" spans="1:9" x14ac:dyDescent="0.35">
      <c r="A522" s="77">
        <v>22767</v>
      </c>
      <c r="B522">
        <v>25.275600000000001</v>
      </c>
      <c r="C522">
        <v>42.665300000000002</v>
      </c>
      <c r="D522">
        <v>9.3574999999999999</v>
      </c>
      <c r="E522">
        <v>36.642899999999997</v>
      </c>
      <c r="G522">
        <v>22.779699999999998</v>
      </c>
      <c r="H522">
        <v>65.707300000000004</v>
      </c>
      <c r="I522">
        <v>23.628399999999999</v>
      </c>
    </row>
    <row r="523" spans="1:9" x14ac:dyDescent="0.35">
      <c r="A523" s="77">
        <v>22798</v>
      </c>
      <c r="B523">
        <v>25.221800000000002</v>
      </c>
      <c r="C523">
        <v>42.980699999999999</v>
      </c>
      <c r="D523">
        <v>9.4466999999999999</v>
      </c>
      <c r="E523">
        <v>36.411299999999997</v>
      </c>
      <c r="G523">
        <v>22.706199999999999</v>
      </c>
      <c r="H523">
        <v>65.638599999999997</v>
      </c>
      <c r="I523">
        <v>23.8062</v>
      </c>
    </row>
    <row r="524" spans="1:9" x14ac:dyDescent="0.35">
      <c r="A524" s="77">
        <v>22828</v>
      </c>
      <c r="B524">
        <v>25.464300000000001</v>
      </c>
      <c r="C524">
        <v>42.8005</v>
      </c>
      <c r="D524">
        <v>9.5259999999999998</v>
      </c>
      <c r="E524">
        <v>37.0291</v>
      </c>
      <c r="G524">
        <v>22.9023</v>
      </c>
      <c r="H524">
        <v>66.050600000000003</v>
      </c>
      <c r="I524">
        <v>24.009499999999999</v>
      </c>
    </row>
    <row r="525" spans="1:9" x14ac:dyDescent="0.35">
      <c r="A525" s="77">
        <v>22859</v>
      </c>
      <c r="B525">
        <v>25.491199999999999</v>
      </c>
      <c r="C525">
        <v>43.566400000000002</v>
      </c>
      <c r="D525">
        <v>9.6250999999999998</v>
      </c>
      <c r="E525">
        <v>36.604300000000002</v>
      </c>
      <c r="G525">
        <v>22.9514</v>
      </c>
      <c r="H525">
        <v>66.668599999999998</v>
      </c>
      <c r="I525">
        <v>23.907900000000001</v>
      </c>
    </row>
    <row r="526" spans="1:9" x14ac:dyDescent="0.35">
      <c r="A526" s="77">
        <v>22890</v>
      </c>
      <c r="B526">
        <v>25.652899999999999</v>
      </c>
      <c r="C526">
        <v>44.061999999999998</v>
      </c>
      <c r="D526">
        <v>9.6151999999999997</v>
      </c>
      <c r="E526">
        <v>36.835999999999999</v>
      </c>
      <c r="G526">
        <v>23.147600000000001</v>
      </c>
      <c r="H526">
        <v>66.462500000000006</v>
      </c>
      <c r="I526">
        <v>23.984100000000002</v>
      </c>
    </row>
    <row r="527" spans="1:9" x14ac:dyDescent="0.35">
      <c r="A527" s="77">
        <v>22920</v>
      </c>
      <c r="B527">
        <v>25.6799</v>
      </c>
      <c r="C527">
        <v>43.341200000000001</v>
      </c>
      <c r="D527">
        <v>9.6548999999999996</v>
      </c>
      <c r="E527">
        <v>36.758800000000001</v>
      </c>
      <c r="G527">
        <v>23.147600000000001</v>
      </c>
      <c r="H527">
        <v>65.638599999999997</v>
      </c>
      <c r="I527">
        <v>24.1111</v>
      </c>
    </row>
    <row r="528" spans="1:9" x14ac:dyDescent="0.35">
      <c r="A528" s="77">
        <v>22951</v>
      </c>
      <c r="B528">
        <v>25.787600000000001</v>
      </c>
      <c r="C528">
        <v>43.521299999999997</v>
      </c>
      <c r="D528">
        <v>9.6548999999999996</v>
      </c>
      <c r="E528">
        <v>36.990499999999997</v>
      </c>
      <c r="G528">
        <v>23.343699999999998</v>
      </c>
      <c r="H528">
        <v>65.981999999999999</v>
      </c>
      <c r="I528">
        <v>24.365200000000002</v>
      </c>
    </row>
    <row r="529" spans="1:9" x14ac:dyDescent="0.35">
      <c r="A529" s="77">
        <v>22981</v>
      </c>
      <c r="B529">
        <v>25.787600000000001</v>
      </c>
      <c r="C529">
        <v>43.881799999999998</v>
      </c>
      <c r="D529">
        <v>9.5953999999999997</v>
      </c>
      <c r="E529">
        <v>37.1449</v>
      </c>
      <c r="G529">
        <v>23.2211</v>
      </c>
      <c r="H529">
        <v>65.158000000000001</v>
      </c>
      <c r="I529">
        <v>24.416</v>
      </c>
    </row>
    <row r="530" spans="1:9" x14ac:dyDescent="0.35">
      <c r="A530" s="77">
        <v>23012</v>
      </c>
      <c r="B530">
        <v>25.976199999999999</v>
      </c>
      <c r="C530">
        <v>42.8005</v>
      </c>
      <c r="D530">
        <v>9.5557999999999996</v>
      </c>
      <c r="E530">
        <v>37.608199999999997</v>
      </c>
      <c r="G530">
        <v>23.319199999999999</v>
      </c>
      <c r="H530">
        <v>66.119200000000006</v>
      </c>
      <c r="I530">
        <v>24.898800000000001</v>
      </c>
    </row>
    <row r="531" spans="1:9" x14ac:dyDescent="0.35">
      <c r="A531" s="77">
        <v>23043</v>
      </c>
      <c r="B531">
        <v>26.2727</v>
      </c>
      <c r="C531">
        <v>42.890599999999999</v>
      </c>
      <c r="D531">
        <v>9.6944999999999997</v>
      </c>
      <c r="E531">
        <v>38.033000000000001</v>
      </c>
      <c r="G531">
        <v>23.662500000000001</v>
      </c>
      <c r="H531">
        <v>67.492400000000004</v>
      </c>
      <c r="I531">
        <v>25.228999999999999</v>
      </c>
    </row>
    <row r="532" spans="1:9" x14ac:dyDescent="0.35">
      <c r="A532" s="77">
        <v>23071</v>
      </c>
      <c r="B532">
        <v>26.4344</v>
      </c>
      <c r="C532">
        <v>43.386200000000002</v>
      </c>
      <c r="D532">
        <v>9.6350999999999996</v>
      </c>
      <c r="E532">
        <v>38.187399999999997</v>
      </c>
      <c r="G532">
        <v>24.005800000000001</v>
      </c>
      <c r="H532">
        <v>67.6297</v>
      </c>
      <c r="I532">
        <v>25.0258</v>
      </c>
    </row>
    <row r="533" spans="1:9" x14ac:dyDescent="0.35">
      <c r="A533" s="77">
        <v>23102</v>
      </c>
      <c r="B533">
        <v>26.6769</v>
      </c>
      <c r="C533">
        <v>44.872900000000001</v>
      </c>
      <c r="D533">
        <v>9.7242999999999995</v>
      </c>
      <c r="E533">
        <v>38.341900000000003</v>
      </c>
      <c r="G533">
        <v>24.226500000000001</v>
      </c>
      <c r="H533">
        <v>67.629800000000003</v>
      </c>
      <c r="I533">
        <v>24.9495</v>
      </c>
    </row>
    <row r="534" spans="1:9" x14ac:dyDescent="0.35">
      <c r="A534" s="77">
        <v>23132</v>
      </c>
      <c r="B534">
        <v>27.0002</v>
      </c>
      <c r="C534">
        <v>45.864100000000001</v>
      </c>
      <c r="D534">
        <v>9.6944999999999997</v>
      </c>
      <c r="E534">
        <v>38.4191</v>
      </c>
      <c r="G534">
        <v>24.790400000000002</v>
      </c>
      <c r="H534">
        <v>69.277600000000007</v>
      </c>
      <c r="I534">
        <v>25.228999999999999</v>
      </c>
    </row>
    <row r="535" spans="1:9" x14ac:dyDescent="0.35">
      <c r="A535" s="77">
        <v>23163</v>
      </c>
      <c r="B535">
        <v>27.081099999999999</v>
      </c>
      <c r="C535">
        <v>45.683900000000001</v>
      </c>
      <c r="D535">
        <v>9.7341999999999995</v>
      </c>
      <c r="E535">
        <v>38.650799999999997</v>
      </c>
      <c r="G535">
        <v>24.888500000000001</v>
      </c>
      <c r="H535">
        <v>68.659599999999998</v>
      </c>
      <c r="I535">
        <v>25.381499999999999</v>
      </c>
    </row>
    <row r="536" spans="1:9" x14ac:dyDescent="0.35">
      <c r="A536" s="77">
        <v>23193</v>
      </c>
      <c r="B536">
        <v>26.973299999999998</v>
      </c>
      <c r="C536">
        <v>45.503700000000002</v>
      </c>
      <c r="D536">
        <v>9.8729999999999993</v>
      </c>
      <c r="E536">
        <v>38.5349</v>
      </c>
      <c r="G536">
        <v>24.6433</v>
      </c>
      <c r="H536">
        <v>69.414900000000003</v>
      </c>
      <c r="I536">
        <v>25.229099999999999</v>
      </c>
    </row>
    <row r="537" spans="1:9" x14ac:dyDescent="0.35">
      <c r="A537" s="77">
        <v>23224</v>
      </c>
      <c r="B537">
        <v>27.027200000000001</v>
      </c>
      <c r="C537">
        <v>45.638800000000003</v>
      </c>
      <c r="D537">
        <v>10.110900000000001</v>
      </c>
      <c r="E537">
        <v>38.843800000000002</v>
      </c>
      <c r="G537">
        <v>24.422599999999999</v>
      </c>
      <c r="H537">
        <v>69.689599999999999</v>
      </c>
      <c r="I537">
        <v>25.381499999999999</v>
      </c>
    </row>
    <row r="538" spans="1:9" x14ac:dyDescent="0.35">
      <c r="A538" s="77">
        <v>23255</v>
      </c>
      <c r="B538">
        <v>27.296600000000002</v>
      </c>
      <c r="C538">
        <v>45.323500000000003</v>
      </c>
      <c r="D538">
        <v>10.081099999999999</v>
      </c>
      <c r="E538">
        <v>38.959699999999998</v>
      </c>
      <c r="G538">
        <v>24.913</v>
      </c>
      <c r="H538">
        <v>69.620900000000006</v>
      </c>
      <c r="I538">
        <v>25.610099999999999</v>
      </c>
    </row>
    <row r="539" spans="1:9" x14ac:dyDescent="0.35">
      <c r="A539" s="77">
        <v>23285</v>
      </c>
      <c r="B539">
        <v>27.485299999999999</v>
      </c>
      <c r="C539">
        <v>45.999299999999998</v>
      </c>
      <c r="D539">
        <v>10.259600000000001</v>
      </c>
      <c r="E539">
        <v>39.229999999999997</v>
      </c>
      <c r="G539">
        <v>25.060199999999998</v>
      </c>
      <c r="H539">
        <v>69.209000000000003</v>
      </c>
      <c r="I539">
        <v>25.813400000000001</v>
      </c>
    </row>
    <row r="540" spans="1:9" x14ac:dyDescent="0.35">
      <c r="A540" s="77">
        <v>23316</v>
      </c>
      <c r="B540">
        <v>27.62</v>
      </c>
      <c r="C540">
        <v>46.539900000000003</v>
      </c>
      <c r="D540">
        <v>10.338800000000001</v>
      </c>
      <c r="E540">
        <v>39.268599999999999</v>
      </c>
      <c r="G540">
        <v>25.2073</v>
      </c>
      <c r="H540">
        <v>69.620900000000006</v>
      </c>
      <c r="I540">
        <v>26.042100000000001</v>
      </c>
    </row>
    <row r="541" spans="1:9" x14ac:dyDescent="0.35">
      <c r="A541" s="77">
        <v>23346</v>
      </c>
      <c r="B541">
        <v>27.566099999999999</v>
      </c>
      <c r="C541">
        <v>45.864100000000001</v>
      </c>
      <c r="D541">
        <v>10.319000000000001</v>
      </c>
      <c r="E541">
        <v>39.5002</v>
      </c>
      <c r="G541">
        <v>25.060199999999998</v>
      </c>
      <c r="H541">
        <v>69.552199999999999</v>
      </c>
      <c r="I541">
        <v>26.118300000000001</v>
      </c>
    </row>
    <row r="542" spans="1:9" x14ac:dyDescent="0.35">
      <c r="A542" s="77">
        <v>23377</v>
      </c>
      <c r="B542">
        <v>27.808599999999998</v>
      </c>
      <c r="C542">
        <v>46.134399999999999</v>
      </c>
      <c r="D542">
        <v>10.5867</v>
      </c>
      <c r="E542">
        <v>39.886400000000002</v>
      </c>
      <c r="G542">
        <v>25.2563</v>
      </c>
      <c r="H542">
        <v>70.513400000000004</v>
      </c>
      <c r="I542">
        <v>26.5502</v>
      </c>
    </row>
    <row r="543" spans="1:9" x14ac:dyDescent="0.35">
      <c r="A543" s="77">
        <v>23408</v>
      </c>
      <c r="B543">
        <v>27.997199999999999</v>
      </c>
      <c r="C543">
        <v>47.350900000000003</v>
      </c>
      <c r="D543">
        <v>10.537100000000001</v>
      </c>
      <c r="E543">
        <v>39.809199999999997</v>
      </c>
      <c r="G543">
        <v>25.648700000000002</v>
      </c>
      <c r="H543">
        <v>70.994100000000003</v>
      </c>
      <c r="I543">
        <v>26.600999999999999</v>
      </c>
    </row>
    <row r="544" spans="1:9" x14ac:dyDescent="0.35">
      <c r="A544" s="77">
        <v>23437</v>
      </c>
      <c r="B544">
        <v>27.997199999999999</v>
      </c>
      <c r="C544">
        <v>47.485999999999997</v>
      </c>
      <c r="D544">
        <v>10.666</v>
      </c>
      <c r="E544">
        <v>39.616100000000003</v>
      </c>
      <c r="G544">
        <v>25.648700000000002</v>
      </c>
      <c r="H544">
        <v>70.719399999999993</v>
      </c>
      <c r="I544">
        <v>26.804300000000001</v>
      </c>
    </row>
    <row r="545" spans="1:9" x14ac:dyDescent="0.35">
      <c r="A545" s="77">
        <v>23468</v>
      </c>
      <c r="B545">
        <v>28.455300000000001</v>
      </c>
      <c r="C545">
        <v>47.6663</v>
      </c>
      <c r="D545">
        <v>10.9138</v>
      </c>
      <c r="E545">
        <v>40.619999999999997</v>
      </c>
      <c r="G545">
        <v>25.942900000000002</v>
      </c>
      <c r="H545">
        <v>70.719399999999993</v>
      </c>
      <c r="I545">
        <v>27.2362</v>
      </c>
    </row>
    <row r="546" spans="1:9" x14ac:dyDescent="0.35">
      <c r="A546" s="77">
        <v>23498</v>
      </c>
      <c r="B546">
        <v>28.617000000000001</v>
      </c>
      <c r="C546">
        <v>47.891500000000001</v>
      </c>
      <c r="D546">
        <v>11.0327</v>
      </c>
      <c r="E546">
        <v>40.928899999999999</v>
      </c>
      <c r="G546">
        <v>26.163599999999999</v>
      </c>
      <c r="H546">
        <v>71.062799999999996</v>
      </c>
      <c r="I546">
        <v>27.439399999999999</v>
      </c>
    </row>
    <row r="547" spans="1:9" x14ac:dyDescent="0.35">
      <c r="A547" s="77">
        <v>23529</v>
      </c>
      <c r="B547">
        <v>28.697800000000001</v>
      </c>
      <c r="C547">
        <v>47.576099999999997</v>
      </c>
      <c r="D547">
        <v>11.0724</v>
      </c>
      <c r="E547">
        <v>40.851700000000001</v>
      </c>
      <c r="G547">
        <v>26.3352</v>
      </c>
      <c r="H547">
        <v>71.474699999999999</v>
      </c>
      <c r="I547">
        <v>27.744299999999999</v>
      </c>
    </row>
    <row r="548" spans="1:9" x14ac:dyDescent="0.35">
      <c r="A548" s="77">
        <v>23559</v>
      </c>
      <c r="B548">
        <v>28.886500000000002</v>
      </c>
      <c r="C548">
        <v>48.477200000000003</v>
      </c>
      <c r="D548">
        <v>11.2211</v>
      </c>
      <c r="E548">
        <v>41.430799999999998</v>
      </c>
      <c r="G548">
        <v>26.3843</v>
      </c>
      <c r="H548">
        <v>70.994100000000003</v>
      </c>
      <c r="I548">
        <v>27.972999999999999</v>
      </c>
    </row>
    <row r="549" spans="1:9" x14ac:dyDescent="0.35">
      <c r="A549" s="77">
        <v>23590</v>
      </c>
      <c r="B549">
        <v>29.075099999999999</v>
      </c>
      <c r="C549">
        <v>47.9816</v>
      </c>
      <c r="D549">
        <v>11.2112</v>
      </c>
      <c r="E549">
        <v>41.3536</v>
      </c>
      <c r="G549">
        <v>26.9237</v>
      </c>
      <c r="H549">
        <v>71.474699999999999</v>
      </c>
      <c r="I549">
        <v>27.972999999999999</v>
      </c>
    </row>
    <row r="550" spans="1:9" x14ac:dyDescent="0.35">
      <c r="A550" s="77">
        <v>23621</v>
      </c>
      <c r="B550">
        <v>29.1829</v>
      </c>
      <c r="C550">
        <v>47.621200000000002</v>
      </c>
      <c r="D550">
        <v>11.3103</v>
      </c>
      <c r="E550">
        <v>40.890300000000003</v>
      </c>
      <c r="G550">
        <v>27.340599999999998</v>
      </c>
      <c r="H550">
        <v>72.024000000000001</v>
      </c>
      <c r="I550">
        <v>28.049199999999999</v>
      </c>
    </row>
    <row r="551" spans="1:9" x14ac:dyDescent="0.35">
      <c r="A551" s="77">
        <v>23651</v>
      </c>
      <c r="B551">
        <v>28.778700000000001</v>
      </c>
      <c r="C551">
        <v>47.801400000000001</v>
      </c>
      <c r="D551">
        <v>11.2211</v>
      </c>
      <c r="E551">
        <v>40.0794</v>
      </c>
      <c r="G551">
        <v>26.825700000000001</v>
      </c>
      <c r="H551">
        <v>72.161299999999997</v>
      </c>
      <c r="I551">
        <v>28.1508</v>
      </c>
    </row>
    <row r="552" spans="1:9" x14ac:dyDescent="0.35">
      <c r="A552" s="77">
        <v>23682</v>
      </c>
      <c r="B552">
        <v>29.667899999999999</v>
      </c>
      <c r="C552">
        <v>48.927700000000002</v>
      </c>
      <c r="D552">
        <v>11.597799999999999</v>
      </c>
      <c r="E552">
        <v>41.585299999999997</v>
      </c>
      <c r="G552">
        <v>27.659400000000002</v>
      </c>
      <c r="H552">
        <v>73.259900000000002</v>
      </c>
      <c r="I552">
        <v>28.0746</v>
      </c>
    </row>
    <row r="553" spans="1:9" x14ac:dyDescent="0.35">
      <c r="A553" s="77">
        <v>23712</v>
      </c>
      <c r="B553">
        <v>30.0182</v>
      </c>
      <c r="C553">
        <v>48.296999999999997</v>
      </c>
      <c r="D553">
        <v>11.805899999999999</v>
      </c>
      <c r="E553">
        <v>42.434800000000003</v>
      </c>
      <c r="G553">
        <v>28.002600000000001</v>
      </c>
      <c r="H553">
        <v>72.3673</v>
      </c>
      <c r="I553">
        <v>28.404900000000001</v>
      </c>
    </row>
    <row r="554" spans="1:9" x14ac:dyDescent="0.35">
      <c r="A554" s="77">
        <v>23743</v>
      </c>
      <c r="B554">
        <v>30.3416</v>
      </c>
      <c r="C554">
        <v>48.657400000000003</v>
      </c>
      <c r="D554">
        <v>11.786099999999999</v>
      </c>
      <c r="E554">
        <v>43.052599999999998</v>
      </c>
      <c r="G554">
        <v>28.321400000000001</v>
      </c>
      <c r="H554">
        <v>72.641900000000007</v>
      </c>
      <c r="I554">
        <v>28.328700000000001</v>
      </c>
    </row>
    <row r="555" spans="1:9" x14ac:dyDescent="0.35">
      <c r="A555" s="77">
        <v>23774</v>
      </c>
      <c r="B555">
        <v>30.530200000000001</v>
      </c>
      <c r="C555">
        <v>49.918900000000001</v>
      </c>
      <c r="D555">
        <v>11.984299999999999</v>
      </c>
      <c r="E555">
        <v>43.168399999999998</v>
      </c>
      <c r="G555">
        <v>28.419499999999999</v>
      </c>
      <c r="H555">
        <v>72.710599999999999</v>
      </c>
      <c r="I555">
        <v>28.481100000000001</v>
      </c>
    </row>
    <row r="556" spans="1:9" x14ac:dyDescent="0.35">
      <c r="A556" s="77">
        <v>23802</v>
      </c>
      <c r="B556">
        <v>30.9344</v>
      </c>
      <c r="C556">
        <v>50.324399999999997</v>
      </c>
      <c r="D556">
        <v>12.143000000000001</v>
      </c>
      <c r="E556">
        <v>43.554499999999997</v>
      </c>
      <c r="G556">
        <v>28.860900000000001</v>
      </c>
      <c r="H556">
        <v>73.259799999999998</v>
      </c>
      <c r="I556">
        <v>28.811399999999999</v>
      </c>
    </row>
    <row r="557" spans="1:9" x14ac:dyDescent="0.35">
      <c r="A557" s="77">
        <v>23833</v>
      </c>
      <c r="B557">
        <v>31.069099999999999</v>
      </c>
      <c r="C557">
        <v>49.603499999999997</v>
      </c>
      <c r="D557">
        <v>12.252000000000001</v>
      </c>
      <c r="E557">
        <v>43.438699999999997</v>
      </c>
      <c r="G557">
        <v>29.155100000000001</v>
      </c>
      <c r="H557">
        <v>73.191199999999995</v>
      </c>
      <c r="I557">
        <v>29.243300000000001</v>
      </c>
    </row>
    <row r="558" spans="1:9" x14ac:dyDescent="0.35">
      <c r="A558" s="77">
        <v>23863</v>
      </c>
      <c r="B558">
        <v>31.311599999999999</v>
      </c>
      <c r="C558">
        <v>50.0991</v>
      </c>
      <c r="D558">
        <v>12.430400000000001</v>
      </c>
      <c r="E558">
        <v>43.709000000000003</v>
      </c>
      <c r="G558">
        <v>29.277699999999999</v>
      </c>
      <c r="H558">
        <v>73.191199999999995</v>
      </c>
      <c r="I558">
        <v>29.0655</v>
      </c>
    </row>
    <row r="559" spans="1:9" x14ac:dyDescent="0.35">
      <c r="A559" s="77">
        <v>23894</v>
      </c>
      <c r="B559">
        <v>31.554099999999998</v>
      </c>
      <c r="C559">
        <v>50.144199999999998</v>
      </c>
      <c r="D559">
        <v>12.6089</v>
      </c>
      <c r="E559">
        <v>43.824800000000003</v>
      </c>
      <c r="G559">
        <v>29.620999999999999</v>
      </c>
      <c r="H559">
        <v>74.083799999999997</v>
      </c>
      <c r="I559">
        <v>29.243300000000001</v>
      </c>
    </row>
    <row r="560" spans="1:9" x14ac:dyDescent="0.35">
      <c r="A560" s="77">
        <v>23924</v>
      </c>
      <c r="B560">
        <v>31.8506</v>
      </c>
      <c r="C560">
        <v>51.540799999999997</v>
      </c>
      <c r="D560">
        <v>12.8269</v>
      </c>
      <c r="E560">
        <v>43.824800000000003</v>
      </c>
      <c r="G560">
        <v>29.890699999999999</v>
      </c>
      <c r="H560">
        <v>74.015100000000004</v>
      </c>
      <c r="I560">
        <v>29.014700000000001</v>
      </c>
    </row>
    <row r="561" spans="1:9" x14ac:dyDescent="0.35">
      <c r="A561" s="77">
        <v>23955</v>
      </c>
      <c r="B561">
        <v>31.985299999999999</v>
      </c>
      <c r="C561">
        <v>51.045200000000001</v>
      </c>
      <c r="D561">
        <v>12.8269</v>
      </c>
      <c r="E561">
        <v>43.786200000000001</v>
      </c>
      <c r="G561">
        <v>30.184999999999999</v>
      </c>
      <c r="H561">
        <v>74.770399999999995</v>
      </c>
      <c r="I561">
        <v>29.192499999999999</v>
      </c>
    </row>
    <row r="562" spans="1:9" x14ac:dyDescent="0.35">
      <c r="A562" s="77">
        <v>23986</v>
      </c>
      <c r="B562">
        <v>32.066099999999999</v>
      </c>
      <c r="C562">
        <v>50.594700000000003</v>
      </c>
      <c r="D562">
        <v>13.0747</v>
      </c>
      <c r="E562">
        <v>44.442599999999999</v>
      </c>
      <c r="G562">
        <v>29.939800000000002</v>
      </c>
      <c r="H562">
        <v>73.191199999999995</v>
      </c>
      <c r="I562">
        <v>29.7515</v>
      </c>
    </row>
    <row r="563" spans="1:9" x14ac:dyDescent="0.35">
      <c r="A563" s="77">
        <v>24016</v>
      </c>
      <c r="B563">
        <v>32.389499999999998</v>
      </c>
      <c r="C563">
        <v>51.360599999999998</v>
      </c>
      <c r="D563">
        <v>13.2631</v>
      </c>
      <c r="E563">
        <v>44.674300000000002</v>
      </c>
      <c r="G563">
        <v>30.258600000000001</v>
      </c>
      <c r="H563">
        <v>75.800299999999993</v>
      </c>
      <c r="I563">
        <v>30.183399999999999</v>
      </c>
    </row>
    <row r="564" spans="1:9" x14ac:dyDescent="0.35">
      <c r="A564" s="77">
        <v>24047</v>
      </c>
      <c r="B564">
        <v>32.5242</v>
      </c>
      <c r="C564">
        <v>52.081400000000002</v>
      </c>
      <c r="D564">
        <v>13.510899999999999</v>
      </c>
      <c r="E564">
        <v>44.905900000000003</v>
      </c>
      <c r="G564">
        <v>30.135999999999999</v>
      </c>
      <c r="H564">
        <v>75.594300000000004</v>
      </c>
      <c r="I564">
        <v>29.9801</v>
      </c>
    </row>
    <row r="565" spans="1:9" x14ac:dyDescent="0.35">
      <c r="A565" s="77">
        <v>24077</v>
      </c>
      <c r="B565">
        <v>32.928400000000003</v>
      </c>
      <c r="C565">
        <v>53.207799999999999</v>
      </c>
      <c r="D565">
        <v>13.798400000000001</v>
      </c>
      <c r="E565">
        <v>45.176200000000001</v>
      </c>
      <c r="G565">
        <v>30.479199999999999</v>
      </c>
      <c r="H565">
        <v>76.349599999999995</v>
      </c>
      <c r="I565">
        <v>30.1326</v>
      </c>
    </row>
    <row r="566" spans="1:9" x14ac:dyDescent="0.35">
      <c r="A566" s="77">
        <v>24108</v>
      </c>
      <c r="B566">
        <v>33.251800000000003</v>
      </c>
      <c r="C566">
        <v>53.117699999999999</v>
      </c>
      <c r="D566">
        <v>14.075900000000001</v>
      </c>
      <c r="E566">
        <v>45.407899999999998</v>
      </c>
      <c r="G566">
        <v>30.896100000000001</v>
      </c>
      <c r="H566">
        <v>76.692800000000005</v>
      </c>
      <c r="I566">
        <v>30.183399999999999</v>
      </c>
    </row>
    <row r="567" spans="1:9" x14ac:dyDescent="0.35">
      <c r="A567" s="77">
        <v>24139</v>
      </c>
      <c r="B567">
        <v>33.467399999999998</v>
      </c>
      <c r="C567">
        <v>52.622100000000003</v>
      </c>
      <c r="D567">
        <v>14.036300000000001</v>
      </c>
      <c r="E567">
        <v>45.523800000000001</v>
      </c>
      <c r="G567">
        <v>31.2394</v>
      </c>
      <c r="H567">
        <v>76.418199999999999</v>
      </c>
      <c r="I567">
        <v>30.640699999999999</v>
      </c>
    </row>
    <row r="568" spans="1:9" x14ac:dyDescent="0.35">
      <c r="A568" s="77">
        <v>24167</v>
      </c>
      <c r="B568">
        <v>33.925400000000003</v>
      </c>
      <c r="C568">
        <v>53.658299999999997</v>
      </c>
      <c r="D568">
        <v>14.313800000000001</v>
      </c>
      <c r="E568">
        <v>45.871299999999998</v>
      </c>
      <c r="G568">
        <v>31.8033</v>
      </c>
      <c r="H568">
        <v>78.203299999999999</v>
      </c>
      <c r="I568">
        <v>30.716899999999999</v>
      </c>
    </row>
    <row r="569" spans="1:9" x14ac:dyDescent="0.35">
      <c r="A569" s="77">
        <v>24198</v>
      </c>
      <c r="B569">
        <v>33.979300000000002</v>
      </c>
      <c r="C569">
        <v>53.658299999999997</v>
      </c>
      <c r="D569">
        <v>14.4229</v>
      </c>
      <c r="E569">
        <v>46.025700000000001</v>
      </c>
      <c r="G569">
        <v>31.729800000000001</v>
      </c>
      <c r="H569">
        <v>75.456900000000005</v>
      </c>
      <c r="I569">
        <v>30.920200000000001</v>
      </c>
    </row>
    <row r="570" spans="1:9" x14ac:dyDescent="0.35">
      <c r="A570" s="77">
        <v>24228</v>
      </c>
      <c r="B570">
        <v>34.302700000000002</v>
      </c>
      <c r="C570">
        <v>53.928600000000003</v>
      </c>
      <c r="D570">
        <v>14.6112</v>
      </c>
      <c r="E570">
        <v>46.025700000000001</v>
      </c>
      <c r="G570">
        <v>32.0976</v>
      </c>
      <c r="H570">
        <v>77.997399999999999</v>
      </c>
      <c r="I570">
        <v>31.1234</v>
      </c>
    </row>
    <row r="571" spans="1:9" x14ac:dyDescent="0.35">
      <c r="A571" s="77">
        <v>24259</v>
      </c>
      <c r="B571">
        <v>34.464300000000001</v>
      </c>
      <c r="C571">
        <v>53.162700000000001</v>
      </c>
      <c r="D571">
        <v>14.75</v>
      </c>
      <c r="E571">
        <v>46.218800000000002</v>
      </c>
      <c r="G571">
        <v>32.293799999999997</v>
      </c>
      <c r="H571">
        <v>78.203299999999999</v>
      </c>
      <c r="I571">
        <v>31.555299999999999</v>
      </c>
    </row>
    <row r="572" spans="1:9" x14ac:dyDescent="0.35">
      <c r="A572" s="77">
        <v>24289</v>
      </c>
      <c r="B572">
        <v>34.652999999999999</v>
      </c>
      <c r="C572">
        <v>53.658299999999997</v>
      </c>
      <c r="D572">
        <v>14.9879</v>
      </c>
      <c r="E572">
        <v>46.141500000000001</v>
      </c>
      <c r="G572">
        <v>32.3673</v>
      </c>
      <c r="H572">
        <v>78.409300000000002</v>
      </c>
      <c r="I572">
        <v>32.063499999999998</v>
      </c>
    </row>
    <row r="573" spans="1:9" x14ac:dyDescent="0.35">
      <c r="A573" s="77">
        <v>24320</v>
      </c>
      <c r="B573">
        <v>34.679900000000004</v>
      </c>
      <c r="C573">
        <v>52.081499999999998</v>
      </c>
      <c r="D573">
        <v>15.0473</v>
      </c>
      <c r="E573">
        <v>45.987099999999998</v>
      </c>
      <c r="G573">
        <v>32.637</v>
      </c>
      <c r="H573">
        <v>78.752600000000001</v>
      </c>
      <c r="I573">
        <v>32.139699999999998</v>
      </c>
    </row>
    <row r="574" spans="1:9" x14ac:dyDescent="0.35">
      <c r="A574" s="77">
        <v>24351</v>
      </c>
      <c r="B574">
        <v>35.003300000000003</v>
      </c>
      <c r="C574">
        <v>52.081499999999998</v>
      </c>
      <c r="D574">
        <v>15.2158</v>
      </c>
      <c r="E574">
        <v>46.141599999999997</v>
      </c>
      <c r="G574">
        <v>32.955800000000004</v>
      </c>
      <c r="H574">
        <v>78.752600000000001</v>
      </c>
      <c r="I574">
        <v>32.1143</v>
      </c>
    </row>
    <row r="575" spans="1:9" x14ac:dyDescent="0.35">
      <c r="A575" s="77">
        <v>24381</v>
      </c>
      <c r="B575">
        <v>35.245800000000003</v>
      </c>
      <c r="C575">
        <v>52.1265</v>
      </c>
      <c r="D575">
        <v>15.1663</v>
      </c>
      <c r="E575">
        <v>47.1068</v>
      </c>
      <c r="G575">
        <v>33.103000000000002</v>
      </c>
      <c r="H575">
        <v>79.0959</v>
      </c>
      <c r="I575">
        <v>32.063499999999998</v>
      </c>
    </row>
    <row r="576" spans="1:9" x14ac:dyDescent="0.35">
      <c r="A576" s="77">
        <v>24412</v>
      </c>
      <c r="B576">
        <v>35.003300000000003</v>
      </c>
      <c r="C576">
        <v>52.171500000000002</v>
      </c>
      <c r="D576">
        <v>14.9482</v>
      </c>
      <c r="E576">
        <v>46.8752</v>
      </c>
      <c r="G576">
        <v>32.6126</v>
      </c>
      <c r="H576">
        <v>79.2333</v>
      </c>
      <c r="I576">
        <v>32.368400000000001</v>
      </c>
    </row>
    <row r="577" spans="1:10" x14ac:dyDescent="0.35">
      <c r="A577" s="77">
        <v>24442</v>
      </c>
      <c r="B577">
        <v>35.084099999999999</v>
      </c>
      <c r="C577">
        <v>52.081400000000002</v>
      </c>
      <c r="D577">
        <v>15.1564</v>
      </c>
      <c r="E577">
        <v>46.759300000000003</v>
      </c>
      <c r="G577">
        <v>32.612499999999997</v>
      </c>
      <c r="H577">
        <v>79.782600000000002</v>
      </c>
      <c r="I577">
        <v>32.393799999999999</v>
      </c>
    </row>
    <row r="578" spans="1:10" x14ac:dyDescent="0.35">
      <c r="A578" s="77">
        <v>24473</v>
      </c>
      <c r="B578">
        <v>35.249600000000001</v>
      </c>
      <c r="C578">
        <v>53.516399999999997</v>
      </c>
      <c r="D578">
        <v>15.0497</v>
      </c>
      <c r="E578">
        <v>47.183399999999999</v>
      </c>
      <c r="G578">
        <v>32.4756</v>
      </c>
      <c r="H578">
        <v>79.689400000000006</v>
      </c>
      <c r="I578">
        <v>32.277999999999999</v>
      </c>
      <c r="J578">
        <v>89.390199999999993</v>
      </c>
    </row>
    <row r="579" spans="1:10" x14ac:dyDescent="0.35">
      <c r="A579" s="77">
        <v>24504</v>
      </c>
      <c r="B579">
        <v>34.849800000000002</v>
      </c>
      <c r="C579">
        <v>53.003700000000002</v>
      </c>
      <c r="D579">
        <v>15.068199999999999</v>
      </c>
      <c r="E579">
        <v>46.548699999999997</v>
      </c>
      <c r="G579">
        <v>31.8581</v>
      </c>
      <c r="H579">
        <v>78.358800000000002</v>
      </c>
      <c r="I579">
        <v>32.365499999999997</v>
      </c>
      <c r="J579">
        <v>87.974999999999994</v>
      </c>
    </row>
    <row r="580" spans="1:10" x14ac:dyDescent="0.35">
      <c r="A580" s="77">
        <v>24532</v>
      </c>
      <c r="B580">
        <v>34.653399999999998</v>
      </c>
      <c r="C580">
        <v>53.101700000000001</v>
      </c>
      <c r="D580">
        <v>15.043100000000001</v>
      </c>
      <c r="E580">
        <v>46.6982</v>
      </c>
      <c r="G580">
        <v>31.268799999999999</v>
      </c>
      <c r="H580">
        <v>77.721500000000006</v>
      </c>
      <c r="I580">
        <v>32.084099999999999</v>
      </c>
      <c r="J580">
        <v>87.083500000000001</v>
      </c>
    </row>
    <row r="581" spans="1:10" x14ac:dyDescent="0.35">
      <c r="A581" s="77">
        <v>24563</v>
      </c>
      <c r="B581">
        <v>34.980200000000004</v>
      </c>
      <c r="C581">
        <v>52.939700000000002</v>
      </c>
      <c r="D581">
        <v>15.031599999999999</v>
      </c>
      <c r="E581">
        <v>47.495199999999997</v>
      </c>
      <c r="G581">
        <v>31.566600000000001</v>
      </c>
      <c r="H581">
        <v>78.144000000000005</v>
      </c>
      <c r="I581">
        <v>33.422600000000003</v>
      </c>
      <c r="J581">
        <v>87.508899999999997</v>
      </c>
    </row>
    <row r="582" spans="1:10" x14ac:dyDescent="0.35">
      <c r="A582" s="77">
        <v>24593</v>
      </c>
      <c r="B582">
        <v>34.674999999999997</v>
      </c>
      <c r="C582">
        <v>53.782600000000002</v>
      </c>
      <c r="D582">
        <v>15.087999999999999</v>
      </c>
      <c r="E582">
        <v>46.5779</v>
      </c>
      <c r="G582">
        <v>31.220800000000001</v>
      </c>
      <c r="H582">
        <v>76.881100000000004</v>
      </c>
      <c r="I582">
        <v>33.081000000000003</v>
      </c>
      <c r="J582">
        <v>86.3566</v>
      </c>
    </row>
    <row r="583" spans="1:10" x14ac:dyDescent="0.35">
      <c r="A583" s="77">
        <v>24624</v>
      </c>
      <c r="B583">
        <v>34.670699999999997</v>
      </c>
      <c r="C583">
        <v>54.084000000000003</v>
      </c>
      <c r="D583">
        <v>15.0063</v>
      </c>
      <c r="E583">
        <v>46.717500000000001</v>
      </c>
      <c r="G583">
        <v>31.156300000000002</v>
      </c>
      <c r="H583">
        <v>77.221500000000006</v>
      </c>
      <c r="I583">
        <v>32.7761</v>
      </c>
      <c r="J583">
        <v>85.960300000000004</v>
      </c>
    </row>
    <row r="584" spans="1:10" x14ac:dyDescent="0.35">
      <c r="A584" s="77">
        <v>24654</v>
      </c>
      <c r="B584">
        <v>34.591799999999999</v>
      </c>
      <c r="C584">
        <v>54.341799999999999</v>
      </c>
      <c r="D584">
        <v>14.704499999999999</v>
      </c>
      <c r="E584">
        <v>46.649500000000003</v>
      </c>
      <c r="G584">
        <v>31.144600000000001</v>
      </c>
      <c r="H584">
        <v>79.646600000000007</v>
      </c>
      <c r="I584">
        <v>32.942100000000003</v>
      </c>
      <c r="J584">
        <v>85.383300000000006</v>
      </c>
    </row>
    <row r="585" spans="1:10" x14ac:dyDescent="0.35">
      <c r="A585" s="77">
        <v>24685</v>
      </c>
      <c r="B585">
        <v>35.2545</v>
      </c>
      <c r="C585">
        <v>54.890300000000003</v>
      </c>
      <c r="D585">
        <v>14.975899999999999</v>
      </c>
      <c r="E585">
        <v>47.102499999999999</v>
      </c>
      <c r="G585">
        <v>32.070799999999998</v>
      </c>
      <c r="H585">
        <v>80.4298</v>
      </c>
      <c r="I585">
        <v>32.477699999999999</v>
      </c>
      <c r="J585">
        <v>86.633899999999997</v>
      </c>
    </row>
    <row r="586" spans="1:10" x14ac:dyDescent="0.35">
      <c r="A586" s="77">
        <v>24716</v>
      </c>
      <c r="B586">
        <v>35.197200000000002</v>
      </c>
      <c r="C586">
        <v>55.350900000000003</v>
      </c>
      <c r="D586">
        <v>14.899100000000001</v>
      </c>
      <c r="E586">
        <v>47.195300000000003</v>
      </c>
      <c r="G586">
        <v>31.861899999999999</v>
      </c>
      <c r="H586">
        <v>79.054199999999994</v>
      </c>
      <c r="I586">
        <v>32.741900000000001</v>
      </c>
      <c r="J586">
        <v>86.112200000000001</v>
      </c>
    </row>
    <row r="587" spans="1:10" x14ac:dyDescent="0.35">
      <c r="A587" s="77">
        <v>24746</v>
      </c>
      <c r="B587">
        <v>35.483899999999998</v>
      </c>
      <c r="C587">
        <v>55.054099999999998</v>
      </c>
      <c r="D587">
        <v>14.775600000000001</v>
      </c>
      <c r="E587">
        <v>47.8277</v>
      </c>
      <c r="G587">
        <v>32.264299999999999</v>
      </c>
      <c r="H587">
        <v>78.988600000000005</v>
      </c>
      <c r="I587">
        <v>34.133200000000002</v>
      </c>
      <c r="J587">
        <v>86.432500000000005</v>
      </c>
    </row>
    <row r="588" spans="1:10" x14ac:dyDescent="0.35">
      <c r="A588" s="77">
        <v>24777</v>
      </c>
      <c r="B588">
        <v>35.991399999999999</v>
      </c>
      <c r="C588">
        <v>55.442799999999998</v>
      </c>
      <c r="D588">
        <v>15.1639</v>
      </c>
      <c r="E588">
        <v>48.8444</v>
      </c>
      <c r="G588">
        <v>32.623199999999997</v>
      </c>
      <c r="H588">
        <v>78.607500000000002</v>
      </c>
      <c r="I588">
        <v>34.172499999999999</v>
      </c>
      <c r="J588">
        <v>87.285600000000002</v>
      </c>
    </row>
    <row r="589" spans="1:10" x14ac:dyDescent="0.35">
      <c r="A589" s="77">
        <v>24807</v>
      </c>
      <c r="B589">
        <v>36.378999999999998</v>
      </c>
      <c r="C589">
        <v>55.377600000000001</v>
      </c>
      <c r="D589">
        <v>15.3149</v>
      </c>
      <c r="E589">
        <v>49.642099999999999</v>
      </c>
      <c r="G589">
        <v>33.052700000000002</v>
      </c>
      <c r="H589">
        <v>78.245400000000004</v>
      </c>
      <c r="I589">
        <v>34.856400000000001</v>
      </c>
      <c r="J589">
        <v>87.841700000000003</v>
      </c>
    </row>
    <row r="590" spans="1:10" x14ac:dyDescent="0.35">
      <c r="A590" s="77">
        <v>24838</v>
      </c>
      <c r="B590">
        <v>36.3399</v>
      </c>
      <c r="C590">
        <v>55.753799999999998</v>
      </c>
      <c r="D590">
        <v>15.3818</v>
      </c>
      <c r="E590">
        <v>48.975299999999997</v>
      </c>
      <c r="G590">
        <v>33.197899999999997</v>
      </c>
      <c r="H590">
        <v>79.058499999999995</v>
      </c>
      <c r="I590">
        <v>34.714399999999998</v>
      </c>
      <c r="J590">
        <v>87.384100000000004</v>
      </c>
    </row>
    <row r="591" spans="1:10" x14ac:dyDescent="0.35">
      <c r="A591" s="77">
        <v>24869</v>
      </c>
      <c r="B591">
        <v>36.470100000000002</v>
      </c>
      <c r="C591">
        <v>56.318800000000003</v>
      </c>
      <c r="D591">
        <v>15.395799999999999</v>
      </c>
      <c r="E591">
        <v>49.237000000000002</v>
      </c>
      <c r="G591">
        <v>33.1999</v>
      </c>
      <c r="H591">
        <v>80.255700000000004</v>
      </c>
      <c r="I591">
        <v>34.551099999999998</v>
      </c>
      <c r="J591">
        <v>87.349100000000007</v>
      </c>
    </row>
    <row r="592" spans="1:10" x14ac:dyDescent="0.35">
      <c r="A592" s="77">
        <v>24898</v>
      </c>
      <c r="B592">
        <v>36.5839</v>
      </c>
      <c r="C592">
        <v>56.428699999999999</v>
      </c>
      <c r="D592">
        <v>15.5291</v>
      </c>
      <c r="E592">
        <v>49.529499999999999</v>
      </c>
      <c r="G592">
        <v>33.326900000000002</v>
      </c>
      <c r="H592">
        <v>80.953599999999994</v>
      </c>
      <c r="I592">
        <v>35.131999999999998</v>
      </c>
      <c r="J592">
        <v>87.275000000000006</v>
      </c>
    </row>
    <row r="593" spans="1:10" x14ac:dyDescent="0.35">
      <c r="A593" s="77">
        <v>24929</v>
      </c>
      <c r="B593">
        <v>36.636899999999997</v>
      </c>
      <c r="C593">
        <v>56.738799999999998</v>
      </c>
      <c r="D593">
        <v>15.452199999999999</v>
      </c>
      <c r="E593">
        <v>49.445999999999998</v>
      </c>
      <c r="G593">
        <v>33.581400000000002</v>
      </c>
      <c r="H593">
        <v>81.515299999999996</v>
      </c>
      <c r="I593">
        <v>35.14</v>
      </c>
      <c r="J593">
        <v>87.056899999999999</v>
      </c>
    </row>
    <row r="594" spans="1:10" x14ac:dyDescent="0.35">
      <c r="A594" s="77">
        <v>24959</v>
      </c>
      <c r="B594">
        <v>37.047800000000002</v>
      </c>
      <c r="C594">
        <v>56.9666</v>
      </c>
      <c r="D594">
        <v>15.6846</v>
      </c>
      <c r="E594">
        <v>49.710700000000003</v>
      </c>
      <c r="G594">
        <v>34.092399999999998</v>
      </c>
      <c r="H594">
        <v>81.8446</v>
      </c>
      <c r="I594">
        <v>35.572699999999998</v>
      </c>
      <c r="J594">
        <v>87.687700000000007</v>
      </c>
    </row>
    <row r="595" spans="1:10" x14ac:dyDescent="0.35">
      <c r="A595" s="77">
        <v>24990</v>
      </c>
      <c r="B595">
        <v>37.183900000000001</v>
      </c>
      <c r="C595">
        <v>56.995699999999999</v>
      </c>
      <c r="D595">
        <v>15.649100000000001</v>
      </c>
      <c r="E595">
        <v>50.016399999999997</v>
      </c>
      <c r="G595">
        <v>34.2301</v>
      </c>
      <c r="H595">
        <v>81.4589</v>
      </c>
      <c r="I595">
        <v>35.962000000000003</v>
      </c>
      <c r="J595">
        <v>87.665599999999998</v>
      </c>
    </row>
    <row r="596" spans="1:10" x14ac:dyDescent="0.35">
      <c r="A596" s="77">
        <v>25020</v>
      </c>
      <c r="B596">
        <v>37.126899999999999</v>
      </c>
      <c r="C596">
        <v>57.020600000000002</v>
      </c>
      <c r="D596">
        <v>15.4977</v>
      </c>
      <c r="E596">
        <v>49.896500000000003</v>
      </c>
      <c r="G596">
        <v>34.264299999999999</v>
      </c>
      <c r="H596">
        <v>82.872299999999996</v>
      </c>
      <c r="I596">
        <v>35.589300000000001</v>
      </c>
      <c r="J596">
        <v>87.19</v>
      </c>
    </row>
    <row r="597" spans="1:10" x14ac:dyDescent="0.35">
      <c r="A597" s="77">
        <v>25051</v>
      </c>
      <c r="B597">
        <v>37.230499999999999</v>
      </c>
      <c r="C597">
        <v>57.310099999999998</v>
      </c>
      <c r="D597">
        <v>15.636200000000001</v>
      </c>
      <c r="E597">
        <v>50.492600000000003</v>
      </c>
      <c r="G597">
        <v>34.0077</v>
      </c>
      <c r="H597">
        <v>82.586200000000005</v>
      </c>
      <c r="I597">
        <v>35.874400000000001</v>
      </c>
      <c r="J597">
        <v>87.093800000000002</v>
      </c>
    </row>
    <row r="598" spans="1:10" x14ac:dyDescent="0.35">
      <c r="A598" s="77">
        <v>25082</v>
      </c>
      <c r="B598">
        <v>37.371499999999997</v>
      </c>
      <c r="C598">
        <v>56.854700000000001</v>
      </c>
      <c r="D598">
        <v>15.8042</v>
      </c>
      <c r="E598">
        <v>50.693399999999997</v>
      </c>
      <c r="G598">
        <v>34.146999999999998</v>
      </c>
      <c r="H598">
        <v>82.330100000000002</v>
      </c>
      <c r="I598">
        <v>36.426600000000001</v>
      </c>
      <c r="J598">
        <v>87.085700000000003</v>
      </c>
    </row>
    <row r="599" spans="1:10" x14ac:dyDescent="0.35">
      <c r="A599" s="77">
        <v>25112</v>
      </c>
      <c r="B599">
        <v>37.445700000000002</v>
      </c>
      <c r="C599">
        <v>56.820500000000003</v>
      </c>
      <c r="D599">
        <v>15.940099999999999</v>
      </c>
      <c r="E599">
        <v>51.0139</v>
      </c>
      <c r="G599">
        <v>34.186900000000001</v>
      </c>
      <c r="H599">
        <v>80.232299999999995</v>
      </c>
      <c r="I599">
        <v>36.393999999999998</v>
      </c>
      <c r="J599">
        <v>86.922300000000007</v>
      </c>
    </row>
    <row r="600" spans="1:10" x14ac:dyDescent="0.35">
      <c r="A600" s="77">
        <v>25143</v>
      </c>
      <c r="B600">
        <v>37.930100000000003</v>
      </c>
      <c r="C600">
        <v>58.1614</v>
      </c>
      <c r="D600">
        <v>15.951499999999999</v>
      </c>
      <c r="E600">
        <v>51.6785</v>
      </c>
      <c r="G600">
        <v>34.7331</v>
      </c>
      <c r="H600">
        <v>82.437899999999999</v>
      </c>
      <c r="I600">
        <v>36.618400000000001</v>
      </c>
      <c r="J600">
        <v>87.708699999999993</v>
      </c>
    </row>
    <row r="601" spans="1:10" x14ac:dyDescent="0.35">
      <c r="A601" s="77">
        <v>25173</v>
      </c>
      <c r="B601">
        <v>38.049900000000001</v>
      </c>
      <c r="C601">
        <v>59.233600000000003</v>
      </c>
      <c r="D601">
        <v>16.119499999999999</v>
      </c>
      <c r="E601">
        <v>51.391100000000002</v>
      </c>
      <c r="G601">
        <v>34.914499999999997</v>
      </c>
      <c r="H601">
        <v>82.720699999999994</v>
      </c>
      <c r="I601">
        <v>37.898600000000002</v>
      </c>
      <c r="J601">
        <v>87.649199999999993</v>
      </c>
    </row>
    <row r="602" spans="1:10" x14ac:dyDescent="0.35">
      <c r="A602" s="77">
        <v>25204</v>
      </c>
      <c r="B602">
        <v>38.280099999999997</v>
      </c>
      <c r="C602">
        <v>59.618000000000002</v>
      </c>
      <c r="D602">
        <v>16.3447</v>
      </c>
      <c r="E602">
        <v>51.664900000000003</v>
      </c>
      <c r="G602">
        <v>35.086199999999998</v>
      </c>
      <c r="H602">
        <v>83.138999999999996</v>
      </c>
      <c r="I602">
        <v>37.654699999999998</v>
      </c>
      <c r="J602">
        <v>87.852000000000004</v>
      </c>
    </row>
    <row r="603" spans="1:10" x14ac:dyDescent="0.35">
      <c r="A603" s="77">
        <v>25235</v>
      </c>
      <c r="B603">
        <v>38.524999999999999</v>
      </c>
      <c r="C603">
        <v>60.185299999999998</v>
      </c>
      <c r="D603">
        <v>16.338100000000001</v>
      </c>
      <c r="E603">
        <v>52.088500000000003</v>
      </c>
      <c r="G603">
        <v>35.463799999999999</v>
      </c>
      <c r="H603">
        <v>82.764899999999997</v>
      </c>
      <c r="I603">
        <v>37.915799999999997</v>
      </c>
      <c r="J603">
        <v>88.096000000000004</v>
      </c>
    </row>
    <row r="604" spans="1:10" x14ac:dyDescent="0.35">
      <c r="A604" s="77">
        <v>25263</v>
      </c>
      <c r="B604">
        <v>38.827100000000002</v>
      </c>
      <c r="C604">
        <v>60.403599999999997</v>
      </c>
      <c r="D604">
        <v>16.5002</v>
      </c>
      <c r="E604">
        <v>52.4529</v>
      </c>
      <c r="G604">
        <v>35.630299999999998</v>
      </c>
      <c r="H604">
        <v>83.182100000000005</v>
      </c>
      <c r="I604">
        <v>38.334600000000002</v>
      </c>
      <c r="J604">
        <v>88.468000000000004</v>
      </c>
    </row>
    <row r="605" spans="1:10" x14ac:dyDescent="0.35">
      <c r="A605" s="77">
        <v>25294</v>
      </c>
      <c r="B605">
        <v>38.684199999999997</v>
      </c>
      <c r="C605">
        <v>59.835700000000003</v>
      </c>
      <c r="D605">
        <v>16.670000000000002</v>
      </c>
      <c r="E605">
        <v>51.678199999999997</v>
      </c>
      <c r="G605">
        <v>35.733600000000003</v>
      </c>
      <c r="H605">
        <v>83.350999999999999</v>
      </c>
      <c r="I605">
        <v>38.1404</v>
      </c>
      <c r="J605">
        <v>87.827200000000005</v>
      </c>
    </row>
    <row r="606" spans="1:10" x14ac:dyDescent="0.35">
      <c r="A606" s="77">
        <v>25324</v>
      </c>
      <c r="B606">
        <v>38.537999999999997</v>
      </c>
      <c r="C606">
        <v>59.4435</v>
      </c>
      <c r="D606">
        <v>16.558399999999999</v>
      </c>
      <c r="E606">
        <v>51.292400000000001</v>
      </c>
      <c r="G606">
        <v>35.649099999999997</v>
      </c>
      <c r="H606">
        <v>84.105400000000003</v>
      </c>
      <c r="I606">
        <v>38.167400000000001</v>
      </c>
      <c r="J606">
        <v>87.183300000000003</v>
      </c>
    </row>
    <row r="607" spans="1:10" x14ac:dyDescent="0.35">
      <c r="A607" s="77">
        <v>25355</v>
      </c>
      <c r="B607">
        <v>38.914499999999997</v>
      </c>
      <c r="C607">
        <v>59.759599999999999</v>
      </c>
      <c r="D607">
        <v>16.725000000000001</v>
      </c>
      <c r="E607">
        <v>51.884399999999999</v>
      </c>
      <c r="G607">
        <v>36.1267</v>
      </c>
      <c r="H607">
        <v>86.380399999999995</v>
      </c>
      <c r="I607">
        <v>38.8857</v>
      </c>
      <c r="J607">
        <v>87.722300000000004</v>
      </c>
    </row>
    <row r="608" spans="1:10" x14ac:dyDescent="0.35">
      <c r="A608" s="77">
        <v>25385</v>
      </c>
      <c r="B608">
        <v>39.119999999999997</v>
      </c>
      <c r="C608">
        <v>59.233800000000002</v>
      </c>
      <c r="D608">
        <v>16.894600000000001</v>
      </c>
      <c r="E608">
        <v>52.7911</v>
      </c>
      <c r="G608">
        <v>36.143599999999999</v>
      </c>
      <c r="H608">
        <v>84.390799999999999</v>
      </c>
      <c r="I608">
        <v>39.500999999999998</v>
      </c>
      <c r="J608">
        <v>87.873099999999994</v>
      </c>
    </row>
    <row r="609" spans="1:10" x14ac:dyDescent="0.35">
      <c r="A609" s="77">
        <v>25416</v>
      </c>
      <c r="B609">
        <v>39.209899999999998</v>
      </c>
      <c r="C609">
        <v>59.1693</v>
      </c>
      <c r="D609">
        <v>16.828099999999999</v>
      </c>
      <c r="E609">
        <v>52.696599999999997</v>
      </c>
      <c r="G609">
        <v>36.513500000000001</v>
      </c>
      <c r="H609">
        <v>84.660899999999998</v>
      </c>
      <c r="I609">
        <v>39.697600000000001</v>
      </c>
      <c r="J609">
        <v>87.764200000000002</v>
      </c>
    </row>
    <row r="610" spans="1:10" x14ac:dyDescent="0.35">
      <c r="A610" s="77">
        <v>25447</v>
      </c>
      <c r="B610">
        <v>39.201099999999997</v>
      </c>
      <c r="C610">
        <v>59.182400000000001</v>
      </c>
      <c r="D610">
        <v>16.994800000000001</v>
      </c>
      <c r="E610">
        <v>52.2971</v>
      </c>
      <c r="G610">
        <v>36.608899999999998</v>
      </c>
      <c r="H610">
        <v>85.498599999999996</v>
      </c>
      <c r="I610">
        <v>39.281599999999997</v>
      </c>
      <c r="J610">
        <v>87.436000000000007</v>
      </c>
    </row>
    <row r="611" spans="1:10" x14ac:dyDescent="0.35">
      <c r="A611" s="77">
        <v>25477</v>
      </c>
      <c r="B611">
        <v>39.212499999999999</v>
      </c>
      <c r="C611">
        <v>59.389800000000001</v>
      </c>
      <c r="D611">
        <v>17.043399999999998</v>
      </c>
      <c r="E611">
        <v>52.319400000000002</v>
      </c>
      <c r="G611">
        <v>36.601700000000001</v>
      </c>
      <c r="H611">
        <v>85.9328</v>
      </c>
      <c r="I611">
        <v>39.576599999999999</v>
      </c>
      <c r="J611">
        <v>87.155000000000001</v>
      </c>
    </row>
    <row r="612" spans="1:10" x14ac:dyDescent="0.35">
      <c r="A612" s="77">
        <v>25508</v>
      </c>
      <c r="B612">
        <v>38.8429</v>
      </c>
      <c r="C612">
        <v>59.023899999999998</v>
      </c>
      <c r="D612">
        <v>16.652899999999999</v>
      </c>
      <c r="E612">
        <v>51.8645</v>
      </c>
      <c r="G612">
        <v>36.409100000000002</v>
      </c>
      <c r="H612">
        <v>86.315700000000007</v>
      </c>
      <c r="I612">
        <v>40.163200000000003</v>
      </c>
      <c r="J612">
        <v>86.031999999999996</v>
      </c>
    </row>
    <row r="613" spans="1:10" x14ac:dyDescent="0.35">
      <c r="A613" s="77">
        <v>25538</v>
      </c>
      <c r="B613">
        <v>38.738700000000001</v>
      </c>
      <c r="C613">
        <v>58.700699999999998</v>
      </c>
      <c r="D613">
        <v>16.591100000000001</v>
      </c>
      <c r="E613">
        <v>51.9343</v>
      </c>
      <c r="G613">
        <v>36.195599999999999</v>
      </c>
      <c r="H613">
        <v>87.581299999999999</v>
      </c>
      <c r="I613">
        <v>40.157899999999998</v>
      </c>
      <c r="J613">
        <v>85.502399999999994</v>
      </c>
    </row>
    <row r="614" spans="1:10" x14ac:dyDescent="0.35">
      <c r="A614" s="77">
        <v>25569</v>
      </c>
      <c r="B614">
        <v>38.021299999999997</v>
      </c>
      <c r="C614">
        <v>56.862299999999998</v>
      </c>
      <c r="D614">
        <v>16.3598</v>
      </c>
      <c r="E614">
        <v>51.063299999999998</v>
      </c>
      <c r="G614">
        <v>35.363799999999998</v>
      </c>
      <c r="H614">
        <v>86.981300000000005</v>
      </c>
      <c r="I614">
        <v>40.2346</v>
      </c>
      <c r="J614">
        <v>83.641400000000004</v>
      </c>
    </row>
    <row r="615" spans="1:10" x14ac:dyDescent="0.35">
      <c r="A615" s="77">
        <v>25600</v>
      </c>
      <c r="B615">
        <v>37.996299999999998</v>
      </c>
      <c r="C615">
        <v>56.658499999999997</v>
      </c>
      <c r="D615">
        <v>16.429200000000002</v>
      </c>
      <c r="E615">
        <v>51.567399999999999</v>
      </c>
      <c r="G615">
        <v>35.164999999999999</v>
      </c>
      <c r="H615">
        <v>86.052999999999997</v>
      </c>
      <c r="I615">
        <v>40.223500000000001</v>
      </c>
      <c r="J615">
        <v>83.3245</v>
      </c>
    </row>
    <row r="616" spans="1:10" x14ac:dyDescent="0.35">
      <c r="A616" s="77">
        <v>25628</v>
      </c>
      <c r="B616">
        <v>37.946899999999999</v>
      </c>
      <c r="C616">
        <v>57.156700000000001</v>
      </c>
      <c r="D616">
        <v>16.462399999999999</v>
      </c>
      <c r="E616">
        <v>51.505600000000001</v>
      </c>
      <c r="G616">
        <v>35.0824</v>
      </c>
      <c r="H616">
        <v>86.175200000000004</v>
      </c>
      <c r="I616">
        <v>40.756599999999999</v>
      </c>
      <c r="J616">
        <v>82.956000000000003</v>
      </c>
    </row>
    <row r="617" spans="1:10" x14ac:dyDescent="0.35">
      <c r="A617" s="77">
        <v>25659</v>
      </c>
      <c r="B617">
        <v>37.849400000000003</v>
      </c>
      <c r="C617">
        <v>57.745800000000003</v>
      </c>
      <c r="D617">
        <v>16.454899999999999</v>
      </c>
      <c r="E617">
        <v>51.714199999999998</v>
      </c>
      <c r="G617">
        <v>34.839799999999997</v>
      </c>
      <c r="H617">
        <v>85.892899999999997</v>
      </c>
      <c r="I617">
        <v>40.993000000000002</v>
      </c>
      <c r="J617">
        <v>82.484800000000007</v>
      </c>
    </row>
    <row r="618" spans="1:10" x14ac:dyDescent="0.35">
      <c r="A618" s="77">
        <v>25689</v>
      </c>
      <c r="B618">
        <v>37.805300000000003</v>
      </c>
      <c r="C618">
        <v>57.796999999999997</v>
      </c>
      <c r="D618">
        <v>16.438199999999998</v>
      </c>
      <c r="E618">
        <v>51.994900000000001</v>
      </c>
      <c r="G618">
        <v>34.724400000000003</v>
      </c>
      <c r="H618">
        <v>85.676599999999993</v>
      </c>
      <c r="I618">
        <v>41.7562</v>
      </c>
      <c r="J618">
        <v>82.132499999999993</v>
      </c>
    </row>
    <row r="619" spans="1:10" x14ac:dyDescent="0.35">
      <c r="A619" s="77">
        <v>25720</v>
      </c>
      <c r="B619">
        <v>37.683</v>
      </c>
      <c r="C619">
        <v>57.552900000000001</v>
      </c>
      <c r="D619">
        <v>16.3384</v>
      </c>
      <c r="E619">
        <v>52.125100000000003</v>
      </c>
      <c r="G619">
        <v>34.568100000000001</v>
      </c>
      <c r="H619">
        <v>85.458799999999997</v>
      </c>
      <c r="I619">
        <v>40.921900000000001</v>
      </c>
      <c r="J619">
        <v>81.613200000000006</v>
      </c>
    </row>
    <row r="620" spans="1:10" x14ac:dyDescent="0.35">
      <c r="A620" s="77">
        <v>25750</v>
      </c>
      <c r="B620">
        <v>37.775500000000001</v>
      </c>
      <c r="C620">
        <v>58.215400000000002</v>
      </c>
      <c r="D620">
        <v>16.2959</v>
      </c>
      <c r="E620">
        <v>52.2502</v>
      </c>
      <c r="G620">
        <v>34.741799999999998</v>
      </c>
      <c r="H620">
        <v>84.630600000000001</v>
      </c>
      <c r="I620">
        <v>41.539200000000001</v>
      </c>
      <c r="J620">
        <v>81.5608</v>
      </c>
    </row>
    <row r="621" spans="1:10" x14ac:dyDescent="0.35">
      <c r="A621" s="77">
        <v>25781</v>
      </c>
      <c r="B621">
        <v>37.708100000000002</v>
      </c>
      <c r="C621">
        <v>57.966200000000001</v>
      </c>
      <c r="D621">
        <v>16.251100000000001</v>
      </c>
      <c r="E621">
        <v>51.3611</v>
      </c>
      <c r="G621">
        <v>35.162100000000002</v>
      </c>
      <c r="H621">
        <v>87.057599999999994</v>
      </c>
      <c r="I621">
        <v>42.0886</v>
      </c>
      <c r="J621">
        <v>81.164500000000004</v>
      </c>
    </row>
    <row r="622" spans="1:10" x14ac:dyDescent="0.35">
      <c r="A622" s="77">
        <v>25812</v>
      </c>
      <c r="B622">
        <v>37.4482</v>
      </c>
      <c r="C622">
        <v>57.8309</v>
      </c>
      <c r="D622">
        <v>15.904299999999999</v>
      </c>
      <c r="E622">
        <v>51.165799999999997</v>
      </c>
      <c r="G622">
        <v>34.919600000000003</v>
      </c>
      <c r="H622">
        <v>87.962599999999995</v>
      </c>
      <c r="I622">
        <v>42.334699999999998</v>
      </c>
      <c r="J622">
        <v>80.357399999999998</v>
      </c>
    </row>
    <row r="623" spans="1:10" x14ac:dyDescent="0.35">
      <c r="A623" s="77">
        <v>25842</v>
      </c>
      <c r="B623">
        <v>36.699100000000001</v>
      </c>
      <c r="C623">
        <v>57.246499999999997</v>
      </c>
      <c r="D623">
        <v>15.383900000000001</v>
      </c>
      <c r="E623">
        <v>50.536299999999997</v>
      </c>
      <c r="G623">
        <v>33.997799999999998</v>
      </c>
      <c r="H623">
        <v>89.516099999999994</v>
      </c>
      <c r="I623">
        <v>41.703400000000002</v>
      </c>
      <c r="J623">
        <v>78.508799999999994</v>
      </c>
    </row>
    <row r="624" spans="1:10" x14ac:dyDescent="0.35">
      <c r="A624" s="77">
        <v>25873</v>
      </c>
      <c r="B624">
        <v>36.476799999999997</v>
      </c>
      <c r="C624">
        <v>56.542700000000004</v>
      </c>
      <c r="D624">
        <v>15.298400000000001</v>
      </c>
      <c r="E624">
        <v>50.198900000000002</v>
      </c>
      <c r="G624">
        <v>33.794400000000003</v>
      </c>
      <c r="H624">
        <v>89.560199999999995</v>
      </c>
      <c r="I624">
        <v>41.883000000000003</v>
      </c>
      <c r="J624">
        <v>77.795100000000005</v>
      </c>
    </row>
    <row r="625" spans="1:10" x14ac:dyDescent="0.35">
      <c r="A625" s="77">
        <v>25903</v>
      </c>
      <c r="B625">
        <v>37.314500000000002</v>
      </c>
      <c r="C625">
        <v>57.166699999999999</v>
      </c>
      <c r="D625">
        <v>15.4937</v>
      </c>
      <c r="E625">
        <v>52.361699999999999</v>
      </c>
      <c r="G625">
        <v>34.559100000000001</v>
      </c>
      <c r="H625">
        <v>89.016999999999996</v>
      </c>
      <c r="I625">
        <v>41.8369</v>
      </c>
      <c r="J625">
        <v>79.339399999999998</v>
      </c>
    </row>
    <row r="626" spans="1:10" x14ac:dyDescent="0.35">
      <c r="A626" s="77">
        <v>25934</v>
      </c>
      <c r="B626">
        <v>37.601500000000001</v>
      </c>
      <c r="C626">
        <v>57.220300000000002</v>
      </c>
      <c r="D626">
        <v>15.1548</v>
      </c>
      <c r="E626">
        <v>53.143900000000002</v>
      </c>
      <c r="G626">
        <v>35.041600000000003</v>
      </c>
      <c r="H626">
        <v>87.633799999999994</v>
      </c>
      <c r="I626">
        <v>42.878900000000002</v>
      </c>
      <c r="J626">
        <v>79.725899999999996</v>
      </c>
    </row>
    <row r="627" spans="1:10" x14ac:dyDescent="0.35">
      <c r="A627" s="77">
        <v>25965</v>
      </c>
      <c r="B627">
        <v>37.529899999999998</v>
      </c>
      <c r="C627">
        <v>57.592700000000001</v>
      </c>
      <c r="D627">
        <v>15.2392</v>
      </c>
      <c r="E627">
        <v>53.114100000000001</v>
      </c>
      <c r="G627">
        <v>34.8339</v>
      </c>
      <c r="H627">
        <v>86.110799999999998</v>
      </c>
      <c r="I627">
        <v>42.619700000000002</v>
      </c>
      <c r="J627">
        <v>79.371099999999998</v>
      </c>
    </row>
    <row r="628" spans="1:10" x14ac:dyDescent="0.35">
      <c r="A628" s="77">
        <v>25993</v>
      </c>
      <c r="B628">
        <v>37.489199999999997</v>
      </c>
      <c r="C628">
        <v>57.369799999999998</v>
      </c>
      <c r="D628">
        <v>15.086399999999999</v>
      </c>
      <c r="E628">
        <v>53.265700000000002</v>
      </c>
      <c r="G628">
        <v>34.900399999999998</v>
      </c>
      <c r="H628">
        <v>86.424800000000005</v>
      </c>
      <c r="I628">
        <v>42.981499999999997</v>
      </c>
      <c r="J628">
        <v>79.083100000000002</v>
      </c>
    </row>
    <row r="629" spans="1:10" x14ac:dyDescent="0.35">
      <c r="A629" s="77">
        <v>26024</v>
      </c>
      <c r="B629">
        <v>37.699800000000003</v>
      </c>
      <c r="C629">
        <v>57.905099999999997</v>
      </c>
      <c r="D629">
        <v>14.9963</v>
      </c>
      <c r="E629">
        <v>53.701799999999999</v>
      </c>
      <c r="G629">
        <v>35.1312</v>
      </c>
      <c r="H629">
        <v>86.652799999999999</v>
      </c>
      <c r="I629">
        <v>43.123699999999999</v>
      </c>
      <c r="J629">
        <v>79.325199999999995</v>
      </c>
    </row>
    <row r="630" spans="1:10" x14ac:dyDescent="0.35">
      <c r="A630" s="77">
        <v>26054</v>
      </c>
      <c r="B630">
        <v>37.891100000000002</v>
      </c>
      <c r="C630">
        <v>58.177</v>
      </c>
      <c r="D630">
        <v>14.8935</v>
      </c>
      <c r="E630">
        <v>53.7483</v>
      </c>
      <c r="G630">
        <v>35.544899999999998</v>
      </c>
      <c r="H630">
        <v>86.468699999999998</v>
      </c>
      <c r="I630">
        <v>43.496400000000001</v>
      </c>
      <c r="J630">
        <v>79.525599999999997</v>
      </c>
    </row>
    <row r="631" spans="1:10" x14ac:dyDescent="0.35">
      <c r="A631" s="77">
        <v>26085</v>
      </c>
      <c r="B631">
        <v>38.049999999999997</v>
      </c>
      <c r="C631">
        <v>58.830500000000001</v>
      </c>
      <c r="D631">
        <v>14.967700000000001</v>
      </c>
      <c r="E631">
        <v>54.147199999999998</v>
      </c>
      <c r="G631">
        <v>35.704599999999999</v>
      </c>
      <c r="H631">
        <v>86.216700000000003</v>
      </c>
      <c r="I631">
        <v>43.842399999999998</v>
      </c>
      <c r="J631">
        <v>79.657200000000003</v>
      </c>
    </row>
    <row r="632" spans="1:10" x14ac:dyDescent="0.35">
      <c r="A632" s="77">
        <v>26115</v>
      </c>
      <c r="B632">
        <v>37.939500000000002</v>
      </c>
      <c r="C632">
        <v>59.349299999999999</v>
      </c>
      <c r="D632">
        <v>14.9922</v>
      </c>
      <c r="E632">
        <v>54.985100000000003</v>
      </c>
      <c r="G632">
        <v>34.843000000000004</v>
      </c>
      <c r="H632">
        <v>83.418099999999995</v>
      </c>
      <c r="I632">
        <v>43.637799999999999</v>
      </c>
      <c r="J632">
        <v>79.2256</v>
      </c>
    </row>
    <row r="633" spans="1:10" x14ac:dyDescent="0.35">
      <c r="A633" s="77">
        <v>26146</v>
      </c>
      <c r="B633">
        <v>37.719299999999997</v>
      </c>
      <c r="C633">
        <v>58.314500000000002</v>
      </c>
      <c r="D633">
        <v>15.220599999999999</v>
      </c>
      <c r="E633">
        <v>54.355800000000002</v>
      </c>
      <c r="G633">
        <v>34.637999999999998</v>
      </c>
      <c r="H633">
        <v>85.204599999999999</v>
      </c>
      <c r="I633">
        <v>43.272599999999997</v>
      </c>
      <c r="J633">
        <v>78.567499999999995</v>
      </c>
    </row>
    <row r="634" spans="1:10" x14ac:dyDescent="0.35">
      <c r="A634" s="77">
        <v>26177</v>
      </c>
      <c r="B634">
        <v>38.3324</v>
      </c>
      <c r="C634">
        <v>60.482700000000001</v>
      </c>
      <c r="D634">
        <v>15.570499999999999</v>
      </c>
      <c r="E634">
        <v>54.8568</v>
      </c>
      <c r="G634">
        <v>35.300800000000002</v>
      </c>
      <c r="H634">
        <v>84.650099999999995</v>
      </c>
      <c r="I634">
        <v>43.5242</v>
      </c>
      <c r="J634">
        <v>79.644000000000005</v>
      </c>
    </row>
    <row r="635" spans="1:10" x14ac:dyDescent="0.35">
      <c r="A635" s="77">
        <v>26207</v>
      </c>
      <c r="B635">
        <v>38.619300000000003</v>
      </c>
      <c r="C635">
        <v>61.327800000000003</v>
      </c>
      <c r="D635">
        <v>15.722899999999999</v>
      </c>
      <c r="E635">
        <v>55.598799999999997</v>
      </c>
      <c r="G635">
        <v>35.406399999999998</v>
      </c>
      <c r="H635">
        <v>77.575500000000005</v>
      </c>
      <c r="I635">
        <v>44.151400000000002</v>
      </c>
      <c r="J635">
        <v>80.039199999999994</v>
      </c>
    </row>
    <row r="636" spans="1:10" x14ac:dyDescent="0.35">
      <c r="A636" s="77">
        <v>26238</v>
      </c>
      <c r="B636">
        <v>38.783200000000001</v>
      </c>
      <c r="C636">
        <v>61.5199</v>
      </c>
      <c r="D636">
        <v>15.794700000000001</v>
      </c>
      <c r="E636">
        <v>56.0411</v>
      </c>
      <c r="G636">
        <v>35.466099999999997</v>
      </c>
      <c r="H636">
        <v>80.686899999999994</v>
      </c>
      <c r="I636">
        <v>43.523899999999998</v>
      </c>
      <c r="J636">
        <v>80.178100000000001</v>
      </c>
    </row>
    <row r="637" spans="1:10" x14ac:dyDescent="0.35">
      <c r="A637" s="77">
        <v>26268</v>
      </c>
      <c r="B637">
        <v>39.230899999999998</v>
      </c>
      <c r="C637">
        <v>62.572000000000003</v>
      </c>
      <c r="D637">
        <v>15.8833</v>
      </c>
      <c r="E637">
        <v>56.418399999999998</v>
      </c>
      <c r="G637">
        <v>36.195700000000002</v>
      </c>
      <c r="H637">
        <v>86.049000000000007</v>
      </c>
      <c r="I637">
        <v>43.275300000000001</v>
      </c>
      <c r="J637">
        <v>80.901499999999999</v>
      </c>
    </row>
    <row r="638" spans="1:10" x14ac:dyDescent="0.35">
      <c r="A638" s="77">
        <v>26299</v>
      </c>
      <c r="B638">
        <v>40.168799999999997</v>
      </c>
      <c r="C638">
        <v>64.271600000000007</v>
      </c>
      <c r="D638">
        <v>16.392299999999999</v>
      </c>
      <c r="E638">
        <v>57.259900000000002</v>
      </c>
      <c r="F638">
        <v>36.042700000000004</v>
      </c>
      <c r="G638">
        <v>37.318899999999999</v>
      </c>
      <c r="H638">
        <v>86.360100000000003</v>
      </c>
      <c r="I638">
        <v>44.073</v>
      </c>
      <c r="J638">
        <v>82.625799999999998</v>
      </c>
    </row>
    <row r="639" spans="1:10" x14ac:dyDescent="0.35">
      <c r="A639" s="77">
        <v>26330</v>
      </c>
      <c r="B639">
        <v>40.5837</v>
      </c>
      <c r="C639">
        <v>64.565899999999999</v>
      </c>
      <c r="D639">
        <v>16.663599999999999</v>
      </c>
      <c r="E639">
        <v>57.619500000000002</v>
      </c>
      <c r="F639">
        <v>36.328800000000001</v>
      </c>
      <c r="G639">
        <v>37.7376</v>
      </c>
      <c r="H639">
        <v>85.453699999999998</v>
      </c>
      <c r="I639">
        <v>46.1374</v>
      </c>
      <c r="J639">
        <v>83.284999999999997</v>
      </c>
    </row>
    <row r="640" spans="1:10" x14ac:dyDescent="0.35">
      <c r="A640" s="77">
        <v>26359</v>
      </c>
      <c r="B640">
        <v>40.865499999999997</v>
      </c>
      <c r="C640">
        <v>65.025199999999998</v>
      </c>
      <c r="D640">
        <v>16.866199999999999</v>
      </c>
      <c r="E640">
        <v>57.597799999999999</v>
      </c>
      <c r="F640">
        <v>36.573399999999999</v>
      </c>
      <c r="G640">
        <v>38.1111</v>
      </c>
      <c r="H640">
        <v>86.075400000000002</v>
      </c>
      <c r="I640">
        <v>46.343699999999998</v>
      </c>
      <c r="J640">
        <v>83.664299999999997</v>
      </c>
    </row>
    <row r="641" spans="1:10" x14ac:dyDescent="0.35">
      <c r="A641" s="77">
        <v>26390</v>
      </c>
      <c r="B641">
        <v>41.265599999999999</v>
      </c>
      <c r="C641">
        <v>65.741200000000006</v>
      </c>
      <c r="D641">
        <v>17.145900000000001</v>
      </c>
      <c r="E641">
        <v>58.268799999999999</v>
      </c>
      <c r="F641">
        <v>36.981999999999999</v>
      </c>
      <c r="G641">
        <v>38.456899999999997</v>
      </c>
      <c r="H641">
        <v>86.963399999999993</v>
      </c>
      <c r="I641">
        <v>46.217700000000001</v>
      </c>
      <c r="J641">
        <v>84.278300000000002</v>
      </c>
    </row>
    <row r="642" spans="1:10" x14ac:dyDescent="0.35">
      <c r="A642" s="77">
        <v>26420</v>
      </c>
      <c r="B642">
        <v>41.270600000000002</v>
      </c>
      <c r="C642">
        <v>66.084199999999996</v>
      </c>
      <c r="D642">
        <v>17.1372</v>
      </c>
      <c r="E642">
        <v>58.014200000000002</v>
      </c>
      <c r="F642">
        <v>37.053699999999999</v>
      </c>
      <c r="G642">
        <v>38.545099999999998</v>
      </c>
      <c r="H642">
        <v>86.222300000000004</v>
      </c>
      <c r="I642">
        <v>45.641300000000001</v>
      </c>
      <c r="J642">
        <v>84.081199999999995</v>
      </c>
    </row>
    <row r="643" spans="1:10" x14ac:dyDescent="0.35">
      <c r="A643" s="77">
        <v>26451</v>
      </c>
      <c r="B643">
        <v>41.378599999999999</v>
      </c>
      <c r="C643">
        <v>66.650700000000001</v>
      </c>
      <c r="D643">
        <v>17.1982</v>
      </c>
      <c r="E643">
        <v>58.039099999999998</v>
      </c>
      <c r="F643">
        <v>37.163400000000003</v>
      </c>
      <c r="G643">
        <v>38.608600000000003</v>
      </c>
      <c r="H643">
        <v>86.295599999999993</v>
      </c>
      <c r="I643">
        <v>45.336399999999998</v>
      </c>
      <c r="J643">
        <v>84.088999999999999</v>
      </c>
    </row>
    <row r="644" spans="1:10" x14ac:dyDescent="0.35">
      <c r="A644" s="77">
        <v>26481</v>
      </c>
      <c r="B644">
        <v>41.334699999999998</v>
      </c>
      <c r="C644">
        <v>67.556299999999993</v>
      </c>
      <c r="D644">
        <v>17.194299999999998</v>
      </c>
      <c r="E644">
        <v>58.471200000000003</v>
      </c>
      <c r="F644">
        <v>37.153399999999998</v>
      </c>
      <c r="G644">
        <v>38.2971</v>
      </c>
      <c r="H644">
        <v>86.126400000000004</v>
      </c>
      <c r="I644">
        <v>44.8827</v>
      </c>
      <c r="J644">
        <v>83.783699999999996</v>
      </c>
    </row>
    <row r="645" spans="1:10" x14ac:dyDescent="0.35">
      <c r="A645" s="77">
        <v>26512</v>
      </c>
      <c r="B645">
        <v>41.904600000000002</v>
      </c>
      <c r="C645">
        <v>68.041799999999995</v>
      </c>
      <c r="D645">
        <v>17.5533</v>
      </c>
      <c r="E645">
        <v>59.105400000000003</v>
      </c>
      <c r="F645">
        <v>37.650799999999997</v>
      </c>
      <c r="G645">
        <v>38.906500000000001</v>
      </c>
      <c r="H645">
        <v>87.115899999999996</v>
      </c>
      <c r="I645">
        <v>45.825800000000001</v>
      </c>
      <c r="J645">
        <v>84.712699999999998</v>
      </c>
    </row>
    <row r="646" spans="1:10" x14ac:dyDescent="0.35">
      <c r="A646" s="77">
        <v>26543</v>
      </c>
      <c r="B646">
        <v>42.228400000000001</v>
      </c>
      <c r="C646">
        <v>68.652799999999999</v>
      </c>
      <c r="D646">
        <v>17.699000000000002</v>
      </c>
      <c r="E646">
        <v>59.431899999999999</v>
      </c>
      <c r="F646">
        <v>37.918900000000001</v>
      </c>
      <c r="G646">
        <v>39.295099999999998</v>
      </c>
      <c r="H646">
        <v>87.233000000000004</v>
      </c>
      <c r="I646">
        <v>46.374200000000002</v>
      </c>
      <c r="J646">
        <v>85.131</v>
      </c>
    </row>
    <row r="647" spans="1:10" x14ac:dyDescent="0.35">
      <c r="A647" s="77">
        <v>26573</v>
      </c>
      <c r="B647">
        <v>42.774500000000003</v>
      </c>
      <c r="C647">
        <v>69.696299999999994</v>
      </c>
      <c r="D647">
        <v>18.0627</v>
      </c>
      <c r="E647">
        <v>60.283900000000003</v>
      </c>
      <c r="F647">
        <v>38.487000000000002</v>
      </c>
      <c r="G647">
        <v>39.68</v>
      </c>
      <c r="H647">
        <v>86.862499999999997</v>
      </c>
      <c r="I647">
        <v>46.891800000000003</v>
      </c>
      <c r="J647">
        <v>85.983400000000003</v>
      </c>
    </row>
    <row r="648" spans="1:10" x14ac:dyDescent="0.35">
      <c r="A648" s="77">
        <v>26604</v>
      </c>
      <c r="B648">
        <v>43.279499999999999</v>
      </c>
      <c r="C648">
        <v>70.174000000000007</v>
      </c>
      <c r="D648">
        <v>18.3796</v>
      </c>
      <c r="E648">
        <v>60.709499999999998</v>
      </c>
      <c r="F648">
        <v>38.985300000000002</v>
      </c>
      <c r="G648">
        <v>40.264000000000003</v>
      </c>
      <c r="H648">
        <v>86.805700000000002</v>
      </c>
      <c r="I648">
        <v>47.628500000000003</v>
      </c>
      <c r="J648">
        <v>86.737499999999997</v>
      </c>
    </row>
    <row r="649" spans="1:10" x14ac:dyDescent="0.35">
      <c r="A649" s="77">
        <v>26634</v>
      </c>
      <c r="B649">
        <v>43.769500000000001</v>
      </c>
      <c r="C649">
        <v>69.948099999999997</v>
      </c>
      <c r="D649">
        <v>18.613199999999999</v>
      </c>
      <c r="E649">
        <v>61.210700000000003</v>
      </c>
      <c r="F649">
        <v>39.549300000000002</v>
      </c>
      <c r="G649">
        <v>40.906500000000001</v>
      </c>
      <c r="H649">
        <v>86.681399999999996</v>
      </c>
      <c r="I649">
        <v>47.658900000000003</v>
      </c>
      <c r="J649">
        <v>87.447800000000001</v>
      </c>
    </row>
    <row r="650" spans="1:10" x14ac:dyDescent="0.35">
      <c r="A650" s="77">
        <v>26665</v>
      </c>
      <c r="B650">
        <v>44.084699999999998</v>
      </c>
      <c r="C650">
        <v>70.778499999999994</v>
      </c>
      <c r="D650">
        <v>18.922000000000001</v>
      </c>
      <c r="E650">
        <v>61.104799999999997</v>
      </c>
      <c r="F650">
        <v>39.8491</v>
      </c>
      <c r="G650">
        <v>41.278399999999998</v>
      </c>
      <c r="H650">
        <v>86.744699999999995</v>
      </c>
      <c r="I650">
        <v>48.036499999999997</v>
      </c>
      <c r="J650">
        <v>87.800200000000004</v>
      </c>
    </row>
    <row r="651" spans="1:10" x14ac:dyDescent="0.35">
      <c r="A651" s="77">
        <v>26696</v>
      </c>
      <c r="B651">
        <v>44.724200000000003</v>
      </c>
      <c r="C651">
        <v>72.088300000000004</v>
      </c>
      <c r="D651">
        <v>19.313600000000001</v>
      </c>
      <c r="E651">
        <v>61.866199999999999</v>
      </c>
      <c r="F651">
        <v>40.485900000000001</v>
      </c>
      <c r="G651">
        <v>41.895499999999998</v>
      </c>
      <c r="H651">
        <v>86.860900000000001</v>
      </c>
      <c r="I651">
        <v>48.4178</v>
      </c>
      <c r="J651">
        <v>88.784899999999993</v>
      </c>
    </row>
    <row r="652" spans="1:10" x14ac:dyDescent="0.35">
      <c r="A652" s="77">
        <v>26724</v>
      </c>
      <c r="B652">
        <v>44.743499999999997</v>
      </c>
      <c r="C652">
        <v>72.508700000000005</v>
      </c>
      <c r="D652">
        <v>19.4682</v>
      </c>
      <c r="E652">
        <v>62.031700000000001</v>
      </c>
      <c r="F652">
        <v>40.561</v>
      </c>
      <c r="G652">
        <v>41.7652</v>
      </c>
      <c r="H652">
        <v>85.989000000000004</v>
      </c>
      <c r="I652">
        <v>48.093200000000003</v>
      </c>
      <c r="J652">
        <v>88.528300000000002</v>
      </c>
    </row>
    <row r="653" spans="1:10" x14ac:dyDescent="0.35">
      <c r="A653" s="77">
        <v>26755</v>
      </c>
      <c r="B653">
        <v>44.678199999999997</v>
      </c>
      <c r="C653">
        <v>72.387200000000007</v>
      </c>
      <c r="D653">
        <v>19.621600000000001</v>
      </c>
      <c r="E653">
        <v>61.395499999999998</v>
      </c>
      <c r="F653">
        <v>40.4985</v>
      </c>
      <c r="G653">
        <v>41.838299999999997</v>
      </c>
      <c r="H653">
        <v>85.701400000000007</v>
      </c>
      <c r="I653">
        <v>48.243499999999997</v>
      </c>
      <c r="J653">
        <v>88.102099999999993</v>
      </c>
    </row>
    <row r="654" spans="1:10" x14ac:dyDescent="0.35">
      <c r="A654" s="77">
        <v>26785</v>
      </c>
      <c r="B654">
        <v>44.9741</v>
      </c>
      <c r="C654">
        <v>72.709199999999996</v>
      </c>
      <c r="D654">
        <v>19.828299999999999</v>
      </c>
      <c r="E654">
        <v>61.760199999999998</v>
      </c>
      <c r="F654">
        <v>40.768000000000001</v>
      </c>
      <c r="G654">
        <v>42.122900000000001</v>
      </c>
      <c r="H654">
        <v>86.124499999999998</v>
      </c>
      <c r="I654">
        <v>48.770299999999999</v>
      </c>
      <c r="J654">
        <v>88.383099999999999</v>
      </c>
    </row>
    <row r="655" spans="1:10" x14ac:dyDescent="0.35">
      <c r="A655" s="77">
        <v>26816</v>
      </c>
      <c r="B655">
        <v>45.025700000000001</v>
      </c>
      <c r="C655">
        <v>72.888000000000005</v>
      </c>
      <c r="D655">
        <v>20.0275</v>
      </c>
      <c r="E655">
        <v>61.351300000000002</v>
      </c>
      <c r="F655">
        <v>40.7744</v>
      </c>
      <c r="G655">
        <v>42.214199999999998</v>
      </c>
      <c r="H655">
        <v>86.434299999999993</v>
      </c>
      <c r="I655">
        <v>49.379399999999997</v>
      </c>
      <c r="J655">
        <v>88.178899999999999</v>
      </c>
    </row>
    <row r="656" spans="1:10" x14ac:dyDescent="0.35">
      <c r="A656" s="77">
        <v>26846</v>
      </c>
      <c r="B656">
        <v>45.1952</v>
      </c>
      <c r="C656">
        <v>73.473600000000005</v>
      </c>
      <c r="D656">
        <v>20.270700000000001</v>
      </c>
      <c r="E656">
        <v>61.192799999999998</v>
      </c>
      <c r="F656">
        <v>40.9621</v>
      </c>
      <c r="G656">
        <v>42.38</v>
      </c>
      <c r="H656">
        <v>87.837800000000001</v>
      </c>
      <c r="I656">
        <v>48.813899999999997</v>
      </c>
      <c r="J656">
        <v>88.207300000000004</v>
      </c>
    </row>
    <row r="657" spans="1:11" x14ac:dyDescent="0.35">
      <c r="A657" s="77">
        <v>26877</v>
      </c>
      <c r="B657">
        <v>45.130800000000001</v>
      </c>
      <c r="C657">
        <v>73.5398</v>
      </c>
      <c r="D657">
        <v>20.323599999999999</v>
      </c>
      <c r="E657">
        <v>60.626899999999999</v>
      </c>
      <c r="F657">
        <v>40.8521</v>
      </c>
      <c r="G657">
        <v>42.433599999999998</v>
      </c>
      <c r="H657">
        <v>87.963099999999997</v>
      </c>
      <c r="I657">
        <v>49.259500000000003</v>
      </c>
      <c r="J657">
        <v>87.783299999999997</v>
      </c>
    </row>
    <row r="658" spans="1:11" x14ac:dyDescent="0.35">
      <c r="A658" s="77">
        <v>26908</v>
      </c>
      <c r="B658">
        <v>45.486199999999997</v>
      </c>
      <c r="C658">
        <v>73.428700000000006</v>
      </c>
      <c r="D658">
        <v>20.6678</v>
      </c>
      <c r="E658">
        <v>61.5627</v>
      </c>
      <c r="F658">
        <v>41.189399999999999</v>
      </c>
      <c r="G658">
        <v>42.616399999999999</v>
      </c>
      <c r="H658">
        <v>87.162800000000004</v>
      </c>
      <c r="I658">
        <v>50.565399999999997</v>
      </c>
      <c r="J658">
        <v>88.179599999999994</v>
      </c>
    </row>
    <row r="659" spans="1:11" x14ac:dyDescent="0.35">
      <c r="A659" s="77">
        <v>26938</v>
      </c>
      <c r="B659">
        <v>45.853099999999998</v>
      </c>
      <c r="C659">
        <v>73.403999999999996</v>
      </c>
      <c r="D659">
        <v>20.965499999999999</v>
      </c>
      <c r="E659">
        <v>61.827500000000001</v>
      </c>
      <c r="F659">
        <v>41.597099999999998</v>
      </c>
      <c r="G659">
        <v>42.965699999999998</v>
      </c>
      <c r="H659">
        <v>87.440600000000003</v>
      </c>
      <c r="I659">
        <v>50.249299999999998</v>
      </c>
      <c r="J659">
        <v>88.600300000000004</v>
      </c>
    </row>
    <row r="660" spans="1:11" x14ac:dyDescent="0.35">
      <c r="A660" s="77">
        <v>26969</v>
      </c>
      <c r="B660">
        <v>46.065399999999997</v>
      </c>
      <c r="C660">
        <v>73.910300000000007</v>
      </c>
      <c r="D660">
        <v>21.1127</v>
      </c>
      <c r="E660">
        <v>62.023099999999999</v>
      </c>
      <c r="F660">
        <v>41.885599999999997</v>
      </c>
      <c r="G660">
        <v>43.2241</v>
      </c>
      <c r="H660">
        <v>87.084000000000003</v>
      </c>
      <c r="I660">
        <v>49.472700000000003</v>
      </c>
      <c r="J660">
        <v>88.726799999999997</v>
      </c>
    </row>
    <row r="661" spans="1:11" x14ac:dyDescent="0.35">
      <c r="A661" s="77">
        <v>26999</v>
      </c>
      <c r="B661">
        <v>45.934399999999997</v>
      </c>
      <c r="C661">
        <v>74.466999999999999</v>
      </c>
      <c r="D661">
        <v>21.191199999999998</v>
      </c>
      <c r="E661">
        <v>60.9131</v>
      </c>
      <c r="F661">
        <v>41.890099999999997</v>
      </c>
      <c r="G661">
        <v>43.3735</v>
      </c>
      <c r="H661">
        <v>88.207400000000007</v>
      </c>
      <c r="I661">
        <v>46.688800000000001</v>
      </c>
      <c r="J661">
        <v>88.202200000000005</v>
      </c>
    </row>
    <row r="662" spans="1:11" x14ac:dyDescent="0.35">
      <c r="A662" s="77">
        <v>27030</v>
      </c>
      <c r="B662">
        <v>45.629800000000003</v>
      </c>
      <c r="C662">
        <v>74.625</v>
      </c>
      <c r="D662">
        <v>21.1739</v>
      </c>
      <c r="E662">
        <v>60.119900000000001</v>
      </c>
      <c r="F662">
        <v>41.5396</v>
      </c>
      <c r="G662">
        <v>43.054200000000002</v>
      </c>
      <c r="H662">
        <v>87.970799999999997</v>
      </c>
      <c r="I662">
        <v>46.861499999999999</v>
      </c>
      <c r="J662">
        <v>87.353499999999997</v>
      </c>
      <c r="K662">
        <v>49.7</v>
      </c>
    </row>
    <row r="663" spans="1:11" x14ac:dyDescent="0.35">
      <c r="A663" s="77">
        <v>27061</v>
      </c>
      <c r="B663">
        <v>45.495100000000001</v>
      </c>
      <c r="C663">
        <v>73.718199999999996</v>
      </c>
      <c r="D663">
        <v>21.093900000000001</v>
      </c>
      <c r="E663">
        <v>59.922199999999997</v>
      </c>
      <c r="F663">
        <v>41.368299999999998</v>
      </c>
      <c r="G663">
        <v>42.973199999999999</v>
      </c>
      <c r="H663">
        <v>87.987700000000004</v>
      </c>
      <c r="I663">
        <v>47.063899999999997</v>
      </c>
      <c r="J663">
        <v>86.844099999999997</v>
      </c>
      <c r="K663">
        <v>50</v>
      </c>
    </row>
    <row r="664" spans="1:11" x14ac:dyDescent="0.35">
      <c r="A664" s="77">
        <v>27089</v>
      </c>
      <c r="B664">
        <v>45.495199999999997</v>
      </c>
      <c r="C664">
        <v>73.888199999999998</v>
      </c>
      <c r="D664">
        <v>21.281700000000001</v>
      </c>
      <c r="E664">
        <v>60.0319</v>
      </c>
      <c r="F664">
        <v>41.347900000000003</v>
      </c>
      <c r="G664">
        <v>42.827199999999998</v>
      </c>
      <c r="H664">
        <v>87.234399999999994</v>
      </c>
      <c r="I664">
        <v>48.070700000000002</v>
      </c>
      <c r="J664">
        <v>86.603300000000004</v>
      </c>
      <c r="K664">
        <v>50.5</v>
      </c>
    </row>
    <row r="665" spans="1:11" x14ac:dyDescent="0.35">
      <c r="A665" s="77">
        <v>27120</v>
      </c>
      <c r="B665">
        <v>45.362499999999997</v>
      </c>
      <c r="C665">
        <v>73.2333</v>
      </c>
      <c r="D665">
        <v>21.0441</v>
      </c>
      <c r="E665">
        <v>59.837299999999999</v>
      </c>
      <c r="F665">
        <v>41.171300000000002</v>
      </c>
      <c r="G665">
        <v>42.770800000000001</v>
      </c>
      <c r="H665">
        <v>87.038799999999995</v>
      </c>
      <c r="I665">
        <v>48.641100000000002</v>
      </c>
      <c r="J665">
        <v>86.123800000000003</v>
      </c>
      <c r="K665">
        <v>51.1</v>
      </c>
    </row>
    <row r="666" spans="1:11" x14ac:dyDescent="0.35">
      <c r="A666" s="77">
        <v>27150</v>
      </c>
      <c r="B666">
        <v>45.7241</v>
      </c>
      <c r="C666">
        <v>73.554299999999998</v>
      </c>
      <c r="D666">
        <v>21.379899999999999</v>
      </c>
      <c r="E666">
        <v>60.421700000000001</v>
      </c>
      <c r="F666">
        <v>41.461500000000001</v>
      </c>
      <c r="G666">
        <v>43.050600000000003</v>
      </c>
      <c r="H666">
        <v>87.691500000000005</v>
      </c>
      <c r="I666">
        <v>49.253700000000002</v>
      </c>
      <c r="J666">
        <v>86.592500000000001</v>
      </c>
      <c r="K666">
        <v>52.2</v>
      </c>
    </row>
    <row r="667" spans="1:11" x14ac:dyDescent="0.35">
      <c r="A667" s="77">
        <v>27181</v>
      </c>
      <c r="B667">
        <v>45.639000000000003</v>
      </c>
      <c r="C667">
        <v>73.125100000000003</v>
      </c>
      <c r="D667">
        <v>21.405200000000001</v>
      </c>
      <c r="E667">
        <v>60.6175</v>
      </c>
      <c r="F667">
        <v>41.482300000000002</v>
      </c>
      <c r="G667">
        <v>42.837800000000001</v>
      </c>
      <c r="H667">
        <v>86.283900000000003</v>
      </c>
      <c r="I667">
        <v>48.782400000000003</v>
      </c>
      <c r="J667">
        <v>86.2239</v>
      </c>
      <c r="K667">
        <v>53.1</v>
      </c>
    </row>
    <row r="668" spans="1:11" x14ac:dyDescent="0.35">
      <c r="A668" s="77">
        <v>27211</v>
      </c>
      <c r="B668">
        <v>45.719299999999997</v>
      </c>
      <c r="C668">
        <v>71.787300000000002</v>
      </c>
      <c r="D668">
        <v>21.4634</v>
      </c>
      <c r="E668">
        <v>60.594000000000001</v>
      </c>
      <c r="F668">
        <v>41.462499999999999</v>
      </c>
      <c r="G668">
        <v>43.078600000000002</v>
      </c>
      <c r="H668">
        <v>86.799800000000005</v>
      </c>
      <c r="I668">
        <v>49.849200000000003</v>
      </c>
      <c r="J668">
        <v>86.180099999999996</v>
      </c>
      <c r="K668">
        <v>54</v>
      </c>
    </row>
    <row r="669" spans="1:11" x14ac:dyDescent="0.35">
      <c r="A669" s="77">
        <v>27242</v>
      </c>
      <c r="B669">
        <v>45.235700000000001</v>
      </c>
      <c r="C669">
        <v>70.847399999999993</v>
      </c>
      <c r="D669">
        <v>21.3796</v>
      </c>
      <c r="E669">
        <v>60.509900000000002</v>
      </c>
      <c r="F669">
        <v>41.0702</v>
      </c>
      <c r="G669">
        <v>42.302700000000002</v>
      </c>
      <c r="H669">
        <v>84.368899999999996</v>
      </c>
      <c r="I669">
        <v>49.419699999999999</v>
      </c>
      <c r="J669">
        <v>85.085300000000004</v>
      </c>
      <c r="K669">
        <v>55</v>
      </c>
    </row>
    <row r="670" spans="1:11" x14ac:dyDescent="0.35">
      <c r="A670" s="77">
        <v>27273</v>
      </c>
      <c r="B670">
        <v>45.242100000000001</v>
      </c>
      <c r="C670">
        <v>70.371300000000005</v>
      </c>
      <c r="D670">
        <v>21.7684</v>
      </c>
      <c r="E670">
        <v>59.986600000000003</v>
      </c>
      <c r="F670">
        <v>41.125500000000002</v>
      </c>
      <c r="G670">
        <v>42.389200000000002</v>
      </c>
      <c r="H670">
        <v>85.408500000000004</v>
      </c>
      <c r="I670">
        <v>48.765700000000002</v>
      </c>
      <c r="J670">
        <v>84.922600000000003</v>
      </c>
      <c r="K670">
        <v>55.7</v>
      </c>
    </row>
    <row r="671" spans="1:11" x14ac:dyDescent="0.35">
      <c r="A671" s="77">
        <v>27303</v>
      </c>
      <c r="B671">
        <v>45.101100000000002</v>
      </c>
      <c r="C671">
        <v>69.118799999999993</v>
      </c>
      <c r="D671">
        <v>21.7879</v>
      </c>
      <c r="E671">
        <v>60.001899999999999</v>
      </c>
      <c r="F671">
        <v>40.834299999999999</v>
      </c>
      <c r="G671">
        <v>42.183799999999998</v>
      </c>
      <c r="H671">
        <v>86.156800000000004</v>
      </c>
      <c r="I671">
        <v>50.011099999999999</v>
      </c>
      <c r="J671">
        <v>84.490799999999993</v>
      </c>
      <c r="K671">
        <v>56.7</v>
      </c>
    </row>
    <row r="672" spans="1:11" x14ac:dyDescent="0.35">
      <c r="A672" s="77">
        <v>27334</v>
      </c>
      <c r="B672">
        <v>43.6158</v>
      </c>
      <c r="C672">
        <v>66.942099999999996</v>
      </c>
      <c r="D672">
        <v>21.469200000000001</v>
      </c>
      <c r="E672">
        <v>58.306600000000003</v>
      </c>
      <c r="F672">
        <v>39.579599999999999</v>
      </c>
      <c r="G672">
        <v>40.3917</v>
      </c>
      <c r="H672">
        <v>79.848399999999998</v>
      </c>
      <c r="I672">
        <v>48.959099999999999</v>
      </c>
      <c r="J672">
        <v>81.5578</v>
      </c>
      <c r="K672">
        <v>57.4</v>
      </c>
    </row>
    <row r="673" spans="1:11" x14ac:dyDescent="0.35">
      <c r="A673" s="77">
        <v>27364</v>
      </c>
      <c r="B673">
        <v>42.055300000000003</v>
      </c>
      <c r="C673">
        <v>63.830500000000001</v>
      </c>
      <c r="D673">
        <v>20.6</v>
      </c>
      <c r="E673">
        <v>56.386600000000001</v>
      </c>
      <c r="F673">
        <v>37.755899999999997</v>
      </c>
      <c r="G673">
        <v>38.797800000000002</v>
      </c>
      <c r="H673">
        <v>81.947299999999998</v>
      </c>
      <c r="I673">
        <v>48.990099999999998</v>
      </c>
      <c r="J673">
        <v>78.501199999999997</v>
      </c>
      <c r="K673">
        <v>57.9</v>
      </c>
    </row>
    <row r="674" spans="1:11" x14ac:dyDescent="0.35">
      <c r="A674" s="77">
        <v>27395</v>
      </c>
      <c r="B674">
        <v>41.475000000000001</v>
      </c>
      <c r="C674">
        <v>63.444000000000003</v>
      </c>
      <c r="D674">
        <v>20.116700000000002</v>
      </c>
      <c r="E674">
        <v>55.1</v>
      </c>
      <c r="F674">
        <v>36.9621</v>
      </c>
      <c r="G674">
        <v>38.473799999999997</v>
      </c>
      <c r="H674">
        <v>86.391000000000005</v>
      </c>
      <c r="I674">
        <v>48.042900000000003</v>
      </c>
      <c r="J674">
        <v>77.287099999999995</v>
      </c>
      <c r="K674">
        <v>58.3</v>
      </c>
    </row>
    <row r="675" spans="1:11" x14ac:dyDescent="0.35">
      <c r="A675" s="77">
        <v>27426</v>
      </c>
      <c r="B675">
        <v>40.529000000000003</v>
      </c>
      <c r="C675">
        <v>61.563899999999997</v>
      </c>
      <c r="D675">
        <v>19.445599999999999</v>
      </c>
      <c r="E675">
        <v>54.361600000000003</v>
      </c>
      <c r="F675">
        <v>35.9238</v>
      </c>
      <c r="G675">
        <v>37.549999999999997</v>
      </c>
      <c r="H675">
        <v>85.294200000000004</v>
      </c>
      <c r="I675">
        <v>48.760100000000001</v>
      </c>
      <c r="J675">
        <v>75.398899999999998</v>
      </c>
      <c r="K675">
        <v>58.7</v>
      </c>
    </row>
    <row r="676" spans="1:11" x14ac:dyDescent="0.35">
      <c r="A676" s="77">
        <v>27454</v>
      </c>
      <c r="B676">
        <v>40.079599999999999</v>
      </c>
      <c r="C676">
        <v>59.207799999999999</v>
      </c>
      <c r="D676">
        <v>19.117100000000001</v>
      </c>
      <c r="E676">
        <v>54.505400000000002</v>
      </c>
      <c r="F676">
        <v>35.424100000000003</v>
      </c>
      <c r="G676">
        <v>37.014600000000002</v>
      </c>
      <c r="H676">
        <v>83.583299999999994</v>
      </c>
      <c r="I676">
        <v>49.904499999999999</v>
      </c>
      <c r="J676">
        <v>74.4422</v>
      </c>
      <c r="K676">
        <v>59</v>
      </c>
    </row>
    <row r="677" spans="1:11" x14ac:dyDescent="0.35">
      <c r="A677" s="77">
        <v>27485</v>
      </c>
      <c r="B677">
        <v>40.152700000000003</v>
      </c>
      <c r="C677">
        <v>58.7667</v>
      </c>
      <c r="D677">
        <v>19.013100000000001</v>
      </c>
      <c r="E677">
        <v>55.655099999999997</v>
      </c>
      <c r="F677">
        <v>35.420499999999997</v>
      </c>
      <c r="G677">
        <v>36.811599999999999</v>
      </c>
      <c r="H677">
        <v>83.348600000000005</v>
      </c>
      <c r="I677">
        <v>51.200400000000002</v>
      </c>
      <c r="J677">
        <v>74.460499999999996</v>
      </c>
      <c r="K677">
        <v>59.2</v>
      </c>
    </row>
    <row r="678" spans="1:11" x14ac:dyDescent="0.35">
      <c r="A678" s="77">
        <v>27515</v>
      </c>
      <c r="B678">
        <v>40.039900000000003</v>
      </c>
      <c r="C678">
        <v>58.735599999999998</v>
      </c>
      <c r="D678">
        <v>18.757300000000001</v>
      </c>
      <c r="E678">
        <v>55.919899999999998</v>
      </c>
      <c r="F678">
        <v>35.355800000000002</v>
      </c>
      <c r="G678">
        <v>36.5672</v>
      </c>
      <c r="H678">
        <v>83.087999999999994</v>
      </c>
      <c r="I678">
        <v>50.315600000000003</v>
      </c>
      <c r="J678">
        <v>74.134500000000003</v>
      </c>
      <c r="K678">
        <v>59.3</v>
      </c>
    </row>
    <row r="679" spans="1:11" x14ac:dyDescent="0.35">
      <c r="A679" s="77">
        <v>27546</v>
      </c>
      <c r="B679">
        <v>40.298699999999997</v>
      </c>
      <c r="C679">
        <v>58.452100000000002</v>
      </c>
      <c r="D679">
        <v>18.613600000000002</v>
      </c>
      <c r="E679">
        <v>56.689399999999999</v>
      </c>
      <c r="F679">
        <v>35.6616</v>
      </c>
      <c r="G679">
        <v>36.830300000000001</v>
      </c>
      <c r="H679">
        <v>84.447000000000003</v>
      </c>
      <c r="I679">
        <v>49.137300000000003</v>
      </c>
      <c r="J679">
        <v>74.494500000000002</v>
      </c>
      <c r="K679">
        <v>59.5</v>
      </c>
    </row>
    <row r="680" spans="1:11" x14ac:dyDescent="0.35">
      <c r="A680" s="77">
        <v>27576</v>
      </c>
      <c r="B680">
        <v>40.709400000000002</v>
      </c>
      <c r="C680">
        <v>59.186599999999999</v>
      </c>
      <c r="D680">
        <v>18.733000000000001</v>
      </c>
      <c r="E680">
        <v>58.137700000000002</v>
      </c>
      <c r="F680">
        <v>36.1755</v>
      </c>
      <c r="G680">
        <v>36.972000000000001</v>
      </c>
      <c r="H680">
        <v>82.301199999999994</v>
      </c>
      <c r="I680">
        <v>49.845799999999997</v>
      </c>
      <c r="J680">
        <v>75.132400000000004</v>
      </c>
      <c r="K680">
        <v>59.8</v>
      </c>
    </row>
    <row r="681" spans="1:11" x14ac:dyDescent="0.35">
      <c r="A681" s="77">
        <v>27607</v>
      </c>
      <c r="B681">
        <v>41.1098</v>
      </c>
      <c r="C681">
        <v>59.916499999999999</v>
      </c>
      <c r="D681">
        <v>18.616299999999999</v>
      </c>
      <c r="E681">
        <v>58.454799999999999</v>
      </c>
      <c r="F681">
        <v>36.552500000000002</v>
      </c>
      <c r="G681">
        <v>37.590800000000002</v>
      </c>
      <c r="H681">
        <v>82.9833</v>
      </c>
      <c r="I681">
        <v>50.3093</v>
      </c>
      <c r="J681">
        <v>75.745099999999994</v>
      </c>
      <c r="K681">
        <v>59.9</v>
      </c>
    </row>
    <row r="682" spans="1:11" x14ac:dyDescent="0.35">
      <c r="A682" s="77">
        <v>27638</v>
      </c>
      <c r="B682">
        <v>41.637999999999998</v>
      </c>
      <c r="C682">
        <v>60.567399999999999</v>
      </c>
      <c r="D682">
        <v>18.889399999999998</v>
      </c>
      <c r="E682">
        <v>59.307600000000001</v>
      </c>
      <c r="F682">
        <v>37.187399999999997</v>
      </c>
      <c r="G682">
        <v>38.067900000000002</v>
      </c>
      <c r="H682">
        <v>82.640199999999993</v>
      </c>
      <c r="I682">
        <v>50.081200000000003</v>
      </c>
      <c r="J682">
        <v>76.586299999999994</v>
      </c>
      <c r="K682">
        <v>60.2</v>
      </c>
    </row>
    <row r="683" spans="1:11" x14ac:dyDescent="0.35">
      <c r="A683" s="77">
        <v>27668</v>
      </c>
      <c r="B683">
        <v>41.817100000000003</v>
      </c>
      <c r="C683">
        <v>60.906500000000001</v>
      </c>
      <c r="D683">
        <v>18.947800000000001</v>
      </c>
      <c r="E683">
        <v>59.3992</v>
      </c>
      <c r="F683">
        <v>37.390799999999999</v>
      </c>
      <c r="G683">
        <v>38.289299999999997</v>
      </c>
      <c r="H683">
        <v>82.863799999999998</v>
      </c>
      <c r="I683">
        <v>49.949199999999998</v>
      </c>
      <c r="J683">
        <v>76.778599999999997</v>
      </c>
      <c r="K683">
        <v>60.6</v>
      </c>
    </row>
    <row r="684" spans="1:11" x14ac:dyDescent="0.35">
      <c r="A684" s="77">
        <v>27699</v>
      </c>
      <c r="B684">
        <v>41.876399999999997</v>
      </c>
      <c r="C684">
        <v>61.1569</v>
      </c>
      <c r="D684">
        <v>18.910399999999999</v>
      </c>
      <c r="E684">
        <v>59.604500000000002</v>
      </c>
      <c r="F684">
        <v>37.473399999999998</v>
      </c>
      <c r="G684">
        <v>38.399500000000003</v>
      </c>
      <c r="H684">
        <v>83.882999999999996</v>
      </c>
      <c r="I684">
        <v>49.371899999999997</v>
      </c>
      <c r="J684">
        <v>76.745500000000007</v>
      </c>
      <c r="K684">
        <v>61</v>
      </c>
    </row>
    <row r="685" spans="1:11" x14ac:dyDescent="0.35">
      <c r="A685" s="77">
        <v>27729</v>
      </c>
      <c r="B685">
        <v>42.448399999999999</v>
      </c>
      <c r="C685">
        <v>61.234499999999997</v>
      </c>
      <c r="D685">
        <v>19.2517</v>
      </c>
      <c r="E685">
        <v>60.165999999999997</v>
      </c>
      <c r="F685">
        <v>38.001800000000003</v>
      </c>
      <c r="G685">
        <v>39.0092</v>
      </c>
      <c r="H685">
        <v>84.095299999999995</v>
      </c>
      <c r="I685">
        <v>50.247</v>
      </c>
      <c r="J685">
        <v>77.645700000000005</v>
      </c>
      <c r="K685">
        <v>61.4</v>
      </c>
    </row>
    <row r="686" spans="1:11" x14ac:dyDescent="0.35">
      <c r="A686" s="77">
        <v>27760</v>
      </c>
      <c r="B686">
        <v>43.014899999999997</v>
      </c>
      <c r="C686">
        <v>62.6477</v>
      </c>
      <c r="D686">
        <v>19.435400000000001</v>
      </c>
      <c r="E686">
        <v>60.862200000000001</v>
      </c>
      <c r="F686">
        <v>38.473199999999999</v>
      </c>
      <c r="G686">
        <v>39.604100000000003</v>
      </c>
      <c r="H686">
        <v>85.653700000000001</v>
      </c>
      <c r="I686">
        <v>51.426099999999998</v>
      </c>
      <c r="J686">
        <v>78.528099999999995</v>
      </c>
      <c r="K686">
        <v>61.7</v>
      </c>
    </row>
    <row r="687" spans="1:11" x14ac:dyDescent="0.35">
      <c r="A687" s="77">
        <v>27791</v>
      </c>
      <c r="B687">
        <v>43.451500000000003</v>
      </c>
      <c r="C687">
        <v>63.766100000000002</v>
      </c>
      <c r="D687">
        <v>19.571100000000001</v>
      </c>
      <c r="E687">
        <v>61.150399999999998</v>
      </c>
      <c r="F687">
        <v>39.0839</v>
      </c>
      <c r="G687">
        <v>40.178800000000003</v>
      </c>
      <c r="H687">
        <v>85.269300000000001</v>
      </c>
      <c r="I687">
        <v>50.377699999999997</v>
      </c>
      <c r="J687">
        <v>79.162400000000005</v>
      </c>
      <c r="K687">
        <v>61.9</v>
      </c>
    </row>
    <row r="688" spans="1:11" x14ac:dyDescent="0.35">
      <c r="A688" s="77">
        <v>27820</v>
      </c>
      <c r="B688">
        <v>43.535899999999998</v>
      </c>
      <c r="C688">
        <v>62.821399999999997</v>
      </c>
      <c r="D688">
        <v>19.696100000000001</v>
      </c>
      <c r="E688">
        <v>61.0655</v>
      </c>
      <c r="F688">
        <v>39.201799999999999</v>
      </c>
      <c r="G688">
        <v>40.341500000000003</v>
      </c>
      <c r="H688">
        <v>84.228399999999993</v>
      </c>
      <c r="I688">
        <v>50.729900000000001</v>
      </c>
      <c r="J688">
        <v>79.149199999999993</v>
      </c>
      <c r="K688">
        <v>62.2</v>
      </c>
    </row>
    <row r="689" spans="1:11" x14ac:dyDescent="0.35">
      <c r="A689" s="77">
        <v>27851</v>
      </c>
      <c r="B689">
        <v>43.759300000000003</v>
      </c>
      <c r="C689">
        <v>63.640900000000002</v>
      </c>
      <c r="D689">
        <v>19.865600000000001</v>
      </c>
      <c r="E689">
        <v>61.191400000000002</v>
      </c>
      <c r="F689">
        <v>39.415300000000002</v>
      </c>
      <c r="G689">
        <v>40.6203</v>
      </c>
      <c r="H689">
        <v>83.879900000000006</v>
      </c>
      <c r="I689">
        <v>51.109200000000001</v>
      </c>
      <c r="J689">
        <v>79.384299999999996</v>
      </c>
      <c r="K689">
        <v>62.3</v>
      </c>
    </row>
    <row r="690" spans="1:11" x14ac:dyDescent="0.35">
      <c r="A690" s="77">
        <v>27881</v>
      </c>
      <c r="B690">
        <v>43.935899999999997</v>
      </c>
      <c r="C690">
        <v>64.331900000000005</v>
      </c>
      <c r="D690">
        <v>20.000800000000002</v>
      </c>
      <c r="E690">
        <v>61.657400000000003</v>
      </c>
      <c r="F690">
        <v>39.605200000000004</v>
      </c>
      <c r="G690">
        <v>40.669600000000003</v>
      </c>
      <c r="H690">
        <v>84.081999999999994</v>
      </c>
      <c r="I690">
        <v>50.965400000000002</v>
      </c>
      <c r="J690">
        <v>79.529799999999994</v>
      </c>
      <c r="K690">
        <v>62.4</v>
      </c>
    </row>
    <row r="691" spans="1:11" x14ac:dyDescent="0.35">
      <c r="A691" s="77">
        <v>27912</v>
      </c>
      <c r="B691">
        <v>43.991799999999998</v>
      </c>
      <c r="C691">
        <v>64.845699999999994</v>
      </c>
      <c r="D691">
        <v>20.095400000000001</v>
      </c>
      <c r="E691">
        <v>61.496899999999997</v>
      </c>
      <c r="F691">
        <v>39.658200000000001</v>
      </c>
      <c r="G691">
        <v>40.838200000000001</v>
      </c>
      <c r="H691">
        <v>83.589299999999994</v>
      </c>
      <c r="I691">
        <v>51.417499999999997</v>
      </c>
      <c r="J691">
        <v>79.452299999999994</v>
      </c>
      <c r="K691">
        <v>62.8</v>
      </c>
    </row>
    <row r="692" spans="1:11" x14ac:dyDescent="0.35">
      <c r="A692" s="77">
        <v>27942</v>
      </c>
      <c r="B692">
        <v>44.2254</v>
      </c>
      <c r="C692">
        <v>66.203999999999994</v>
      </c>
      <c r="D692">
        <v>20.236599999999999</v>
      </c>
      <c r="E692">
        <v>61.865200000000002</v>
      </c>
      <c r="F692">
        <v>39.924900000000001</v>
      </c>
      <c r="G692">
        <v>40.9375</v>
      </c>
      <c r="H692">
        <v>82.820099999999996</v>
      </c>
      <c r="I692">
        <v>51.618899999999996</v>
      </c>
      <c r="J692">
        <v>79.6935</v>
      </c>
      <c r="K692">
        <v>63.1</v>
      </c>
    </row>
    <row r="693" spans="1:11" x14ac:dyDescent="0.35">
      <c r="A693" s="77">
        <v>27973</v>
      </c>
      <c r="B693">
        <v>44.536499999999997</v>
      </c>
      <c r="C693">
        <v>65.555099999999996</v>
      </c>
      <c r="D693">
        <v>20.580200000000001</v>
      </c>
      <c r="E693">
        <v>61.987200000000001</v>
      </c>
      <c r="F693">
        <v>40.181699999999999</v>
      </c>
      <c r="G693">
        <v>41.369900000000001</v>
      </c>
      <c r="H693">
        <v>83.941299999999998</v>
      </c>
      <c r="I693">
        <v>51.815100000000001</v>
      </c>
      <c r="J693">
        <v>80.071100000000001</v>
      </c>
      <c r="K693">
        <v>63.5</v>
      </c>
    </row>
    <row r="694" spans="1:11" x14ac:dyDescent="0.35">
      <c r="A694" s="77">
        <v>28004</v>
      </c>
      <c r="B694">
        <v>44.677500000000002</v>
      </c>
      <c r="C694">
        <v>65.971900000000005</v>
      </c>
      <c r="D694">
        <v>20.524899999999999</v>
      </c>
      <c r="E694">
        <v>62.049199999999999</v>
      </c>
      <c r="F694">
        <v>40.281700000000001</v>
      </c>
      <c r="G694">
        <v>41.463999999999999</v>
      </c>
      <c r="H694">
        <v>84.202799999999996</v>
      </c>
      <c r="I694">
        <v>52.241799999999998</v>
      </c>
      <c r="J694">
        <v>80.139799999999994</v>
      </c>
      <c r="K694">
        <v>63.9</v>
      </c>
    </row>
    <row r="695" spans="1:11" x14ac:dyDescent="0.35">
      <c r="A695" s="77">
        <v>28034</v>
      </c>
      <c r="B695">
        <v>44.669499999999999</v>
      </c>
      <c r="C695">
        <v>65.941400000000002</v>
      </c>
      <c r="D695">
        <v>20.553999999999998</v>
      </c>
      <c r="E695">
        <v>62.490600000000001</v>
      </c>
      <c r="F695">
        <v>40.221899999999998</v>
      </c>
      <c r="G695">
        <v>41.225000000000001</v>
      </c>
      <c r="H695">
        <v>84.025400000000005</v>
      </c>
      <c r="I695">
        <v>52.782299999999999</v>
      </c>
      <c r="J695">
        <v>79.939300000000003</v>
      </c>
      <c r="K695">
        <v>64.099999999999994</v>
      </c>
    </row>
    <row r="696" spans="1:11" x14ac:dyDescent="0.35">
      <c r="A696" s="77">
        <v>28065</v>
      </c>
      <c r="B696">
        <v>45.353999999999999</v>
      </c>
      <c r="C696">
        <v>66.218500000000006</v>
      </c>
      <c r="D696">
        <v>21.232199999999999</v>
      </c>
      <c r="E696">
        <v>63.6051</v>
      </c>
      <c r="F696">
        <v>40.765999999999998</v>
      </c>
      <c r="G696">
        <v>41.795099999999998</v>
      </c>
      <c r="H696">
        <v>84.639899999999997</v>
      </c>
      <c r="I696">
        <v>55.2</v>
      </c>
      <c r="J696">
        <v>80.972899999999996</v>
      </c>
      <c r="K696">
        <v>64.599999999999994</v>
      </c>
    </row>
    <row r="697" spans="1:11" x14ac:dyDescent="0.35">
      <c r="A697" s="77">
        <v>28095</v>
      </c>
      <c r="B697">
        <v>45.835700000000003</v>
      </c>
      <c r="C697">
        <v>66.6845</v>
      </c>
      <c r="D697">
        <v>21.560300000000002</v>
      </c>
      <c r="E697">
        <v>64.291700000000006</v>
      </c>
      <c r="F697">
        <v>41.208300000000001</v>
      </c>
      <c r="G697">
        <v>42.252499999999998</v>
      </c>
      <c r="H697">
        <v>85.734999999999999</v>
      </c>
      <c r="I697">
        <v>55.641100000000002</v>
      </c>
      <c r="J697">
        <v>81.638400000000004</v>
      </c>
      <c r="K697">
        <v>64.900000000000006</v>
      </c>
    </row>
    <row r="698" spans="1:11" x14ac:dyDescent="0.35">
      <c r="A698" s="77">
        <v>28126</v>
      </c>
      <c r="B698">
        <v>45.5276</v>
      </c>
      <c r="C698">
        <v>65.534099999999995</v>
      </c>
      <c r="D698">
        <v>21.622</v>
      </c>
      <c r="E698">
        <v>64.025599999999997</v>
      </c>
      <c r="F698">
        <v>41.065899999999999</v>
      </c>
      <c r="G698">
        <v>41.857900000000001</v>
      </c>
      <c r="H698">
        <v>83.102999999999994</v>
      </c>
      <c r="I698">
        <v>55.193600000000004</v>
      </c>
      <c r="J698">
        <v>80.897400000000005</v>
      </c>
      <c r="K698">
        <v>65.099999999999994</v>
      </c>
    </row>
    <row r="699" spans="1:11" x14ac:dyDescent="0.35">
      <c r="A699" s="77">
        <v>28157</v>
      </c>
      <c r="B699">
        <v>46.256700000000002</v>
      </c>
      <c r="C699">
        <v>67.066500000000005</v>
      </c>
      <c r="D699">
        <v>22.1738</v>
      </c>
      <c r="E699">
        <v>64.9161</v>
      </c>
      <c r="F699">
        <v>41.833500000000001</v>
      </c>
      <c r="G699">
        <v>42.482900000000001</v>
      </c>
      <c r="H699">
        <v>86.039699999999996</v>
      </c>
      <c r="I699">
        <v>53.379300000000001</v>
      </c>
      <c r="J699">
        <v>81.988900000000001</v>
      </c>
      <c r="K699">
        <v>65.400000000000006</v>
      </c>
    </row>
    <row r="700" spans="1:11" x14ac:dyDescent="0.35">
      <c r="A700" s="77">
        <v>28185</v>
      </c>
      <c r="B700">
        <v>46.835599999999999</v>
      </c>
      <c r="C700">
        <v>68.452299999999994</v>
      </c>
      <c r="D700">
        <v>22.526</v>
      </c>
      <c r="E700">
        <v>65.002200000000002</v>
      </c>
      <c r="F700">
        <v>42.444000000000003</v>
      </c>
      <c r="G700">
        <v>43.3001</v>
      </c>
      <c r="H700">
        <v>87.544700000000006</v>
      </c>
      <c r="I700">
        <v>52.567599999999999</v>
      </c>
      <c r="J700">
        <v>82.805599999999998</v>
      </c>
      <c r="K700">
        <v>65.7</v>
      </c>
    </row>
    <row r="701" spans="1:11" x14ac:dyDescent="0.35">
      <c r="A701" s="77">
        <v>28216</v>
      </c>
      <c r="B701">
        <v>47.2898</v>
      </c>
      <c r="C701">
        <v>70.068600000000004</v>
      </c>
      <c r="D701">
        <v>22.842400000000001</v>
      </c>
      <c r="E701">
        <v>65.456800000000001</v>
      </c>
      <c r="F701">
        <v>42.876100000000001</v>
      </c>
      <c r="G701">
        <v>43.6646</v>
      </c>
      <c r="H701">
        <v>87.290599999999998</v>
      </c>
      <c r="I701">
        <v>53.251899999999999</v>
      </c>
      <c r="J701">
        <v>83.395700000000005</v>
      </c>
      <c r="K701">
        <v>65.900000000000006</v>
      </c>
    </row>
    <row r="702" spans="1:11" x14ac:dyDescent="0.35">
      <c r="A702" s="77">
        <v>28246</v>
      </c>
      <c r="B702">
        <v>47.660699999999999</v>
      </c>
      <c r="C702">
        <v>71.106200000000001</v>
      </c>
      <c r="D702">
        <v>23.304500000000001</v>
      </c>
      <c r="E702">
        <v>65.461500000000001</v>
      </c>
      <c r="F702">
        <v>43.229199999999999</v>
      </c>
      <c r="G702">
        <v>44.021700000000003</v>
      </c>
      <c r="H702">
        <v>87.258799999999994</v>
      </c>
      <c r="I702">
        <v>54.098599999999998</v>
      </c>
      <c r="J702">
        <v>83.831000000000003</v>
      </c>
      <c r="K702">
        <v>66.099999999999994</v>
      </c>
    </row>
    <row r="703" spans="1:11" x14ac:dyDescent="0.35">
      <c r="A703" s="77">
        <v>28277</v>
      </c>
      <c r="B703">
        <v>48.019599999999997</v>
      </c>
      <c r="C703">
        <v>71.641599999999997</v>
      </c>
      <c r="D703">
        <v>23.825900000000001</v>
      </c>
      <c r="E703">
        <v>65.941500000000005</v>
      </c>
      <c r="F703">
        <v>43.611800000000002</v>
      </c>
      <c r="G703">
        <v>44.206699999999998</v>
      </c>
      <c r="H703">
        <v>86.610799999999998</v>
      </c>
      <c r="I703">
        <v>54.817300000000003</v>
      </c>
      <c r="J703">
        <v>84.237099999999998</v>
      </c>
      <c r="K703">
        <v>66.5</v>
      </c>
    </row>
    <row r="704" spans="1:11" x14ac:dyDescent="0.35">
      <c r="A704" s="77">
        <v>28307</v>
      </c>
      <c r="B704">
        <v>48.081899999999997</v>
      </c>
      <c r="C704">
        <v>71.6815</v>
      </c>
      <c r="D704">
        <v>23.9664</v>
      </c>
      <c r="E704">
        <v>66.063599999999994</v>
      </c>
      <c r="F704">
        <v>43.613199999999999</v>
      </c>
      <c r="G704">
        <v>44.195500000000003</v>
      </c>
      <c r="H704">
        <v>87.008700000000005</v>
      </c>
      <c r="I704">
        <v>55.476300000000002</v>
      </c>
      <c r="J704">
        <v>84.118600000000001</v>
      </c>
      <c r="K704">
        <v>66.8</v>
      </c>
    </row>
    <row r="705" spans="1:11" x14ac:dyDescent="0.35">
      <c r="A705" s="77">
        <v>28338</v>
      </c>
      <c r="B705">
        <v>48.131500000000003</v>
      </c>
      <c r="C705">
        <v>72.269900000000007</v>
      </c>
      <c r="D705">
        <v>24.0428</v>
      </c>
      <c r="E705">
        <v>66.192999999999998</v>
      </c>
      <c r="F705">
        <v>43.851900000000001</v>
      </c>
      <c r="G705">
        <v>44.130200000000002</v>
      </c>
      <c r="H705">
        <v>85.005700000000004</v>
      </c>
      <c r="I705">
        <v>54.567799999999998</v>
      </c>
      <c r="J705">
        <v>83.974699999999999</v>
      </c>
      <c r="K705">
        <v>67.3</v>
      </c>
    </row>
    <row r="706" spans="1:11" x14ac:dyDescent="0.35">
      <c r="A706" s="77">
        <v>28369</v>
      </c>
      <c r="B706">
        <v>48.330800000000004</v>
      </c>
      <c r="C706">
        <v>71.954700000000003</v>
      </c>
      <c r="D706">
        <v>24.134899999999998</v>
      </c>
      <c r="E706">
        <v>66.310500000000005</v>
      </c>
      <c r="F706">
        <v>43.856000000000002</v>
      </c>
      <c r="G706">
        <v>44.408499999999997</v>
      </c>
      <c r="H706">
        <v>87.934399999999997</v>
      </c>
      <c r="I706">
        <v>54.772100000000002</v>
      </c>
      <c r="J706">
        <v>84.088099999999997</v>
      </c>
      <c r="K706">
        <v>67.8</v>
      </c>
    </row>
    <row r="707" spans="1:11" x14ac:dyDescent="0.35">
      <c r="A707" s="77">
        <v>28399</v>
      </c>
      <c r="B707">
        <v>48.401400000000002</v>
      </c>
      <c r="C707">
        <v>71.928600000000003</v>
      </c>
      <c r="D707">
        <v>24.033300000000001</v>
      </c>
      <c r="E707">
        <v>66.814899999999994</v>
      </c>
      <c r="F707">
        <v>43.949599999999997</v>
      </c>
      <c r="G707">
        <v>44.567500000000003</v>
      </c>
      <c r="H707">
        <v>87.840500000000006</v>
      </c>
      <c r="I707">
        <v>54.7804</v>
      </c>
      <c r="J707">
        <v>83.974000000000004</v>
      </c>
      <c r="K707">
        <v>68.2</v>
      </c>
    </row>
    <row r="708" spans="1:11" x14ac:dyDescent="0.35">
      <c r="A708" s="77">
        <v>28430</v>
      </c>
      <c r="B708">
        <v>48.492400000000004</v>
      </c>
      <c r="C708">
        <v>72.263300000000001</v>
      </c>
      <c r="D708">
        <v>24.0366</v>
      </c>
      <c r="E708">
        <v>66.901399999999995</v>
      </c>
      <c r="F708">
        <v>44.072200000000002</v>
      </c>
      <c r="G708">
        <v>44.668799999999997</v>
      </c>
      <c r="H708">
        <v>88.520700000000005</v>
      </c>
      <c r="I708">
        <v>54.055399999999999</v>
      </c>
      <c r="J708">
        <v>83.892399999999995</v>
      </c>
      <c r="K708">
        <v>68.8</v>
      </c>
    </row>
    <row r="709" spans="1:11" x14ac:dyDescent="0.35">
      <c r="A709" s="77">
        <v>28460</v>
      </c>
      <c r="B709">
        <v>48.564</v>
      </c>
      <c r="C709">
        <v>72.997299999999996</v>
      </c>
      <c r="D709">
        <v>24.354099999999999</v>
      </c>
      <c r="E709">
        <v>67.486500000000007</v>
      </c>
      <c r="F709">
        <v>44.551900000000003</v>
      </c>
      <c r="G709">
        <v>44.313400000000001</v>
      </c>
      <c r="H709">
        <v>81.027199999999993</v>
      </c>
      <c r="I709">
        <v>54.862200000000001</v>
      </c>
      <c r="J709">
        <v>83.776799999999994</v>
      </c>
      <c r="K709">
        <v>69</v>
      </c>
    </row>
    <row r="710" spans="1:11" x14ac:dyDescent="0.35">
      <c r="A710" s="77">
        <v>28491</v>
      </c>
      <c r="B710">
        <v>47.869300000000003</v>
      </c>
      <c r="C710">
        <v>71.593699999999998</v>
      </c>
      <c r="D710">
        <v>23.866399999999999</v>
      </c>
      <c r="E710">
        <v>65.708100000000002</v>
      </c>
      <c r="F710">
        <v>43.876800000000003</v>
      </c>
      <c r="G710">
        <v>43.898299999999999</v>
      </c>
      <c r="H710">
        <v>79.192700000000002</v>
      </c>
      <c r="I710">
        <v>54.942100000000003</v>
      </c>
      <c r="J710">
        <v>82.343999999999994</v>
      </c>
      <c r="K710">
        <v>69.2</v>
      </c>
    </row>
    <row r="711" spans="1:11" x14ac:dyDescent="0.35">
      <c r="A711" s="77">
        <v>28522</v>
      </c>
      <c r="B711">
        <v>48.128300000000003</v>
      </c>
      <c r="C711">
        <v>71.366</v>
      </c>
      <c r="D711">
        <v>24.464600000000001</v>
      </c>
      <c r="E711">
        <v>66.788700000000006</v>
      </c>
      <c r="F711">
        <v>44.034999999999997</v>
      </c>
      <c r="G711">
        <v>43.822000000000003</v>
      </c>
      <c r="H711">
        <v>79.955299999999994</v>
      </c>
      <c r="I711">
        <v>55.822000000000003</v>
      </c>
      <c r="J711">
        <v>82.553399999999996</v>
      </c>
      <c r="K711">
        <v>69.5</v>
      </c>
    </row>
    <row r="712" spans="1:11" x14ac:dyDescent="0.35">
      <c r="A712" s="77">
        <v>28550</v>
      </c>
      <c r="B712">
        <v>49.055300000000003</v>
      </c>
      <c r="C712">
        <v>72.692400000000006</v>
      </c>
      <c r="D712">
        <v>25.189499999999999</v>
      </c>
      <c r="E712">
        <v>68.140199999999993</v>
      </c>
      <c r="F712">
        <v>44.822099999999999</v>
      </c>
      <c r="G712">
        <v>44.4512</v>
      </c>
      <c r="H712">
        <v>83.961600000000004</v>
      </c>
      <c r="I712">
        <v>55.701999999999998</v>
      </c>
      <c r="J712">
        <v>83.903899999999993</v>
      </c>
      <c r="K712">
        <v>69.900000000000006</v>
      </c>
    </row>
    <row r="713" spans="1:11" x14ac:dyDescent="0.35">
      <c r="A713" s="77">
        <v>28581</v>
      </c>
      <c r="B713">
        <v>50.026000000000003</v>
      </c>
      <c r="C713">
        <v>74.316999999999993</v>
      </c>
      <c r="D713">
        <v>25.722799999999999</v>
      </c>
      <c r="E713">
        <v>68.575100000000006</v>
      </c>
      <c r="F713">
        <v>45.5167</v>
      </c>
      <c r="G713">
        <v>45.743499999999997</v>
      </c>
      <c r="H713">
        <v>92.189400000000006</v>
      </c>
      <c r="I713">
        <v>54.309800000000003</v>
      </c>
      <c r="J713">
        <v>85.322900000000004</v>
      </c>
      <c r="K713">
        <v>70.599999999999994</v>
      </c>
    </row>
    <row r="714" spans="1:11" x14ac:dyDescent="0.35">
      <c r="A714" s="77">
        <v>28611</v>
      </c>
      <c r="B714">
        <v>50.271700000000003</v>
      </c>
      <c r="C714">
        <v>74.287199999999999</v>
      </c>
      <c r="D714">
        <v>25.888999999999999</v>
      </c>
      <c r="E714">
        <v>68.192499999999995</v>
      </c>
      <c r="F714">
        <v>45.757399999999997</v>
      </c>
      <c r="G714">
        <v>46.193399999999997</v>
      </c>
      <c r="H714">
        <v>91.720600000000005</v>
      </c>
      <c r="I714">
        <v>55.3566</v>
      </c>
      <c r="J714">
        <v>85.500399999999999</v>
      </c>
      <c r="K714">
        <v>71.099999999999994</v>
      </c>
    </row>
    <row r="715" spans="1:11" x14ac:dyDescent="0.35">
      <c r="A715" s="77">
        <v>28642</v>
      </c>
      <c r="B715">
        <v>50.593899999999998</v>
      </c>
      <c r="C715">
        <v>74.912999999999997</v>
      </c>
      <c r="D715">
        <v>26.296900000000001</v>
      </c>
      <c r="E715">
        <v>68.559299999999993</v>
      </c>
      <c r="F715">
        <v>46.097099999999998</v>
      </c>
      <c r="G715">
        <v>46.389899999999997</v>
      </c>
      <c r="H715">
        <v>91.52</v>
      </c>
      <c r="I715">
        <v>55.929600000000001</v>
      </c>
      <c r="J715">
        <v>85.805899999999994</v>
      </c>
      <c r="K715">
        <v>71.7</v>
      </c>
    </row>
    <row r="716" spans="1:11" x14ac:dyDescent="0.35">
      <c r="A716" s="77">
        <v>28672</v>
      </c>
      <c r="B716">
        <v>50.549900000000001</v>
      </c>
      <c r="C716">
        <v>74.765500000000003</v>
      </c>
      <c r="D716">
        <v>26.491199999999999</v>
      </c>
      <c r="E716">
        <v>68.184299999999993</v>
      </c>
      <c r="F716">
        <v>46.0535</v>
      </c>
      <c r="G716">
        <v>46.371000000000002</v>
      </c>
      <c r="H716">
        <v>92.424499999999995</v>
      </c>
      <c r="I716">
        <v>55.2288</v>
      </c>
      <c r="J716">
        <v>85.492000000000004</v>
      </c>
      <c r="K716">
        <v>72.3</v>
      </c>
    </row>
    <row r="717" spans="1:11" x14ac:dyDescent="0.35">
      <c r="A717" s="77">
        <v>28703</v>
      </c>
      <c r="B717">
        <v>50.7622</v>
      </c>
      <c r="C717">
        <v>74.903400000000005</v>
      </c>
      <c r="D717">
        <v>26.988099999999999</v>
      </c>
      <c r="E717">
        <v>68.078900000000004</v>
      </c>
      <c r="F717">
        <v>46.319499999999998</v>
      </c>
      <c r="G717">
        <v>46.540399999999998</v>
      </c>
      <c r="H717">
        <v>91.472200000000001</v>
      </c>
      <c r="I717">
        <v>55.994999999999997</v>
      </c>
      <c r="J717">
        <v>85.612799999999993</v>
      </c>
      <c r="K717">
        <v>72.8</v>
      </c>
    </row>
    <row r="718" spans="1:11" x14ac:dyDescent="0.35">
      <c r="A718" s="77">
        <v>28734</v>
      </c>
      <c r="B718">
        <v>50.885599999999997</v>
      </c>
      <c r="C718">
        <v>75.191100000000006</v>
      </c>
      <c r="D718">
        <v>27.265999999999998</v>
      </c>
      <c r="E718">
        <v>68.1905</v>
      </c>
      <c r="F718">
        <v>46.561399999999999</v>
      </c>
      <c r="G718">
        <v>46.6023</v>
      </c>
      <c r="H718">
        <v>89.905299999999997</v>
      </c>
      <c r="I718">
        <v>56.447299999999998</v>
      </c>
      <c r="J718">
        <v>85.5839</v>
      </c>
      <c r="K718">
        <v>73.5</v>
      </c>
    </row>
    <row r="719" spans="1:11" x14ac:dyDescent="0.35">
      <c r="A719" s="77">
        <v>28764</v>
      </c>
      <c r="B719">
        <v>51.2821</v>
      </c>
      <c r="C719">
        <v>75.919899999999998</v>
      </c>
      <c r="D719">
        <v>27.821100000000001</v>
      </c>
      <c r="E719">
        <v>68.09</v>
      </c>
      <c r="F719">
        <v>46.891500000000001</v>
      </c>
      <c r="G719">
        <v>47.054699999999997</v>
      </c>
      <c r="H719">
        <v>92.074200000000005</v>
      </c>
      <c r="I719">
        <v>56.054900000000004</v>
      </c>
      <c r="J719">
        <v>86.012799999999999</v>
      </c>
      <c r="K719">
        <v>73.400000000000006</v>
      </c>
    </row>
    <row r="720" spans="1:11" x14ac:dyDescent="0.35">
      <c r="A720" s="77">
        <v>28795</v>
      </c>
      <c r="B720">
        <v>51.673699999999997</v>
      </c>
      <c r="C720">
        <v>76.426599999999993</v>
      </c>
      <c r="D720">
        <v>28.285699999999999</v>
      </c>
      <c r="E720">
        <v>68.303200000000004</v>
      </c>
      <c r="F720">
        <v>47.333399999999997</v>
      </c>
      <c r="G720">
        <v>47.456499999999998</v>
      </c>
      <c r="H720">
        <v>91.916499999999999</v>
      </c>
      <c r="I720">
        <v>56.251899999999999</v>
      </c>
      <c r="J720">
        <v>86.432299999999998</v>
      </c>
      <c r="K720">
        <v>74.099999999999994</v>
      </c>
    </row>
    <row r="721" spans="1:11" x14ac:dyDescent="0.35">
      <c r="A721" s="77">
        <v>28825</v>
      </c>
      <c r="B721">
        <v>51.940399999999997</v>
      </c>
      <c r="C721">
        <v>77.658600000000007</v>
      </c>
      <c r="D721">
        <v>28.588699999999999</v>
      </c>
      <c r="E721">
        <v>68.436899999999994</v>
      </c>
      <c r="F721">
        <v>47.671399999999998</v>
      </c>
      <c r="G721">
        <v>47.654899999999998</v>
      </c>
      <c r="H721">
        <v>91.233699999999999</v>
      </c>
      <c r="I721">
        <v>56.167900000000003</v>
      </c>
      <c r="J721">
        <v>86.642399999999995</v>
      </c>
      <c r="K721">
        <v>74.7</v>
      </c>
    </row>
    <row r="722" spans="1:11" x14ac:dyDescent="0.35">
      <c r="A722" s="77">
        <v>28856</v>
      </c>
      <c r="B722">
        <v>51.650700000000001</v>
      </c>
      <c r="C722">
        <v>75.808599999999998</v>
      </c>
      <c r="D722">
        <v>28.915700000000001</v>
      </c>
      <c r="E722">
        <v>68.291700000000006</v>
      </c>
      <c r="F722">
        <v>47.324800000000003</v>
      </c>
      <c r="G722">
        <v>47.086300000000001</v>
      </c>
      <c r="H722">
        <v>90.2273</v>
      </c>
      <c r="I722">
        <v>57.316400000000002</v>
      </c>
      <c r="J722">
        <v>85.927899999999994</v>
      </c>
      <c r="K722">
        <v>75.3</v>
      </c>
    </row>
    <row r="723" spans="1:11" x14ac:dyDescent="0.35">
      <c r="A723" s="77">
        <v>28887</v>
      </c>
      <c r="B723">
        <v>51.909700000000001</v>
      </c>
      <c r="C723">
        <v>76.250600000000006</v>
      </c>
      <c r="D723">
        <v>29.235299999999999</v>
      </c>
      <c r="E723">
        <v>67.796099999999996</v>
      </c>
      <c r="F723">
        <v>47.465400000000002</v>
      </c>
      <c r="G723">
        <v>47.4848</v>
      </c>
      <c r="H723">
        <v>90.252200000000002</v>
      </c>
      <c r="I723">
        <v>59.114899999999999</v>
      </c>
      <c r="J723">
        <v>86.129099999999994</v>
      </c>
      <c r="K723">
        <v>75.900000000000006</v>
      </c>
    </row>
    <row r="724" spans="1:11" x14ac:dyDescent="0.35">
      <c r="A724" s="77">
        <v>28915</v>
      </c>
      <c r="B724">
        <v>52.066699999999997</v>
      </c>
      <c r="C724">
        <v>77.22</v>
      </c>
      <c r="D724">
        <v>29.456700000000001</v>
      </c>
      <c r="E724">
        <v>68.070999999999998</v>
      </c>
      <c r="F724">
        <v>47.694299999999998</v>
      </c>
      <c r="G724">
        <v>47.528399999999998</v>
      </c>
      <c r="H724">
        <v>90.515500000000003</v>
      </c>
      <c r="I724">
        <v>58.110599999999998</v>
      </c>
      <c r="J724">
        <v>86.162199999999999</v>
      </c>
      <c r="K724">
        <v>76.400000000000006</v>
      </c>
    </row>
    <row r="725" spans="1:11" x14ac:dyDescent="0.35">
      <c r="A725" s="77">
        <v>28946</v>
      </c>
      <c r="B725">
        <v>51.454799999999999</v>
      </c>
      <c r="C725">
        <v>75.941199999999995</v>
      </c>
      <c r="D725">
        <v>28.855899999999998</v>
      </c>
      <c r="E725">
        <v>66.759900000000002</v>
      </c>
      <c r="F725">
        <v>46.894399999999997</v>
      </c>
      <c r="G725">
        <v>47.206499999999998</v>
      </c>
      <c r="H725">
        <v>91.686999999999998</v>
      </c>
      <c r="I725">
        <v>58.58</v>
      </c>
      <c r="J725">
        <v>84.93</v>
      </c>
      <c r="K725">
        <v>77</v>
      </c>
    </row>
    <row r="726" spans="1:11" x14ac:dyDescent="0.35">
      <c r="A726" s="77">
        <v>28976</v>
      </c>
      <c r="B726">
        <v>51.906100000000002</v>
      </c>
      <c r="C726">
        <v>76.488699999999994</v>
      </c>
      <c r="D726">
        <v>29.689800000000002</v>
      </c>
      <c r="E726">
        <v>67.262</v>
      </c>
      <c r="F726">
        <v>47.548900000000003</v>
      </c>
      <c r="G726">
        <v>47.466099999999997</v>
      </c>
      <c r="H726">
        <v>91.161000000000001</v>
      </c>
      <c r="I726">
        <v>57.071100000000001</v>
      </c>
      <c r="J726">
        <v>85.457099999999997</v>
      </c>
      <c r="K726">
        <v>77.400000000000006</v>
      </c>
    </row>
    <row r="727" spans="1:11" x14ac:dyDescent="0.35">
      <c r="A727" s="77">
        <v>29007</v>
      </c>
      <c r="B727">
        <v>51.906700000000001</v>
      </c>
      <c r="C727">
        <v>76.791300000000007</v>
      </c>
      <c r="D727">
        <v>29.811399999999999</v>
      </c>
      <c r="E727">
        <v>66.993399999999994</v>
      </c>
      <c r="F727">
        <v>47.599899999999998</v>
      </c>
      <c r="G727">
        <v>47.488300000000002</v>
      </c>
      <c r="H727">
        <v>91.281899999999993</v>
      </c>
      <c r="I727">
        <v>56.263199999999998</v>
      </c>
      <c r="J727">
        <v>85.244500000000002</v>
      </c>
      <c r="K727">
        <v>78</v>
      </c>
    </row>
    <row r="728" spans="1:11" x14ac:dyDescent="0.35">
      <c r="A728" s="77">
        <v>29037</v>
      </c>
      <c r="B728">
        <v>51.825800000000001</v>
      </c>
      <c r="C728">
        <v>76.8429</v>
      </c>
      <c r="D728">
        <v>30.101299999999998</v>
      </c>
      <c r="E728">
        <v>66.494299999999996</v>
      </c>
      <c r="F728">
        <v>47.630299999999998</v>
      </c>
      <c r="G728">
        <v>47.354399999999998</v>
      </c>
      <c r="H728">
        <v>90.397999999999996</v>
      </c>
      <c r="I728">
        <v>55.209699999999998</v>
      </c>
      <c r="J728">
        <v>84.906099999999995</v>
      </c>
      <c r="K728">
        <v>78.5</v>
      </c>
    </row>
    <row r="729" spans="1:11" x14ac:dyDescent="0.35">
      <c r="A729" s="77">
        <v>29068</v>
      </c>
      <c r="B729">
        <v>51.49</v>
      </c>
      <c r="C729">
        <v>76.093100000000007</v>
      </c>
      <c r="D729">
        <v>29.738299999999999</v>
      </c>
      <c r="E729">
        <v>65.761099999999999</v>
      </c>
      <c r="F729">
        <v>47.007599999999996</v>
      </c>
      <c r="G729">
        <v>47.092100000000002</v>
      </c>
      <c r="H729">
        <v>92.429900000000004</v>
      </c>
      <c r="I729">
        <v>56.074800000000003</v>
      </c>
      <c r="J729">
        <v>84.159899999999993</v>
      </c>
      <c r="K729">
        <v>78.8</v>
      </c>
    </row>
    <row r="730" spans="1:11" x14ac:dyDescent="0.35">
      <c r="A730" s="77">
        <v>29099</v>
      </c>
      <c r="B730">
        <v>51.484699999999997</v>
      </c>
      <c r="C730">
        <v>76.1554</v>
      </c>
      <c r="D730">
        <v>30.4635</v>
      </c>
      <c r="E730">
        <v>66.100399999999993</v>
      </c>
      <c r="F730">
        <v>47.064</v>
      </c>
      <c r="G730">
        <v>46.761299999999999</v>
      </c>
      <c r="H730">
        <v>92.131100000000004</v>
      </c>
      <c r="I730">
        <v>55.657699999999998</v>
      </c>
      <c r="J730">
        <v>83.962299999999999</v>
      </c>
      <c r="K730">
        <v>79.7</v>
      </c>
    </row>
    <row r="731" spans="1:11" x14ac:dyDescent="0.35">
      <c r="A731" s="77">
        <v>29129</v>
      </c>
      <c r="B731">
        <v>51.842100000000002</v>
      </c>
      <c r="C731">
        <v>76.816400000000002</v>
      </c>
      <c r="D731">
        <v>30.1814</v>
      </c>
      <c r="E731">
        <v>66.332499999999996</v>
      </c>
      <c r="F731">
        <v>47.314900000000002</v>
      </c>
      <c r="G731">
        <v>47.256999999999998</v>
      </c>
      <c r="H731">
        <v>93.414299999999997</v>
      </c>
      <c r="I731">
        <v>56.478400000000001</v>
      </c>
      <c r="J731">
        <v>84.361699999999999</v>
      </c>
      <c r="K731">
        <v>80.400000000000006</v>
      </c>
    </row>
    <row r="732" spans="1:11" x14ac:dyDescent="0.35">
      <c r="A732" s="77">
        <v>29160</v>
      </c>
      <c r="B732">
        <v>51.759099999999997</v>
      </c>
      <c r="C732">
        <v>76.658199999999994</v>
      </c>
      <c r="D732">
        <v>30.126899999999999</v>
      </c>
      <c r="E732">
        <v>66.152799999999999</v>
      </c>
      <c r="F732">
        <v>47.136400000000002</v>
      </c>
      <c r="G732">
        <v>47.141300000000001</v>
      </c>
      <c r="H732">
        <v>93.718900000000005</v>
      </c>
      <c r="I732">
        <v>56.860700000000001</v>
      </c>
      <c r="J732">
        <v>84.0501</v>
      </c>
      <c r="K732">
        <v>81</v>
      </c>
    </row>
    <row r="733" spans="1:11" x14ac:dyDescent="0.35">
      <c r="A733" s="77">
        <v>29190</v>
      </c>
      <c r="B733">
        <v>51.797400000000003</v>
      </c>
      <c r="C733">
        <v>76.903099999999995</v>
      </c>
      <c r="D733">
        <v>30.340399999999999</v>
      </c>
      <c r="E733">
        <v>66.1892</v>
      </c>
      <c r="F733">
        <v>47.286999999999999</v>
      </c>
      <c r="G733">
        <v>47.051299999999998</v>
      </c>
      <c r="H733">
        <v>93.598200000000006</v>
      </c>
      <c r="I733">
        <v>55.823799999999999</v>
      </c>
      <c r="J733">
        <v>83.941999999999993</v>
      </c>
      <c r="K733">
        <v>81.7</v>
      </c>
    </row>
    <row r="734" spans="1:11" x14ac:dyDescent="0.35">
      <c r="A734" s="77">
        <v>29221</v>
      </c>
      <c r="B734">
        <v>52.067700000000002</v>
      </c>
      <c r="C734">
        <v>76.713999999999999</v>
      </c>
      <c r="D734">
        <v>30.869399999999999</v>
      </c>
      <c r="E734">
        <v>65.9649</v>
      </c>
      <c r="F734">
        <v>47.524999999999999</v>
      </c>
      <c r="G734">
        <v>47.4223</v>
      </c>
      <c r="H734">
        <v>95.375</v>
      </c>
      <c r="I734">
        <v>54.948599999999999</v>
      </c>
      <c r="J734">
        <v>84.214600000000004</v>
      </c>
      <c r="K734">
        <v>83.3</v>
      </c>
    </row>
    <row r="735" spans="1:11" x14ac:dyDescent="0.35">
      <c r="A735" s="77">
        <v>29252</v>
      </c>
      <c r="B735">
        <v>52.0899</v>
      </c>
      <c r="C735">
        <v>75.557299999999998</v>
      </c>
      <c r="D735">
        <v>31.0318</v>
      </c>
      <c r="E735">
        <v>66.147499999999994</v>
      </c>
      <c r="F735">
        <v>47.456200000000003</v>
      </c>
      <c r="G735">
        <v>47.33</v>
      </c>
      <c r="H735">
        <v>94.304000000000002</v>
      </c>
      <c r="I735">
        <v>56.978099999999998</v>
      </c>
      <c r="J735">
        <v>84.087800000000001</v>
      </c>
      <c r="K735">
        <v>84.2</v>
      </c>
    </row>
    <row r="736" spans="1:11" x14ac:dyDescent="0.35">
      <c r="A736" s="77">
        <v>29281</v>
      </c>
      <c r="B736">
        <v>51.868699999999997</v>
      </c>
      <c r="C736">
        <v>74.575999999999993</v>
      </c>
      <c r="D736">
        <v>30.762699999999999</v>
      </c>
      <c r="E736">
        <v>65.636600000000001</v>
      </c>
      <c r="F736">
        <v>47.063600000000001</v>
      </c>
      <c r="G736">
        <v>47.256599999999999</v>
      </c>
      <c r="H736">
        <v>95.1267</v>
      </c>
      <c r="I736">
        <v>58.0854</v>
      </c>
      <c r="J736">
        <v>83.5715</v>
      </c>
      <c r="K736">
        <v>84.7</v>
      </c>
    </row>
    <row r="737" spans="1:11" x14ac:dyDescent="0.35">
      <c r="A737" s="77">
        <v>29312</v>
      </c>
      <c r="B737">
        <v>50.845399999999998</v>
      </c>
      <c r="C737">
        <v>71.169399999999996</v>
      </c>
      <c r="D737">
        <v>30.4558</v>
      </c>
      <c r="E737">
        <v>64.592600000000004</v>
      </c>
      <c r="F737">
        <v>46.084099999999999</v>
      </c>
      <c r="G737">
        <v>46.121000000000002</v>
      </c>
      <c r="H737">
        <v>94.034300000000002</v>
      </c>
      <c r="I737">
        <v>56.421199999999999</v>
      </c>
      <c r="J737">
        <v>81.768799999999999</v>
      </c>
      <c r="K737">
        <v>85.5</v>
      </c>
    </row>
    <row r="738" spans="1:11" x14ac:dyDescent="0.35">
      <c r="A738" s="77">
        <v>29342</v>
      </c>
      <c r="B738">
        <v>49.594700000000003</v>
      </c>
      <c r="C738">
        <v>68.251800000000003</v>
      </c>
      <c r="D738">
        <v>29.9803</v>
      </c>
      <c r="E738">
        <v>63.224600000000002</v>
      </c>
      <c r="F738">
        <v>44.647599999999997</v>
      </c>
      <c r="G738">
        <v>44.761899999999997</v>
      </c>
      <c r="H738">
        <v>93.986900000000006</v>
      </c>
      <c r="I738">
        <v>55.535299999999999</v>
      </c>
      <c r="J738">
        <v>79.606399999999994</v>
      </c>
      <c r="K738">
        <v>85.7</v>
      </c>
    </row>
    <row r="739" spans="1:11" x14ac:dyDescent="0.35">
      <c r="A739" s="77">
        <v>29373</v>
      </c>
      <c r="B739">
        <v>48.9621</v>
      </c>
      <c r="C739">
        <v>66.935000000000002</v>
      </c>
      <c r="D739">
        <v>29.626799999999999</v>
      </c>
      <c r="E739">
        <v>62.863799999999998</v>
      </c>
      <c r="F739">
        <v>43.926099999999998</v>
      </c>
      <c r="G739">
        <v>43.993200000000002</v>
      </c>
      <c r="H739">
        <v>93.640600000000006</v>
      </c>
      <c r="I739">
        <v>55.543599999999998</v>
      </c>
      <c r="J739">
        <v>78.438800000000001</v>
      </c>
      <c r="K739">
        <v>86.6</v>
      </c>
    </row>
    <row r="740" spans="1:11" x14ac:dyDescent="0.35">
      <c r="A740" s="77">
        <v>29403</v>
      </c>
      <c r="B740">
        <v>48.609000000000002</v>
      </c>
      <c r="C740">
        <v>66.327799999999996</v>
      </c>
      <c r="D740">
        <v>29.6311</v>
      </c>
      <c r="E740">
        <v>62.879600000000003</v>
      </c>
      <c r="F740">
        <v>43.427500000000002</v>
      </c>
      <c r="G740">
        <v>43.314599999999999</v>
      </c>
      <c r="H740">
        <v>92.034800000000004</v>
      </c>
      <c r="I740">
        <v>57.664999999999999</v>
      </c>
      <c r="J740">
        <v>77.719700000000003</v>
      </c>
      <c r="K740">
        <v>87.7</v>
      </c>
    </row>
    <row r="741" spans="1:11" x14ac:dyDescent="0.35">
      <c r="A741" s="77">
        <v>29434</v>
      </c>
      <c r="B741">
        <v>48.764600000000002</v>
      </c>
      <c r="C741">
        <v>67.293199999999999</v>
      </c>
      <c r="D741">
        <v>29.558700000000002</v>
      </c>
      <c r="E741">
        <v>63.1066</v>
      </c>
      <c r="F741">
        <v>43.744199999999999</v>
      </c>
      <c r="G741">
        <v>43.457099999999997</v>
      </c>
      <c r="H741">
        <v>90.350200000000001</v>
      </c>
      <c r="I741">
        <v>57.962400000000002</v>
      </c>
      <c r="J741">
        <v>77.811000000000007</v>
      </c>
      <c r="K741">
        <v>88.4</v>
      </c>
    </row>
    <row r="742" spans="1:11" x14ac:dyDescent="0.35">
      <c r="A742" s="77">
        <v>29465</v>
      </c>
      <c r="B742">
        <v>49.5764</v>
      </c>
      <c r="C742">
        <v>68.9876</v>
      </c>
      <c r="D742">
        <v>30.160399999999999</v>
      </c>
      <c r="E742">
        <v>63.713500000000003</v>
      </c>
      <c r="F742">
        <v>44.510199999999998</v>
      </c>
      <c r="G742">
        <v>44.3155</v>
      </c>
      <c r="H742">
        <v>92.036500000000004</v>
      </c>
      <c r="I742">
        <v>58.706299999999999</v>
      </c>
      <c r="J742">
        <v>78.941000000000003</v>
      </c>
      <c r="K742">
        <v>88.8</v>
      </c>
    </row>
    <row r="743" spans="1:11" x14ac:dyDescent="0.35">
      <c r="A743" s="77">
        <v>29495</v>
      </c>
      <c r="B743">
        <v>50.205800000000004</v>
      </c>
      <c r="C743">
        <v>70.4298</v>
      </c>
      <c r="D743">
        <v>30.722100000000001</v>
      </c>
      <c r="E743">
        <v>64.177499999999995</v>
      </c>
      <c r="F743">
        <v>45.3538</v>
      </c>
      <c r="G743">
        <v>44.9529</v>
      </c>
      <c r="H743">
        <v>91.759500000000003</v>
      </c>
      <c r="I743">
        <v>58.228999999999999</v>
      </c>
      <c r="J743">
        <v>79.769900000000007</v>
      </c>
      <c r="K743">
        <v>89.6</v>
      </c>
    </row>
    <row r="744" spans="1:11" x14ac:dyDescent="0.35">
      <c r="A744" s="77">
        <v>29526</v>
      </c>
      <c r="B744">
        <v>51.041800000000002</v>
      </c>
      <c r="C744">
        <v>71.842500000000001</v>
      </c>
      <c r="D744">
        <v>31.194700000000001</v>
      </c>
      <c r="E744">
        <v>64.464600000000004</v>
      </c>
      <c r="F744">
        <v>46.168999999999997</v>
      </c>
      <c r="G744">
        <v>45.955599999999997</v>
      </c>
      <c r="H744">
        <v>93.462999999999994</v>
      </c>
      <c r="I744">
        <v>58.462600000000002</v>
      </c>
      <c r="J744">
        <v>80.915899999999993</v>
      </c>
      <c r="K744">
        <v>90.1</v>
      </c>
    </row>
    <row r="745" spans="1:11" x14ac:dyDescent="0.35">
      <c r="A745" s="77">
        <v>29556</v>
      </c>
      <c r="B745">
        <v>51.390599999999999</v>
      </c>
      <c r="C745">
        <v>71.8733</v>
      </c>
      <c r="D745">
        <v>31.3399</v>
      </c>
      <c r="E745">
        <v>64.493399999999994</v>
      </c>
      <c r="F745">
        <v>46.354199999999999</v>
      </c>
      <c r="G745">
        <v>46.430199999999999</v>
      </c>
      <c r="H745">
        <v>95.429699999999997</v>
      </c>
      <c r="I745">
        <v>58.726900000000001</v>
      </c>
      <c r="J745">
        <v>81.280299999999997</v>
      </c>
      <c r="K745">
        <v>90.4</v>
      </c>
    </row>
    <row r="746" spans="1:11" x14ac:dyDescent="0.35">
      <c r="A746" s="77">
        <v>29587</v>
      </c>
      <c r="B746">
        <v>51.065600000000003</v>
      </c>
      <c r="C746">
        <v>71.6096</v>
      </c>
      <c r="D746">
        <v>31.3673</v>
      </c>
      <c r="E746">
        <v>64.489099999999993</v>
      </c>
      <c r="F746">
        <v>46.167700000000004</v>
      </c>
      <c r="G746">
        <v>45.876300000000001</v>
      </c>
      <c r="H746">
        <v>94.272900000000007</v>
      </c>
      <c r="I746">
        <v>57.889699999999998</v>
      </c>
      <c r="J746">
        <v>80.575199999999995</v>
      </c>
      <c r="K746">
        <v>91.4</v>
      </c>
    </row>
    <row r="747" spans="1:11" x14ac:dyDescent="0.35">
      <c r="A747" s="77">
        <v>29618</v>
      </c>
      <c r="B747">
        <v>50.855400000000003</v>
      </c>
      <c r="C747">
        <v>71.013999999999996</v>
      </c>
      <c r="D747">
        <v>31.000800000000002</v>
      </c>
      <c r="E747">
        <v>64.370599999999996</v>
      </c>
      <c r="F747">
        <v>45.938800000000001</v>
      </c>
      <c r="G747">
        <v>45.759300000000003</v>
      </c>
      <c r="H747">
        <v>95.411600000000007</v>
      </c>
      <c r="I747">
        <v>56.419400000000003</v>
      </c>
      <c r="J747">
        <v>80.046899999999994</v>
      </c>
      <c r="K747">
        <v>92</v>
      </c>
    </row>
    <row r="748" spans="1:11" x14ac:dyDescent="0.35">
      <c r="A748" s="77">
        <v>29646</v>
      </c>
      <c r="B748">
        <v>51.110700000000001</v>
      </c>
      <c r="C748">
        <v>71.263999999999996</v>
      </c>
      <c r="D748">
        <v>31.311299999999999</v>
      </c>
      <c r="E748">
        <v>64.322800000000001</v>
      </c>
      <c r="F748">
        <v>46.084499999999998</v>
      </c>
      <c r="G748">
        <v>46.039099999999998</v>
      </c>
      <c r="H748">
        <v>96.269199999999998</v>
      </c>
      <c r="I748">
        <v>57.346299999999999</v>
      </c>
      <c r="J748">
        <v>80.247900000000001</v>
      </c>
      <c r="K748">
        <v>92.6</v>
      </c>
    </row>
    <row r="749" spans="1:11" x14ac:dyDescent="0.35">
      <c r="A749" s="77">
        <v>29677</v>
      </c>
      <c r="B749">
        <v>50.886400000000002</v>
      </c>
      <c r="C749">
        <v>71.272900000000007</v>
      </c>
      <c r="D749">
        <v>31.6616</v>
      </c>
      <c r="E749">
        <v>64.475899999999996</v>
      </c>
      <c r="F749">
        <v>46.328699999999998</v>
      </c>
      <c r="G749">
        <v>45.443600000000004</v>
      </c>
      <c r="H749">
        <v>91.197400000000002</v>
      </c>
      <c r="I749">
        <v>57.388100000000001</v>
      </c>
      <c r="J749">
        <v>79.694800000000001</v>
      </c>
      <c r="K749">
        <v>93.5</v>
      </c>
    </row>
    <row r="750" spans="1:11" x14ac:dyDescent="0.35">
      <c r="A750" s="77">
        <v>29707</v>
      </c>
      <c r="B750">
        <v>51.178800000000003</v>
      </c>
      <c r="C750">
        <v>71.253600000000006</v>
      </c>
      <c r="D750">
        <v>31.662299999999998</v>
      </c>
      <c r="E750">
        <v>65.130399999999995</v>
      </c>
      <c r="F750">
        <v>46.537700000000001</v>
      </c>
      <c r="G750">
        <v>45.665700000000001</v>
      </c>
      <c r="H750">
        <v>91.736800000000002</v>
      </c>
      <c r="I750">
        <v>58.208399999999997</v>
      </c>
      <c r="J750">
        <v>79.948899999999995</v>
      </c>
      <c r="K750">
        <v>94</v>
      </c>
    </row>
    <row r="751" spans="1:11" x14ac:dyDescent="0.35">
      <c r="A751" s="77">
        <v>29738</v>
      </c>
      <c r="B751">
        <v>51.449599999999997</v>
      </c>
      <c r="C751">
        <v>70.159599999999998</v>
      </c>
      <c r="D751">
        <v>31.539200000000001</v>
      </c>
      <c r="E751">
        <v>64.674800000000005</v>
      </c>
      <c r="F751">
        <v>46.319400000000002</v>
      </c>
      <c r="G751">
        <v>46.313600000000001</v>
      </c>
      <c r="H751">
        <v>95.693299999999994</v>
      </c>
      <c r="I751">
        <v>59.655999999999999</v>
      </c>
      <c r="J751">
        <v>80.165999999999997</v>
      </c>
      <c r="K751">
        <v>94.6</v>
      </c>
    </row>
    <row r="752" spans="1:11" x14ac:dyDescent="0.35">
      <c r="A752" s="77">
        <v>29768</v>
      </c>
      <c r="B752">
        <v>51.776400000000002</v>
      </c>
      <c r="C752">
        <v>70.362499999999997</v>
      </c>
      <c r="D752">
        <v>31.586099999999998</v>
      </c>
      <c r="E752">
        <v>65.140199999999993</v>
      </c>
      <c r="F752">
        <v>46.4129</v>
      </c>
      <c r="G752">
        <v>46.583199999999998</v>
      </c>
      <c r="H752">
        <v>98.742199999999997</v>
      </c>
      <c r="I752">
        <v>59.5047</v>
      </c>
      <c r="J752">
        <v>80.4696</v>
      </c>
      <c r="K752">
        <v>94.8</v>
      </c>
    </row>
    <row r="753" spans="1:11" x14ac:dyDescent="0.35">
      <c r="A753" s="77">
        <v>29799</v>
      </c>
      <c r="B753">
        <v>51.712899999999998</v>
      </c>
      <c r="C753">
        <v>70.135000000000005</v>
      </c>
      <c r="D753">
        <v>31.525400000000001</v>
      </c>
      <c r="E753">
        <v>65.130200000000002</v>
      </c>
      <c r="F753">
        <v>46.393300000000004</v>
      </c>
      <c r="G753">
        <v>46.520099999999999</v>
      </c>
      <c r="H753">
        <v>99.0655</v>
      </c>
      <c r="I753">
        <v>58.290199999999999</v>
      </c>
      <c r="J753">
        <v>80.169200000000004</v>
      </c>
      <c r="K753">
        <v>95.3</v>
      </c>
    </row>
    <row r="754" spans="1:11" x14ac:dyDescent="0.35">
      <c r="A754" s="77">
        <v>29830</v>
      </c>
      <c r="B754">
        <v>51.460500000000003</v>
      </c>
      <c r="C754">
        <v>69.756600000000006</v>
      </c>
      <c r="D754">
        <v>31.555199999999999</v>
      </c>
      <c r="E754">
        <v>64.662599999999998</v>
      </c>
      <c r="F754">
        <v>46.205100000000002</v>
      </c>
      <c r="G754">
        <v>46.151899999999998</v>
      </c>
      <c r="H754">
        <v>98.4602</v>
      </c>
      <c r="I754">
        <v>57.462699999999998</v>
      </c>
      <c r="J754">
        <v>79.5809</v>
      </c>
      <c r="K754">
        <v>95.9</v>
      </c>
    </row>
    <row r="755" spans="1:11" x14ac:dyDescent="0.35">
      <c r="A755" s="77">
        <v>29860</v>
      </c>
      <c r="B755">
        <v>51.0625</v>
      </c>
      <c r="C755">
        <v>67.570599999999999</v>
      </c>
      <c r="D755">
        <v>31.454000000000001</v>
      </c>
      <c r="E755">
        <v>64.983699999999999</v>
      </c>
      <c r="F755">
        <v>45.726700000000001</v>
      </c>
      <c r="G755">
        <v>45.513500000000001</v>
      </c>
      <c r="H755">
        <v>97.815399999999997</v>
      </c>
      <c r="I755">
        <v>58.1755</v>
      </c>
      <c r="J755">
        <v>78.7744</v>
      </c>
      <c r="K755">
        <v>96.5</v>
      </c>
    </row>
    <row r="756" spans="1:11" x14ac:dyDescent="0.35">
      <c r="A756" s="77">
        <v>29891</v>
      </c>
      <c r="B756">
        <v>50.472999999999999</v>
      </c>
      <c r="C756">
        <v>66.510300000000001</v>
      </c>
      <c r="D756">
        <v>30.937100000000001</v>
      </c>
      <c r="E756">
        <v>64.882199999999997</v>
      </c>
      <c r="F756">
        <v>45.124000000000002</v>
      </c>
      <c r="G756">
        <v>44.709800000000001</v>
      </c>
      <c r="H756">
        <v>96.953000000000003</v>
      </c>
      <c r="I756">
        <v>57.662100000000002</v>
      </c>
      <c r="J756">
        <v>77.681600000000003</v>
      </c>
      <c r="K756">
        <v>97</v>
      </c>
    </row>
    <row r="757" spans="1:11" x14ac:dyDescent="0.35">
      <c r="A757" s="77">
        <v>29921</v>
      </c>
      <c r="B757">
        <v>49.936399999999999</v>
      </c>
      <c r="C757">
        <v>65.265900000000002</v>
      </c>
      <c r="D757">
        <v>30.511800000000001</v>
      </c>
      <c r="E757">
        <v>64.226299999999995</v>
      </c>
      <c r="F757">
        <v>44.339100000000002</v>
      </c>
      <c r="G757">
        <v>44.124200000000002</v>
      </c>
      <c r="H757">
        <v>96.903999999999996</v>
      </c>
      <c r="I757">
        <v>58.7866</v>
      </c>
      <c r="J757">
        <v>76.681700000000006</v>
      </c>
      <c r="K757">
        <v>97.6</v>
      </c>
    </row>
    <row r="758" spans="1:11" x14ac:dyDescent="0.35">
      <c r="A758" s="77">
        <v>29952</v>
      </c>
      <c r="B758">
        <v>48.9114</v>
      </c>
      <c r="C758">
        <v>63.032800000000002</v>
      </c>
      <c r="D758">
        <v>29.293399999999998</v>
      </c>
      <c r="E758">
        <v>63.044199999999996</v>
      </c>
      <c r="F758">
        <v>43.240099999999998</v>
      </c>
      <c r="G758">
        <v>43.374299999999998</v>
      </c>
      <c r="H758">
        <v>95.755799999999994</v>
      </c>
      <c r="I758">
        <v>58.699800000000003</v>
      </c>
      <c r="J758">
        <v>74.9452</v>
      </c>
      <c r="K758">
        <v>98.1</v>
      </c>
    </row>
    <row r="759" spans="1:11" x14ac:dyDescent="0.35">
      <c r="A759" s="77">
        <v>29983</v>
      </c>
      <c r="B759">
        <v>49.910200000000003</v>
      </c>
      <c r="C759">
        <v>65.308899999999994</v>
      </c>
      <c r="D759">
        <v>30.351099999999999</v>
      </c>
      <c r="E759">
        <v>64.827299999999994</v>
      </c>
      <c r="F759">
        <v>44.481299999999997</v>
      </c>
      <c r="G759">
        <v>43.856499999999997</v>
      </c>
      <c r="H759">
        <v>96.777799999999999</v>
      </c>
      <c r="I759">
        <v>57.078400000000002</v>
      </c>
      <c r="J759">
        <v>76.315700000000007</v>
      </c>
      <c r="K759">
        <v>98.1</v>
      </c>
    </row>
    <row r="760" spans="1:11" x14ac:dyDescent="0.35">
      <c r="A760" s="77">
        <v>30011</v>
      </c>
      <c r="B760">
        <v>49.569099999999999</v>
      </c>
      <c r="C760">
        <v>63.933100000000003</v>
      </c>
      <c r="D760">
        <v>29.996700000000001</v>
      </c>
      <c r="E760">
        <v>64.458100000000002</v>
      </c>
      <c r="F760">
        <v>44.141599999999997</v>
      </c>
      <c r="G760">
        <v>43.5824</v>
      </c>
      <c r="H760">
        <v>95.976299999999995</v>
      </c>
      <c r="I760">
        <v>57.0869</v>
      </c>
      <c r="J760">
        <v>75.644400000000005</v>
      </c>
      <c r="K760">
        <v>98.7</v>
      </c>
    </row>
    <row r="761" spans="1:11" x14ac:dyDescent="0.35">
      <c r="A761" s="77">
        <v>30042</v>
      </c>
      <c r="B761">
        <v>49.114600000000003</v>
      </c>
      <c r="C761">
        <v>63.440399999999997</v>
      </c>
      <c r="D761">
        <v>29.543700000000001</v>
      </c>
      <c r="E761">
        <v>64.406999999999996</v>
      </c>
      <c r="F761">
        <v>43.820399999999999</v>
      </c>
      <c r="G761">
        <v>43.047499999999999</v>
      </c>
      <c r="H761">
        <v>93.976600000000005</v>
      </c>
      <c r="I761">
        <v>57.1509</v>
      </c>
      <c r="J761">
        <v>74.813500000000005</v>
      </c>
      <c r="K761">
        <v>99</v>
      </c>
    </row>
    <row r="762" spans="1:11" x14ac:dyDescent="0.35">
      <c r="A762" s="77">
        <v>30072</v>
      </c>
      <c r="B762">
        <v>48.780500000000004</v>
      </c>
      <c r="C762">
        <v>63.784199999999998</v>
      </c>
      <c r="D762">
        <v>29.34</v>
      </c>
      <c r="E762">
        <v>64.444800000000001</v>
      </c>
      <c r="F762">
        <v>43.719299999999997</v>
      </c>
      <c r="G762">
        <v>42.5379</v>
      </c>
      <c r="H762">
        <v>92.453800000000001</v>
      </c>
      <c r="I762">
        <v>55.6</v>
      </c>
      <c r="J762">
        <v>74.178299999999993</v>
      </c>
      <c r="K762">
        <v>99.4</v>
      </c>
    </row>
    <row r="763" spans="1:11" x14ac:dyDescent="0.35">
      <c r="A763" s="77">
        <v>30103</v>
      </c>
      <c r="B763">
        <v>48.660600000000002</v>
      </c>
      <c r="C763">
        <v>63.290100000000002</v>
      </c>
      <c r="D763">
        <v>28.817599999999999</v>
      </c>
      <c r="E763">
        <v>64.886600000000001</v>
      </c>
      <c r="F763">
        <v>43.690899999999999</v>
      </c>
      <c r="G763">
        <v>42.424100000000003</v>
      </c>
      <c r="H763">
        <v>91.178899999999999</v>
      </c>
      <c r="I763">
        <v>55.790100000000002</v>
      </c>
      <c r="J763">
        <v>73.879900000000006</v>
      </c>
      <c r="K763">
        <v>99.9</v>
      </c>
    </row>
    <row r="764" spans="1:11" x14ac:dyDescent="0.35">
      <c r="A764" s="77">
        <v>30133</v>
      </c>
      <c r="B764">
        <v>48.4863</v>
      </c>
      <c r="C764">
        <v>63.144399999999997</v>
      </c>
      <c r="D764">
        <v>28.7302</v>
      </c>
      <c r="E764">
        <v>65.042400000000001</v>
      </c>
      <c r="F764">
        <v>43.624899999999997</v>
      </c>
      <c r="G764">
        <v>42.108899999999998</v>
      </c>
      <c r="H764">
        <v>89.857500000000002</v>
      </c>
      <c r="I764">
        <v>55.776600000000002</v>
      </c>
      <c r="J764">
        <v>73.511899999999997</v>
      </c>
      <c r="K764">
        <v>100.1</v>
      </c>
    </row>
    <row r="765" spans="1:11" x14ac:dyDescent="0.35">
      <c r="A765" s="77">
        <v>30164</v>
      </c>
      <c r="B765">
        <v>48.056899999999999</v>
      </c>
      <c r="C765">
        <v>63.1556</v>
      </c>
      <c r="D765">
        <v>28.011800000000001</v>
      </c>
      <c r="E765">
        <v>64.869</v>
      </c>
      <c r="F765">
        <v>43.2104</v>
      </c>
      <c r="G765">
        <v>41.692100000000003</v>
      </c>
      <c r="H765">
        <v>89.176699999999997</v>
      </c>
      <c r="I765">
        <v>55.08</v>
      </c>
      <c r="J765">
        <v>72.770700000000005</v>
      </c>
      <c r="K765">
        <v>100.6</v>
      </c>
    </row>
    <row r="766" spans="1:11" x14ac:dyDescent="0.35">
      <c r="A766" s="77">
        <v>30195</v>
      </c>
      <c r="B766">
        <v>47.930300000000003</v>
      </c>
      <c r="C766">
        <v>63.348799999999997</v>
      </c>
      <c r="D766">
        <v>27.892900000000001</v>
      </c>
      <c r="E766">
        <v>64.842299999999994</v>
      </c>
      <c r="F766">
        <v>43.128500000000003</v>
      </c>
      <c r="G766">
        <v>41.487499999999997</v>
      </c>
      <c r="H766">
        <v>88.304299999999998</v>
      </c>
      <c r="I766">
        <v>55.257100000000001</v>
      </c>
      <c r="J766">
        <v>72.501300000000001</v>
      </c>
      <c r="K766">
        <v>100.8</v>
      </c>
    </row>
    <row r="767" spans="1:11" x14ac:dyDescent="0.35">
      <c r="A767" s="77">
        <v>30225</v>
      </c>
      <c r="B767">
        <v>47.473799999999997</v>
      </c>
      <c r="C767">
        <v>62.433100000000003</v>
      </c>
      <c r="D767">
        <v>27.2559</v>
      </c>
      <c r="E767">
        <v>64.8523</v>
      </c>
      <c r="F767">
        <v>42.570399999999999</v>
      </c>
      <c r="G767">
        <v>40.994900000000001</v>
      </c>
      <c r="H767">
        <v>87.997100000000003</v>
      </c>
      <c r="I767">
        <v>55.417299999999997</v>
      </c>
      <c r="J767">
        <v>71.745599999999996</v>
      </c>
      <c r="K767">
        <v>101.3</v>
      </c>
    </row>
    <row r="768" spans="1:11" x14ac:dyDescent="0.35">
      <c r="A768" s="77">
        <v>30256</v>
      </c>
      <c r="B768">
        <v>47.32</v>
      </c>
      <c r="C768">
        <v>62.065600000000003</v>
      </c>
      <c r="D768">
        <v>27.151499999999999</v>
      </c>
      <c r="E768">
        <v>64.733699999999999</v>
      </c>
      <c r="F768">
        <v>42.309699999999999</v>
      </c>
      <c r="G768">
        <v>40.835099999999997</v>
      </c>
      <c r="H768">
        <v>87.756600000000006</v>
      </c>
      <c r="I768">
        <v>56.1524</v>
      </c>
      <c r="J768">
        <v>71.459299999999999</v>
      </c>
      <c r="K768">
        <v>101.6</v>
      </c>
    </row>
    <row r="769" spans="1:11" x14ac:dyDescent="0.35">
      <c r="A769" s="77">
        <v>30286</v>
      </c>
      <c r="B769">
        <v>46.981299999999997</v>
      </c>
      <c r="C769">
        <v>61.616199999999999</v>
      </c>
      <c r="D769">
        <v>27.434000000000001</v>
      </c>
      <c r="E769">
        <v>63.908799999999999</v>
      </c>
      <c r="F769">
        <v>42.1691</v>
      </c>
      <c r="G769">
        <v>40.470799999999997</v>
      </c>
      <c r="H769">
        <v>86.704800000000006</v>
      </c>
      <c r="I769">
        <v>54.436599999999999</v>
      </c>
      <c r="J769">
        <v>70.904600000000002</v>
      </c>
      <c r="K769">
        <v>102.2</v>
      </c>
    </row>
    <row r="770" spans="1:11" x14ac:dyDescent="0.35">
      <c r="A770" s="77">
        <v>30317</v>
      </c>
      <c r="B770">
        <v>47.8523</v>
      </c>
      <c r="C770">
        <v>63.8125</v>
      </c>
      <c r="D770">
        <v>27.474499999999999</v>
      </c>
      <c r="E770">
        <v>65.2804</v>
      </c>
      <c r="F770">
        <v>43.165799999999997</v>
      </c>
      <c r="G770">
        <v>41.3767</v>
      </c>
      <c r="H770">
        <v>87.543300000000002</v>
      </c>
      <c r="I770">
        <v>54.318300000000001</v>
      </c>
      <c r="J770">
        <v>72.184200000000004</v>
      </c>
      <c r="K770">
        <v>101.8</v>
      </c>
    </row>
    <row r="771" spans="1:11" x14ac:dyDescent="0.35">
      <c r="A771" s="77">
        <v>30348</v>
      </c>
      <c r="B771">
        <v>47.566699999999997</v>
      </c>
      <c r="C771">
        <v>63.498100000000001</v>
      </c>
      <c r="D771">
        <v>27.390699999999999</v>
      </c>
      <c r="E771">
        <v>64.451700000000002</v>
      </c>
      <c r="F771">
        <v>43.157400000000003</v>
      </c>
      <c r="G771">
        <v>41.240400000000001</v>
      </c>
      <c r="H771">
        <v>85.814899999999994</v>
      </c>
      <c r="I771">
        <v>52.920200000000001</v>
      </c>
      <c r="J771">
        <v>71.725999999999999</v>
      </c>
      <c r="K771">
        <v>102.2</v>
      </c>
    </row>
    <row r="772" spans="1:11" x14ac:dyDescent="0.35">
      <c r="A772" s="77">
        <v>30376</v>
      </c>
      <c r="B772">
        <v>47.959899999999998</v>
      </c>
      <c r="C772">
        <v>64.2196</v>
      </c>
      <c r="D772">
        <v>27.686199999999999</v>
      </c>
      <c r="E772">
        <v>64.715199999999996</v>
      </c>
      <c r="F772">
        <v>43.574399999999997</v>
      </c>
      <c r="G772">
        <v>41.616199999999999</v>
      </c>
      <c r="H772">
        <v>84.724900000000005</v>
      </c>
      <c r="I772">
        <v>54.8506</v>
      </c>
      <c r="J772">
        <v>72.297300000000007</v>
      </c>
      <c r="K772">
        <v>102.5</v>
      </c>
    </row>
    <row r="773" spans="1:11" x14ac:dyDescent="0.35">
      <c r="A773" s="77">
        <v>30407</v>
      </c>
      <c r="B773">
        <v>48.556399999999996</v>
      </c>
      <c r="C773">
        <v>65.092200000000005</v>
      </c>
      <c r="D773">
        <v>27.740600000000001</v>
      </c>
      <c r="E773">
        <v>66.007900000000006</v>
      </c>
      <c r="F773">
        <v>44.1008</v>
      </c>
      <c r="G773">
        <v>42.128999999999998</v>
      </c>
      <c r="H773">
        <v>85.602599999999995</v>
      </c>
      <c r="I773">
        <v>55.890599999999999</v>
      </c>
      <c r="J773">
        <v>73.178700000000006</v>
      </c>
      <c r="K773">
        <v>102.4</v>
      </c>
    </row>
    <row r="774" spans="1:11" x14ac:dyDescent="0.35">
      <c r="A774" s="77">
        <v>30437</v>
      </c>
      <c r="B774">
        <v>48.864699999999999</v>
      </c>
      <c r="C774">
        <v>66.320599999999999</v>
      </c>
      <c r="D774">
        <v>28.090399999999999</v>
      </c>
      <c r="E774">
        <v>66.248800000000003</v>
      </c>
      <c r="F774">
        <v>44.650399999999998</v>
      </c>
      <c r="G774">
        <v>42.417700000000004</v>
      </c>
      <c r="H774">
        <v>85.209500000000006</v>
      </c>
      <c r="I774">
        <v>54.855600000000003</v>
      </c>
      <c r="J774">
        <v>73.626900000000006</v>
      </c>
      <c r="K774">
        <v>102.6</v>
      </c>
    </row>
    <row r="775" spans="1:11" x14ac:dyDescent="0.35">
      <c r="A775" s="77">
        <v>30468</v>
      </c>
      <c r="B775">
        <v>49.155799999999999</v>
      </c>
      <c r="C775">
        <v>67.479500000000002</v>
      </c>
      <c r="D775">
        <v>28.293700000000001</v>
      </c>
      <c r="E775">
        <v>66.474999999999994</v>
      </c>
      <c r="F775">
        <v>45.018700000000003</v>
      </c>
      <c r="G775">
        <v>42.719499999999996</v>
      </c>
      <c r="H775">
        <v>85.443200000000004</v>
      </c>
      <c r="I775">
        <v>54.692700000000002</v>
      </c>
      <c r="J775">
        <v>74.048199999999994</v>
      </c>
      <c r="K775">
        <v>102.8</v>
      </c>
    </row>
    <row r="776" spans="1:11" x14ac:dyDescent="0.35">
      <c r="A776" s="77">
        <v>30498</v>
      </c>
      <c r="B776">
        <v>49.887300000000003</v>
      </c>
      <c r="C776">
        <v>68.888400000000004</v>
      </c>
      <c r="D776">
        <v>28.863099999999999</v>
      </c>
      <c r="E776">
        <v>67.3446</v>
      </c>
      <c r="F776">
        <v>45.693199999999997</v>
      </c>
      <c r="G776">
        <v>43.404200000000003</v>
      </c>
      <c r="H776">
        <v>85.967600000000004</v>
      </c>
      <c r="I776">
        <v>56.575299999999999</v>
      </c>
      <c r="J776">
        <v>75.128900000000002</v>
      </c>
      <c r="K776">
        <v>103.1</v>
      </c>
    </row>
    <row r="777" spans="1:11" x14ac:dyDescent="0.35">
      <c r="A777" s="77">
        <v>30529</v>
      </c>
      <c r="B777">
        <v>50.484299999999998</v>
      </c>
      <c r="C777">
        <v>69.1858</v>
      </c>
      <c r="D777">
        <v>29.157800000000002</v>
      </c>
      <c r="E777">
        <v>67.948099999999997</v>
      </c>
      <c r="F777">
        <v>46.087499999999999</v>
      </c>
      <c r="G777">
        <v>44.044499999999999</v>
      </c>
      <c r="H777">
        <v>86.742199999999997</v>
      </c>
      <c r="I777">
        <v>58.870899999999999</v>
      </c>
      <c r="J777">
        <v>75.999799999999993</v>
      </c>
      <c r="K777">
        <v>103.5</v>
      </c>
    </row>
    <row r="778" spans="1:11" x14ac:dyDescent="0.35">
      <c r="A778" s="77">
        <v>30560</v>
      </c>
      <c r="B778">
        <v>51.216000000000001</v>
      </c>
      <c r="C778">
        <v>70.041600000000003</v>
      </c>
      <c r="D778">
        <v>29.940899999999999</v>
      </c>
      <c r="E778">
        <v>68.803700000000006</v>
      </c>
      <c r="F778">
        <v>46.968400000000003</v>
      </c>
      <c r="G778">
        <v>44.615499999999997</v>
      </c>
      <c r="H778">
        <v>87.312600000000003</v>
      </c>
      <c r="I778">
        <v>58.7254</v>
      </c>
      <c r="J778">
        <v>77.063800000000001</v>
      </c>
      <c r="K778">
        <v>103.5</v>
      </c>
    </row>
    <row r="779" spans="1:11" x14ac:dyDescent="0.35">
      <c r="A779" s="77">
        <v>30590</v>
      </c>
      <c r="B779">
        <v>51.613900000000001</v>
      </c>
      <c r="C779">
        <v>71.167400000000001</v>
      </c>
      <c r="D779">
        <v>30.2867</v>
      </c>
      <c r="E779">
        <v>68.402799999999999</v>
      </c>
      <c r="F779">
        <v>47.458300000000001</v>
      </c>
      <c r="G779">
        <v>45.2027</v>
      </c>
      <c r="H779">
        <v>88.189899999999994</v>
      </c>
      <c r="I779">
        <v>57.797499999999999</v>
      </c>
      <c r="J779">
        <v>77.613799999999998</v>
      </c>
      <c r="K779">
        <v>103.6</v>
      </c>
    </row>
    <row r="780" spans="1:11" x14ac:dyDescent="0.35">
      <c r="A780" s="77">
        <v>30621</v>
      </c>
      <c r="B780">
        <v>51.841999999999999</v>
      </c>
      <c r="C780">
        <v>70.991600000000005</v>
      </c>
      <c r="D780">
        <v>30.6112</v>
      </c>
      <c r="E780">
        <v>68.514799999999994</v>
      </c>
      <c r="F780">
        <v>47.700499999999998</v>
      </c>
      <c r="G780">
        <v>45.448700000000002</v>
      </c>
      <c r="H780">
        <v>88.188699999999997</v>
      </c>
      <c r="I780">
        <v>58.148299999999999</v>
      </c>
      <c r="J780">
        <v>77.896000000000001</v>
      </c>
      <c r="K780">
        <v>103.8</v>
      </c>
    </row>
    <row r="781" spans="1:11" x14ac:dyDescent="0.35">
      <c r="A781" s="77">
        <v>30651</v>
      </c>
      <c r="B781">
        <v>52.094799999999999</v>
      </c>
      <c r="C781">
        <v>71.186800000000005</v>
      </c>
      <c r="D781">
        <v>30.888300000000001</v>
      </c>
      <c r="E781">
        <v>68.61</v>
      </c>
      <c r="F781">
        <v>47.849400000000003</v>
      </c>
      <c r="G781">
        <v>45.639000000000003</v>
      </c>
      <c r="H781">
        <v>87.206400000000002</v>
      </c>
      <c r="I781">
        <v>60.862499999999997</v>
      </c>
      <c r="J781">
        <v>78.202299999999994</v>
      </c>
      <c r="K781">
        <v>104.1</v>
      </c>
    </row>
    <row r="782" spans="1:11" x14ac:dyDescent="0.35">
      <c r="A782" s="77">
        <v>30682</v>
      </c>
      <c r="B782">
        <v>53.134799999999998</v>
      </c>
      <c r="C782">
        <v>71.633399999999995</v>
      </c>
      <c r="D782">
        <v>31.583600000000001</v>
      </c>
      <c r="E782">
        <v>69.981899999999996</v>
      </c>
      <c r="F782">
        <v>48.732599999999998</v>
      </c>
      <c r="G782">
        <v>46.5809</v>
      </c>
      <c r="H782">
        <v>91.299700000000001</v>
      </c>
      <c r="I782">
        <v>60.644199999999998</v>
      </c>
      <c r="J782">
        <v>79.675399999999996</v>
      </c>
      <c r="K782">
        <v>104.5</v>
      </c>
    </row>
    <row r="783" spans="1:11" x14ac:dyDescent="0.35">
      <c r="A783" s="77">
        <v>30713</v>
      </c>
      <c r="B783">
        <v>53.376300000000001</v>
      </c>
      <c r="C783">
        <v>73.218800000000002</v>
      </c>
      <c r="D783">
        <v>31.848400000000002</v>
      </c>
      <c r="E783">
        <v>69.829899999999995</v>
      </c>
      <c r="F783">
        <v>49.265900000000002</v>
      </c>
      <c r="G783">
        <v>46.823</v>
      </c>
      <c r="H783">
        <v>90.296099999999996</v>
      </c>
      <c r="I783">
        <v>59.357999999999997</v>
      </c>
      <c r="J783">
        <v>79.935500000000005</v>
      </c>
      <c r="K783">
        <v>104.7</v>
      </c>
    </row>
    <row r="784" spans="1:11" x14ac:dyDescent="0.35">
      <c r="A784" s="77">
        <v>30742</v>
      </c>
      <c r="B784">
        <v>53.631399999999999</v>
      </c>
      <c r="C784">
        <v>72.754800000000003</v>
      </c>
      <c r="D784">
        <v>32.1616</v>
      </c>
      <c r="E784">
        <v>70.092500000000001</v>
      </c>
      <c r="F784">
        <v>49.481400000000001</v>
      </c>
      <c r="G784">
        <v>47.037500000000001</v>
      </c>
      <c r="H784">
        <v>89.636300000000006</v>
      </c>
      <c r="I784">
        <v>60.814300000000003</v>
      </c>
      <c r="J784">
        <v>80.201700000000002</v>
      </c>
      <c r="K784">
        <v>105.2</v>
      </c>
    </row>
    <row r="785" spans="1:11" x14ac:dyDescent="0.35">
      <c r="A785" s="77">
        <v>30773</v>
      </c>
      <c r="B785">
        <v>53.949100000000001</v>
      </c>
      <c r="C785">
        <v>73.250799999999998</v>
      </c>
      <c r="D785">
        <v>32.437399999999997</v>
      </c>
      <c r="E785">
        <v>70.275099999999995</v>
      </c>
      <c r="F785">
        <v>49.728000000000002</v>
      </c>
      <c r="G785">
        <v>47.346699999999998</v>
      </c>
      <c r="H785">
        <v>91.393299999999996</v>
      </c>
      <c r="I785">
        <v>60.497599999999998</v>
      </c>
      <c r="J785">
        <v>80.547300000000007</v>
      </c>
      <c r="K785">
        <v>105.3</v>
      </c>
    </row>
    <row r="786" spans="1:11" x14ac:dyDescent="0.35">
      <c r="A786" s="77">
        <v>30803</v>
      </c>
      <c r="B786">
        <v>54.239600000000003</v>
      </c>
      <c r="C786">
        <v>73.447100000000006</v>
      </c>
      <c r="D786">
        <v>32.598700000000001</v>
      </c>
      <c r="E786">
        <v>70.026499999999999</v>
      </c>
      <c r="F786">
        <v>49.881100000000004</v>
      </c>
      <c r="G786">
        <v>47.698999999999998</v>
      </c>
      <c r="H786">
        <v>92.756100000000004</v>
      </c>
      <c r="I786">
        <v>61.063000000000002</v>
      </c>
      <c r="J786">
        <v>80.838399999999993</v>
      </c>
      <c r="K786">
        <v>105.3</v>
      </c>
    </row>
    <row r="787" spans="1:11" x14ac:dyDescent="0.35">
      <c r="A787" s="77">
        <v>30834</v>
      </c>
      <c r="B787">
        <v>54.428800000000003</v>
      </c>
      <c r="C787">
        <v>73.956800000000001</v>
      </c>
      <c r="D787">
        <v>32.933700000000002</v>
      </c>
      <c r="E787">
        <v>69.991399999999999</v>
      </c>
      <c r="F787">
        <v>50.1051</v>
      </c>
      <c r="G787">
        <v>47.802300000000002</v>
      </c>
      <c r="H787">
        <v>93.133099999999999</v>
      </c>
      <c r="I787">
        <v>60.740299999999998</v>
      </c>
      <c r="J787">
        <v>80.964799999999997</v>
      </c>
      <c r="K787">
        <v>105.5</v>
      </c>
    </row>
    <row r="788" spans="1:11" x14ac:dyDescent="0.35">
      <c r="A788" s="77">
        <v>30864</v>
      </c>
      <c r="B788">
        <v>54.586500000000001</v>
      </c>
      <c r="C788">
        <v>73.710999999999999</v>
      </c>
      <c r="D788">
        <v>33.393000000000001</v>
      </c>
      <c r="E788">
        <v>69.990499999999997</v>
      </c>
      <c r="F788">
        <v>50.3185</v>
      </c>
      <c r="G788">
        <v>47.9437</v>
      </c>
      <c r="H788">
        <v>94.707300000000004</v>
      </c>
      <c r="I788">
        <v>59.097200000000001</v>
      </c>
      <c r="J788">
        <v>81.033900000000003</v>
      </c>
      <c r="K788">
        <v>105.7</v>
      </c>
    </row>
    <row r="789" spans="1:11" x14ac:dyDescent="0.35">
      <c r="A789" s="77">
        <v>30895</v>
      </c>
      <c r="B789">
        <v>54.652999999999999</v>
      </c>
      <c r="C789">
        <v>73.963200000000001</v>
      </c>
      <c r="D789">
        <v>33.7181</v>
      </c>
      <c r="E789">
        <v>69.651799999999994</v>
      </c>
      <c r="F789">
        <v>50.411000000000001</v>
      </c>
      <c r="G789">
        <v>47.919699999999999</v>
      </c>
      <c r="H789">
        <v>93.714699999999993</v>
      </c>
      <c r="I789">
        <v>59.723999999999997</v>
      </c>
      <c r="J789">
        <v>80.958699999999993</v>
      </c>
      <c r="K789">
        <v>105.9</v>
      </c>
    </row>
    <row r="790" spans="1:11" x14ac:dyDescent="0.35">
      <c r="A790" s="77">
        <v>30926</v>
      </c>
      <c r="B790">
        <v>54.494900000000001</v>
      </c>
      <c r="C790">
        <v>74.156899999999993</v>
      </c>
      <c r="D790">
        <v>33.766399999999997</v>
      </c>
      <c r="E790">
        <v>69.403599999999997</v>
      </c>
      <c r="F790">
        <v>50.218899999999998</v>
      </c>
      <c r="G790">
        <v>47.664200000000001</v>
      </c>
      <c r="H790">
        <v>94.320599999999999</v>
      </c>
      <c r="I790">
        <v>59.101700000000001</v>
      </c>
      <c r="J790">
        <v>80.543899999999994</v>
      </c>
      <c r="K790">
        <v>106.2</v>
      </c>
    </row>
    <row r="791" spans="1:11" x14ac:dyDescent="0.35">
      <c r="A791" s="77">
        <v>30956</v>
      </c>
      <c r="B791">
        <v>54.477200000000003</v>
      </c>
      <c r="C791">
        <v>73.977500000000006</v>
      </c>
      <c r="D791">
        <v>34.044400000000003</v>
      </c>
      <c r="E791">
        <v>70.031300000000002</v>
      </c>
      <c r="F791">
        <v>50.487900000000003</v>
      </c>
      <c r="G791">
        <v>47.278100000000002</v>
      </c>
      <c r="H791">
        <v>91.242900000000006</v>
      </c>
      <c r="I791">
        <v>59.07</v>
      </c>
      <c r="J791">
        <v>80.330500000000001</v>
      </c>
      <c r="K791">
        <v>105.9</v>
      </c>
    </row>
    <row r="792" spans="1:11" x14ac:dyDescent="0.35">
      <c r="A792" s="77">
        <v>30987</v>
      </c>
      <c r="B792">
        <v>54.659399999999998</v>
      </c>
      <c r="C792">
        <v>73.837400000000002</v>
      </c>
      <c r="D792">
        <v>34.336100000000002</v>
      </c>
      <c r="E792">
        <v>70.239199999999997</v>
      </c>
      <c r="F792">
        <v>50.623800000000003</v>
      </c>
      <c r="G792">
        <v>47.432499999999997</v>
      </c>
      <c r="H792">
        <v>91.304900000000004</v>
      </c>
      <c r="I792">
        <v>59.827800000000003</v>
      </c>
      <c r="J792">
        <v>80.405500000000004</v>
      </c>
      <c r="K792">
        <v>106.2</v>
      </c>
    </row>
    <row r="793" spans="1:11" x14ac:dyDescent="0.35">
      <c r="A793" s="77">
        <v>31017</v>
      </c>
      <c r="B793">
        <v>54.6892</v>
      </c>
      <c r="C793">
        <v>74.507400000000004</v>
      </c>
      <c r="D793">
        <v>34.540999999999997</v>
      </c>
      <c r="E793">
        <v>70.570800000000006</v>
      </c>
      <c r="F793">
        <v>50.765599999999999</v>
      </c>
      <c r="G793">
        <v>47.2911</v>
      </c>
      <c r="H793">
        <v>91.437700000000007</v>
      </c>
      <c r="I793">
        <v>58.823799999999999</v>
      </c>
      <c r="J793">
        <v>80.252300000000005</v>
      </c>
      <c r="K793">
        <v>106.3</v>
      </c>
    </row>
    <row r="794" spans="1:11" x14ac:dyDescent="0.35">
      <c r="A794" s="77">
        <v>31048</v>
      </c>
      <c r="B794">
        <v>54.650500000000001</v>
      </c>
      <c r="C794">
        <v>73.253799999999998</v>
      </c>
      <c r="D794">
        <v>34.470100000000002</v>
      </c>
      <c r="E794">
        <v>70.160499999999999</v>
      </c>
      <c r="F794">
        <v>50.628</v>
      </c>
      <c r="G794">
        <v>47.432400000000001</v>
      </c>
      <c r="H794">
        <v>89.293099999999995</v>
      </c>
      <c r="I794">
        <v>61.299199999999999</v>
      </c>
      <c r="J794">
        <v>79.995000000000005</v>
      </c>
      <c r="K794">
        <v>106.9</v>
      </c>
    </row>
    <row r="795" spans="1:11" x14ac:dyDescent="0.35">
      <c r="A795" s="77">
        <v>31079</v>
      </c>
      <c r="B795">
        <v>54.816899999999997</v>
      </c>
      <c r="C795">
        <v>73.349299999999999</v>
      </c>
      <c r="D795">
        <v>34.231099999999998</v>
      </c>
      <c r="E795">
        <v>70.559100000000001</v>
      </c>
      <c r="F795">
        <v>50.4069</v>
      </c>
      <c r="G795">
        <v>47.553800000000003</v>
      </c>
      <c r="H795">
        <v>90.9619</v>
      </c>
      <c r="I795">
        <v>63.43</v>
      </c>
      <c r="J795">
        <v>80.0351</v>
      </c>
      <c r="K795">
        <v>107.3</v>
      </c>
    </row>
    <row r="796" spans="1:11" x14ac:dyDescent="0.35">
      <c r="A796" s="77">
        <v>31107</v>
      </c>
      <c r="B796">
        <v>54.897799999999997</v>
      </c>
      <c r="C796">
        <v>75.337599999999995</v>
      </c>
      <c r="D796">
        <v>34.6098</v>
      </c>
      <c r="E796">
        <v>70.500100000000003</v>
      </c>
      <c r="F796">
        <v>50.79</v>
      </c>
      <c r="G796">
        <v>47.459099999999999</v>
      </c>
      <c r="H796">
        <v>91.1982</v>
      </c>
      <c r="I796">
        <v>60.510199999999998</v>
      </c>
      <c r="J796">
        <v>79.9495</v>
      </c>
      <c r="K796">
        <v>107.6</v>
      </c>
    </row>
    <row r="797" spans="1:11" x14ac:dyDescent="0.35">
      <c r="A797" s="77">
        <v>31138</v>
      </c>
      <c r="B797">
        <v>54.783299999999997</v>
      </c>
      <c r="C797">
        <v>75.2714</v>
      </c>
      <c r="D797">
        <v>34.312399999999997</v>
      </c>
      <c r="E797">
        <v>70.128799999999998</v>
      </c>
      <c r="F797">
        <v>50.609699999999997</v>
      </c>
      <c r="G797">
        <v>47.439</v>
      </c>
      <c r="H797">
        <v>90.949200000000005</v>
      </c>
      <c r="I797">
        <v>61.102800000000002</v>
      </c>
      <c r="J797">
        <v>79.582099999999997</v>
      </c>
      <c r="K797">
        <v>107.6</v>
      </c>
    </row>
    <row r="798" spans="1:11" x14ac:dyDescent="0.35">
      <c r="A798" s="77">
        <v>31168</v>
      </c>
      <c r="B798">
        <v>54.870399999999997</v>
      </c>
      <c r="C798">
        <v>75.58</v>
      </c>
      <c r="D798">
        <v>34.395600000000002</v>
      </c>
      <c r="E798">
        <v>70.251499999999993</v>
      </c>
      <c r="F798">
        <v>50.724499999999999</v>
      </c>
      <c r="G798">
        <v>47.4801</v>
      </c>
      <c r="H798">
        <v>91.122699999999995</v>
      </c>
      <c r="I798">
        <v>60.967100000000002</v>
      </c>
      <c r="J798">
        <v>79.510900000000007</v>
      </c>
      <c r="K798">
        <v>107.8</v>
      </c>
    </row>
    <row r="799" spans="1:11" x14ac:dyDescent="0.35">
      <c r="A799" s="77">
        <v>31199</v>
      </c>
      <c r="B799">
        <v>54.8401</v>
      </c>
      <c r="C799">
        <v>75.971199999999996</v>
      </c>
      <c r="D799">
        <v>34.432699999999997</v>
      </c>
      <c r="E799">
        <v>70.471000000000004</v>
      </c>
      <c r="F799">
        <v>50.737200000000001</v>
      </c>
      <c r="G799">
        <v>47.336799999999997</v>
      </c>
      <c r="H799">
        <v>91.231700000000004</v>
      </c>
      <c r="I799">
        <v>60.4238</v>
      </c>
      <c r="J799">
        <v>79.274000000000001</v>
      </c>
      <c r="K799">
        <v>108.2</v>
      </c>
    </row>
    <row r="800" spans="1:11" x14ac:dyDescent="0.35">
      <c r="A800" s="77">
        <v>31229</v>
      </c>
      <c r="B800">
        <v>54.558199999999999</v>
      </c>
      <c r="C800">
        <v>75.695899999999995</v>
      </c>
      <c r="D800">
        <v>34.2761</v>
      </c>
      <c r="E800">
        <v>70.249499999999998</v>
      </c>
      <c r="F800">
        <v>50.5184</v>
      </c>
      <c r="G800">
        <v>47.055500000000002</v>
      </c>
      <c r="H800">
        <v>89.664699999999996</v>
      </c>
      <c r="I800">
        <v>60.637099999999997</v>
      </c>
      <c r="J800">
        <v>78.682400000000001</v>
      </c>
      <c r="K800">
        <v>108.4</v>
      </c>
    </row>
    <row r="801" spans="1:11" x14ac:dyDescent="0.35">
      <c r="A801" s="77">
        <v>31260</v>
      </c>
      <c r="B801">
        <v>54.738100000000003</v>
      </c>
      <c r="C801">
        <v>75.761099999999999</v>
      </c>
      <c r="D801">
        <v>34.315100000000001</v>
      </c>
      <c r="E801">
        <v>70.577699999999993</v>
      </c>
      <c r="F801">
        <v>50.775199999999998</v>
      </c>
      <c r="G801">
        <v>47.124899999999997</v>
      </c>
      <c r="H801">
        <v>89.505200000000002</v>
      </c>
      <c r="I801">
        <v>60.5032</v>
      </c>
      <c r="J801">
        <v>78.765799999999999</v>
      </c>
      <c r="K801">
        <v>108.5</v>
      </c>
    </row>
    <row r="802" spans="1:11" x14ac:dyDescent="0.35">
      <c r="A802" s="77">
        <v>31291</v>
      </c>
      <c r="B802">
        <v>54.941600000000001</v>
      </c>
      <c r="C802">
        <v>75.738</v>
      </c>
      <c r="D802">
        <v>34.225099999999998</v>
      </c>
      <c r="E802">
        <v>70.916399999999996</v>
      </c>
      <c r="F802">
        <v>50.8264</v>
      </c>
      <c r="G802">
        <v>47.3626</v>
      </c>
      <c r="H802">
        <v>90.54</v>
      </c>
      <c r="I802">
        <v>61.673699999999997</v>
      </c>
      <c r="J802">
        <v>78.892799999999994</v>
      </c>
      <c r="K802">
        <v>107.9</v>
      </c>
    </row>
    <row r="803" spans="1:11" x14ac:dyDescent="0.35">
      <c r="A803" s="77">
        <v>31321</v>
      </c>
      <c r="B803">
        <v>54.753799999999998</v>
      </c>
      <c r="C803">
        <v>75.858500000000006</v>
      </c>
      <c r="D803">
        <v>34.1798</v>
      </c>
      <c r="E803">
        <v>70.830699999999993</v>
      </c>
      <c r="F803">
        <v>50.734400000000001</v>
      </c>
      <c r="G803">
        <v>47.086399999999998</v>
      </c>
      <c r="H803">
        <v>89.951099999999997</v>
      </c>
      <c r="I803">
        <v>61.118899999999996</v>
      </c>
      <c r="J803">
        <v>78.469300000000004</v>
      </c>
      <c r="K803">
        <v>108.9</v>
      </c>
    </row>
    <row r="804" spans="1:11" x14ac:dyDescent="0.35">
      <c r="A804" s="77">
        <v>31352</v>
      </c>
      <c r="B804">
        <v>54.939</v>
      </c>
      <c r="C804">
        <v>75.807500000000005</v>
      </c>
      <c r="D804">
        <v>34.4861</v>
      </c>
      <c r="E804">
        <v>71.227900000000005</v>
      </c>
      <c r="F804">
        <v>51.0852</v>
      </c>
      <c r="G804">
        <v>47.144399999999997</v>
      </c>
      <c r="H804">
        <v>88.841899999999995</v>
      </c>
      <c r="I804">
        <v>61.014200000000002</v>
      </c>
      <c r="J804">
        <v>78.5929</v>
      </c>
      <c r="K804">
        <v>109.1</v>
      </c>
    </row>
    <row r="805" spans="1:11" x14ac:dyDescent="0.35">
      <c r="A805" s="77">
        <v>31382</v>
      </c>
      <c r="B805">
        <v>55.494500000000002</v>
      </c>
      <c r="C805">
        <v>75.561099999999996</v>
      </c>
      <c r="D805">
        <v>34.4236</v>
      </c>
      <c r="E805">
        <v>71.908900000000003</v>
      </c>
      <c r="F805">
        <v>51.2667</v>
      </c>
      <c r="G805">
        <v>47.815199999999997</v>
      </c>
      <c r="H805">
        <v>90.679900000000004</v>
      </c>
      <c r="I805">
        <v>63.918799999999997</v>
      </c>
      <c r="J805">
        <v>79.257499999999993</v>
      </c>
      <c r="K805">
        <v>109.1</v>
      </c>
    </row>
    <row r="806" spans="1:11" x14ac:dyDescent="0.35">
      <c r="A806" s="77">
        <v>31413</v>
      </c>
      <c r="B806">
        <v>55.780200000000001</v>
      </c>
      <c r="C806">
        <v>77.175899999999999</v>
      </c>
      <c r="D806">
        <v>34.5047</v>
      </c>
      <c r="E806">
        <v>72.742900000000006</v>
      </c>
      <c r="F806">
        <v>51.882899999999999</v>
      </c>
      <c r="G806">
        <v>47.884999999999998</v>
      </c>
      <c r="H806">
        <v>90.405199999999994</v>
      </c>
      <c r="I806">
        <v>61.895899999999997</v>
      </c>
      <c r="J806">
        <v>79.5471</v>
      </c>
      <c r="K806">
        <v>109.3</v>
      </c>
    </row>
    <row r="807" spans="1:11" x14ac:dyDescent="0.35">
      <c r="A807" s="77">
        <v>31444</v>
      </c>
      <c r="B807">
        <v>55.3994</v>
      </c>
      <c r="C807">
        <v>76.445999999999998</v>
      </c>
      <c r="D807">
        <v>34.136899999999997</v>
      </c>
      <c r="E807">
        <v>72.128600000000006</v>
      </c>
      <c r="F807">
        <v>51.613900000000001</v>
      </c>
      <c r="G807">
        <v>47.702199999999998</v>
      </c>
      <c r="H807">
        <v>89.166300000000007</v>
      </c>
      <c r="I807">
        <v>61.363500000000002</v>
      </c>
      <c r="J807">
        <v>78.899299999999997</v>
      </c>
      <c r="K807">
        <v>109.5</v>
      </c>
    </row>
    <row r="808" spans="1:11" x14ac:dyDescent="0.35">
      <c r="A808" s="77">
        <v>31472</v>
      </c>
      <c r="B808">
        <v>55.000100000000003</v>
      </c>
      <c r="C808">
        <v>76.6143</v>
      </c>
      <c r="D808">
        <v>34.104100000000003</v>
      </c>
      <c r="E808">
        <v>71.8613</v>
      </c>
      <c r="F808">
        <v>51.425400000000003</v>
      </c>
      <c r="G808">
        <v>47.156399999999998</v>
      </c>
      <c r="H808">
        <v>86.772300000000001</v>
      </c>
      <c r="I808">
        <v>60.503399999999999</v>
      </c>
      <c r="J808">
        <v>78.237099999999998</v>
      </c>
      <c r="K808">
        <v>109.6</v>
      </c>
    </row>
    <row r="809" spans="1:11" x14ac:dyDescent="0.35">
      <c r="A809" s="77">
        <v>31503</v>
      </c>
      <c r="B809">
        <v>55.064100000000003</v>
      </c>
      <c r="C809">
        <v>77.347499999999997</v>
      </c>
      <c r="D809">
        <v>33.886400000000002</v>
      </c>
      <c r="E809">
        <v>72.3446</v>
      </c>
      <c r="F809">
        <v>51.559199999999997</v>
      </c>
      <c r="G809">
        <v>47.084800000000001</v>
      </c>
      <c r="H809">
        <v>83.902699999999996</v>
      </c>
      <c r="I809">
        <v>60.863</v>
      </c>
      <c r="J809">
        <v>78.242699999999999</v>
      </c>
      <c r="K809">
        <v>110.1</v>
      </c>
    </row>
    <row r="810" spans="1:11" x14ac:dyDescent="0.35">
      <c r="A810" s="77">
        <v>31533</v>
      </c>
      <c r="B810">
        <v>55.170499999999997</v>
      </c>
      <c r="C810">
        <v>77.795199999999994</v>
      </c>
      <c r="D810">
        <v>33.829500000000003</v>
      </c>
      <c r="E810">
        <v>72.746799999999993</v>
      </c>
      <c r="F810">
        <v>51.617899999999999</v>
      </c>
      <c r="G810">
        <v>47.092799999999997</v>
      </c>
      <c r="H810">
        <v>83.398099999999999</v>
      </c>
      <c r="I810">
        <v>61.572600000000001</v>
      </c>
      <c r="J810">
        <v>78.313699999999997</v>
      </c>
      <c r="K810">
        <v>110.2</v>
      </c>
    </row>
    <row r="811" spans="1:11" x14ac:dyDescent="0.35">
      <c r="A811" s="77">
        <v>31564</v>
      </c>
      <c r="B811">
        <v>54.958799999999997</v>
      </c>
      <c r="C811">
        <v>77.025599999999997</v>
      </c>
      <c r="D811">
        <v>33.483699999999999</v>
      </c>
      <c r="E811">
        <v>72.741</v>
      </c>
      <c r="F811">
        <v>51.421399999999998</v>
      </c>
      <c r="G811">
        <v>46.843000000000004</v>
      </c>
      <c r="H811">
        <v>82.269900000000007</v>
      </c>
      <c r="I811">
        <v>61.933700000000002</v>
      </c>
      <c r="J811">
        <v>77.9358</v>
      </c>
      <c r="K811">
        <v>110.5</v>
      </c>
    </row>
    <row r="812" spans="1:11" x14ac:dyDescent="0.35">
      <c r="A812" s="77">
        <v>31594</v>
      </c>
      <c r="B812">
        <v>55.294400000000003</v>
      </c>
      <c r="C812">
        <v>77.440299999999993</v>
      </c>
      <c r="D812">
        <v>33.732100000000003</v>
      </c>
      <c r="E812">
        <v>73.184200000000004</v>
      </c>
      <c r="F812">
        <v>51.7014</v>
      </c>
      <c r="G812">
        <v>47.1706</v>
      </c>
      <c r="H812">
        <v>81.926299999999998</v>
      </c>
      <c r="I812">
        <v>63.050800000000002</v>
      </c>
      <c r="J812">
        <v>78.334900000000005</v>
      </c>
      <c r="K812">
        <v>110.7</v>
      </c>
    </row>
    <row r="813" spans="1:11" x14ac:dyDescent="0.35">
      <c r="A813" s="77">
        <v>31625</v>
      </c>
      <c r="B813">
        <v>55.2029</v>
      </c>
      <c r="C813">
        <v>78.2196</v>
      </c>
      <c r="D813">
        <v>33.7042</v>
      </c>
      <c r="E813">
        <v>73.123500000000007</v>
      </c>
      <c r="F813">
        <v>51.846200000000003</v>
      </c>
      <c r="G813">
        <v>46.974899999999998</v>
      </c>
      <c r="H813">
        <v>81.172899999999998</v>
      </c>
      <c r="I813">
        <v>61.499000000000002</v>
      </c>
      <c r="J813">
        <v>78.126300000000001</v>
      </c>
      <c r="K813">
        <v>110.8</v>
      </c>
    </row>
    <row r="814" spans="1:11" x14ac:dyDescent="0.35">
      <c r="A814" s="77">
        <v>31656</v>
      </c>
      <c r="B814">
        <v>55.351100000000002</v>
      </c>
      <c r="C814">
        <v>78.313100000000006</v>
      </c>
      <c r="D814">
        <v>33.790199999999999</v>
      </c>
      <c r="E814">
        <v>73.235200000000006</v>
      </c>
      <c r="F814">
        <v>51.988</v>
      </c>
      <c r="G814">
        <v>47.156799999999997</v>
      </c>
      <c r="H814">
        <v>80.534899999999993</v>
      </c>
      <c r="I814">
        <v>62.091999999999999</v>
      </c>
      <c r="J814">
        <v>78.251599999999996</v>
      </c>
      <c r="K814">
        <v>110.7</v>
      </c>
    </row>
    <row r="815" spans="1:11" x14ac:dyDescent="0.35">
      <c r="A815" s="77">
        <v>31686</v>
      </c>
      <c r="B815">
        <v>55.585700000000003</v>
      </c>
      <c r="C815">
        <v>78.304699999999997</v>
      </c>
      <c r="D815">
        <v>33.698900000000002</v>
      </c>
      <c r="E815">
        <v>73.521199999999993</v>
      </c>
      <c r="F815">
        <v>52.187199999999997</v>
      </c>
      <c r="G815">
        <v>47.431399999999996</v>
      </c>
      <c r="H815">
        <v>81.063100000000006</v>
      </c>
      <c r="I815">
        <v>62.491799999999998</v>
      </c>
      <c r="J815">
        <v>78.490700000000004</v>
      </c>
      <c r="K815">
        <v>111.8</v>
      </c>
    </row>
    <row r="816" spans="1:11" x14ac:dyDescent="0.35">
      <c r="A816" s="77">
        <v>31717</v>
      </c>
      <c r="B816">
        <v>55.802999999999997</v>
      </c>
      <c r="C816">
        <v>78.485100000000003</v>
      </c>
      <c r="D816">
        <v>33.693199999999997</v>
      </c>
      <c r="E816">
        <v>74.023200000000003</v>
      </c>
      <c r="F816">
        <v>52.374899999999997</v>
      </c>
      <c r="G816">
        <v>47.631799999999998</v>
      </c>
      <c r="H816">
        <v>82.037000000000006</v>
      </c>
      <c r="I816">
        <v>62.521500000000003</v>
      </c>
      <c r="J816">
        <v>78.694999999999993</v>
      </c>
      <c r="K816">
        <v>112</v>
      </c>
    </row>
    <row r="817" spans="1:11" x14ac:dyDescent="0.35">
      <c r="A817" s="77">
        <v>31747</v>
      </c>
      <c r="B817">
        <v>56.344099999999997</v>
      </c>
      <c r="C817">
        <v>79.035600000000002</v>
      </c>
      <c r="D817">
        <v>34.080100000000002</v>
      </c>
      <c r="E817">
        <v>74.787499999999994</v>
      </c>
      <c r="F817">
        <v>52.903300000000002</v>
      </c>
      <c r="G817">
        <v>48.039200000000001</v>
      </c>
      <c r="H817">
        <v>82.091999999999999</v>
      </c>
      <c r="I817">
        <v>63.403199999999998</v>
      </c>
      <c r="J817">
        <v>79.345200000000006</v>
      </c>
      <c r="K817">
        <v>112.1</v>
      </c>
    </row>
    <row r="818" spans="1:11" x14ac:dyDescent="0.35">
      <c r="A818" s="77">
        <v>31778</v>
      </c>
      <c r="B818">
        <v>56.125900000000001</v>
      </c>
      <c r="C818">
        <v>79.822299999999998</v>
      </c>
      <c r="D818">
        <v>34.113999999999997</v>
      </c>
      <c r="E818">
        <v>73.962500000000006</v>
      </c>
      <c r="F818">
        <v>52.707900000000002</v>
      </c>
      <c r="G818">
        <v>47.943199999999997</v>
      </c>
      <c r="H818">
        <v>82.789100000000005</v>
      </c>
      <c r="I818">
        <v>62.491999999999997</v>
      </c>
      <c r="J818">
        <v>78.916899999999998</v>
      </c>
      <c r="K818">
        <v>112.5</v>
      </c>
    </row>
    <row r="819" spans="1:11" x14ac:dyDescent="0.35">
      <c r="A819" s="77">
        <v>31809</v>
      </c>
      <c r="B819">
        <v>56.877899999999997</v>
      </c>
      <c r="C819">
        <v>81.433999999999997</v>
      </c>
      <c r="D819">
        <v>34.891100000000002</v>
      </c>
      <c r="E819">
        <v>74.959100000000007</v>
      </c>
      <c r="F819">
        <v>53.497999999999998</v>
      </c>
      <c r="G819">
        <v>48.537100000000002</v>
      </c>
      <c r="H819">
        <v>82.903499999999994</v>
      </c>
      <c r="I819">
        <v>63.094700000000003</v>
      </c>
      <c r="J819">
        <v>79.839799999999997</v>
      </c>
      <c r="K819">
        <v>112.3</v>
      </c>
    </row>
    <row r="820" spans="1:11" x14ac:dyDescent="0.35">
      <c r="A820" s="77">
        <v>31837</v>
      </c>
      <c r="B820">
        <v>56.951599999999999</v>
      </c>
      <c r="C820">
        <v>81.038200000000003</v>
      </c>
      <c r="D820">
        <v>34.853700000000003</v>
      </c>
      <c r="E820">
        <v>75.123400000000004</v>
      </c>
      <c r="F820">
        <v>53.510399999999997</v>
      </c>
      <c r="G820">
        <v>48.598799999999997</v>
      </c>
      <c r="H820">
        <v>82.504000000000005</v>
      </c>
      <c r="I820">
        <v>63.766800000000003</v>
      </c>
      <c r="J820">
        <v>79.799300000000002</v>
      </c>
      <c r="K820">
        <v>112.4</v>
      </c>
    </row>
    <row r="821" spans="1:11" x14ac:dyDescent="0.35">
      <c r="A821" s="77">
        <v>31868</v>
      </c>
      <c r="B821">
        <v>57.317700000000002</v>
      </c>
      <c r="C821">
        <v>81.435199999999995</v>
      </c>
      <c r="D821">
        <v>35.1569</v>
      </c>
      <c r="E821">
        <v>75.014799999999994</v>
      </c>
      <c r="F821">
        <v>53.835000000000001</v>
      </c>
      <c r="G821">
        <v>49.075800000000001</v>
      </c>
      <c r="H821">
        <v>83.109300000000005</v>
      </c>
      <c r="I821">
        <v>64.386499999999998</v>
      </c>
      <c r="J821">
        <v>80.1614</v>
      </c>
      <c r="K821">
        <v>112.9</v>
      </c>
    </row>
    <row r="822" spans="1:11" x14ac:dyDescent="0.35">
      <c r="A822" s="77">
        <v>31898</v>
      </c>
      <c r="B822">
        <v>57.677399999999999</v>
      </c>
      <c r="C822">
        <v>82.0976</v>
      </c>
      <c r="D822">
        <v>35.450600000000001</v>
      </c>
      <c r="E822">
        <v>75.5976</v>
      </c>
      <c r="F822">
        <v>54.214300000000001</v>
      </c>
      <c r="G822">
        <v>49.283700000000003</v>
      </c>
      <c r="H822">
        <v>82.897300000000001</v>
      </c>
      <c r="I822">
        <v>64.854699999999994</v>
      </c>
      <c r="J822">
        <v>80.508499999999998</v>
      </c>
      <c r="K822">
        <v>113</v>
      </c>
    </row>
    <row r="823" spans="1:11" x14ac:dyDescent="0.35">
      <c r="A823" s="77">
        <v>31929</v>
      </c>
      <c r="B823">
        <v>57.987499999999997</v>
      </c>
      <c r="C823">
        <v>82.302499999999995</v>
      </c>
      <c r="D823">
        <v>35.6783</v>
      </c>
      <c r="E823">
        <v>75.802499999999995</v>
      </c>
      <c r="F823">
        <v>54.424999999999997</v>
      </c>
      <c r="G823">
        <v>49.654200000000003</v>
      </c>
      <c r="H823">
        <v>83.671999999999997</v>
      </c>
      <c r="I823">
        <v>65.587000000000003</v>
      </c>
      <c r="J823">
        <v>80.782799999999995</v>
      </c>
      <c r="K823">
        <v>113.1</v>
      </c>
    </row>
    <row r="824" spans="1:11" x14ac:dyDescent="0.35">
      <c r="A824" s="77">
        <v>31959</v>
      </c>
      <c r="B824">
        <v>58.378999999999998</v>
      </c>
      <c r="C824">
        <v>82.653899999999993</v>
      </c>
      <c r="D824">
        <v>35.991599999999998</v>
      </c>
      <c r="E824">
        <v>76.313100000000006</v>
      </c>
      <c r="F824">
        <v>54.850099999999998</v>
      </c>
      <c r="G824">
        <v>49.982999999999997</v>
      </c>
      <c r="H824">
        <v>83.966099999999997</v>
      </c>
      <c r="I824">
        <v>65.703000000000003</v>
      </c>
      <c r="J824">
        <v>81.172200000000004</v>
      </c>
      <c r="K824">
        <v>113.3</v>
      </c>
    </row>
    <row r="825" spans="1:11" x14ac:dyDescent="0.35">
      <c r="A825" s="77">
        <v>31990</v>
      </c>
      <c r="B825">
        <v>58.817100000000003</v>
      </c>
      <c r="C825">
        <v>83.257099999999994</v>
      </c>
      <c r="D825">
        <v>36.5</v>
      </c>
      <c r="E825">
        <v>76.701899999999995</v>
      </c>
      <c r="F825">
        <v>55.142200000000003</v>
      </c>
      <c r="G825">
        <v>50.365699999999997</v>
      </c>
      <c r="H825">
        <v>85.811700000000002</v>
      </c>
      <c r="I825">
        <v>66.573800000000006</v>
      </c>
      <c r="J825">
        <v>81.631699999999995</v>
      </c>
      <c r="K825">
        <v>113.6</v>
      </c>
    </row>
    <row r="826" spans="1:11" x14ac:dyDescent="0.35">
      <c r="A826" s="77">
        <v>32021</v>
      </c>
      <c r="B826">
        <v>59.039099999999998</v>
      </c>
      <c r="C826">
        <v>83.738299999999995</v>
      </c>
      <c r="D826">
        <v>37.079500000000003</v>
      </c>
      <c r="E826">
        <v>76.483800000000002</v>
      </c>
      <c r="F826">
        <v>55.537300000000002</v>
      </c>
      <c r="G826">
        <v>50.573799999999999</v>
      </c>
      <c r="H826">
        <v>86.155600000000007</v>
      </c>
      <c r="I826">
        <v>65.163799999999995</v>
      </c>
      <c r="J826">
        <v>81.8</v>
      </c>
      <c r="K826">
        <v>113.9</v>
      </c>
    </row>
    <row r="827" spans="1:11" x14ac:dyDescent="0.35">
      <c r="A827" s="77">
        <v>32051</v>
      </c>
      <c r="B827">
        <v>59.834000000000003</v>
      </c>
      <c r="C827">
        <v>84.737799999999993</v>
      </c>
      <c r="D827">
        <v>37.817500000000003</v>
      </c>
      <c r="E827">
        <v>77.800299999999993</v>
      </c>
      <c r="F827">
        <v>56.402200000000001</v>
      </c>
      <c r="G827">
        <v>51.217799999999997</v>
      </c>
      <c r="H827">
        <v>86.899000000000001</v>
      </c>
      <c r="I827">
        <v>65.807000000000002</v>
      </c>
      <c r="J827">
        <v>82.772900000000007</v>
      </c>
      <c r="K827">
        <v>114</v>
      </c>
    </row>
    <row r="828" spans="1:11" x14ac:dyDescent="0.35">
      <c r="A828" s="77">
        <v>32082</v>
      </c>
      <c r="B828">
        <v>60.136699999999998</v>
      </c>
      <c r="C828">
        <v>84.743899999999996</v>
      </c>
      <c r="D828">
        <v>38.065300000000001</v>
      </c>
      <c r="E828">
        <v>77.842699999999994</v>
      </c>
      <c r="F828">
        <v>56.695500000000003</v>
      </c>
      <c r="G828">
        <v>51.695</v>
      </c>
      <c r="H828">
        <v>87.406899999999993</v>
      </c>
      <c r="I828">
        <v>65.831000000000003</v>
      </c>
      <c r="J828">
        <v>83.077699999999993</v>
      </c>
      <c r="K828">
        <v>114.2</v>
      </c>
    </row>
    <row r="829" spans="1:11" x14ac:dyDescent="0.35">
      <c r="A829" s="77">
        <v>32112</v>
      </c>
      <c r="B829">
        <v>60.4739</v>
      </c>
      <c r="C829">
        <v>85.526600000000002</v>
      </c>
      <c r="D829">
        <v>38.515799999999999</v>
      </c>
      <c r="E829">
        <v>78.024699999999996</v>
      </c>
      <c r="F829">
        <v>57.104900000000001</v>
      </c>
      <c r="G829">
        <v>51.999099999999999</v>
      </c>
      <c r="H829">
        <v>87.563999999999993</v>
      </c>
      <c r="I829">
        <v>65.838700000000003</v>
      </c>
      <c r="J829">
        <v>83.444999999999993</v>
      </c>
      <c r="K829">
        <v>114.3</v>
      </c>
    </row>
    <row r="830" spans="1:11" x14ac:dyDescent="0.35">
      <c r="A830" s="77">
        <v>32143</v>
      </c>
      <c r="B830">
        <v>60.459400000000002</v>
      </c>
      <c r="C830">
        <v>83.990499999999997</v>
      </c>
      <c r="D830">
        <v>38.560400000000001</v>
      </c>
      <c r="E830">
        <v>78.308400000000006</v>
      </c>
      <c r="F830">
        <v>56.9621</v>
      </c>
      <c r="G830">
        <v>51.816400000000002</v>
      </c>
      <c r="H830">
        <v>86.316400000000002</v>
      </c>
      <c r="I830">
        <v>67.639899999999997</v>
      </c>
      <c r="J830">
        <v>83.342399999999998</v>
      </c>
      <c r="K830">
        <v>115</v>
      </c>
    </row>
    <row r="831" spans="1:11" x14ac:dyDescent="0.35">
      <c r="A831" s="77">
        <v>32174</v>
      </c>
      <c r="B831">
        <v>60.764299999999999</v>
      </c>
      <c r="C831">
        <v>84.837000000000003</v>
      </c>
      <c r="D831">
        <v>38.861800000000002</v>
      </c>
      <c r="E831">
        <v>78.683999999999997</v>
      </c>
      <c r="F831">
        <v>57.165599999999998</v>
      </c>
      <c r="G831">
        <v>52.065199999999997</v>
      </c>
      <c r="H831">
        <v>86.656700000000001</v>
      </c>
      <c r="I831">
        <v>69.045000000000002</v>
      </c>
      <c r="J831">
        <v>83.695999999999998</v>
      </c>
      <c r="K831">
        <v>115.3</v>
      </c>
    </row>
    <row r="832" spans="1:11" x14ac:dyDescent="0.35">
      <c r="A832" s="77">
        <v>32203</v>
      </c>
      <c r="B832">
        <v>60.894799999999996</v>
      </c>
      <c r="C832">
        <v>85.145499999999998</v>
      </c>
      <c r="D832">
        <v>39.286900000000003</v>
      </c>
      <c r="E832">
        <v>78.561000000000007</v>
      </c>
      <c r="F832">
        <v>57.3371</v>
      </c>
      <c r="G832">
        <v>52.240299999999998</v>
      </c>
      <c r="H832">
        <v>87.297899999999998</v>
      </c>
      <c r="I832">
        <v>68.786199999999994</v>
      </c>
      <c r="J832">
        <v>83.822900000000004</v>
      </c>
      <c r="K832">
        <v>115.6</v>
      </c>
    </row>
    <row r="833" spans="1:11" x14ac:dyDescent="0.35">
      <c r="A833" s="77">
        <v>32234</v>
      </c>
      <c r="B833">
        <v>61.247500000000002</v>
      </c>
      <c r="C833">
        <v>84.850399999999993</v>
      </c>
      <c r="D833">
        <v>39.725000000000001</v>
      </c>
      <c r="E833">
        <v>79.185400000000001</v>
      </c>
      <c r="F833">
        <v>57.866799999999998</v>
      </c>
      <c r="G833">
        <v>52.569200000000002</v>
      </c>
      <c r="H833">
        <v>86.928299999999993</v>
      </c>
      <c r="I833">
        <v>68.033199999999994</v>
      </c>
      <c r="J833">
        <v>84.267200000000003</v>
      </c>
      <c r="K833">
        <v>115.9</v>
      </c>
    </row>
    <row r="834" spans="1:11" x14ac:dyDescent="0.35">
      <c r="A834" s="77">
        <v>32264</v>
      </c>
      <c r="B834">
        <v>61.135300000000001</v>
      </c>
      <c r="C834">
        <v>84.985699999999994</v>
      </c>
      <c r="D834">
        <v>39.900799999999997</v>
      </c>
      <c r="E834">
        <v>78.771699999999996</v>
      </c>
      <c r="F834">
        <v>57.744300000000003</v>
      </c>
      <c r="G834">
        <v>52.547199999999997</v>
      </c>
      <c r="H834">
        <v>87.638099999999994</v>
      </c>
      <c r="I834">
        <v>67.806399999999996</v>
      </c>
      <c r="J834">
        <v>84.078400000000002</v>
      </c>
      <c r="K834">
        <v>116.2</v>
      </c>
    </row>
    <row r="835" spans="1:11" x14ac:dyDescent="0.35">
      <c r="A835" s="77">
        <v>32295</v>
      </c>
      <c r="B835">
        <v>61.299500000000002</v>
      </c>
      <c r="C835">
        <v>84.331400000000002</v>
      </c>
      <c r="D835">
        <v>40.229399999999998</v>
      </c>
      <c r="E835">
        <v>78.763800000000003</v>
      </c>
      <c r="F835">
        <v>57.875399999999999</v>
      </c>
      <c r="G835">
        <v>52.775700000000001</v>
      </c>
      <c r="H835">
        <v>87.450699999999998</v>
      </c>
      <c r="I835">
        <v>68.709400000000002</v>
      </c>
      <c r="J835">
        <v>84.272900000000007</v>
      </c>
      <c r="K835">
        <v>116.6</v>
      </c>
    </row>
    <row r="836" spans="1:11" x14ac:dyDescent="0.35">
      <c r="A836" s="77">
        <v>32325</v>
      </c>
      <c r="B836">
        <v>61.311</v>
      </c>
      <c r="C836">
        <v>84.355000000000004</v>
      </c>
      <c r="D836">
        <v>39.875999999999998</v>
      </c>
      <c r="E836">
        <v>78.715999999999994</v>
      </c>
      <c r="F836">
        <v>57.854999999999997</v>
      </c>
      <c r="G836">
        <v>52.843699999999998</v>
      </c>
      <c r="H836">
        <v>87.184100000000001</v>
      </c>
      <c r="I836">
        <v>69.371600000000001</v>
      </c>
      <c r="J836">
        <v>84.257000000000005</v>
      </c>
      <c r="K836">
        <v>117.2</v>
      </c>
    </row>
    <row r="837" spans="1:11" x14ac:dyDescent="0.35">
      <c r="A837" s="77">
        <v>32356</v>
      </c>
      <c r="B837">
        <v>61.623399999999997</v>
      </c>
      <c r="C837">
        <v>83.85</v>
      </c>
      <c r="D837">
        <v>40.048400000000001</v>
      </c>
      <c r="E837">
        <v>79.243200000000002</v>
      </c>
      <c r="F837">
        <v>57.953600000000002</v>
      </c>
      <c r="G837">
        <v>53.127800000000001</v>
      </c>
      <c r="H837">
        <v>87.369399999999999</v>
      </c>
      <c r="I837">
        <v>71.790099999999995</v>
      </c>
      <c r="J837">
        <v>84.6494</v>
      </c>
      <c r="K837">
        <v>117.7</v>
      </c>
    </row>
    <row r="838" spans="1:11" x14ac:dyDescent="0.35">
      <c r="A838" s="77">
        <v>32387</v>
      </c>
      <c r="B838">
        <v>61.4255</v>
      </c>
      <c r="C838">
        <v>84.158699999999996</v>
      </c>
      <c r="D838">
        <v>40.438600000000001</v>
      </c>
      <c r="E838">
        <v>78.764499999999998</v>
      </c>
      <c r="F838">
        <v>58.1355</v>
      </c>
      <c r="G838">
        <v>52.8795</v>
      </c>
      <c r="H838">
        <v>86.264899999999997</v>
      </c>
      <c r="I838">
        <v>68.496300000000005</v>
      </c>
      <c r="J838">
        <v>84.331900000000005</v>
      </c>
      <c r="K838">
        <v>118.1</v>
      </c>
    </row>
    <row r="839" spans="1:11" x14ac:dyDescent="0.35">
      <c r="A839" s="77">
        <v>32417</v>
      </c>
      <c r="B839">
        <v>61.694000000000003</v>
      </c>
      <c r="C839">
        <v>84.482100000000003</v>
      </c>
      <c r="D839">
        <v>40.698399999999999</v>
      </c>
      <c r="E839">
        <v>79.365399999999994</v>
      </c>
      <c r="F839">
        <v>58.372100000000003</v>
      </c>
      <c r="G839">
        <v>52.9998</v>
      </c>
      <c r="H839">
        <v>86.4315</v>
      </c>
      <c r="I839">
        <v>68.964399999999998</v>
      </c>
      <c r="J839">
        <v>84.643000000000001</v>
      </c>
      <c r="K839">
        <v>118.4</v>
      </c>
    </row>
    <row r="840" spans="1:11" x14ac:dyDescent="0.35">
      <c r="A840" s="77">
        <v>32448</v>
      </c>
      <c r="B840">
        <v>61.849400000000003</v>
      </c>
      <c r="C840">
        <v>84.869299999999996</v>
      </c>
      <c r="D840">
        <v>40.795000000000002</v>
      </c>
      <c r="E840">
        <v>79.522599999999997</v>
      </c>
      <c r="F840">
        <v>58.607599999999998</v>
      </c>
      <c r="G840">
        <v>53.174199999999999</v>
      </c>
      <c r="H840">
        <v>86.442700000000002</v>
      </c>
      <c r="I840">
        <v>68.608699999999999</v>
      </c>
      <c r="J840">
        <v>84.784199999999998</v>
      </c>
      <c r="K840">
        <v>118.7</v>
      </c>
    </row>
    <row r="841" spans="1:11" x14ac:dyDescent="0.35">
      <c r="A841" s="77">
        <v>32478</v>
      </c>
      <c r="B841">
        <v>62.117100000000001</v>
      </c>
      <c r="C841">
        <v>84.808999999999997</v>
      </c>
      <c r="D841">
        <v>40.917499999999997</v>
      </c>
      <c r="E841">
        <v>79.936999999999998</v>
      </c>
      <c r="F841">
        <v>58.871200000000002</v>
      </c>
      <c r="G841">
        <v>53.428100000000001</v>
      </c>
      <c r="H841">
        <v>86.323700000000002</v>
      </c>
      <c r="I841">
        <v>69.022900000000007</v>
      </c>
      <c r="J841">
        <v>85.064099999999996</v>
      </c>
      <c r="K841">
        <v>119.2</v>
      </c>
    </row>
    <row r="842" spans="1:11" x14ac:dyDescent="0.35">
      <c r="A842" s="77">
        <v>32509</v>
      </c>
      <c r="B842">
        <v>62.310299999999998</v>
      </c>
      <c r="C842">
        <v>86.419700000000006</v>
      </c>
      <c r="D842">
        <v>41.344700000000003</v>
      </c>
      <c r="E842">
        <v>79.987099999999998</v>
      </c>
      <c r="F842">
        <v>59.383099999999999</v>
      </c>
      <c r="G842">
        <v>53.578800000000001</v>
      </c>
      <c r="H842">
        <v>86.136200000000002</v>
      </c>
      <c r="I842">
        <v>66.712599999999995</v>
      </c>
      <c r="J842">
        <v>85.2256</v>
      </c>
      <c r="K842">
        <v>119.9</v>
      </c>
    </row>
    <row r="843" spans="1:11" x14ac:dyDescent="0.35">
      <c r="A843" s="77">
        <v>32540</v>
      </c>
      <c r="B843">
        <v>62.035299999999999</v>
      </c>
      <c r="C843">
        <v>84.261099999999999</v>
      </c>
      <c r="D843">
        <v>41.176000000000002</v>
      </c>
      <c r="E843">
        <v>79.992900000000006</v>
      </c>
      <c r="F843">
        <v>58.777500000000003</v>
      </c>
      <c r="G843">
        <v>53.207500000000003</v>
      </c>
      <c r="H843">
        <v>84.578299999999999</v>
      </c>
      <c r="I843">
        <v>70.064300000000003</v>
      </c>
      <c r="J843">
        <v>84.731099999999998</v>
      </c>
      <c r="K843">
        <v>120.5</v>
      </c>
    </row>
    <row r="844" spans="1:11" x14ac:dyDescent="0.35">
      <c r="A844" s="77">
        <v>32568</v>
      </c>
      <c r="B844">
        <v>62.195</v>
      </c>
      <c r="C844">
        <v>84.495599999999996</v>
      </c>
      <c r="D844">
        <v>40.979900000000001</v>
      </c>
      <c r="E844">
        <v>80.143000000000001</v>
      </c>
      <c r="F844">
        <v>58.711399999999998</v>
      </c>
      <c r="G844">
        <v>53.418900000000001</v>
      </c>
      <c r="H844">
        <v>85.213999999999999</v>
      </c>
      <c r="I844">
        <v>71.925600000000003</v>
      </c>
      <c r="J844">
        <v>84.813900000000004</v>
      </c>
      <c r="K844">
        <v>120.7</v>
      </c>
    </row>
    <row r="845" spans="1:11" x14ac:dyDescent="0.35">
      <c r="A845" s="77">
        <v>32599</v>
      </c>
      <c r="B845">
        <v>62.1753</v>
      </c>
      <c r="C845">
        <v>84.472499999999997</v>
      </c>
      <c r="D845">
        <v>41.582500000000003</v>
      </c>
      <c r="E845">
        <v>79.960599999999999</v>
      </c>
      <c r="F845">
        <v>58.811300000000003</v>
      </c>
      <c r="G845">
        <v>53.305199999999999</v>
      </c>
      <c r="H845">
        <v>86.948899999999995</v>
      </c>
      <c r="I845">
        <v>69.966999999999999</v>
      </c>
      <c r="J845">
        <v>84.637200000000007</v>
      </c>
      <c r="K845">
        <v>120.8</v>
      </c>
    </row>
    <row r="846" spans="1:11" x14ac:dyDescent="0.35">
      <c r="A846" s="77">
        <v>32629</v>
      </c>
      <c r="B846">
        <v>61.832099999999997</v>
      </c>
      <c r="C846">
        <v>83.797499999999999</v>
      </c>
      <c r="D846">
        <v>41.04</v>
      </c>
      <c r="E846">
        <v>79.241200000000006</v>
      </c>
      <c r="F846">
        <v>58.334200000000003</v>
      </c>
      <c r="G846">
        <v>53.155200000000001</v>
      </c>
      <c r="H846">
        <v>87.232900000000001</v>
      </c>
      <c r="I846">
        <v>70.298000000000002</v>
      </c>
      <c r="J846">
        <v>84.006699999999995</v>
      </c>
      <c r="K846">
        <v>121.6</v>
      </c>
    </row>
    <row r="847" spans="1:11" x14ac:dyDescent="0.35">
      <c r="A847" s="77">
        <v>32660</v>
      </c>
      <c r="B847">
        <v>61.824599999999997</v>
      </c>
      <c r="C847">
        <v>83.996700000000004</v>
      </c>
      <c r="D847">
        <v>41.588900000000002</v>
      </c>
      <c r="E847">
        <v>79.252700000000004</v>
      </c>
      <c r="F847">
        <v>58.441600000000001</v>
      </c>
      <c r="G847">
        <v>52.916499999999999</v>
      </c>
      <c r="H847">
        <v>86.095399999999998</v>
      </c>
      <c r="I847">
        <v>70.128100000000003</v>
      </c>
      <c r="J847">
        <v>83.820499999999996</v>
      </c>
      <c r="K847">
        <v>122.2</v>
      </c>
    </row>
    <row r="848" spans="1:11" x14ac:dyDescent="0.35">
      <c r="A848" s="77">
        <v>32690</v>
      </c>
      <c r="B848">
        <v>61.228499999999997</v>
      </c>
      <c r="C848">
        <v>83.95</v>
      </c>
      <c r="D848">
        <v>41.032299999999999</v>
      </c>
      <c r="E848">
        <v>77.498800000000003</v>
      </c>
      <c r="F848">
        <v>57.728999999999999</v>
      </c>
      <c r="G848">
        <v>52.7027</v>
      </c>
      <c r="H848">
        <v>85.641800000000003</v>
      </c>
      <c r="I848">
        <v>70.494900000000001</v>
      </c>
      <c r="J848">
        <v>82.828999999999994</v>
      </c>
      <c r="K848">
        <v>122.1</v>
      </c>
    </row>
    <row r="849" spans="1:11" x14ac:dyDescent="0.35">
      <c r="A849" s="77">
        <v>32721</v>
      </c>
      <c r="B849">
        <v>61.833399999999997</v>
      </c>
      <c r="C849">
        <v>83.9298</v>
      </c>
      <c r="D849">
        <v>41.626100000000001</v>
      </c>
      <c r="E849">
        <v>78.859300000000005</v>
      </c>
      <c r="F849">
        <v>58.316800000000001</v>
      </c>
      <c r="G849">
        <v>53.058900000000001</v>
      </c>
      <c r="H849">
        <v>86.481800000000007</v>
      </c>
      <c r="I849">
        <v>71.403800000000004</v>
      </c>
      <c r="J849">
        <v>83.455200000000005</v>
      </c>
      <c r="K849">
        <v>122.7</v>
      </c>
    </row>
    <row r="850" spans="1:11" x14ac:dyDescent="0.35">
      <c r="A850" s="77">
        <v>32752</v>
      </c>
      <c r="B850">
        <v>61.622100000000003</v>
      </c>
      <c r="C850">
        <v>83.7226</v>
      </c>
      <c r="D850">
        <v>41.445900000000002</v>
      </c>
      <c r="E850">
        <v>78.577500000000001</v>
      </c>
      <c r="F850">
        <v>58.1873</v>
      </c>
      <c r="G850">
        <v>52.822699999999998</v>
      </c>
      <c r="H850">
        <v>86.465400000000002</v>
      </c>
      <c r="I850">
        <v>70.462199999999996</v>
      </c>
      <c r="J850">
        <v>82.974000000000004</v>
      </c>
      <c r="K850">
        <v>123.1</v>
      </c>
    </row>
    <row r="851" spans="1:11" x14ac:dyDescent="0.35">
      <c r="A851" s="77">
        <v>32782</v>
      </c>
      <c r="B851">
        <v>61.553699999999999</v>
      </c>
      <c r="C851">
        <v>84.125200000000007</v>
      </c>
      <c r="D851">
        <v>40.886699999999998</v>
      </c>
      <c r="E851">
        <v>78.753600000000006</v>
      </c>
      <c r="F851">
        <v>58.042900000000003</v>
      </c>
      <c r="G851">
        <v>52.920999999999999</v>
      </c>
      <c r="H851">
        <v>85.786799999999999</v>
      </c>
      <c r="I851">
        <v>71.375600000000006</v>
      </c>
      <c r="J851">
        <v>82.683199999999999</v>
      </c>
      <c r="K851">
        <v>123.5</v>
      </c>
    </row>
    <row r="852" spans="1:11" x14ac:dyDescent="0.35">
      <c r="A852" s="77">
        <v>32813</v>
      </c>
      <c r="B852">
        <v>61.7575</v>
      </c>
      <c r="C852">
        <v>84.113</v>
      </c>
      <c r="D852">
        <v>41.164900000000003</v>
      </c>
      <c r="E852">
        <v>79.074600000000004</v>
      </c>
      <c r="F852">
        <v>58.1648</v>
      </c>
      <c r="G852">
        <v>53.071300000000001</v>
      </c>
      <c r="H852">
        <v>86.437799999999996</v>
      </c>
      <c r="I852">
        <v>72.044799999999995</v>
      </c>
      <c r="J852">
        <v>82.757000000000005</v>
      </c>
      <c r="K852">
        <v>123.9</v>
      </c>
    </row>
    <row r="853" spans="1:11" x14ac:dyDescent="0.35">
      <c r="A853" s="77">
        <v>32843</v>
      </c>
      <c r="B853">
        <v>62.1111</v>
      </c>
      <c r="C853">
        <v>83.054699999999997</v>
      </c>
      <c r="D853">
        <v>41.746899999999997</v>
      </c>
      <c r="E853">
        <v>80.340400000000002</v>
      </c>
      <c r="F853">
        <v>58.1965</v>
      </c>
      <c r="G853">
        <v>53.005899999999997</v>
      </c>
      <c r="H853">
        <v>84.064599999999999</v>
      </c>
      <c r="I853">
        <v>77.233900000000006</v>
      </c>
      <c r="J853">
        <v>83.031999999999996</v>
      </c>
      <c r="K853">
        <v>124.2</v>
      </c>
    </row>
    <row r="854" spans="1:11" x14ac:dyDescent="0.35">
      <c r="A854" s="77">
        <v>32874</v>
      </c>
      <c r="B854">
        <v>61.778100000000002</v>
      </c>
      <c r="C854">
        <v>84.912599999999998</v>
      </c>
      <c r="D854">
        <v>41.353000000000002</v>
      </c>
      <c r="E854">
        <v>78.649600000000007</v>
      </c>
      <c r="F854">
        <v>58.131599999999999</v>
      </c>
      <c r="G854">
        <v>52.902700000000003</v>
      </c>
      <c r="H854">
        <v>88.0792</v>
      </c>
      <c r="I854">
        <v>71.405100000000004</v>
      </c>
      <c r="J854">
        <v>82.392700000000005</v>
      </c>
      <c r="K854">
        <v>124.5</v>
      </c>
    </row>
    <row r="855" spans="1:11" x14ac:dyDescent="0.35">
      <c r="A855" s="77">
        <v>32905</v>
      </c>
      <c r="B855">
        <v>62.342599999999997</v>
      </c>
      <c r="C855">
        <v>85.238299999999995</v>
      </c>
      <c r="D855">
        <v>42.076900000000002</v>
      </c>
      <c r="E855">
        <v>79.612799999999993</v>
      </c>
      <c r="F855">
        <v>58.945900000000002</v>
      </c>
      <c r="G855">
        <v>53.391100000000002</v>
      </c>
      <c r="H855">
        <v>87.322199999999995</v>
      </c>
      <c r="I855">
        <v>70.509500000000003</v>
      </c>
      <c r="J855">
        <v>82.954700000000003</v>
      </c>
      <c r="K855">
        <v>124.9</v>
      </c>
    </row>
    <row r="856" spans="1:11" x14ac:dyDescent="0.35">
      <c r="A856" s="77">
        <v>32933</v>
      </c>
      <c r="B856">
        <v>62.644599999999997</v>
      </c>
      <c r="C856">
        <v>85.069400000000002</v>
      </c>
      <c r="D856">
        <v>42.793900000000001</v>
      </c>
      <c r="E856">
        <v>80.127899999999997</v>
      </c>
      <c r="F856">
        <v>59.265300000000003</v>
      </c>
      <c r="G856">
        <v>53.4818</v>
      </c>
      <c r="H856">
        <v>86.6023</v>
      </c>
      <c r="I856">
        <v>71.496200000000002</v>
      </c>
      <c r="J856">
        <v>83.171300000000002</v>
      </c>
      <c r="K856">
        <v>125.3</v>
      </c>
    </row>
    <row r="857" spans="1:11" x14ac:dyDescent="0.35">
      <c r="A857" s="77">
        <v>32964</v>
      </c>
      <c r="B857">
        <v>62.510399999999997</v>
      </c>
      <c r="C857">
        <v>84.250699999999995</v>
      </c>
      <c r="D857">
        <v>42.573500000000003</v>
      </c>
      <c r="E857">
        <v>79.792400000000001</v>
      </c>
      <c r="F857">
        <v>59.046199999999999</v>
      </c>
      <c r="G857">
        <v>53.5152</v>
      </c>
      <c r="H857">
        <v>86.960499999999996</v>
      </c>
      <c r="I857">
        <v>71.977999999999994</v>
      </c>
      <c r="J857">
        <v>82.8172</v>
      </c>
      <c r="K857">
        <v>125.5</v>
      </c>
    </row>
    <row r="858" spans="1:11" x14ac:dyDescent="0.35">
      <c r="A858" s="77">
        <v>32994</v>
      </c>
      <c r="B858">
        <v>62.689799999999998</v>
      </c>
      <c r="C858">
        <v>83.7791</v>
      </c>
      <c r="D858">
        <v>43.1524</v>
      </c>
      <c r="E858">
        <v>79.733000000000004</v>
      </c>
      <c r="F858">
        <v>59.2181</v>
      </c>
      <c r="G858">
        <v>53.663800000000002</v>
      </c>
      <c r="H858">
        <v>86.871899999999997</v>
      </c>
      <c r="I858">
        <v>72.376400000000004</v>
      </c>
      <c r="J858">
        <v>82.887299999999996</v>
      </c>
      <c r="K858">
        <v>126</v>
      </c>
    </row>
    <row r="859" spans="1:11" x14ac:dyDescent="0.35">
      <c r="A859" s="77">
        <v>33025</v>
      </c>
      <c r="B859">
        <v>62.892299999999999</v>
      </c>
      <c r="C859">
        <v>84.1447</v>
      </c>
      <c r="D859">
        <v>43.203000000000003</v>
      </c>
      <c r="E859">
        <v>80.568299999999994</v>
      </c>
      <c r="F859">
        <v>59.409599999999998</v>
      </c>
      <c r="G859">
        <v>53.734400000000001</v>
      </c>
      <c r="H859">
        <v>86.618300000000005</v>
      </c>
      <c r="I859">
        <v>73.114999999999995</v>
      </c>
      <c r="J859">
        <v>82.996499999999997</v>
      </c>
      <c r="K859">
        <v>126.4</v>
      </c>
    </row>
    <row r="860" spans="1:11" x14ac:dyDescent="0.35">
      <c r="A860" s="77">
        <v>33055</v>
      </c>
      <c r="B860">
        <v>62.793300000000002</v>
      </c>
      <c r="C860">
        <v>83.4054</v>
      </c>
      <c r="D860">
        <v>43.391199999999998</v>
      </c>
      <c r="E860">
        <v>79.905799999999999</v>
      </c>
      <c r="F860">
        <v>59.271599999999999</v>
      </c>
      <c r="G860">
        <v>53.744599999999998</v>
      </c>
      <c r="H860">
        <v>87.184899999999999</v>
      </c>
      <c r="I860">
        <v>72.872399999999999</v>
      </c>
      <c r="J860">
        <v>82.719200000000001</v>
      </c>
      <c r="K860">
        <v>126.6</v>
      </c>
    </row>
    <row r="861" spans="1:11" x14ac:dyDescent="0.35">
      <c r="A861" s="77">
        <v>33086</v>
      </c>
      <c r="B861">
        <v>63.024099999999997</v>
      </c>
      <c r="C861">
        <v>83.349599999999995</v>
      </c>
      <c r="D861">
        <v>43.641100000000002</v>
      </c>
      <c r="E861">
        <v>80.176500000000004</v>
      </c>
      <c r="F861">
        <v>59.500799999999998</v>
      </c>
      <c r="G861">
        <v>54.065100000000001</v>
      </c>
      <c r="H861">
        <v>86.820099999999996</v>
      </c>
      <c r="I861">
        <v>73.575900000000004</v>
      </c>
      <c r="J861">
        <v>82.887</v>
      </c>
      <c r="K861">
        <v>127.1</v>
      </c>
    </row>
    <row r="862" spans="1:11" x14ac:dyDescent="0.35">
      <c r="A862" s="77">
        <v>33117</v>
      </c>
      <c r="B862">
        <v>63.032800000000002</v>
      </c>
      <c r="C862">
        <v>82.962299999999999</v>
      </c>
      <c r="D862">
        <v>43.630200000000002</v>
      </c>
      <c r="E862">
        <v>80.719499999999996</v>
      </c>
      <c r="F862">
        <v>59.423499999999997</v>
      </c>
      <c r="G862">
        <v>53.923299999999998</v>
      </c>
      <c r="H862">
        <v>87.307900000000004</v>
      </c>
      <c r="I862">
        <v>74.4452</v>
      </c>
      <c r="J862">
        <v>82.772999999999996</v>
      </c>
      <c r="K862">
        <v>127.7</v>
      </c>
    </row>
    <row r="863" spans="1:11" x14ac:dyDescent="0.35">
      <c r="A863" s="77">
        <v>33147</v>
      </c>
      <c r="B863">
        <v>62.646599999999999</v>
      </c>
      <c r="C863">
        <v>82.163300000000007</v>
      </c>
      <c r="D863">
        <v>43.541699999999999</v>
      </c>
      <c r="E863">
        <v>79.622799999999998</v>
      </c>
      <c r="F863">
        <v>59.0289</v>
      </c>
      <c r="G863">
        <v>53.698</v>
      </c>
      <c r="H863">
        <v>88.165099999999995</v>
      </c>
      <c r="I863">
        <v>73.315100000000001</v>
      </c>
      <c r="J863">
        <v>82.150999999999996</v>
      </c>
      <c r="K863">
        <v>128</v>
      </c>
    </row>
    <row r="864" spans="1:11" x14ac:dyDescent="0.35">
      <c r="A864" s="77">
        <v>33178</v>
      </c>
      <c r="B864">
        <v>61.868099999999998</v>
      </c>
      <c r="C864">
        <v>82.128799999999998</v>
      </c>
      <c r="D864">
        <v>42.501600000000003</v>
      </c>
      <c r="E864">
        <v>78.732500000000002</v>
      </c>
      <c r="F864">
        <v>58.322299999999998</v>
      </c>
      <c r="G864">
        <v>53.023299999999999</v>
      </c>
      <c r="H864">
        <v>87.538399999999996</v>
      </c>
      <c r="I864">
        <v>71.789599999999993</v>
      </c>
      <c r="J864">
        <v>81.0261</v>
      </c>
      <c r="K864">
        <v>128.4</v>
      </c>
    </row>
    <row r="865" spans="1:11" x14ac:dyDescent="0.35">
      <c r="A865" s="77">
        <v>33208</v>
      </c>
      <c r="B865">
        <v>61.4345</v>
      </c>
      <c r="C865">
        <v>81.574100000000001</v>
      </c>
      <c r="D865">
        <v>42.129100000000001</v>
      </c>
      <c r="E865">
        <v>78.138900000000007</v>
      </c>
      <c r="F865">
        <v>57.840400000000002</v>
      </c>
      <c r="G865">
        <v>52.628700000000002</v>
      </c>
      <c r="H865">
        <v>86.162400000000005</v>
      </c>
      <c r="I865">
        <v>72.278300000000002</v>
      </c>
      <c r="J865">
        <v>80.363699999999994</v>
      </c>
      <c r="K865">
        <v>128.6</v>
      </c>
    </row>
    <row r="866" spans="1:11" x14ac:dyDescent="0.35">
      <c r="A866" s="77">
        <v>33239</v>
      </c>
      <c r="B866">
        <v>61.2241</v>
      </c>
      <c r="C866">
        <v>78.604399999999998</v>
      </c>
      <c r="D866">
        <v>42.008099999999999</v>
      </c>
      <c r="E866">
        <v>78.525700000000001</v>
      </c>
      <c r="F866">
        <v>57.471800000000002</v>
      </c>
      <c r="G866">
        <v>52.3521</v>
      </c>
      <c r="H866">
        <v>86.161000000000001</v>
      </c>
      <c r="I866">
        <v>73.537400000000005</v>
      </c>
      <c r="J866">
        <v>80.001499999999993</v>
      </c>
      <c r="K866">
        <v>129.5</v>
      </c>
    </row>
    <row r="867" spans="1:11" x14ac:dyDescent="0.35">
      <c r="A867" s="77">
        <v>33270</v>
      </c>
      <c r="B867">
        <v>60.779000000000003</v>
      </c>
      <c r="C867">
        <v>78.297899999999998</v>
      </c>
      <c r="D867">
        <v>41.704799999999999</v>
      </c>
      <c r="E867">
        <v>77.772900000000007</v>
      </c>
      <c r="F867">
        <v>57.051000000000002</v>
      </c>
      <c r="G867">
        <v>52.062199999999997</v>
      </c>
      <c r="H867">
        <v>87.495699999999999</v>
      </c>
      <c r="I867">
        <v>71.664900000000003</v>
      </c>
      <c r="J867">
        <v>79.339600000000004</v>
      </c>
      <c r="K867">
        <v>129.80000000000001</v>
      </c>
    </row>
    <row r="868" spans="1:11" x14ac:dyDescent="0.35">
      <c r="A868" s="77">
        <v>33298</v>
      </c>
      <c r="B868">
        <v>60.4377</v>
      </c>
      <c r="C868">
        <v>77.349800000000002</v>
      </c>
      <c r="D868">
        <v>41.649299999999997</v>
      </c>
      <c r="E868">
        <v>77.8262</v>
      </c>
      <c r="F868">
        <v>56.660400000000003</v>
      </c>
      <c r="G868">
        <v>51.639800000000001</v>
      </c>
      <c r="H868">
        <v>86.550700000000006</v>
      </c>
      <c r="I868">
        <v>72.638199999999998</v>
      </c>
      <c r="J868">
        <v>78.818700000000007</v>
      </c>
      <c r="K868">
        <v>130.1</v>
      </c>
    </row>
    <row r="869" spans="1:11" x14ac:dyDescent="0.35">
      <c r="A869" s="77">
        <v>33329</v>
      </c>
      <c r="B869">
        <v>60.598199999999999</v>
      </c>
      <c r="C869">
        <v>77.977500000000006</v>
      </c>
      <c r="D869">
        <v>41.642699999999998</v>
      </c>
      <c r="E869">
        <v>77.848299999999995</v>
      </c>
      <c r="F869">
        <v>56.908700000000003</v>
      </c>
      <c r="G869">
        <v>51.911299999999997</v>
      </c>
      <c r="H869">
        <v>85.691900000000004</v>
      </c>
      <c r="I869">
        <v>72.563900000000004</v>
      </c>
      <c r="J869">
        <v>78.954999999999998</v>
      </c>
      <c r="K869">
        <v>130.4</v>
      </c>
    </row>
    <row r="870" spans="1:11" x14ac:dyDescent="0.35">
      <c r="A870" s="77">
        <v>33359</v>
      </c>
      <c r="B870">
        <v>61.204099999999997</v>
      </c>
      <c r="C870">
        <v>78.090599999999995</v>
      </c>
      <c r="D870">
        <v>41.936300000000003</v>
      </c>
      <c r="E870">
        <v>79.182400000000001</v>
      </c>
      <c r="F870">
        <v>57.318199999999997</v>
      </c>
      <c r="G870">
        <v>52.401400000000002</v>
      </c>
      <c r="H870">
        <v>85.439099999999996</v>
      </c>
      <c r="I870">
        <v>75.726500000000001</v>
      </c>
      <c r="J870">
        <v>79.670500000000004</v>
      </c>
      <c r="K870">
        <v>130.6</v>
      </c>
    </row>
    <row r="871" spans="1:11" x14ac:dyDescent="0.35">
      <c r="A871" s="77">
        <v>33390</v>
      </c>
      <c r="B871">
        <v>61.692300000000003</v>
      </c>
      <c r="C871">
        <v>79.400499999999994</v>
      </c>
      <c r="D871">
        <v>42.366</v>
      </c>
      <c r="E871">
        <v>80.134100000000004</v>
      </c>
      <c r="F871">
        <v>57.8765</v>
      </c>
      <c r="G871">
        <v>52.688499999999998</v>
      </c>
      <c r="H871">
        <v>85.608099999999993</v>
      </c>
      <c r="I871">
        <v>76.002600000000001</v>
      </c>
      <c r="J871">
        <v>80.229100000000003</v>
      </c>
      <c r="K871">
        <v>130.69999999999999</v>
      </c>
    </row>
    <row r="872" spans="1:11" x14ac:dyDescent="0.35">
      <c r="A872" s="77">
        <v>33420</v>
      </c>
      <c r="B872">
        <v>61.856900000000003</v>
      </c>
      <c r="C872">
        <v>79.208299999999994</v>
      </c>
      <c r="D872">
        <v>42.619300000000003</v>
      </c>
      <c r="E872">
        <v>79.942099999999996</v>
      </c>
      <c r="F872">
        <v>58.198999999999998</v>
      </c>
      <c r="G872">
        <v>53.122199999999999</v>
      </c>
      <c r="H872">
        <v>84.717699999999994</v>
      </c>
      <c r="I872">
        <v>75.412300000000002</v>
      </c>
      <c r="J872">
        <v>80.362700000000004</v>
      </c>
      <c r="K872">
        <v>131</v>
      </c>
    </row>
    <row r="873" spans="1:11" x14ac:dyDescent="0.35">
      <c r="A873" s="77">
        <v>33451</v>
      </c>
      <c r="B873">
        <v>61.868099999999998</v>
      </c>
      <c r="C873">
        <v>79.968599999999995</v>
      </c>
      <c r="D873">
        <v>42.422199999999997</v>
      </c>
      <c r="E873">
        <v>79.947900000000004</v>
      </c>
      <c r="F873">
        <v>58.247100000000003</v>
      </c>
      <c r="G873">
        <v>53.088999999999999</v>
      </c>
      <c r="H873">
        <v>84.579700000000003</v>
      </c>
      <c r="I873">
        <v>74.873500000000007</v>
      </c>
      <c r="J873">
        <v>80.290700000000001</v>
      </c>
      <c r="K873">
        <v>131.30000000000001</v>
      </c>
    </row>
    <row r="874" spans="1:11" x14ac:dyDescent="0.35">
      <c r="A874" s="77">
        <v>33482</v>
      </c>
      <c r="B874">
        <v>62.3855</v>
      </c>
      <c r="C874">
        <v>80.314800000000005</v>
      </c>
      <c r="D874">
        <v>43.043900000000001</v>
      </c>
      <c r="E874">
        <v>81.107900000000001</v>
      </c>
      <c r="F874">
        <v>58.886600000000001</v>
      </c>
      <c r="G874">
        <v>53.363799999999998</v>
      </c>
      <c r="H874">
        <v>84.683000000000007</v>
      </c>
      <c r="I874">
        <v>74.746700000000004</v>
      </c>
      <c r="J874">
        <v>80.8673</v>
      </c>
      <c r="K874">
        <v>131.80000000000001</v>
      </c>
    </row>
    <row r="875" spans="1:11" x14ac:dyDescent="0.35">
      <c r="A875" s="77">
        <v>33512</v>
      </c>
      <c r="B875">
        <v>62.322899999999997</v>
      </c>
      <c r="C875">
        <v>79.454300000000003</v>
      </c>
      <c r="D875">
        <v>42.755499999999998</v>
      </c>
      <c r="E875">
        <v>80.915899999999993</v>
      </c>
      <c r="F875">
        <v>58.816800000000001</v>
      </c>
      <c r="G875">
        <v>53.477800000000002</v>
      </c>
      <c r="H875">
        <v>84.558199999999999</v>
      </c>
      <c r="I875">
        <v>74.664699999999996</v>
      </c>
      <c r="J875">
        <v>80.6828</v>
      </c>
      <c r="K875">
        <v>132.30000000000001</v>
      </c>
    </row>
    <row r="876" spans="1:11" x14ac:dyDescent="0.35">
      <c r="A876" s="77">
        <v>33543</v>
      </c>
      <c r="B876">
        <v>62.242699999999999</v>
      </c>
      <c r="C876">
        <v>80.191199999999995</v>
      </c>
      <c r="D876">
        <v>42.739800000000002</v>
      </c>
      <c r="E876">
        <v>81.031999999999996</v>
      </c>
      <c r="F876">
        <v>58.707799999999999</v>
      </c>
      <c r="G876">
        <v>53.242600000000003</v>
      </c>
      <c r="H876">
        <v>83.850700000000003</v>
      </c>
      <c r="I876">
        <v>75.381699999999995</v>
      </c>
      <c r="J876">
        <v>80.4666</v>
      </c>
      <c r="K876">
        <v>132.5</v>
      </c>
    </row>
    <row r="877" spans="1:11" x14ac:dyDescent="0.35">
      <c r="A877" s="77">
        <v>33573</v>
      </c>
      <c r="B877">
        <v>61.970500000000001</v>
      </c>
      <c r="C877">
        <v>80.169899999999998</v>
      </c>
      <c r="D877">
        <v>42.682499999999997</v>
      </c>
      <c r="E877">
        <v>80.012600000000006</v>
      </c>
      <c r="F877">
        <v>58.580399999999997</v>
      </c>
      <c r="G877">
        <v>53.218699999999998</v>
      </c>
      <c r="H877">
        <v>84.302800000000005</v>
      </c>
      <c r="I877">
        <v>73.389499999999998</v>
      </c>
      <c r="J877">
        <v>79.994100000000003</v>
      </c>
      <c r="K877">
        <v>132.6</v>
      </c>
    </row>
    <row r="878" spans="1:11" x14ac:dyDescent="0.35">
      <c r="A878" s="77">
        <v>33604</v>
      </c>
      <c r="B878">
        <v>61.647100000000002</v>
      </c>
      <c r="C878">
        <v>80.289500000000004</v>
      </c>
      <c r="D878">
        <v>41.960099999999997</v>
      </c>
      <c r="E878">
        <v>79.248000000000005</v>
      </c>
      <c r="F878">
        <v>58.273400000000002</v>
      </c>
      <c r="G878">
        <v>53.184699999999999</v>
      </c>
      <c r="H878">
        <v>84.111599999999996</v>
      </c>
      <c r="I878">
        <v>73.039100000000005</v>
      </c>
      <c r="J878">
        <v>79.430400000000006</v>
      </c>
      <c r="K878">
        <v>133</v>
      </c>
    </row>
    <row r="879" spans="1:11" x14ac:dyDescent="0.35">
      <c r="A879" s="77">
        <v>33635</v>
      </c>
      <c r="B879">
        <v>62.0794</v>
      </c>
      <c r="C879">
        <v>80.940700000000007</v>
      </c>
      <c r="D879">
        <v>42.804299999999998</v>
      </c>
      <c r="E879">
        <v>80.054100000000005</v>
      </c>
      <c r="F879">
        <v>58.829599999999999</v>
      </c>
      <c r="G879">
        <v>53.412399999999998</v>
      </c>
      <c r="H879">
        <v>83.043300000000002</v>
      </c>
      <c r="I879">
        <v>73.512</v>
      </c>
      <c r="J879">
        <v>79.836200000000005</v>
      </c>
      <c r="K879">
        <v>133.1</v>
      </c>
    </row>
    <row r="880" spans="1:11" x14ac:dyDescent="0.35">
      <c r="A880" s="77">
        <v>33664</v>
      </c>
      <c r="B880">
        <v>62.595500000000001</v>
      </c>
      <c r="C880">
        <v>81.520600000000002</v>
      </c>
      <c r="D880">
        <v>43.31</v>
      </c>
      <c r="E880">
        <v>80.7864</v>
      </c>
      <c r="F880">
        <v>59.444200000000002</v>
      </c>
      <c r="G880">
        <v>53.840800000000002</v>
      </c>
      <c r="H880">
        <v>83.322400000000002</v>
      </c>
      <c r="I880">
        <v>73.250900000000001</v>
      </c>
      <c r="J880">
        <v>80.338800000000006</v>
      </c>
      <c r="K880">
        <v>133.4</v>
      </c>
    </row>
    <row r="881" spans="1:11" x14ac:dyDescent="0.35">
      <c r="A881" s="77">
        <v>33695</v>
      </c>
      <c r="B881">
        <v>63.072600000000001</v>
      </c>
      <c r="C881">
        <v>82.058800000000005</v>
      </c>
      <c r="D881">
        <v>43.7271</v>
      </c>
      <c r="E881">
        <v>81.544799999999995</v>
      </c>
      <c r="F881">
        <v>59.7834</v>
      </c>
      <c r="G881">
        <v>54.262099999999997</v>
      </c>
      <c r="H881">
        <v>84.277299999999997</v>
      </c>
      <c r="I881">
        <v>74.9512</v>
      </c>
      <c r="J881">
        <v>80.782300000000006</v>
      </c>
      <c r="K881">
        <v>133.80000000000001</v>
      </c>
    </row>
    <row r="882" spans="1:11" x14ac:dyDescent="0.35">
      <c r="A882" s="77">
        <v>33725</v>
      </c>
      <c r="B882">
        <v>63.2761</v>
      </c>
      <c r="C882">
        <v>82.902100000000004</v>
      </c>
      <c r="D882">
        <v>44.075000000000003</v>
      </c>
      <c r="E882">
        <v>82.075100000000006</v>
      </c>
      <c r="F882">
        <v>60.133800000000001</v>
      </c>
      <c r="G882">
        <v>54.281199999999998</v>
      </c>
      <c r="H882">
        <v>84.096400000000003</v>
      </c>
      <c r="I882">
        <v>73.899500000000003</v>
      </c>
      <c r="J882">
        <v>80.868600000000001</v>
      </c>
      <c r="K882">
        <v>134.30000000000001</v>
      </c>
    </row>
    <row r="883" spans="1:11" x14ac:dyDescent="0.35">
      <c r="A883" s="77">
        <v>33756</v>
      </c>
      <c r="B883">
        <v>63.310200000000002</v>
      </c>
      <c r="C883">
        <v>82.550399999999996</v>
      </c>
      <c r="D883">
        <v>44.184100000000001</v>
      </c>
      <c r="E883">
        <v>81.673599999999993</v>
      </c>
      <c r="F883">
        <v>60.331200000000003</v>
      </c>
      <c r="G883">
        <v>54.514899999999997</v>
      </c>
      <c r="H883">
        <v>83.197800000000001</v>
      </c>
      <c r="I883">
        <v>72.819800000000001</v>
      </c>
      <c r="J883">
        <v>80.734700000000004</v>
      </c>
      <c r="K883">
        <v>134.1</v>
      </c>
    </row>
    <row r="884" spans="1:11" x14ac:dyDescent="0.35">
      <c r="A884" s="77">
        <v>33786</v>
      </c>
      <c r="B884">
        <v>63.876899999999999</v>
      </c>
      <c r="C884">
        <v>83.091700000000003</v>
      </c>
      <c r="D884">
        <v>44.635199999999998</v>
      </c>
      <c r="E884">
        <v>82.740399999999994</v>
      </c>
      <c r="F884">
        <v>60.894799999999996</v>
      </c>
      <c r="G884">
        <v>54.928699999999999</v>
      </c>
      <c r="H884">
        <v>84.300700000000006</v>
      </c>
      <c r="I884">
        <v>73.267300000000006</v>
      </c>
      <c r="J884">
        <v>81.278800000000004</v>
      </c>
      <c r="K884">
        <v>134.30000000000001</v>
      </c>
    </row>
    <row r="885" spans="1:11" x14ac:dyDescent="0.35">
      <c r="A885" s="77">
        <v>33817</v>
      </c>
      <c r="B885">
        <v>63.522100000000002</v>
      </c>
      <c r="C885">
        <v>83.275000000000006</v>
      </c>
      <c r="D885">
        <v>44.409100000000002</v>
      </c>
      <c r="E885">
        <v>82.772199999999998</v>
      </c>
      <c r="F885">
        <v>60.609200000000001</v>
      </c>
      <c r="G885">
        <v>54.316800000000001</v>
      </c>
      <c r="H885">
        <v>82.903599999999997</v>
      </c>
      <c r="I885">
        <v>73.040999999999997</v>
      </c>
      <c r="J885">
        <v>80.653499999999994</v>
      </c>
      <c r="K885">
        <v>134.30000000000001</v>
      </c>
    </row>
    <row r="886" spans="1:11" x14ac:dyDescent="0.35">
      <c r="A886" s="77">
        <v>33848</v>
      </c>
      <c r="B886">
        <v>63.721699999999998</v>
      </c>
      <c r="C886">
        <v>83.241600000000005</v>
      </c>
      <c r="D886">
        <v>44.592700000000001</v>
      </c>
      <c r="E886">
        <v>82.407200000000003</v>
      </c>
      <c r="F886">
        <v>60.711500000000001</v>
      </c>
      <c r="G886">
        <v>54.745199999999997</v>
      </c>
      <c r="H886">
        <v>83.454400000000007</v>
      </c>
      <c r="I886">
        <v>74.1357</v>
      </c>
      <c r="J886">
        <v>80.738399999999999</v>
      </c>
      <c r="K886">
        <v>134.6</v>
      </c>
    </row>
    <row r="887" spans="1:11" x14ac:dyDescent="0.35">
      <c r="A887" s="77">
        <v>33878</v>
      </c>
      <c r="B887">
        <v>64.155600000000007</v>
      </c>
      <c r="C887">
        <v>83.191100000000006</v>
      </c>
      <c r="D887">
        <v>44.745800000000003</v>
      </c>
      <c r="E887">
        <v>83.507999999999996</v>
      </c>
      <c r="F887">
        <v>61.091099999999997</v>
      </c>
      <c r="G887">
        <v>55.050800000000002</v>
      </c>
      <c r="H887">
        <v>83.863100000000003</v>
      </c>
      <c r="I887">
        <v>75.379900000000006</v>
      </c>
      <c r="J887">
        <v>81.125600000000006</v>
      </c>
      <c r="K887">
        <v>134.9</v>
      </c>
    </row>
    <row r="888" spans="1:11" x14ac:dyDescent="0.35">
      <c r="A888" s="77">
        <v>33909</v>
      </c>
      <c r="B888">
        <v>64.414400000000001</v>
      </c>
      <c r="C888">
        <v>82.931600000000003</v>
      </c>
      <c r="D888">
        <v>45.075800000000001</v>
      </c>
      <c r="E888">
        <v>83.675399999999996</v>
      </c>
      <c r="F888">
        <v>61.350099999999998</v>
      </c>
      <c r="G888">
        <v>55.355400000000003</v>
      </c>
      <c r="H888">
        <v>83.755499999999998</v>
      </c>
      <c r="I888">
        <v>76.027799999999999</v>
      </c>
      <c r="J888">
        <v>81.297300000000007</v>
      </c>
      <c r="K888">
        <v>135.1</v>
      </c>
    </row>
    <row r="889" spans="1:11" x14ac:dyDescent="0.35">
      <c r="A889" s="77">
        <v>33939</v>
      </c>
      <c r="B889">
        <v>64.516099999999994</v>
      </c>
      <c r="C889">
        <v>83.31</v>
      </c>
      <c r="D889">
        <v>45.491500000000002</v>
      </c>
      <c r="E889">
        <v>83.697299999999998</v>
      </c>
      <c r="F889">
        <v>61.300400000000003</v>
      </c>
      <c r="G889">
        <v>55.316800000000001</v>
      </c>
      <c r="H889">
        <v>84.058999999999997</v>
      </c>
      <c r="I889">
        <v>77.293499999999995</v>
      </c>
      <c r="J889">
        <v>81.280100000000004</v>
      </c>
      <c r="K889">
        <v>135.19999999999999</v>
      </c>
    </row>
    <row r="890" spans="1:11" x14ac:dyDescent="0.35">
      <c r="A890" s="77">
        <v>33970</v>
      </c>
      <c r="B890">
        <v>64.773799999999994</v>
      </c>
      <c r="C890">
        <v>83.549499999999995</v>
      </c>
      <c r="D890">
        <v>45.654000000000003</v>
      </c>
      <c r="E890">
        <v>84.166799999999995</v>
      </c>
      <c r="F890">
        <v>61.871200000000002</v>
      </c>
      <c r="G890">
        <v>55.540900000000001</v>
      </c>
      <c r="H890">
        <v>83.631600000000006</v>
      </c>
      <c r="I890">
        <v>74.679900000000004</v>
      </c>
      <c r="J890">
        <v>81.463200000000001</v>
      </c>
      <c r="K890">
        <v>135.6</v>
      </c>
    </row>
    <row r="891" spans="1:11" x14ac:dyDescent="0.35">
      <c r="A891" s="77">
        <v>34001</v>
      </c>
      <c r="B891">
        <v>65.080500000000001</v>
      </c>
      <c r="C891">
        <v>85.068200000000004</v>
      </c>
      <c r="D891">
        <v>45.705399999999997</v>
      </c>
      <c r="E891">
        <v>84.267200000000003</v>
      </c>
      <c r="F891">
        <v>62.028599999999997</v>
      </c>
      <c r="G891">
        <v>55.944499999999998</v>
      </c>
      <c r="H891">
        <v>83.215999999999994</v>
      </c>
      <c r="I891">
        <v>76.7226</v>
      </c>
      <c r="J891">
        <v>81.715699999999998</v>
      </c>
      <c r="K891">
        <v>135.9</v>
      </c>
    </row>
    <row r="892" spans="1:11" x14ac:dyDescent="0.35">
      <c r="A892" s="77">
        <v>34029</v>
      </c>
      <c r="B892">
        <v>65.017600000000002</v>
      </c>
      <c r="C892">
        <v>84.352000000000004</v>
      </c>
      <c r="D892">
        <v>45.810499999999998</v>
      </c>
      <c r="E892">
        <v>84.308800000000005</v>
      </c>
      <c r="F892">
        <v>61.901299999999999</v>
      </c>
      <c r="G892">
        <v>55.770400000000002</v>
      </c>
      <c r="H892">
        <v>82.6708</v>
      </c>
      <c r="I892">
        <v>77.495000000000005</v>
      </c>
      <c r="J892">
        <v>81.510499999999993</v>
      </c>
      <c r="K892">
        <v>136.1</v>
      </c>
    </row>
    <row r="893" spans="1:11" x14ac:dyDescent="0.35">
      <c r="A893" s="77">
        <v>34060</v>
      </c>
      <c r="B893">
        <v>65.204099999999997</v>
      </c>
      <c r="C893">
        <v>84.628399999999999</v>
      </c>
      <c r="D893">
        <v>46.112400000000001</v>
      </c>
      <c r="E893">
        <v>84.387299999999996</v>
      </c>
      <c r="F893">
        <v>62.2209</v>
      </c>
      <c r="G893">
        <v>55.999099999999999</v>
      </c>
      <c r="H893">
        <v>82.782799999999995</v>
      </c>
      <c r="I893">
        <v>76.601500000000001</v>
      </c>
      <c r="J893">
        <v>81.624300000000005</v>
      </c>
      <c r="K893">
        <v>136.5</v>
      </c>
    </row>
    <row r="894" spans="1:11" x14ac:dyDescent="0.35">
      <c r="A894" s="77">
        <v>34090</v>
      </c>
      <c r="B894">
        <v>64.943299999999994</v>
      </c>
      <c r="C894">
        <v>85.572599999999994</v>
      </c>
      <c r="D894">
        <v>46.158999999999999</v>
      </c>
      <c r="E894">
        <v>83.758200000000002</v>
      </c>
      <c r="F894">
        <v>62.145699999999998</v>
      </c>
      <c r="G894">
        <v>55.778599999999997</v>
      </c>
      <c r="H894">
        <v>82.821899999999999</v>
      </c>
      <c r="I894">
        <v>74.5154</v>
      </c>
      <c r="J894">
        <v>81.180499999999995</v>
      </c>
      <c r="K894">
        <v>136.6</v>
      </c>
    </row>
    <row r="895" spans="1:11" x14ac:dyDescent="0.35">
      <c r="A895" s="77">
        <v>34121</v>
      </c>
      <c r="B895">
        <v>65.098399999999998</v>
      </c>
      <c r="C895">
        <v>85.547600000000003</v>
      </c>
      <c r="D895">
        <v>45.8491</v>
      </c>
      <c r="E895">
        <v>83.921999999999997</v>
      </c>
      <c r="F895">
        <v>62.052500000000002</v>
      </c>
      <c r="G895">
        <v>56.095100000000002</v>
      </c>
      <c r="H895">
        <v>83.634699999999995</v>
      </c>
      <c r="I895">
        <v>76.407499999999999</v>
      </c>
      <c r="J895">
        <v>81.256399999999999</v>
      </c>
      <c r="K895">
        <v>136.4</v>
      </c>
    </row>
    <row r="896" spans="1:11" x14ac:dyDescent="0.35">
      <c r="A896" s="77">
        <v>34151</v>
      </c>
      <c r="B896">
        <v>65.255399999999995</v>
      </c>
      <c r="C896">
        <v>85.972499999999997</v>
      </c>
      <c r="D896">
        <v>45.846200000000003</v>
      </c>
      <c r="E896">
        <v>84.591800000000006</v>
      </c>
      <c r="F896">
        <v>62.203400000000002</v>
      </c>
      <c r="G896">
        <v>56.044699999999999</v>
      </c>
      <c r="H896">
        <v>82.735500000000002</v>
      </c>
      <c r="I896">
        <v>77.500200000000007</v>
      </c>
      <c r="J896">
        <v>81.332099999999997</v>
      </c>
      <c r="K896">
        <v>136.6</v>
      </c>
    </row>
    <row r="897" spans="1:11" x14ac:dyDescent="0.35">
      <c r="A897" s="77">
        <v>34182</v>
      </c>
      <c r="B897">
        <v>65.194599999999994</v>
      </c>
      <c r="C897">
        <v>86.279300000000006</v>
      </c>
      <c r="D897">
        <v>45.4345</v>
      </c>
      <c r="E897">
        <v>84.486900000000006</v>
      </c>
      <c r="F897">
        <v>62.121000000000002</v>
      </c>
      <c r="G897">
        <v>56.117600000000003</v>
      </c>
      <c r="H897">
        <v>82.804000000000002</v>
      </c>
      <c r="I897">
        <v>77.982900000000001</v>
      </c>
      <c r="J897">
        <v>81.130200000000002</v>
      </c>
      <c r="K897">
        <v>134.9</v>
      </c>
    </row>
    <row r="898" spans="1:11" x14ac:dyDescent="0.35">
      <c r="A898" s="77">
        <v>34213</v>
      </c>
      <c r="B898">
        <v>65.528199999999998</v>
      </c>
      <c r="C898">
        <v>86.733000000000004</v>
      </c>
      <c r="D898">
        <v>46.215699999999998</v>
      </c>
      <c r="E898">
        <v>84.742699999999999</v>
      </c>
      <c r="F898">
        <v>62.577800000000003</v>
      </c>
      <c r="G898">
        <v>56.314</v>
      </c>
      <c r="H898">
        <v>83.507099999999994</v>
      </c>
      <c r="I898">
        <v>77.105099999999993</v>
      </c>
      <c r="J898">
        <v>81.410600000000002</v>
      </c>
      <c r="K898">
        <v>134.9</v>
      </c>
    </row>
    <row r="899" spans="1:11" x14ac:dyDescent="0.35">
      <c r="A899" s="77">
        <v>34243</v>
      </c>
      <c r="B899">
        <v>66.015199999999993</v>
      </c>
      <c r="C899">
        <v>87.521000000000001</v>
      </c>
      <c r="D899">
        <v>47.205399999999997</v>
      </c>
      <c r="E899">
        <v>85.158199999999994</v>
      </c>
      <c r="F899">
        <v>63.120399999999997</v>
      </c>
      <c r="G899">
        <v>56.757100000000001</v>
      </c>
      <c r="H899">
        <v>84.596599999999995</v>
      </c>
      <c r="I899">
        <v>76.848200000000006</v>
      </c>
      <c r="J899">
        <v>81.869100000000003</v>
      </c>
      <c r="K899">
        <v>135</v>
      </c>
    </row>
    <row r="900" spans="1:11" x14ac:dyDescent="0.35">
      <c r="A900" s="77">
        <v>34274</v>
      </c>
      <c r="B900">
        <v>66.3292</v>
      </c>
      <c r="C900">
        <v>88.247299999999996</v>
      </c>
      <c r="D900">
        <v>47.484699999999997</v>
      </c>
      <c r="E900">
        <v>85.279700000000005</v>
      </c>
      <c r="F900">
        <v>63.424900000000001</v>
      </c>
      <c r="G900">
        <v>57.186100000000003</v>
      </c>
      <c r="H900">
        <v>84.553100000000001</v>
      </c>
      <c r="I900">
        <v>77.351200000000006</v>
      </c>
      <c r="J900">
        <v>82.099900000000005</v>
      </c>
      <c r="K900">
        <v>135.30000000000001</v>
      </c>
    </row>
    <row r="901" spans="1:11" x14ac:dyDescent="0.35">
      <c r="A901" s="77">
        <v>34304</v>
      </c>
      <c r="B901">
        <v>66.703800000000001</v>
      </c>
      <c r="C901">
        <v>89.416300000000007</v>
      </c>
      <c r="D901">
        <v>47.768099999999997</v>
      </c>
      <c r="E901">
        <v>85.511099999999999</v>
      </c>
      <c r="F901">
        <v>63.835999999999999</v>
      </c>
      <c r="G901">
        <v>57.595100000000002</v>
      </c>
      <c r="H901">
        <v>84.885400000000004</v>
      </c>
      <c r="I901">
        <v>77.665400000000005</v>
      </c>
      <c r="J901">
        <v>82.392399999999995</v>
      </c>
      <c r="K901">
        <v>135.69999999999999</v>
      </c>
    </row>
    <row r="902" spans="1:11" x14ac:dyDescent="0.35">
      <c r="A902" s="77">
        <v>34335</v>
      </c>
      <c r="B902">
        <v>66.916399999999996</v>
      </c>
      <c r="C902">
        <v>89.018299999999996</v>
      </c>
      <c r="D902">
        <v>48.027200000000001</v>
      </c>
      <c r="E902">
        <v>86.069699999999997</v>
      </c>
      <c r="F902">
        <v>63.908999999999999</v>
      </c>
      <c r="G902">
        <v>57.681699999999999</v>
      </c>
      <c r="H902">
        <v>83.971599999999995</v>
      </c>
      <c r="I902">
        <v>79.941100000000006</v>
      </c>
      <c r="J902">
        <v>82.472099999999998</v>
      </c>
      <c r="K902">
        <v>136.30000000000001</v>
      </c>
    </row>
    <row r="903" spans="1:11" x14ac:dyDescent="0.35">
      <c r="A903" s="77">
        <v>34366</v>
      </c>
      <c r="B903">
        <v>66.964200000000005</v>
      </c>
      <c r="C903">
        <v>88.431600000000003</v>
      </c>
      <c r="D903">
        <v>47.595700000000001</v>
      </c>
      <c r="E903">
        <v>86.230099999999993</v>
      </c>
      <c r="F903">
        <v>64.026399999999995</v>
      </c>
      <c r="G903">
        <v>57.902000000000001</v>
      </c>
      <c r="H903">
        <v>84.556299999999993</v>
      </c>
      <c r="I903">
        <v>79.141599999999997</v>
      </c>
      <c r="J903">
        <v>82.335700000000003</v>
      </c>
      <c r="K903">
        <v>136.30000000000001</v>
      </c>
    </row>
    <row r="904" spans="1:11" x14ac:dyDescent="0.35">
      <c r="A904" s="77">
        <v>34394</v>
      </c>
      <c r="B904">
        <v>67.633499999999998</v>
      </c>
      <c r="C904">
        <v>90.031700000000001</v>
      </c>
      <c r="D904">
        <v>48.118299999999998</v>
      </c>
      <c r="E904">
        <v>86.962699999999998</v>
      </c>
      <c r="F904">
        <v>64.879199999999997</v>
      </c>
      <c r="G904">
        <v>58.499899999999997</v>
      </c>
      <c r="H904">
        <v>85.681899999999999</v>
      </c>
      <c r="I904">
        <v>77.846199999999996</v>
      </c>
      <c r="J904">
        <v>82.947199999999995</v>
      </c>
      <c r="K904">
        <v>136.4</v>
      </c>
    </row>
    <row r="905" spans="1:11" x14ac:dyDescent="0.35">
      <c r="A905" s="77">
        <v>34425</v>
      </c>
      <c r="B905">
        <v>68.0334</v>
      </c>
      <c r="C905">
        <v>91.473399999999998</v>
      </c>
      <c r="D905">
        <v>48.460900000000002</v>
      </c>
      <c r="E905">
        <v>87.209699999999998</v>
      </c>
      <c r="F905">
        <v>65.4726</v>
      </c>
      <c r="G905">
        <v>58.946100000000001</v>
      </c>
      <c r="H905">
        <v>84.964600000000004</v>
      </c>
      <c r="I905">
        <v>77.102099999999993</v>
      </c>
      <c r="J905">
        <v>83.213300000000004</v>
      </c>
      <c r="K905">
        <v>136.6</v>
      </c>
    </row>
    <row r="906" spans="1:11" x14ac:dyDescent="0.35">
      <c r="A906" s="77">
        <v>34455</v>
      </c>
      <c r="B906">
        <v>68.353099999999998</v>
      </c>
      <c r="C906">
        <v>92.194199999999995</v>
      </c>
      <c r="D906">
        <v>48.610399999999998</v>
      </c>
      <c r="E906">
        <v>87.699399999999997</v>
      </c>
      <c r="F906">
        <v>65.906400000000005</v>
      </c>
      <c r="G906">
        <v>59.319499999999998</v>
      </c>
      <c r="H906">
        <v>85.237799999999993</v>
      </c>
      <c r="I906">
        <v>76.768299999999996</v>
      </c>
      <c r="J906">
        <v>83.366399999999999</v>
      </c>
      <c r="K906">
        <v>137</v>
      </c>
    </row>
    <row r="907" spans="1:11" x14ac:dyDescent="0.35">
      <c r="A907" s="77">
        <v>34486</v>
      </c>
      <c r="B907">
        <v>68.800200000000004</v>
      </c>
      <c r="C907">
        <v>92.275599999999997</v>
      </c>
      <c r="D907">
        <v>48.902099999999997</v>
      </c>
      <c r="E907">
        <v>88.322000000000003</v>
      </c>
      <c r="F907">
        <v>66.134699999999995</v>
      </c>
      <c r="G907">
        <v>59.761299999999999</v>
      </c>
      <c r="H907">
        <v>85.129599999999996</v>
      </c>
      <c r="I907">
        <v>80.061899999999994</v>
      </c>
      <c r="J907">
        <v>83.660600000000002</v>
      </c>
      <c r="K907">
        <v>137.19999999999999</v>
      </c>
    </row>
    <row r="908" spans="1:11" x14ac:dyDescent="0.35">
      <c r="A908" s="77">
        <v>34516</v>
      </c>
      <c r="B908">
        <v>68.886300000000006</v>
      </c>
      <c r="C908">
        <v>93.206000000000003</v>
      </c>
      <c r="D908">
        <v>49.464799999999997</v>
      </c>
      <c r="E908">
        <v>87.8857</v>
      </c>
      <c r="F908">
        <v>66.422200000000004</v>
      </c>
      <c r="G908">
        <v>59.958300000000001</v>
      </c>
      <c r="H908">
        <v>85.123000000000005</v>
      </c>
      <c r="I908">
        <v>78.639099999999999</v>
      </c>
      <c r="J908">
        <v>83.506500000000003</v>
      </c>
      <c r="K908">
        <v>137.30000000000001</v>
      </c>
    </row>
    <row r="909" spans="1:11" x14ac:dyDescent="0.35">
      <c r="A909" s="77">
        <v>34547</v>
      </c>
      <c r="B909">
        <v>69.341200000000001</v>
      </c>
      <c r="C909">
        <v>93.1601</v>
      </c>
      <c r="D909">
        <v>49.639299999999999</v>
      </c>
      <c r="E909">
        <v>89.024000000000001</v>
      </c>
      <c r="F909">
        <v>66.971999999999994</v>
      </c>
      <c r="G909">
        <v>60.368099999999998</v>
      </c>
      <c r="H909">
        <v>85.085700000000003</v>
      </c>
      <c r="I909">
        <v>78.093900000000005</v>
      </c>
      <c r="J909">
        <v>83.791799999999995</v>
      </c>
      <c r="K909">
        <v>137.6</v>
      </c>
    </row>
    <row r="910" spans="1:11" x14ac:dyDescent="0.35">
      <c r="A910" s="77">
        <v>34578</v>
      </c>
      <c r="B910">
        <v>69.557400000000001</v>
      </c>
      <c r="C910">
        <v>93.999799999999993</v>
      </c>
      <c r="D910">
        <v>50.112900000000003</v>
      </c>
      <c r="E910">
        <v>88.533799999999999</v>
      </c>
      <c r="F910">
        <v>67.233999999999995</v>
      </c>
      <c r="G910">
        <v>60.692500000000003</v>
      </c>
      <c r="H910">
        <v>84.679100000000005</v>
      </c>
      <c r="I910">
        <v>78.0304</v>
      </c>
      <c r="J910">
        <v>83.781599999999997</v>
      </c>
      <c r="K910">
        <v>137.69999999999999</v>
      </c>
    </row>
    <row r="911" spans="1:11" x14ac:dyDescent="0.35">
      <c r="A911" s="77">
        <v>34608</v>
      </c>
      <c r="B911">
        <v>70.119</v>
      </c>
      <c r="C911">
        <v>94.403700000000001</v>
      </c>
      <c r="D911">
        <v>50.99</v>
      </c>
      <c r="E911">
        <v>89.403199999999998</v>
      </c>
      <c r="F911">
        <v>67.912899999999993</v>
      </c>
      <c r="G911">
        <v>61.0503</v>
      </c>
      <c r="H911">
        <v>84.435500000000005</v>
      </c>
      <c r="I911">
        <v>78.305499999999995</v>
      </c>
      <c r="J911">
        <v>84.1798</v>
      </c>
      <c r="K911">
        <v>137.4</v>
      </c>
    </row>
    <row r="912" spans="1:11" x14ac:dyDescent="0.35">
      <c r="A912" s="77">
        <v>34639</v>
      </c>
      <c r="B912">
        <v>70.594200000000001</v>
      </c>
      <c r="C912">
        <v>94.6233</v>
      </c>
      <c r="D912">
        <v>51.633000000000003</v>
      </c>
      <c r="E912">
        <v>89.493300000000005</v>
      </c>
      <c r="F912">
        <v>68.482699999999994</v>
      </c>
      <c r="G912">
        <v>61.632199999999997</v>
      </c>
      <c r="H912">
        <v>85.111999999999995</v>
      </c>
      <c r="I912">
        <v>77.781999999999996</v>
      </c>
      <c r="J912">
        <v>84.465999999999994</v>
      </c>
      <c r="K912">
        <v>137.6</v>
      </c>
    </row>
    <row r="913" spans="1:11" x14ac:dyDescent="0.35">
      <c r="A913" s="77">
        <v>34669</v>
      </c>
      <c r="B913">
        <v>71.281400000000005</v>
      </c>
      <c r="C913">
        <v>95.292299999999997</v>
      </c>
      <c r="D913">
        <v>52.099899999999998</v>
      </c>
      <c r="E913">
        <v>90.193399999999997</v>
      </c>
      <c r="F913">
        <v>69.232600000000005</v>
      </c>
      <c r="G913">
        <v>62.3932</v>
      </c>
      <c r="H913">
        <v>86.029499999999999</v>
      </c>
      <c r="I913">
        <v>77.872299999999996</v>
      </c>
      <c r="J913">
        <v>84.998900000000006</v>
      </c>
      <c r="K913">
        <v>137.9</v>
      </c>
    </row>
    <row r="914" spans="1:11" x14ac:dyDescent="0.35">
      <c r="A914" s="77">
        <v>34700</v>
      </c>
      <c r="B914">
        <v>71.430300000000003</v>
      </c>
      <c r="C914">
        <v>95.633600000000001</v>
      </c>
      <c r="D914">
        <v>52.441499999999998</v>
      </c>
      <c r="E914">
        <v>90.032200000000003</v>
      </c>
      <c r="F914">
        <v>69.366299999999995</v>
      </c>
      <c r="G914">
        <v>62.577599999999997</v>
      </c>
      <c r="H914">
        <v>85.664699999999996</v>
      </c>
      <c r="I914">
        <v>78.490799999999993</v>
      </c>
      <c r="J914">
        <v>84.886799999999994</v>
      </c>
      <c r="K914">
        <v>138.4</v>
      </c>
    </row>
    <row r="915" spans="1:11" x14ac:dyDescent="0.35">
      <c r="A915" s="77">
        <v>34731</v>
      </c>
      <c r="B915">
        <v>71.334299999999999</v>
      </c>
      <c r="C915">
        <v>94.3279</v>
      </c>
      <c r="D915">
        <v>52.456899999999997</v>
      </c>
      <c r="E915">
        <v>90.214799999999997</v>
      </c>
      <c r="F915">
        <v>69.178200000000004</v>
      </c>
      <c r="G915">
        <v>62.4435</v>
      </c>
      <c r="H915">
        <v>85.4529</v>
      </c>
      <c r="I915">
        <v>79.207700000000003</v>
      </c>
      <c r="J915">
        <v>84.481099999999998</v>
      </c>
      <c r="K915">
        <v>138.69999999999999</v>
      </c>
    </row>
    <row r="916" spans="1:11" x14ac:dyDescent="0.35">
      <c r="A916" s="77">
        <v>34759</v>
      </c>
      <c r="B916">
        <v>71.445099999999996</v>
      </c>
      <c r="C916">
        <v>94.342299999999994</v>
      </c>
      <c r="D916">
        <v>52.941499999999998</v>
      </c>
      <c r="E916">
        <v>90.178700000000006</v>
      </c>
      <c r="F916">
        <v>69.373900000000006</v>
      </c>
      <c r="G916">
        <v>62.505200000000002</v>
      </c>
      <c r="H916">
        <v>84.302199999999999</v>
      </c>
      <c r="I916">
        <v>79.153999999999996</v>
      </c>
      <c r="J916">
        <v>84.3172</v>
      </c>
      <c r="K916">
        <v>139</v>
      </c>
    </row>
    <row r="917" spans="1:11" x14ac:dyDescent="0.35">
      <c r="A917" s="77">
        <v>34790</v>
      </c>
      <c r="B917">
        <v>71.328900000000004</v>
      </c>
      <c r="C917">
        <v>93.606499999999997</v>
      </c>
      <c r="D917">
        <v>52.869399999999999</v>
      </c>
      <c r="E917">
        <v>89.738799999999998</v>
      </c>
      <c r="F917">
        <v>69.190899999999999</v>
      </c>
      <c r="G917">
        <v>62.590499999999999</v>
      </c>
      <c r="H917">
        <v>84.656300000000002</v>
      </c>
      <c r="I917">
        <v>79.8964</v>
      </c>
      <c r="J917">
        <v>83.884100000000004</v>
      </c>
      <c r="K917">
        <v>139.30000000000001</v>
      </c>
    </row>
    <row r="918" spans="1:11" x14ac:dyDescent="0.35">
      <c r="A918" s="77">
        <v>34820</v>
      </c>
      <c r="B918">
        <v>71.66</v>
      </c>
      <c r="C918">
        <v>93.188699999999997</v>
      </c>
      <c r="D918">
        <v>53.519300000000001</v>
      </c>
      <c r="E918">
        <v>90.057299999999998</v>
      </c>
      <c r="F918">
        <v>69.423699999999997</v>
      </c>
      <c r="G918">
        <v>62.819299999999998</v>
      </c>
      <c r="H918">
        <v>84.885599999999997</v>
      </c>
      <c r="I918">
        <v>81.096900000000005</v>
      </c>
      <c r="J918">
        <v>83.9709</v>
      </c>
      <c r="K918">
        <v>139.69999999999999</v>
      </c>
    </row>
    <row r="919" spans="1:11" x14ac:dyDescent="0.35">
      <c r="A919" s="77">
        <v>34851</v>
      </c>
      <c r="B919">
        <v>71.896699999999996</v>
      </c>
      <c r="C919">
        <v>93.351500000000001</v>
      </c>
      <c r="D919">
        <v>54.198399999999999</v>
      </c>
      <c r="E919">
        <v>90.441500000000005</v>
      </c>
      <c r="F919">
        <v>69.750900000000001</v>
      </c>
      <c r="G919">
        <v>62.842100000000002</v>
      </c>
      <c r="H919">
        <v>84.8108</v>
      </c>
      <c r="I919">
        <v>80.558000000000007</v>
      </c>
      <c r="J919">
        <v>83.937600000000003</v>
      </c>
      <c r="K919">
        <v>139.80000000000001</v>
      </c>
    </row>
    <row r="920" spans="1:11" x14ac:dyDescent="0.35">
      <c r="A920" s="77">
        <v>34881</v>
      </c>
      <c r="B920">
        <v>71.592399999999998</v>
      </c>
      <c r="C920">
        <v>93.084699999999998</v>
      </c>
      <c r="D920">
        <v>53.902200000000001</v>
      </c>
      <c r="E920">
        <v>89.946799999999996</v>
      </c>
      <c r="F920">
        <v>69.283699999999996</v>
      </c>
      <c r="G920">
        <v>62.5702</v>
      </c>
      <c r="H920">
        <v>85.430599999999998</v>
      </c>
      <c r="I920">
        <v>81.562200000000004</v>
      </c>
      <c r="J920">
        <v>83.267099999999999</v>
      </c>
      <c r="K920">
        <v>140.19999999999999</v>
      </c>
    </row>
    <row r="921" spans="1:11" x14ac:dyDescent="0.35">
      <c r="A921" s="77">
        <v>34912</v>
      </c>
      <c r="B921">
        <v>72.533900000000003</v>
      </c>
      <c r="C921">
        <v>93.952799999999996</v>
      </c>
      <c r="D921">
        <v>54.940800000000003</v>
      </c>
      <c r="E921">
        <v>91.316900000000004</v>
      </c>
      <c r="F921">
        <v>70.130399999999995</v>
      </c>
      <c r="G921">
        <v>63.314700000000002</v>
      </c>
      <c r="H921">
        <v>84.322299999999998</v>
      </c>
      <c r="I921">
        <v>84.811499999999995</v>
      </c>
      <c r="J921">
        <v>84.034199999999998</v>
      </c>
      <c r="K921">
        <v>140.19999999999999</v>
      </c>
    </row>
    <row r="922" spans="1:11" x14ac:dyDescent="0.35">
      <c r="A922" s="77">
        <v>34943</v>
      </c>
      <c r="B922">
        <v>72.824700000000007</v>
      </c>
      <c r="C922">
        <v>95.452100000000002</v>
      </c>
      <c r="D922">
        <v>55.4377</v>
      </c>
      <c r="E922">
        <v>91.507499999999993</v>
      </c>
      <c r="F922">
        <v>70.778000000000006</v>
      </c>
      <c r="G922">
        <v>63.576900000000002</v>
      </c>
      <c r="H922">
        <v>85.4011</v>
      </c>
      <c r="I922">
        <v>81.305199999999999</v>
      </c>
      <c r="J922">
        <v>84.033900000000003</v>
      </c>
      <c r="K922">
        <v>140.19999999999999</v>
      </c>
    </row>
    <row r="923" spans="1:11" x14ac:dyDescent="0.35">
      <c r="A923" s="77">
        <v>34973</v>
      </c>
      <c r="B923">
        <v>72.712999999999994</v>
      </c>
      <c r="C923">
        <v>95.398200000000003</v>
      </c>
      <c r="D923">
        <v>55.4116</v>
      </c>
      <c r="E923">
        <v>90.670500000000004</v>
      </c>
      <c r="F923">
        <v>70.731700000000004</v>
      </c>
      <c r="G923">
        <v>63.718200000000003</v>
      </c>
      <c r="H923">
        <v>84.283299999999997</v>
      </c>
      <c r="I923">
        <v>81.391199999999998</v>
      </c>
      <c r="J923">
        <v>83.558300000000003</v>
      </c>
      <c r="K923">
        <v>141</v>
      </c>
    </row>
    <row r="924" spans="1:11" x14ac:dyDescent="0.35">
      <c r="A924" s="77">
        <v>35004</v>
      </c>
      <c r="B924">
        <v>72.888400000000004</v>
      </c>
      <c r="C924">
        <v>95.446600000000004</v>
      </c>
      <c r="D924">
        <v>55.6038</v>
      </c>
      <c r="E924">
        <v>90.977199999999996</v>
      </c>
      <c r="F924">
        <v>70.804199999999994</v>
      </c>
      <c r="G924">
        <v>63.871000000000002</v>
      </c>
      <c r="H924">
        <v>85.141599999999997</v>
      </c>
      <c r="I924">
        <v>82.418499999999995</v>
      </c>
      <c r="J924">
        <v>83.403800000000004</v>
      </c>
      <c r="K924">
        <v>141.30000000000001</v>
      </c>
    </row>
    <row r="925" spans="1:11" x14ac:dyDescent="0.35">
      <c r="A925" s="77">
        <v>35034</v>
      </c>
      <c r="B925">
        <v>73.142899999999997</v>
      </c>
      <c r="C925">
        <v>95.798000000000002</v>
      </c>
      <c r="D925">
        <v>56.008899999999997</v>
      </c>
      <c r="E925">
        <v>91.261499999999998</v>
      </c>
      <c r="F925">
        <v>71.097899999999996</v>
      </c>
      <c r="G925">
        <v>64.114500000000007</v>
      </c>
      <c r="H925">
        <v>84.915800000000004</v>
      </c>
      <c r="I925">
        <v>83.054199999999994</v>
      </c>
      <c r="J925">
        <v>83.330100000000002</v>
      </c>
      <c r="K925">
        <v>141.5</v>
      </c>
    </row>
    <row r="926" spans="1:11" x14ac:dyDescent="0.35">
      <c r="A926" s="77">
        <v>35065</v>
      </c>
      <c r="B926">
        <v>72.747100000000003</v>
      </c>
      <c r="C926">
        <v>94.536199999999994</v>
      </c>
      <c r="D926">
        <v>55.412999999999997</v>
      </c>
      <c r="E926">
        <v>90.235200000000006</v>
      </c>
      <c r="F926">
        <v>70.644599999999997</v>
      </c>
      <c r="G926">
        <v>64.107399999999998</v>
      </c>
      <c r="H926">
        <v>83.611199999999997</v>
      </c>
      <c r="I926">
        <v>83.820400000000006</v>
      </c>
      <c r="J926">
        <v>82.509600000000006</v>
      </c>
      <c r="K926">
        <v>141.5</v>
      </c>
    </row>
    <row r="927" spans="1:11" x14ac:dyDescent="0.35">
      <c r="A927" s="77">
        <v>35096</v>
      </c>
      <c r="B927">
        <v>73.787099999999995</v>
      </c>
      <c r="C927">
        <v>95.484499999999997</v>
      </c>
      <c r="D927">
        <v>56.789900000000003</v>
      </c>
      <c r="E927">
        <v>91.598200000000006</v>
      </c>
      <c r="F927">
        <v>71.681700000000006</v>
      </c>
      <c r="G927">
        <v>64.886600000000001</v>
      </c>
      <c r="H927">
        <v>84.896500000000003</v>
      </c>
      <c r="I927">
        <v>84.903800000000004</v>
      </c>
      <c r="J927">
        <v>83.314499999999995</v>
      </c>
      <c r="K927">
        <v>141.6</v>
      </c>
    </row>
    <row r="928" spans="1:11" x14ac:dyDescent="0.35">
      <c r="A928" s="77">
        <v>35125</v>
      </c>
      <c r="B928">
        <v>73.674899999999994</v>
      </c>
      <c r="C928">
        <v>96.651300000000006</v>
      </c>
      <c r="D928">
        <v>56.642000000000003</v>
      </c>
      <c r="E928">
        <v>91.035899999999998</v>
      </c>
      <c r="F928">
        <v>71.495400000000004</v>
      </c>
      <c r="G928">
        <v>64.831199999999995</v>
      </c>
      <c r="H928">
        <v>85.982600000000005</v>
      </c>
      <c r="I928">
        <v>84.669700000000006</v>
      </c>
      <c r="J928">
        <v>82.808099999999996</v>
      </c>
      <c r="K928">
        <v>141.6</v>
      </c>
    </row>
    <row r="929" spans="1:11" x14ac:dyDescent="0.35">
      <c r="A929" s="77">
        <v>35156</v>
      </c>
      <c r="B929">
        <v>74.415300000000002</v>
      </c>
      <c r="C929">
        <v>97.227800000000002</v>
      </c>
      <c r="D929">
        <v>58.036499999999997</v>
      </c>
      <c r="E929">
        <v>91.878299999999996</v>
      </c>
      <c r="F929">
        <v>72.395700000000005</v>
      </c>
      <c r="G929">
        <v>65.463300000000004</v>
      </c>
      <c r="H929">
        <v>86.498999999999995</v>
      </c>
      <c r="I929">
        <v>84.097499999999997</v>
      </c>
      <c r="J929">
        <v>83.254400000000004</v>
      </c>
      <c r="K929">
        <v>141.6</v>
      </c>
    </row>
    <row r="930" spans="1:11" x14ac:dyDescent="0.35">
      <c r="A930" s="77">
        <v>35186</v>
      </c>
      <c r="B930">
        <v>74.971800000000002</v>
      </c>
      <c r="C930">
        <v>98.231200000000001</v>
      </c>
      <c r="D930">
        <v>58.833199999999998</v>
      </c>
      <c r="E930">
        <v>92.023399999999995</v>
      </c>
      <c r="F930">
        <v>72.983099999999993</v>
      </c>
      <c r="G930">
        <v>66.031599999999997</v>
      </c>
      <c r="H930">
        <v>86.174899999999994</v>
      </c>
      <c r="I930">
        <v>84.981099999999998</v>
      </c>
      <c r="J930">
        <v>83.487200000000001</v>
      </c>
      <c r="K930">
        <v>142</v>
      </c>
    </row>
    <row r="931" spans="1:11" x14ac:dyDescent="0.35">
      <c r="A931" s="77">
        <v>35217</v>
      </c>
      <c r="B931">
        <v>75.531700000000001</v>
      </c>
      <c r="C931">
        <v>99.761600000000001</v>
      </c>
      <c r="D931">
        <v>59.692900000000002</v>
      </c>
      <c r="E931">
        <v>92.675399999999996</v>
      </c>
      <c r="F931">
        <v>73.708200000000005</v>
      </c>
      <c r="G931">
        <v>66.509</v>
      </c>
      <c r="H931">
        <v>87.513999999999996</v>
      </c>
      <c r="I931">
        <v>83.851699999999994</v>
      </c>
      <c r="J931">
        <v>83.719200000000001</v>
      </c>
      <c r="K931">
        <v>142.19999999999999</v>
      </c>
    </row>
    <row r="932" spans="1:11" x14ac:dyDescent="0.35">
      <c r="A932" s="77">
        <v>35247</v>
      </c>
      <c r="B932">
        <v>75.532300000000006</v>
      </c>
      <c r="C932">
        <v>99.384600000000006</v>
      </c>
      <c r="D932">
        <v>60.462600000000002</v>
      </c>
      <c r="E932">
        <v>92.180700000000002</v>
      </c>
      <c r="F932">
        <v>74.042599999999993</v>
      </c>
      <c r="G932">
        <v>66.481999999999999</v>
      </c>
      <c r="H932">
        <v>87.100899999999996</v>
      </c>
      <c r="I932">
        <v>80.9649</v>
      </c>
      <c r="J932">
        <v>83.333200000000005</v>
      </c>
      <c r="K932">
        <v>142.19999999999999</v>
      </c>
    </row>
    <row r="933" spans="1:11" x14ac:dyDescent="0.35">
      <c r="A933" s="77">
        <v>35278</v>
      </c>
      <c r="B933">
        <v>75.912899999999993</v>
      </c>
      <c r="C933">
        <v>100.1738</v>
      </c>
      <c r="D933">
        <v>60.738300000000002</v>
      </c>
      <c r="E933">
        <v>91.869299999999996</v>
      </c>
      <c r="F933">
        <v>74.351200000000006</v>
      </c>
      <c r="G933">
        <v>67.082999999999998</v>
      </c>
      <c r="H933">
        <v>87.219499999999996</v>
      </c>
      <c r="I933">
        <v>82.003900000000002</v>
      </c>
      <c r="J933">
        <v>83.366299999999995</v>
      </c>
      <c r="K933">
        <v>142.30000000000001</v>
      </c>
    </row>
    <row r="934" spans="1:11" x14ac:dyDescent="0.35">
      <c r="A934" s="77">
        <v>35309</v>
      </c>
      <c r="B934">
        <v>76.403199999999998</v>
      </c>
      <c r="C934">
        <v>100.5264</v>
      </c>
      <c r="D934">
        <v>61.4313</v>
      </c>
      <c r="E934">
        <v>92.817700000000002</v>
      </c>
      <c r="F934">
        <v>74.985100000000003</v>
      </c>
      <c r="G934">
        <v>67.352099999999993</v>
      </c>
      <c r="H934">
        <v>87.415499999999994</v>
      </c>
      <c r="I934">
        <v>81.660399999999996</v>
      </c>
      <c r="J934">
        <v>83.515000000000001</v>
      </c>
      <c r="K934">
        <v>142.19999999999999</v>
      </c>
    </row>
    <row r="935" spans="1:11" x14ac:dyDescent="0.35">
      <c r="A935" s="77">
        <v>35339</v>
      </c>
      <c r="B935">
        <v>76.393100000000004</v>
      </c>
      <c r="C935">
        <v>100.67189999999999</v>
      </c>
      <c r="D935">
        <v>61.301000000000002</v>
      </c>
      <c r="E935">
        <v>92.305199999999999</v>
      </c>
      <c r="F935">
        <v>74.881600000000006</v>
      </c>
      <c r="G935">
        <v>67.5261</v>
      </c>
      <c r="H935">
        <v>87.027600000000007</v>
      </c>
      <c r="I935">
        <v>82.507400000000004</v>
      </c>
      <c r="J935">
        <v>83.112399999999994</v>
      </c>
      <c r="K935">
        <v>142.30000000000001</v>
      </c>
    </row>
    <row r="936" spans="1:11" x14ac:dyDescent="0.35">
      <c r="A936" s="77">
        <v>35370</v>
      </c>
      <c r="B936">
        <v>77.0672</v>
      </c>
      <c r="C936">
        <v>101.4128</v>
      </c>
      <c r="D936">
        <v>62.211500000000001</v>
      </c>
      <c r="E936">
        <v>93.386200000000002</v>
      </c>
      <c r="F936">
        <v>75.5364</v>
      </c>
      <c r="G936">
        <v>67.9726</v>
      </c>
      <c r="H936">
        <v>86.709299999999999</v>
      </c>
      <c r="I936">
        <v>83.991900000000001</v>
      </c>
      <c r="J936">
        <v>83.446200000000005</v>
      </c>
      <c r="K936">
        <v>142.1</v>
      </c>
    </row>
    <row r="937" spans="1:11" x14ac:dyDescent="0.35">
      <c r="A937" s="77">
        <v>35400</v>
      </c>
      <c r="B937">
        <v>77.554299999999998</v>
      </c>
      <c r="C937">
        <v>100.9579</v>
      </c>
      <c r="D937">
        <v>63.326500000000003</v>
      </c>
      <c r="E937">
        <v>93.607699999999994</v>
      </c>
      <c r="F937">
        <v>76.165800000000004</v>
      </c>
      <c r="G937">
        <v>68.454300000000003</v>
      </c>
      <c r="H937">
        <v>86.872299999999996</v>
      </c>
      <c r="I937">
        <v>83.047700000000006</v>
      </c>
      <c r="J937">
        <v>83.568899999999999</v>
      </c>
      <c r="K937">
        <v>142.30000000000001</v>
      </c>
    </row>
    <row r="938" spans="1:11" x14ac:dyDescent="0.35">
      <c r="A938" s="77">
        <v>35431</v>
      </c>
      <c r="B938">
        <v>77.694500000000005</v>
      </c>
      <c r="C938">
        <v>100.02079999999999</v>
      </c>
      <c r="D938">
        <v>63.670400000000001</v>
      </c>
      <c r="E938">
        <v>93.382800000000003</v>
      </c>
      <c r="F938">
        <v>76.256200000000007</v>
      </c>
      <c r="G938">
        <v>68.711200000000005</v>
      </c>
      <c r="H938">
        <v>86.581400000000002</v>
      </c>
      <c r="I938">
        <v>83.791799999999995</v>
      </c>
      <c r="J938">
        <v>83.319900000000004</v>
      </c>
      <c r="K938">
        <v>142.5</v>
      </c>
    </row>
    <row r="939" spans="1:11" x14ac:dyDescent="0.35">
      <c r="A939" s="77">
        <v>35462</v>
      </c>
      <c r="B939">
        <v>78.611999999999995</v>
      </c>
      <c r="C939">
        <v>102.01519999999999</v>
      </c>
      <c r="D939">
        <v>64.726399999999998</v>
      </c>
      <c r="E939">
        <v>93.898799999999994</v>
      </c>
      <c r="F939">
        <v>77.3018</v>
      </c>
      <c r="G939">
        <v>69.666399999999996</v>
      </c>
      <c r="H939">
        <v>88.199299999999994</v>
      </c>
      <c r="I939">
        <v>82.837599999999995</v>
      </c>
      <c r="J939">
        <v>83.889499999999998</v>
      </c>
      <c r="K939">
        <v>142.4</v>
      </c>
    </row>
    <row r="940" spans="1:11" x14ac:dyDescent="0.35">
      <c r="A940" s="77">
        <v>35490</v>
      </c>
      <c r="B940">
        <v>79.102099999999993</v>
      </c>
      <c r="C940">
        <v>102.8965</v>
      </c>
      <c r="D940">
        <v>65.677899999999994</v>
      </c>
      <c r="E940">
        <v>94.5642</v>
      </c>
      <c r="F940">
        <v>78.077500000000001</v>
      </c>
      <c r="G940">
        <v>69.956100000000006</v>
      </c>
      <c r="H940">
        <v>88.414199999999994</v>
      </c>
      <c r="I940">
        <v>81.031400000000005</v>
      </c>
      <c r="J940">
        <v>83.990300000000005</v>
      </c>
      <c r="K940">
        <v>142.6</v>
      </c>
    </row>
    <row r="941" spans="1:11" x14ac:dyDescent="0.35">
      <c r="A941" s="77">
        <v>35521</v>
      </c>
      <c r="B941">
        <v>79.168300000000002</v>
      </c>
      <c r="C941">
        <v>102.6622</v>
      </c>
      <c r="D941">
        <v>66.219300000000004</v>
      </c>
      <c r="E941">
        <v>93.620800000000003</v>
      </c>
      <c r="F941">
        <v>77.973299999999995</v>
      </c>
      <c r="G941">
        <v>70.265799999999999</v>
      </c>
      <c r="H941">
        <v>87.673199999999994</v>
      </c>
      <c r="I941">
        <v>82.918000000000006</v>
      </c>
      <c r="J941">
        <v>83.633300000000006</v>
      </c>
      <c r="K941">
        <v>142.6</v>
      </c>
    </row>
    <row r="942" spans="1:11" x14ac:dyDescent="0.35">
      <c r="A942" s="77">
        <v>35551</v>
      </c>
      <c r="B942">
        <v>79.608400000000003</v>
      </c>
      <c r="C942">
        <v>103.1818</v>
      </c>
      <c r="D942">
        <v>66.992900000000006</v>
      </c>
      <c r="E942">
        <v>94.327100000000002</v>
      </c>
      <c r="F942">
        <v>78.532399999999996</v>
      </c>
      <c r="G942">
        <v>70.518799999999999</v>
      </c>
      <c r="H942">
        <v>88.758300000000006</v>
      </c>
      <c r="I942">
        <v>81.7898</v>
      </c>
      <c r="J942">
        <v>83.657300000000006</v>
      </c>
      <c r="K942">
        <v>142.4</v>
      </c>
    </row>
    <row r="943" spans="1:11" x14ac:dyDescent="0.35">
      <c r="A943" s="77">
        <v>35582</v>
      </c>
      <c r="B943">
        <v>79.980199999999996</v>
      </c>
      <c r="C943">
        <v>103.0868</v>
      </c>
      <c r="D943">
        <v>68.104799999999997</v>
      </c>
      <c r="E943">
        <v>94.256</v>
      </c>
      <c r="F943">
        <v>79.019800000000004</v>
      </c>
      <c r="G943">
        <v>70.953500000000005</v>
      </c>
      <c r="H943">
        <v>88.229299999999995</v>
      </c>
      <c r="I943">
        <v>81.410499999999999</v>
      </c>
      <c r="J943">
        <v>83.590400000000002</v>
      </c>
      <c r="K943">
        <v>142.4</v>
      </c>
    </row>
    <row r="944" spans="1:11" x14ac:dyDescent="0.35">
      <c r="A944" s="77">
        <v>35612</v>
      </c>
      <c r="B944">
        <v>80.649199999999993</v>
      </c>
      <c r="C944">
        <v>103.137</v>
      </c>
      <c r="D944">
        <v>68.527500000000003</v>
      </c>
      <c r="E944">
        <v>95.162599999999998</v>
      </c>
      <c r="F944">
        <v>79.601299999999995</v>
      </c>
      <c r="G944">
        <v>71.588499999999996</v>
      </c>
      <c r="H944">
        <v>88.224100000000007</v>
      </c>
      <c r="I944">
        <v>83.15</v>
      </c>
      <c r="J944">
        <v>83.815700000000007</v>
      </c>
      <c r="K944">
        <v>142.19999999999999</v>
      </c>
    </row>
    <row r="945" spans="1:11" x14ac:dyDescent="0.35">
      <c r="A945" s="77">
        <v>35643</v>
      </c>
      <c r="B945">
        <v>81.454800000000006</v>
      </c>
      <c r="C945">
        <v>103.88930000000001</v>
      </c>
      <c r="D945">
        <v>70.021900000000002</v>
      </c>
      <c r="E945">
        <v>95.975099999999998</v>
      </c>
      <c r="F945">
        <v>80.607900000000001</v>
      </c>
      <c r="G945">
        <v>72.319500000000005</v>
      </c>
      <c r="H945">
        <v>88.243799999999993</v>
      </c>
      <c r="I945">
        <v>82.786799999999999</v>
      </c>
      <c r="J945">
        <v>84.158000000000001</v>
      </c>
      <c r="K945">
        <v>142.30000000000001</v>
      </c>
    </row>
    <row r="946" spans="1:11" x14ac:dyDescent="0.35">
      <c r="A946" s="77">
        <v>35674</v>
      </c>
      <c r="B946">
        <v>82.212000000000003</v>
      </c>
      <c r="C946">
        <v>104.35550000000001</v>
      </c>
      <c r="D946">
        <v>70.613900000000001</v>
      </c>
      <c r="E946">
        <v>96.706999999999994</v>
      </c>
      <c r="F946">
        <v>81.333200000000005</v>
      </c>
      <c r="G946">
        <v>73.106999999999999</v>
      </c>
      <c r="H946">
        <v>88.901399999999995</v>
      </c>
      <c r="I946">
        <v>83.736699999999999</v>
      </c>
      <c r="J946">
        <v>84.426900000000003</v>
      </c>
      <c r="K946">
        <v>142.6</v>
      </c>
    </row>
    <row r="947" spans="1:11" x14ac:dyDescent="0.35">
      <c r="A947" s="77">
        <v>35704</v>
      </c>
      <c r="B947">
        <v>82.930899999999994</v>
      </c>
      <c r="C947">
        <v>104.95350000000001</v>
      </c>
      <c r="D947">
        <v>71.600899999999996</v>
      </c>
      <c r="E947">
        <v>98.200599999999994</v>
      </c>
      <c r="F947">
        <v>82.057000000000002</v>
      </c>
      <c r="G947">
        <v>73.361099999999993</v>
      </c>
      <c r="H947">
        <v>88.084199999999996</v>
      </c>
      <c r="I947">
        <v>85.244600000000005</v>
      </c>
      <c r="J947">
        <v>84.633899999999997</v>
      </c>
      <c r="K947">
        <v>142.6</v>
      </c>
    </row>
    <row r="948" spans="1:11" x14ac:dyDescent="0.35">
      <c r="A948" s="77">
        <v>35735</v>
      </c>
      <c r="B948">
        <v>83.591899999999995</v>
      </c>
      <c r="C948">
        <v>105.27670000000001</v>
      </c>
      <c r="D948">
        <v>72.877600000000001</v>
      </c>
      <c r="E948">
        <v>98.416700000000006</v>
      </c>
      <c r="F948">
        <v>82.916499999999999</v>
      </c>
      <c r="G948">
        <v>74.172499999999999</v>
      </c>
      <c r="H948">
        <v>87.573400000000007</v>
      </c>
      <c r="I948">
        <v>85.168800000000005</v>
      </c>
      <c r="J948">
        <v>84.762900000000002</v>
      </c>
      <c r="K948">
        <v>142.4</v>
      </c>
    </row>
    <row r="949" spans="1:11" x14ac:dyDescent="0.35">
      <c r="A949" s="77">
        <v>35765</v>
      </c>
      <c r="B949">
        <v>83.9696</v>
      </c>
      <c r="C949">
        <v>106.7137</v>
      </c>
      <c r="D949">
        <v>73.400999999999996</v>
      </c>
      <c r="E949">
        <v>98.115399999999994</v>
      </c>
      <c r="F949">
        <v>83.389200000000002</v>
      </c>
      <c r="G949">
        <v>74.698700000000002</v>
      </c>
      <c r="H949">
        <v>88.023600000000002</v>
      </c>
      <c r="I949">
        <v>84.802099999999996</v>
      </c>
      <c r="J949">
        <v>84.594399999999993</v>
      </c>
      <c r="K949">
        <v>142.30000000000001</v>
      </c>
    </row>
    <row r="950" spans="1:11" x14ac:dyDescent="0.35">
      <c r="A950" s="77">
        <v>35796</v>
      </c>
      <c r="B950">
        <v>84.346699999999998</v>
      </c>
      <c r="C950">
        <v>107.3002</v>
      </c>
      <c r="D950">
        <v>74.3673</v>
      </c>
      <c r="E950">
        <v>98.555800000000005</v>
      </c>
      <c r="F950">
        <v>84.085499999999996</v>
      </c>
      <c r="G950">
        <v>74.917500000000004</v>
      </c>
      <c r="H950">
        <v>90.415599999999998</v>
      </c>
      <c r="I950">
        <v>81.4268</v>
      </c>
      <c r="J950">
        <v>84.419399999999996</v>
      </c>
      <c r="K950">
        <v>142.4</v>
      </c>
    </row>
    <row r="951" spans="1:11" x14ac:dyDescent="0.35">
      <c r="A951" s="77">
        <v>35827</v>
      </c>
      <c r="B951">
        <v>84.486500000000007</v>
      </c>
      <c r="C951">
        <v>107.97369999999999</v>
      </c>
      <c r="D951">
        <v>74.691299999999998</v>
      </c>
      <c r="E951">
        <v>98.426599999999993</v>
      </c>
      <c r="F951">
        <v>84.185900000000004</v>
      </c>
      <c r="G951">
        <v>74.998199999999997</v>
      </c>
      <c r="H951">
        <v>89.139799999999994</v>
      </c>
      <c r="I951">
        <v>82.359200000000001</v>
      </c>
      <c r="J951">
        <v>84.0077</v>
      </c>
      <c r="K951">
        <v>142.6</v>
      </c>
    </row>
    <row r="952" spans="1:11" x14ac:dyDescent="0.35">
      <c r="A952" s="77">
        <v>35855</v>
      </c>
      <c r="B952">
        <v>84.521199999999993</v>
      </c>
      <c r="C952">
        <v>107.2033</v>
      </c>
      <c r="D952">
        <v>75.062299999999993</v>
      </c>
      <c r="E952">
        <v>98.507900000000006</v>
      </c>
      <c r="F952">
        <v>84.006399999999999</v>
      </c>
      <c r="G952">
        <v>74.927899999999994</v>
      </c>
      <c r="H952">
        <v>87.815200000000004</v>
      </c>
      <c r="I952">
        <v>84.829099999999997</v>
      </c>
      <c r="J952">
        <v>83.496300000000005</v>
      </c>
      <c r="K952">
        <v>143.30000000000001</v>
      </c>
    </row>
    <row r="953" spans="1:11" x14ac:dyDescent="0.35">
      <c r="A953" s="77">
        <v>35886</v>
      </c>
      <c r="B953">
        <v>84.827500000000001</v>
      </c>
      <c r="C953">
        <v>107.6558</v>
      </c>
      <c r="D953">
        <v>75.271199999999993</v>
      </c>
      <c r="E953">
        <v>99.132400000000004</v>
      </c>
      <c r="F953">
        <v>84.402199999999993</v>
      </c>
      <c r="G953">
        <v>75.118300000000005</v>
      </c>
      <c r="H953">
        <v>88.381600000000006</v>
      </c>
      <c r="I953">
        <v>84.031499999999994</v>
      </c>
      <c r="J953">
        <v>83.263300000000001</v>
      </c>
      <c r="K953">
        <v>143.4</v>
      </c>
    </row>
    <row r="954" spans="1:11" x14ac:dyDescent="0.35">
      <c r="A954" s="77">
        <v>35916</v>
      </c>
      <c r="B954">
        <v>85.3596</v>
      </c>
      <c r="C954">
        <v>108.9911</v>
      </c>
      <c r="D954">
        <v>75.7042</v>
      </c>
      <c r="E954">
        <v>99.504999999999995</v>
      </c>
      <c r="F954">
        <v>84.8416</v>
      </c>
      <c r="G954">
        <v>75.649500000000003</v>
      </c>
      <c r="H954">
        <v>88.623699999999999</v>
      </c>
      <c r="I954">
        <v>85.697299999999998</v>
      </c>
      <c r="J954">
        <v>83.2637</v>
      </c>
      <c r="K954">
        <v>143.5</v>
      </c>
    </row>
    <row r="955" spans="1:11" x14ac:dyDescent="0.35">
      <c r="A955" s="77">
        <v>35947</v>
      </c>
      <c r="B955">
        <v>84.846599999999995</v>
      </c>
      <c r="C955">
        <v>108.54770000000001</v>
      </c>
      <c r="D955">
        <v>75.781700000000001</v>
      </c>
      <c r="E955">
        <v>98.472399999999993</v>
      </c>
      <c r="F955">
        <v>84.154700000000005</v>
      </c>
      <c r="G955">
        <v>75.0745</v>
      </c>
      <c r="H955">
        <v>86.763300000000001</v>
      </c>
      <c r="I955">
        <v>87.102599999999995</v>
      </c>
      <c r="J955">
        <v>82.267399999999995</v>
      </c>
      <c r="K955">
        <v>143.5</v>
      </c>
    </row>
    <row r="956" spans="1:11" x14ac:dyDescent="0.35">
      <c r="A956" s="77">
        <v>35977</v>
      </c>
      <c r="B956">
        <v>84.506100000000004</v>
      </c>
      <c r="C956">
        <v>109.2122</v>
      </c>
      <c r="D956">
        <v>75.317300000000003</v>
      </c>
      <c r="E956">
        <v>97.5946</v>
      </c>
      <c r="F956">
        <v>83.724400000000003</v>
      </c>
      <c r="G956">
        <v>74.707599999999999</v>
      </c>
      <c r="H956">
        <v>85.726600000000005</v>
      </c>
      <c r="I956">
        <v>87.366</v>
      </c>
      <c r="J956">
        <v>81.478200000000001</v>
      </c>
      <c r="K956">
        <v>143.80000000000001</v>
      </c>
    </row>
    <row r="957" spans="1:11" x14ac:dyDescent="0.35">
      <c r="A957" s="77">
        <v>36008</v>
      </c>
      <c r="B957">
        <v>86.246399999999994</v>
      </c>
      <c r="C957">
        <v>109.5201</v>
      </c>
      <c r="D957">
        <v>77.593900000000005</v>
      </c>
      <c r="E957">
        <v>100.3429</v>
      </c>
      <c r="F957">
        <v>85.864400000000003</v>
      </c>
      <c r="G957">
        <v>76.210400000000007</v>
      </c>
      <c r="H957">
        <v>86.055300000000003</v>
      </c>
      <c r="I957">
        <v>86.868200000000002</v>
      </c>
      <c r="J957">
        <v>82.712999999999994</v>
      </c>
      <c r="K957">
        <v>143.80000000000001</v>
      </c>
    </row>
    <row r="958" spans="1:11" x14ac:dyDescent="0.35">
      <c r="A958" s="77">
        <v>36039</v>
      </c>
      <c r="B958">
        <v>86.170699999999997</v>
      </c>
      <c r="C958">
        <v>109.2503</v>
      </c>
      <c r="D958">
        <v>77.634900000000002</v>
      </c>
      <c r="E958">
        <v>99.647499999999994</v>
      </c>
      <c r="F958">
        <v>85.803299999999993</v>
      </c>
      <c r="G958">
        <v>76.3673</v>
      </c>
      <c r="H958">
        <v>83.401300000000006</v>
      </c>
      <c r="I958">
        <v>88.317300000000003</v>
      </c>
      <c r="J958">
        <v>82.218999999999994</v>
      </c>
      <c r="K958">
        <v>144</v>
      </c>
    </row>
    <row r="959" spans="1:11" x14ac:dyDescent="0.35">
      <c r="A959" s="77">
        <v>36069</v>
      </c>
      <c r="B959">
        <v>86.767099999999999</v>
      </c>
      <c r="C959">
        <v>110.1781</v>
      </c>
      <c r="D959">
        <v>78.498199999999997</v>
      </c>
      <c r="E959">
        <v>100.01139999999999</v>
      </c>
      <c r="F959">
        <v>86.548299999999998</v>
      </c>
      <c r="G959">
        <v>77.032499999999999</v>
      </c>
      <c r="H959">
        <v>84.224100000000007</v>
      </c>
      <c r="I959">
        <v>87.412499999999994</v>
      </c>
      <c r="J959">
        <v>82.382999999999996</v>
      </c>
      <c r="K959">
        <v>144.19999999999999</v>
      </c>
    </row>
    <row r="960" spans="1:11" x14ac:dyDescent="0.35">
      <c r="A960" s="77">
        <v>36100</v>
      </c>
      <c r="B960">
        <v>86.692899999999995</v>
      </c>
      <c r="C960">
        <v>110.3879</v>
      </c>
      <c r="D960">
        <v>78.501099999999994</v>
      </c>
      <c r="E960">
        <v>99.335400000000007</v>
      </c>
      <c r="F960">
        <v>86.6571</v>
      </c>
      <c r="G960">
        <v>77.150099999999995</v>
      </c>
      <c r="H960">
        <v>84.489199999999997</v>
      </c>
      <c r="I960">
        <v>85.188400000000001</v>
      </c>
      <c r="J960">
        <v>81.9221</v>
      </c>
      <c r="K960">
        <v>144.30000000000001</v>
      </c>
    </row>
    <row r="961" spans="1:11" x14ac:dyDescent="0.35">
      <c r="A961" s="77">
        <v>36130</v>
      </c>
      <c r="B961">
        <v>87.063299999999998</v>
      </c>
      <c r="C961">
        <v>111.81959999999999</v>
      </c>
      <c r="D961">
        <v>78.677300000000002</v>
      </c>
      <c r="E961">
        <v>99.3904</v>
      </c>
      <c r="F961">
        <v>87.195300000000003</v>
      </c>
      <c r="G961">
        <v>77.780199999999994</v>
      </c>
      <c r="H961">
        <v>82.532799999999995</v>
      </c>
      <c r="I961">
        <v>85.385099999999994</v>
      </c>
      <c r="J961">
        <v>81.8964</v>
      </c>
      <c r="K961">
        <v>145.80000000000001</v>
      </c>
    </row>
    <row r="962" spans="1:11" x14ac:dyDescent="0.35">
      <c r="A962" s="77">
        <v>36161</v>
      </c>
      <c r="B962">
        <v>87.425200000000004</v>
      </c>
      <c r="C962">
        <v>111.0729</v>
      </c>
      <c r="D962">
        <v>78.625900000000001</v>
      </c>
      <c r="E962">
        <v>100.401</v>
      </c>
      <c r="F962">
        <v>87.441500000000005</v>
      </c>
      <c r="G962">
        <v>77.974800000000002</v>
      </c>
      <c r="H962">
        <v>82.465299999999999</v>
      </c>
      <c r="I962">
        <v>87.359899999999996</v>
      </c>
      <c r="J962">
        <v>81.874700000000004</v>
      </c>
      <c r="K962">
        <v>145.6</v>
      </c>
    </row>
    <row r="963" spans="1:11" x14ac:dyDescent="0.35">
      <c r="A963" s="77">
        <v>36192</v>
      </c>
      <c r="B963">
        <v>87.926000000000002</v>
      </c>
      <c r="C963">
        <v>111.2581</v>
      </c>
      <c r="D963">
        <v>79.2667</v>
      </c>
      <c r="E963">
        <v>100.8216</v>
      </c>
      <c r="F963">
        <v>88.245000000000005</v>
      </c>
      <c r="G963">
        <v>78.534700000000001</v>
      </c>
      <c r="H963">
        <v>81.841700000000003</v>
      </c>
      <c r="I963">
        <v>85.936300000000003</v>
      </c>
      <c r="J963">
        <v>81.992400000000004</v>
      </c>
      <c r="K963">
        <v>145.69999999999999</v>
      </c>
    </row>
    <row r="964" spans="1:11" x14ac:dyDescent="0.35">
      <c r="A964" s="77">
        <v>36220</v>
      </c>
      <c r="B964">
        <v>88.110100000000003</v>
      </c>
      <c r="C964">
        <v>110.1279</v>
      </c>
      <c r="D964">
        <v>79.240399999999994</v>
      </c>
      <c r="E964">
        <v>100.6028</v>
      </c>
      <c r="F964">
        <v>88.2119</v>
      </c>
      <c r="G964">
        <v>79.070400000000006</v>
      </c>
      <c r="H964">
        <v>81.200100000000006</v>
      </c>
      <c r="I964">
        <v>88.521500000000003</v>
      </c>
      <c r="J964">
        <v>81.826300000000003</v>
      </c>
      <c r="K964">
        <v>145.69999999999999</v>
      </c>
    </row>
    <row r="965" spans="1:11" x14ac:dyDescent="0.35">
      <c r="A965" s="77">
        <v>36251</v>
      </c>
      <c r="B965">
        <v>88.310599999999994</v>
      </c>
      <c r="C965">
        <v>110.47410000000001</v>
      </c>
      <c r="D965">
        <v>79.656300000000002</v>
      </c>
      <c r="E965">
        <v>100.4738</v>
      </c>
      <c r="F965">
        <v>88.558099999999996</v>
      </c>
      <c r="G965">
        <v>79.430999999999997</v>
      </c>
      <c r="H965">
        <v>80.941800000000001</v>
      </c>
      <c r="I965">
        <v>87.906099999999995</v>
      </c>
      <c r="J965">
        <v>81.688800000000001</v>
      </c>
      <c r="K965">
        <v>145.69999999999999</v>
      </c>
    </row>
    <row r="966" spans="1:11" x14ac:dyDescent="0.35">
      <c r="A966" s="77">
        <v>36281</v>
      </c>
      <c r="B966">
        <v>88.848699999999994</v>
      </c>
      <c r="C966">
        <v>110.72069999999999</v>
      </c>
      <c r="D966">
        <v>80.491500000000002</v>
      </c>
      <c r="E966">
        <v>101.3797</v>
      </c>
      <c r="F966">
        <v>89.287499999999994</v>
      </c>
      <c r="G966">
        <v>79.820599999999999</v>
      </c>
      <c r="H966">
        <v>80.948599999999999</v>
      </c>
      <c r="I966">
        <v>87.156499999999994</v>
      </c>
      <c r="J966">
        <v>81.871899999999997</v>
      </c>
      <c r="K966">
        <v>145.69999999999999</v>
      </c>
    </row>
    <row r="967" spans="1:11" x14ac:dyDescent="0.35">
      <c r="A967" s="77">
        <v>36312</v>
      </c>
      <c r="B967">
        <v>88.797799999999995</v>
      </c>
      <c r="C967">
        <v>110.8252</v>
      </c>
      <c r="D967">
        <v>80.268000000000001</v>
      </c>
      <c r="E967">
        <v>100.4316</v>
      </c>
      <c r="F967">
        <v>89.093599999999995</v>
      </c>
      <c r="G967">
        <v>80.269400000000005</v>
      </c>
      <c r="H967">
        <v>81.241399999999999</v>
      </c>
      <c r="I967">
        <v>88.414199999999994</v>
      </c>
      <c r="J967">
        <v>81.519099999999995</v>
      </c>
      <c r="K967">
        <v>145.80000000000001</v>
      </c>
    </row>
    <row r="968" spans="1:11" x14ac:dyDescent="0.35">
      <c r="A968" s="77">
        <v>36342</v>
      </c>
      <c r="B968">
        <v>89.311899999999994</v>
      </c>
      <c r="C968">
        <v>111.57080000000001</v>
      </c>
      <c r="D968">
        <v>80.832499999999996</v>
      </c>
      <c r="E968">
        <v>100.06959999999999</v>
      </c>
      <c r="F968">
        <v>89.510599999999997</v>
      </c>
      <c r="G968">
        <v>81.244299999999996</v>
      </c>
      <c r="H968">
        <v>81.996899999999997</v>
      </c>
      <c r="I968">
        <v>90.321399999999997</v>
      </c>
      <c r="J968">
        <v>81.693399999999997</v>
      </c>
      <c r="K968">
        <v>145.80000000000001</v>
      </c>
    </row>
    <row r="969" spans="1:11" x14ac:dyDescent="0.35">
      <c r="A969" s="77">
        <v>36373</v>
      </c>
      <c r="B969">
        <v>89.710899999999995</v>
      </c>
      <c r="C969">
        <v>111.559</v>
      </c>
      <c r="D969">
        <v>81.3904</v>
      </c>
      <c r="E969">
        <v>101.3493</v>
      </c>
      <c r="F969">
        <v>89.982200000000006</v>
      </c>
      <c r="G969">
        <v>81.256299999999996</v>
      </c>
      <c r="H969">
        <v>82.089699999999993</v>
      </c>
      <c r="I969">
        <v>89.2136</v>
      </c>
      <c r="J969">
        <v>81.760900000000007</v>
      </c>
      <c r="K969">
        <v>145.69999999999999</v>
      </c>
    </row>
    <row r="970" spans="1:11" x14ac:dyDescent="0.35">
      <c r="A970" s="77">
        <v>36404</v>
      </c>
      <c r="B970">
        <v>89.333100000000002</v>
      </c>
      <c r="C970">
        <v>111.6039</v>
      </c>
      <c r="D970">
        <v>81.022300000000001</v>
      </c>
      <c r="E970">
        <v>100.55759999999999</v>
      </c>
      <c r="F970">
        <v>89.570700000000002</v>
      </c>
      <c r="G970">
        <v>81.036600000000007</v>
      </c>
      <c r="H970">
        <v>82.013599999999997</v>
      </c>
      <c r="I970">
        <v>88.62</v>
      </c>
      <c r="J970">
        <v>81.125200000000007</v>
      </c>
      <c r="K970">
        <v>146.5</v>
      </c>
    </row>
    <row r="971" spans="1:11" x14ac:dyDescent="0.35">
      <c r="A971" s="77">
        <v>36434</v>
      </c>
      <c r="B971">
        <v>90.492400000000004</v>
      </c>
      <c r="C971">
        <v>112.98390000000001</v>
      </c>
      <c r="D971">
        <v>81.685199999999995</v>
      </c>
      <c r="E971">
        <v>102.5164</v>
      </c>
      <c r="F971">
        <v>90.940700000000007</v>
      </c>
      <c r="G971">
        <v>82.019499999999994</v>
      </c>
      <c r="H971">
        <v>82.831299999999999</v>
      </c>
      <c r="I971">
        <v>88.335300000000004</v>
      </c>
      <c r="J971">
        <v>81.886399999999995</v>
      </c>
      <c r="K971">
        <v>146.9</v>
      </c>
    </row>
    <row r="972" spans="1:11" x14ac:dyDescent="0.35">
      <c r="A972" s="77">
        <v>36465</v>
      </c>
      <c r="B972">
        <v>90.965000000000003</v>
      </c>
      <c r="C972">
        <v>113.6375</v>
      </c>
      <c r="D972">
        <v>81.791399999999996</v>
      </c>
      <c r="E972">
        <v>102.4432</v>
      </c>
      <c r="F972">
        <v>91.546999999999997</v>
      </c>
      <c r="G972">
        <v>82.897999999999996</v>
      </c>
      <c r="H972">
        <v>83.716999999999999</v>
      </c>
      <c r="I972">
        <v>87.062299999999993</v>
      </c>
      <c r="J972">
        <v>82.025300000000001</v>
      </c>
      <c r="K972">
        <v>146.9</v>
      </c>
    </row>
    <row r="973" spans="1:11" x14ac:dyDescent="0.35">
      <c r="A973" s="77">
        <v>36495</v>
      </c>
      <c r="B973">
        <v>91.680400000000006</v>
      </c>
      <c r="C973">
        <v>114.7782</v>
      </c>
      <c r="D973">
        <v>82.462299999999999</v>
      </c>
      <c r="E973">
        <v>103.5578</v>
      </c>
      <c r="F973">
        <v>92.207599999999999</v>
      </c>
      <c r="G973">
        <v>83.422499999999999</v>
      </c>
      <c r="H973">
        <v>84.385199999999998</v>
      </c>
      <c r="I973">
        <v>88.567700000000002</v>
      </c>
      <c r="J973">
        <v>82.384</v>
      </c>
      <c r="K973">
        <v>147</v>
      </c>
    </row>
    <row r="974" spans="1:11" x14ac:dyDescent="0.35">
      <c r="A974" s="77">
        <v>36526</v>
      </c>
      <c r="B974">
        <v>91.626099999999994</v>
      </c>
      <c r="C974">
        <v>115.1358</v>
      </c>
      <c r="D974">
        <v>83.721900000000005</v>
      </c>
      <c r="E974">
        <v>102.2092</v>
      </c>
      <c r="F974">
        <v>92.276399999999995</v>
      </c>
      <c r="G974">
        <v>83.616699999999994</v>
      </c>
      <c r="H974">
        <v>83.336100000000002</v>
      </c>
      <c r="I974">
        <v>88.474900000000005</v>
      </c>
      <c r="J974">
        <v>82.052800000000005</v>
      </c>
      <c r="K974">
        <v>146.80000000000001</v>
      </c>
    </row>
    <row r="975" spans="1:11" x14ac:dyDescent="0.35">
      <c r="A975" s="77">
        <v>36557</v>
      </c>
      <c r="B975">
        <v>91.962599999999995</v>
      </c>
      <c r="C975">
        <v>115.4297</v>
      </c>
      <c r="D975">
        <v>84.365099999999998</v>
      </c>
      <c r="E975">
        <v>102.97499999999999</v>
      </c>
      <c r="F975">
        <v>92.566900000000004</v>
      </c>
      <c r="G975">
        <v>83.767200000000003</v>
      </c>
      <c r="H975">
        <v>83.787000000000006</v>
      </c>
      <c r="I975">
        <v>89.627799999999993</v>
      </c>
      <c r="J975">
        <v>82.073300000000003</v>
      </c>
      <c r="K975">
        <v>147.30000000000001</v>
      </c>
    </row>
    <row r="976" spans="1:11" x14ac:dyDescent="0.35">
      <c r="A976" s="77">
        <v>36586</v>
      </c>
      <c r="B976">
        <v>92.311800000000005</v>
      </c>
      <c r="C976">
        <v>115.54510000000001</v>
      </c>
      <c r="D976">
        <v>85.528499999999994</v>
      </c>
      <c r="E976">
        <v>102.5934</v>
      </c>
      <c r="F976">
        <v>93.194900000000004</v>
      </c>
      <c r="G976">
        <v>84.263300000000001</v>
      </c>
      <c r="H976">
        <v>84.616799999999998</v>
      </c>
      <c r="I976">
        <v>87.163799999999995</v>
      </c>
      <c r="J976">
        <v>82.1053</v>
      </c>
      <c r="K976">
        <v>147.4</v>
      </c>
    </row>
    <row r="977" spans="1:11" x14ac:dyDescent="0.35">
      <c r="A977" s="77">
        <v>36617</v>
      </c>
      <c r="B977">
        <v>92.887200000000007</v>
      </c>
      <c r="C977">
        <v>115.9894</v>
      </c>
      <c r="D977">
        <v>86.474999999999994</v>
      </c>
      <c r="E977">
        <v>103.45489999999999</v>
      </c>
      <c r="F977">
        <v>93.805099999999996</v>
      </c>
      <c r="G977">
        <v>84.588899999999995</v>
      </c>
      <c r="H977">
        <v>83.607500000000002</v>
      </c>
      <c r="I977">
        <v>89.031000000000006</v>
      </c>
      <c r="J977">
        <v>82.338700000000003</v>
      </c>
      <c r="K977">
        <v>147.4</v>
      </c>
    </row>
    <row r="978" spans="1:11" x14ac:dyDescent="0.35">
      <c r="A978" s="77">
        <v>36647</v>
      </c>
      <c r="B978">
        <v>93.162000000000006</v>
      </c>
      <c r="C978">
        <v>114.3001</v>
      </c>
      <c r="D978">
        <v>87.251800000000003</v>
      </c>
      <c r="E978">
        <v>103.6429</v>
      </c>
      <c r="F978">
        <v>93.881500000000003</v>
      </c>
      <c r="G978">
        <v>84.988900000000001</v>
      </c>
      <c r="H978">
        <v>83.3506</v>
      </c>
      <c r="I978">
        <v>92.330200000000005</v>
      </c>
      <c r="J978">
        <v>82.305499999999995</v>
      </c>
      <c r="K978">
        <v>147.80000000000001</v>
      </c>
    </row>
    <row r="979" spans="1:11" x14ac:dyDescent="0.35">
      <c r="A979" s="77">
        <v>36678</v>
      </c>
      <c r="B979">
        <v>93.216800000000006</v>
      </c>
      <c r="C979">
        <v>113.7782</v>
      </c>
      <c r="D979">
        <v>87.361400000000003</v>
      </c>
      <c r="E979">
        <v>103.727</v>
      </c>
      <c r="F979">
        <v>94.015900000000002</v>
      </c>
      <c r="G979">
        <v>85.092500000000001</v>
      </c>
      <c r="H979">
        <v>83.867699999999999</v>
      </c>
      <c r="I979">
        <v>90.976100000000002</v>
      </c>
      <c r="J979">
        <v>82.079899999999995</v>
      </c>
      <c r="K979">
        <v>147.80000000000001</v>
      </c>
    </row>
    <row r="980" spans="1:11" x14ac:dyDescent="0.35">
      <c r="A980" s="77">
        <v>36708</v>
      </c>
      <c r="B980">
        <v>93.04</v>
      </c>
      <c r="C980">
        <v>114.325</v>
      </c>
      <c r="D980">
        <v>87.881299999999996</v>
      </c>
      <c r="E980">
        <v>103.2899</v>
      </c>
      <c r="F980">
        <v>94.093000000000004</v>
      </c>
      <c r="G980">
        <v>84.702600000000004</v>
      </c>
      <c r="H980">
        <v>83.818399999999997</v>
      </c>
      <c r="I980">
        <v>88.276200000000003</v>
      </c>
      <c r="J980">
        <v>81.655199999999994</v>
      </c>
      <c r="K980">
        <v>148.1</v>
      </c>
    </row>
    <row r="981" spans="1:11" x14ac:dyDescent="0.35">
      <c r="A981" s="77">
        <v>36739</v>
      </c>
      <c r="B981">
        <v>92.79</v>
      </c>
      <c r="C981">
        <v>113.47280000000001</v>
      </c>
      <c r="D981">
        <v>87.456100000000006</v>
      </c>
      <c r="E981">
        <v>102.7901</v>
      </c>
      <c r="F981">
        <v>93.496899999999997</v>
      </c>
      <c r="G981">
        <v>84.738699999999994</v>
      </c>
      <c r="H981">
        <v>84.381500000000003</v>
      </c>
      <c r="I981">
        <v>90.867800000000003</v>
      </c>
      <c r="J981">
        <v>81.169700000000006</v>
      </c>
      <c r="K981">
        <v>148.19999999999999</v>
      </c>
    </row>
    <row r="982" spans="1:11" x14ac:dyDescent="0.35">
      <c r="A982" s="77">
        <v>36770</v>
      </c>
      <c r="B982">
        <v>93.154700000000005</v>
      </c>
      <c r="C982">
        <v>113.62649999999999</v>
      </c>
      <c r="D982">
        <v>88.231499999999997</v>
      </c>
      <c r="E982">
        <v>103.7769</v>
      </c>
      <c r="F982">
        <v>93.942599999999999</v>
      </c>
      <c r="G982">
        <v>84.912599999999998</v>
      </c>
      <c r="H982">
        <v>84.020099999999999</v>
      </c>
      <c r="I982">
        <v>91.303299999999993</v>
      </c>
      <c r="J982">
        <v>81.223399999999998</v>
      </c>
      <c r="K982">
        <v>148.6</v>
      </c>
    </row>
    <row r="983" spans="1:11" x14ac:dyDescent="0.35">
      <c r="A983" s="77">
        <v>36800</v>
      </c>
      <c r="B983">
        <v>92.836100000000002</v>
      </c>
      <c r="C983">
        <v>113.23</v>
      </c>
      <c r="D983">
        <v>88.269300000000001</v>
      </c>
      <c r="E983">
        <v>102.6825</v>
      </c>
      <c r="F983">
        <v>93.668899999999994</v>
      </c>
      <c r="G983">
        <v>84.807100000000005</v>
      </c>
      <c r="H983">
        <v>84.572299999999998</v>
      </c>
      <c r="I983">
        <v>90.394000000000005</v>
      </c>
      <c r="J983">
        <v>80.682299999999998</v>
      </c>
      <c r="K983">
        <v>148.5</v>
      </c>
    </row>
    <row r="984" spans="1:11" x14ac:dyDescent="0.35">
      <c r="A984" s="77">
        <v>36831</v>
      </c>
      <c r="B984">
        <v>92.839500000000001</v>
      </c>
      <c r="C984">
        <v>112.93219999999999</v>
      </c>
      <c r="D984">
        <v>88.028599999999997</v>
      </c>
      <c r="E984">
        <v>102.9923</v>
      </c>
      <c r="F984">
        <v>93.4114</v>
      </c>
      <c r="G984">
        <v>84.62</v>
      </c>
      <c r="H984">
        <v>83.939899999999994</v>
      </c>
      <c r="I984">
        <v>93.597899999999996</v>
      </c>
      <c r="J984">
        <v>80.422799999999995</v>
      </c>
      <c r="K984">
        <v>148.69999999999999</v>
      </c>
    </row>
    <row r="985" spans="1:11" x14ac:dyDescent="0.35">
      <c r="A985" s="77">
        <v>36861</v>
      </c>
      <c r="B985">
        <v>92.5334</v>
      </c>
      <c r="C985">
        <v>111.17959999999999</v>
      </c>
      <c r="D985">
        <v>87.350999999999999</v>
      </c>
      <c r="E985">
        <v>103.5509</v>
      </c>
      <c r="F985">
        <v>92.862399999999994</v>
      </c>
      <c r="G985">
        <v>84.084100000000007</v>
      </c>
      <c r="H985">
        <v>83.499700000000004</v>
      </c>
      <c r="I985">
        <v>95.745199999999997</v>
      </c>
      <c r="J985">
        <v>79.898799999999994</v>
      </c>
      <c r="K985">
        <v>148.9</v>
      </c>
    </row>
    <row r="986" spans="1:11" x14ac:dyDescent="0.35">
      <c r="A986" s="77">
        <v>36892</v>
      </c>
      <c r="B986">
        <v>92.0304</v>
      </c>
      <c r="C986">
        <v>111.9186</v>
      </c>
      <c r="D986">
        <v>87.345100000000002</v>
      </c>
      <c r="E986">
        <v>102.68300000000001</v>
      </c>
      <c r="F986">
        <v>92.431200000000004</v>
      </c>
      <c r="G986">
        <v>83.301699999999997</v>
      </c>
      <c r="H986">
        <v>83.744500000000002</v>
      </c>
      <c r="I986">
        <v>93.9358</v>
      </c>
      <c r="J986">
        <v>79.210300000000004</v>
      </c>
      <c r="K986">
        <v>149.5</v>
      </c>
    </row>
    <row r="987" spans="1:11" x14ac:dyDescent="0.35">
      <c r="A987" s="77">
        <v>36923</v>
      </c>
      <c r="B987">
        <v>91.407899999999998</v>
      </c>
      <c r="C987">
        <v>110.5078</v>
      </c>
      <c r="D987">
        <v>86.743200000000002</v>
      </c>
      <c r="E987">
        <v>102.03270000000001</v>
      </c>
      <c r="F987">
        <v>91.897999999999996</v>
      </c>
      <c r="G987">
        <v>82.897000000000006</v>
      </c>
      <c r="H987">
        <v>84.758700000000005</v>
      </c>
      <c r="I987">
        <v>92.060599999999994</v>
      </c>
      <c r="J987">
        <v>78.427700000000002</v>
      </c>
      <c r="K987">
        <v>149.19999999999999</v>
      </c>
    </row>
    <row r="988" spans="1:11" x14ac:dyDescent="0.35">
      <c r="A988" s="77">
        <v>36951</v>
      </c>
      <c r="B988">
        <v>91.1751</v>
      </c>
      <c r="C988">
        <v>110.62260000000001</v>
      </c>
      <c r="D988">
        <v>86.126300000000001</v>
      </c>
      <c r="E988">
        <v>101.9992</v>
      </c>
      <c r="F988">
        <v>91.716300000000004</v>
      </c>
      <c r="G988">
        <v>82.613799999999998</v>
      </c>
      <c r="H988">
        <v>84.877799999999993</v>
      </c>
      <c r="I988">
        <v>91.402600000000007</v>
      </c>
      <c r="J988">
        <v>77.987700000000004</v>
      </c>
      <c r="K988">
        <v>149.5</v>
      </c>
    </row>
    <row r="989" spans="1:11" x14ac:dyDescent="0.35">
      <c r="A989" s="77">
        <v>36982</v>
      </c>
      <c r="B989">
        <v>90.8767</v>
      </c>
      <c r="C989">
        <v>110.4067</v>
      </c>
      <c r="D989">
        <v>84.181399999999996</v>
      </c>
      <c r="E989">
        <v>102.3592</v>
      </c>
      <c r="F989">
        <v>91.3506</v>
      </c>
      <c r="G989">
        <v>82.410300000000007</v>
      </c>
      <c r="H989">
        <v>85.131</v>
      </c>
      <c r="I989">
        <v>90.939700000000002</v>
      </c>
      <c r="J989">
        <v>77.500799999999998</v>
      </c>
      <c r="K989">
        <v>149.80000000000001</v>
      </c>
    </row>
    <row r="990" spans="1:11" x14ac:dyDescent="0.35">
      <c r="A990" s="77">
        <v>37012</v>
      </c>
      <c r="B990">
        <v>90.375</v>
      </c>
      <c r="C990">
        <v>109.71040000000001</v>
      </c>
      <c r="D990">
        <v>82.766800000000003</v>
      </c>
      <c r="E990">
        <v>102.35939999999999</v>
      </c>
      <c r="F990">
        <v>90.750399999999999</v>
      </c>
      <c r="G990">
        <v>81.851799999999997</v>
      </c>
      <c r="H990">
        <v>85.207899999999995</v>
      </c>
      <c r="I990">
        <v>90.202799999999996</v>
      </c>
      <c r="J990">
        <v>76.8523</v>
      </c>
      <c r="K990">
        <v>150.1</v>
      </c>
    </row>
    <row r="991" spans="1:11" x14ac:dyDescent="0.35">
      <c r="A991" s="77">
        <v>37043</v>
      </c>
      <c r="B991">
        <v>89.8626</v>
      </c>
      <c r="C991">
        <v>108.95820000000001</v>
      </c>
      <c r="D991">
        <v>81.718599999999995</v>
      </c>
      <c r="E991">
        <v>102.3794</v>
      </c>
      <c r="F991">
        <v>90.148399999999995</v>
      </c>
      <c r="G991">
        <v>81.096299999999999</v>
      </c>
      <c r="H991">
        <v>84.332099999999997</v>
      </c>
      <c r="I991">
        <v>90.472999999999999</v>
      </c>
      <c r="J991">
        <v>76.2089</v>
      </c>
      <c r="K991">
        <v>150.19999999999999</v>
      </c>
    </row>
    <row r="992" spans="1:11" x14ac:dyDescent="0.35">
      <c r="A992" s="77">
        <v>37073</v>
      </c>
      <c r="B992">
        <v>89.328800000000001</v>
      </c>
      <c r="C992">
        <v>109.0355</v>
      </c>
      <c r="D992">
        <v>80.889300000000006</v>
      </c>
      <c r="E992">
        <v>101.869</v>
      </c>
      <c r="F992">
        <v>89.633200000000002</v>
      </c>
      <c r="G992">
        <v>80.449399999999997</v>
      </c>
      <c r="H992">
        <v>84.036100000000005</v>
      </c>
      <c r="I992">
        <v>88.906300000000002</v>
      </c>
      <c r="J992">
        <v>75.563299999999998</v>
      </c>
      <c r="K992">
        <v>150.5</v>
      </c>
    </row>
    <row r="993" spans="1:11" x14ac:dyDescent="0.35">
      <c r="A993" s="77">
        <v>37104</v>
      </c>
      <c r="B993">
        <v>89.220100000000002</v>
      </c>
      <c r="C993">
        <v>107.7281</v>
      </c>
      <c r="D993">
        <v>79.374700000000004</v>
      </c>
      <c r="E993">
        <v>102.078</v>
      </c>
      <c r="F993">
        <v>89.272999999999996</v>
      </c>
      <c r="G993">
        <v>80.750100000000003</v>
      </c>
      <c r="H993">
        <v>84.022900000000007</v>
      </c>
      <c r="I993">
        <v>91.307299999999998</v>
      </c>
      <c r="J993">
        <v>75.289100000000005</v>
      </c>
      <c r="K993">
        <v>150.5</v>
      </c>
    </row>
    <row r="994" spans="1:11" x14ac:dyDescent="0.35">
      <c r="A994" s="77">
        <v>37135</v>
      </c>
      <c r="B994">
        <v>88.747799999999998</v>
      </c>
      <c r="C994">
        <v>107.52889999999999</v>
      </c>
      <c r="D994">
        <v>78.086100000000002</v>
      </c>
      <c r="E994">
        <v>101.5252</v>
      </c>
      <c r="F994">
        <v>88.916499999999999</v>
      </c>
      <c r="G994">
        <v>80.415599999999998</v>
      </c>
      <c r="H994">
        <v>84.092699999999994</v>
      </c>
      <c r="I994">
        <v>89.340599999999995</v>
      </c>
      <c r="J994">
        <v>74.7196</v>
      </c>
      <c r="K994">
        <v>150.69999999999999</v>
      </c>
    </row>
    <row r="995" spans="1:11" x14ac:dyDescent="0.35">
      <c r="A995" s="77">
        <v>37165</v>
      </c>
      <c r="B995">
        <v>88.475499999999997</v>
      </c>
      <c r="C995">
        <v>106.48860000000001</v>
      </c>
      <c r="D995">
        <v>77.004900000000006</v>
      </c>
      <c r="E995">
        <v>102.05159999999999</v>
      </c>
      <c r="F995">
        <v>88.521100000000004</v>
      </c>
      <c r="G995">
        <v>80.035600000000002</v>
      </c>
      <c r="H995">
        <v>83.666700000000006</v>
      </c>
      <c r="I995">
        <v>90.163799999999995</v>
      </c>
      <c r="J995">
        <v>74.3309</v>
      </c>
      <c r="K995">
        <v>149.80000000000001</v>
      </c>
    </row>
    <row r="996" spans="1:11" x14ac:dyDescent="0.35">
      <c r="A996" s="77">
        <v>37196</v>
      </c>
      <c r="B996">
        <v>87.963099999999997</v>
      </c>
      <c r="C996">
        <v>106.137</v>
      </c>
      <c r="D996">
        <v>76.343299999999999</v>
      </c>
      <c r="E996">
        <v>101.9045</v>
      </c>
      <c r="F996">
        <v>88.2363</v>
      </c>
      <c r="G996">
        <v>79.450100000000006</v>
      </c>
      <c r="H996">
        <v>83.030900000000003</v>
      </c>
      <c r="I996">
        <v>88.158600000000007</v>
      </c>
      <c r="J996">
        <v>73.753500000000003</v>
      </c>
      <c r="K996">
        <v>150.19999999999999</v>
      </c>
    </row>
    <row r="997" spans="1:11" x14ac:dyDescent="0.35">
      <c r="A997" s="77">
        <v>37226</v>
      </c>
      <c r="B997">
        <v>87.932900000000004</v>
      </c>
      <c r="C997">
        <v>106.90179999999999</v>
      </c>
      <c r="D997">
        <v>75.575299999999999</v>
      </c>
      <c r="E997">
        <v>102.4789</v>
      </c>
      <c r="F997">
        <v>88.409199999999998</v>
      </c>
      <c r="G997">
        <v>79.239999999999995</v>
      </c>
      <c r="H997">
        <v>82.144599999999997</v>
      </c>
      <c r="I997">
        <v>86.987700000000004</v>
      </c>
      <c r="J997">
        <v>73.594700000000003</v>
      </c>
      <c r="K997">
        <v>150.4</v>
      </c>
    </row>
    <row r="998" spans="1:11" x14ac:dyDescent="0.35">
      <c r="A998" s="77">
        <v>37257</v>
      </c>
      <c r="B998">
        <v>88.545199999999994</v>
      </c>
      <c r="C998">
        <v>106.76519999999999</v>
      </c>
      <c r="D998">
        <v>75.394400000000005</v>
      </c>
      <c r="E998">
        <v>103.5265</v>
      </c>
      <c r="F998">
        <v>89.022800000000004</v>
      </c>
      <c r="G998">
        <v>80.111599999999996</v>
      </c>
      <c r="H998">
        <v>81.502200000000002</v>
      </c>
      <c r="I998">
        <v>88.944000000000003</v>
      </c>
      <c r="J998">
        <v>73.986199999999997</v>
      </c>
      <c r="K998">
        <v>150</v>
      </c>
    </row>
    <row r="999" spans="1:11" x14ac:dyDescent="0.35">
      <c r="A999" s="77">
        <v>37288</v>
      </c>
      <c r="B999">
        <v>88.536199999999994</v>
      </c>
      <c r="C999">
        <v>107.04300000000001</v>
      </c>
      <c r="D999">
        <v>75.209599999999995</v>
      </c>
      <c r="E999">
        <v>102.8599</v>
      </c>
      <c r="F999">
        <v>89.048599999999993</v>
      </c>
      <c r="G999">
        <v>80.529499999999999</v>
      </c>
      <c r="H999">
        <v>81.090699999999998</v>
      </c>
      <c r="I999">
        <v>89.384600000000006</v>
      </c>
      <c r="J999">
        <v>73.873599999999996</v>
      </c>
      <c r="K999">
        <v>150.1</v>
      </c>
    </row>
    <row r="1000" spans="1:11" x14ac:dyDescent="0.35">
      <c r="A1000" s="77">
        <v>37316</v>
      </c>
      <c r="B1000">
        <v>89.209699999999998</v>
      </c>
      <c r="C1000">
        <v>108.6831</v>
      </c>
      <c r="D1000">
        <v>75.509699999999995</v>
      </c>
      <c r="E1000">
        <v>103.70610000000001</v>
      </c>
      <c r="F1000">
        <v>89.761499999999998</v>
      </c>
      <c r="G1000">
        <v>81.1678</v>
      </c>
      <c r="H1000">
        <v>80.018799999999999</v>
      </c>
      <c r="I1000">
        <v>91.804699999999997</v>
      </c>
      <c r="J1000">
        <v>74.346100000000007</v>
      </c>
      <c r="K1000">
        <v>150</v>
      </c>
    </row>
    <row r="1001" spans="1:11" x14ac:dyDescent="0.35">
      <c r="A1001" s="77">
        <v>37347</v>
      </c>
      <c r="B1001">
        <v>89.638900000000007</v>
      </c>
      <c r="C1001">
        <v>108.6516</v>
      </c>
      <c r="D1001">
        <v>75.190299999999993</v>
      </c>
      <c r="E1001">
        <v>103.5998</v>
      </c>
      <c r="F1001">
        <v>90.066999999999993</v>
      </c>
      <c r="G1001">
        <v>82.129199999999997</v>
      </c>
      <c r="H1001">
        <v>80.179900000000004</v>
      </c>
      <c r="I1001">
        <v>93.975099999999998</v>
      </c>
      <c r="J1001">
        <v>74.630700000000004</v>
      </c>
      <c r="K1001">
        <v>150.30000000000001</v>
      </c>
    </row>
    <row r="1002" spans="1:11" x14ac:dyDescent="0.35">
      <c r="A1002" s="77">
        <v>37377</v>
      </c>
      <c r="B1002">
        <v>90.027100000000004</v>
      </c>
      <c r="C1002">
        <v>109.14570000000001</v>
      </c>
      <c r="D1002">
        <v>75.532399999999996</v>
      </c>
      <c r="E1002">
        <v>103.9622</v>
      </c>
      <c r="F1002">
        <v>90.579099999999997</v>
      </c>
      <c r="G1002">
        <v>82.492000000000004</v>
      </c>
      <c r="H1002">
        <v>80.937600000000003</v>
      </c>
      <c r="I1002">
        <v>93.3887</v>
      </c>
      <c r="J1002">
        <v>74.897000000000006</v>
      </c>
      <c r="K1002">
        <v>150.19999999999999</v>
      </c>
    </row>
    <row r="1003" spans="1:11" x14ac:dyDescent="0.35">
      <c r="A1003" s="77">
        <v>37408</v>
      </c>
      <c r="B1003">
        <v>90.764499999999998</v>
      </c>
      <c r="C1003">
        <v>109.8729</v>
      </c>
      <c r="D1003">
        <v>76.034400000000005</v>
      </c>
      <c r="E1003">
        <v>105.039</v>
      </c>
      <c r="F1003">
        <v>91.500299999999996</v>
      </c>
      <c r="G1003">
        <v>83.164699999999996</v>
      </c>
      <c r="H1003">
        <v>80.931899999999999</v>
      </c>
      <c r="I1003">
        <v>93.461600000000004</v>
      </c>
      <c r="J1003">
        <v>75.468999999999994</v>
      </c>
      <c r="K1003">
        <v>150.5</v>
      </c>
    </row>
    <row r="1004" spans="1:11" x14ac:dyDescent="0.35">
      <c r="A1004" s="77">
        <v>37438</v>
      </c>
      <c r="B1004">
        <v>90.743700000000004</v>
      </c>
      <c r="C1004">
        <v>108.61190000000001</v>
      </c>
      <c r="D1004">
        <v>75.849800000000002</v>
      </c>
      <c r="E1004">
        <v>105.11190000000001</v>
      </c>
      <c r="F1004">
        <v>91.402799999999999</v>
      </c>
      <c r="G1004">
        <v>83.197500000000005</v>
      </c>
      <c r="H1004">
        <v>80.403499999999994</v>
      </c>
      <c r="I1004">
        <v>94.377099999999999</v>
      </c>
      <c r="J1004">
        <v>75.426199999999994</v>
      </c>
      <c r="K1004">
        <v>150</v>
      </c>
    </row>
    <row r="1005" spans="1:11" x14ac:dyDescent="0.35">
      <c r="A1005" s="77">
        <v>37469</v>
      </c>
      <c r="B1005">
        <v>90.626800000000003</v>
      </c>
      <c r="C1005">
        <v>108.9087</v>
      </c>
      <c r="D1005">
        <v>76.166600000000003</v>
      </c>
      <c r="E1005">
        <v>104.3943</v>
      </c>
      <c r="F1005">
        <v>91.470399999999998</v>
      </c>
      <c r="G1005">
        <v>83.242599999999996</v>
      </c>
      <c r="H1005">
        <v>80.763599999999997</v>
      </c>
      <c r="I1005">
        <v>92.302000000000007</v>
      </c>
      <c r="J1005">
        <v>75.317999999999998</v>
      </c>
      <c r="K1005">
        <v>149.9</v>
      </c>
    </row>
    <row r="1006" spans="1:11" x14ac:dyDescent="0.35">
      <c r="A1006" s="77">
        <v>37500</v>
      </c>
      <c r="B1006">
        <v>90.724100000000007</v>
      </c>
      <c r="C1006">
        <v>109.85169999999999</v>
      </c>
      <c r="D1006">
        <v>76.222399999999993</v>
      </c>
      <c r="E1006">
        <v>104.5303</v>
      </c>
      <c r="F1006">
        <v>91.57</v>
      </c>
      <c r="G1006">
        <v>83.102800000000002</v>
      </c>
      <c r="H1006">
        <v>79.122299999999996</v>
      </c>
      <c r="I1006">
        <v>93.989400000000003</v>
      </c>
      <c r="J1006">
        <v>75.398799999999994</v>
      </c>
      <c r="K1006">
        <v>150.30000000000001</v>
      </c>
    </row>
    <row r="1007" spans="1:11" x14ac:dyDescent="0.35">
      <c r="A1007" s="77">
        <v>37530</v>
      </c>
      <c r="B1007">
        <v>90.487899999999996</v>
      </c>
      <c r="C1007">
        <v>109.4211</v>
      </c>
      <c r="D1007">
        <v>75.906700000000001</v>
      </c>
      <c r="E1007">
        <v>104.374</v>
      </c>
      <c r="F1007">
        <v>91.275599999999997</v>
      </c>
      <c r="G1007">
        <v>82.656499999999994</v>
      </c>
      <c r="H1007">
        <v>77.730500000000006</v>
      </c>
      <c r="I1007">
        <v>95.145200000000003</v>
      </c>
      <c r="J1007">
        <v>75.212100000000007</v>
      </c>
      <c r="K1007">
        <v>150.5</v>
      </c>
    </row>
    <row r="1008" spans="1:11" x14ac:dyDescent="0.35">
      <c r="A1008" s="77">
        <v>37561</v>
      </c>
      <c r="B1008">
        <v>90.982299999999995</v>
      </c>
      <c r="C1008">
        <v>109.4365</v>
      </c>
      <c r="D1008">
        <v>76.201999999999998</v>
      </c>
      <c r="E1008">
        <v>105.1564</v>
      </c>
      <c r="F1008">
        <v>91.762500000000003</v>
      </c>
      <c r="G1008">
        <v>83.299599999999998</v>
      </c>
      <c r="H1008">
        <v>79.733400000000003</v>
      </c>
      <c r="I1008">
        <v>94.827699999999993</v>
      </c>
      <c r="J1008">
        <v>75.642700000000005</v>
      </c>
      <c r="K1008">
        <v>150.30000000000001</v>
      </c>
    </row>
    <row r="1009" spans="1:11" x14ac:dyDescent="0.35">
      <c r="A1009" s="77">
        <v>37591</v>
      </c>
      <c r="B1009">
        <v>90.491900000000001</v>
      </c>
      <c r="C1009">
        <v>108.6027</v>
      </c>
      <c r="D1009">
        <v>75.353200000000001</v>
      </c>
      <c r="E1009">
        <v>104.2045</v>
      </c>
      <c r="F1009">
        <v>91.134699999999995</v>
      </c>
      <c r="G1009">
        <v>82.969800000000006</v>
      </c>
      <c r="H1009">
        <v>80.207599999999999</v>
      </c>
      <c r="I1009">
        <v>93.858699999999999</v>
      </c>
      <c r="J1009">
        <v>75.261700000000005</v>
      </c>
      <c r="K1009">
        <v>149.5</v>
      </c>
    </row>
    <row r="1010" spans="1:11" x14ac:dyDescent="0.35">
      <c r="A1010" s="77">
        <v>37622</v>
      </c>
      <c r="B1010">
        <v>91.239500000000007</v>
      </c>
      <c r="C1010">
        <v>109.02970000000001</v>
      </c>
      <c r="D1010">
        <v>75.582999999999998</v>
      </c>
      <c r="E1010">
        <v>105.50230000000001</v>
      </c>
      <c r="F1010">
        <v>91.931399999999996</v>
      </c>
      <c r="G1010">
        <v>83.535399999999996</v>
      </c>
      <c r="H1010">
        <v>80.407300000000006</v>
      </c>
      <c r="I1010">
        <v>95.274100000000004</v>
      </c>
      <c r="J1010">
        <v>75.915400000000005</v>
      </c>
      <c r="K1010">
        <v>149.80000000000001</v>
      </c>
    </row>
    <row r="1011" spans="1:11" x14ac:dyDescent="0.35">
      <c r="A1011" s="77">
        <v>37653</v>
      </c>
      <c r="B1011">
        <v>91.338399999999993</v>
      </c>
      <c r="C1011">
        <v>108.16330000000001</v>
      </c>
      <c r="D1011">
        <v>75.572400000000002</v>
      </c>
      <c r="E1011">
        <v>105.9067</v>
      </c>
      <c r="F1011">
        <v>91.804500000000004</v>
      </c>
      <c r="G1011">
        <v>83.523200000000003</v>
      </c>
      <c r="H1011">
        <v>80.492900000000006</v>
      </c>
      <c r="I1011">
        <v>97.330500000000001</v>
      </c>
      <c r="J1011">
        <v>76.025599999999997</v>
      </c>
      <c r="K1011">
        <v>149.9</v>
      </c>
    </row>
    <row r="1012" spans="1:11" x14ac:dyDescent="0.35">
      <c r="A1012" s="77">
        <v>37681</v>
      </c>
      <c r="B1012">
        <v>91.069000000000003</v>
      </c>
      <c r="C1012">
        <v>107.6896</v>
      </c>
      <c r="D1012">
        <v>75.6875</v>
      </c>
      <c r="E1012">
        <v>105.8917</v>
      </c>
      <c r="F1012">
        <v>91.894300000000001</v>
      </c>
      <c r="G1012">
        <v>82.985100000000003</v>
      </c>
      <c r="H1012">
        <v>80.376199999999997</v>
      </c>
      <c r="I1012">
        <v>93.991100000000003</v>
      </c>
      <c r="J1012">
        <v>75.829499999999996</v>
      </c>
      <c r="K1012">
        <v>150.69999999999999</v>
      </c>
    </row>
    <row r="1013" spans="1:11" x14ac:dyDescent="0.35">
      <c r="A1013" s="77">
        <v>37712</v>
      </c>
      <c r="B1013">
        <v>90.491299999999995</v>
      </c>
      <c r="C1013">
        <v>106.57850000000001</v>
      </c>
      <c r="D1013">
        <v>74.978499999999997</v>
      </c>
      <c r="E1013">
        <v>105.06010000000001</v>
      </c>
      <c r="F1013">
        <v>91.236900000000006</v>
      </c>
      <c r="G1013">
        <v>82.680499999999995</v>
      </c>
      <c r="H1013">
        <v>80.153999999999996</v>
      </c>
      <c r="I1013">
        <v>94.164699999999996</v>
      </c>
      <c r="J1013">
        <v>75.379499999999993</v>
      </c>
      <c r="K1013">
        <v>149.9</v>
      </c>
    </row>
    <row r="1014" spans="1:11" x14ac:dyDescent="0.35">
      <c r="A1014" s="77">
        <v>37742</v>
      </c>
      <c r="B1014">
        <v>90.469700000000003</v>
      </c>
      <c r="C1014">
        <v>107.952</v>
      </c>
      <c r="D1014">
        <v>74.928100000000001</v>
      </c>
      <c r="E1014">
        <v>104.768</v>
      </c>
      <c r="F1014">
        <v>91.2911</v>
      </c>
      <c r="G1014">
        <v>82.603999999999999</v>
      </c>
      <c r="H1014">
        <v>79.6404</v>
      </c>
      <c r="I1014">
        <v>94.056200000000004</v>
      </c>
      <c r="J1014">
        <v>75.392600000000002</v>
      </c>
      <c r="K1014">
        <v>150.1</v>
      </c>
    </row>
    <row r="1015" spans="1:11" x14ac:dyDescent="0.35">
      <c r="A1015" s="77">
        <v>37773</v>
      </c>
      <c r="B1015">
        <v>90.5899</v>
      </c>
      <c r="C1015">
        <v>108.39230000000001</v>
      </c>
      <c r="D1015">
        <v>75.217699999999994</v>
      </c>
      <c r="E1015">
        <v>104.9701</v>
      </c>
      <c r="F1015">
        <v>91.719200000000001</v>
      </c>
      <c r="G1015">
        <v>82.727699999999999</v>
      </c>
      <c r="H1015">
        <v>79.800799999999995</v>
      </c>
      <c r="I1015">
        <v>91.548199999999994</v>
      </c>
      <c r="J1015">
        <v>75.521299999999997</v>
      </c>
      <c r="K1015">
        <v>150.1</v>
      </c>
    </row>
    <row r="1016" spans="1:11" x14ac:dyDescent="0.35">
      <c r="A1016" s="77">
        <v>37803</v>
      </c>
      <c r="B1016">
        <v>91.061400000000006</v>
      </c>
      <c r="C1016">
        <v>107.8937</v>
      </c>
      <c r="D1016">
        <v>75.5899</v>
      </c>
      <c r="E1016">
        <v>106.021</v>
      </c>
      <c r="F1016">
        <v>92.087800000000001</v>
      </c>
      <c r="G1016">
        <v>82.988</v>
      </c>
      <c r="H1016">
        <v>79.480800000000002</v>
      </c>
      <c r="I1016">
        <v>94.333799999999997</v>
      </c>
      <c r="J1016">
        <v>75.935299999999998</v>
      </c>
      <c r="K1016">
        <v>150.30000000000001</v>
      </c>
    </row>
    <row r="1017" spans="1:11" x14ac:dyDescent="0.35">
      <c r="A1017" s="77">
        <v>37834</v>
      </c>
      <c r="B1017">
        <v>90.845200000000006</v>
      </c>
      <c r="C1017">
        <v>108.56</v>
      </c>
      <c r="D1017">
        <v>75.667199999999994</v>
      </c>
      <c r="E1017">
        <v>105.12690000000001</v>
      </c>
      <c r="F1017">
        <v>91.709000000000003</v>
      </c>
      <c r="G1017">
        <v>83.007000000000005</v>
      </c>
      <c r="H1017">
        <v>80.560400000000001</v>
      </c>
      <c r="I1017">
        <v>94.802700000000002</v>
      </c>
      <c r="J1017">
        <v>75.7714</v>
      </c>
      <c r="K1017">
        <v>150.5</v>
      </c>
    </row>
    <row r="1018" spans="1:11" x14ac:dyDescent="0.35">
      <c r="A1018" s="77">
        <v>37865</v>
      </c>
      <c r="B1018">
        <v>91.445300000000003</v>
      </c>
      <c r="C1018">
        <v>108.2989</v>
      </c>
      <c r="D1018">
        <v>76.548100000000005</v>
      </c>
      <c r="E1018">
        <v>106.0009</v>
      </c>
      <c r="F1018">
        <v>92.54</v>
      </c>
      <c r="G1018">
        <v>83.582099999999997</v>
      </c>
      <c r="H1018">
        <v>81.050700000000006</v>
      </c>
      <c r="I1018">
        <v>93.929599999999994</v>
      </c>
      <c r="J1018">
        <v>76.285399999999996</v>
      </c>
      <c r="K1018">
        <v>150.4</v>
      </c>
    </row>
    <row r="1019" spans="1:11" x14ac:dyDescent="0.35">
      <c r="A1019" s="77">
        <v>37895</v>
      </c>
      <c r="B1019">
        <v>91.5595</v>
      </c>
      <c r="C1019">
        <v>108.8664</v>
      </c>
      <c r="D1019">
        <v>76.364400000000003</v>
      </c>
      <c r="E1019">
        <v>105.3013</v>
      </c>
      <c r="F1019">
        <v>92.616299999999995</v>
      </c>
      <c r="G1019">
        <v>84.132199999999997</v>
      </c>
      <c r="H1019">
        <v>80.930899999999994</v>
      </c>
      <c r="I1019">
        <v>94.448499999999996</v>
      </c>
      <c r="J1019">
        <v>76.394300000000001</v>
      </c>
      <c r="K1019">
        <v>151.1</v>
      </c>
    </row>
    <row r="1020" spans="1:11" x14ac:dyDescent="0.35">
      <c r="A1020" s="77">
        <v>37926</v>
      </c>
      <c r="B1020">
        <v>92.176299999999998</v>
      </c>
      <c r="C1020">
        <v>110.1212</v>
      </c>
      <c r="D1020">
        <v>77.644599999999997</v>
      </c>
      <c r="E1020">
        <v>105.99550000000001</v>
      </c>
      <c r="F1020">
        <v>93.462599999999995</v>
      </c>
      <c r="G1020">
        <v>84.562399999999997</v>
      </c>
      <c r="H1020">
        <v>80.502799999999993</v>
      </c>
      <c r="I1020">
        <v>94.677499999999995</v>
      </c>
      <c r="J1020">
        <v>76.921800000000005</v>
      </c>
      <c r="K1020">
        <v>151</v>
      </c>
    </row>
    <row r="1021" spans="1:11" x14ac:dyDescent="0.35">
      <c r="A1021" s="77">
        <v>37956</v>
      </c>
      <c r="B1021">
        <v>92.253200000000007</v>
      </c>
      <c r="C1021">
        <v>110.1865</v>
      </c>
      <c r="D1021">
        <v>77.554100000000005</v>
      </c>
      <c r="E1021">
        <v>106.17910000000001</v>
      </c>
      <c r="F1021">
        <v>93.421599999999998</v>
      </c>
      <c r="G1021">
        <v>84.742599999999996</v>
      </c>
      <c r="H1021">
        <v>80.500500000000002</v>
      </c>
      <c r="I1021">
        <v>95.813699999999997</v>
      </c>
      <c r="J1021">
        <v>76.998099999999994</v>
      </c>
      <c r="K1021">
        <v>151</v>
      </c>
    </row>
    <row r="1022" spans="1:11" x14ac:dyDescent="0.35">
      <c r="A1022" s="77">
        <v>37987</v>
      </c>
      <c r="B1022">
        <v>92.406700000000001</v>
      </c>
      <c r="C1022">
        <v>109.9603</v>
      </c>
      <c r="D1022">
        <v>77.711799999999997</v>
      </c>
      <c r="E1022">
        <v>106.5091</v>
      </c>
      <c r="F1022">
        <v>93.357100000000003</v>
      </c>
      <c r="G1022">
        <v>84.871700000000004</v>
      </c>
      <c r="H1022">
        <v>81.11</v>
      </c>
      <c r="I1022">
        <v>97.4589</v>
      </c>
      <c r="J1022">
        <v>77.138499999999993</v>
      </c>
      <c r="K1022">
        <v>151.4</v>
      </c>
    </row>
    <row r="1023" spans="1:11" x14ac:dyDescent="0.35">
      <c r="A1023" s="77">
        <v>38018</v>
      </c>
      <c r="B1023">
        <v>92.968699999999998</v>
      </c>
      <c r="C1023">
        <v>109.96040000000001</v>
      </c>
      <c r="D1023">
        <v>78.707999999999998</v>
      </c>
      <c r="E1023">
        <v>107.0544</v>
      </c>
      <c r="F1023">
        <v>94.042000000000002</v>
      </c>
      <c r="G1023">
        <v>85.289900000000003</v>
      </c>
      <c r="H1023">
        <v>80.23</v>
      </c>
      <c r="I1023">
        <v>98.378200000000007</v>
      </c>
      <c r="J1023">
        <v>77.621099999999998</v>
      </c>
      <c r="K1023">
        <v>151.30000000000001</v>
      </c>
    </row>
    <row r="1024" spans="1:11" x14ac:dyDescent="0.35">
      <c r="A1024" s="77">
        <v>38047</v>
      </c>
      <c r="B1024">
        <v>92.6</v>
      </c>
      <c r="C1024">
        <v>110.06950000000001</v>
      </c>
      <c r="D1024">
        <v>78.634799999999998</v>
      </c>
      <c r="E1024">
        <v>106.03919999999999</v>
      </c>
      <c r="F1024">
        <v>94.000699999999995</v>
      </c>
      <c r="G1024">
        <v>85.179199999999994</v>
      </c>
      <c r="H1024">
        <v>80.486099999999993</v>
      </c>
      <c r="I1024">
        <v>94.397300000000001</v>
      </c>
      <c r="J1024">
        <v>77.327799999999996</v>
      </c>
      <c r="K1024">
        <v>151.80000000000001</v>
      </c>
    </row>
    <row r="1025" spans="1:11" x14ac:dyDescent="0.35">
      <c r="A1025" s="77">
        <v>38078</v>
      </c>
      <c r="B1025">
        <v>92.976100000000002</v>
      </c>
      <c r="C1025">
        <v>109.8387</v>
      </c>
      <c r="D1025">
        <v>78.767799999999994</v>
      </c>
      <c r="E1025">
        <v>106.6913</v>
      </c>
      <c r="F1025">
        <v>94.311999999999998</v>
      </c>
      <c r="G1025">
        <v>85.480800000000002</v>
      </c>
      <c r="H1025">
        <v>80.236500000000007</v>
      </c>
      <c r="I1025">
        <v>95.876599999999996</v>
      </c>
      <c r="J1025">
        <v>77.656700000000001</v>
      </c>
      <c r="K1025">
        <v>151.9</v>
      </c>
    </row>
    <row r="1026" spans="1:11" x14ac:dyDescent="0.35">
      <c r="A1026" s="77">
        <v>38108</v>
      </c>
      <c r="B1026">
        <v>93.644599999999997</v>
      </c>
      <c r="C1026">
        <v>111.05889999999999</v>
      </c>
      <c r="D1026">
        <v>79.483400000000003</v>
      </c>
      <c r="E1026">
        <v>107.1279</v>
      </c>
      <c r="F1026">
        <v>94.9846</v>
      </c>
      <c r="G1026">
        <v>86.231700000000004</v>
      </c>
      <c r="H1026">
        <v>79.898499999999999</v>
      </c>
      <c r="I1026">
        <v>97.784899999999993</v>
      </c>
      <c r="J1026">
        <v>78.228399999999993</v>
      </c>
      <c r="K1026">
        <v>152.30000000000001</v>
      </c>
    </row>
    <row r="1027" spans="1:11" x14ac:dyDescent="0.35">
      <c r="A1027" s="77">
        <v>38139</v>
      </c>
      <c r="B1027">
        <v>92.930300000000003</v>
      </c>
      <c r="C1027">
        <v>110.346</v>
      </c>
      <c r="D1027">
        <v>79.423000000000002</v>
      </c>
      <c r="E1027">
        <v>105.65940000000001</v>
      </c>
      <c r="F1027">
        <v>94.276300000000006</v>
      </c>
      <c r="G1027">
        <v>85.615899999999996</v>
      </c>
      <c r="H1027">
        <v>79.809700000000007</v>
      </c>
      <c r="I1027">
        <v>95.539900000000003</v>
      </c>
      <c r="J1027">
        <v>77.6417</v>
      </c>
      <c r="K1027">
        <v>152.80000000000001</v>
      </c>
    </row>
    <row r="1028" spans="1:11" x14ac:dyDescent="0.35">
      <c r="A1028" s="77">
        <v>38169</v>
      </c>
      <c r="B1028">
        <v>93.610900000000001</v>
      </c>
      <c r="C1028">
        <v>111.58540000000001</v>
      </c>
      <c r="D1028">
        <v>81.005899999999997</v>
      </c>
      <c r="E1028">
        <v>106.00190000000001</v>
      </c>
      <c r="F1028">
        <v>95.096800000000002</v>
      </c>
      <c r="G1028">
        <v>86.204099999999997</v>
      </c>
      <c r="H1028">
        <v>81.2119</v>
      </c>
      <c r="I1028">
        <v>94.094700000000003</v>
      </c>
      <c r="J1028">
        <v>78.215999999999994</v>
      </c>
      <c r="K1028">
        <v>152.5</v>
      </c>
    </row>
    <row r="1029" spans="1:11" x14ac:dyDescent="0.35">
      <c r="A1029" s="77">
        <v>38200</v>
      </c>
      <c r="B1029">
        <v>93.695800000000006</v>
      </c>
      <c r="C1029">
        <v>111.8463</v>
      </c>
      <c r="D1029">
        <v>80.715599999999995</v>
      </c>
      <c r="E1029">
        <v>106.4401</v>
      </c>
      <c r="F1029">
        <v>95.533900000000003</v>
      </c>
      <c r="G1029">
        <v>86.174599999999998</v>
      </c>
      <c r="H1029">
        <v>80.575900000000004</v>
      </c>
      <c r="I1029">
        <v>91.854399999999998</v>
      </c>
      <c r="J1029">
        <v>78.287000000000006</v>
      </c>
      <c r="K1029">
        <v>152.9</v>
      </c>
    </row>
    <row r="1030" spans="1:11" x14ac:dyDescent="0.35">
      <c r="A1030" s="77">
        <v>38231</v>
      </c>
      <c r="B1030">
        <v>93.7958</v>
      </c>
      <c r="C1030">
        <v>110.923</v>
      </c>
      <c r="D1030">
        <v>80.959800000000001</v>
      </c>
      <c r="E1030">
        <v>106.3818</v>
      </c>
      <c r="F1030">
        <v>95.61</v>
      </c>
      <c r="G1030">
        <v>86.401799999999994</v>
      </c>
      <c r="H1030">
        <v>78.290000000000006</v>
      </c>
      <c r="I1030">
        <v>95.697999999999993</v>
      </c>
      <c r="J1030">
        <v>78.361599999999996</v>
      </c>
      <c r="K1030">
        <v>153.19999999999999</v>
      </c>
    </row>
    <row r="1031" spans="1:11" x14ac:dyDescent="0.35">
      <c r="A1031" s="77">
        <v>38261</v>
      </c>
      <c r="B1031">
        <v>94.622600000000006</v>
      </c>
      <c r="C1031">
        <v>112.6966</v>
      </c>
      <c r="D1031">
        <v>81.556899999999999</v>
      </c>
      <c r="E1031">
        <v>107.4329</v>
      </c>
      <c r="F1031">
        <v>96.613399999999999</v>
      </c>
      <c r="G1031">
        <v>87.196700000000007</v>
      </c>
      <c r="H1031">
        <v>79.2166</v>
      </c>
      <c r="I1031">
        <v>95.919399999999996</v>
      </c>
      <c r="J1031">
        <v>79.033100000000005</v>
      </c>
      <c r="K1031">
        <v>153.69999999999999</v>
      </c>
    </row>
    <row r="1032" spans="1:11" x14ac:dyDescent="0.35">
      <c r="A1032" s="77">
        <v>38292</v>
      </c>
      <c r="B1032">
        <v>94.849100000000007</v>
      </c>
      <c r="C1032">
        <v>112.3314</v>
      </c>
      <c r="D1032">
        <v>81.262600000000006</v>
      </c>
      <c r="E1032">
        <v>107.2585</v>
      </c>
      <c r="F1032">
        <v>96.595399999999998</v>
      </c>
      <c r="G1032">
        <v>87.720200000000006</v>
      </c>
      <c r="H1032">
        <v>80.901200000000003</v>
      </c>
      <c r="I1032">
        <v>96.218299999999999</v>
      </c>
      <c r="J1032">
        <v>79.191500000000005</v>
      </c>
      <c r="K1032">
        <v>154.1</v>
      </c>
    </row>
    <row r="1033" spans="1:11" x14ac:dyDescent="0.35">
      <c r="A1033" s="77">
        <v>38322</v>
      </c>
      <c r="B1033">
        <v>95.584100000000007</v>
      </c>
      <c r="C1033">
        <v>112.3801</v>
      </c>
      <c r="D1033">
        <v>82.098299999999995</v>
      </c>
      <c r="E1033">
        <v>108.0454</v>
      </c>
      <c r="F1033">
        <v>97.375900000000001</v>
      </c>
      <c r="G1033">
        <v>88.4405</v>
      </c>
      <c r="H1033">
        <v>80.878200000000007</v>
      </c>
      <c r="I1033">
        <v>97.976600000000005</v>
      </c>
      <c r="J1033">
        <v>79.763099999999994</v>
      </c>
      <c r="K1033">
        <v>154.5</v>
      </c>
    </row>
    <row r="1034" spans="1:11" x14ac:dyDescent="0.35">
      <c r="A1034" s="77">
        <v>38353</v>
      </c>
      <c r="B1034">
        <v>95.9285</v>
      </c>
      <c r="C1034">
        <v>113.5749</v>
      </c>
      <c r="D1034">
        <v>83.449399999999997</v>
      </c>
      <c r="E1034">
        <v>108.313</v>
      </c>
      <c r="F1034">
        <v>97.999200000000002</v>
      </c>
      <c r="G1034">
        <v>88.406700000000001</v>
      </c>
      <c r="H1034">
        <v>80.798699999999997</v>
      </c>
      <c r="I1034">
        <v>96.4071</v>
      </c>
      <c r="J1034">
        <v>79.997799999999998</v>
      </c>
      <c r="K1034">
        <v>155.4</v>
      </c>
    </row>
    <row r="1035" spans="1:11" x14ac:dyDescent="0.35">
      <c r="A1035" s="77">
        <v>38384</v>
      </c>
      <c r="B1035">
        <v>96.628699999999995</v>
      </c>
      <c r="C1035">
        <v>114.5326</v>
      </c>
      <c r="D1035">
        <v>84.333699999999993</v>
      </c>
      <c r="E1035">
        <v>108.99930000000001</v>
      </c>
      <c r="F1035">
        <v>98.919499999999999</v>
      </c>
      <c r="G1035">
        <v>89.089500000000001</v>
      </c>
      <c r="H1035">
        <v>81.843800000000002</v>
      </c>
      <c r="I1035">
        <v>95.250399999999999</v>
      </c>
      <c r="J1035">
        <v>80.5137</v>
      </c>
      <c r="K1035">
        <v>155.30000000000001</v>
      </c>
    </row>
    <row r="1036" spans="1:11" x14ac:dyDescent="0.35">
      <c r="A1036" s="77">
        <v>38412</v>
      </c>
      <c r="B1036">
        <v>96.490700000000004</v>
      </c>
      <c r="C1036">
        <v>113.3353</v>
      </c>
      <c r="D1036">
        <v>84.339399999999998</v>
      </c>
      <c r="E1036">
        <v>108.4769</v>
      </c>
      <c r="F1036">
        <v>98.430599999999998</v>
      </c>
      <c r="G1036">
        <v>89.112899999999996</v>
      </c>
      <c r="H1036">
        <v>81.655699999999996</v>
      </c>
      <c r="I1036">
        <v>98.098799999999997</v>
      </c>
      <c r="J1036">
        <v>80.319400000000002</v>
      </c>
      <c r="K1036">
        <v>155.6</v>
      </c>
    </row>
    <row r="1037" spans="1:11" x14ac:dyDescent="0.35">
      <c r="A1037" s="77">
        <v>38443</v>
      </c>
      <c r="B1037">
        <v>96.680899999999994</v>
      </c>
      <c r="C1037">
        <v>115.4324</v>
      </c>
      <c r="D1037">
        <v>85.342699999999994</v>
      </c>
      <c r="E1037">
        <v>108.4438</v>
      </c>
      <c r="F1037">
        <v>98.836600000000004</v>
      </c>
      <c r="G1037">
        <v>88.929400000000001</v>
      </c>
      <c r="H1037">
        <v>81.889200000000002</v>
      </c>
      <c r="I1037">
        <v>96.259</v>
      </c>
      <c r="J1037">
        <v>80.3904</v>
      </c>
      <c r="K1037">
        <v>156</v>
      </c>
    </row>
    <row r="1038" spans="1:11" x14ac:dyDescent="0.35">
      <c r="A1038" s="77">
        <v>38473</v>
      </c>
      <c r="B1038">
        <v>96.792500000000004</v>
      </c>
      <c r="C1038">
        <v>115.5461</v>
      </c>
      <c r="D1038">
        <v>86.06</v>
      </c>
      <c r="E1038">
        <v>109.01649999999999</v>
      </c>
      <c r="F1038">
        <v>99.113900000000001</v>
      </c>
      <c r="G1038">
        <v>88.735100000000003</v>
      </c>
      <c r="H1038">
        <v>81.038600000000002</v>
      </c>
      <c r="I1038">
        <v>96.150400000000005</v>
      </c>
      <c r="J1038">
        <v>80.387</v>
      </c>
      <c r="K1038">
        <v>156.4</v>
      </c>
    </row>
    <row r="1039" spans="1:11" x14ac:dyDescent="0.35">
      <c r="A1039" s="77">
        <v>38504</v>
      </c>
      <c r="B1039">
        <v>97.19</v>
      </c>
      <c r="C1039">
        <v>114.5201</v>
      </c>
      <c r="D1039">
        <v>85.8553</v>
      </c>
      <c r="E1039">
        <v>109.98520000000001</v>
      </c>
      <c r="F1039">
        <v>99.3489</v>
      </c>
      <c r="G1039">
        <v>89.037300000000002</v>
      </c>
      <c r="H1039">
        <v>81.008499999999998</v>
      </c>
      <c r="I1039">
        <v>99.268799999999999</v>
      </c>
      <c r="J1039">
        <v>80.613</v>
      </c>
      <c r="K1039">
        <v>156.19999999999999</v>
      </c>
    </row>
    <row r="1040" spans="1:11" x14ac:dyDescent="0.35">
      <c r="A1040" s="77">
        <v>38534</v>
      </c>
      <c r="B1040">
        <v>96.898099999999999</v>
      </c>
      <c r="C1040">
        <v>115.41630000000001</v>
      </c>
      <c r="D1040">
        <v>85.418499999999995</v>
      </c>
      <c r="E1040">
        <v>109.5509</v>
      </c>
      <c r="F1040">
        <v>99.015699999999995</v>
      </c>
      <c r="G1040">
        <v>88.75</v>
      </c>
      <c r="H1040">
        <v>80.685299999999998</v>
      </c>
      <c r="I1040">
        <v>99.33</v>
      </c>
      <c r="J1040">
        <v>80.262500000000003</v>
      </c>
      <c r="K1040">
        <v>156.80000000000001</v>
      </c>
    </row>
    <row r="1041" spans="1:11" x14ac:dyDescent="0.35">
      <c r="A1041" s="77">
        <v>38565</v>
      </c>
      <c r="B1041">
        <v>97.222300000000004</v>
      </c>
      <c r="C1041">
        <v>115.85899999999999</v>
      </c>
      <c r="D1041">
        <v>86.521500000000003</v>
      </c>
      <c r="E1041">
        <v>110.0682</v>
      </c>
      <c r="F1041">
        <v>99.5702</v>
      </c>
      <c r="G1041">
        <v>88.784599999999998</v>
      </c>
      <c r="H1041">
        <v>80.300700000000006</v>
      </c>
      <c r="I1041">
        <v>99.007099999999994</v>
      </c>
      <c r="J1041">
        <v>80.42</v>
      </c>
      <c r="K1041">
        <v>156.9</v>
      </c>
    </row>
    <row r="1042" spans="1:11" x14ac:dyDescent="0.35">
      <c r="A1042" s="77">
        <v>38596</v>
      </c>
      <c r="B1042">
        <v>95.346299999999999</v>
      </c>
      <c r="C1042">
        <v>117.5813</v>
      </c>
      <c r="D1042">
        <v>83.894099999999995</v>
      </c>
      <c r="E1042">
        <v>110.193</v>
      </c>
      <c r="F1042">
        <v>98.430300000000003</v>
      </c>
      <c r="G1042">
        <v>85.328800000000001</v>
      </c>
      <c r="H1042">
        <v>72.559799999999996</v>
      </c>
      <c r="I1042">
        <v>100.2611</v>
      </c>
      <c r="J1042">
        <v>78.757800000000003</v>
      </c>
      <c r="K1042">
        <v>157.1</v>
      </c>
    </row>
    <row r="1043" spans="1:11" x14ac:dyDescent="0.35">
      <c r="A1043" s="77">
        <v>38626</v>
      </c>
      <c r="B1043">
        <v>96.498099999999994</v>
      </c>
      <c r="C1043">
        <v>120.03789999999999</v>
      </c>
      <c r="D1043">
        <v>88.3566</v>
      </c>
      <c r="E1043">
        <v>110.14409999999999</v>
      </c>
      <c r="F1043">
        <v>99.900099999999995</v>
      </c>
      <c r="G1043">
        <v>86.392600000000002</v>
      </c>
      <c r="H1043">
        <v>74.261700000000005</v>
      </c>
      <c r="I1043">
        <v>98.320599999999999</v>
      </c>
      <c r="J1043">
        <v>79.597499999999997</v>
      </c>
      <c r="K1043">
        <v>156.80000000000001</v>
      </c>
    </row>
    <row r="1044" spans="1:11" x14ac:dyDescent="0.35">
      <c r="A1044" s="77">
        <v>38657</v>
      </c>
      <c r="B1044">
        <v>97.564599999999999</v>
      </c>
      <c r="C1044">
        <v>120.8832</v>
      </c>
      <c r="D1044">
        <v>89.606300000000005</v>
      </c>
      <c r="E1044">
        <v>110.039</v>
      </c>
      <c r="F1044">
        <v>100.8458</v>
      </c>
      <c r="G1044">
        <v>88.18</v>
      </c>
      <c r="H1044">
        <v>77.391999999999996</v>
      </c>
      <c r="I1044">
        <v>97.448300000000003</v>
      </c>
      <c r="J1044">
        <v>80.364400000000003</v>
      </c>
      <c r="K1044">
        <v>156.80000000000001</v>
      </c>
    </row>
    <row r="1045" spans="1:11" x14ac:dyDescent="0.35">
      <c r="A1045" s="77">
        <v>38687</v>
      </c>
      <c r="B1045">
        <v>98.022199999999998</v>
      </c>
      <c r="C1045">
        <v>120.76479999999999</v>
      </c>
      <c r="D1045">
        <v>88.916200000000003</v>
      </c>
      <c r="E1045">
        <v>110.8018</v>
      </c>
      <c r="F1045">
        <v>100.93940000000001</v>
      </c>
      <c r="G1045">
        <v>88.861400000000003</v>
      </c>
      <c r="H1045">
        <v>78.246899999999997</v>
      </c>
      <c r="I1045">
        <v>100.3901</v>
      </c>
      <c r="J1045">
        <v>80.628399999999999</v>
      </c>
      <c r="K1045">
        <v>156.80000000000001</v>
      </c>
    </row>
    <row r="1046" spans="1:11" x14ac:dyDescent="0.35">
      <c r="A1046" s="77">
        <v>38718</v>
      </c>
      <c r="B1046">
        <v>98.204400000000007</v>
      </c>
      <c r="C1046">
        <v>122.3293</v>
      </c>
      <c r="D1046">
        <v>90.540099999999995</v>
      </c>
      <c r="E1046">
        <v>109.9032</v>
      </c>
      <c r="F1046">
        <v>101.76220000000001</v>
      </c>
      <c r="G1046">
        <v>89.238299999999995</v>
      </c>
      <c r="H1046">
        <v>80.2684</v>
      </c>
      <c r="I1046">
        <v>92.316299999999998</v>
      </c>
      <c r="J1046">
        <v>80.664900000000003</v>
      </c>
      <c r="K1046">
        <v>157.5</v>
      </c>
    </row>
    <row r="1047" spans="1:11" x14ac:dyDescent="0.35">
      <c r="A1047" s="77">
        <v>38749</v>
      </c>
      <c r="B1047">
        <v>98.240399999999994</v>
      </c>
      <c r="C1047">
        <v>121.1469</v>
      </c>
      <c r="D1047">
        <v>90.876499999999993</v>
      </c>
      <c r="E1047">
        <v>109.37739999999999</v>
      </c>
      <c r="F1047">
        <v>101.4658</v>
      </c>
      <c r="G1047">
        <v>89.574399999999997</v>
      </c>
      <c r="H1047">
        <v>79.805999999999997</v>
      </c>
      <c r="I1047">
        <v>95.739199999999997</v>
      </c>
      <c r="J1047">
        <v>80.580299999999994</v>
      </c>
      <c r="K1047">
        <v>158</v>
      </c>
    </row>
    <row r="1048" spans="1:11" x14ac:dyDescent="0.35">
      <c r="A1048" s="77">
        <v>38777</v>
      </c>
      <c r="B1048">
        <v>98.474199999999996</v>
      </c>
      <c r="C1048">
        <v>120.9145</v>
      </c>
      <c r="D1048">
        <v>91.690299999999993</v>
      </c>
      <c r="E1048">
        <v>109.9837</v>
      </c>
      <c r="F1048">
        <v>101.41759999999999</v>
      </c>
      <c r="G1048">
        <v>89.571600000000004</v>
      </c>
      <c r="H1048">
        <v>79.884100000000004</v>
      </c>
      <c r="I1048">
        <v>98.170500000000004</v>
      </c>
      <c r="J1048">
        <v>80.6554</v>
      </c>
      <c r="K1048">
        <v>158.4</v>
      </c>
    </row>
    <row r="1049" spans="1:11" x14ac:dyDescent="0.35">
      <c r="A1049" s="77">
        <v>38808</v>
      </c>
      <c r="B1049">
        <v>98.776499999999999</v>
      </c>
      <c r="C1049">
        <v>120.2957</v>
      </c>
      <c r="D1049">
        <v>93.152199999999993</v>
      </c>
      <c r="E1049">
        <v>110.29689999999999</v>
      </c>
      <c r="F1049">
        <v>101.7898</v>
      </c>
      <c r="G1049">
        <v>89.741600000000005</v>
      </c>
      <c r="H1049">
        <v>80.511899999999997</v>
      </c>
      <c r="I1049">
        <v>97.407899999999998</v>
      </c>
      <c r="J1049">
        <v>80.781700000000001</v>
      </c>
      <c r="K1049">
        <v>158.5</v>
      </c>
    </row>
    <row r="1050" spans="1:11" x14ac:dyDescent="0.35">
      <c r="A1050" s="77">
        <v>38838</v>
      </c>
      <c r="B1050">
        <v>98.788399999999996</v>
      </c>
      <c r="C1050">
        <v>119.4182</v>
      </c>
      <c r="D1050">
        <v>93.225899999999996</v>
      </c>
      <c r="E1050">
        <v>110.1178</v>
      </c>
      <c r="F1050">
        <v>101.5625</v>
      </c>
      <c r="G1050">
        <v>89.933400000000006</v>
      </c>
      <c r="H1050">
        <v>81.162199999999999</v>
      </c>
      <c r="I1050">
        <v>98.631500000000003</v>
      </c>
      <c r="J1050">
        <v>80.662199999999999</v>
      </c>
      <c r="K1050">
        <v>158.9</v>
      </c>
    </row>
    <row r="1051" spans="1:11" x14ac:dyDescent="0.35">
      <c r="A1051" s="77">
        <v>38869</v>
      </c>
      <c r="B1051">
        <v>99.106899999999996</v>
      </c>
      <c r="C1051">
        <v>118.9088</v>
      </c>
      <c r="D1051">
        <v>93.961600000000004</v>
      </c>
      <c r="E1051">
        <v>110.63509999999999</v>
      </c>
      <c r="F1051">
        <v>101.90309999999999</v>
      </c>
      <c r="G1051">
        <v>90.176400000000001</v>
      </c>
      <c r="H1051">
        <v>81.580100000000002</v>
      </c>
      <c r="I1051">
        <v>99.1066</v>
      </c>
      <c r="J1051">
        <v>80.782399999999996</v>
      </c>
      <c r="K1051">
        <v>159</v>
      </c>
    </row>
    <row r="1052" spans="1:11" x14ac:dyDescent="0.35">
      <c r="A1052" s="77">
        <v>38899</v>
      </c>
      <c r="B1052">
        <v>99.035700000000006</v>
      </c>
      <c r="C1052">
        <v>119.2728</v>
      </c>
      <c r="D1052">
        <v>94.717299999999994</v>
      </c>
      <c r="E1052">
        <v>109.6644</v>
      </c>
      <c r="F1052">
        <v>101.60339999999999</v>
      </c>
      <c r="G1052">
        <v>90.302700000000002</v>
      </c>
      <c r="H1052">
        <v>81.931299999999993</v>
      </c>
      <c r="I1052">
        <v>100.5998</v>
      </c>
      <c r="J1052">
        <v>80.573499999999996</v>
      </c>
      <c r="K1052">
        <v>158.1</v>
      </c>
    </row>
    <row r="1053" spans="1:11" x14ac:dyDescent="0.35">
      <c r="A1053" s="77">
        <v>38930</v>
      </c>
      <c r="B1053">
        <v>99.458299999999994</v>
      </c>
      <c r="C1053">
        <v>118.3672</v>
      </c>
      <c r="D1053">
        <v>95.498400000000004</v>
      </c>
      <c r="E1053">
        <v>110.6915</v>
      </c>
      <c r="F1053">
        <v>102.41119999999999</v>
      </c>
      <c r="G1053">
        <v>90.567700000000002</v>
      </c>
      <c r="H1053">
        <v>81.690799999999996</v>
      </c>
      <c r="I1053">
        <v>99.770600000000002</v>
      </c>
      <c r="J1053">
        <v>80.753299999999996</v>
      </c>
      <c r="K1053">
        <v>158.69999999999999</v>
      </c>
    </row>
    <row r="1054" spans="1:11" x14ac:dyDescent="0.35">
      <c r="A1054" s="77">
        <v>38961</v>
      </c>
      <c r="B1054">
        <v>99.254400000000004</v>
      </c>
      <c r="C1054">
        <v>118.2364</v>
      </c>
      <c r="D1054">
        <v>95.570599999999999</v>
      </c>
      <c r="E1054">
        <v>110.1818</v>
      </c>
      <c r="F1054">
        <v>102.4877</v>
      </c>
      <c r="G1054">
        <v>90.382400000000004</v>
      </c>
      <c r="H1054">
        <v>82.024699999999996</v>
      </c>
      <c r="I1054">
        <v>96.723299999999995</v>
      </c>
      <c r="J1054">
        <v>80.414000000000001</v>
      </c>
      <c r="K1054">
        <v>159.19999999999999</v>
      </c>
    </row>
    <row r="1055" spans="1:11" x14ac:dyDescent="0.35">
      <c r="A1055" s="77">
        <v>38991</v>
      </c>
      <c r="B1055">
        <v>99.151399999999995</v>
      </c>
      <c r="C1055">
        <v>116.9911</v>
      </c>
      <c r="D1055">
        <v>95.825900000000004</v>
      </c>
      <c r="E1055">
        <v>110.04949999999999</v>
      </c>
      <c r="F1055">
        <v>102.0098</v>
      </c>
      <c r="G1055">
        <v>90.215699999999998</v>
      </c>
      <c r="H1055">
        <v>82.405799999999999</v>
      </c>
      <c r="I1055">
        <v>98.6815</v>
      </c>
      <c r="J1055">
        <v>80.148099999999999</v>
      </c>
      <c r="K1055">
        <v>158.5</v>
      </c>
    </row>
    <row r="1056" spans="1:11" x14ac:dyDescent="0.35">
      <c r="A1056" s="77">
        <v>39022</v>
      </c>
      <c r="B1056">
        <v>99.097399999999993</v>
      </c>
      <c r="C1056">
        <v>116.72110000000001</v>
      </c>
      <c r="D1056">
        <v>96.222999999999999</v>
      </c>
      <c r="E1056">
        <v>110.20399999999999</v>
      </c>
      <c r="F1056">
        <v>102.1152</v>
      </c>
      <c r="G1056">
        <v>89.990399999999994</v>
      </c>
      <c r="H1056">
        <v>81.284899999999993</v>
      </c>
      <c r="I1056">
        <v>99.093100000000007</v>
      </c>
      <c r="J1056">
        <v>79.915899999999993</v>
      </c>
      <c r="K1056">
        <v>159.9</v>
      </c>
    </row>
    <row r="1057" spans="1:11" x14ac:dyDescent="0.35">
      <c r="A1057" s="77">
        <v>39052</v>
      </c>
      <c r="B1057">
        <v>100.1117</v>
      </c>
      <c r="C1057">
        <v>119.8078</v>
      </c>
      <c r="D1057">
        <v>97.725300000000004</v>
      </c>
      <c r="E1057">
        <v>110.76</v>
      </c>
      <c r="F1057">
        <v>103.6789</v>
      </c>
      <c r="G1057">
        <v>90.936700000000002</v>
      </c>
      <c r="H1057">
        <v>82.572299999999998</v>
      </c>
      <c r="I1057">
        <v>95.929199999999994</v>
      </c>
      <c r="J1057">
        <v>80.541300000000007</v>
      </c>
      <c r="K1057">
        <v>160</v>
      </c>
    </row>
    <row r="1058" spans="1:11" x14ac:dyDescent="0.35">
      <c r="A1058" s="77">
        <v>39083</v>
      </c>
      <c r="B1058">
        <v>99.7226</v>
      </c>
      <c r="C1058">
        <v>117.91119999999999</v>
      </c>
      <c r="D1058">
        <v>96.005399999999995</v>
      </c>
      <c r="E1058">
        <v>110.0997</v>
      </c>
      <c r="F1058">
        <v>103.2709</v>
      </c>
      <c r="G1058">
        <v>90.875799999999998</v>
      </c>
      <c r="H1058">
        <v>80.695099999999996</v>
      </c>
      <c r="I1058">
        <v>98.005300000000005</v>
      </c>
      <c r="J1058">
        <v>80.036699999999996</v>
      </c>
      <c r="K1058">
        <v>160.19999999999999</v>
      </c>
    </row>
    <row r="1059" spans="1:11" x14ac:dyDescent="0.35">
      <c r="A1059" s="77">
        <v>39114</v>
      </c>
      <c r="B1059">
        <v>100.6919</v>
      </c>
      <c r="C1059">
        <v>118.083</v>
      </c>
      <c r="D1059">
        <v>96.770799999999994</v>
      </c>
      <c r="E1059">
        <v>111.3505</v>
      </c>
      <c r="F1059">
        <v>103.65170000000001</v>
      </c>
      <c r="G1059">
        <v>91.824100000000001</v>
      </c>
      <c r="H1059">
        <v>81.465500000000006</v>
      </c>
      <c r="I1059">
        <v>104.0941</v>
      </c>
      <c r="J1059">
        <v>80.624600000000001</v>
      </c>
      <c r="K1059">
        <v>160.9</v>
      </c>
    </row>
    <row r="1060" spans="1:11" x14ac:dyDescent="0.35">
      <c r="A1060" s="77">
        <v>39142</v>
      </c>
      <c r="B1060">
        <v>100.8857</v>
      </c>
      <c r="C1060">
        <v>119.4777</v>
      </c>
      <c r="D1060">
        <v>98.581199999999995</v>
      </c>
      <c r="E1060">
        <v>110.47450000000001</v>
      </c>
      <c r="F1060">
        <v>104.5857</v>
      </c>
      <c r="G1060">
        <v>92.1494</v>
      </c>
      <c r="H1060">
        <v>81.471100000000007</v>
      </c>
      <c r="I1060">
        <v>99.237200000000001</v>
      </c>
      <c r="J1060">
        <v>80.595399999999998</v>
      </c>
      <c r="K1060">
        <v>160.9</v>
      </c>
    </row>
    <row r="1061" spans="1:11" x14ac:dyDescent="0.35">
      <c r="A1061" s="77">
        <v>39173</v>
      </c>
      <c r="B1061">
        <v>101.57769999999999</v>
      </c>
      <c r="C1061">
        <v>118.9952</v>
      </c>
      <c r="D1061">
        <v>99.577600000000004</v>
      </c>
      <c r="E1061">
        <v>111.0609</v>
      </c>
      <c r="F1061">
        <v>105.27979999999999</v>
      </c>
      <c r="G1061">
        <v>92.836100000000002</v>
      </c>
      <c r="H1061">
        <v>81.664100000000005</v>
      </c>
      <c r="I1061">
        <v>100.8605</v>
      </c>
      <c r="J1061">
        <v>80.973699999999994</v>
      </c>
      <c r="K1061">
        <v>161</v>
      </c>
    </row>
    <row r="1062" spans="1:11" x14ac:dyDescent="0.35">
      <c r="A1062" s="77">
        <v>39203</v>
      </c>
      <c r="B1062">
        <v>101.6481</v>
      </c>
      <c r="C1062">
        <v>118.6664</v>
      </c>
      <c r="D1062">
        <v>99.6995</v>
      </c>
      <c r="E1062">
        <v>110.6503</v>
      </c>
      <c r="F1062">
        <v>105.2647</v>
      </c>
      <c r="G1062">
        <v>93.232500000000002</v>
      </c>
      <c r="H1062">
        <v>82.290099999999995</v>
      </c>
      <c r="I1062">
        <v>101.0402</v>
      </c>
      <c r="J1062">
        <v>80.871300000000005</v>
      </c>
      <c r="K1062">
        <v>161.4</v>
      </c>
    </row>
    <row r="1063" spans="1:11" x14ac:dyDescent="0.35">
      <c r="A1063" s="77">
        <v>39234</v>
      </c>
      <c r="B1063">
        <v>101.6741</v>
      </c>
      <c r="C1063">
        <v>119.29649999999999</v>
      </c>
      <c r="D1063">
        <v>99.687799999999996</v>
      </c>
      <c r="E1063">
        <v>110.7778</v>
      </c>
      <c r="F1063">
        <v>105.6801</v>
      </c>
      <c r="G1063">
        <v>93.132199999999997</v>
      </c>
      <c r="H1063">
        <v>81.867699999999999</v>
      </c>
      <c r="I1063">
        <v>99.191699999999997</v>
      </c>
      <c r="J1063">
        <v>80.754800000000003</v>
      </c>
      <c r="K1063">
        <v>161.69999999999999</v>
      </c>
    </row>
    <row r="1064" spans="1:11" x14ac:dyDescent="0.35">
      <c r="A1064" s="77">
        <v>39264</v>
      </c>
      <c r="B1064">
        <v>101.56270000000001</v>
      </c>
      <c r="C1064">
        <v>118.8425</v>
      </c>
      <c r="D1064">
        <v>99.761700000000005</v>
      </c>
      <c r="E1064">
        <v>110.4575</v>
      </c>
      <c r="F1064">
        <v>105.7557</v>
      </c>
      <c r="G1064">
        <v>93.233900000000006</v>
      </c>
      <c r="H1064">
        <v>81.835300000000004</v>
      </c>
      <c r="I1064">
        <v>98.100300000000004</v>
      </c>
      <c r="J1064">
        <v>80.558199999999999</v>
      </c>
      <c r="K1064">
        <v>162.1</v>
      </c>
    </row>
    <row r="1065" spans="1:11" x14ac:dyDescent="0.35">
      <c r="A1065" s="77">
        <v>39295</v>
      </c>
      <c r="B1065">
        <v>101.77509999999999</v>
      </c>
      <c r="C1065">
        <v>118.2568</v>
      </c>
      <c r="D1065">
        <v>99.950100000000006</v>
      </c>
      <c r="E1065">
        <v>110.2414</v>
      </c>
      <c r="F1065">
        <v>105.5295</v>
      </c>
      <c r="G1065">
        <v>93.744399999999999</v>
      </c>
      <c r="H1065">
        <v>81.820099999999996</v>
      </c>
      <c r="I1065">
        <v>102.7539</v>
      </c>
      <c r="J1065">
        <v>80.650899999999993</v>
      </c>
      <c r="K1065">
        <v>162.30000000000001</v>
      </c>
    </row>
    <row r="1066" spans="1:11" x14ac:dyDescent="0.35">
      <c r="A1066" s="77">
        <v>39326</v>
      </c>
      <c r="B1066">
        <v>102.0279</v>
      </c>
      <c r="C1066">
        <v>118.41889999999999</v>
      </c>
      <c r="D1066">
        <v>101.4502</v>
      </c>
      <c r="E1066">
        <v>110.1271</v>
      </c>
      <c r="F1066">
        <v>105.8948</v>
      </c>
      <c r="G1066">
        <v>93.822100000000006</v>
      </c>
      <c r="H1066">
        <v>81.942499999999995</v>
      </c>
      <c r="I1066">
        <v>102.8199</v>
      </c>
      <c r="J1066">
        <v>80.8035</v>
      </c>
      <c r="K1066">
        <v>162.30000000000001</v>
      </c>
    </row>
    <row r="1067" spans="1:11" x14ac:dyDescent="0.35">
      <c r="A1067" s="77">
        <v>39356</v>
      </c>
      <c r="B1067">
        <v>101.7289</v>
      </c>
      <c r="C1067">
        <v>117.6798</v>
      </c>
      <c r="D1067">
        <v>101.1163</v>
      </c>
      <c r="E1067">
        <v>109.1465</v>
      </c>
      <c r="F1067">
        <v>105.75539999999999</v>
      </c>
      <c r="G1067">
        <v>93.941299999999998</v>
      </c>
      <c r="H1067">
        <v>81.690100000000001</v>
      </c>
      <c r="I1067">
        <v>101.56829999999999</v>
      </c>
      <c r="J1067">
        <v>80.545900000000003</v>
      </c>
      <c r="K1067">
        <v>162.9</v>
      </c>
    </row>
    <row r="1068" spans="1:11" x14ac:dyDescent="0.35">
      <c r="A1068" s="77">
        <v>39387</v>
      </c>
      <c r="B1068">
        <v>102.3185</v>
      </c>
      <c r="C1068">
        <v>117.65300000000001</v>
      </c>
      <c r="D1068">
        <v>101.8745</v>
      </c>
      <c r="E1068">
        <v>109.11060000000001</v>
      </c>
      <c r="F1068">
        <v>106.3892</v>
      </c>
      <c r="G1068">
        <v>94.798100000000005</v>
      </c>
      <c r="H1068">
        <v>82.644499999999994</v>
      </c>
      <c r="I1068">
        <v>101.6339</v>
      </c>
      <c r="J1068">
        <v>81.016000000000005</v>
      </c>
      <c r="K1068">
        <v>163.4</v>
      </c>
    </row>
    <row r="1069" spans="1:11" x14ac:dyDescent="0.35">
      <c r="A1069" s="77">
        <v>39417</v>
      </c>
      <c r="B1069">
        <v>102.3074</v>
      </c>
      <c r="C1069">
        <v>117.75449999999999</v>
      </c>
      <c r="D1069">
        <v>102.8506</v>
      </c>
      <c r="E1069">
        <v>108.79389999999999</v>
      </c>
      <c r="F1069">
        <v>106.47369999999999</v>
      </c>
      <c r="G1069">
        <v>94.781999999999996</v>
      </c>
      <c r="H1069">
        <v>83.313999999999993</v>
      </c>
      <c r="I1069">
        <v>99.676900000000003</v>
      </c>
      <c r="J1069">
        <v>81.030600000000007</v>
      </c>
      <c r="K1069">
        <v>163.4</v>
      </c>
    </row>
    <row r="1070" spans="1:11" x14ac:dyDescent="0.35">
      <c r="A1070" s="77">
        <v>39448</v>
      </c>
      <c r="B1070">
        <v>102.1686</v>
      </c>
      <c r="C1070">
        <v>117.79179999999999</v>
      </c>
      <c r="D1070">
        <v>103.3248</v>
      </c>
      <c r="E1070">
        <v>108.53270000000001</v>
      </c>
      <c r="F1070">
        <v>106.2347</v>
      </c>
      <c r="G1070">
        <v>94.536100000000005</v>
      </c>
      <c r="H1070">
        <v>82.909599999999998</v>
      </c>
      <c r="I1070">
        <v>100.9131</v>
      </c>
      <c r="J1070">
        <v>80.960999999999999</v>
      </c>
      <c r="K1070">
        <v>164.1</v>
      </c>
    </row>
    <row r="1071" spans="1:11" x14ac:dyDescent="0.35">
      <c r="A1071" s="77">
        <v>39479</v>
      </c>
      <c r="B1071">
        <v>101.76730000000001</v>
      </c>
      <c r="C1071">
        <v>115.3884</v>
      </c>
      <c r="D1071">
        <v>103.3305</v>
      </c>
      <c r="E1071">
        <v>108.3496</v>
      </c>
      <c r="F1071">
        <v>105.4327</v>
      </c>
      <c r="G1071">
        <v>94.059799999999996</v>
      </c>
      <c r="H1071">
        <v>83.002499999999998</v>
      </c>
      <c r="I1071">
        <v>102.3261</v>
      </c>
      <c r="J1071">
        <v>80.691299999999998</v>
      </c>
      <c r="K1071">
        <v>164.8</v>
      </c>
    </row>
    <row r="1072" spans="1:11" x14ac:dyDescent="0.35">
      <c r="A1072" s="77">
        <v>39508</v>
      </c>
      <c r="B1072">
        <v>101.3986</v>
      </c>
      <c r="C1072">
        <v>113.8871</v>
      </c>
      <c r="D1072">
        <v>104.0532</v>
      </c>
      <c r="E1072">
        <v>106.7843</v>
      </c>
      <c r="F1072">
        <v>104.9422</v>
      </c>
      <c r="G1072">
        <v>94.125200000000007</v>
      </c>
      <c r="H1072">
        <v>83.430599999999998</v>
      </c>
      <c r="I1072">
        <v>101.5296</v>
      </c>
      <c r="J1072">
        <v>80.451599999999999</v>
      </c>
      <c r="K1072">
        <v>165.1</v>
      </c>
    </row>
    <row r="1073" spans="1:11" x14ac:dyDescent="0.35">
      <c r="A1073" s="77">
        <v>39539</v>
      </c>
      <c r="B1073">
        <v>100.7238</v>
      </c>
      <c r="C1073">
        <v>111.764</v>
      </c>
      <c r="D1073">
        <v>102.1516</v>
      </c>
      <c r="E1073">
        <v>106.10809999999999</v>
      </c>
      <c r="F1073">
        <v>103.8964</v>
      </c>
      <c r="G1073">
        <v>93.783199999999994</v>
      </c>
      <c r="H1073">
        <v>83.836200000000005</v>
      </c>
      <c r="I1073">
        <v>101.54859999999999</v>
      </c>
      <c r="J1073">
        <v>79.966700000000003</v>
      </c>
      <c r="K1073">
        <v>165.8</v>
      </c>
    </row>
    <row r="1074" spans="1:11" x14ac:dyDescent="0.35">
      <c r="A1074" s="77">
        <v>39569</v>
      </c>
      <c r="B1074">
        <v>100.1399</v>
      </c>
      <c r="C1074">
        <v>110.6193</v>
      </c>
      <c r="D1074">
        <v>102.49</v>
      </c>
      <c r="E1074">
        <v>105.4884</v>
      </c>
      <c r="F1074">
        <v>103.3681</v>
      </c>
      <c r="G1074">
        <v>93.103200000000001</v>
      </c>
      <c r="H1074">
        <v>83.663700000000006</v>
      </c>
      <c r="I1074">
        <v>100.3322</v>
      </c>
      <c r="J1074">
        <v>79.539900000000003</v>
      </c>
      <c r="K1074">
        <v>166.3</v>
      </c>
    </row>
    <row r="1075" spans="1:11" x14ac:dyDescent="0.35">
      <c r="A1075" s="77">
        <v>39600</v>
      </c>
      <c r="B1075">
        <v>99.914100000000005</v>
      </c>
      <c r="C1075">
        <v>109.43340000000001</v>
      </c>
      <c r="D1075">
        <v>101.8044</v>
      </c>
      <c r="E1075">
        <v>105.2533</v>
      </c>
      <c r="F1075">
        <v>102.6801</v>
      </c>
      <c r="G1075">
        <v>93.079899999999995</v>
      </c>
      <c r="H1075">
        <v>84.298100000000005</v>
      </c>
      <c r="I1075">
        <v>101.804</v>
      </c>
      <c r="J1075">
        <v>79.375799999999998</v>
      </c>
      <c r="K1075">
        <v>166.6</v>
      </c>
    </row>
    <row r="1076" spans="1:11" x14ac:dyDescent="0.35">
      <c r="A1076" s="77">
        <v>39630</v>
      </c>
      <c r="B1076">
        <v>99.494299999999996</v>
      </c>
      <c r="C1076">
        <v>109.16840000000001</v>
      </c>
      <c r="D1076">
        <v>99.914100000000005</v>
      </c>
      <c r="E1076">
        <v>104.6172</v>
      </c>
      <c r="F1076">
        <v>101.5866</v>
      </c>
      <c r="G1076">
        <v>93.057900000000004</v>
      </c>
      <c r="H1076">
        <v>86.441900000000004</v>
      </c>
      <c r="I1076">
        <v>100.42659999999999</v>
      </c>
      <c r="J1076">
        <v>79.028099999999995</v>
      </c>
      <c r="K1076">
        <v>167.4</v>
      </c>
    </row>
    <row r="1077" spans="1:11" x14ac:dyDescent="0.35">
      <c r="A1077" s="77">
        <v>39661</v>
      </c>
      <c r="B1077">
        <v>97.936700000000002</v>
      </c>
      <c r="C1077">
        <v>106.91630000000001</v>
      </c>
      <c r="D1077">
        <v>98.005799999999994</v>
      </c>
      <c r="E1077">
        <v>102.73350000000001</v>
      </c>
      <c r="F1077">
        <v>100.29089999999999</v>
      </c>
      <c r="G1077">
        <v>91.499200000000002</v>
      </c>
      <c r="H1077">
        <v>85.057599999999994</v>
      </c>
      <c r="I1077">
        <v>96.780699999999996</v>
      </c>
      <c r="J1077">
        <v>77.745900000000006</v>
      </c>
      <c r="K1077">
        <v>168.1</v>
      </c>
    </row>
    <row r="1078" spans="1:11" x14ac:dyDescent="0.35">
      <c r="A1078" s="77">
        <v>39692</v>
      </c>
      <c r="B1078">
        <v>93.658500000000004</v>
      </c>
      <c r="C1078">
        <v>104.12909999999999</v>
      </c>
      <c r="D1078">
        <v>90.203100000000006</v>
      </c>
      <c r="E1078">
        <v>102.01179999999999</v>
      </c>
      <c r="F1078">
        <v>96.742599999999996</v>
      </c>
      <c r="G1078">
        <v>85.474400000000003</v>
      </c>
      <c r="H1078">
        <v>75.412000000000006</v>
      </c>
      <c r="I1078">
        <v>98.697000000000003</v>
      </c>
      <c r="J1078">
        <v>74.2851</v>
      </c>
      <c r="K1078">
        <v>168.9</v>
      </c>
    </row>
    <row r="1079" spans="1:11" x14ac:dyDescent="0.35">
      <c r="A1079" s="77">
        <v>39722</v>
      </c>
      <c r="B1079">
        <v>94.584500000000006</v>
      </c>
      <c r="C1079">
        <v>102.4148</v>
      </c>
      <c r="D1079">
        <v>87.6828</v>
      </c>
      <c r="E1079">
        <v>102.2941</v>
      </c>
      <c r="F1079">
        <v>96.190600000000003</v>
      </c>
      <c r="G1079">
        <v>87.970399999999998</v>
      </c>
      <c r="H1079">
        <v>82.012100000000004</v>
      </c>
      <c r="I1079">
        <v>99.389200000000002</v>
      </c>
      <c r="J1079">
        <v>74.936599999999999</v>
      </c>
      <c r="K1079">
        <v>170.5</v>
      </c>
    </row>
    <row r="1080" spans="1:11" x14ac:dyDescent="0.35">
      <c r="A1080" s="77">
        <v>39753</v>
      </c>
      <c r="B1080">
        <v>93.345500000000001</v>
      </c>
      <c r="C1080">
        <v>97.335999999999999</v>
      </c>
      <c r="D1080">
        <v>88.882099999999994</v>
      </c>
      <c r="E1080">
        <v>101.425</v>
      </c>
      <c r="F1080">
        <v>93.768699999999995</v>
      </c>
      <c r="G1080">
        <v>86.624799999999993</v>
      </c>
      <c r="H1080">
        <v>83.923199999999994</v>
      </c>
      <c r="I1080">
        <v>100.75360000000001</v>
      </c>
      <c r="J1080">
        <v>73.861800000000002</v>
      </c>
      <c r="K1080">
        <v>170.4</v>
      </c>
    </row>
    <row r="1081" spans="1:11" x14ac:dyDescent="0.35">
      <c r="A1081" s="77">
        <v>39783</v>
      </c>
      <c r="B1081">
        <v>90.718299999999999</v>
      </c>
      <c r="C1081">
        <v>91.8626</v>
      </c>
      <c r="D1081">
        <v>89.748800000000003</v>
      </c>
      <c r="E1081">
        <v>99.391199999999998</v>
      </c>
      <c r="F1081">
        <v>90.561700000000002</v>
      </c>
      <c r="G1081">
        <v>83.424300000000002</v>
      </c>
      <c r="H1081">
        <v>82.355199999999996</v>
      </c>
      <c r="I1081">
        <v>100.3211</v>
      </c>
      <c r="J1081">
        <v>71.686599999999999</v>
      </c>
      <c r="K1081">
        <v>170.8</v>
      </c>
    </row>
    <row r="1082" spans="1:11" x14ac:dyDescent="0.35">
      <c r="A1082" s="77">
        <v>39814</v>
      </c>
      <c r="B1082">
        <v>88.468299999999999</v>
      </c>
      <c r="C1082">
        <v>87.807500000000005</v>
      </c>
      <c r="D1082">
        <v>84.732399999999998</v>
      </c>
      <c r="E1082">
        <v>97.0261</v>
      </c>
      <c r="F1082">
        <v>87.620199999999997</v>
      </c>
      <c r="G1082">
        <v>81.854399999999998</v>
      </c>
      <c r="H1082">
        <v>81.878699999999995</v>
      </c>
      <c r="I1082">
        <v>100.2004</v>
      </c>
      <c r="J1082">
        <v>69.811199999999999</v>
      </c>
      <c r="K1082">
        <v>170.8</v>
      </c>
    </row>
    <row r="1083" spans="1:11" x14ac:dyDescent="0.35">
      <c r="A1083" s="77">
        <v>39845</v>
      </c>
      <c r="B1083">
        <v>87.936000000000007</v>
      </c>
      <c r="C1083">
        <v>86.311000000000007</v>
      </c>
      <c r="D1083">
        <v>84.274799999999999</v>
      </c>
      <c r="E1083">
        <v>97.113100000000003</v>
      </c>
      <c r="F1083">
        <v>87.6267</v>
      </c>
      <c r="G1083">
        <v>81.391000000000005</v>
      </c>
      <c r="H1083">
        <v>80.8172</v>
      </c>
      <c r="I1083">
        <v>97.337599999999995</v>
      </c>
      <c r="J1083">
        <v>69.306299999999993</v>
      </c>
      <c r="K1083">
        <v>170.9</v>
      </c>
    </row>
    <row r="1084" spans="1:11" x14ac:dyDescent="0.35">
      <c r="A1084" s="77">
        <v>39873</v>
      </c>
      <c r="B1084">
        <v>86.550299999999993</v>
      </c>
      <c r="C1084">
        <v>83.435400000000001</v>
      </c>
      <c r="D1084">
        <v>82.531999999999996</v>
      </c>
      <c r="E1084">
        <v>96.575599999999994</v>
      </c>
      <c r="F1084">
        <v>86.084199999999996</v>
      </c>
      <c r="G1084">
        <v>79.911100000000005</v>
      </c>
      <c r="H1084">
        <v>79.056600000000003</v>
      </c>
      <c r="I1084">
        <v>98.618600000000001</v>
      </c>
      <c r="J1084">
        <v>68.139099999999999</v>
      </c>
      <c r="K1084">
        <v>171.2</v>
      </c>
    </row>
    <row r="1085" spans="1:11" x14ac:dyDescent="0.35">
      <c r="A1085" s="77">
        <v>39904</v>
      </c>
      <c r="B1085">
        <v>85.859800000000007</v>
      </c>
      <c r="C1085">
        <v>81.883899999999997</v>
      </c>
      <c r="D1085">
        <v>80.879199999999997</v>
      </c>
      <c r="E1085">
        <v>96.281899999999993</v>
      </c>
      <c r="F1085">
        <v>85.530500000000004</v>
      </c>
      <c r="G1085">
        <v>79.316500000000005</v>
      </c>
      <c r="H1085">
        <v>77.805400000000006</v>
      </c>
      <c r="I1085">
        <v>98.191199999999995</v>
      </c>
      <c r="J1085">
        <v>67.528700000000001</v>
      </c>
      <c r="K1085">
        <v>171.3</v>
      </c>
    </row>
    <row r="1086" spans="1:11" x14ac:dyDescent="0.35">
      <c r="A1086" s="77">
        <v>39934</v>
      </c>
      <c r="B1086">
        <v>84.999099999999999</v>
      </c>
      <c r="C1086">
        <v>81.555499999999995</v>
      </c>
      <c r="D1086">
        <v>78.614699999999999</v>
      </c>
      <c r="E1086">
        <v>95.035600000000002</v>
      </c>
      <c r="F1086">
        <v>84.616900000000001</v>
      </c>
      <c r="G1086">
        <v>78.831800000000001</v>
      </c>
      <c r="H1086">
        <v>77.594200000000001</v>
      </c>
      <c r="I1086">
        <v>96.816599999999994</v>
      </c>
      <c r="J1086">
        <v>66.804199999999994</v>
      </c>
      <c r="K1086">
        <v>171.2</v>
      </c>
    </row>
    <row r="1087" spans="1:11" x14ac:dyDescent="0.35">
      <c r="A1087" s="77">
        <v>39965</v>
      </c>
      <c r="B1087">
        <v>84.727699999999999</v>
      </c>
      <c r="C1087">
        <v>81.588300000000004</v>
      </c>
      <c r="D1087">
        <v>77.972499999999997</v>
      </c>
      <c r="E1087">
        <v>94.602699999999999</v>
      </c>
      <c r="F1087">
        <v>84.4011</v>
      </c>
      <c r="G1087">
        <v>78.5959</v>
      </c>
      <c r="H1087">
        <v>77.376800000000003</v>
      </c>
      <c r="I1087">
        <v>96.004099999999994</v>
      </c>
      <c r="J1087">
        <v>66.567099999999996</v>
      </c>
      <c r="K1087">
        <v>171.8</v>
      </c>
    </row>
    <row r="1088" spans="1:11" x14ac:dyDescent="0.35">
      <c r="A1088" s="77">
        <v>39995</v>
      </c>
      <c r="B1088">
        <v>85.709100000000007</v>
      </c>
      <c r="C1088">
        <v>81.906999999999996</v>
      </c>
      <c r="D1088">
        <v>78.925799999999995</v>
      </c>
      <c r="E1088">
        <v>95.873599999999996</v>
      </c>
      <c r="F1088">
        <v>85.829899999999995</v>
      </c>
      <c r="G1088">
        <v>79.721900000000005</v>
      </c>
      <c r="H1088">
        <v>78.179000000000002</v>
      </c>
      <c r="I1088">
        <v>94.6935</v>
      </c>
      <c r="J1088">
        <v>67.341999999999999</v>
      </c>
      <c r="K1088">
        <v>171.4</v>
      </c>
    </row>
    <row r="1089" spans="1:11" x14ac:dyDescent="0.35">
      <c r="A1089" s="77">
        <v>40026</v>
      </c>
      <c r="B1089">
        <v>86.633300000000006</v>
      </c>
      <c r="C1089">
        <v>82.510400000000004</v>
      </c>
      <c r="D1089">
        <v>79.759200000000007</v>
      </c>
      <c r="E1089">
        <v>96.717699999999994</v>
      </c>
      <c r="F1089">
        <v>86.809700000000007</v>
      </c>
      <c r="G1089">
        <v>80.8596</v>
      </c>
      <c r="H1089">
        <v>79.051199999999994</v>
      </c>
      <c r="I1089">
        <v>95.726299999999995</v>
      </c>
      <c r="J1089">
        <v>68.099699999999999</v>
      </c>
      <c r="K1089">
        <v>171.8</v>
      </c>
    </row>
    <row r="1090" spans="1:11" x14ac:dyDescent="0.35">
      <c r="A1090" s="77">
        <v>40057</v>
      </c>
      <c r="B1090">
        <v>87.361500000000007</v>
      </c>
      <c r="C1090">
        <v>82.250299999999996</v>
      </c>
      <c r="D1090">
        <v>80.260000000000005</v>
      </c>
      <c r="E1090">
        <v>97.520899999999997</v>
      </c>
      <c r="F1090">
        <v>87.698700000000002</v>
      </c>
      <c r="G1090">
        <v>81.733400000000003</v>
      </c>
      <c r="H1090">
        <v>78.778499999999994</v>
      </c>
      <c r="I1090">
        <v>96.807699999999997</v>
      </c>
      <c r="J1090">
        <v>68.730199999999996</v>
      </c>
      <c r="K1090">
        <v>171.6</v>
      </c>
    </row>
    <row r="1091" spans="1:11" x14ac:dyDescent="0.35">
      <c r="A1091" s="77">
        <v>40087</v>
      </c>
      <c r="B1091">
        <v>87.5488</v>
      </c>
      <c r="C1091">
        <v>80.840500000000006</v>
      </c>
      <c r="D1091">
        <v>80.600399999999993</v>
      </c>
      <c r="E1091">
        <v>97.750500000000002</v>
      </c>
      <c r="F1091">
        <v>87.705699999999993</v>
      </c>
      <c r="G1091">
        <v>81.939099999999996</v>
      </c>
      <c r="H1091">
        <v>78.420299999999997</v>
      </c>
      <c r="I1091">
        <v>98.962299999999999</v>
      </c>
      <c r="J1091">
        <v>68.958600000000004</v>
      </c>
      <c r="K1091">
        <v>171.5</v>
      </c>
    </row>
    <row r="1092" spans="1:11" x14ac:dyDescent="0.35">
      <c r="A1092" s="77">
        <v>40118</v>
      </c>
      <c r="B1092">
        <v>87.914400000000001</v>
      </c>
      <c r="C1092">
        <v>82.480999999999995</v>
      </c>
      <c r="D1092">
        <v>80.487099999999998</v>
      </c>
      <c r="E1092">
        <v>97.1524</v>
      </c>
      <c r="F1092">
        <v>88.642899999999997</v>
      </c>
      <c r="G1092">
        <v>82.797799999999995</v>
      </c>
      <c r="H1092">
        <v>78.244399999999999</v>
      </c>
      <c r="I1092">
        <v>96.0077</v>
      </c>
      <c r="J1092">
        <v>69.347499999999997</v>
      </c>
      <c r="K1092">
        <v>172.1</v>
      </c>
    </row>
    <row r="1093" spans="1:11" x14ac:dyDescent="0.35">
      <c r="A1093" s="77">
        <v>40148</v>
      </c>
      <c r="B1093">
        <v>88.231800000000007</v>
      </c>
      <c r="C1093">
        <v>80.649199999999993</v>
      </c>
      <c r="D1093">
        <v>81.911000000000001</v>
      </c>
      <c r="E1093">
        <v>97.071399999999997</v>
      </c>
      <c r="F1093">
        <v>88.529300000000006</v>
      </c>
      <c r="G1093">
        <v>83.120699999999999</v>
      </c>
      <c r="H1093">
        <v>77.556299999999993</v>
      </c>
      <c r="I1093">
        <v>101.19370000000001</v>
      </c>
      <c r="J1093">
        <v>69.715900000000005</v>
      </c>
      <c r="K1093">
        <v>172.1</v>
      </c>
    </row>
    <row r="1094" spans="1:11" x14ac:dyDescent="0.35">
      <c r="A1094" s="77">
        <v>40179</v>
      </c>
      <c r="B1094">
        <v>89.193600000000004</v>
      </c>
      <c r="C1094">
        <v>82.170400000000001</v>
      </c>
      <c r="D1094">
        <v>83.106999999999999</v>
      </c>
      <c r="E1094">
        <v>97.699299999999994</v>
      </c>
      <c r="F1094">
        <v>89.569400000000002</v>
      </c>
      <c r="G1094">
        <v>84.167199999999994</v>
      </c>
      <c r="H1094">
        <v>79.062200000000004</v>
      </c>
      <c r="I1094">
        <v>101.6905</v>
      </c>
      <c r="J1094">
        <v>70.61</v>
      </c>
      <c r="K1094">
        <v>172.5</v>
      </c>
    </row>
    <row r="1095" spans="1:11" x14ac:dyDescent="0.35">
      <c r="A1095" s="77">
        <v>40210</v>
      </c>
      <c r="B1095">
        <v>89.508899999999997</v>
      </c>
      <c r="C1095">
        <v>82.273899999999998</v>
      </c>
      <c r="D1095">
        <v>82.713300000000004</v>
      </c>
      <c r="E1095">
        <v>96.889799999999994</v>
      </c>
      <c r="F1095">
        <v>89.589699999999993</v>
      </c>
      <c r="G1095">
        <v>85.254199999999997</v>
      </c>
      <c r="H1095">
        <v>80.464200000000005</v>
      </c>
      <c r="I1095">
        <v>103.1914</v>
      </c>
      <c r="J1095">
        <v>71.002099999999999</v>
      </c>
      <c r="K1095">
        <v>172.6</v>
      </c>
    </row>
    <row r="1096" spans="1:11" x14ac:dyDescent="0.35">
      <c r="A1096" s="77">
        <v>40238</v>
      </c>
      <c r="B1096">
        <v>90.144900000000007</v>
      </c>
      <c r="C1096">
        <v>83.715800000000002</v>
      </c>
      <c r="D1096">
        <v>84.289000000000001</v>
      </c>
      <c r="E1096">
        <v>97.232900000000001</v>
      </c>
      <c r="F1096">
        <v>90.800299999999993</v>
      </c>
      <c r="G1096">
        <v>85.746600000000001</v>
      </c>
      <c r="H1096">
        <v>81.242800000000003</v>
      </c>
      <c r="I1096">
        <v>99.703400000000002</v>
      </c>
      <c r="J1096">
        <v>71.657399999999996</v>
      </c>
      <c r="K1096">
        <v>172.9</v>
      </c>
    </row>
    <row r="1097" spans="1:11" x14ac:dyDescent="0.35">
      <c r="A1097" s="77">
        <v>40269</v>
      </c>
      <c r="B1097">
        <v>90.474000000000004</v>
      </c>
      <c r="C1097">
        <v>86.223500000000001</v>
      </c>
      <c r="D1097">
        <v>85.296400000000006</v>
      </c>
      <c r="E1097">
        <v>96.426400000000001</v>
      </c>
      <c r="F1097">
        <v>91.630600000000001</v>
      </c>
      <c r="G1097">
        <v>86.201999999999998</v>
      </c>
      <c r="H1097">
        <v>81.636799999999994</v>
      </c>
      <c r="I1097">
        <v>96.643000000000001</v>
      </c>
      <c r="J1097">
        <v>72.076599999999999</v>
      </c>
      <c r="K1097">
        <v>172.9</v>
      </c>
    </row>
    <row r="1098" spans="1:11" x14ac:dyDescent="0.35">
      <c r="A1098" s="77">
        <v>40299</v>
      </c>
      <c r="B1098">
        <v>91.713099999999997</v>
      </c>
      <c r="C1098">
        <v>86.477400000000003</v>
      </c>
      <c r="D1098">
        <v>86.831100000000006</v>
      </c>
      <c r="E1098">
        <v>98.236000000000004</v>
      </c>
      <c r="F1098">
        <v>92.847200000000001</v>
      </c>
      <c r="G1098">
        <v>87.364000000000004</v>
      </c>
      <c r="H1098">
        <v>81.573899999999995</v>
      </c>
      <c r="I1098">
        <v>100.6739</v>
      </c>
      <c r="J1098">
        <v>73.222300000000004</v>
      </c>
      <c r="K1098">
        <v>173.4</v>
      </c>
    </row>
    <row r="1099" spans="1:11" x14ac:dyDescent="0.35">
      <c r="A1099" s="77">
        <v>40330</v>
      </c>
      <c r="B1099">
        <v>91.928700000000006</v>
      </c>
      <c r="C1099">
        <v>86.444500000000005</v>
      </c>
      <c r="D1099">
        <v>87.328599999999994</v>
      </c>
      <c r="E1099">
        <v>97.988699999999994</v>
      </c>
      <c r="F1099">
        <v>92.851299999999995</v>
      </c>
      <c r="G1099">
        <v>87.897400000000005</v>
      </c>
      <c r="H1099">
        <v>81.704599999999999</v>
      </c>
      <c r="I1099">
        <v>102.6952</v>
      </c>
      <c r="J1099">
        <v>73.547300000000007</v>
      </c>
      <c r="K1099">
        <v>173.6</v>
      </c>
    </row>
    <row r="1100" spans="1:11" x14ac:dyDescent="0.35">
      <c r="A1100" s="77">
        <v>40360</v>
      </c>
      <c r="B1100">
        <v>92.273700000000005</v>
      </c>
      <c r="C1100">
        <v>85.976500000000001</v>
      </c>
      <c r="D1100">
        <v>88.130499999999998</v>
      </c>
      <c r="E1100">
        <v>98.636899999999997</v>
      </c>
      <c r="F1100">
        <v>93.360900000000001</v>
      </c>
      <c r="G1100">
        <v>88.102000000000004</v>
      </c>
      <c r="H1100">
        <v>82.181399999999996</v>
      </c>
      <c r="I1100">
        <v>101.8014</v>
      </c>
      <c r="J1100">
        <v>73.964500000000001</v>
      </c>
      <c r="K1100">
        <v>173.7</v>
      </c>
    </row>
    <row r="1101" spans="1:11" x14ac:dyDescent="0.35">
      <c r="A1101" s="77">
        <v>40391</v>
      </c>
      <c r="B1101">
        <v>92.614999999999995</v>
      </c>
      <c r="C1101">
        <v>86.521500000000003</v>
      </c>
      <c r="D1101">
        <v>88.183199999999999</v>
      </c>
      <c r="E1101">
        <v>98.388400000000004</v>
      </c>
      <c r="F1101">
        <v>93.5501</v>
      </c>
      <c r="G1101">
        <v>88.854200000000006</v>
      </c>
      <c r="H1101">
        <v>83.448800000000006</v>
      </c>
      <c r="I1101">
        <v>102.09520000000001</v>
      </c>
      <c r="J1101">
        <v>74.365099999999998</v>
      </c>
      <c r="K1101">
        <v>173.9</v>
      </c>
    </row>
    <row r="1102" spans="1:11" x14ac:dyDescent="0.35">
      <c r="A1102" s="77">
        <v>40422</v>
      </c>
      <c r="B1102">
        <v>92.866799999999998</v>
      </c>
      <c r="C1102">
        <v>86.567300000000003</v>
      </c>
      <c r="D1102">
        <v>88.552599999999998</v>
      </c>
      <c r="E1102">
        <v>98.0077</v>
      </c>
      <c r="F1102">
        <v>93.635499999999993</v>
      </c>
      <c r="G1102">
        <v>89.536500000000004</v>
      </c>
      <c r="H1102">
        <v>84.630099999999999</v>
      </c>
      <c r="I1102">
        <v>102.1328</v>
      </c>
      <c r="J1102">
        <v>74.676199999999994</v>
      </c>
      <c r="K1102">
        <v>174.3</v>
      </c>
    </row>
    <row r="1103" spans="1:11" x14ac:dyDescent="0.35">
      <c r="A1103" s="77">
        <v>40452</v>
      </c>
      <c r="B1103">
        <v>92.613799999999998</v>
      </c>
      <c r="C1103">
        <v>86.703000000000003</v>
      </c>
      <c r="D1103">
        <v>88.837599999999995</v>
      </c>
      <c r="E1103">
        <v>98.002600000000001</v>
      </c>
      <c r="F1103">
        <v>93.683400000000006</v>
      </c>
      <c r="G1103">
        <v>89.140100000000004</v>
      </c>
      <c r="H1103">
        <v>84.751599999999996</v>
      </c>
      <c r="I1103">
        <v>98.753100000000003</v>
      </c>
      <c r="J1103">
        <v>74.563299999999998</v>
      </c>
      <c r="K1103">
        <v>174.3</v>
      </c>
    </row>
    <row r="1104" spans="1:11" x14ac:dyDescent="0.35">
      <c r="A1104" s="77">
        <v>40483</v>
      </c>
      <c r="B1104">
        <v>92.677199999999999</v>
      </c>
      <c r="C1104">
        <v>87.399100000000004</v>
      </c>
      <c r="D1104">
        <v>88.806600000000003</v>
      </c>
      <c r="E1104">
        <v>97.461100000000002</v>
      </c>
      <c r="F1104">
        <v>93.792199999999994</v>
      </c>
      <c r="G1104">
        <v>89.293099999999995</v>
      </c>
      <c r="H1104">
        <v>84.07</v>
      </c>
      <c r="I1104">
        <v>99.984300000000005</v>
      </c>
      <c r="J1104">
        <v>74.686099999999996</v>
      </c>
      <c r="K1104">
        <v>174.3</v>
      </c>
    </row>
    <row r="1105" spans="1:11" x14ac:dyDescent="0.35">
      <c r="A1105" s="77">
        <v>40513</v>
      </c>
      <c r="B1105">
        <v>93.574100000000001</v>
      </c>
      <c r="C1105">
        <v>86.274799999999999</v>
      </c>
      <c r="D1105">
        <v>89.521900000000002</v>
      </c>
      <c r="E1105">
        <v>98.555999999999997</v>
      </c>
      <c r="F1105">
        <v>94.265100000000004</v>
      </c>
      <c r="G1105">
        <v>90.440600000000003</v>
      </c>
      <c r="H1105">
        <v>84.537599999999998</v>
      </c>
      <c r="I1105">
        <v>105.2658</v>
      </c>
      <c r="J1105">
        <v>75.461799999999997</v>
      </c>
      <c r="K1105">
        <v>174.6</v>
      </c>
    </row>
    <row r="1106" spans="1:11" x14ac:dyDescent="0.35">
      <c r="A1106" s="77">
        <v>40544</v>
      </c>
      <c r="B1106">
        <v>93.379300000000001</v>
      </c>
      <c r="C1106">
        <v>85.867999999999995</v>
      </c>
      <c r="D1106">
        <v>90.212900000000005</v>
      </c>
      <c r="E1106">
        <v>98.594099999999997</v>
      </c>
      <c r="F1106">
        <v>94.366399999999999</v>
      </c>
      <c r="G1106">
        <v>90.018600000000006</v>
      </c>
      <c r="H1106">
        <v>84.398300000000006</v>
      </c>
      <c r="I1106">
        <v>103.0813</v>
      </c>
      <c r="J1106">
        <v>75.338099999999997</v>
      </c>
      <c r="K1106">
        <v>175.3</v>
      </c>
    </row>
    <row r="1107" spans="1:11" x14ac:dyDescent="0.35">
      <c r="A1107" s="77">
        <v>40575</v>
      </c>
      <c r="B1107">
        <v>93.005099999999999</v>
      </c>
      <c r="C1107">
        <v>85.498400000000004</v>
      </c>
      <c r="D1107">
        <v>90.376199999999997</v>
      </c>
      <c r="E1107">
        <v>98.408600000000007</v>
      </c>
      <c r="F1107">
        <v>94.5685</v>
      </c>
      <c r="G1107">
        <v>89.376000000000005</v>
      </c>
      <c r="H1107">
        <v>82.689400000000006</v>
      </c>
      <c r="I1107">
        <v>101.2598</v>
      </c>
      <c r="J1107">
        <v>75.048199999999994</v>
      </c>
      <c r="K1107">
        <v>175.7</v>
      </c>
    </row>
    <row r="1108" spans="1:11" x14ac:dyDescent="0.35">
      <c r="A1108" s="77">
        <v>40603</v>
      </c>
      <c r="B1108">
        <v>93.977999999999994</v>
      </c>
      <c r="C1108">
        <v>86.262100000000004</v>
      </c>
      <c r="D1108">
        <v>90.097200000000001</v>
      </c>
      <c r="E1108">
        <v>98.668300000000002</v>
      </c>
      <c r="F1108">
        <v>95.212400000000002</v>
      </c>
      <c r="G1108">
        <v>91.145899999999997</v>
      </c>
      <c r="H1108">
        <v>85.716999999999999</v>
      </c>
      <c r="I1108">
        <v>100.9816</v>
      </c>
      <c r="J1108">
        <v>75.825100000000006</v>
      </c>
      <c r="K1108">
        <v>176.2</v>
      </c>
    </row>
    <row r="1109" spans="1:11" x14ac:dyDescent="0.35">
      <c r="A1109" s="77">
        <v>40634</v>
      </c>
      <c r="B1109">
        <v>93.652500000000003</v>
      </c>
      <c r="C1109">
        <v>86.292199999999994</v>
      </c>
      <c r="D1109">
        <v>89.505499999999998</v>
      </c>
      <c r="E1109">
        <v>98.486500000000007</v>
      </c>
      <c r="F1109">
        <v>94.647199999999998</v>
      </c>
      <c r="G1109">
        <v>90.676599999999993</v>
      </c>
      <c r="H1109">
        <v>86.2547</v>
      </c>
      <c r="I1109">
        <v>100.5693</v>
      </c>
      <c r="J1109">
        <v>75.534700000000001</v>
      </c>
      <c r="K1109">
        <v>176.8</v>
      </c>
    </row>
    <row r="1110" spans="1:11" x14ac:dyDescent="0.35">
      <c r="A1110" s="77">
        <v>40664</v>
      </c>
      <c r="B1110">
        <v>93.787800000000004</v>
      </c>
      <c r="C1110">
        <v>87.358400000000003</v>
      </c>
      <c r="D1110">
        <v>90.233900000000006</v>
      </c>
      <c r="E1110">
        <v>98.679100000000005</v>
      </c>
      <c r="F1110">
        <v>94.668199999999999</v>
      </c>
      <c r="G1110">
        <v>90.601200000000006</v>
      </c>
      <c r="H1110">
        <v>87.177400000000006</v>
      </c>
      <c r="I1110">
        <v>100.0181</v>
      </c>
      <c r="J1110">
        <v>75.5959</v>
      </c>
      <c r="K1110">
        <v>177</v>
      </c>
    </row>
    <row r="1111" spans="1:11" x14ac:dyDescent="0.35">
      <c r="A1111" s="77">
        <v>40695</v>
      </c>
      <c r="B1111">
        <v>94.037800000000004</v>
      </c>
      <c r="C1111">
        <v>87.635499999999993</v>
      </c>
      <c r="D1111">
        <v>90.284999999999997</v>
      </c>
      <c r="E1111">
        <v>98.593500000000006</v>
      </c>
      <c r="F1111">
        <v>94.759900000000002</v>
      </c>
      <c r="G1111">
        <v>91.164299999999997</v>
      </c>
      <c r="H1111">
        <v>87.634299999999996</v>
      </c>
      <c r="I1111">
        <v>101.1793</v>
      </c>
      <c r="J1111">
        <v>75.729699999999994</v>
      </c>
      <c r="K1111">
        <v>177.6</v>
      </c>
    </row>
    <row r="1112" spans="1:11" x14ac:dyDescent="0.35">
      <c r="A1112" s="77">
        <v>40725</v>
      </c>
      <c r="B1112">
        <v>94.514600000000002</v>
      </c>
      <c r="C1112">
        <v>88.484399999999994</v>
      </c>
      <c r="D1112">
        <v>91.530199999999994</v>
      </c>
      <c r="E1112">
        <v>99.284199999999998</v>
      </c>
      <c r="F1112">
        <v>95.332099999999997</v>
      </c>
      <c r="G1112">
        <v>91.348299999999995</v>
      </c>
      <c r="H1112">
        <v>87.138099999999994</v>
      </c>
      <c r="I1112">
        <v>102.8909</v>
      </c>
      <c r="J1112">
        <v>76.027600000000007</v>
      </c>
      <c r="K1112">
        <v>178.2</v>
      </c>
    </row>
    <row r="1113" spans="1:11" x14ac:dyDescent="0.35">
      <c r="A1113" s="77">
        <v>40756</v>
      </c>
      <c r="B1113">
        <v>95.126300000000001</v>
      </c>
      <c r="C1113">
        <v>88.276899999999998</v>
      </c>
      <c r="D1113">
        <v>92.632000000000005</v>
      </c>
      <c r="E1113">
        <v>99.855599999999995</v>
      </c>
      <c r="F1113">
        <v>95.786900000000003</v>
      </c>
      <c r="G1113">
        <v>91.956999999999994</v>
      </c>
      <c r="H1113">
        <v>88.742900000000006</v>
      </c>
      <c r="I1113">
        <v>102.79179999999999</v>
      </c>
      <c r="J1113">
        <v>76.417199999999994</v>
      </c>
      <c r="K1113">
        <v>178.5</v>
      </c>
    </row>
    <row r="1114" spans="1:11" x14ac:dyDescent="0.35">
      <c r="A1114" s="77">
        <v>40787</v>
      </c>
      <c r="B1114">
        <v>95.0732</v>
      </c>
      <c r="C1114">
        <v>88.514700000000005</v>
      </c>
      <c r="D1114">
        <v>93.129400000000004</v>
      </c>
      <c r="E1114">
        <v>99.267499999999998</v>
      </c>
      <c r="F1114">
        <v>96.0685</v>
      </c>
      <c r="G1114">
        <v>91.927700000000002</v>
      </c>
      <c r="H1114">
        <v>88.326499999999996</v>
      </c>
      <c r="I1114">
        <v>100.9898</v>
      </c>
      <c r="J1114">
        <v>76.259900000000002</v>
      </c>
      <c r="K1114">
        <v>179</v>
      </c>
    </row>
    <row r="1115" spans="1:11" x14ac:dyDescent="0.35">
      <c r="A1115" s="77">
        <v>40817</v>
      </c>
      <c r="B1115">
        <v>95.729100000000003</v>
      </c>
      <c r="C1115">
        <v>88.716999999999999</v>
      </c>
      <c r="D1115">
        <v>94.350800000000007</v>
      </c>
      <c r="E1115">
        <v>99.522499999999994</v>
      </c>
      <c r="F1115">
        <v>96.587000000000003</v>
      </c>
      <c r="G1115">
        <v>92.860500000000002</v>
      </c>
      <c r="H1115">
        <v>90.490099999999998</v>
      </c>
      <c r="I1115">
        <v>99.679400000000001</v>
      </c>
      <c r="J1115">
        <v>76.660399999999996</v>
      </c>
      <c r="K1115">
        <v>179.4</v>
      </c>
    </row>
    <row r="1116" spans="1:11" x14ac:dyDescent="0.35">
      <c r="A1116" s="77">
        <v>40848</v>
      </c>
      <c r="B1116">
        <v>95.745500000000007</v>
      </c>
      <c r="C1116">
        <v>88.842500000000001</v>
      </c>
      <c r="D1116">
        <v>95.235799999999998</v>
      </c>
      <c r="E1116">
        <v>98.568200000000004</v>
      </c>
      <c r="F1116">
        <v>96.420900000000003</v>
      </c>
      <c r="G1116">
        <v>93.298199999999994</v>
      </c>
      <c r="H1116">
        <v>91.536799999999999</v>
      </c>
      <c r="I1116">
        <v>98.964299999999994</v>
      </c>
      <c r="J1116">
        <v>76.539900000000003</v>
      </c>
      <c r="K1116">
        <v>179.6</v>
      </c>
    </row>
    <row r="1117" spans="1:11" x14ac:dyDescent="0.35">
      <c r="A1117" s="77">
        <v>40878</v>
      </c>
      <c r="B1117">
        <v>96.214699999999993</v>
      </c>
      <c r="C1117">
        <v>89.421199999999999</v>
      </c>
      <c r="D1117">
        <v>96.719399999999993</v>
      </c>
      <c r="E1117">
        <v>98.463800000000006</v>
      </c>
      <c r="F1117">
        <v>97.021799999999999</v>
      </c>
      <c r="G1117">
        <v>93.880200000000002</v>
      </c>
      <c r="H1117">
        <v>92.360100000000003</v>
      </c>
      <c r="I1117">
        <v>97.685400000000001</v>
      </c>
      <c r="J1117">
        <v>76.775099999999995</v>
      </c>
      <c r="K1117">
        <v>180</v>
      </c>
    </row>
    <row r="1118" spans="1:11" x14ac:dyDescent="0.35">
      <c r="A1118" s="77">
        <v>40909</v>
      </c>
      <c r="B1118">
        <v>96.805099999999996</v>
      </c>
      <c r="C1118">
        <v>90.6922</v>
      </c>
      <c r="D1118">
        <v>98.266000000000005</v>
      </c>
      <c r="E1118">
        <v>98.382400000000004</v>
      </c>
      <c r="F1118">
        <v>97.928399999999996</v>
      </c>
      <c r="G1118">
        <v>94.593400000000003</v>
      </c>
      <c r="H1118">
        <v>93.602400000000003</v>
      </c>
      <c r="I1118">
        <v>95.034499999999994</v>
      </c>
      <c r="J1118">
        <v>77.101500000000001</v>
      </c>
      <c r="K1118">
        <v>180.7</v>
      </c>
    </row>
    <row r="1119" spans="1:11" x14ac:dyDescent="0.35">
      <c r="A1119" s="77">
        <v>40940</v>
      </c>
      <c r="B1119">
        <v>97.103300000000004</v>
      </c>
      <c r="C1119">
        <v>91.4876</v>
      </c>
      <c r="D1119">
        <v>98.981999999999999</v>
      </c>
      <c r="E1119">
        <v>98.277699999999996</v>
      </c>
      <c r="F1119">
        <v>98.349199999999996</v>
      </c>
      <c r="G1119">
        <v>94.934200000000004</v>
      </c>
      <c r="H1119">
        <v>93.311700000000002</v>
      </c>
      <c r="I1119">
        <v>95.707700000000003</v>
      </c>
      <c r="J1119">
        <v>77.193600000000004</v>
      </c>
      <c r="K1119">
        <v>181</v>
      </c>
    </row>
    <row r="1120" spans="1:11" x14ac:dyDescent="0.35">
      <c r="A1120" s="77">
        <v>40969</v>
      </c>
      <c r="B1120">
        <v>96.597300000000004</v>
      </c>
      <c r="C1120">
        <v>91.222300000000004</v>
      </c>
      <c r="D1120">
        <v>99.855099999999993</v>
      </c>
      <c r="E1120">
        <v>96.700599999999994</v>
      </c>
      <c r="F1120">
        <v>97.824399999999997</v>
      </c>
      <c r="G1120">
        <v>94.686099999999996</v>
      </c>
      <c r="H1120">
        <v>93.325400000000002</v>
      </c>
      <c r="I1120">
        <v>94.389600000000002</v>
      </c>
      <c r="J1120">
        <v>76.646600000000007</v>
      </c>
      <c r="K1120">
        <v>181.3</v>
      </c>
    </row>
    <row r="1121" spans="1:11" x14ac:dyDescent="0.35">
      <c r="A1121" s="77">
        <v>41000</v>
      </c>
      <c r="B1121">
        <v>97.300600000000003</v>
      </c>
      <c r="C1121">
        <v>92.562899999999999</v>
      </c>
      <c r="D1121">
        <v>100.78959999999999</v>
      </c>
      <c r="E1121">
        <v>97.465699999999998</v>
      </c>
      <c r="F1121">
        <v>98.361699999999999</v>
      </c>
      <c r="G1121">
        <v>95.334199999999996</v>
      </c>
      <c r="H1121">
        <v>93.554400000000001</v>
      </c>
      <c r="I1121">
        <v>97.753100000000003</v>
      </c>
      <c r="J1121">
        <v>77.060299999999998</v>
      </c>
      <c r="K1121">
        <v>181.6</v>
      </c>
    </row>
    <row r="1122" spans="1:11" x14ac:dyDescent="0.35">
      <c r="A1122" s="77">
        <v>41030</v>
      </c>
      <c r="B1122">
        <v>97.504599999999996</v>
      </c>
      <c r="C1122">
        <v>91.588499999999996</v>
      </c>
      <c r="D1122">
        <v>101.5129</v>
      </c>
      <c r="E1122">
        <v>98.003799999999998</v>
      </c>
      <c r="F1122">
        <v>98.0749</v>
      </c>
      <c r="G1122">
        <v>95.4178</v>
      </c>
      <c r="H1122">
        <v>93.860200000000006</v>
      </c>
      <c r="I1122">
        <v>101.964</v>
      </c>
      <c r="J1122">
        <v>77.080299999999994</v>
      </c>
      <c r="K1122">
        <v>181.8</v>
      </c>
    </row>
    <row r="1123" spans="1:11" x14ac:dyDescent="0.35">
      <c r="A1123" s="77">
        <v>41061</v>
      </c>
      <c r="B1123">
        <v>97.490300000000005</v>
      </c>
      <c r="C1123">
        <v>90.915199999999999</v>
      </c>
      <c r="D1123">
        <v>102.8094</v>
      </c>
      <c r="E1123">
        <v>97.729900000000001</v>
      </c>
      <c r="F1123">
        <v>98.399600000000007</v>
      </c>
      <c r="G1123">
        <v>95.331900000000005</v>
      </c>
      <c r="H1123">
        <v>93.941299999999998</v>
      </c>
      <c r="I1123">
        <v>99.7774</v>
      </c>
      <c r="J1123">
        <v>76.9315</v>
      </c>
      <c r="K1123">
        <v>182.1</v>
      </c>
    </row>
    <row r="1124" spans="1:11" x14ac:dyDescent="0.35">
      <c r="A1124" s="77">
        <v>41091</v>
      </c>
      <c r="B1124">
        <v>97.723399999999998</v>
      </c>
      <c r="C1124">
        <v>90.505899999999997</v>
      </c>
      <c r="D1124">
        <v>101.6597</v>
      </c>
      <c r="E1124">
        <v>97.812299999999993</v>
      </c>
      <c r="F1124">
        <v>98.263000000000005</v>
      </c>
      <c r="G1124">
        <v>95.9572</v>
      </c>
      <c r="H1124">
        <v>95.007900000000006</v>
      </c>
      <c r="I1124">
        <v>101.5692</v>
      </c>
      <c r="J1124">
        <v>76.983199999999997</v>
      </c>
      <c r="K1124">
        <v>182.9</v>
      </c>
    </row>
    <row r="1125" spans="1:11" x14ac:dyDescent="0.35">
      <c r="A1125" s="77">
        <v>41122</v>
      </c>
      <c r="B1125">
        <v>97.313000000000002</v>
      </c>
      <c r="C1125">
        <v>90.999700000000004</v>
      </c>
      <c r="D1125">
        <v>102.39660000000001</v>
      </c>
      <c r="E1125">
        <v>97.310900000000004</v>
      </c>
      <c r="F1125">
        <v>98.134900000000002</v>
      </c>
      <c r="G1125">
        <v>95.275099999999995</v>
      </c>
      <c r="H1125">
        <v>93.897099999999995</v>
      </c>
      <c r="I1125">
        <v>100.4208</v>
      </c>
      <c r="J1125">
        <v>76.532399999999996</v>
      </c>
      <c r="K1125">
        <v>183.2</v>
      </c>
    </row>
    <row r="1126" spans="1:11" x14ac:dyDescent="0.35">
      <c r="A1126" s="77">
        <v>41153</v>
      </c>
      <c r="B1126">
        <v>97.240499999999997</v>
      </c>
      <c r="C1126">
        <v>90.795199999999994</v>
      </c>
      <c r="D1126">
        <v>102.0977</v>
      </c>
      <c r="E1126">
        <v>97.002200000000002</v>
      </c>
      <c r="F1126">
        <v>97.9375</v>
      </c>
      <c r="G1126">
        <v>95.470500000000001</v>
      </c>
      <c r="H1126">
        <v>95.256500000000003</v>
      </c>
      <c r="I1126">
        <v>98.699799999999996</v>
      </c>
      <c r="J1126">
        <v>76.352099999999993</v>
      </c>
      <c r="K1126">
        <v>183.2</v>
      </c>
    </row>
    <row r="1127" spans="1:11" x14ac:dyDescent="0.35">
      <c r="A1127" s="77">
        <v>41183</v>
      </c>
      <c r="B1127">
        <v>97.561000000000007</v>
      </c>
      <c r="C1127">
        <v>90.539000000000001</v>
      </c>
      <c r="D1127">
        <v>101.1114</v>
      </c>
      <c r="E1127">
        <v>97.0364</v>
      </c>
      <c r="F1127">
        <v>97.784000000000006</v>
      </c>
      <c r="G1127">
        <v>96.3352</v>
      </c>
      <c r="H1127">
        <v>96.7971</v>
      </c>
      <c r="I1127">
        <v>100.5003</v>
      </c>
      <c r="J1127">
        <v>76.484300000000005</v>
      </c>
      <c r="K1127">
        <v>183.3</v>
      </c>
    </row>
    <row r="1128" spans="1:11" x14ac:dyDescent="0.35">
      <c r="A1128" s="77">
        <v>41214</v>
      </c>
      <c r="B1128">
        <v>97.9589</v>
      </c>
      <c r="C1128">
        <v>91.832800000000006</v>
      </c>
      <c r="D1128">
        <v>102.2604</v>
      </c>
      <c r="E1128">
        <v>97.465599999999995</v>
      </c>
      <c r="F1128">
        <v>98.404399999999995</v>
      </c>
      <c r="G1128">
        <v>96.5244</v>
      </c>
      <c r="H1128">
        <v>97.016599999999997</v>
      </c>
      <c r="I1128">
        <v>99.540099999999995</v>
      </c>
      <c r="J1128">
        <v>76.680599999999998</v>
      </c>
      <c r="K1128">
        <v>183.7</v>
      </c>
    </row>
    <row r="1129" spans="1:11" x14ac:dyDescent="0.35">
      <c r="A1129" s="77">
        <v>41244</v>
      </c>
      <c r="B1129">
        <v>98.206100000000006</v>
      </c>
      <c r="C1129">
        <v>92.2316</v>
      </c>
      <c r="D1129">
        <v>103.0612</v>
      </c>
      <c r="E1129">
        <v>97.431799999999996</v>
      </c>
      <c r="F1129">
        <v>99.126900000000006</v>
      </c>
      <c r="G1129">
        <v>96.854399999999998</v>
      </c>
      <c r="H1129">
        <v>97.130099999999999</v>
      </c>
      <c r="I1129">
        <v>96.674499999999995</v>
      </c>
      <c r="J1129">
        <v>76.763800000000003</v>
      </c>
      <c r="K1129">
        <v>183.7</v>
      </c>
    </row>
    <row r="1130" spans="1:11" x14ac:dyDescent="0.35">
      <c r="A1130" s="77">
        <v>41275</v>
      </c>
      <c r="B1130">
        <v>98.198999999999998</v>
      </c>
      <c r="C1130">
        <v>92.697500000000005</v>
      </c>
      <c r="D1130">
        <v>101.1361</v>
      </c>
      <c r="E1130">
        <v>97.407300000000006</v>
      </c>
      <c r="F1130">
        <v>98.881600000000006</v>
      </c>
      <c r="G1130">
        <v>97.174000000000007</v>
      </c>
      <c r="H1130">
        <v>97.372</v>
      </c>
      <c r="I1130">
        <v>98.090999999999994</v>
      </c>
      <c r="J1130">
        <v>76.6541</v>
      </c>
      <c r="K1130">
        <v>183.9</v>
      </c>
    </row>
    <row r="1131" spans="1:11" x14ac:dyDescent="0.35">
      <c r="A1131" s="77">
        <v>41306</v>
      </c>
      <c r="B1131">
        <v>98.683499999999995</v>
      </c>
      <c r="C1131">
        <v>94.058999999999997</v>
      </c>
      <c r="D1131">
        <v>102.0342</v>
      </c>
      <c r="E1131">
        <v>97.881900000000002</v>
      </c>
      <c r="F1131">
        <v>99.366</v>
      </c>
      <c r="G1131">
        <v>97.588899999999995</v>
      </c>
      <c r="H1131">
        <v>98.056200000000004</v>
      </c>
      <c r="I1131">
        <v>98.662800000000004</v>
      </c>
      <c r="J1131">
        <v>76.933899999999994</v>
      </c>
      <c r="K1131">
        <v>184.2</v>
      </c>
    </row>
    <row r="1132" spans="1:11" x14ac:dyDescent="0.35">
      <c r="A1132" s="77">
        <v>41334</v>
      </c>
      <c r="B1132">
        <v>99.099400000000003</v>
      </c>
      <c r="C1132">
        <v>93.721000000000004</v>
      </c>
      <c r="D1132">
        <v>102.4492</v>
      </c>
      <c r="E1132">
        <v>98.456400000000002</v>
      </c>
      <c r="F1132">
        <v>99.3249</v>
      </c>
      <c r="G1132">
        <v>98.047899999999998</v>
      </c>
      <c r="H1132">
        <v>98.565299999999993</v>
      </c>
      <c r="I1132">
        <v>102.6965</v>
      </c>
      <c r="J1132">
        <v>77.166499999999999</v>
      </c>
      <c r="K1132">
        <v>184.4</v>
      </c>
    </row>
    <row r="1133" spans="1:11" x14ac:dyDescent="0.35">
      <c r="A1133" s="77">
        <v>41365</v>
      </c>
      <c r="B1133">
        <v>98.989800000000002</v>
      </c>
      <c r="C1133">
        <v>93.254099999999994</v>
      </c>
      <c r="D1133">
        <v>101.78149999999999</v>
      </c>
      <c r="E1133">
        <v>98.154799999999994</v>
      </c>
      <c r="F1133">
        <v>98.980500000000006</v>
      </c>
      <c r="G1133">
        <v>98.115899999999996</v>
      </c>
      <c r="H1133">
        <v>99.396600000000007</v>
      </c>
      <c r="I1133">
        <v>102.3365</v>
      </c>
      <c r="J1133">
        <v>76.997699999999995</v>
      </c>
      <c r="K1133">
        <v>184.6</v>
      </c>
    </row>
    <row r="1134" spans="1:11" x14ac:dyDescent="0.35">
      <c r="A1134" s="77">
        <v>41395</v>
      </c>
      <c r="B1134">
        <v>99.078199999999995</v>
      </c>
      <c r="C1134">
        <v>93.218500000000006</v>
      </c>
      <c r="D1134">
        <v>101.2597</v>
      </c>
      <c r="E1134">
        <v>98.054699999999997</v>
      </c>
      <c r="F1134">
        <v>99.280199999999994</v>
      </c>
      <c r="G1134">
        <v>98.360500000000002</v>
      </c>
      <c r="H1134">
        <v>99.709800000000001</v>
      </c>
      <c r="I1134">
        <v>100.14239999999999</v>
      </c>
      <c r="J1134">
        <v>76.990300000000005</v>
      </c>
      <c r="K1134">
        <v>184.8</v>
      </c>
    </row>
    <row r="1135" spans="1:11" x14ac:dyDescent="0.35">
      <c r="A1135" s="77">
        <v>41426</v>
      </c>
      <c r="B1135">
        <v>99.214100000000002</v>
      </c>
      <c r="C1135">
        <v>93.969499999999996</v>
      </c>
      <c r="D1135">
        <v>101.1508</v>
      </c>
      <c r="E1135">
        <v>98.362700000000004</v>
      </c>
      <c r="F1135">
        <v>99.443600000000004</v>
      </c>
      <c r="G1135">
        <v>98.410799999999995</v>
      </c>
      <c r="H1135">
        <v>100.3891</v>
      </c>
      <c r="I1135">
        <v>99.072599999999994</v>
      </c>
      <c r="J1135">
        <v>77.026499999999999</v>
      </c>
      <c r="K1135">
        <v>185</v>
      </c>
    </row>
    <row r="1136" spans="1:11" x14ac:dyDescent="0.35">
      <c r="A1136" s="77">
        <v>41456</v>
      </c>
      <c r="B1136">
        <v>98.913200000000003</v>
      </c>
      <c r="C1136">
        <v>93.929500000000004</v>
      </c>
      <c r="D1136">
        <v>99.379499999999993</v>
      </c>
      <c r="E1136">
        <v>97.388400000000004</v>
      </c>
      <c r="F1136">
        <v>98.598399999999998</v>
      </c>
      <c r="G1136">
        <v>98.709800000000001</v>
      </c>
      <c r="H1136">
        <v>101.6883</v>
      </c>
      <c r="I1136">
        <v>98.989400000000003</v>
      </c>
      <c r="J1136">
        <v>76.731200000000001</v>
      </c>
      <c r="K1136">
        <v>185.2</v>
      </c>
    </row>
    <row r="1137" spans="1:11" x14ac:dyDescent="0.35">
      <c r="A1137" s="77">
        <v>41487</v>
      </c>
      <c r="B1137">
        <v>99.489099999999993</v>
      </c>
      <c r="C1137">
        <v>94.358900000000006</v>
      </c>
      <c r="D1137">
        <v>100.8737</v>
      </c>
      <c r="E1137">
        <v>97.885900000000007</v>
      </c>
      <c r="F1137">
        <v>99.427899999999994</v>
      </c>
      <c r="G1137">
        <v>99.2089</v>
      </c>
      <c r="H1137">
        <v>101.6709</v>
      </c>
      <c r="I1137">
        <v>98.742000000000004</v>
      </c>
      <c r="J1137">
        <v>77.121600000000001</v>
      </c>
      <c r="K1137">
        <v>185.3</v>
      </c>
    </row>
    <row r="1138" spans="1:11" x14ac:dyDescent="0.35">
      <c r="A1138" s="77">
        <v>41518</v>
      </c>
      <c r="B1138">
        <v>100.0172</v>
      </c>
      <c r="C1138">
        <v>95.401499999999999</v>
      </c>
      <c r="D1138">
        <v>101.68040000000001</v>
      </c>
      <c r="E1138">
        <v>98.180099999999996</v>
      </c>
      <c r="F1138">
        <v>99.486099999999993</v>
      </c>
      <c r="G1138">
        <v>99.913300000000007</v>
      </c>
      <c r="H1138">
        <v>103.4384</v>
      </c>
      <c r="I1138">
        <v>100.0003</v>
      </c>
      <c r="J1138">
        <v>77.477999999999994</v>
      </c>
      <c r="K1138">
        <v>185.4</v>
      </c>
    </row>
    <row r="1139" spans="1:11" x14ac:dyDescent="0.35">
      <c r="A1139" s="77">
        <v>41548</v>
      </c>
      <c r="B1139">
        <v>99.903800000000004</v>
      </c>
      <c r="C1139">
        <v>95.251000000000005</v>
      </c>
      <c r="D1139">
        <v>101.28</v>
      </c>
      <c r="E1139">
        <v>98.532700000000006</v>
      </c>
      <c r="F1139">
        <v>99.6678</v>
      </c>
      <c r="G1139">
        <v>99.612300000000005</v>
      </c>
      <c r="H1139">
        <v>101.6648</v>
      </c>
      <c r="I1139">
        <v>101.48860000000001</v>
      </c>
      <c r="J1139">
        <v>77.339699999999993</v>
      </c>
      <c r="K1139">
        <v>185.6</v>
      </c>
    </row>
    <row r="1140" spans="1:11" x14ac:dyDescent="0.35">
      <c r="A1140" s="77">
        <v>41579</v>
      </c>
      <c r="B1140">
        <v>100.14790000000001</v>
      </c>
      <c r="C1140">
        <v>95.988200000000006</v>
      </c>
      <c r="D1140">
        <v>101.0061</v>
      </c>
      <c r="E1140">
        <v>98.509699999999995</v>
      </c>
      <c r="F1140">
        <v>99.672700000000006</v>
      </c>
      <c r="G1140">
        <v>100.2392</v>
      </c>
      <c r="H1140">
        <v>102.46250000000001</v>
      </c>
      <c r="I1140">
        <v>102.6978</v>
      </c>
      <c r="J1140">
        <v>77.479699999999994</v>
      </c>
      <c r="K1140">
        <v>185.9</v>
      </c>
    </row>
    <row r="1141" spans="1:11" x14ac:dyDescent="0.35">
      <c r="A1141" s="77">
        <v>41609</v>
      </c>
      <c r="B1141">
        <v>100.35760000000001</v>
      </c>
      <c r="C1141">
        <v>94.430499999999995</v>
      </c>
      <c r="D1141">
        <v>100.2</v>
      </c>
      <c r="E1141">
        <v>99.243700000000004</v>
      </c>
      <c r="F1141">
        <v>99.506600000000006</v>
      </c>
      <c r="G1141">
        <v>100.5127</v>
      </c>
      <c r="H1141">
        <v>102.9012</v>
      </c>
      <c r="I1141">
        <v>105.16719999999999</v>
      </c>
      <c r="J1141">
        <v>77.593400000000003</v>
      </c>
      <c r="K1141">
        <v>186.7</v>
      </c>
    </row>
    <row r="1142" spans="1:11" x14ac:dyDescent="0.35">
      <c r="A1142" s="77">
        <v>41640</v>
      </c>
      <c r="B1142">
        <v>99.982799999999997</v>
      </c>
      <c r="C1142">
        <v>94.070499999999996</v>
      </c>
      <c r="D1142">
        <v>100.3523</v>
      </c>
      <c r="E1142">
        <v>97.641199999999998</v>
      </c>
      <c r="F1142">
        <v>98.404600000000002</v>
      </c>
      <c r="G1142">
        <v>100.7251</v>
      </c>
      <c r="H1142">
        <v>104.3058</v>
      </c>
      <c r="I1142">
        <v>106.21259999999999</v>
      </c>
      <c r="J1142">
        <v>77.254199999999997</v>
      </c>
      <c r="K1142">
        <v>187.5</v>
      </c>
    </row>
    <row r="1143" spans="1:11" x14ac:dyDescent="0.35">
      <c r="A1143" s="77">
        <v>41671</v>
      </c>
      <c r="B1143">
        <v>100.74850000000001</v>
      </c>
      <c r="C1143">
        <v>94.643799999999999</v>
      </c>
      <c r="D1143">
        <v>101.7779</v>
      </c>
      <c r="E1143">
        <v>98.769400000000005</v>
      </c>
      <c r="F1143">
        <v>99.352099999999993</v>
      </c>
      <c r="G1143">
        <v>101.3057</v>
      </c>
      <c r="H1143">
        <v>105.3349</v>
      </c>
      <c r="I1143">
        <v>105.239</v>
      </c>
      <c r="J1143">
        <v>77.795299999999997</v>
      </c>
      <c r="K1143">
        <v>187.7</v>
      </c>
    </row>
    <row r="1144" spans="1:11" x14ac:dyDescent="0.35">
      <c r="A1144" s="77">
        <v>41699</v>
      </c>
      <c r="B1144">
        <v>101.73909999999999</v>
      </c>
      <c r="C1144">
        <v>95.926100000000005</v>
      </c>
      <c r="D1144">
        <v>102.8844</v>
      </c>
      <c r="E1144">
        <v>99.423199999999994</v>
      </c>
      <c r="F1144">
        <v>100.2411</v>
      </c>
      <c r="G1144">
        <v>102.4933</v>
      </c>
      <c r="H1144">
        <v>107.541</v>
      </c>
      <c r="I1144">
        <v>104.7718</v>
      </c>
      <c r="J1144">
        <v>78.506600000000006</v>
      </c>
      <c r="K1144">
        <v>187.7</v>
      </c>
    </row>
    <row r="1145" spans="1:11" x14ac:dyDescent="0.35">
      <c r="A1145" s="77">
        <v>41730</v>
      </c>
      <c r="B1145">
        <v>101.8023</v>
      </c>
      <c r="C1145">
        <v>95.328100000000006</v>
      </c>
      <c r="D1145">
        <v>102.7176</v>
      </c>
      <c r="E1145">
        <v>99.010900000000007</v>
      </c>
      <c r="F1145">
        <v>100.2186</v>
      </c>
      <c r="G1145">
        <v>102.9408</v>
      </c>
      <c r="H1145">
        <v>109.386</v>
      </c>
      <c r="I1145">
        <v>101.86</v>
      </c>
      <c r="J1145">
        <v>78.497100000000003</v>
      </c>
      <c r="K1145">
        <v>187.9</v>
      </c>
    </row>
    <row r="1146" spans="1:11" x14ac:dyDescent="0.35">
      <c r="A1146" s="77">
        <v>41760</v>
      </c>
      <c r="B1146">
        <v>102.2116</v>
      </c>
      <c r="C1146">
        <v>96.851900000000001</v>
      </c>
      <c r="D1146">
        <v>103.3156</v>
      </c>
      <c r="E1146">
        <v>98.875500000000002</v>
      </c>
      <c r="F1146">
        <v>100.5074</v>
      </c>
      <c r="G1146">
        <v>103.5009</v>
      </c>
      <c r="H1146">
        <v>110.58450000000001</v>
      </c>
      <c r="I1146">
        <v>101.6146</v>
      </c>
      <c r="J1146">
        <v>78.749099999999999</v>
      </c>
      <c r="K1146">
        <v>188.2</v>
      </c>
    </row>
    <row r="1147" spans="1:11" x14ac:dyDescent="0.35">
      <c r="A1147" s="77">
        <v>41791</v>
      </c>
      <c r="B1147">
        <v>102.5637</v>
      </c>
      <c r="C1147">
        <v>97.6036</v>
      </c>
      <c r="D1147">
        <v>102.8759</v>
      </c>
      <c r="E1147">
        <v>98.903800000000004</v>
      </c>
      <c r="F1147">
        <v>100.84099999999999</v>
      </c>
      <c r="G1147">
        <v>104.2487</v>
      </c>
      <c r="H1147">
        <v>112.0368</v>
      </c>
      <c r="I1147">
        <v>99.918999999999997</v>
      </c>
      <c r="J1147">
        <v>78.950599999999994</v>
      </c>
      <c r="K1147">
        <v>188.5</v>
      </c>
    </row>
    <row r="1148" spans="1:11" x14ac:dyDescent="0.35">
      <c r="A1148" s="77">
        <v>41821</v>
      </c>
      <c r="B1148">
        <v>102.8425</v>
      </c>
      <c r="C1148">
        <v>98.484399999999994</v>
      </c>
      <c r="D1148">
        <v>104.196</v>
      </c>
      <c r="E1148">
        <v>99.025499999999994</v>
      </c>
      <c r="F1148">
        <v>101.39870000000001</v>
      </c>
      <c r="G1148">
        <v>104.38849999999999</v>
      </c>
      <c r="H1148">
        <v>112.71559999999999</v>
      </c>
      <c r="I1148">
        <v>97.729299999999995</v>
      </c>
      <c r="J1148">
        <v>79.089600000000004</v>
      </c>
      <c r="K1148">
        <v>188.7</v>
      </c>
    </row>
    <row r="1149" spans="1:11" x14ac:dyDescent="0.35">
      <c r="A1149" s="77">
        <v>41852</v>
      </c>
      <c r="B1149">
        <v>102.6499</v>
      </c>
      <c r="C1149">
        <v>98.383399999999995</v>
      </c>
      <c r="D1149">
        <v>103.2897</v>
      </c>
      <c r="E1149">
        <v>98.466800000000006</v>
      </c>
      <c r="F1149">
        <v>100.8009</v>
      </c>
      <c r="G1149">
        <v>104.52370000000001</v>
      </c>
      <c r="H1149">
        <v>113.6481</v>
      </c>
      <c r="I1149">
        <v>98.548900000000003</v>
      </c>
      <c r="J1149">
        <v>78.862099999999998</v>
      </c>
      <c r="K1149">
        <v>189</v>
      </c>
    </row>
    <row r="1150" spans="1:11" x14ac:dyDescent="0.35">
      <c r="A1150" s="77">
        <v>41883</v>
      </c>
      <c r="B1150">
        <v>102.96469999999999</v>
      </c>
      <c r="C1150">
        <v>98.815200000000004</v>
      </c>
      <c r="D1150">
        <v>102.83629999999999</v>
      </c>
      <c r="E1150">
        <v>98.882599999999996</v>
      </c>
      <c r="F1150">
        <v>100.87220000000001</v>
      </c>
      <c r="G1150">
        <v>104.9126</v>
      </c>
      <c r="H1150">
        <v>114.3013</v>
      </c>
      <c r="I1150">
        <v>100.67019999999999</v>
      </c>
      <c r="J1150">
        <v>79.027299999999997</v>
      </c>
      <c r="K1150">
        <v>189.2</v>
      </c>
    </row>
    <row r="1151" spans="1:11" x14ac:dyDescent="0.35">
      <c r="A1151" s="77">
        <v>41913</v>
      </c>
      <c r="B1151">
        <v>102.9704</v>
      </c>
      <c r="C1151">
        <v>98.216800000000006</v>
      </c>
      <c r="D1151">
        <v>103.9594</v>
      </c>
      <c r="E1151">
        <v>98.555199999999999</v>
      </c>
      <c r="F1151">
        <v>100.7754</v>
      </c>
      <c r="G1151">
        <v>104.9255</v>
      </c>
      <c r="H1151">
        <v>114.6057</v>
      </c>
      <c r="I1151">
        <v>101.31529999999999</v>
      </c>
      <c r="J1151">
        <v>78.958299999999994</v>
      </c>
      <c r="K1151">
        <v>189.7</v>
      </c>
    </row>
    <row r="1152" spans="1:11" x14ac:dyDescent="0.35">
      <c r="A1152" s="77">
        <v>41944</v>
      </c>
      <c r="B1152">
        <v>103.60169999999999</v>
      </c>
      <c r="C1152">
        <v>98.091300000000004</v>
      </c>
      <c r="D1152">
        <v>105.1203</v>
      </c>
      <c r="E1152">
        <v>100.4474</v>
      </c>
      <c r="F1152">
        <v>101.4676</v>
      </c>
      <c r="G1152">
        <v>104.9239</v>
      </c>
      <c r="H1152">
        <v>113.86069999999999</v>
      </c>
      <c r="I1152">
        <v>104.3845</v>
      </c>
      <c r="J1152">
        <v>79.374099999999999</v>
      </c>
      <c r="K1152">
        <v>189.7</v>
      </c>
    </row>
    <row r="1153" spans="1:11" x14ac:dyDescent="0.35">
      <c r="A1153" s="77">
        <v>41974</v>
      </c>
      <c r="B1153">
        <v>103.592</v>
      </c>
      <c r="C1153">
        <v>98.928299999999993</v>
      </c>
      <c r="D1153">
        <v>104.0367</v>
      </c>
      <c r="E1153">
        <v>100.12309999999999</v>
      </c>
      <c r="F1153">
        <v>101.2936</v>
      </c>
      <c r="G1153">
        <v>105.3522</v>
      </c>
      <c r="H1153">
        <v>116.68</v>
      </c>
      <c r="I1153">
        <v>101.2255</v>
      </c>
      <c r="J1153">
        <v>79.3048</v>
      </c>
      <c r="K1153">
        <v>189.8</v>
      </c>
    </row>
    <row r="1154" spans="1:11" x14ac:dyDescent="0.35">
      <c r="A1154" s="77">
        <v>42005</v>
      </c>
      <c r="B1154">
        <v>102.798</v>
      </c>
      <c r="C1154">
        <v>97.926299999999998</v>
      </c>
      <c r="D1154">
        <v>103.36069999999999</v>
      </c>
      <c r="E1154">
        <v>100.2445</v>
      </c>
      <c r="F1154">
        <v>100.708</v>
      </c>
      <c r="G1154">
        <v>104.0844</v>
      </c>
      <c r="H1154">
        <v>113.7843</v>
      </c>
      <c r="I1154">
        <v>102.36969999999999</v>
      </c>
      <c r="J1154">
        <v>78.641000000000005</v>
      </c>
      <c r="K1154">
        <v>190.7</v>
      </c>
    </row>
    <row r="1155" spans="1:11" x14ac:dyDescent="0.35">
      <c r="A1155" s="77">
        <v>42036</v>
      </c>
      <c r="B1155">
        <v>102.1554</v>
      </c>
      <c r="C1155">
        <v>96.764700000000005</v>
      </c>
      <c r="D1155">
        <v>102.6604</v>
      </c>
      <c r="E1155">
        <v>99.865600000000001</v>
      </c>
      <c r="F1155">
        <v>99.965500000000006</v>
      </c>
      <c r="G1155">
        <v>103.5711</v>
      </c>
      <c r="H1155">
        <v>109.8081</v>
      </c>
      <c r="I1155">
        <v>107.6135</v>
      </c>
      <c r="J1155">
        <v>78.108800000000002</v>
      </c>
      <c r="K1155">
        <v>191.2</v>
      </c>
    </row>
    <row r="1156" spans="1:11" x14ac:dyDescent="0.35">
      <c r="A1156" s="77">
        <v>42064</v>
      </c>
      <c r="B1156">
        <v>101.8077</v>
      </c>
      <c r="C1156">
        <v>96.224800000000002</v>
      </c>
      <c r="D1156">
        <v>102.6665</v>
      </c>
      <c r="E1156">
        <v>101.0236</v>
      </c>
      <c r="F1156">
        <v>100.28060000000001</v>
      </c>
      <c r="G1156">
        <v>102.65949999999999</v>
      </c>
      <c r="H1156">
        <v>107.9909</v>
      </c>
      <c r="I1156">
        <v>104.437</v>
      </c>
      <c r="J1156">
        <v>77.811300000000003</v>
      </c>
      <c r="K1156">
        <v>191.4</v>
      </c>
    </row>
    <row r="1157" spans="1:11" x14ac:dyDescent="0.35">
      <c r="A1157" s="77">
        <v>42095</v>
      </c>
      <c r="B1157">
        <v>101.2285</v>
      </c>
      <c r="C1157">
        <v>96.926500000000004</v>
      </c>
      <c r="D1157">
        <v>101.92100000000001</v>
      </c>
      <c r="E1157">
        <v>100.1135</v>
      </c>
      <c r="F1157">
        <v>100.24550000000001</v>
      </c>
      <c r="G1157">
        <v>102.2106</v>
      </c>
      <c r="H1157">
        <v>106.2953</v>
      </c>
      <c r="I1157">
        <v>101.5466</v>
      </c>
      <c r="J1157">
        <v>77.341899999999995</v>
      </c>
      <c r="K1157">
        <v>191.5</v>
      </c>
    </row>
    <row r="1158" spans="1:11" x14ac:dyDescent="0.35">
      <c r="A1158" s="77">
        <v>42125</v>
      </c>
      <c r="B1158">
        <v>100.75360000000001</v>
      </c>
      <c r="C1158">
        <v>97.444199999999995</v>
      </c>
      <c r="D1158">
        <v>102.12779999999999</v>
      </c>
      <c r="E1158">
        <v>99.981700000000004</v>
      </c>
      <c r="F1158">
        <v>100.2375</v>
      </c>
      <c r="G1158">
        <v>101.3927</v>
      </c>
      <c r="H1158">
        <v>103.7818</v>
      </c>
      <c r="I1158">
        <v>100.3026</v>
      </c>
      <c r="J1158">
        <v>76.961299999999994</v>
      </c>
      <c r="K1158">
        <v>191.8</v>
      </c>
    </row>
    <row r="1159" spans="1:11" x14ac:dyDescent="0.35">
      <c r="A1159" s="77">
        <v>42156</v>
      </c>
      <c r="B1159">
        <v>100.4529</v>
      </c>
      <c r="C1159">
        <v>97.809299999999993</v>
      </c>
      <c r="D1159">
        <v>101.5732</v>
      </c>
      <c r="E1159">
        <v>99.877799999999993</v>
      </c>
      <c r="F1159">
        <v>99.855099999999993</v>
      </c>
      <c r="G1159">
        <v>100.9515</v>
      </c>
      <c r="H1159">
        <v>102.979</v>
      </c>
      <c r="I1159">
        <v>101.1622</v>
      </c>
      <c r="J1159">
        <v>76.722800000000007</v>
      </c>
      <c r="K1159">
        <v>192.7</v>
      </c>
    </row>
    <row r="1160" spans="1:11" x14ac:dyDescent="0.35">
      <c r="A1160" s="77">
        <v>42186</v>
      </c>
      <c r="B1160">
        <v>101.11</v>
      </c>
      <c r="C1160">
        <v>97.742099999999994</v>
      </c>
      <c r="D1160">
        <v>101.3236</v>
      </c>
      <c r="E1160">
        <v>101.4229</v>
      </c>
      <c r="F1160">
        <v>100.5954</v>
      </c>
      <c r="G1160">
        <v>101.48260000000001</v>
      </c>
      <c r="H1160">
        <v>104.1902</v>
      </c>
      <c r="I1160">
        <v>100.53870000000001</v>
      </c>
      <c r="J1160">
        <v>77.223699999999994</v>
      </c>
      <c r="K1160">
        <v>193</v>
      </c>
    </row>
    <row r="1161" spans="1:11" x14ac:dyDescent="0.35">
      <c r="A1161" s="77">
        <v>42217</v>
      </c>
      <c r="B1161">
        <v>100.8802</v>
      </c>
      <c r="C1161">
        <v>98.337900000000005</v>
      </c>
      <c r="D1161">
        <v>100.98609999999999</v>
      </c>
      <c r="E1161">
        <v>101.35420000000001</v>
      </c>
      <c r="F1161">
        <v>100.23399999999999</v>
      </c>
      <c r="G1161">
        <v>100.8981</v>
      </c>
      <c r="H1161">
        <v>104.65819999999999</v>
      </c>
      <c r="I1161">
        <v>100.8438</v>
      </c>
      <c r="J1161">
        <v>77.052099999999996</v>
      </c>
      <c r="K1161">
        <v>193</v>
      </c>
    </row>
    <row r="1162" spans="1:11" x14ac:dyDescent="0.35">
      <c r="A1162" s="77">
        <v>42248</v>
      </c>
      <c r="B1162">
        <v>100.608</v>
      </c>
      <c r="C1162">
        <v>97.584599999999995</v>
      </c>
      <c r="D1162">
        <v>99.960599999999999</v>
      </c>
      <c r="E1162">
        <v>101.06310000000001</v>
      </c>
      <c r="F1162">
        <v>100.0236</v>
      </c>
      <c r="G1162">
        <v>100.87309999999999</v>
      </c>
      <c r="H1162">
        <v>103.1339</v>
      </c>
      <c r="I1162">
        <v>101.82810000000001</v>
      </c>
      <c r="J1162">
        <v>76.851900000000001</v>
      </c>
      <c r="K1162">
        <v>193.2</v>
      </c>
    </row>
    <row r="1163" spans="1:11" x14ac:dyDescent="0.35">
      <c r="A1163" s="77">
        <v>42278</v>
      </c>
      <c r="B1163">
        <v>100.151</v>
      </c>
      <c r="C1163">
        <v>98.560299999999998</v>
      </c>
      <c r="D1163">
        <v>99.144599999999997</v>
      </c>
      <c r="E1163">
        <v>100.6614</v>
      </c>
      <c r="F1163">
        <v>99.892799999999994</v>
      </c>
      <c r="G1163">
        <v>100.1922</v>
      </c>
      <c r="H1163">
        <v>101.20659999999999</v>
      </c>
      <c r="I1163">
        <v>100.4087</v>
      </c>
      <c r="J1163">
        <v>76.511200000000002</v>
      </c>
      <c r="K1163">
        <v>193.1</v>
      </c>
    </row>
    <row r="1164" spans="1:11" x14ac:dyDescent="0.35">
      <c r="A1164" s="77">
        <v>42309</v>
      </c>
      <c r="B1164">
        <v>99.381699999999995</v>
      </c>
      <c r="C1164">
        <v>98.670199999999994</v>
      </c>
      <c r="D1164">
        <v>97.668099999999995</v>
      </c>
      <c r="E1164">
        <v>100.26430000000001</v>
      </c>
      <c r="F1164">
        <v>99.578000000000003</v>
      </c>
      <c r="G1164">
        <v>99.064599999999999</v>
      </c>
      <c r="H1164">
        <v>99.033500000000004</v>
      </c>
      <c r="I1164">
        <v>97.724400000000003</v>
      </c>
      <c r="J1164">
        <v>75.930300000000003</v>
      </c>
      <c r="K1164">
        <v>193.2</v>
      </c>
    </row>
    <row r="1165" spans="1:11" x14ac:dyDescent="0.35">
      <c r="A1165" s="77">
        <v>42339</v>
      </c>
      <c r="B1165">
        <v>98.857200000000006</v>
      </c>
      <c r="C1165">
        <v>99.069699999999997</v>
      </c>
      <c r="D1165">
        <v>96.662599999999998</v>
      </c>
      <c r="E1165">
        <v>99.626199999999997</v>
      </c>
      <c r="F1165">
        <v>99.299499999999995</v>
      </c>
      <c r="G1165">
        <v>98.639899999999997</v>
      </c>
      <c r="H1165">
        <v>98.3108</v>
      </c>
      <c r="I1165">
        <v>95.655900000000003</v>
      </c>
      <c r="J1165">
        <v>75.533900000000003</v>
      </c>
      <c r="K1165">
        <v>193.4</v>
      </c>
    </row>
    <row r="1166" spans="1:11" x14ac:dyDescent="0.35">
      <c r="A1166" s="77">
        <v>42370</v>
      </c>
      <c r="B1166">
        <v>99.408600000000007</v>
      </c>
      <c r="C1166">
        <v>99.033799999999999</v>
      </c>
      <c r="D1166">
        <v>96.655799999999999</v>
      </c>
      <c r="E1166">
        <v>101.07299999999999</v>
      </c>
      <c r="F1166">
        <v>99.750200000000007</v>
      </c>
      <c r="G1166">
        <v>99.007199999999997</v>
      </c>
      <c r="H1166">
        <v>96.282799999999995</v>
      </c>
      <c r="I1166">
        <v>99.796800000000005</v>
      </c>
      <c r="J1166">
        <v>75.9559</v>
      </c>
      <c r="K1166">
        <v>193.9</v>
      </c>
    </row>
    <row r="1167" spans="1:11" x14ac:dyDescent="0.35">
      <c r="A1167" s="77">
        <v>42401</v>
      </c>
      <c r="B1167">
        <v>98.894599999999997</v>
      </c>
      <c r="C1167">
        <v>98.959900000000005</v>
      </c>
      <c r="D1167">
        <v>96.192400000000006</v>
      </c>
      <c r="E1167">
        <v>100.9036</v>
      </c>
      <c r="F1167">
        <v>99.426500000000004</v>
      </c>
      <c r="G1167">
        <v>98.344200000000001</v>
      </c>
      <c r="H1167">
        <v>94.243200000000002</v>
      </c>
      <c r="I1167">
        <v>99.523799999999994</v>
      </c>
      <c r="J1167">
        <v>75.559299999999993</v>
      </c>
      <c r="K1167">
        <v>194.1</v>
      </c>
    </row>
    <row r="1168" spans="1:11" x14ac:dyDescent="0.35">
      <c r="A1168" s="77">
        <v>42430</v>
      </c>
      <c r="B1168">
        <v>98.138499999999993</v>
      </c>
      <c r="C1168">
        <v>98.780100000000004</v>
      </c>
      <c r="D1168">
        <v>95.569599999999994</v>
      </c>
      <c r="E1168">
        <v>100.1096</v>
      </c>
      <c r="F1168">
        <v>99.360100000000003</v>
      </c>
      <c r="G1168">
        <v>97.532399999999996</v>
      </c>
      <c r="H1168">
        <v>91.919700000000006</v>
      </c>
      <c r="I1168">
        <v>95.404300000000006</v>
      </c>
      <c r="J1168">
        <v>74.972700000000003</v>
      </c>
      <c r="K1168">
        <v>194.3</v>
      </c>
    </row>
    <row r="1169" spans="1:11" x14ac:dyDescent="0.35">
      <c r="A1169" s="77">
        <v>42461</v>
      </c>
      <c r="B1169">
        <v>98.436400000000006</v>
      </c>
      <c r="C1169">
        <v>99.149299999999997</v>
      </c>
      <c r="D1169">
        <v>95.416300000000007</v>
      </c>
      <c r="E1169">
        <v>101.1156</v>
      </c>
      <c r="F1169">
        <v>99.195999999999998</v>
      </c>
      <c r="G1169">
        <v>97.604100000000003</v>
      </c>
      <c r="H1169">
        <v>89.849400000000003</v>
      </c>
      <c r="I1169">
        <v>101.4188</v>
      </c>
      <c r="J1169">
        <v>75.186599999999999</v>
      </c>
      <c r="K1169">
        <v>194.6</v>
      </c>
    </row>
    <row r="1170" spans="1:11" x14ac:dyDescent="0.35">
      <c r="A1170" s="77">
        <v>42491</v>
      </c>
      <c r="B1170">
        <v>98.209599999999995</v>
      </c>
      <c r="C1170">
        <v>98.514499999999998</v>
      </c>
      <c r="D1170">
        <v>95.200699999999998</v>
      </c>
      <c r="E1170">
        <v>100.7698</v>
      </c>
      <c r="F1170">
        <v>99.114999999999995</v>
      </c>
      <c r="G1170">
        <v>97.398200000000003</v>
      </c>
      <c r="H1170">
        <v>89.809600000000003</v>
      </c>
      <c r="I1170">
        <v>99.861599999999996</v>
      </c>
      <c r="J1170">
        <v>74.995400000000004</v>
      </c>
      <c r="K1170">
        <v>194.8</v>
      </c>
    </row>
    <row r="1171" spans="1:11" x14ac:dyDescent="0.35">
      <c r="A1171" s="77">
        <v>42522</v>
      </c>
      <c r="B1171">
        <v>98.676599999999993</v>
      </c>
      <c r="C1171">
        <v>98.195599999999999</v>
      </c>
      <c r="D1171">
        <v>95.261600000000001</v>
      </c>
      <c r="E1171">
        <v>101.6818</v>
      </c>
      <c r="F1171">
        <v>99.361400000000003</v>
      </c>
      <c r="G1171">
        <v>97.875600000000006</v>
      </c>
      <c r="H1171">
        <v>89.665400000000005</v>
      </c>
      <c r="I1171">
        <v>102.8034</v>
      </c>
      <c r="J1171">
        <v>75.330100000000002</v>
      </c>
      <c r="K1171">
        <v>195.4</v>
      </c>
    </row>
    <row r="1172" spans="1:11" x14ac:dyDescent="0.35">
      <c r="A1172" s="77">
        <v>42552</v>
      </c>
      <c r="B1172">
        <v>98.837100000000007</v>
      </c>
      <c r="C1172">
        <v>99.049000000000007</v>
      </c>
      <c r="D1172">
        <v>95.320099999999996</v>
      </c>
      <c r="E1172">
        <v>101.53740000000001</v>
      </c>
      <c r="F1172">
        <v>99.448700000000002</v>
      </c>
      <c r="G1172">
        <v>98.075400000000002</v>
      </c>
      <c r="H1172">
        <v>90.213300000000004</v>
      </c>
      <c r="I1172">
        <v>102.9808</v>
      </c>
      <c r="J1172">
        <v>75.427199999999999</v>
      </c>
      <c r="K1172">
        <v>195.4</v>
      </c>
    </row>
    <row r="1173" spans="1:11" x14ac:dyDescent="0.35">
      <c r="A1173" s="77">
        <v>42583</v>
      </c>
      <c r="B1173">
        <v>98.730199999999996</v>
      </c>
      <c r="C1173">
        <v>98.245500000000007</v>
      </c>
      <c r="D1173">
        <v>95.073800000000006</v>
      </c>
      <c r="E1173">
        <v>101.7145</v>
      </c>
      <c r="F1173">
        <v>99.092200000000005</v>
      </c>
      <c r="G1173">
        <v>97.861099999999993</v>
      </c>
      <c r="H1173">
        <v>89.859899999999996</v>
      </c>
      <c r="I1173">
        <v>105.042</v>
      </c>
      <c r="J1173">
        <v>75.318399999999997</v>
      </c>
      <c r="K1173">
        <v>195.6</v>
      </c>
    </row>
    <row r="1174" spans="1:11" x14ac:dyDescent="0.35">
      <c r="A1174" s="77">
        <v>42614</v>
      </c>
      <c r="B1174">
        <v>98.628699999999995</v>
      </c>
      <c r="C1174">
        <v>98.598399999999998</v>
      </c>
      <c r="D1174">
        <v>94.640600000000006</v>
      </c>
      <c r="E1174">
        <v>101.497</v>
      </c>
      <c r="F1174">
        <v>99.29</v>
      </c>
      <c r="G1174">
        <v>97.746600000000001</v>
      </c>
      <c r="H1174">
        <v>90.008899999999997</v>
      </c>
      <c r="I1174">
        <v>102.5745</v>
      </c>
      <c r="J1174">
        <v>75.215500000000006</v>
      </c>
      <c r="K1174">
        <v>195.8</v>
      </c>
    </row>
    <row r="1175" spans="1:11" x14ac:dyDescent="0.35">
      <c r="A1175" s="77">
        <v>42644</v>
      </c>
      <c r="B1175">
        <v>98.712599999999995</v>
      </c>
      <c r="C1175">
        <v>99.0608</v>
      </c>
      <c r="D1175">
        <v>95.117099999999994</v>
      </c>
      <c r="E1175">
        <v>101.0271</v>
      </c>
      <c r="F1175">
        <v>99.440200000000004</v>
      </c>
      <c r="G1175">
        <v>98.1066</v>
      </c>
      <c r="H1175">
        <v>92.623900000000006</v>
      </c>
      <c r="I1175">
        <v>99.6173</v>
      </c>
      <c r="J1175">
        <v>75.258600000000001</v>
      </c>
      <c r="K1175">
        <v>196.1</v>
      </c>
    </row>
    <row r="1176" spans="1:11" x14ac:dyDescent="0.35">
      <c r="A1176" s="77">
        <v>42675</v>
      </c>
      <c r="B1176">
        <v>98.300399999999996</v>
      </c>
      <c r="C1176">
        <v>99.630899999999997</v>
      </c>
      <c r="D1176">
        <v>95.037099999999995</v>
      </c>
      <c r="E1176">
        <v>99.943600000000004</v>
      </c>
      <c r="F1176">
        <v>99.331999999999994</v>
      </c>
      <c r="G1176">
        <v>97.789100000000005</v>
      </c>
      <c r="H1176">
        <v>92.096800000000002</v>
      </c>
      <c r="I1176">
        <v>97.071200000000005</v>
      </c>
      <c r="J1176">
        <v>74.930800000000005</v>
      </c>
      <c r="K1176">
        <v>196.3</v>
      </c>
    </row>
    <row r="1177" spans="1:11" x14ac:dyDescent="0.35">
      <c r="A1177" s="77">
        <v>42705</v>
      </c>
      <c r="B1177">
        <v>98.906300000000002</v>
      </c>
      <c r="C1177">
        <v>97.929500000000004</v>
      </c>
      <c r="D1177">
        <v>96.107900000000001</v>
      </c>
      <c r="E1177">
        <v>101.4053</v>
      </c>
      <c r="F1177">
        <v>99.291200000000003</v>
      </c>
      <c r="G1177">
        <v>98.060599999999994</v>
      </c>
      <c r="H1177">
        <v>91.9221</v>
      </c>
      <c r="I1177">
        <v>103.077</v>
      </c>
      <c r="J1177">
        <v>75.388000000000005</v>
      </c>
      <c r="K1177">
        <v>196.7</v>
      </c>
    </row>
    <row r="1178" spans="1:11" x14ac:dyDescent="0.35">
      <c r="A1178" s="77">
        <v>42736</v>
      </c>
      <c r="B1178">
        <v>98.734899999999996</v>
      </c>
      <c r="C1178">
        <v>99.684200000000004</v>
      </c>
      <c r="D1178">
        <v>96.186599999999999</v>
      </c>
      <c r="E1178">
        <v>100.14060000000001</v>
      </c>
      <c r="F1178">
        <v>99.516000000000005</v>
      </c>
      <c r="G1178">
        <v>98.341399999999993</v>
      </c>
      <c r="H1178">
        <v>94.077500000000001</v>
      </c>
      <c r="I1178">
        <v>97.831100000000006</v>
      </c>
      <c r="J1178">
        <v>75.262299999999996</v>
      </c>
      <c r="K1178">
        <v>197.2</v>
      </c>
    </row>
    <row r="1179" spans="1:11" x14ac:dyDescent="0.35">
      <c r="A1179" s="77">
        <v>42767</v>
      </c>
      <c r="B1179">
        <v>98.4178</v>
      </c>
      <c r="C1179">
        <v>99.953999999999994</v>
      </c>
      <c r="D1179">
        <v>96.248900000000006</v>
      </c>
      <c r="E1179">
        <v>98.7988</v>
      </c>
      <c r="F1179">
        <v>99.500600000000006</v>
      </c>
      <c r="G1179">
        <v>98.446600000000004</v>
      </c>
      <c r="H1179">
        <v>96.228499999999997</v>
      </c>
      <c r="I1179">
        <v>92.947800000000001</v>
      </c>
      <c r="J1179">
        <v>75.0381</v>
      </c>
      <c r="K1179">
        <v>197.4</v>
      </c>
    </row>
    <row r="1180" spans="1:11" x14ac:dyDescent="0.35">
      <c r="A1180" s="77">
        <v>42795</v>
      </c>
      <c r="B1180">
        <v>99.072599999999994</v>
      </c>
      <c r="C1180">
        <v>99.224100000000007</v>
      </c>
      <c r="D1180">
        <v>97.005600000000001</v>
      </c>
      <c r="E1180">
        <v>99.514600000000002</v>
      </c>
      <c r="F1180">
        <v>99.212800000000001</v>
      </c>
      <c r="G1180">
        <v>99.2286</v>
      </c>
      <c r="H1180">
        <v>97.435000000000002</v>
      </c>
      <c r="I1180">
        <v>99.710800000000006</v>
      </c>
      <c r="J1180">
        <v>75.566500000000005</v>
      </c>
      <c r="K1180">
        <v>197.9</v>
      </c>
    </row>
    <row r="1181" spans="1:11" x14ac:dyDescent="0.35">
      <c r="A1181" s="77">
        <v>42826</v>
      </c>
      <c r="B1181">
        <v>100.0545</v>
      </c>
      <c r="C1181">
        <v>99.938900000000004</v>
      </c>
      <c r="D1181">
        <v>99.969700000000003</v>
      </c>
      <c r="E1181">
        <v>100.3398</v>
      </c>
      <c r="F1181">
        <v>100.3682</v>
      </c>
      <c r="G1181">
        <v>99.957800000000006</v>
      </c>
      <c r="H1181">
        <v>98.568399999999997</v>
      </c>
      <c r="I1181">
        <v>99.642399999999995</v>
      </c>
      <c r="J1181">
        <v>76.355900000000005</v>
      </c>
      <c r="K1181">
        <v>198.5</v>
      </c>
    </row>
    <row r="1182" spans="1:11" x14ac:dyDescent="0.35">
      <c r="A1182" s="77">
        <v>42856</v>
      </c>
      <c r="B1182">
        <v>100.139</v>
      </c>
      <c r="C1182">
        <v>99.773099999999999</v>
      </c>
      <c r="D1182">
        <v>99.862300000000005</v>
      </c>
      <c r="E1182">
        <v>100.7988</v>
      </c>
      <c r="F1182">
        <v>100.15519999999999</v>
      </c>
      <c r="G1182">
        <v>99.874200000000002</v>
      </c>
      <c r="H1182">
        <v>99.450400000000002</v>
      </c>
      <c r="I1182">
        <v>100.7774</v>
      </c>
      <c r="J1182">
        <v>76.472099999999998</v>
      </c>
      <c r="K1182">
        <v>198.5</v>
      </c>
    </row>
    <row r="1183" spans="1:11" x14ac:dyDescent="0.35">
      <c r="A1183" s="77">
        <v>42887</v>
      </c>
      <c r="B1183">
        <v>100.31480000000001</v>
      </c>
      <c r="C1183">
        <v>99.795000000000002</v>
      </c>
      <c r="D1183">
        <v>99.853099999999998</v>
      </c>
      <c r="E1183">
        <v>100.31010000000001</v>
      </c>
      <c r="F1183">
        <v>100.1335</v>
      </c>
      <c r="G1183">
        <v>100.4996</v>
      </c>
      <c r="H1183">
        <v>100.7711</v>
      </c>
      <c r="I1183">
        <v>100.9515</v>
      </c>
      <c r="J1183">
        <v>76.668499999999995</v>
      </c>
      <c r="K1183">
        <v>198.8</v>
      </c>
    </row>
    <row r="1184" spans="1:11" x14ac:dyDescent="0.35">
      <c r="A1184" s="77">
        <v>42917</v>
      </c>
      <c r="B1184">
        <v>100.1418</v>
      </c>
      <c r="C1184">
        <v>99.654899999999998</v>
      </c>
      <c r="D1184">
        <v>99.758399999999995</v>
      </c>
      <c r="E1184">
        <v>99.972800000000007</v>
      </c>
      <c r="F1184">
        <v>99.833100000000002</v>
      </c>
      <c r="G1184">
        <v>100.31229999999999</v>
      </c>
      <c r="H1184">
        <v>100.7694</v>
      </c>
      <c r="I1184">
        <v>101.5258</v>
      </c>
      <c r="J1184">
        <v>76.607900000000001</v>
      </c>
      <c r="K1184">
        <v>198.9</v>
      </c>
    </row>
    <row r="1185" spans="1:11" x14ac:dyDescent="0.35">
      <c r="A1185" s="77">
        <v>42948</v>
      </c>
      <c r="B1185">
        <v>99.687799999999996</v>
      </c>
      <c r="C1185">
        <v>98.850300000000004</v>
      </c>
      <c r="D1185">
        <v>100.1024</v>
      </c>
      <c r="E1185">
        <v>99.767799999999994</v>
      </c>
      <c r="F1185">
        <v>99.616600000000005</v>
      </c>
      <c r="G1185">
        <v>99.482900000000001</v>
      </c>
      <c r="H1185">
        <v>100.03149999999999</v>
      </c>
      <c r="I1185">
        <v>99.749600000000001</v>
      </c>
      <c r="J1185">
        <v>76.339200000000005</v>
      </c>
      <c r="K1185">
        <v>199.1</v>
      </c>
    </row>
    <row r="1186" spans="1:11" x14ac:dyDescent="0.35">
      <c r="A1186" s="77">
        <v>42979</v>
      </c>
      <c r="B1186">
        <v>99.782899999999998</v>
      </c>
      <c r="C1186">
        <v>100.5587</v>
      </c>
      <c r="D1186">
        <v>101.6281</v>
      </c>
      <c r="E1186">
        <v>99.666499999999999</v>
      </c>
      <c r="F1186">
        <v>99.658199999999994</v>
      </c>
      <c r="G1186">
        <v>99.282300000000006</v>
      </c>
      <c r="H1186">
        <v>101.128</v>
      </c>
      <c r="I1186">
        <v>99.285700000000006</v>
      </c>
      <c r="J1186">
        <v>76.493700000000004</v>
      </c>
      <c r="K1186">
        <v>199</v>
      </c>
    </row>
    <row r="1187" spans="1:11" x14ac:dyDescent="0.35">
      <c r="A1187" s="77">
        <v>43009</v>
      </c>
      <c r="B1187">
        <v>101.0401</v>
      </c>
      <c r="C1187">
        <v>100.9723</v>
      </c>
      <c r="D1187">
        <v>102.87220000000001</v>
      </c>
      <c r="E1187">
        <v>100.47110000000001</v>
      </c>
      <c r="F1187">
        <v>100.7491</v>
      </c>
      <c r="G1187">
        <v>101.10809999999999</v>
      </c>
      <c r="H1187">
        <v>102.6926</v>
      </c>
      <c r="I1187">
        <v>101.4318</v>
      </c>
      <c r="J1187">
        <v>77.540199999999999</v>
      </c>
      <c r="K1187">
        <v>200</v>
      </c>
    </row>
    <row r="1188" spans="1:11" x14ac:dyDescent="0.35">
      <c r="A1188" s="77">
        <v>43040</v>
      </c>
      <c r="B1188">
        <v>101.226</v>
      </c>
      <c r="C1188">
        <v>100.974</v>
      </c>
      <c r="D1188">
        <v>103.2946</v>
      </c>
      <c r="E1188">
        <v>99.944500000000005</v>
      </c>
      <c r="F1188">
        <v>100.77889999999999</v>
      </c>
      <c r="G1188">
        <v>101.6669</v>
      </c>
      <c r="H1188">
        <v>104.392</v>
      </c>
      <c r="I1188">
        <v>101.2769</v>
      </c>
      <c r="J1188">
        <v>77.762699999999995</v>
      </c>
      <c r="K1188">
        <v>200.5</v>
      </c>
    </row>
    <row r="1189" spans="1:11" x14ac:dyDescent="0.35">
      <c r="A1189" s="77">
        <v>43070</v>
      </c>
      <c r="B1189">
        <v>101.3878</v>
      </c>
      <c r="C1189">
        <v>100.6206</v>
      </c>
      <c r="D1189">
        <v>103.2182</v>
      </c>
      <c r="E1189">
        <v>100.2747</v>
      </c>
      <c r="F1189">
        <v>100.4778</v>
      </c>
      <c r="G1189">
        <v>101.7993</v>
      </c>
      <c r="H1189">
        <v>104.4556</v>
      </c>
      <c r="I1189">
        <v>104.86920000000001</v>
      </c>
      <c r="J1189">
        <v>77.961699999999993</v>
      </c>
      <c r="K1189">
        <v>200.6</v>
      </c>
    </row>
    <row r="1190" spans="1:11" x14ac:dyDescent="0.35">
      <c r="A1190" s="77">
        <v>43101</v>
      </c>
      <c r="B1190">
        <v>101.345</v>
      </c>
      <c r="C1190">
        <v>98.775199999999998</v>
      </c>
      <c r="D1190">
        <v>103.7684</v>
      </c>
      <c r="E1190">
        <v>100.72669999999999</v>
      </c>
      <c r="F1190">
        <v>100.08929999999999</v>
      </c>
      <c r="G1190">
        <v>101.5448</v>
      </c>
      <c r="H1190">
        <v>104.0635</v>
      </c>
      <c r="I1190">
        <v>107.6914</v>
      </c>
      <c r="J1190">
        <v>77.996600000000001</v>
      </c>
      <c r="K1190">
        <v>201</v>
      </c>
    </row>
    <row r="1191" spans="1:11" x14ac:dyDescent="0.35">
      <c r="A1191" s="77">
        <v>43132</v>
      </c>
      <c r="B1191">
        <v>101.7068</v>
      </c>
      <c r="C1191">
        <v>101.6777</v>
      </c>
      <c r="D1191">
        <v>104.41589999999999</v>
      </c>
      <c r="E1191">
        <v>100.1498</v>
      </c>
      <c r="F1191">
        <v>101.1146</v>
      </c>
      <c r="G1191">
        <v>102.10129999999999</v>
      </c>
      <c r="H1191">
        <v>106.9061</v>
      </c>
      <c r="I1191">
        <v>100.66249999999999</v>
      </c>
      <c r="J1191">
        <v>78.330399999999997</v>
      </c>
      <c r="K1191">
        <v>201.4</v>
      </c>
    </row>
    <row r="1192" spans="1:11" x14ac:dyDescent="0.35">
      <c r="A1192" s="77">
        <v>43160</v>
      </c>
      <c r="B1192">
        <v>102.27849999999999</v>
      </c>
      <c r="C1192">
        <v>100.9468</v>
      </c>
      <c r="D1192">
        <v>104.5989</v>
      </c>
      <c r="E1192">
        <v>100.5068</v>
      </c>
      <c r="F1192">
        <v>101.205</v>
      </c>
      <c r="G1192">
        <v>103.1035</v>
      </c>
      <c r="H1192">
        <v>108.709</v>
      </c>
      <c r="I1192">
        <v>103.3884</v>
      </c>
      <c r="J1192">
        <v>78.814999999999998</v>
      </c>
      <c r="K1192">
        <v>201.9</v>
      </c>
    </row>
    <row r="1193" spans="1:11" x14ac:dyDescent="0.35">
      <c r="A1193" s="77">
        <v>43191</v>
      </c>
      <c r="B1193">
        <v>103.434</v>
      </c>
      <c r="C1193">
        <v>101.8806</v>
      </c>
      <c r="D1193">
        <v>105.72709999999999</v>
      </c>
      <c r="E1193">
        <v>102.2392</v>
      </c>
      <c r="F1193">
        <v>101.9431</v>
      </c>
      <c r="G1193">
        <v>103.9722</v>
      </c>
      <c r="H1193">
        <v>109.8935</v>
      </c>
      <c r="I1193">
        <v>107.8539</v>
      </c>
      <c r="J1193">
        <v>79.739099999999993</v>
      </c>
      <c r="K1193">
        <v>202.3</v>
      </c>
    </row>
    <row r="1194" spans="1:11" x14ac:dyDescent="0.35">
      <c r="A1194" s="77">
        <v>43221</v>
      </c>
      <c r="B1194">
        <v>102.4735</v>
      </c>
      <c r="C1194">
        <v>102.54219999999999</v>
      </c>
      <c r="D1194">
        <v>103.6131</v>
      </c>
      <c r="E1194">
        <v>99.483999999999995</v>
      </c>
      <c r="F1194">
        <v>101.0712</v>
      </c>
      <c r="G1194">
        <v>103.99290000000001</v>
      </c>
      <c r="H1194">
        <v>110.4678</v>
      </c>
      <c r="I1194">
        <v>104.438</v>
      </c>
      <c r="J1194">
        <v>79.018100000000004</v>
      </c>
      <c r="K1194">
        <v>202.6</v>
      </c>
    </row>
    <row r="1195" spans="1:11" x14ac:dyDescent="0.35">
      <c r="A1195" s="77">
        <v>43252</v>
      </c>
      <c r="B1195">
        <v>103.2508</v>
      </c>
      <c r="C1195">
        <v>102.3398</v>
      </c>
      <c r="D1195">
        <v>104.9924</v>
      </c>
      <c r="E1195">
        <v>100.4302</v>
      </c>
      <c r="F1195">
        <v>101.73390000000001</v>
      </c>
      <c r="G1195">
        <v>104.6938</v>
      </c>
      <c r="H1195">
        <v>112.93380000000001</v>
      </c>
      <c r="I1195">
        <v>104.55929999999999</v>
      </c>
      <c r="J1195">
        <v>79.622399999999999</v>
      </c>
      <c r="K1195">
        <v>203</v>
      </c>
    </row>
    <row r="1196" spans="1:11" x14ac:dyDescent="0.35">
      <c r="A1196" s="77">
        <v>43282</v>
      </c>
      <c r="B1196">
        <v>103.4588</v>
      </c>
      <c r="C1196">
        <v>102.2436</v>
      </c>
      <c r="D1196">
        <v>104.4686</v>
      </c>
      <c r="E1196">
        <v>100.3079</v>
      </c>
      <c r="F1196">
        <v>101.8353</v>
      </c>
      <c r="G1196">
        <v>105.2927</v>
      </c>
      <c r="H1196">
        <v>114.3934</v>
      </c>
      <c r="I1196">
        <v>103.82510000000001</v>
      </c>
      <c r="J1196">
        <v>79.773200000000003</v>
      </c>
      <c r="K1196">
        <v>203.6</v>
      </c>
    </row>
    <row r="1197" spans="1:11" x14ac:dyDescent="0.35">
      <c r="A1197" s="77">
        <v>43313</v>
      </c>
      <c r="B1197">
        <v>104.1802</v>
      </c>
      <c r="C1197">
        <v>102.49639999999999</v>
      </c>
      <c r="D1197">
        <v>104.7217</v>
      </c>
      <c r="E1197">
        <v>101.1618</v>
      </c>
      <c r="F1197">
        <v>102.1497</v>
      </c>
      <c r="G1197">
        <v>106.2011</v>
      </c>
      <c r="H1197">
        <v>117.3459</v>
      </c>
      <c r="I1197">
        <v>104.7383</v>
      </c>
      <c r="J1197">
        <v>80.307299999999998</v>
      </c>
      <c r="K1197">
        <v>204.1</v>
      </c>
    </row>
    <row r="1198" spans="1:11" x14ac:dyDescent="0.35">
      <c r="A1198" s="77">
        <v>43344</v>
      </c>
      <c r="B1198">
        <v>104.1665</v>
      </c>
      <c r="C1198">
        <v>101.8092</v>
      </c>
      <c r="D1198">
        <v>104.1682</v>
      </c>
      <c r="E1198">
        <v>101.1465</v>
      </c>
      <c r="F1198">
        <v>102.11150000000001</v>
      </c>
      <c r="G1198">
        <v>106.2865</v>
      </c>
      <c r="H1198">
        <v>117.749</v>
      </c>
      <c r="I1198">
        <v>104.3374</v>
      </c>
      <c r="J1198">
        <v>80.2637</v>
      </c>
      <c r="K1198">
        <v>204.4</v>
      </c>
    </row>
    <row r="1199" spans="1:11" x14ac:dyDescent="0.35">
      <c r="A1199" s="77">
        <v>43374</v>
      </c>
      <c r="B1199">
        <v>104.0476</v>
      </c>
      <c r="C1199">
        <v>101.792</v>
      </c>
      <c r="D1199">
        <v>103.2689</v>
      </c>
      <c r="E1199">
        <v>101.1639</v>
      </c>
      <c r="F1199">
        <v>101.7088</v>
      </c>
      <c r="G1199">
        <v>106.1691</v>
      </c>
      <c r="H1199">
        <v>117.8592</v>
      </c>
      <c r="I1199">
        <v>106.0998</v>
      </c>
      <c r="J1199">
        <v>80.1297</v>
      </c>
      <c r="K1199">
        <v>205.1</v>
      </c>
    </row>
    <row r="1200" spans="1:11" x14ac:dyDescent="0.35">
      <c r="A1200" s="77">
        <v>43405</v>
      </c>
      <c r="B1200">
        <v>103.9603</v>
      </c>
      <c r="C1200">
        <v>101.3634</v>
      </c>
      <c r="D1200">
        <v>101.8002</v>
      </c>
      <c r="E1200">
        <v>101.2022</v>
      </c>
      <c r="F1200">
        <v>101.2783</v>
      </c>
      <c r="G1200">
        <v>106.4877</v>
      </c>
      <c r="H1200">
        <v>118.5522</v>
      </c>
      <c r="I1200">
        <v>107.48569999999999</v>
      </c>
      <c r="J1200">
        <v>80.012100000000004</v>
      </c>
      <c r="K1200">
        <v>205.6</v>
      </c>
    </row>
    <row r="1201" spans="1:11" x14ac:dyDescent="0.35">
      <c r="A1201" s="77">
        <v>43435</v>
      </c>
      <c r="B1201">
        <v>103.869</v>
      </c>
      <c r="C1201">
        <v>102.2179</v>
      </c>
      <c r="D1201">
        <v>100.938</v>
      </c>
      <c r="E1201">
        <v>100.9555</v>
      </c>
      <c r="F1201">
        <v>101.44450000000001</v>
      </c>
      <c r="G1201">
        <v>106.533</v>
      </c>
      <c r="H1201">
        <v>120.4772</v>
      </c>
      <c r="I1201">
        <v>103.3369</v>
      </c>
      <c r="J1201">
        <v>79.884600000000006</v>
      </c>
      <c r="K1201">
        <v>205.8</v>
      </c>
    </row>
    <row r="1202" spans="1:11" x14ac:dyDescent="0.35">
      <c r="A1202" s="77">
        <v>43466</v>
      </c>
      <c r="B1202">
        <v>103.2684</v>
      </c>
      <c r="C1202">
        <v>101.9348</v>
      </c>
      <c r="D1202">
        <v>99.531999999999996</v>
      </c>
      <c r="E1202">
        <v>100.23739999999999</v>
      </c>
      <c r="F1202">
        <v>100.6521</v>
      </c>
      <c r="G1202">
        <v>105.92489999999999</v>
      </c>
      <c r="H1202">
        <v>119.6639</v>
      </c>
      <c r="I1202">
        <v>104.4662</v>
      </c>
      <c r="J1202">
        <v>79.359300000000005</v>
      </c>
      <c r="K1202">
        <v>206.8</v>
      </c>
    </row>
    <row r="1203" spans="1:11" x14ac:dyDescent="0.35">
      <c r="A1203" s="77">
        <v>43497</v>
      </c>
      <c r="B1203">
        <v>102.81570000000001</v>
      </c>
      <c r="C1203">
        <v>100.1206</v>
      </c>
      <c r="D1203">
        <v>98.608599999999996</v>
      </c>
      <c r="E1203">
        <v>100.55329999999999</v>
      </c>
      <c r="F1203">
        <v>100.2042</v>
      </c>
      <c r="G1203">
        <v>105.2959</v>
      </c>
      <c r="H1203">
        <v>118.06950000000001</v>
      </c>
      <c r="I1203">
        <v>105.15430000000001</v>
      </c>
      <c r="J1203">
        <v>78.945300000000003</v>
      </c>
      <c r="K1203">
        <v>207</v>
      </c>
    </row>
    <row r="1204" spans="1:11" x14ac:dyDescent="0.35">
      <c r="A1204" s="77">
        <v>43525</v>
      </c>
      <c r="B1204">
        <v>102.9</v>
      </c>
      <c r="C1204">
        <v>100.0899</v>
      </c>
      <c r="D1204">
        <v>98.302499999999995</v>
      </c>
      <c r="E1204">
        <v>101.0626</v>
      </c>
      <c r="F1204">
        <v>100.1091</v>
      </c>
      <c r="G1204">
        <v>105.2664</v>
      </c>
      <c r="H1204">
        <v>118.6683</v>
      </c>
      <c r="I1204">
        <v>106.0924</v>
      </c>
      <c r="J1204">
        <v>78.940100000000001</v>
      </c>
      <c r="K1204">
        <v>207.3</v>
      </c>
    </row>
    <row r="1205" spans="1:11" x14ac:dyDescent="0.35">
      <c r="A1205" s="77">
        <v>43556</v>
      </c>
      <c r="B1205">
        <v>102.3826</v>
      </c>
      <c r="C1205">
        <v>99.672700000000006</v>
      </c>
      <c r="D1205">
        <v>96.176699999999997</v>
      </c>
      <c r="E1205">
        <v>99.741299999999995</v>
      </c>
      <c r="F1205">
        <v>99.486599999999996</v>
      </c>
      <c r="G1205">
        <v>105.5086</v>
      </c>
      <c r="H1205">
        <v>120.95489999999999</v>
      </c>
      <c r="I1205">
        <v>102.9877</v>
      </c>
      <c r="J1205">
        <v>78.468500000000006</v>
      </c>
      <c r="K1205">
        <v>207.4</v>
      </c>
    </row>
    <row r="1206" spans="1:11" x14ac:dyDescent="0.35">
      <c r="A1206" s="77">
        <v>43586</v>
      </c>
      <c r="B1206">
        <v>102.57559999999999</v>
      </c>
      <c r="C1206">
        <v>100.443</v>
      </c>
      <c r="D1206">
        <v>95.727699999999999</v>
      </c>
      <c r="E1206">
        <v>100.2936</v>
      </c>
      <c r="F1206">
        <v>99.550899999999999</v>
      </c>
      <c r="G1206">
        <v>105.55880000000001</v>
      </c>
      <c r="H1206">
        <v>121.1386</v>
      </c>
      <c r="I1206">
        <v>104.29470000000001</v>
      </c>
      <c r="J1206">
        <v>78.537899999999993</v>
      </c>
      <c r="K1206">
        <v>207.6</v>
      </c>
    </row>
    <row r="1207" spans="1:11" x14ac:dyDescent="0.35">
      <c r="A1207" s="77">
        <v>43617</v>
      </c>
      <c r="B1207">
        <v>102.5928</v>
      </c>
      <c r="C1207">
        <v>101.2953</v>
      </c>
      <c r="D1207">
        <v>95.794899999999998</v>
      </c>
      <c r="E1207">
        <v>100.89919999999999</v>
      </c>
      <c r="F1207">
        <v>99.851699999999994</v>
      </c>
      <c r="G1207">
        <v>105.1297</v>
      </c>
      <c r="H1207">
        <v>122.0834</v>
      </c>
      <c r="I1207">
        <v>101.07129999999999</v>
      </c>
      <c r="J1207">
        <v>78.469399999999993</v>
      </c>
      <c r="K1207">
        <v>207.7</v>
      </c>
    </row>
    <row r="1208" spans="1:11" x14ac:dyDescent="0.35">
      <c r="A1208" s="77">
        <v>43647</v>
      </c>
      <c r="B1208">
        <v>102.2012</v>
      </c>
      <c r="C1208">
        <v>100.55840000000001</v>
      </c>
      <c r="D1208">
        <v>94.399900000000002</v>
      </c>
      <c r="E1208">
        <v>100.6116</v>
      </c>
      <c r="F1208">
        <v>99.239900000000006</v>
      </c>
      <c r="G1208">
        <v>104.7409</v>
      </c>
      <c r="H1208">
        <v>120.0346</v>
      </c>
      <c r="I1208">
        <v>104.3182</v>
      </c>
      <c r="J1208">
        <v>78.085499999999996</v>
      </c>
      <c r="K1208">
        <v>208</v>
      </c>
    </row>
    <row r="1209" spans="1:11" x14ac:dyDescent="0.35">
      <c r="A1209" s="77">
        <v>43678</v>
      </c>
      <c r="B1209">
        <v>102.90860000000001</v>
      </c>
      <c r="C1209">
        <v>100.8668</v>
      </c>
      <c r="D1209">
        <v>95.301199999999994</v>
      </c>
      <c r="E1209">
        <v>100.9573</v>
      </c>
      <c r="F1209">
        <v>99.912700000000001</v>
      </c>
      <c r="G1209">
        <v>105.74250000000001</v>
      </c>
      <c r="H1209">
        <v>122.8742</v>
      </c>
      <c r="I1209">
        <v>103.274</v>
      </c>
      <c r="J1209">
        <v>78.538200000000003</v>
      </c>
      <c r="K1209">
        <v>208</v>
      </c>
    </row>
    <row r="1210" spans="1:11" x14ac:dyDescent="0.35">
      <c r="A1210" s="77">
        <v>43709</v>
      </c>
      <c r="B1210">
        <v>102.57899999999999</v>
      </c>
      <c r="C1210">
        <v>100.6456</v>
      </c>
      <c r="D1210">
        <v>93.722499999999997</v>
      </c>
      <c r="E1210">
        <v>100.2008</v>
      </c>
      <c r="F1210">
        <v>99.182000000000002</v>
      </c>
      <c r="G1210">
        <v>105.845</v>
      </c>
      <c r="H1210">
        <v>123.3466</v>
      </c>
      <c r="I1210">
        <v>105.05</v>
      </c>
      <c r="J1210">
        <v>78.2029</v>
      </c>
      <c r="K1210">
        <v>208.2</v>
      </c>
    </row>
    <row r="1211" spans="1:11" x14ac:dyDescent="0.35">
      <c r="A1211" s="77">
        <v>43739</v>
      </c>
      <c r="B1211">
        <v>101.7775</v>
      </c>
      <c r="C1211">
        <v>99.744200000000006</v>
      </c>
      <c r="D1211">
        <v>93.109800000000007</v>
      </c>
      <c r="E1211">
        <v>99.954400000000007</v>
      </c>
      <c r="F1211">
        <v>98.440700000000007</v>
      </c>
      <c r="G1211">
        <v>104.5232</v>
      </c>
      <c r="H1211">
        <v>122.604</v>
      </c>
      <c r="I1211">
        <v>103.9808</v>
      </c>
      <c r="J1211">
        <v>77.513800000000003</v>
      </c>
      <c r="K1211">
        <v>208.5</v>
      </c>
    </row>
    <row r="1212" spans="1:11" x14ac:dyDescent="0.35">
      <c r="A1212" s="77">
        <v>43770</v>
      </c>
      <c r="B1212">
        <v>102.0979</v>
      </c>
      <c r="C1212">
        <v>99.238200000000006</v>
      </c>
      <c r="D1212">
        <v>94.523700000000005</v>
      </c>
      <c r="E1212">
        <v>101.2811</v>
      </c>
      <c r="F1212">
        <v>99.114999999999995</v>
      </c>
      <c r="G1212">
        <v>104.0826</v>
      </c>
      <c r="H1212">
        <v>120.12779999999999</v>
      </c>
      <c r="I1212">
        <v>104.9438</v>
      </c>
      <c r="J1212">
        <v>77.687899999999999</v>
      </c>
      <c r="K1212">
        <v>208.8</v>
      </c>
    </row>
    <row r="1213" spans="1:11" x14ac:dyDescent="0.35">
      <c r="A1213" s="77">
        <v>43800</v>
      </c>
      <c r="B1213">
        <v>101.7632</v>
      </c>
      <c r="C1213">
        <v>100.0692</v>
      </c>
      <c r="D1213">
        <v>94.229600000000005</v>
      </c>
      <c r="E1213">
        <v>100.44540000000001</v>
      </c>
      <c r="F1213">
        <v>98.980800000000002</v>
      </c>
      <c r="G1213">
        <v>103.75709999999999</v>
      </c>
      <c r="H1213">
        <v>120.3918</v>
      </c>
      <c r="I1213">
        <v>102.5188</v>
      </c>
      <c r="J1213">
        <v>77.373999999999995</v>
      </c>
      <c r="K1213">
        <v>208.8</v>
      </c>
    </row>
    <row r="1214" spans="1:11" x14ac:dyDescent="0.35">
      <c r="A1214" s="77">
        <v>43831</v>
      </c>
      <c r="B1214">
        <v>101.303</v>
      </c>
      <c r="C1214">
        <v>102.36669999999999</v>
      </c>
      <c r="D1214">
        <v>91.699399999999997</v>
      </c>
      <c r="E1214">
        <v>100.0985</v>
      </c>
      <c r="F1214">
        <v>98.870999999999995</v>
      </c>
      <c r="G1214">
        <v>103.26349999999999</v>
      </c>
      <c r="H1214">
        <v>120.28579999999999</v>
      </c>
      <c r="I1214">
        <v>99.0595</v>
      </c>
      <c r="J1214">
        <v>76.976900000000001</v>
      </c>
      <c r="K1214">
        <v>209</v>
      </c>
    </row>
    <row r="1215" spans="1:11" x14ac:dyDescent="0.35">
      <c r="A1215" s="77">
        <v>43862</v>
      </c>
      <c r="B1215">
        <v>101.7038</v>
      </c>
      <c r="C1215">
        <v>102.39019999999999</v>
      </c>
      <c r="D1215">
        <v>91.452100000000002</v>
      </c>
      <c r="E1215">
        <v>101.1524</v>
      </c>
      <c r="F1215">
        <v>99.191400000000002</v>
      </c>
      <c r="G1215">
        <v>103.32170000000001</v>
      </c>
      <c r="H1215">
        <v>119.0613</v>
      </c>
      <c r="I1215">
        <v>102.0314</v>
      </c>
      <c r="J1215">
        <v>77.252600000000001</v>
      </c>
      <c r="K1215">
        <v>209.5</v>
      </c>
    </row>
    <row r="1216" spans="1:11" x14ac:dyDescent="0.35">
      <c r="A1216" s="77">
        <v>43891</v>
      </c>
      <c r="B1216">
        <v>97.874600000000001</v>
      </c>
      <c r="C1216">
        <v>99.006399999999999</v>
      </c>
      <c r="D1216">
        <v>85.345600000000005</v>
      </c>
      <c r="E1216">
        <v>96.3369</v>
      </c>
      <c r="F1216">
        <v>94.962400000000002</v>
      </c>
      <c r="G1216">
        <v>100.7296</v>
      </c>
      <c r="H1216">
        <v>118.91240000000001</v>
      </c>
      <c r="I1216">
        <v>98.553700000000006</v>
      </c>
      <c r="J1216">
        <v>74.332999999999998</v>
      </c>
      <c r="K1216">
        <v>209.5</v>
      </c>
    </row>
    <row r="1217" spans="1:11" x14ac:dyDescent="0.35">
      <c r="A1217" s="77">
        <v>43922</v>
      </c>
      <c r="B1217">
        <v>84.959000000000003</v>
      </c>
      <c r="C1217">
        <v>88.207300000000004</v>
      </c>
      <c r="D1217">
        <v>65.439599999999999</v>
      </c>
      <c r="E1217">
        <v>85.209199999999996</v>
      </c>
      <c r="F1217">
        <v>80.395200000000003</v>
      </c>
      <c r="G1217">
        <v>88.0274</v>
      </c>
      <c r="H1217">
        <v>102.9563</v>
      </c>
      <c r="I1217">
        <v>100.4235</v>
      </c>
      <c r="J1217">
        <v>64.529799999999994</v>
      </c>
      <c r="K1217">
        <v>209.9</v>
      </c>
    </row>
    <row r="1218" spans="1:11" x14ac:dyDescent="0.35">
      <c r="A1218" s="77">
        <v>43952</v>
      </c>
      <c r="B1218">
        <v>86.334500000000006</v>
      </c>
      <c r="C1218">
        <v>91.625299999999996</v>
      </c>
      <c r="D1218">
        <v>71.249799999999993</v>
      </c>
      <c r="E1218">
        <v>88.910899999999998</v>
      </c>
      <c r="F1218">
        <v>83.931100000000001</v>
      </c>
      <c r="G1218">
        <v>86.647300000000001</v>
      </c>
      <c r="H1218">
        <v>89.588899999999995</v>
      </c>
      <c r="I1218">
        <v>98.558199999999999</v>
      </c>
      <c r="J1218">
        <v>65.599199999999996</v>
      </c>
      <c r="K1218">
        <v>209.8</v>
      </c>
    </row>
    <row r="1219" spans="1:11" x14ac:dyDescent="0.35">
      <c r="A1219" s="77">
        <v>43983</v>
      </c>
      <c r="B1219">
        <v>91.752300000000005</v>
      </c>
      <c r="C1219">
        <v>92.928399999999996</v>
      </c>
      <c r="D1219">
        <v>79.391400000000004</v>
      </c>
      <c r="E1219">
        <v>96.627099999999999</v>
      </c>
      <c r="F1219">
        <v>90.209900000000005</v>
      </c>
      <c r="G1219">
        <v>91.2547</v>
      </c>
      <c r="H1219">
        <v>91.824399999999997</v>
      </c>
      <c r="I1219">
        <v>100.9439</v>
      </c>
      <c r="J1219">
        <v>69.7637</v>
      </c>
      <c r="K1219">
        <v>209.8</v>
      </c>
    </row>
    <row r="1220" spans="1:11" x14ac:dyDescent="0.35">
      <c r="A1220" s="77">
        <v>44013</v>
      </c>
      <c r="B1220">
        <v>95.243899999999996</v>
      </c>
      <c r="C1220">
        <v>94.430499999999995</v>
      </c>
      <c r="D1220">
        <v>83.608599999999996</v>
      </c>
      <c r="E1220">
        <v>101.0609</v>
      </c>
      <c r="F1220">
        <v>93.500399999999999</v>
      </c>
      <c r="G1220">
        <v>94.495900000000006</v>
      </c>
      <c r="H1220">
        <v>96.726900000000001</v>
      </c>
      <c r="I1220">
        <v>105.1296</v>
      </c>
      <c r="J1220">
        <v>72.492800000000003</v>
      </c>
      <c r="K1220">
        <v>210.2</v>
      </c>
    </row>
    <row r="1221" spans="1:11" x14ac:dyDescent="0.35">
      <c r="A1221" s="77">
        <v>44044</v>
      </c>
      <c r="B1221">
        <v>96.1173</v>
      </c>
      <c r="C1221">
        <v>95.561000000000007</v>
      </c>
      <c r="D1221">
        <v>85.692099999999996</v>
      </c>
      <c r="E1221">
        <v>101.8092</v>
      </c>
      <c r="F1221">
        <v>94.836399999999998</v>
      </c>
      <c r="G1221">
        <v>94.990700000000004</v>
      </c>
      <c r="H1221">
        <v>96.860699999999994</v>
      </c>
      <c r="I1221">
        <v>102.5446</v>
      </c>
      <c r="J1221">
        <v>73.257000000000005</v>
      </c>
      <c r="K1221">
        <v>210.5</v>
      </c>
    </row>
    <row r="1222" spans="1:11" x14ac:dyDescent="0.35">
      <c r="A1222" s="77">
        <v>44075</v>
      </c>
      <c r="B1222">
        <v>96.071100000000001</v>
      </c>
      <c r="C1222">
        <v>96.009600000000006</v>
      </c>
      <c r="D1222">
        <v>85.483000000000004</v>
      </c>
      <c r="E1222">
        <v>100.34650000000001</v>
      </c>
      <c r="F1222">
        <v>94.836600000000004</v>
      </c>
      <c r="G1222">
        <v>95.614900000000006</v>
      </c>
      <c r="H1222">
        <v>98.024900000000002</v>
      </c>
      <c r="I1222">
        <v>100.7128</v>
      </c>
      <c r="J1222">
        <v>73.339500000000001</v>
      </c>
      <c r="K1222">
        <v>210.7</v>
      </c>
    </row>
    <row r="1223" spans="1:11" x14ac:dyDescent="0.35">
      <c r="A1223" s="77">
        <v>44105</v>
      </c>
      <c r="B1223">
        <v>96.825000000000003</v>
      </c>
      <c r="C1223">
        <v>98.072000000000003</v>
      </c>
      <c r="D1223">
        <v>86.008700000000005</v>
      </c>
      <c r="E1223">
        <v>100.69</v>
      </c>
      <c r="F1223">
        <v>95.814700000000002</v>
      </c>
      <c r="G1223">
        <v>96.230999999999995</v>
      </c>
      <c r="H1223">
        <v>96.868600000000001</v>
      </c>
      <c r="I1223">
        <v>101.452</v>
      </c>
      <c r="J1223">
        <v>74.048199999999994</v>
      </c>
      <c r="K1223">
        <v>210.8</v>
      </c>
    </row>
    <row r="1224" spans="1:11" x14ac:dyDescent="0.35">
      <c r="A1224" s="77">
        <v>44136</v>
      </c>
      <c r="B1224">
        <v>97.118300000000005</v>
      </c>
      <c r="C1224">
        <v>98.147999999999996</v>
      </c>
      <c r="D1224">
        <v>86.807900000000004</v>
      </c>
      <c r="E1224">
        <v>100.6807</v>
      </c>
      <c r="F1224">
        <v>96.358000000000004</v>
      </c>
      <c r="G1224">
        <v>96.743399999999994</v>
      </c>
      <c r="H1224">
        <v>100.19410000000001</v>
      </c>
      <c r="I1224">
        <v>97.662800000000004</v>
      </c>
      <c r="J1224">
        <v>74.415599999999998</v>
      </c>
      <c r="K1224">
        <v>211.5</v>
      </c>
    </row>
    <row r="1225" spans="1:11" x14ac:dyDescent="0.35">
      <c r="A1225" s="77">
        <v>44166</v>
      </c>
      <c r="B1225">
        <v>98.138000000000005</v>
      </c>
      <c r="C1225">
        <v>99.424400000000006</v>
      </c>
      <c r="D1225">
        <v>87.642399999999995</v>
      </c>
      <c r="E1225">
        <v>102.2358</v>
      </c>
      <c r="F1225">
        <v>96.746099999999998</v>
      </c>
      <c r="G1225">
        <v>97.560299999999998</v>
      </c>
      <c r="H1225">
        <v>100.7398</v>
      </c>
      <c r="I1225">
        <v>104.5528</v>
      </c>
      <c r="J1225">
        <v>75.346599999999995</v>
      </c>
      <c r="K1225">
        <v>211.6</v>
      </c>
    </row>
    <row r="1226" spans="1:11" x14ac:dyDescent="0.35">
      <c r="A1226" s="77">
        <v>44197</v>
      </c>
      <c r="B1226">
        <v>99.264499999999998</v>
      </c>
      <c r="C1226">
        <v>100.37479999999999</v>
      </c>
      <c r="D1226">
        <v>90.296099999999996</v>
      </c>
      <c r="E1226">
        <v>103.2543</v>
      </c>
      <c r="F1226">
        <v>98.323599999999999</v>
      </c>
      <c r="G1226">
        <v>98.480199999999996</v>
      </c>
      <c r="H1226">
        <v>103.065</v>
      </c>
      <c r="I1226">
        <v>101.7159</v>
      </c>
      <c r="J1226">
        <v>76.364999999999995</v>
      </c>
      <c r="K1226">
        <v>212.4</v>
      </c>
    </row>
    <row r="1227" spans="1:11" x14ac:dyDescent="0.35">
      <c r="A1227" s="77">
        <v>44228</v>
      </c>
      <c r="B1227">
        <v>96.223100000000002</v>
      </c>
      <c r="C1227">
        <v>97.013199999999998</v>
      </c>
      <c r="D1227">
        <v>88.100099999999998</v>
      </c>
      <c r="E1227">
        <v>100.9525</v>
      </c>
      <c r="F1227">
        <v>94.746499999999997</v>
      </c>
      <c r="G1227">
        <v>94.286000000000001</v>
      </c>
      <c r="H1227">
        <v>93.845299999999995</v>
      </c>
      <c r="I1227">
        <v>108.2527</v>
      </c>
      <c r="J1227">
        <v>74.163399999999996</v>
      </c>
      <c r="K1227">
        <v>213</v>
      </c>
    </row>
    <row r="1228" spans="1:11" x14ac:dyDescent="0.35">
      <c r="A1228" s="77">
        <v>44256</v>
      </c>
      <c r="B1228">
        <v>98.862099999999998</v>
      </c>
      <c r="C1228">
        <v>100.6644</v>
      </c>
      <c r="D1228">
        <v>90.433700000000002</v>
      </c>
      <c r="E1228">
        <v>102.185</v>
      </c>
      <c r="F1228">
        <v>97.722999999999999</v>
      </c>
      <c r="G1228">
        <v>97.992500000000007</v>
      </c>
      <c r="H1228">
        <v>104.55370000000001</v>
      </c>
      <c r="I1228">
        <v>99.933800000000005</v>
      </c>
      <c r="J1228">
        <v>76.329899999999995</v>
      </c>
      <c r="K1228">
        <v>213.8</v>
      </c>
    </row>
    <row r="1229" spans="1:11" x14ac:dyDescent="0.35">
      <c r="A1229" s="77">
        <v>44287</v>
      </c>
      <c r="B1229">
        <v>99.024600000000007</v>
      </c>
      <c r="C1229">
        <v>99.752300000000005</v>
      </c>
      <c r="D1229">
        <v>89.203599999999994</v>
      </c>
      <c r="E1229">
        <v>101.67359999999999</v>
      </c>
      <c r="F1229">
        <v>97.670699999999997</v>
      </c>
      <c r="G1229">
        <v>99.000799999999998</v>
      </c>
      <c r="H1229">
        <v>105.06610000000001</v>
      </c>
      <c r="I1229">
        <v>102.10599999999999</v>
      </c>
      <c r="J1229">
        <v>76.577600000000004</v>
      </c>
      <c r="K1229">
        <v>214.9</v>
      </c>
    </row>
    <row r="1230" spans="1:11" x14ac:dyDescent="0.35">
      <c r="A1230" s="77">
        <v>44317</v>
      </c>
      <c r="B1230">
        <v>99.778499999999994</v>
      </c>
      <c r="C1230">
        <v>99.451499999999996</v>
      </c>
      <c r="D1230">
        <v>90.915400000000005</v>
      </c>
      <c r="E1230">
        <v>102.22369999999999</v>
      </c>
      <c r="F1230">
        <v>98.610299999999995</v>
      </c>
      <c r="G1230">
        <v>99.898300000000006</v>
      </c>
      <c r="H1230">
        <v>106.4371</v>
      </c>
      <c r="I1230">
        <v>101.57940000000001</v>
      </c>
      <c r="J1230">
        <v>77.263499999999993</v>
      </c>
      <c r="K1230">
        <v>216.1</v>
      </c>
    </row>
    <row r="1231" spans="1:11" x14ac:dyDescent="0.35">
      <c r="A1231" s="77">
        <v>44348</v>
      </c>
      <c r="B1231">
        <v>100.1923</v>
      </c>
      <c r="C1231">
        <v>99.070499999999996</v>
      </c>
      <c r="D1231">
        <v>90.157300000000006</v>
      </c>
      <c r="E1231">
        <v>102.1322</v>
      </c>
      <c r="F1231">
        <v>98.577399999999997</v>
      </c>
      <c r="G1231">
        <v>100.8711</v>
      </c>
      <c r="H1231">
        <v>106.8877</v>
      </c>
      <c r="I1231">
        <v>105.8571</v>
      </c>
      <c r="J1231">
        <v>77.662199999999999</v>
      </c>
      <c r="K1231">
        <v>217.6</v>
      </c>
    </row>
    <row r="1232" spans="1:11" x14ac:dyDescent="0.35">
      <c r="A1232" s="77">
        <v>44378</v>
      </c>
      <c r="B1232">
        <v>100.8724</v>
      </c>
      <c r="C1232">
        <v>100.2358</v>
      </c>
      <c r="D1232">
        <v>92.664199999999994</v>
      </c>
      <c r="E1232">
        <v>102.682</v>
      </c>
      <c r="F1232">
        <v>99.677599999999998</v>
      </c>
      <c r="G1232">
        <v>101.0609</v>
      </c>
      <c r="H1232">
        <v>107.60760000000001</v>
      </c>
      <c r="I1232">
        <v>103.5836</v>
      </c>
      <c r="J1232">
        <v>78.237300000000005</v>
      </c>
      <c r="K1232">
        <v>219.05199999999999</v>
      </c>
    </row>
    <row r="1233" spans="1:11" x14ac:dyDescent="0.35">
      <c r="A1233" s="77">
        <v>44409</v>
      </c>
      <c r="B1233">
        <v>100.837</v>
      </c>
      <c r="C1233">
        <v>100.61539999999999</v>
      </c>
      <c r="D1233">
        <v>92.696600000000004</v>
      </c>
      <c r="E1233">
        <v>102.52379999999999</v>
      </c>
      <c r="F1233">
        <v>99.352699999999999</v>
      </c>
      <c r="G1233">
        <v>100.9286</v>
      </c>
      <c r="H1233">
        <v>107.55549999999999</v>
      </c>
      <c r="I1233">
        <v>105.2512</v>
      </c>
      <c r="J1233">
        <v>78.226200000000006</v>
      </c>
      <c r="K1233">
        <v>220.06800000000001</v>
      </c>
    </row>
    <row r="1234" spans="1:11" x14ac:dyDescent="0.35">
      <c r="A1234" s="77">
        <v>44440</v>
      </c>
      <c r="B1234">
        <v>99.849800000000002</v>
      </c>
      <c r="C1234">
        <v>101.93300000000001</v>
      </c>
      <c r="D1234">
        <v>92.233500000000006</v>
      </c>
      <c r="E1234">
        <v>101.6084</v>
      </c>
      <c r="F1234">
        <v>98.578400000000002</v>
      </c>
      <c r="G1234">
        <v>99.402000000000001</v>
      </c>
      <c r="H1234">
        <v>105.8827</v>
      </c>
      <c r="I1234">
        <v>103.3258</v>
      </c>
      <c r="J1234">
        <v>77.446899999999999</v>
      </c>
      <c r="K1234">
        <v>221.54599999999999</v>
      </c>
    </row>
    <row r="1235" spans="1:11" x14ac:dyDescent="0.35">
      <c r="A1235" s="77">
        <v>44470</v>
      </c>
      <c r="B1235">
        <v>101.36020000000001</v>
      </c>
      <c r="C1235">
        <v>103.2902</v>
      </c>
      <c r="D1235">
        <v>92.906000000000006</v>
      </c>
      <c r="E1235">
        <v>102.3657</v>
      </c>
      <c r="F1235">
        <v>100.25109999999999</v>
      </c>
      <c r="G1235">
        <v>101.6131</v>
      </c>
      <c r="H1235">
        <v>109.7944</v>
      </c>
      <c r="I1235">
        <v>100.4297</v>
      </c>
      <c r="J1235">
        <v>78.578400000000002</v>
      </c>
      <c r="K1235">
        <v>222.791</v>
      </c>
    </row>
    <row r="1236" spans="1:11" x14ac:dyDescent="0.35">
      <c r="A1236" s="77">
        <v>44501</v>
      </c>
      <c r="B1236">
        <v>101.961</v>
      </c>
      <c r="C1236">
        <v>104.8263</v>
      </c>
      <c r="D1236">
        <v>93.415599999999998</v>
      </c>
      <c r="E1236">
        <v>102.97709999999999</v>
      </c>
      <c r="F1236">
        <v>100.8291</v>
      </c>
      <c r="G1236">
        <v>102.0746</v>
      </c>
      <c r="H1236">
        <v>110.1619</v>
      </c>
      <c r="I1236">
        <v>101.8721</v>
      </c>
      <c r="J1236">
        <v>78.980800000000002</v>
      </c>
      <c r="K1236">
        <v>224.142</v>
      </c>
    </row>
    <row r="1237" spans="1:11" x14ac:dyDescent="0.35">
      <c r="A1237" s="77">
        <v>44531</v>
      </c>
      <c r="B1237">
        <v>101.7587</v>
      </c>
      <c r="C1237">
        <v>104.95480000000001</v>
      </c>
      <c r="D1237">
        <v>94.230599999999995</v>
      </c>
      <c r="E1237">
        <v>102.6412</v>
      </c>
      <c r="F1237">
        <v>100.7976</v>
      </c>
      <c r="G1237">
        <v>101.8582</v>
      </c>
      <c r="H1237">
        <v>110.31019999999999</v>
      </c>
      <c r="I1237">
        <v>100.4218</v>
      </c>
      <c r="J1237">
        <v>78.741600000000005</v>
      </c>
      <c r="K1237">
        <v>225.40299999999999</v>
      </c>
    </row>
    <row r="1238" spans="1:11" x14ac:dyDescent="0.35">
      <c r="A1238" s="77">
        <v>44562</v>
      </c>
      <c r="B1238">
        <v>102.146</v>
      </c>
      <c r="C1238">
        <v>103.7324</v>
      </c>
      <c r="D1238">
        <v>93.428200000000004</v>
      </c>
      <c r="E1238">
        <v>104.2414</v>
      </c>
      <c r="F1238">
        <v>100.4851</v>
      </c>
      <c r="G1238">
        <v>101.8282</v>
      </c>
      <c r="H1238">
        <v>109.11499999999999</v>
      </c>
      <c r="I1238">
        <v>108.3532</v>
      </c>
      <c r="J1238">
        <v>78.942099999999996</v>
      </c>
      <c r="K1238">
        <v>227.48400000000001</v>
      </c>
    </row>
    <row r="1239" spans="1:11" x14ac:dyDescent="0.35">
      <c r="A1239" s="77">
        <v>44593</v>
      </c>
      <c r="B1239">
        <v>102.89870000000001</v>
      </c>
      <c r="C1239">
        <v>105.8214</v>
      </c>
      <c r="D1239">
        <v>95.267799999999994</v>
      </c>
      <c r="E1239">
        <v>104.4799</v>
      </c>
      <c r="F1239">
        <v>101.71729999999999</v>
      </c>
      <c r="G1239">
        <v>102.3028</v>
      </c>
      <c r="H1239">
        <v>108.5333</v>
      </c>
      <c r="I1239">
        <v>107.48439999999999</v>
      </c>
      <c r="J1239">
        <v>79.414500000000004</v>
      </c>
      <c r="K1239">
        <v>229.63399999999999</v>
      </c>
    </row>
    <row r="1240" spans="1:11" x14ac:dyDescent="0.35">
      <c r="A1240" s="77">
        <v>44621</v>
      </c>
      <c r="B1240">
        <v>103.57170000000001</v>
      </c>
      <c r="C1240">
        <v>105.2346</v>
      </c>
      <c r="D1240">
        <v>96.392099999999999</v>
      </c>
      <c r="E1240">
        <v>104.6884</v>
      </c>
      <c r="F1240">
        <v>102.43389999999999</v>
      </c>
      <c r="G1240">
        <v>103.35550000000001</v>
      </c>
      <c r="H1240">
        <v>111.91</v>
      </c>
      <c r="I1240">
        <v>103.10420000000001</v>
      </c>
      <c r="J1240">
        <v>79.815399999999997</v>
      </c>
      <c r="K1240">
        <v>231.136</v>
      </c>
    </row>
    <row r="1241" spans="1:11" x14ac:dyDescent="0.35">
      <c r="A1241" s="77">
        <v>44652</v>
      </c>
      <c r="B1241">
        <v>104.2709</v>
      </c>
      <c r="C1241">
        <v>104.9628</v>
      </c>
      <c r="D1241">
        <v>97.269099999999995</v>
      </c>
      <c r="E1241">
        <v>106.0705</v>
      </c>
      <c r="F1241">
        <v>102.90309999999999</v>
      </c>
      <c r="G1241">
        <v>103.7079</v>
      </c>
      <c r="H1241">
        <v>112.34350000000001</v>
      </c>
      <c r="I1241">
        <v>106.7054</v>
      </c>
      <c r="J1241">
        <v>80.228399999999993</v>
      </c>
      <c r="K1241">
        <v>233.43600000000001</v>
      </c>
    </row>
    <row r="1242" spans="1:11" x14ac:dyDescent="0.35">
      <c r="A1242" s="77">
        <v>44682</v>
      </c>
      <c r="B1242">
        <v>104.16459999999999</v>
      </c>
      <c r="C1242">
        <v>105.1437</v>
      </c>
      <c r="D1242">
        <v>97.018100000000004</v>
      </c>
      <c r="E1242">
        <v>105.23050000000001</v>
      </c>
      <c r="F1242">
        <v>102.47629999999999</v>
      </c>
      <c r="G1242">
        <v>104.0153</v>
      </c>
      <c r="H1242">
        <v>113.6204</v>
      </c>
      <c r="I1242">
        <v>107.0307</v>
      </c>
      <c r="J1242">
        <v>80.019800000000004</v>
      </c>
      <c r="K1242">
        <v>235.351</v>
      </c>
    </row>
    <row r="1243" spans="1:11" x14ac:dyDescent="0.35">
      <c r="A1243" s="77">
        <v>44713</v>
      </c>
      <c r="B1243">
        <v>103.9464</v>
      </c>
      <c r="C1243">
        <v>103.86239999999999</v>
      </c>
      <c r="D1243">
        <v>96.824700000000007</v>
      </c>
      <c r="E1243">
        <v>104.1889</v>
      </c>
      <c r="F1243">
        <v>101.7132</v>
      </c>
      <c r="G1243">
        <v>104.40860000000001</v>
      </c>
      <c r="H1243">
        <v>115.3869</v>
      </c>
      <c r="I1243">
        <v>107.5915</v>
      </c>
      <c r="J1243">
        <v>79.728099999999998</v>
      </c>
      <c r="K1243">
        <v>236.99100000000001</v>
      </c>
    </row>
    <row r="1244" spans="1:11" x14ac:dyDescent="0.35">
      <c r="A1244" s="77">
        <v>44743</v>
      </c>
      <c r="B1244">
        <v>104.4824</v>
      </c>
      <c r="C1244">
        <v>104.45010000000001</v>
      </c>
      <c r="D1244">
        <v>97.495099999999994</v>
      </c>
      <c r="E1244">
        <v>104.4344</v>
      </c>
      <c r="F1244">
        <v>102.1307</v>
      </c>
      <c r="G1244">
        <v>105.0326</v>
      </c>
      <c r="H1244">
        <v>116.87730000000001</v>
      </c>
      <c r="I1244">
        <v>107.7486</v>
      </c>
      <c r="J1244">
        <v>80.021299999999997</v>
      </c>
      <c r="K1244">
        <v>238.297</v>
      </c>
    </row>
    <row r="1245" spans="1:11" x14ac:dyDescent="0.35">
      <c r="A1245" s="77">
        <v>44774</v>
      </c>
      <c r="B1245">
        <v>104.36969999999999</v>
      </c>
      <c r="C1245">
        <v>104.1187</v>
      </c>
      <c r="D1245">
        <v>98.011399999999995</v>
      </c>
      <c r="E1245">
        <v>104.57340000000001</v>
      </c>
      <c r="F1245">
        <v>102.1622</v>
      </c>
      <c r="G1245">
        <v>104.6688</v>
      </c>
      <c r="H1245">
        <v>116.9345</v>
      </c>
      <c r="I1245">
        <v>106.375</v>
      </c>
      <c r="J1245">
        <v>79.825299999999999</v>
      </c>
      <c r="K1245">
        <v>239.524</v>
      </c>
    </row>
    <row r="1246" spans="1:11" x14ac:dyDescent="0.35">
      <c r="A1246" s="77">
        <v>44805</v>
      </c>
      <c r="B1246">
        <v>104.574</v>
      </c>
      <c r="C1246">
        <v>104.2709</v>
      </c>
      <c r="D1246">
        <v>98.501999999999995</v>
      </c>
      <c r="E1246">
        <v>104.03919999999999</v>
      </c>
      <c r="F1246">
        <v>102.1784</v>
      </c>
      <c r="G1246">
        <v>105.2407</v>
      </c>
      <c r="H1246">
        <v>119.187</v>
      </c>
      <c r="I1246">
        <v>104.1845</v>
      </c>
      <c r="J1246">
        <v>79.880799999999994</v>
      </c>
      <c r="K1246">
        <v>240.255</v>
      </c>
    </row>
    <row r="1247" spans="1:11" x14ac:dyDescent="0.35">
      <c r="A1247" s="77">
        <v>44835</v>
      </c>
      <c r="B1247">
        <v>104.59269999999999</v>
      </c>
      <c r="C1247">
        <v>104.2469</v>
      </c>
      <c r="D1247">
        <v>98.882300000000001</v>
      </c>
      <c r="E1247">
        <v>104.8652</v>
      </c>
      <c r="F1247">
        <v>102.5286</v>
      </c>
      <c r="G1247">
        <v>104.76560000000001</v>
      </c>
      <c r="H1247">
        <v>119.2145</v>
      </c>
      <c r="I1247">
        <v>101.5137</v>
      </c>
      <c r="J1247">
        <v>79.802099999999996</v>
      </c>
      <c r="K1247">
        <v>240.99799999999999</v>
      </c>
    </row>
    <row r="1248" spans="1:11" x14ac:dyDescent="0.35">
      <c r="A1248" s="77">
        <v>44866</v>
      </c>
      <c r="B1248">
        <v>103.9846</v>
      </c>
      <c r="C1248">
        <v>103.80589999999999</v>
      </c>
      <c r="D1248">
        <v>97.626099999999994</v>
      </c>
      <c r="E1248">
        <v>104.2655</v>
      </c>
      <c r="F1248">
        <v>101.6932</v>
      </c>
      <c r="G1248">
        <v>104.11360000000001</v>
      </c>
      <c r="H1248">
        <v>117.5946</v>
      </c>
      <c r="I1248">
        <v>104.3045</v>
      </c>
      <c r="J1248">
        <v>79.252499999999998</v>
      </c>
      <c r="K1248">
        <v>242.16800000000001</v>
      </c>
    </row>
    <row r="1249" spans="1:11" x14ac:dyDescent="0.35">
      <c r="A1249" s="77">
        <v>44896</v>
      </c>
      <c r="B1249">
        <v>102.9256</v>
      </c>
      <c r="C1249">
        <v>102.4845</v>
      </c>
      <c r="D1249">
        <v>95.696299999999994</v>
      </c>
      <c r="E1249">
        <v>104.0603</v>
      </c>
      <c r="F1249">
        <v>99.891099999999994</v>
      </c>
      <c r="G1249">
        <v>102.88249999999999</v>
      </c>
      <c r="H1249">
        <v>116.17919999999999</v>
      </c>
      <c r="I1249">
        <v>109.58369999999999</v>
      </c>
      <c r="J1249">
        <v>78.367400000000004</v>
      </c>
      <c r="K1249">
        <v>242.69300000000001</v>
      </c>
    </row>
    <row r="1250" spans="1:11" x14ac:dyDescent="0.35">
      <c r="A1250" s="77">
        <v>44927</v>
      </c>
      <c r="B1250">
        <v>102.9525</v>
      </c>
      <c r="C1250">
        <v>103.34869999999999</v>
      </c>
      <c r="D1250">
        <v>96.868200000000002</v>
      </c>
      <c r="E1250">
        <v>103.3511</v>
      </c>
      <c r="F1250">
        <v>100.8257</v>
      </c>
      <c r="G1250">
        <v>102.9609</v>
      </c>
      <c r="H1250">
        <v>118.46259999999999</v>
      </c>
      <c r="I1250">
        <v>98.730800000000002</v>
      </c>
      <c r="J1250">
        <v>78.282799999999995</v>
      </c>
      <c r="K1250">
        <v>244.357</v>
      </c>
    </row>
    <row r="1251" spans="1:11" x14ac:dyDescent="0.35">
      <c r="A1251" s="77">
        <v>44958</v>
      </c>
      <c r="K1251">
        <v>245.22900000000001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AH1255"/>
  <sheetViews>
    <sheetView zoomScale="80" zoomScaleNormal="80" workbookViewId="0">
      <pane ySplit="6" topLeftCell="A1223" activePane="bottomLeft" state="frozen"/>
      <selection pane="bottomLeft" activeCell="A1248" sqref="A1248:D1255"/>
    </sheetView>
  </sheetViews>
  <sheetFormatPr defaultColWidth="9.1796875" defaultRowHeight="14.5" x14ac:dyDescent="0.35"/>
  <cols>
    <col min="1" max="1" width="10.6328125" style="12" bestFit="1" customWidth="1"/>
    <col min="2" max="2" width="22.1796875" style="12" customWidth="1"/>
    <col min="3" max="3" width="9.1796875" style="12" customWidth="1"/>
    <col min="4" max="4" width="16.36328125" style="12" customWidth="1"/>
    <col min="5" max="6" width="9.1796875" style="74" customWidth="1"/>
    <col min="7" max="7" width="10.6328125" style="74" bestFit="1" customWidth="1"/>
    <col min="8" max="8" width="10.6328125" style="74" customWidth="1"/>
    <col min="9" max="15" width="9.1796875" style="74" customWidth="1"/>
    <col min="16" max="16" width="25" style="74" customWidth="1"/>
    <col min="17" max="26" width="9.1796875" style="74" customWidth="1"/>
    <col min="27" max="27" width="18" style="74" bestFit="1" customWidth="1"/>
    <col min="28" max="46" width="9.1796875" style="74" customWidth="1"/>
    <col min="47" max="16384" width="9.1796875" style="74"/>
  </cols>
  <sheetData>
    <row r="1" spans="1:4" x14ac:dyDescent="0.35">
      <c r="A1" s="14" t="s">
        <v>16</v>
      </c>
    </row>
    <row r="5" spans="1:4" ht="16" customHeight="1" thickBot="1" x14ac:dyDescent="0.4"/>
    <row r="6" spans="1:4" x14ac:dyDescent="0.35">
      <c r="A6" s="28" t="s">
        <v>48</v>
      </c>
      <c r="B6" s="29" t="s">
        <v>49</v>
      </c>
      <c r="C6" s="29" t="s">
        <v>12</v>
      </c>
      <c r="D6" s="30" t="s">
        <v>50</v>
      </c>
    </row>
    <row r="7" spans="1:4" x14ac:dyDescent="0.35">
      <c r="A7" s="31">
        <v>6941</v>
      </c>
      <c r="B7" s="32">
        <f>VLOOKUP(Table10[[#This Row],[Month]],database!A:J,MATCH('IP from start'!$A$1,database!$A$1:$J$1,),)</f>
        <v>4.8773</v>
      </c>
      <c r="C7" s="32"/>
      <c r="D7" s="32"/>
    </row>
    <row r="8" spans="1:4" x14ac:dyDescent="0.35">
      <c r="A8" s="31">
        <v>6972</v>
      </c>
      <c r="B8" s="32">
        <f>VLOOKUP(Table10[[#This Row],[Month]],database!A:J,MATCH('IP from start'!$A$1,database!$A$1:$J$1,),)</f>
        <v>4.6616999999999997</v>
      </c>
      <c r="C8" s="32"/>
      <c r="D8" s="32"/>
    </row>
    <row r="9" spans="1:4" x14ac:dyDescent="0.35">
      <c r="A9" s="31">
        <v>7000</v>
      </c>
      <c r="B9" s="32">
        <f>VLOOKUP(Table10[[#This Row],[Month]],database!A:J,MATCH('IP from start'!$A$1,database!$A$1:$J$1,),)</f>
        <v>4.5270000000000001</v>
      </c>
      <c r="C9" s="32"/>
      <c r="D9" s="32"/>
    </row>
    <row r="10" spans="1:4" x14ac:dyDescent="0.35">
      <c r="A10" s="31">
        <v>7031</v>
      </c>
      <c r="B10" s="32">
        <f>VLOOKUP(Table10[[#This Row],[Month]],database!A:J,MATCH('IP from start'!$A$1,database!$A$1:$J$1,),)</f>
        <v>4.6078000000000001</v>
      </c>
      <c r="C10" s="32"/>
      <c r="D10" s="32"/>
    </row>
    <row r="11" spans="1:4" x14ac:dyDescent="0.35">
      <c r="A11" s="31">
        <v>7061</v>
      </c>
      <c r="B11" s="32">
        <f>VLOOKUP(Table10[[#This Row],[Month]],database!A:J,MATCH('IP from start'!$A$1,database!$A$1:$J$1,),)</f>
        <v>4.6348000000000003</v>
      </c>
      <c r="C11" s="32"/>
      <c r="D11" s="32"/>
    </row>
    <row r="12" spans="1:4" ht="16" customHeight="1" x14ac:dyDescent="0.35">
      <c r="A12" s="31">
        <v>7092</v>
      </c>
      <c r="B12" s="32">
        <f>VLOOKUP(Table10[[#This Row],[Month]],database!A:J,MATCH('IP from start'!$A$1,database!$A$1:$J$1,),)</f>
        <v>4.9311999999999996</v>
      </c>
      <c r="C12" s="32"/>
      <c r="D12" s="32"/>
    </row>
    <row r="13" spans="1:4" x14ac:dyDescent="0.35">
      <c r="A13" s="31">
        <v>7122</v>
      </c>
      <c r="B13" s="32">
        <f>VLOOKUP(Table10[[#This Row],[Month]],database!A:J,MATCH('IP from start'!$A$1,database!$A$1:$J$1,),)</f>
        <v>5.2275999999999998</v>
      </c>
      <c r="C13" s="32"/>
      <c r="D13" s="32"/>
    </row>
    <row r="14" spans="1:4" ht="16" customHeight="1" x14ac:dyDescent="0.35">
      <c r="A14" s="31">
        <v>7153</v>
      </c>
      <c r="B14" s="32">
        <f>VLOOKUP(Table10[[#This Row],[Month]],database!A:J,MATCH('IP from start'!$A$1,database!$A$1:$J$1,),)</f>
        <v>5.3083999999999998</v>
      </c>
      <c r="C14" s="32"/>
      <c r="D14" s="32"/>
    </row>
    <row r="15" spans="1:4" ht="16" customHeight="1" x14ac:dyDescent="0.35">
      <c r="A15" s="31">
        <v>7184</v>
      </c>
      <c r="B15" s="32">
        <f>VLOOKUP(Table10[[#This Row],[Month]],database!A:J,MATCH('IP from start'!$A$1,database!$A$1:$J$1,),)</f>
        <v>5.2005999999999997</v>
      </c>
      <c r="C15" s="32"/>
      <c r="D15" s="32"/>
    </row>
    <row r="16" spans="1:4" x14ac:dyDescent="0.35">
      <c r="A16" s="31">
        <v>7214</v>
      </c>
      <c r="B16" s="32">
        <f>VLOOKUP(Table10[[#This Row],[Month]],database!A:J,MATCH('IP from start'!$A$1,database!$A$1:$J$1,),)</f>
        <v>5.1467000000000001</v>
      </c>
      <c r="C16" s="32"/>
      <c r="D16" s="32"/>
    </row>
    <row r="17" spans="1:4" x14ac:dyDescent="0.35">
      <c r="A17" s="31">
        <v>7245</v>
      </c>
      <c r="B17" s="32">
        <f>VLOOKUP(Table10[[#This Row],[Month]],database!A:J,MATCH('IP from start'!$A$1,database!$A$1:$J$1,),)</f>
        <v>5.0659000000000001</v>
      </c>
      <c r="C17" s="32"/>
      <c r="D17" s="32"/>
    </row>
    <row r="18" spans="1:4" x14ac:dyDescent="0.35">
      <c r="A18" s="31">
        <v>7275</v>
      </c>
      <c r="B18" s="32">
        <f>VLOOKUP(Table10[[#This Row],[Month]],database!A:J,MATCH('IP from start'!$A$1,database!$A$1:$J$1,),)</f>
        <v>5.1467000000000001</v>
      </c>
      <c r="C18" s="32"/>
      <c r="D18" s="32"/>
    </row>
    <row r="19" spans="1:4" x14ac:dyDescent="0.35">
      <c r="A19" s="31">
        <v>7306</v>
      </c>
      <c r="B19" s="32">
        <f>VLOOKUP(Table10[[#This Row],[Month]],database!A:J,MATCH('IP from start'!$A$1,database!$A$1:$J$1,),)</f>
        <v>5.6318000000000001</v>
      </c>
      <c r="C19" s="33">
        <f>(Table10[[#This Row],[Industrial Production ]]-B7)/B7</f>
        <v>0.15469624587374164</v>
      </c>
      <c r="D19" s="32"/>
    </row>
    <row r="20" spans="1:4" x14ac:dyDescent="0.35">
      <c r="A20" s="31">
        <v>7337</v>
      </c>
      <c r="B20" s="32">
        <f>VLOOKUP(Table10[[#This Row],[Month]],database!A:J,MATCH('IP from start'!$A$1,database!$A$1:$J$1,),)</f>
        <v>5.6318000000000001</v>
      </c>
      <c r="C20" s="33">
        <f>(Table10[[#This Row],[Industrial Production ]]-B8)/B8</f>
        <v>0.20810004933822435</v>
      </c>
      <c r="D20" s="32"/>
    </row>
    <row r="21" spans="1:4" x14ac:dyDescent="0.35">
      <c r="A21" s="31">
        <v>7366</v>
      </c>
      <c r="B21" s="32">
        <f>VLOOKUP(Table10[[#This Row],[Month]],database!A:J,MATCH('IP from start'!$A$1,database!$A$1:$J$1,),)</f>
        <v>5.524</v>
      </c>
      <c r="C21" s="33">
        <f>(Table10[[#This Row],[Industrial Production ]]-B9)/B9</f>
        <v>0.22023415065164564</v>
      </c>
      <c r="D21" s="32"/>
    </row>
    <row r="22" spans="1:4" x14ac:dyDescent="0.35">
      <c r="A22" s="31">
        <v>7397</v>
      </c>
      <c r="B22" s="32">
        <f>VLOOKUP(Table10[[#This Row],[Month]],database!A:J,MATCH('IP from start'!$A$1,database!$A$1:$J$1,),)</f>
        <v>5.2275999999999998</v>
      </c>
      <c r="C22" s="33">
        <f>(Table10[[#This Row],[Industrial Production ]]-B10)/B10</f>
        <v>0.13451104648639256</v>
      </c>
      <c r="D22" s="32"/>
    </row>
    <row r="23" spans="1:4" x14ac:dyDescent="0.35">
      <c r="A23" s="31">
        <v>7427</v>
      </c>
      <c r="B23" s="32">
        <f>VLOOKUP(Table10[[#This Row],[Month]],database!A:J,MATCH('IP from start'!$A$1,database!$A$1:$J$1,),)</f>
        <v>5.3623000000000003</v>
      </c>
      <c r="C23" s="33">
        <f>(Table10[[#This Row],[Industrial Production ]]-B11)/B11</f>
        <v>0.1569647018210063</v>
      </c>
      <c r="D23" s="32"/>
    </row>
    <row r="24" spans="1:4" x14ac:dyDescent="0.35">
      <c r="A24" s="31">
        <v>7458</v>
      </c>
      <c r="B24" s="32">
        <f>VLOOKUP(Table10[[#This Row],[Month]],database!A:J,MATCH('IP from start'!$A$1,database!$A$1:$J$1,),)</f>
        <v>5.4161999999999999</v>
      </c>
      <c r="C24" s="33">
        <f>(Table10[[#This Row],[Industrial Production ]]-B12)/B12</f>
        <v>9.8353341985723625E-2</v>
      </c>
      <c r="D24" s="32"/>
    </row>
    <row r="25" spans="1:4" x14ac:dyDescent="0.35">
      <c r="A25" s="31">
        <v>7488</v>
      </c>
      <c r="B25" s="32">
        <f>VLOOKUP(Table10[[#This Row],[Month]],database!A:J,MATCH('IP from start'!$A$1,database!$A$1:$J$1,),)</f>
        <v>5.2815000000000003</v>
      </c>
      <c r="C25" s="33">
        <f>(Table10[[#This Row],[Industrial Production ]]-B13)/B13</f>
        <v>1.0310658810926717E-2</v>
      </c>
      <c r="D25" s="32"/>
    </row>
    <row r="26" spans="1:4" x14ac:dyDescent="0.35">
      <c r="A26" s="31">
        <v>7519</v>
      </c>
      <c r="B26" s="32">
        <f>VLOOKUP(Table10[[#This Row],[Month]],database!A:J,MATCH('IP from start'!$A$1,database!$A$1:$J$1,),)</f>
        <v>5.3083999999999998</v>
      </c>
      <c r="C26" s="33">
        <f>(Table10[[#This Row],[Industrial Production ]]-B14)/B14</f>
        <v>0</v>
      </c>
      <c r="D26" s="32"/>
    </row>
    <row r="27" spans="1:4" x14ac:dyDescent="0.35">
      <c r="A27" s="31">
        <v>7550</v>
      </c>
      <c r="B27" s="32">
        <f>VLOOKUP(Table10[[#This Row],[Month]],database!A:J,MATCH('IP from start'!$A$1,database!$A$1:$J$1,),)</f>
        <v>5.1197999999999997</v>
      </c>
      <c r="C27" s="33">
        <f>(Table10[[#This Row],[Industrial Production ]]-B15)/B15</f>
        <v>-1.5536668845902393E-2</v>
      </c>
      <c r="D27" s="32"/>
    </row>
    <row r="28" spans="1:4" x14ac:dyDescent="0.35">
      <c r="A28" s="31">
        <v>7580</v>
      </c>
      <c r="B28" s="32">
        <f>VLOOKUP(Table10[[#This Row],[Month]],database!A:J,MATCH('IP from start'!$A$1,database!$A$1:$J$1,),)</f>
        <v>4.9042000000000003</v>
      </c>
      <c r="C28" s="33">
        <f>(Table10[[#This Row],[Industrial Production ]]-B16)/B16</f>
        <v>-4.7117570482056406E-2</v>
      </c>
      <c r="D28" s="32"/>
    </row>
    <row r="29" spans="1:4" x14ac:dyDescent="0.35">
      <c r="A29" s="31">
        <v>7611</v>
      </c>
      <c r="B29" s="32">
        <f>VLOOKUP(Table10[[#This Row],[Month]],database!A:J,MATCH('IP from start'!$A$1,database!$A$1:$J$1,),)</f>
        <v>4.5</v>
      </c>
      <c r="C29" s="33">
        <f>(Table10[[#This Row],[Industrial Production ]]-B17)/B17</f>
        <v>-0.111707692611382</v>
      </c>
      <c r="D29" s="32"/>
    </row>
    <row r="30" spans="1:4" x14ac:dyDescent="0.35">
      <c r="A30" s="31">
        <v>7641</v>
      </c>
      <c r="B30" s="32">
        <f>VLOOKUP(Table10[[#This Row],[Month]],database!A:J,MATCH('IP from start'!$A$1,database!$A$1:$J$1,),)</f>
        <v>4.2305999999999999</v>
      </c>
      <c r="C30" s="33">
        <f>(Table10[[#This Row],[Industrial Production ]]-B18)/B18</f>
        <v>-0.17799755182932755</v>
      </c>
      <c r="D30" s="34">
        <f t="shared" ref="D30:D93" si="0">AVERAGE(C19:C30)</f>
        <v>5.2567559266582707E-2</v>
      </c>
    </row>
    <row r="31" spans="1:4" x14ac:dyDescent="0.35">
      <c r="A31" s="31">
        <v>7672</v>
      </c>
      <c r="B31" s="32">
        <f>VLOOKUP(Table10[[#This Row],[Month]],database!A:J,MATCH('IP from start'!$A$1,database!$A$1:$J$1,),)</f>
        <v>3.9881000000000002</v>
      </c>
      <c r="C31" s="33">
        <f>(Table10[[#This Row],[Industrial Production ]]-B19)/B19</f>
        <v>-0.29186050641002875</v>
      </c>
      <c r="D31" s="34">
        <f t="shared" si="0"/>
        <v>1.5354496576268506E-2</v>
      </c>
    </row>
    <row r="32" spans="1:4" x14ac:dyDescent="0.35">
      <c r="A32" s="31">
        <v>7703</v>
      </c>
      <c r="B32" s="32">
        <f>VLOOKUP(Table10[[#This Row],[Month]],database!A:J,MATCH('IP from start'!$A$1,database!$A$1:$J$1,),)</f>
        <v>3.9072</v>
      </c>
      <c r="C32" s="33">
        <f>(Table10[[#This Row],[Industrial Production ]]-B20)/B20</f>
        <v>-0.30622536311658799</v>
      </c>
      <c r="D32" s="34">
        <f t="shared" si="0"/>
        <v>-2.7505954461632523E-2</v>
      </c>
    </row>
    <row r="33" spans="1:4" x14ac:dyDescent="0.35">
      <c r="A33" s="31">
        <v>7731</v>
      </c>
      <c r="B33" s="32">
        <f>VLOOKUP(Table10[[#This Row],[Month]],database!A:J,MATCH('IP from start'!$A$1,database!$A$1:$J$1,),)</f>
        <v>3.7993999999999999</v>
      </c>
      <c r="C33" s="33">
        <f>(Table10[[#This Row],[Industrial Production ]]-B21)/B21</f>
        <v>-0.31220130340333097</v>
      </c>
      <c r="D33" s="34">
        <f t="shared" si="0"/>
        <v>-7.1875575632880565E-2</v>
      </c>
    </row>
    <row r="34" spans="1:4" x14ac:dyDescent="0.35">
      <c r="A34" s="31">
        <v>7762</v>
      </c>
      <c r="B34" s="32">
        <f>VLOOKUP(Table10[[#This Row],[Month]],database!A:J,MATCH('IP from start'!$A$1,database!$A$1:$J$1,),)</f>
        <v>3.7993999999999999</v>
      </c>
      <c r="C34" s="33">
        <f>(Table10[[#This Row],[Industrial Production ]]-B22)/B22</f>
        <v>-0.27320376463386642</v>
      </c>
      <c r="D34" s="34">
        <f t="shared" si="0"/>
        <v>-0.10585180989290215</v>
      </c>
    </row>
    <row r="35" spans="1:4" x14ac:dyDescent="0.35">
      <c r="A35" s="31">
        <v>7792</v>
      </c>
      <c r="B35" s="32">
        <f>VLOOKUP(Table10[[#This Row],[Month]],database!A:J,MATCH('IP from start'!$A$1,database!$A$1:$J$1,),)</f>
        <v>3.9072</v>
      </c>
      <c r="C35" s="33">
        <f>(Table10[[#This Row],[Industrial Production ]]-B23)/B23</f>
        <v>-0.2713574399045186</v>
      </c>
      <c r="D35" s="34">
        <f t="shared" si="0"/>
        <v>-0.14154532170336256</v>
      </c>
    </row>
    <row r="36" spans="1:4" x14ac:dyDescent="0.35">
      <c r="A36" s="31">
        <v>7823</v>
      </c>
      <c r="B36" s="32">
        <f>VLOOKUP(Table10[[#This Row],[Month]],database!A:J,MATCH('IP from start'!$A$1,database!$A$1:$J$1,),)</f>
        <v>3.8803000000000001</v>
      </c>
      <c r="C36" s="33">
        <f>(Table10[[#This Row],[Industrial Production ]]-B24)/B24</f>
        <v>-0.28357520032495104</v>
      </c>
      <c r="D36" s="34">
        <f t="shared" si="0"/>
        <v>-0.17337270022925214</v>
      </c>
    </row>
    <row r="37" spans="1:4" x14ac:dyDescent="0.35">
      <c r="A37" s="31">
        <v>7853</v>
      </c>
      <c r="B37" s="32">
        <f>VLOOKUP(Table10[[#This Row],[Month]],database!A:J,MATCH('IP from start'!$A$1,database!$A$1:$J$1,),)</f>
        <v>3.8532999999999999</v>
      </c>
      <c r="C37" s="33">
        <f>(Table10[[#This Row],[Industrial Production ]]-B25)/B25</f>
        <v>-0.27041560162832534</v>
      </c>
      <c r="D37" s="34">
        <f t="shared" si="0"/>
        <v>-0.19676655526585649</v>
      </c>
    </row>
    <row r="38" spans="1:4" ht="16" customHeight="1" x14ac:dyDescent="0.35">
      <c r="A38" s="31">
        <v>7884</v>
      </c>
      <c r="B38" s="32">
        <f>VLOOKUP(Table10[[#This Row],[Month]],database!A:J,MATCH('IP from start'!$A$1,database!$A$1:$J$1,),)</f>
        <v>3.9881000000000002</v>
      </c>
      <c r="C38" s="33">
        <f>(Table10[[#This Row],[Industrial Production ]]-B26)/B26</f>
        <v>-0.24871901137819299</v>
      </c>
      <c r="D38" s="34">
        <f t="shared" si="0"/>
        <v>-0.21749313954737257</v>
      </c>
    </row>
    <row r="39" spans="1:4" x14ac:dyDescent="0.35">
      <c r="A39" s="31">
        <v>7915</v>
      </c>
      <c r="B39" s="32">
        <f>VLOOKUP(Table10[[#This Row],[Month]],database!A:J,MATCH('IP from start'!$A$1,database!$A$1:$J$1,),)</f>
        <v>4.0149999999999997</v>
      </c>
      <c r="C39" s="33">
        <f>(Table10[[#This Row],[Industrial Production ]]-B27)/B27</f>
        <v>-0.21578967928434706</v>
      </c>
      <c r="D39" s="34">
        <f t="shared" si="0"/>
        <v>-0.23418089041724291</v>
      </c>
    </row>
    <row r="40" spans="1:4" x14ac:dyDescent="0.35">
      <c r="A40" s="31">
        <v>7945</v>
      </c>
      <c r="B40" s="32">
        <f>VLOOKUP(Table10[[#This Row],[Month]],database!A:J,MATCH('IP from start'!$A$1,database!$A$1:$J$1,),)</f>
        <v>4.2575000000000003</v>
      </c>
      <c r="C40" s="33">
        <f>(Table10[[#This Row],[Industrial Production ]]-B28)/B28</f>
        <v>-0.13186656335385996</v>
      </c>
      <c r="D40" s="34">
        <f t="shared" si="0"/>
        <v>-0.24124330648989323</v>
      </c>
    </row>
    <row r="41" spans="1:4" x14ac:dyDescent="0.35">
      <c r="A41" s="31">
        <v>7976</v>
      </c>
      <c r="B41" s="32">
        <f>VLOOKUP(Table10[[#This Row],[Month]],database!A:J,MATCH('IP from start'!$A$1,database!$A$1:$J$1,),)</f>
        <v>4.2035999999999998</v>
      </c>
      <c r="C41" s="33">
        <f>(Table10[[#This Row],[Industrial Production ]]-B29)/B29</f>
        <v>-6.5866666666666712E-2</v>
      </c>
      <c r="D41" s="34">
        <f t="shared" si="0"/>
        <v>-0.23742322099450028</v>
      </c>
    </row>
    <row r="42" spans="1:4" x14ac:dyDescent="0.35">
      <c r="A42" s="31">
        <v>8006</v>
      </c>
      <c r="B42" s="32">
        <f>VLOOKUP(Table10[[#This Row],[Month]],database!A:J,MATCH('IP from start'!$A$1,database!$A$1:$J$1,),)</f>
        <v>4.1767000000000003</v>
      </c>
      <c r="C42" s="33">
        <f>(Table10[[#This Row],[Industrial Production ]]-B30)/B30</f>
        <v>-1.2740509620384725E-2</v>
      </c>
      <c r="D42" s="34">
        <f t="shared" si="0"/>
        <v>-0.22365180081042169</v>
      </c>
    </row>
    <row r="43" spans="1:4" x14ac:dyDescent="0.35">
      <c r="A43" s="31">
        <v>8037</v>
      </c>
      <c r="B43" s="32">
        <f>VLOOKUP(Table10[[#This Row],[Month]],database!A:J,MATCH('IP from start'!$A$1,database!$A$1:$J$1,),)</f>
        <v>4.3384</v>
      </c>
      <c r="C43" s="33">
        <f>(Table10[[#This Row],[Industrial Production ]]-B31)/B31</f>
        <v>8.7836313031267974E-2</v>
      </c>
      <c r="D43" s="34">
        <f t="shared" si="0"/>
        <v>-0.19201039919031362</v>
      </c>
    </row>
    <row r="44" spans="1:4" x14ac:dyDescent="0.35">
      <c r="A44" s="31">
        <v>8068</v>
      </c>
      <c r="B44" s="32">
        <f>VLOOKUP(Table10[[#This Row],[Month]],database!A:J,MATCH('IP from start'!$A$1,database!$A$1:$J$1,),)</f>
        <v>4.5270000000000001</v>
      </c>
      <c r="C44" s="33">
        <f>(Table10[[#This Row],[Industrial Production ]]-B32)/B32</f>
        <v>0.15863022113022116</v>
      </c>
      <c r="D44" s="34">
        <f t="shared" si="0"/>
        <v>-0.15327243383641287</v>
      </c>
    </row>
    <row r="45" spans="1:4" x14ac:dyDescent="0.35">
      <c r="A45" s="31">
        <v>8096</v>
      </c>
      <c r="B45" s="32">
        <f>VLOOKUP(Table10[[#This Row],[Month]],database!A:J,MATCH('IP from start'!$A$1,database!$A$1:$J$1,),)</f>
        <v>4.7694999999999999</v>
      </c>
      <c r="C45" s="33">
        <f>(Table10[[#This Row],[Industrial Production ]]-B33)/B33</f>
        <v>0.25532978891403907</v>
      </c>
      <c r="D45" s="34">
        <f t="shared" si="0"/>
        <v>-0.1059781761432987</v>
      </c>
    </row>
    <row r="46" spans="1:4" x14ac:dyDescent="0.35">
      <c r="A46" s="31">
        <v>8127</v>
      </c>
      <c r="B46" s="32">
        <f>VLOOKUP(Table10[[#This Row],[Month]],database!A:J,MATCH('IP from start'!$A$1,database!$A$1:$J$1,),)</f>
        <v>4.6078000000000001</v>
      </c>
      <c r="C46" s="33">
        <f>(Table10[[#This Row],[Industrial Production ]]-B34)/B34</f>
        <v>0.21277043743749019</v>
      </c>
      <c r="D46" s="34">
        <f t="shared" si="0"/>
        <v>-6.548032597068569E-2</v>
      </c>
    </row>
    <row r="47" spans="1:4" x14ac:dyDescent="0.35">
      <c r="A47" s="31">
        <v>8157</v>
      </c>
      <c r="B47" s="32">
        <f>VLOOKUP(Table10[[#This Row],[Month]],database!A:J,MATCH('IP from start'!$A$1,database!$A$1:$J$1,),)</f>
        <v>4.8502999999999998</v>
      </c>
      <c r="C47" s="33">
        <f>(Table10[[#This Row],[Industrial Production ]]-B35)/B35</f>
        <v>0.24137489762489758</v>
      </c>
      <c r="D47" s="34">
        <f t="shared" si="0"/>
        <v>-2.2752631176567662E-2</v>
      </c>
    </row>
    <row r="48" spans="1:4" x14ac:dyDescent="0.35">
      <c r="A48" s="31">
        <v>8188</v>
      </c>
      <c r="B48" s="32">
        <f>VLOOKUP(Table10[[#This Row],[Month]],database!A:J,MATCH('IP from start'!$A$1,database!$A$1:$J$1,),)</f>
        <v>5.0929000000000002</v>
      </c>
      <c r="C48" s="33">
        <f>(Table10[[#This Row],[Industrial Production ]]-B36)/B36</f>
        <v>0.3125016107002036</v>
      </c>
      <c r="D48" s="34">
        <f t="shared" si="0"/>
        <v>2.6920436408861891E-2</v>
      </c>
    </row>
    <row r="49" spans="1:4" x14ac:dyDescent="0.35">
      <c r="A49" s="31">
        <v>8218</v>
      </c>
      <c r="B49" s="32">
        <f>VLOOKUP(Table10[[#This Row],[Month]],database!A:J,MATCH('IP from start'!$A$1,database!$A$1:$J$1,),)</f>
        <v>5.0929000000000002</v>
      </c>
      <c r="C49" s="33">
        <f>(Table10[[#This Row],[Industrial Production ]]-B37)/B37</f>
        <v>0.32169828458723698</v>
      </c>
      <c r="D49" s="34">
        <f t="shared" si="0"/>
        <v>7.6263260260158741E-2</v>
      </c>
    </row>
    <row r="50" spans="1:4" x14ac:dyDescent="0.35">
      <c r="A50" s="31">
        <v>8249</v>
      </c>
      <c r="B50" s="32">
        <f>VLOOKUP(Table10[[#This Row],[Month]],database!A:J,MATCH('IP from start'!$A$1,database!$A$1:$J$1,),)</f>
        <v>4.9851000000000001</v>
      </c>
      <c r="C50" s="33">
        <f>(Table10[[#This Row],[Industrial Production ]]-B38)/B38</f>
        <v>0.24999373135076849</v>
      </c>
      <c r="D50" s="34">
        <f t="shared" si="0"/>
        <v>0.11782265548757222</v>
      </c>
    </row>
    <row r="51" spans="1:4" x14ac:dyDescent="0.35">
      <c r="A51" s="31">
        <v>8280</v>
      </c>
      <c r="B51" s="32">
        <f>VLOOKUP(Table10[[#This Row],[Month]],database!A:J,MATCH('IP from start'!$A$1,database!$A$1:$J$1,),)</f>
        <v>5.2545000000000002</v>
      </c>
      <c r="C51" s="33">
        <f>(Table10[[#This Row],[Industrial Production ]]-B39)/B39</f>
        <v>0.30871731008717324</v>
      </c>
      <c r="D51" s="34">
        <f t="shared" si="0"/>
        <v>0.16153157126853224</v>
      </c>
    </row>
    <row r="52" spans="1:4" x14ac:dyDescent="0.35">
      <c r="A52" s="31">
        <v>8310</v>
      </c>
      <c r="B52" s="32">
        <f>VLOOKUP(Table10[[#This Row],[Month]],database!A:J,MATCH('IP from start'!$A$1,database!$A$1:$J$1,),)</f>
        <v>5.5509000000000004</v>
      </c>
      <c r="C52" s="33">
        <f>(Table10[[#This Row],[Industrial Production ]]-B40)/B40</f>
        <v>0.30379330593071052</v>
      </c>
      <c r="D52" s="34">
        <f t="shared" si="0"/>
        <v>0.19783656037557976</v>
      </c>
    </row>
    <row r="53" spans="1:4" ht="16" customHeight="1" x14ac:dyDescent="0.35">
      <c r="A53" s="31">
        <v>8341</v>
      </c>
      <c r="B53" s="32">
        <f>VLOOKUP(Table10[[#This Row],[Month]],database!A:J,MATCH('IP from start'!$A$1,database!$A$1:$J$1,),)</f>
        <v>5.7934999999999999</v>
      </c>
      <c r="C53" s="33">
        <f>(Table10[[#This Row],[Industrial Production ]]-B41)/B41</f>
        <v>0.37822342753830057</v>
      </c>
      <c r="D53" s="34">
        <f t="shared" si="0"/>
        <v>0.23484406822599369</v>
      </c>
    </row>
    <row r="54" spans="1:4" x14ac:dyDescent="0.35">
      <c r="A54" s="31">
        <v>8371</v>
      </c>
      <c r="B54" s="32">
        <f>VLOOKUP(Table10[[#This Row],[Month]],database!A:J,MATCH('IP from start'!$A$1,database!$A$1:$J$1,),)</f>
        <v>5.9550999999999998</v>
      </c>
      <c r="C54" s="33">
        <f>(Table10[[#This Row],[Industrial Production ]]-B42)/B42</f>
        <v>0.4257906960040222</v>
      </c>
      <c r="D54" s="34">
        <f t="shared" si="0"/>
        <v>0.27138833536136092</v>
      </c>
    </row>
    <row r="55" spans="1:4" x14ac:dyDescent="0.35">
      <c r="A55" s="31">
        <v>8402</v>
      </c>
      <c r="B55" s="32">
        <f>VLOOKUP(Table10[[#This Row],[Month]],database!A:J,MATCH('IP from start'!$A$1,database!$A$1:$J$1,),)</f>
        <v>5.8204000000000002</v>
      </c>
      <c r="C55" s="33">
        <f>(Table10[[#This Row],[Industrial Production ]]-B43)/B43</f>
        <v>0.34160059007929194</v>
      </c>
      <c r="D55" s="34">
        <f t="shared" si="0"/>
        <v>0.29253535844869627</v>
      </c>
    </row>
    <row r="56" spans="1:4" x14ac:dyDescent="0.35">
      <c r="A56" s="31">
        <v>8433</v>
      </c>
      <c r="B56" s="32">
        <f>VLOOKUP(Table10[[#This Row],[Month]],database!A:J,MATCH('IP from start'!$A$1,database!$A$1:$J$1,),)</f>
        <v>5.9012000000000002</v>
      </c>
      <c r="C56" s="33">
        <f>(Table10[[#This Row],[Industrial Production ]]-B44)/B44</f>
        <v>0.30355643914292024</v>
      </c>
      <c r="D56" s="34">
        <f t="shared" si="0"/>
        <v>0.30461254328308784</v>
      </c>
    </row>
    <row r="57" spans="1:4" x14ac:dyDescent="0.35">
      <c r="A57" s="31">
        <v>8461</v>
      </c>
      <c r="B57" s="32">
        <f>VLOOKUP(Table10[[#This Row],[Month]],database!A:J,MATCH('IP from start'!$A$1,database!$A$1:$J$1,),)</f>
        <v>6.0899000000000001</v>
      </c>
      <c r="C57" s="33">
        <f>(Table10[[#This Row],[Industrial Production ]]-B45)/B45</f>
        <v>0.27684243631407912</v>
      </c>
      <c r="D57" s="34">
        <f t="shared" si="0"/>
        <v>0.30640526389975786</v>
      </c>
    </row>
    <row r="58" spans="1:4" x14ac:dyDescent="0.35">
      <c r="A58" s="31">
        <v>8492</v>
      </c>
      <c r="B58" s="32">
        <f>VLOOKUP(Table10[[#This Row],[Month]],database!A:J,MATCH('IP from start'!$A$1,database!$A$1:$J$1,),)</f>
        <v>6.2245999999999997</v>
      </c>
      <c r="C58" s="33">
        <f>(Table10[[#This Row],[Industrial Production ]]-B46)/B46</f>
        <v>0.35088328486479436</v>
      </c>
      <c r="D58" s="34">
        <f t="shared" si="0"/>
        <v>0.31791466785203321</v>
      </c>
    </row>
    <row r="59" spans="1:4" x14ac:dyDescent="0.35">
      <c r="A59" s="31">
        <v>8522</v>
      </c>
      <c r="B59" s="32">
        <f>VLOOKUP(Table10[[#This Row],[Month]],database!A:J,MATCH('IP from start'!$A$1,database!$A$1:$J$1,),)</f>
        <v>6.3053999999999997</v>
      </c>
      <c r="C59" s="33">
        <f>(Table10[[#This Row],[Industrial Production ]]-B47)/B47</f>
        <v>0.30000206172814048</v>
      </c>
      <c r="D59" s="34">
        <f t="shared" si="0"/>
        <v>0.32280026486063679</v>
      </c>
    </row>
    <row r="60" spans="1:4" x14ac:dyDescent="0.35">
      <c r="A60" s="31">
        <v>8553</v>
      </c>
      <c r="B60" s="32">
        <f>VLOOKUP(Table10[[#This Row],[Month]],database!A:J,MATCH('IP from start'!$A$1,database!$A$1:$J$1,),)</f>
        <v>6.2515000000000001</v>
      </c>
      <c r="C60" s="33">
        <f>(Table10[[#This Row],[Industrial Production ]]-B48)/B48</f>
        <v>0.22749317677551098</v>
      </c>
      <c r="D60" s="34">
        <f t="shared" si="0"/>
        <v>0.31571622870024574</v>
      </c>
    </row>
    <row r="61" spans="1:4" x14ac:dyDescent="0.35">
      <c r="A61" s="31">
        <v>8583</v>
      </c>
      <c r="B61" s="32">
        <f>VLOOKUP(Table10[[#This Row],[Month]],database!A:J,MATCH('IP from start'!$A$1,database!$A$1:$J$1,),)</f>
        <v>6.1977000000000002</v>
      </c>
      <c r="C61" s="33">
        <f>(Table10[[#This Row],[Industrial Production ]]-B49)/B49</f>
        <v>0.21692945080406054</v>
      </c>
      <c r="D61" s="34">
        <f t="shared" si="0"/>
        <v>0.3069854925516477</v>
      </c>
    </row>
    <row r="62" spans="1:4" x14ac:dyDescent="0.35">
      <c r="A62" s="31">
        <v>8614</v>
      </c>
      <c r="B62" s="32">
        <f>VLOOKUP(Table10[[#This Row],[Month]],database!A:J,MATCH('IP from start'!$A$1,database!$A$1:$J$1,),)</f>
        <v>6.0899000000000001</v>
      </c>
      <c r="C62" s="33">
        <f>(Table10[[#This Row],[Industrial Production ]]-B50)/B50</f>
        <v>0.22162042887805661</v>
      </c>
      <c r="D62" s="34">
        <f t="shared" si="0"/>
        <v>0.30462105067892176</v>
      </c>
    </row>
    <row r="63" spans="1:4" x14ac:dyDescent="0.35">
      <c r="A63" s="31">
        <v>8645</v>
      </c>
      <c r="B63" s="32">
        <f>VLOOKUP(Table10[[#This Row],[Month]],database!A:J,MATCH('IP from start'!$A$1,database!$A$1:$J$1,),)</f>
        <v>5.9550999999999998</v>
      </c>
      <c r="C63" s="33">
        <f>(Table10[[#This Row],[Industrial Production ]]-B51)/B51</f>
        <v>0.13333333333333328</v>
      </c>
      <c r="D63" s="34">
        <f t="shared" si="0"/>
        <v>0.29000571928276847</v>
      </c>
    </row>
    <row r="64" spans="1:4" x14ac:dyDescent="0.35">
      <c r="A64" s="31">
        <v>8675</v>
      </c>
      <c r="B64" s="32">
        <f>VLOOKUP(Table10[[#This Row],[Month]],database!A:J,MATCH('IP from start'!$A$1,database!$A$1:$J$1,),)</f>
        <v>5.9282000000000004</v>
      </c>
      <c r="C64" s="33">
        <f>(Table10[[#This Row],[Industrial Production ]]-B52)/B52</f>
        <v>6.7970959664198582E-2</v>
      </c>
      <c r="D64" s="34">
        <f t="shared" si="0"/>
        <v>0.27035385709389242</v>
      </c>
    </row>
    <row r="65" spans="1:4" x14ac:dyDescent="0.35">
      <c r="A65" s="31">
        <v>8706</v>
      </c>
      <c r="B65" s="32">
        <f>VLOOKUP(Table10[[#This Row],[Month]],database!A:J,MATCH('IP from start'!$A$1,database!$A$1:$J$1,),)</f>
        <v>5.9282000000000004</v>
      </c>
      <c r="C65" s="33">
        <f>(Table10[[#This Row],[Industrial Production ]]-B53)/B53</f>
        <v>2.3250194183136359E-2</v>
      </c>
      <c r="D65" s="34">
        <f t="shared" si="0"/>
        <v>0.24077275431429543</v>
      </c>
    </row>
    <row r="66" spans="1:4" x14ac:dyDescent="0.35">
      <c r="A66" s="31">
        <v>8736</v>
      </c>
      <c r="B66" s="32">
        <f>VLOOKUP(Table10[[#This Row],[Month]],database!A:J,MATCH('IP from start'!$A$1,database!$A$1:$J$1,),)</f>
        <v>5.7934999999999999</v>
      </c>
      <c r="C66" s="33">
        <f>(Table10[[#This Row],[Industrial Production ]]-B54)/B54</f>
        <v>-2.7136404090611403E-2</v>
      </c>
      <c r="D66" s="34">
        <f t="shared" si="0"/>
        <v>0.20302882930640931</v>
      </c>
    </row>
    <row r="67" spans="1:4" x14ac:dyDescent="0.35">
      <c r="A67" s="31">
        <v>8767</v>
      </c>
      <c r="B67" s="32">
        <f>VLOOKUP(Table10[[#This Row],[Month]],database!A:J,MATCH('IP from start'!$A$1,database!$A$1:$J$1,),)</f>
        <v>5.9282000000000004</v>
      </c>
      <c r="C67" s="33">
        <f>(Table10[[#This Row],[Industrial Production ]]-B55)/B55</f>
        <v>1.8521063844409338E-2</v>
      </c>
      <c r="D67" s="34">
        <f t="shared" si="0"/>
        <v>0.17610553545350238</v>
      </c>
    </row>
    <row r="68" spans="1:4" x14ac:dyDescent="0.35">
      <c r="A68" s="31">
        <v>8798</v>
      </c>
      <c r="B68" s="32">
        <f>VLOOKUP(Table10[[#This Row],[Month]],database!A:J,MATCH('IP from start'!$A$1,database!$A$1:$J$1,),)</f>
        <v>6.0359999999999996</v>
      </c>
      <c r="C68" s="33">
        <f>(Table10[[#This Row],[Industrial Production ]]-B56)/B56</f>
        <v>2.2842811631532463E-2</v>
      </c>
      <c r="D68" s="34">
        <f t="shared" si="0"/>
        <v>0.15271273316088671</v>
      </c>
    </row>
    <row r="69" spans="1:4" x14ac:dyDescent="0.35">
      <c r="A69" s="31">
        <v>8827</v>
      </c>
      <c r="B69" s="32">
        <f>VLOOKUP(Table10[[#This Row],[Month]],database!A:J,MATCH('IP from start'!$A$1,database!$A$1:$J$1,),)</f>
        <v>5.9282000000000004</v>
      </c>
      <c r="C69" s="33">
        <f>(Table10[[#This Row],[Industrial Production ]]-B57)/B57</f>
        <v>-2.6552160133992305E-2</v>
      </c>
      <c r="D69" s="34">
        <f t="shared" si="0"/>
        <v>0.12742985012354743</v>
      </c>
    </row>
    <row r="70" spans="1:4" x14ac:dyDescent="0.35">
      <c r="A70" s="31">
        <v>8858</v>
      </c>
      <c r="B70" s="32">
        <f>VLOOKUP(Table10[[#This Row],[Month]],database!A:J,MATCH('IP from start'!$A$1,database!$A$1:$J$1,),)</f>
        <v>5.7396000000000003</v>
      </c>
      <c r="C70" s="33">
        <f>(Table10[[#This Row],[Industrial Production ]]-B58)/B58</f>
        <v>-7.7916653278925468E-2</v>
      </c>
      <c r="D70" s="34">
        <f t="shared" si="0"/>
        <v>9.169652194490413E-2</v>
      </c>
    </row>
    <row r="71" spans="1:4" x14ac:dyDescent="0.35">
      <c r="A71" s="31">
        <v>8888</v>
      </c>
      <c r="B71" s="32">
        <f>VLOOKUP(Table10[[#This Row],[Month]],database!A:J,MATCH('IP from start'!$A$1,database!$A$1:$J$1,),)</f>
        <v>5.4969999999999999</v>
      </c>
      <c r="C71" s="33">
        <f>(Table10[[#This Row],[Industrial Production ]]-B59)/B59</f>
        <v>-0.12820756811621781</v>
      </c>
      <c r="D71" s="34">
        <f t="shared" si="0"/>
        <v>5.601238612454093E-2</v>
      </c>
    </row>
    <row r="72" spans="1:4" x14ac:dyDescent="0.35">
      <c r="A72" s="31">
        <v>8919</v>
      </c>
      <c r="B72" s="32">
        <f>VLOOKUP(Table10[[#This Row],[Month]],database!A:J,MATCH('IP from start'!$A$1,database!$A$1:$J$1,),)</f>
        <v>5.2545000000000002</v>
      </c>
      <c r="C72" s="33">
        <f>(Table10[[#This Row],[Industrial Production ]]-B60)/B60</f>
        <v>-0.1594817243861473</v>
      </c>
      <c r="D72" s="34">
        <f t="shared" si="0"/>
        <v>2.3764477694402736E-2</v>
      </c>
    </row>
    <row r="73" spans="1:4" x14ac:dyDescent="0.35">
      <c r="A73" s="31">
        <v>8949</v>
      </c>
      <c r="B73" s="32">
        <f>VLOOKUP(Table10[[#This Row],[Month]],database!A:J,MATCH('IP from start'!$A$1,database!$A$1:$J$1,),)</f>
        <v>5.1737000000000002</v>
      </c>
      <c r="C73" s="33">
        <f>(Table10[[#This Row],[Industrial Production ]]-B61)/B61</f>
        <v>-0.16522258257095374</v>
      </c>
      <c r="D73" s="34">
        <f t="shared" si="0"/>
        <v>-8.0815250868484581E-3</v>
      </c>
    </row>
    <row r="74" spans="1:4" x14ac:dyDescent="0.35">
      <c r="A74" s="31">
        <v>8980</v>
      </c>
      <c r="B74" s="32">
        <f>VLOOKUP(Table10[[#This Row],[Month]],database!A:J,MATCH('IP from start'!$A$1,database!$A$1:$J$1,),)</f>
        <v>5.3623000000000003</v>
      </c>
      <c r="C74" s="33">
        <f>(Table10[[#This Row],[Industrial Production ]]-B62)/B62</f>
        <v>-0.11947651028752521</v>
      </c>
      <c r="D74" s="34">
        <f t="shared" si="0"/>
        <v>-3.6506270017313602E-2</v>
      </c>
    </row>
    <row r="75" spans="1:4" x14ac:dyDescent="0.35">
      <c r="A75" s="31">
        <v>9011</v>
      </c>
      <c r="B75" s="32">
        <f>VLOOKUP(Table10[[#This Row],[Month]],database!A:J,MATCH('IP from start'!$A$1,database!$A$1:$J$1,),)</f>
        <v>5.5509000000000004</v>
      </c>
      <c r="C75" s="33">
        <f>(Table10[[#This Row],[Industrial Production ]]-B63)/B63</f>
        <v>-6.7874594885056413E-2</v>
      </c>
      <c r="D75" s="34">
        <f t="shared" si="0"/>
        <v>-5.3273597368846078E-2</v>
      </c>
    </row>
    <row r="76" spans="1:4" x14ac:dyDescent="0.35">
      <c r="A76" s="31">
        <v>9041</v>
      </c>
      <c r="B76" s="32">
        <f>VLOOKUP(Table10[[#This Row],[Month]],database!A:J,MATCH('IP from start'!$A$1,database!$A$1:$J$1,),)</f>
        <v>5.6856999999999998</v>
      </c>
      <c r="C76" s="33">
        <f>(Table10[[#This Row],[Industrial Production ]]-B64)/B64</f>
        <v>-4.090617725447869E-2</v>
      </c>
      <c r="D76" s="34">
        <f t="shared" si="0"/>
        <v>-6.2346692112069189E-2</v>
      </c>
    </row>
    <row r="77" spans="1:4" x14ac:dyDescent="0.35">
      <c r="A77" s="31">
        <v>9072</v>
      </c>
      <c r="B77" s="32">
        <f>VLOOKUP(Table10[[#This Row],[Month]],database!A:J,MATCH('IP from start'!$A$1,database!$A$1:$J$1,),)</f>
        <v>5.7934999999999999</v>
      </c>
      <c r="C77" s="33">
        <f>(Table10[[#This Row],[Industrial Production ]]-B65)/B65</f>
        <v>-2.2721905468776438E-2</v>
      </c>
      <c r="D77" s="34">
        <f t="shared" si="0"/>
        <v>-6.6177700416395244E-2</v>
      </c>
    </row>
    <row r="78" spans="1:4" x14ac:dyDescent="0.35">
      <c r="A78" s="31">
        <v>9102</v>
      </c>
      <c r="B78" s="32">
        <f>VLOOKUP(Table10[[#This Row],[Month]],database!A:J,MATCH('IP from start'!$A$1,database!$A$1:$J$1,),)</f>
        <v>5.9550999999999998</v>
      </c>
      <c r="C78" s="33">
        <f>(Table10[[#This Row],[Industrial Production ]]-B66)/B66</f>
        <v>2.7893328730473801E-2</v>
      </c>
      <c r="D78" s="34">
        <f t="shared" si="0"/>
        <v>-6.1591889347971489E-2</v>
      </c>
    </row>
    <row r="79" spans="1:4" x14ac:dyDescent="0.35">
      <c r="A79" s="31">
        <v>9133</v>
      </c>
      <c r="B79" s="32">
        <f>VLOOKUP(Table10[[#This Row],[Month]],database!A:J,MATCH('IP from start'!$A$1,database!$A$1:$J$1,),)</f>
        <v>6.1437999999999997</v>
      </c>
      <c r="C79" s="33">
        <f>(Table10[[#This Row],[Industrial Production ]]-B67)/B67</f>
        <v>3.6368543571404365E-2</v>
      </c>
      <c r="D79" s="34">
        <f t="shared" si="0"/>
        <v>-6.0104599370721899E-2</v>
      </c>
    </row>
    <row r="80" spans="1:4" x14ac:dyDescent="0.35">
      <c r="A80" s="31">
        <v>9164</v>
      </c>
      <c r="B80" s="32">
        <f>VLOOKUP(Table10[[#This Row],[Month]],database!A:J,MATCH('IP from start'!$A$1,database!$A$1:$J$1,),)</f>
        <v>6.1437999999999997</v>
      </c>
      <c r="C80" s="33">
        <f>(Table10[[#This Row],[Industrial Production ]]-B68)/B68</f>
        <v>1.785950960901261E-2</v>
      </c>
      <c r="D80" s="34">
        <f t="shared" si="0"/>
        <v>-6.0519874539265217E-2</v>
      </c>
    </row>
    <row r="81" spans="1:4" x14ac:dyDescent="0.35">
      <c r="A81" s="31">
        <v>9192</v>
      </c>
      <c r="B81" s="32">
        <f>VLOOKUP(Table10[[#This Row],[Month]],database!A:J,MATCH('IP from start'!$A$1,database!$A$1:$J$1,),)</f>
        <v>6.1437999999999997</v>
      </c>
      <c r="C81" s="33">
        <f>(Table10[[#This Row],[Industrial Production ]]-B69)/B69</f>
        <v>3.6368543571404365E-2</v>
      </c>
      <c r="D81" s="34">
        <f t="shared" si="0"/>
        <v>-5.5276482563815482E-2</v>
      </c>
    </row>
    <row r="82" spans="1:4" x14ac:dyDescent="0.35">
      <c r="A82" s="31">
        <v>9223</v>
      </c>
      <c r="B82" s="32">
        <f>VLOOKUP(Table10[[#This Row],[Month]],database!A:J,MATCH('IP from start'!$A$1,database!$A$1:$J$1,),)</f>
        <v>6.1977000000000002</v>
      </c>
      <c r="C82" s="33">
        <f>(Table10[[#This Row],[Industrial Production ]]-B70)/B70</f>
        <v>7.981392431528328E-2</v>
      </c>
      <c r="D82" s="34">
        <f t="shared" si="0"/>
        <v>-4.2132267764298091E-2</v>
      </c>
    </row>
    <row r="83" spans="1:4" x14ac:dyDescent="0.35">
      <c r="A83" s="31">
        <v>9253</v>
      </c>
      <c r="B83" s="32">
        <f>VLOOKUP(Table10[[#This Row],[Month]],database!A:J,MATCH('IP from start'!$A$1,database!$A$1:$J$1,),)</f>
        <v>6.1707000000000001</v>
      </c>
      <c r="C83" s="33">
        <f>(Table10[[#This Row],[Industrial Production ]]-B71)/B71</f>
        <v>0.12255775877751504</v>
      </c>
      <c r="D83" s="34">
        <f t="shared" si="0"/>
        <v>-2.1235157189820348E-2</v>
      </c>
    </row>
    <row r="84" spans="1:4" x14ac:dyDescent="0.35">
      <c r="A84" s="31">
        <v>9284</v>
      </c>
      <c r="B84" s="32">
        <f>VLOOKUP(Table10[[#This Row],[Month]],database!A:J,MATCH('IP from start'!$A$1,database!$A$1:$J$1,),)</f>
        <v>6.1167999999999996</v>
      </c>
      <c r="C84" s="33">
        <f>(Table10[[#This Row],[Industrial Production ]]-B72)/B72</f>
        <v>0.16410695594252533</v>
      </c>
      <c r="D84" s="34">
        <f t="shared" si="0"/>
        <v>5.7305661709023516E-3</v>
      </c>
    </row>
    <row r="85" spans="1:4" x14ac:dyDescent="0.35">
      <c r="A85" s="31">
        <v>9314</v>
      </c>
      <c r="B85" s="32">
        <f>VLOOKUP(Table10[[#This Row],[Month]],database!A:J,MATCH('IP from start'!$A$1,database!$A$1:$J$1,),)</f>
        <v>6.2785000000000002</v>
      </c>
      <c r="C85" s="33">
        <f>(Table10[[#This Row],[Industrial Production ]]-B73)/B73</f>
        <v>0.21354156599725535</v>
      </c>
      <c r="D85" s="34">
        <f t="shared" si="0"/>
        <v>3.7294245218253114E-2</v>
      </c>
    </row>
    <row r="86" spans="1:4" x14ac:dyDescent="0.35">
      <c r="A86" s="31">
        <v>9345</v>
      </c>
      <c r="B86" s="32">
        <f>VLOOKUP(Table10[[#This Row],[Month]],database!A:J,MATCH('IP from start'!$A$1,database!$A$1:$J$1,),)</f>
        <v>6.1707000000000001</v>
      </c>
      <c r="C86" s="33">
        <f>(Table10[[#This Row],[Industrial Production ]]-B74)/B74</f>
        <v>0.15075620535964041</v>
      </c>
      <c r="D86" s="34">
        <f t="shared" si="0"/>
        <v>5.981363818885025E-2</v>
      </c>
    </row>
    <row r="87" spans="1:4" x14ac:dyDescent="0.35">
      <c r="A87" s="31">
        <v>9376</v>
      </c>
      <c r="B87" s="32">
        <f>VLOOKUP(Table10[[#This Row],[Month]],database!A:J,MATCH('IP from start'!$A$1,database!$A$1:$J$1,),)</f>
        <v>6.0899000000000001</v>
      </c>
      <c r="C87" s="33">
        <f>(Table10[[#This Row],[Industrial Production ]]-B75)/B75</f>
        <v>9.7101370948855084E-2</v>
      </c>
      <c r="D87" s="34">
        <f t="shared" si="0"/>
        <v>7.3561635341676215E-2</v>
      </c>
    </row>
    <row r="88" spans="1:4" x14ac:dyDescent="0.35">
      <c r="A88" s="31">
        <v>9406</v>
      </c>
      <c r="B88" s="32">
        <f>VLOOKUP(Table10[[#This Row],[Month]],database!A:J,MATCH('IP from start'!$A$1,database!$A$1:$J$1,),)</f>
        <v>6.3323999999999998</v>
      </c>
      <c r="C88" s="33">
        <f>(Table10[[#This Row],[Industrial Production ]]-B76)/B76</f>
        <v>0.11374149181279351</v>
      </c>
      <c r="D88" s="34">
        <f t="shared" si="0"/>
        <v>8.6448941097282225E-2</v>
      </c>
    </row>
    <row r="89" spans="1:4" x14ac:dyDescent="0.35">
      <c r="A89" s="31">
        <v>9437</v>
      </c>
      <c r="B89" s="32">
        <f>VLOOKUP(Table10[[#This Row],[Month]],database!A:J,MATCH('IP from start'!$A$1,database!$A$1:$J$1,),)</f>
        <v>6.4671000000000003</v>
      </c>
      <c r="C89" s="33">
        <f>(Table10[[#This Row],[Industrial Production ]]-B77)/B77</f>
        <v>0.11626823163890575</v>
      </c>
      <c r="D89" s="34">
        <f t="shared" si="0"/>
        <v>9.8031452522922405E-2</v>
      </c>
    </row>
    <row r="90" spans="1:4" x14ac:dyDescent="0.35">
      <c r="A90" s="31">
        <v>9467</v>
      </c>
      <c r="B90" s="32">
        <f>VLOOKUP(Table10[[#This Row],[Month]],database!A:J,MATCH('IP from start'!$A$1,database!$A$1:$J$1,),)</f>
        <v>6.548</v>
      </c>
      <c r="C90" s="33">
        <f>(Table10[[#This Row],[Industrial Production ]]-B78)/B78</f>
        <v>9.9561720206209847E-2</v>
      </c>
      <c r="D90" s="34">
        <f t="shared" si="0"/>
        <v>0.10400381847923373</v>
      </c>
    </row>
    <row r="91" spans="1:4" x14ac:dyDescent="0.35">
      <c r="A91" s="31">
        <v>9498</v>
      </c>
      <c r="B91" s="32">
        <f>VLOOKUP(Table10[[#This Row],[Month]],database!A:J,MATCH('IP from start'!$A$1,database!$A$1:$J$1,),)</f>
        <v>6.4401999999999999</v>
      </c>
      <c r="C91" s="33">
        <f>(Table10[[#This Row],[Industrial Production ]]-B79)/B79</f>
        <v>4.8243757934828643E-2</v>
      </c>
      <c r="D91" s="34">
        <f t="shared" si="0"/>
        <v>0.10499341967618576</v>
      </c>
    </row>
    <row r="92" spans="1:4" x14ac:dyDescent="0.35">
      <c r="A92" s="31">
        <v>9529</v>
      </c>
      <c r="B92" s="32">
        <f>VLOOKUP(Table10[[#This Row],[Month]],database!A:J,MATCH('IP from start'!$A$1,database!$A$1:$J$1,),)</f>
        <v>6.4401999999999999</v>
      </c>
      <c r="C92" s="33">
        <f>(Table10[[#This Row],[Industrial Production ]]-B80)/B80</f>
        <v>4.8243757934828643E-2</v>
      </c>
      <c r="D92" s="34">
        <f t="shared" si="0"/>
        <v>0.10752544037000378</v>
      </c>
    </row>
    <row r="93" spans="1:4" x14ac:dyDescent="0.35">
      <c r="A93" s="31">
        <v>9557</v>
      </c>
      <c r="B93" s="32">
        <f>VLOOKUP(Table10[[#This Row],[Month]],database!A:J,MATCH('IP from start'!$A$1,database!$A$1:$J$1,),)</f>
        <v>6.5209999999999999</v>
      </c>
      <c r="C93" s="33">
        <f>(Table10[[#This Row],[Industrial Production ]]-B81)/B81</f>
        <v>6.1395227709235362E-2</v>
      </c>
      <c r="D93" s="34">
        <f t="shared" si="0"/>
        <v>0.10961099738148967</v>
      </c>
    </row>
    <row r="94" spans="1:4" x14ac:dyDescent="0.35">
      <c r="A94" s="31">
        <v>9588</v>
      </c>
      <c r="B94" s="32">
        <f>VLOOKUP(Table10[[#This Row],[Month]],database!A:J,MATCH('IP from start'!$A$1,database!$A$1:$J$1,),)</f>
        <v>6.5209999999999999</v>
      </c>
      <c r="C94" s="33">
        <f>(Table10[[#This Row],[Industrial Production ]]-B82)/B82</f>
        <v>5.2164512641786419E-2</v>
      </c>
      <c r="D94" s="34">
        <f t="shared" ref="D94:D157" si="1">AVERAGE(C83:C94)</f>
        <v>0.10730687974203162</v>
      </c>
    </row>
    <row r="95" spans="1:4" x14ac:dyDescent="0.35">
      <c r="A95" s="31">
        <v>9618</v>
      </c>
      <c r="B95" s="32">
        <f>VLOOKUP(Table10[[#This Row],[Month]],database!A:J,MATCH('IP from start'!$A$1,database!$A$1:$J$1,),)</f>
        <v>6.4671000000000003</v>
      </c>
      <c r="C95" s="33">
        <f>(Table10[[#This Row],[Industrial Production ]]-B83)/B83</f>
        <v>4.8033448393213121E-2</v>
      </c>
      <c r="D95" s="34">
        <f t="shared" si="1"/>
        <v>0.1010965205433398</v>
      </c>
    </row>
    <row r="96" spans="1:4" x14ac:dyDescent="0.35">
      <c r="A96" s="31">
        <v>9649</v>
      </c>
      <c r="B96" s="32">
        <f>VLOOKUP(Table10[[#This Row],[Month]],database!A:J,MATCH('IP from start'!$A$1,database!$A$1:$J$1,),)</f>
        <v>6.5479000000000003</v>
      </c>
      <c r="C96" s="33">
        <f>(Table10[[#This Row],[Industrial Production ]]-B84)/B84</f>
        <v>7.0478027726916151E-2</v>
      </c>
      <c r="D96" s="34">
        <f t="shared" si="1"/>
        <v>9.329410985870569E-2</v>
      </c>
    </row>
    <row r="97" spans="1:4" x14ac:dyDescent="0.35">
      <c r="A97" s="31">
        <v>9679</v>
      </c>
      <c r="B97" s="32">
        <f>VLOOKUP(Table10[[#This Row],[Month]],database!A:J,MATCH('IP from start'!$A$1,database!$A$1:$J$1,),)</f>
        <v>6.5749000000000004</v>
      </c>
      <c r="C97" s="33">
        <f>(Table10[[#This Row],[Industrial Production ]]-B85)/B85</f>
        <v>4.7208728199410722E-2</v>
      </c>
      <c r="D97" s="34">
        <f t="shared" si="1"/>
        <v>7.9433040042218628E-2</v>
      </c>
    </row>
    <row r="98" spans="1:4" x14ac:dyDescent="0.35">
      <c r="A98" s="31">
        <v>9710</v>
      </c>
      <c r="B98" s="32">
        <f>VLOOKUP(Table10[[#This Row],[Month]],database!A:J,MATCH('IP from start'!$A$1,database!$A$1:$J$1,),)</f>
        <v>6.6557000000000004</v>
      </c>
      <c r="C98" s="33">
        <f>(Table10[[#This Row],[Industrial Production ]]-B86)/B86</f>
        <v>7.8597241804009316E-2</v>
      </c>
      <c r="D98" s="34">
        <f t="shared" si="1"/>
        <v>7.3419793079249382E-2</v>
      </c>
    </row>
    <row r="99" spans="1:4" x14ac:dyDescent="0.35">
      <c r="A99" s="31">
        <v>9741</v>
      </c>
      <c r="B99" s="32">
        <f>VLOOKUP(Table10[[#This Row],[Month]],database!A:J,MATCH('IP from start'!$A$1,database!$A$1:$J$1,),)</f>
        <v>6.7634999999999996</v>
      </c>
      <c r="C99" s="33">
        <f>(Table10[[#This Row],[Industrial Production ]]-B87)/B87</f>
        <v>0.11060936961198041</v>
      </c>
      <c r="D99" s="34">
        <f t="shared" si="1"/>
        <v>7.4545459634509828E-2</v>
      </c>
    </row>
    <row r="100" spans="1:4" x14ac:dyDescent="0.35">
      <c r="A100" s="31">
        <v>9771</v>
      </c>
      <c r="B100" s="32">
        <f>VLOOKUP(Table10[[#This Row],[Month]],database!A:J,MATCH('IP from start'!$A$1,database!$A$1:$J$1,),)</f>
        <v>6.7634999999999996</v>
      </c>
      <c r="C100" s="33">
        <f>(Table10[[#This Row],[Industrial Production ]]-B88)/B88</f>
        <v>6.8078453666856137E-2</v>
      </c>
      <c r="D100" s="34">
        <f t="shared" si="1"/>
        <v>7.0740206455681715E-2</v>
      </c>
    </row>
    <row r="101" spans="1:4" x14ac:dyDescent="0.35">
      <c r="A101" s="31">
        <v>9802</v>
      </c>
      <c r="B101" s="32">
        <f>VLOOKUP(Table10[[#This Row],[Month]],database!A:J,MATCH('IP from start'!$A$1,database!$A$1:$J$1,),)</f>
        <v>6.7366000000000001</v>
      </c>
      <c r="C101" s="33">
        <f>(Table10[[#This Row],[Industrial Production ]]-B89)/B89</f>
        <v>4.1672465247174134E-2</v>
      </c>
      <c r="D101" s="34">
        <f t="shared" si="1"/>
        <v>6.4523892589704077E-2</v>
      </c>
    </row>
    <row r="102" spans="1:4" x14ac:dyDescent="0.35">
      <c r="A102" s="31">
        <v>9832</v>
      </c>
      <c r="B102" s="32">
        <f>VLOOKUP(Table10[[#This Row],[Month]],database!A:J,MATCH('IP from start'!$A$1,database!$A$1:$J$1,),)</f>
        <v>6.7096</v>
      </c>
      <c r="C102" s="33">
        <f>(Table10[[#This Row],[Industrial Production ]]-B90)/B90</f>
        <v>2.4679291386682952E-2</v>
      </c>
      <c r="D102" s="34">
        <f t="shared" si="1"/>
        <v>5.8283690188076838E-2</v>
      </c>
    </row>
    <row r="103" spans="1:4" x14ac:dyDescent="0.35">
      <c r="A103" s="31">
        <v>9863</v>
      </c>
      <c r="B103" s="32">
        <f>VLOOKUP(Table10[[#This Row],[Month]],database!A:J,MATCH('IP from start'!$A$1,database!$A$1:$J$1,),)</f>
        <v>6.6826999999999996</v>
      </c>
      <c r="C103" s="33">
        <f>(Table10[[#This Row],[Industrial Production ]]-B91)/B91</f>
        <v>3.7654110120803656E-2</v>
      </c>
      <c r="D103" s="34">
        <f t="shared" si="1"/>
        <v>5.7401219536908084E-2</v>
      </c>
    </row>
    <row r="104" spans="1:4" x14ac:dyDescent="0.35">
      <c r="A104" s="31">
        <v>9894</v>
      </c>
      <c r="B104" s="32">
        <f>VLOOKUP(Table10[[#This Row],[Month]],database!A:J,MATCH('IP from start'!$A$1,database!$A$1:$J$1,),)</f>
        <v>6.7366000000000001</v>
      </c>
      <c r="C104" s="33">
        <f>(Table10[[#This Row],[Industrial Production ]]-B92)/B92</f>
        <v>4.602341542188134E-2</v>
      </c>
      <c r="D104" s="34">
        <f t="shared" si="1"/>
        <v>5.7216190994162482E-2</v>
      </c>
    </row>
    <row r="105" spans="1:4" x14ac:dyDescent="0.35">
      <c r="A105" s="31">
        <v>9922</v>
      </c>
      <c r="B105" s="32">
        <f>VLOOKUP(Table10[[#This Row],[Month]],database!A:J,MATCH('IP from start'!$A$1,database!$A$1:$J$1,),)</f>
        <v>6.8174000000000001</v>
      </c>
      <c r="C105" s="33">
        <f>(Table10[[#This Row],[Industrial Production ]]-B93)/B93</f>
        <v>4.5453151357153845E-2</v>
      </c>
      <c r="D105" s="34">
        <f t="shared" si="1"/>
        <v>5.5887684631489021E-2</v>
      </c>
    </row>
    <row r="106" spans="1:4" x14ac:dyDescent="0.35">
      <c r="A106" s="31">
        <v>9953</v>
      </c>
      <c r="B106" s="32">
        <f>VLOOKUP(Table10[[#This Row],[Month]],database!A:J,MATCH('IP from start'!$A$1,database!$A$1:$J$1,),)</f>
        <v>6.6557000000000004</v>
      </c>
      <c r="C106" s="33">
        <f>(Table10[[#This Row],[Industrial Production ]]-B94)/B94</f>
        <v>2.0656341051985966E-2</v>
      </c>
      <c r="D106" s="34">
        <f t="shared" si="1"/>
        <v>5.3262003665672318E-2</v>
      </c>
    </row>
    <row r="107" spans="1:4" x14ac:dyDescent="0.35">
      <c r="A107" s="31">
        <v>9983</v>
      </c>
      <c r="B107" s="32">
        <f>VLOOKUP(Table10[[#This Row],[Month]],database!A:J,MATCH('IP from start'!$A$1,database!$A$1:$J$1,),)</f>
        <v>6.7096</v>
      </c>
      <c r="C107" s="33">
        <f>(Table10[[#This Row],[Industrial Production ]]-B95)/B95</f>
        <v>3.749748728178004E-2</v>
      </c>
      <c r="D107" s="34">
        <f t="shared" si="1"/>
        <v>5.2384006906386227E-2</v>
      </c>
    </row>
    <row r="108" spans="1:4" x14ac:dyDescent="0.35">
      <c r="A108" s="31">
        <v>10014</v>
      </c>
      <c r="B108" s="32">
        <f>VLOOKUP(Table10[[#This Row],[Month]],database!A:J,MATCH('IP from start'!$A$1,database!$A$1:$J$1,),)</f>
        <v>6.6826999999999996</v>
      </c>
      <c r="C108" s="33">
        <f>(Table10[[#This Row],[Industrial Production ]]-B96)/B96</f>
        <v>2.0586753004780061E-2</v>
      </c>
      <c r="D108" s="34">
        <f t="shared" si="1"/>
        <v>4.8226400679541544E-2</v>
      </c>
    </row>
    <row r="109" spans="1:4" x14ac:dyDescent="0.35">
      <c r="A109" s="31">
        <v>10044</v>
      </c>
      <c r="B109" s="32">
        <f>VLOOKUP(Table10[[#This Row],[Month]],database!A:J,MATCH('IP from start'!$A$1,database!$A$1:$J$1,),)</f>
        <v>6.6017999999999999</v>
      </c>
      <c r="C109" s="33">
        <f>(Table10[[#This Row],[Industrial Production ]]-B97)/B97</f>
        <v>4.0913169782049123E-3</v>
      </c>
      <c r="D109" s="34">
        <f t="shared" si="1"/>
        <v>4.4633283077774394E-2</v>
      </c>
    </row>
    <row r="110" spans="1:4" x14ac:dyDescent="0.35">
      <c r="A110" s="31">
        <v>10075</v>
      </c>
      <c r="B110" s="32">
        <f>VLOOKUP(Table10[[#This Row],[Month]],database!A:J,MATCH('IP from start'!$A$1,database!$A$1:$J$1,),)</f>
        <v>6.6017999999999999</v>
      </c>
      <c r="C110" s="33">
        <f>(Table10[[#This Row],[Industrial Production ]]-B98)/B98</f>
        <v>-8.0983217392611596E-3</v>
      </c>
      <c r="D110" s="34">
        <f t="shared" si="1"/>
        <v>3.7408652782501849E-2</v>
      </c>
    </row>
    <row r="111" spans="1:4" x14ac:dyDescent="0.35">
      <c r="A111" s="31">
        <v>10106</v>
      </c>
      <c r="B111" s="32">
        <f>VLOOKUP(Table10[[#This Row],[Month]],database!A:J,MATCH('IP from start'!$A$1,database!$A$1:$J$1,),)</f>
        <v>6.4941000000000004</v>
      </c>
      <c r="C111" s="33">
        <f>(Table10[[#This Row],[Industrial Production ]]-B99)/B99</f>
        <v>-3.9831448214681632E-2</v>
      </c>
      <c r="D111" s="34">
        <f t="shared" si="1"/>
        <v>2.4871917963613353E-2</v>
      </c>
    </row>
    <row r="112" spans="1:4" x14ac:dyDescent="0.35">
      <c r="A112" s="31">
        <v>10136</v>
      </c>
      <c r="B112" s="32">
        <f>VLOOKUP(Table10[[#This Row],[Month]],database!A:J,MATCH('IP from start'!$A$1,database!$A$1:$J$1,),)</f>
        <v>6.3593000000000002</v>
      </c>
      <c r="C112" s="33">
        <f>(Table10[[#This Row],[Industrial Production ]]-B100)/B100</f>
        <v>-5.9761957566348708E-2</v>
      </c>
      <c r="D112" s="34">
        <f t="shared" si="1"/>
        <v>1.4218550360846285E-2</v>
      </c>
    </row>
    <row r="113" spans="1:4" x14ac:dyDescent="0.35">
      <c r="A113" s="31">
        <v>10167</v>
      </c>
      <c r="B113" s="32">
        <f>VLOOKUP(Table10[[#This Row],[Month]],database!A:J,MATCH('IP from start'!$A$1,database!$A$1:$J$1,),)</f>
        <v>6.3593000000000002</v>
      </c>
      <c r="C113" s="33">
        <f>(Table10[[#This Row],[Industrial Production ]]-B101)/B101</f>
        <v>-5.6007481518867079E-2</v>
      </c>
      <c r="D113" s="34">
        <f t="shared" si="1"/>
        <v>6.0785547970095138E-3</v>
      </c>
    </row>
    <row r="114" spans="1:4" x14ac:dyDescent="0.35">
      <c r="A114" s="31">
        <v>10197</v>
      </c>
      <c r="B114" s="32">
        <f>VLOOKUP(Table10[[#This Row],[Month]],database!A:J,MATCH('IP from start'!$A$1,database!$A$1:$J$1,),)</f>
        <v>6.3863000000000003</v>
      </c>
      <c r="C114" s="33">
        <f>(Table10[[#This Row],[Industrial Production ]]-B102)/B102</f>
        <v>-4.8184690592583714E-2</v>
      </c>
      <c r="D114" s="34">
        <f t="shared" si="1"/>
        <v>6.5562987372931592E-6</v>
      </c>
    </row>
    <row r="115" spans="1:4" x14ac:dyDescent="0.35">
      <c r="A115" s="31">
        <v>10228</v>
      </c>
      <c r="B115" s="32">
        <f>VLOOKUP(Table10[[#This Row],[Month]],database!A:J,MATCH('IP from start'!$A$1,database!$A$1:$J$1,),)</f>
        <v>6.5209999999999999</v>
      </c>
      <c r="C115" s="33">
        <f>(Table10[[#This Row],[Industrial Production ]]-B103)/B103</f>
        <v>-2.4196806679934717E-2</v>
      </c>
      <c r="D115" s="34">
        <f t="shared" si="1"/>
        <v>-5.1476867679909055E-3</v>
      </c>
    </row>
    <row r="116" spans="1:4" x14ac:dyDescent="0.35">
      <c r="A116" s="31">
        <v>10259</v>
      </c>
      <c r="B116" s="32">
        <f>VLOOKUP(Table10[[#This Row],[Month]],database!A:J,MATCH('IP from start'!$A$1,database!$A$1:$J$1,),)</f>
        <v>6.5749000000000004</v>
      </c>
      <c r="C116" s="33">
        <f>(Table10[[#This Row],[Industrial Production ]]-B104)/B104</f>
        <v>-2.4003206365228711E-2</v>
      </c>
      <c r="D116" s="34">
        <f t="shared" si="1"/>
        <v>-1.0983238583583408E-2</v>
      </c>
    </row>
    <row r="117" spans="1:4" x14ac:dyDescent="0.35">
      <c r="A117" s="31">
        <v>10288</v>
      </c>
      <c r="B117" s="32">
        <f>VLOOKUP(Table10[[#This Row],[Month]],database!A:J,MATCH('IP from start'!$A$1,database!$A$1:$J$1,),)</f>
        <v>6.6288</v>
      </c>
      <c r="C117" s="33">
        <f>(Table10[[#This Row],[Industrial Production ]]-B105)/B105</f>
        <v>-2.7664505529967451E-2</v>
      </c>
      <c r="D117" s="34">
        <f t="shared" si="1"/>
        <v>-1.7076376657510179E-2</v>
      </c>
    </row>
    <row r="118" spans="1:4" x14ac:dyDescent="0.35">
      <c r="A118" s="31">
        <v>10319</v>
      </c>
      <c r="B118" s="32">
        <f>VLOOKUP(Table10[[#This Row],[Month]],database!A:J,MATCH('IP from start'!$A$1,database!$A$1:$J$1,),)</f>
        <v>6.6017999999999999</v>
      </c>
      <c r="C118" s="33">
        <f>(Table10[[#This Row],[Industrial Production ]]-B106)/B106</f>
        <v>-8.0983217392611596E-3</v>
      </c>
      <c r="D118" s="34">
        <f t="shared" si="1"/>
        <v>-1.9472598556780778E-2</v>
      </c>
    </row>
    <row r="119" spans="1:4" x14ac:dyDescent="0.35">
      <c r="A119" s="31">
        <v>10349</v>
      </c>
      <c r="B119" s="32">
        <f>VLOOKUP(Table10[[#This Row],[Month]],database!A:J,MATCH('IP from start'!$A$1,database!$A$1:$J$1,),)</f>
        <v>6.6826999999999996</v>
      </c>
      <c r="C119" s="33">
        <f>(Table10[[#This Row],[Industrial Production ]]-B107)/B107</f>
        <v>-4.0091808751639988E-3</v>
      </c>
      <c r="D119" s="34">
        <f t="shared" si="1"/>
        <v>-2.2931487569859448E-2</v>
      </c>
    </row>
    <row r="120" spans="1:4" x14ac:dyDescent="0.35">
      <c r="A120" s="31">
        <v>10380</v>
      </c>
      <c r="B120" s="32">
        <f>VLOOKUP(Table10[[#This Row],[Month]],database!A:J,MATCH('IP from start'!$A$1,database!$A$1:$J$1,),)</f>
        <v>6.7366000000000001</v>
      </c>
      <c r="C120" s="33">
        <f>(Table10[[#This Row],[Industrial Production ]]-B108)/B108</f>
        <v>8.0656022266449943E-3</v>
      </c>
      <c r="D120" s="34">
        <f t="shared" si="1"/>
        <v>-2.3974916801370705E-2</v>
      </c>
    </row>
    <row r="121" spans="1:4" x14ac:dyDescent="0.35">
      <c r="A121" s="31">
        <v>10410</v>
      </c>
      <c r="B121" s="32">
        <f>VLOOKUP(Table10[[#This Row],[Month]],database!A:J,MATCH('IP from start'!$A$1,database!$A$1:$J$1,),)</f>
        <v>6.8174000000000001</v>
      </c>
      <c r="C121" s="33">
        <f>(Table10[[#This Row],[Industrial Production ]]-B109)/B109</f>
        <v>3.26577600048472E-2</v>
      </c>
      <c r="D121" s="34">
        <f t="shared" si="1"/>
        <v>-2.1594379882483847E-2</v>
      </c>
    </row>
    <row r="122" spans="1:4" x14ac:dyDescent="0.35">
      <c r="A122" s="31">
        <v>10441</v>
      </c>
      <c r="B122" s="32">
        <f>VLOOKUP(Table10[[#This Row],[Month]],database!A:J,MATCH('IP from start'!$A$1,database!$A$1:$J$1,),)</f>
        <v>6.9522000000000004</v>
      </c>
      <c r="C122" s="33">
        <f>(Table10[[#This Row],[Industrial Production ]]-B110)/B110</f>
        <v>5.3076433699900102E-2</v>
      </c>
      <c r="D122" s="34">
        <f t="shared" si="1"/>
        <v>-1.6496483595887072E-2</v>
      </c>
    </row>
    <row r="123" spans="1:4" x14ac:dyDescent="0.35">
      <c r="A123" s="31">
        <v>10472</v>
      </c>
      <c r="B123" s="32">
        <f>VLOOKUP(Table10[[#This Row],[Month]],database!A:J,MATCH('IP from start'!$A$1,database!$A$1:$J$1,),)</f>
        <v>7.0060000000000002</v>
      </c>
      <c r="C123" s="33">
        <f>(Table10[[#This Row],[Industrial Production ]]-B111)/B111</f>
        <v>7.8825395358864167E-2</v>
      </c>
      <c r="D123" s="34">
        <f t="shared" si="1"/>
        <v>-6.6084132980915875E-3</v>
      </c>
    </row>
    <row r="124" spans="1:4" x14ac:dyDescent="0.35">
      <c r="A124" s="31">
        <v>10502</v>
      </c>
      <c r="B124" s="32">
        <f>VLOOKUP(Table10[[#This Row],[Month]],database!A:J,MATCH('IP from start'!$A$1,database!$A$1:$J$1,),)</f>
        <v>7.1407999999999996</v>
      </c>
      <c r="C124" s="33">
        <f>(Table10[[#This Row],[Industrial Production ]]-B112)/B112</f>
        <v>0.12289088421681622</v>
      </c>
      <c r="D124" s="34">
        <f t="shared" si="1"/>
        <v>8.6126568505054905E-3</v>
      </c>
    </row>
    <row r="125" spans="1:4" x14ac:dyDescent="0.35">
      <c r="A125" s="31">
        <v>10533</v>
      </c>
      <c r="B125" s="32">
        <f>VLOOKUP(Table10[[#This Row],[Month]],database!A:J,MATCH('IP from start'!$A$1,database!$A$1:$J$1,),)</f>
        <v>7.2755000000000001</v>
      </c>
      <c r="C125" s="33">
        <f>(Table10[[#This Row],[Industrial Production ]]-B113)/B113</f>
        <v>0.14407246080543454</v>
      </c>
      <c r="D125" s="34">
        <f t="shared" si="1"/>
        <v>2.5285985377530618E-2</v>
      </c>
    </row>
    <row r="126" spans="1:4" x14ac:dyDescent="0.35">
      <c r="A126" s="31">
        <v>10563</v>
      </c>
      <c r="B126" s="32">
        <f>VLOOKUP(Table10[[#This Row],[Month]],database!A:J,MATCH('IP from start'!$A$1,database!$A$1:$J$1,),)</f>
        <v>7.4101999999999997</v>
      </c>
      <c r="C126" s="33">
        <f>(Table10[[#This Row],[Industrial Production ]]-B114)/B114</f>
        <v>0.16032757621784122</v>
      </c>
      <c r="D126" s="34">
        <f t="shared" si="1"/>
        <v>4.2662007611732701E-2</v>
      </c>
    </row>
    <row r="127" spans="1:4" x14ac:dyDescent="0.35">
      <c r="A127" s="31">
        <v>10594</v>
      </c>
      <c r="B127" s="32">
        <f>VLOOKUP(Table10[[#This Row],[Month]],database!A:J,MATCH('IP from start'!$A$1,database!$A$1:$J$1,),)</f>
        <v>7.5179999999999998</v>
      </c>
      <c r="C127" s="33">
        <f>(Table10[[#This Row],[Industrial Production ]]-B115)/B115</f>
        <v>0.15289066094157336</v>
      </c>
      <c r="D127" s="34">
        <f t="shared" si="1"/>
        <v>5.7419296580191709E-2</v>
      </c>
    </row>
    <row r="128" spans="1:4" x14ac:dyDescent="0.35">
      <c r="A128" s="31">
        <v>10625</v>
      </c>
      <c r="B128" s="32">
        <f>VLOOKUP(Table10[[#This Row],[Month]],database!A:J,MATCH('IP from start'!$A$1,database!$A$1:$J$1,),)</f>
        <v>7.4911000000000003</v>
      </c>
      <c r="C128" s="33">
        <f>(Table10[[#This Row],[Industrial Production ]]-B116)/B116</f>
        <v>0.13934812696771051</v>
      </c>
      <c r="D128" s="34">
        <f t="shared" si="1"/>
        <v>7.1031907691269977E-2</v>
      </c>
    </row>
    <row r="129" spans="1:4" x14ac:dyDescent="0.35">
      <c r="A129" s="31">
        <v>10653</v>
      </c>
      <c r="B129" s="32">
        <f>VLOOKUP(Table10[[#This Row],[Month]],database!A:J,MATCH('IP from start'!$A$1,database!$A$1:$J$1,),)</f>
        <v>7.5179999999999998</v>
      </c>
      <c r="C129" s="33">
        <f>(Table10[[#This Row],[Industrial Production ]]-B117)/B117</f>
        <v>0.13414192614047787</v>
      </c>
      <c r="D129" s="34">
        <f t="shared" si="1"/>
        <v>8.4515776997140413E-2</v>
      </c>
    </row>
    <row r="130" spans="1:4" x14ac:dyDescent="0.35">
      <c r="A130" s="31">
        <v>10684</v>
      </c>
      <c r="B130" s="32">
        <f>VLOOKUP(Table10[[#This Row],[Month]],database!A:J,MATCH('IP from start'!$A$1,database!$A$1:$J$1,),)</f>
        <v>7.6528</v>
      </c>
      <c r="C130" s="33">
        <f>(Table10[[#This Row],[Industrial Production ]]-B118)/B118</f>
        <v>0.15919900633160655</v>
      </c>
      <c r="D130" s="34">
        <f t="shared" si="1"/>
        <v>9.8457221003046061E-2</v>
      </c>
    </row>
    <row r="131" spans="1:4" x14ac:dyDescent="0.35">
      <c r="A131" s="31">
        <v>10714</v>
      </c>
      <c r="B131" s="32">
        <f>VLOOKUP(Table10[[#This Row],[Month]],database!A:J,MATCH('IP from start'!$A$1,database!$A$1:$J$1,),)</f>
        <v>7.7874999999999996</v>
      </c>
      <c r="C131" s="33">
        <f>(Table10[[#This Row],[Industrial Production ]]-B119)/B119</f>
        <v>0.16532239962889253</v>
      </c>
      <c r="D131" s="34">
        <f t="shared" si="1"/>
        <v>0.11256818604505076</v>
      </c>
    </row>
    <row r="132" spans="1:4" x14ac:dyDescent="0.35">
      <c r="A132" s="31">
        <v>10745</v>
      </c>
      <c r="B132" s="32">
        <f>VLOOKUP(Table10[[#This Row],[Month]],database!A:J,MATCH('IP from start'!$A$1,database!$A$1:$J$1,),)</f>
        <v>7.8414000000000001</v>
      </c>
      <c r="C132" s="33">
        <f>(Table10[[#This Row],[Industrial Production ]]-B120)/B120</f>
        <v>0.1639996437371968</v>
      </c>
      <c r="D132" s="34">
        <f t="shared" si="1"/>
        <v>0.12556268950426344</v>
      </c>
    </row>
    <row r="133" spans="1:4" x14ac:dyDescent="0.35">
      <c r="A133" s="31">
        <v>10775</v>
      </c>
      <c r="B133" s="32">
        <f>VLOOKUP(Table10[[#This Row],[Month]],database!A:J,MATCH('IP from start'!$A$1,database!$A$1:$J$1,),)</f>
        <v>7.9492000000000003</v>
      </c>
      <c r="C133" s="33">
        <f>(Table10[[#This Row],[Industrial Production ]]-B121)/B121</f>
        <v>0.16601636987707927</v>
      </c>
      <c r="D133" s="34">
        <f t="shared" si="1"/>
        <v>0.13667590699361612</v>
      </c>
    </row>
    <row r="134" spans="1:4" x14ac:dyDescent="0.35">
      <c r="A134" s="31">
        <v>10806</v>
      </c>
      <c r="B134" s="32">
        <f>VLOOKUP(Table10[[#This Row],[Month]],database!A:J,MATCH('IP from start'!$A$1,database!$A$1:$J$1,),)</f>
        <v>7.8682999999999996</v>
      </c>
      <c r="C134" s="33">
        <f>(Table10[[#This Row],[Industrial Production ]]-B122)/B122</f>
        <v>0.13177123788153378</v>
      </c>
      <c r="D134" s="34">
        <f t="shared" si="1"/>
        <v>0.14323380734208557</v>
      </c>
    </row>
    <row r="135" spans="1:4" x14ac:dyDescent="0.35">
      <c r="A135" s="31">
        <v>10837</v>
      </c>
      <c r="B135" s="32">
        <f>VLOOKUP(Table10[[#This Row],[Month]],database!A:J,MATCH('IP from start'!$A$1,database!$A$1:$J$1,),)</f>
        <v>7.8144</v>
      </c>
      <c r="C135" s="33">
        <f>(Table10[[#This Row],[Industrial Production ]]-B123)/B123</f>
        <v>0.11538681130459602</v>
      </c>
      <c r="D135" s="34">
        <f t="shared" si="1"/>
        <v>0.14628059200422991</v>
      </c>
    </row>
    <row r="136" spans="1:4" x14ac:dyDescent="0.35">
      <c r="A136" s="31">
        <v>10867</v>
      </c>
      <c r="B136" s="32">
        <f>VLOOKUP(Table10[[#This Row],[Month]],database!A:J,MATCH('IP from start'!$A$1,database!$A$1:$J$1,),)</f>
        <v>7.6797000000000004</v>
      </c>
      <c r="C136" s="33">
        <f>(Table10[[#This Row],[Industrial Production ]]-B124)/B124</f>
        <v>7.5467734707595907E-2</v>
      </c>
      <c r="D136" s="34">
        <f t="shared" si="1"/>
        <v>0.14232866287846155</v>
      </c>
    </row>
    <row r="137" spans="1:4" x14ac:dyDescent="0.35">
      <c r="A137" s="31">
        <v>10898</v>
      </c>
      <c r="B137" s="32">
        <f>VLOOKUP(Table10[[#This Row],[Month]],database!A:J,MATCH('IP from start'!$A$1,database!$A$1:$J$1,),)</f>
        <v>7.3025000000000002</v>
      </c>
      <c r="C137" s="33">
        <f>(Table10[[#This Row],[Industrial Production ]]-B125)/B125</f>
        <v>3.7110851487870433E-3</v>
      </c>
      <c r="D137" s="34">
        <f t="shared" si="1"/>
        <v>0.13063188157374092</v>
      </c>
    </row>
    <row r="138" spans="1:4" x14ac:dyDescent="0.35">
      <c r="A138" s="31">
        <v>10928</v>
      </c>
      <c r="B138" s="32">
        <f>VLOOKUP(Table10[[#This Row],[Month]],database!A:J,MATCH('IP from start'!$A$1,database!$A$1:$J$1,),)</f>
        <v>6.9790999999999999</v>
      </c>
      <c r="C138" s="33">
        <f>(Table10[[#This Row],[Industrial Production ]]-B126)/B126</f>
        <v>-5.8176567434077328E-2</v>
      </c>
      <c r="D138" s="34">
        <f t="shared" si="1"/>
        <v>0.112423202936081</v>
      </c>
    </row>
    <row r="139" spans="1:4" x14ac:dyDescent="0.35">
      <c r="A139" s="31">
        <v>10959</v>
      </c>
      <c r="B139" s="32">
        <f>VLOOKUP(Table10[[#This Row],[Month]],database!A:J,MATCH('IP from start'!$A$1,database!$A$1:$J$1,),)</f>
        <v>6.9790999999999999</v>
      </c>
      <c r="C139" s="33">
        <f>(Table10[[#This Row],[Industrial Production ]]-B127)/B127</f>
        <v>-7.1681298217611059E-2</v>
      </c>
      <c r="D139" s="34">
        <f t="shared" si="1"/>
        <v>9.3708873006148982E-2</v>
      </c>
    </row>
    <row r="140" spans="1:4" x14ac:dyDescent="0.35">
      <c r="A140" s="31">
        <v>10990</v>
      </c>
      <c r="B140" s="32">
        <f>VLOOKUP(Table10[[#This Row],[Month]],database!A:J,MATCH('IP from start'!$A$1,database!$A$1:$J$1,),)</f>
        <v>6.9520999999999997</v>
      </c>
      <c r="C140" s="33">
        <f>(Table10[[#This Row],[Industrial Production ]]-B128)/B128</f>
        <v>-7.1952049765722059E-2</v>
      </c>
      <c r="D140" s="34">
        <f t="shared" si="1"/>
        <v>7.6100524945029613E-2</v>
      </c>
    </row>
    <row r="141" spans="1:4" x14ac:dyDescent="0.35">
      <c r="A141" s="31">
        <v>11018</v>
      </c>
      <c r="B141" s="32">
        <f>VLOOKUP(Table10[[#This Row],[Month]],database!A:J,MATCH('IP from start'!$A$1,database!$A$1:$J$1,),)</f>
        <v>6.8444000000000003</v>
      </c>
      <c r="C141" s="33">
        <f>(Table10[[#This Row],[Industrial Production ]]-B129)/B129</f>
        <v>-8.9598297419526407E-2</v>
      </c>
      <c r="D141" s="34">
        <f t="shared" si="1"/>
        <v>5.7455506315029249E-2</v>
      </c>
    </row>
    <row r="142" spans="1:4" x14ac:dyDescent="0.35">
      <c r="A142" s="31">
        <v>11049</v>
      </c>
      <c r="B142" s="32">
        <f>VLOOKUP(Table10[[#This Row],[Month]],database!A:J,MATCH('IP from start'!$A$1,database!$A$1:$J$1,),)</f>
        <v>6.7904999999999998</v>
      </c>
      <c r="C142" s="33">
        <f>(Table10[[#This Row],[Industrial Production ]]-B130)/B130</f>
        <v>-0.11267771273259464</v>
      </c>
      <c r="D142" s="34">
        <f t="shared" si="1"/>
        <v>3.4799113059679164E-2</v>
      </c>
    </row>
    <row r="143" spans="1:4" x14ac:dyDescent="0.35">
      <c r="A143" s="31">
        <v>11079</v>
      </c>
      <c r="B143" s="32">
        <f>VLOOKUP(Table10[[#This Row],[Month]],database!A:J,MATCH('IP from start'!$A$1,database!$A$1:$J$1,),)</f>
        <v>6.6826999999999996</v>
      </c>
      <c r="C143" s="33">
        <f>(Table10[[#This Row],[Industrial Production ]]-B131)/B131</f>
        <v>-0.14186837881219905</v>
      </c>
      <c r="D143" s="34">
        <f t="shared" si="1"/>
        <v>9.1998815229215273E-3</v>
      </c>
    </row>
    <row r="144" spans="1:4" x14ac:dyDescent="0.35">
      <c r="A144" s="31">
        <v>11110</v>
      </c>
      <c r="B144" s="32">
        <f>VLOOKUP(Table10[[#This Row],[Month]],database!A:J,MATCH('IP from start'!$A$1,database!$A$1:$J$1,),)</f>
        <v>6.4941000000000004</v>
      </c>
      <c r="C144" s="33">
        <f>(Table10[[#This Row],[Industrial Production ]]-B132)/B132</f>
        <v>-0.17181880786594228</v>
      </c>
      <c r="D144" s="34">
        <f t="shared" si="1"/>
        <v>-1.8784989444006733E-2</v>
      </c>
    </row>
    <row r="145" spans="1:4" x14ac:dyDescent="0.35">
      <c r="A145" s="31">
        <v>11140</v>
      </c>
      <c r="B145" s="32">
        <f>VLOOKUP(Table10[[#This Row],[Month]],database!A:J,MATCH('IP from start'!$A$1,database!$A$1:$J$1,),)</f>
        <v>6.1977000000000002</v>
      </c>
      <c r="C145" s="33">
        <f>(Table10[[#This Row],[Industrial Production ]]-B133)/B133</f>
        <v>-0.2203366376490716</v>
      </c>
      <c r="D145" s="34">
        <f t="shared" si="1"/>
        <v>-5.0981073404519302E-2</v>
      </c>
    </row>
    <row r="146" spans="1:4" x14ac:dyDescent="0.35">
      <c r="A146" s="31">
        <v>11171</v>
      </c>
      <c r="B146" s="32">
        <f>VLOOKUP(Table10[[#This Row],[Month]],database!A:J,MATCH('IP from start'!$A$1,database!$A$1:$J$1,),)</f>
        <v>6.0629</v>
      </c>
      <c r="C146" s="33">
        <f>(Table10[[#This Row],[Industrial Production ]]-B134)/B134</f>
        <v>-0.22945235946773759</v>
      </c>
      <c r="D146" s="34">
        <f t="shared" si="1"/>
        <v>-8.1083039850291916E-2</v>
      </c>
    </row>
    <row r="147" spans="1:4" x14ac:dyDescent="0.35">
      <c r="A147" s="31">
        <v>11202</v>
      </c>
      <c r="B147" s="32">
        <f>VLOOKUP(Table10[[#This Row],[Month]],database!A:J,MATCH('IP from start'!$A$1,database!$A$1:$J$1,),)</f>
        <v>5.9550999999999998</v>
      </c>
      <c r="C147" s="33">
        <f>(Table10[[#This Row],[Industrial Production ]]-B135)/B135</f>
        <v>-0.23793253480753482</v>
      </c>
      <c r="D147" s="34">
        <f t="shared" si="1"/>
        <v>-0.11052631869296949</v>
      </c>
    </row>
    <row r="148" spans="1:4" x14ac:dyDescent="0.35">
      <c r="A148" s="31">
        <v>11232</v>
      </c>
      <c r="B148" s="32">
        <f>VLOOKUP(Table10[[#This Row],[Month]],database!A:J,MATCH('IP from start'!$A$1,database!$A$1:$J$1,),)</f>
        <v>5.7934999999999999</v>
      </c>
      <c r="C148" s="33">
        <f>(Table10[[#This Row],[Industrial Production ]]-B136)/B136</f>
        <v>-0.2456085524174122</v>
      </c>
      <c r="D148" s="34">
        <f t="shared" si="1"/>
        <v>-0.13728267595338683</v>
      </c>
    </row>
    <row r="149" spans="1:4" x14ac:dyDescent="0.35">
      <c r="A149" s="31">
        <v>11263</v>
      </c>
      <c r="B149" s="32">
        <f>VLOOKUP(Table10[[#This Row],[Month]],database!A:J,MATCH('IP from start'!$A$1,database!$A$1:$J$1,),)</f>
        <v>5.6586999999999996</v>
      </c>
      <c r="C149" s="33">
        <f>(Table10[[#This Row],[Industrial Production ]]-B137)/B137</f>
        <v>-0.22510099281068136</v>
      </c>
      <c r="D149" s="34">
        <f t="shared" si="1"/>
        <v>-0.15635034911667586</v>
      </c>
    </row>
    <row r="150" spans="1:4" x14ac:dyDescent="0.35">
      <c r="A150" s="31">
        <v>11293</v>
      </c>
      <c r="B150" s="32">
        <f>VLOOKUP(Table10[[#This Row],[Month]],database!A:J,MATCH('IP from start'!$A$1,database!$A$1:$J$1,),)</f>
        <v>5.524</v>
      </c>
      <c r="C150" s="33">
        <f>(Table10[[#This Row],[Industrial Production ]]-B138)/B138</f>
        <v>-0.20849393188233437</v>
      </c>
      <c r="D150" s="34">
        <f t="shared" si="1"/>
        <v>-0.16887679615403062</v>
      </c>
    </row>
    <row r="151" spans="1:4" x14ac:dyDescent="0.35">
      <c r="A151" s="31">
        <v>11324</v>
      </c>
      <c r="B151" s="32">
        <f>VLOOKUP(Table10[[#This Row],[Month]],database!A:J,MATCH('IP from start'!$A$1,database!$A$1:$J$1,),)</f>
        <v>5.4969999999999999</v>
      </c>
      <c r="C151" s="33">
        <f>(Table10[[#This Row],[Industrial Production ]]-B139)/B139</f>
        <v>-0.21236262555343813</v>
      </c>
      <c r="D151" s="34">
        <f t="shared" si="1"/>
        <v>-0.18060024009868289</v>
      </c>
    </row>
    <row r="152" spans="1:4" x14ac:dyDescent="0.35">
      <c r="A152" s="31">
        <v>11355</v>
      </c>
      <c r="B152" s="32">
        <f>VLOOKUP(Table10[[#This Row],[Month]],database!A:J,MATCH('IP from start'!$A$1,database!$A$1:$J$1,),)</f>
        <v>5.524</v>
      </c>
      <c r="C152" s="33">
        <f>(Table10[[#This Row],[Industrial Production ]]-B140)/B140</f>
        <v>-0.20541994505257402</v>
      </c>
      <c r="D152" s="34">
        <f t="shared" si="1"/>
        <v>-0.19172256470592053</v>
      </c>
    </row>
    <row r="153" spans="1:4" x14ac:dyDescent="0.35">
      <c r="A153" s="31">
        <v>11383</v>
      </c>
      <c r="B153" s="32">
        <f>VLOOKUP(Table10[[#This Row],[Month]],database!A:J,MATCH('IP from start'!$A$1,database!$A$1:$J$1,),)</f>
        <v>5.6318000000000001</v>
      </c>
      <c r="C153" s="33">
        <f>(Table10[[#This Row],[Industrial Production ]]-B141)/B141</f>
        <v>-0.17716673484892762</v>
      </c>
      <c r="D153" s="34">
        <f t="shared" si="1"/>
        <v>-0.19901993449170396</v>
      </c>
    </row>
    <row r="154" spans="1:4" x14ac:dyDescent="0.35">
      <c r="A154" s="31">
        <v>11414</v>
      </c>
      <c r="B154" s="32">
        <f>VLOOKUP(Table10[[#This Row],[Month]],database!A:J,MATCH('IP from start'!$A$1,database!$A$1:$J$1,),)</f>
        <v>5.6586999999999996</v>
      </c>
      <c r="C154" s="33">
        <f>(Table10[[#This Row],[Industrial Production ]]-B142)/B142</f>
        <v>-0.16667402989470587</v>
      </c>
      <c r="D154" s="34">
        <f t="shared" si="1"/>
        <v>-0.20351962758854658</v>
      </c>
    </row>
    <row r="155" spans="1:4" x14ac:dyDescent="0.35">
      <c r="A155" s="31">
        <v>11444</v>
      </c>
      <c r="B155" s="32">
        <f>VLOOKUP(Table10[[#This Row],[Month]],database!A:J,MATCH('IP from start'!$A$1,database!$A$1:$J$1,),)</f>
        <v>5.5778999999999996</v>
      </c>
      <c r="C155" s="33">
        <f>(Table10[[#This Row],[Industrial Production ]]-B143)/B143</f>
        <v>-0.16532239962889253</v>
      </c>
      <c r="D155" s="34">
        <f t="shared" si="1"/>
        <v>-0.20547412932327103</v>
      </c>
    </row>
    <row r="156" spans="1:4" x14ac:dyDescent="0.35">
      <c r="A156" s="31">
        <v>11475</v>
      </c>
      <c r="B156" s="32">
        <f>VLOOKUP(Table10[[#This Row],[Month]],database!A:J,MATCH('IP from start'!$A$1,database!$A$1:$J$1,),)</f>
        <v>5.4432</v>
      </c>
      <c r="C156" s="33">
        <f>(Table10[[#This Row],[Industrial Production ]]-B144)/B144</f>
        <v>-0.16182380930382967</v>
      </c>
      <c r="D156" s="34">
        <f t="shared" si="1"/>
        <v>-0.20464121277642833</v>
      </c>
    </row>
    <row r="157" spans="1:4" x14ac:dyDescent="0.35">
      <c r="A157" s="31">
        <v>11505</v>
      </c>
      <c r="B157" s="32">
        <f>VLOOKUP(Table10[[#This Row],[Month]],database!A:J,MATCH('IP from start'!$A$1,database!$A$1:$J$1,),)</f>
        <v>5.3623000000000003</v>
      </c>
      <c r="C157" s="33">
        <f>(Table10[[#This Row],[Industrial Production ]]-B145)/B145</f>
        <v>-0.1347919389450925</v>
      </c>
      <c r="D157" s="34">
        <f t="shared" si="1"/>
        <v>-0.19751248788443007</v>
      </c>
    </row>
    <row r="158" spans="1:4" x14ac:dyDescent="0.35">
      <c r="A158" s="31">
        <v>11536</v>
      </c>
      <c r="B158" s="32">
        <f>VLOOKUP(Table10[[#This Row],[Month]],database!A:J,MATCH('IP from start'!$A$1,database!$A$1:$J$1,),)</f>
        <v>5.1737000000000002</v>
      </c>
      <c r="C158" s="33">
        <f>(Table10[[#This Row],[Industrial Production ]]-B146)/B146</f>
        <v>-0.14666248824819803</v>
      </c>
      <c r="D158" s="34">
        <f t="shared" ref="D158:D221" si="2">AVERAGE(C147:C158)</f>
        <v>-0.19061333194946842</v>
      </c>
    </row>
    <row r="159" spans="1:4" x14ac:dyDescent="0.35">
      <c r="A159" s="31">
        <v>11567</v>
      </c>
      <c r="B159" s="32">
        <f>VLOOKUP(Table10[[#This Row],[Month]],database!A:J,MATCH('IP from start'!$A$1,database!$A$1:$J$1,),)</f>
        <v>4.9311999999999996</v>
      </c>
      <c r="C159" s="33">
        <f>(Table10[[#This Row],[Industrial Production ]]-B147)/B147</f>
        <v>-0.17193665933401628</v>
      </c>
      <c r="D159" s="34">
        <f t="shared" si="2"/>
        <v>-0.18511367566000858</v>
      </c>
    </row>
    <row r="160" spans="1:4" x14ac:dyDescent="0.35">
      <c r="A160" s="31">
        <v>11597</v>
      </c>
      <c r="B160" s="32">
        <f>VLOOKUP(Table10[[#This Row],[Month]],database!A:J,MATCH('IP from start'!$A$1,database!$A$1:$J$1,),)</f>
        <v>4.7426000000000004</v>
      </c>
      <c r="C160" s="33">
        <f>(Table10[[#This Row],[Industrial Production ]]-B148)/B148</f>
        <v>-0.18139294036420117</v>
      </c>
      <c r="D160" s="34">
        <f t="shared" si="2"/>
        <v>-0.17976237465557429</v>
      </c>
    </row>
    <row r="161" spans="1:4" x14ac:dyDescent="0.35">
      <c r="A161" s="31">
        <v>11628</v>
      </c>
      <c r="B161" s="32">
        <f>VLOOKUP(Table10[[#This Row],[Month]],database!A:J,MATCH('IP from start'!$A$1,database!$A$1:$J$1,),)</f>
        <v>4.6886999999999999</v>
      </c>
      <c r="C161" s="33">
        <f>(Table10[[#This Row],[Industrial Production ]]-B149)/B149</f>
        <v>-0.17141746337498009</v>
      </c>
      <c r="D161" s="34">
        <f t="shared" si="2"/>
        <v>-0.17528874720259921</v>
      </c>
    </row>
    <row r="162" spans="1:4" x14ac:dyDescent="0.35">
      <c r="A162" s="31">
        <v>11658</v>
      </c>
      <c r="B162" s="32">
        <f>VLOOKUP(Table10[[#This Row],[Month]],database!A:J,MATCH('IP from start'!$A$1,database!$A$1:$J$1,),)</f>
        <v>4.6616999999999997</v>
      </c>
      <c r="C162" s="33">
        <f>(Table10[[#This Row],[Industrial Production ]]-B150)/B150</f>
        <v>-0.15610065170166551</v>
      </c>
      <c r="D162" s="34">
        <f t="shared" si="2"/>
        <v>-0.17092264052087677</v>
      </c>
    </row>
    <row r="163" spans="1:4" x14ac:dyDescent="0.35">
      <c r="A163" s="31">
        <v>11689</v>
      </c>
      <c r="B163" s="32">
        <f>VLOOKUP(Table10[[#This Row],[Month]],database!A:J,MATCH('IP from start'!$A$1,database!$A$1:$J$1,),)</f>
        <v>4.5270000000000001</v>
      </c>
      <c r="C163" s="33">
        <f>(Table10[[#This Row],[Industrial Production ]]-B151)/B151</f>
        <v>-0.17645988721120606</v>
      </c>
      <c r="D163" s="34">
        <f t="shared" si="2"/>
        <v>-0.16793074565902411</v>
      </c>
    </row>
    <row r="164" spans="1:4" x14ac:dyDescent="0.35">
      <c r="A164" s="31">
        <v>11720</v>
      </c>
      <c r="B164" s="32">
        <f>VLOOKUP(Table10[[#This Row],[Month]],database!A:J,MATCH('IP from start'!$A$1,database!$A$1:$J$1,),)</f>
        <v>4.4192</v>
      </c>
      <c r="C164" s="33">
        <f>(Table10[[#This Row],[Industrial Production ]]-B152)/B152</f>
        <v>-0.2</v>
      </c>
      <c r="D164" s="34">
        <f t="shared" si="2"/>
        <v>-0.16747908357130958</v>
      </c>
    </row>
    <row r="165" spans="1:4" x14ac:dyDescent="0.35">
      <c r="A165" s="31">
        <v>11749</v>
      </c>
      <c r="B165" s="32">
        <f>VLOOKUP(Table10[[#This Row],[Month]],database!A:J,MATCH('IP from start'!$A$1,database!$A$1:$J$1,),)</f>
        <v>4.3653000000000004</v>
      </c>
      <c r="C165" s="33">
        <f>(Table10[[#This Row],[Industrial Production ]]-B153)/B153</f>
        <v>-0.22488369615398268</v>
      </c>
      <c r="D165" s="34">
        <f t="shared" si="2"/>
        <v>-0.17145549701339755</v>
      </c>
    </row>
    <row r="166" spans="1:4" x14ac:dyDescent="0.35">
      <c r="A166" s="31">
        <v>11780</v>
      </c>
      <c r="B166" s="32">
        <f>VLOOKUP(Table10[[#This Row],[Month]],database!A:J,MATCH('IP from start'!$A$1,database!$A$1:$J$1,),)</f>
        <v>4.0689000000000002</v>
      </c>
      <c r="C166" s="33">
        <f>(Table10[[#This Row],[Industrial Production ]]-B154)/B154</f>
        <v>-0.28094792090056014</v>
      </c>
      <c r="D166" s="34">
        <f t="shared" si="2"/>
        <v>-0.18097832126388536</v>
      </c>
    </row>
    <row r="167" spans="1:4" x14ac:dyDescent="0.35">
      <c r="A167" s="31">
        <v>11810</v>
      </c>
      <c r="B167" s="32">
        <f>VLOOKUP(Table10[[#This Row],[Month]],database!A:J,MATCH('IP from start'!$A$1,database!$A$1:$J$1,),)</f>
        <v>3.9342000000000001</v>
      </c>
      <c r="C167" s="33">
        <f>(Table10[[#This Row],[Industrial Production ]]-B155)/B155</f>
        <v>-0.29468079384714668</v>
      </c>
      <c r="D167" s="34">
        <f t="shared" si="2"/>
        <v>-0.19175818744873988</v>
      </c>
    </row>
    <row r="168" spans="1:4" x14ac:dyDescent="0.35">
      <c r="A168" s="31">
        <v>11841</v>
      </c>
      <c r="B168" s="32">
        <f>VLOOKUP(Table10[[#This Row],[Month]],database!A:J,MATCH('IP from start'!$A$1,database!$A$1:$J$1,),)</f>
        <v>3.7993999999999999</v>
      </c>
      <c r="C168" s="33">
        <f>(Table10[[#This Row],[Industrial Production ]]-B156)/B156</f>
        <v>-0.30199147560258671</v>
      </c>
      <c r="D168" s="34">
        <f t="shared" si="2"/>
        <v>-0.20343882630696963</v>
      </c>
    </row>
    <row r="169" spans="1:4" x14ac:dyDescent="0.35">
      <c r="A169" s="31">
        <v>11871</v>
      </c>
      <c r="B169" s="32">
        <f>VLOOKUP(Table10[[#This Row],[Month]],database!A:J,MATCH('IP from start'!$A$1,database!$A$1:$J$1,),)</f>
        <v>3.6916000000000002</v>
      </c>
      <c r="C169" s="33">
        <f>(Table10[[#This Row],[Industrial Production ]]-B157)/B157</f>
        <v>-0.31156406765753503</v>
      </c>
      <c r="D169" s="34">
        <f t="shared" si="2"/>
        <v>-0.21816983703300652</v>
      </c>
    </row>
    <row r="170" spans="1:4" x14ac:dyDescent="0.35">
      <c r="A170" s="31">
        <v>11902</v>
      </c>
      <c r="B170" s="32">
        <f>VLOOKUP(Table10[[#This Row],[Month]],database!A:J,MATCH('IP from start'!$A$1,database!$A$1:$J$1,),)</f>
        <v>3.7993999999999999</v>
      </c>
      <c r="C170" s="33">
        <f>(Table10[[#This Row],[Industrial Production ]]-B158)/B158</f>
        <v>-0.26563194618938096</v>
      </c>
      <c r="D170" s="34">
        <f t="shared" si="2"/>
        <v>-0.22808395852810512</v>
      </c>
    </row>
    <row r="171" spans="1:4" x14ac:dyDescent="0.35">
      <c r="A171" s="31">
        <v>11933</v>
      </c>
      <c r="B171" s="32">
        <f>VLOOKUP(Table10[[#This Row],[Month]],database!A:J,MATCH('IP from start'!$A$1,database!$A$1:$J$1,),)</f>
        <v>4.0419</v>
      </c>
      <c r="C171" s="33">
        <f>(Table10[[#This Row],[Industrial Production ]]-B159)/B159</f>
        <v>-0.18034149902660601</v>
      </c>
      <c r="D171" s="34">
        <f t="shared" si="2"/>
        <v>-0.22878436183582093</v>
      </c>
    </row>
    <row r="172" spans="1:4" x14ac:dyDescent="0.35">
      <c r="A172" s="31">
        <v>11963</v>
      </c>
      <c r="B172" s="32">
        <f>VLOOKUP(Table10[[#This Row],[Month]],database!A:J,MATCH('IP from start'!$A$1,database!$A$1:$J$1,),)</f>
        <v>4.1767000000000003</v>
      </c>
      <c r="C172" s="33">
        <f>(Table10[[#This Row],[Industrial Production ]]-B160)/B160</f>
        <v>-0.11932273436511619</v>
      </c>
      <c r="D172" s="34">
        <f t="shared" si="2"/>
        <v>-0.22361184466923054</v>
      </c>
    </row>
    <row r="173" spans="1:4" x14ac:dyDescent="0.35">
      <c r="A173" s="31">
        <v>11994</v>
      </c>
      <c r="B173" s="32">
        <f>VLOOKUP(Table10[[#This Row],[Month]],database!A:J,MATCH('IP from start'!$A$1,database!$A$1:$J$1,),)</f>
        <v>4.1767000000000003</v>
      </c>
      <c r="C173" s="33">
        <f>(Table10[[#This Row],[Industrial Production ]]-B161)/B161</f>
        <v>-0.10919871179644669</v>
      </c>
      <c r="D173" s="34">
        <f t="shared" si="2"/>
        <v>-0.21842694870435275</v>
      </c>
    </row>
    <row r="174" spans="1:4" x14ac:dyDescent="0.35">
      <c r="A174" s="31">
        <v>12024</v>
      </c>
      <c r="B174" s="32">
        <f>VLOOKUP(Table10[[#This Row],[Month]],database!A:J,MATCH('IP from start'!$A$1,database!$A$1:$J$1,),)</f>
        <v>4.0957999999999997</v>
      </c>
      <c r="C174" s="33">
        <f>(Table10[[#This Row],[Industrial Production ]]-B162)/B162</f>
        <v>-0.12139348306411826</v>
      </c>
      <c r="D174" s="34">
        <f t="shared" si="2"/>
        <v>-0.21553468465122383</v>
      </c>
    </row>
    <row r="175" spans="1:4" x14ac:dyDescent="0.35">
      <c r="A175" s="31">
        <v>12055</v>
      </c>
      <c r="B175" s="32">
        <f>VLOOKUP(Table10[[#This Row],[Month]],database!A:J,MATCH('IP from start'!$A$1,database!$A$1:$J$1,),)</f>
        <v>4.0149999999999997</v>
      </c>
      <c r="C175" s="33">
        <f>(Table10[[#This Row],[Industrial Production ]]-B163)/B163</f>
        <v>-0.11309918268168775</v>
      </c>
      <c r="D175" s="34">
        <f t="shared" si="2"/>
        <v>-0.21025462594043062</v>
      </c>
    </row>
    <row r="176" spans="1:4" x14ac:dyDescent="0.35">
      <c r="A176" s="31">
        <v>12086</v>
      </c>
      <c r="B176" s="32">
        <f>VLOOKUP(Table10[[#This Row],[Month]],database!A:J,MATCH('IP from start'!$A$1,database!$A$1:$J$1,),)</f>
        <v>4.0419</v>
      </c>
      <c r="C176" s="33">
        <f>(Table10[[#This Row],[Industrial Production ]]-B164)/B164</f>
        <v>-8.5377443881245463E-2</v>
      </c>
      <c r="D176" s="34">
        <f t="shared" si="2"/>
        <v>-0.20070274626386772</v>
      </c>
    </row>
    <row r="177" spans="1:4" x14ac:dyDescent="0.35">
      <c r="A177" s="31">
        <v>12114</v>
      </c>
      <c r="B177" s="32">
        <f>VLOOKUP(Table10[[#This Row],[Month]],database!A:J,MATCH('IP from start'!$A$1,database!$A$1:$J$1,),)</f>
        <v>3.7993999999999999</v>
      </c>
      <c r="C177" s="33">
        <f>(Table10[[#This Row],[Industrial Production ]]-B165)/B165</f>
        <v>-0.12963599294435674</v>
      </c>
      <c r="D177" s="34">
        <f t="shared" si="2"/>
        <v>-0.19276543766306556</v>
      </c>
    </row>
    <row r="178" spans="1:4" x14ac:dyDescent="0.35">
      <c r="A178" s="31">
        <v>12145</v>
      </c>
      <c r="B178" s="32">
        <f>VLOOKUP(Table10[[#This Row],[Month]],database!A:J,MATCH('IP from start'!$A$1,database!$A$1:$J$1,),)</f>
        <v>4.0689000000000002</v>
      </c>
      <c r="C178" s="33">
        <f>(Table10[[#This Row],[Industrial Production ]]-B166)/B166</f>
        <v>0</v>
      </c>
      <c r="D178" s="34">
        <f t="shared" si="2"/>
        <v>-0.16935311092135227</v>
      </c>
    </row>
    <row r="179" spans="1:4" x14ac:dyDescent="0.35">
      <c r="A179" s="31">
        <v>12175</v>
      </c>
      <c r="B179" s="32">
        <f>VLOOKUP(Table10[[#This Row],[Month]],database!A:J,MATCH('IP from start'!$A$1,database!$A$1:$J$1,),)</f>
        <v>4.7426000000000004</v>
      </c>
      <c r="C179" s="33">
        <f>(Table10[[#This Row],[Industrial Production ]]-B167)/B167</f>
        <v>0.20548014844186879</v>
      </c>
      <c r="D179" s="34">
        <f t="shared" si="2"/>
        <v>-0.1276730323972676</v>
      </c>
    </row>
    <row r="180" spans="1:4" x14ac:dyDescent="0.35">
      <c r="A180" s="31">
        <v>12206</v>
      </c>
      <c r="B180" s="32">
        <f>VLOOKUP(Table10[[#This Row],[Month]],database!A:J,MATCH('IP from start'!$A$1,database!$A$1:$J$1,),)</f>
        <v>5.4701000000000004</v>
      </c>
      <c r="C180" s="33">
        <f>(Table10[[#This Row],[Industrial Production ]]-B168)/B168</f>
        <v>0.43972732536716341</v>
      </c>
      <c r="D180" s="34">
        <f t="shared" si="2"/>
        <v>-6.5863132316455061E-2</v>
      </c>
    </row>
    <row r="181" spans="1:4" x14ac:dyDescent="0.35">
      <c r="A181" s="31">
        <v>12236</v>
      </c>
      <c r="B181" s="32">
        <f>VLOOKUP(Table10[[#This Row],[Month]],database!A:J,MATCH('IP from start'!$A$1,database!$A$1:$J$1,),)</f>
        <v>5.9821</v>
      </c>
      <c r="C181" s="33">
        <f>(Table10[[#This Row],[Industrial Production ]]-B169)/B169</f>
        <v>0.62046267201213556</v>
      </c>
      <c r="D181" s="34">
        <f t="shared" si="2"/>
        <v>1.1805762656017488E-2</v>
      </c>
    </row>
    <row r="182" spans="1:4" x14ac:dyDescent="0.35">
      <c r="A182" s="31">
        <v>12267</v>
      </c>
      <c r="B182" s="32">
        <f>VLOOKUP(Table10[[#This Row],[Month]],database!A:J,MATCH('IP from start'!$A$1,database!$A$1:$J$1,),)</f>
        <v>5.7396000000000003</v>
      </c>
      <c r="C182" s="33">
        <f>(Table10[[#This Row],[Industrial Production ]]-B170)/B170</f>
        <v>0.51065957782807825</v>
      </c>
      <c r="D182" s="34">
        <f t="shared" si="2"/>
        <v>7.6496722990805746E-2</v>
      </c>
    </row>
    <row r="183" spans="1:4" x14ac:dyDescent="0.35">
      <c r="A183" s="31">
        <v>12298</v>
      </c>
      <c r="B183" s="32">
        <f>VLOOKUP(Table10[[#This Row],[Month]],database!A:J,MATCH('IP from start'!$A$1,database!$A$1:$J$1,),)</f>
        <v>5.4161999999999999</v>
      </c>
      <c r="C183" s="33">
        <f>(Table10[[#This Row],[Industrial Production ]]-B171)/B171</f>
        <v>0.34001336005344018</v>
      </c>
      <c r="D183" s="34">
        <f t="shared" si="2"/>
        <v>0.11985962791414295</v>
      </c>
    </row>
    <row r="184" spans="1:4" x14ac:dyDescent="0.35">
      <c r="A184" s="31">
        <v>12328</v>
      </c>
      <c r="B184" s="32">
        <f>VLOOKUP(Table10[[#This Row],[Month]],database!A:J,MATCH('IP from start'!$A$1,database!$A$1:$J$1,),)</f>
        <v>5.1467000000000001</v>
      </c>
      <c r="C184" s="33">
        <f>(Table10[[#This Row],[Industrial Production ]]-B172)/B172</f>
        <v>0.23224076423971071</v>
      </c>
      <c r="D184" s="34">
        <f t="shared" si="2"/>
        <v>0.14915658613121183</v>
      </c>
    </row>
    <row r="185" spans="1:4" x14ac:dyDescent="0.35">
      <c r="A185" s="31">
        <v>12359</v>
      </c>
      <c r="B185" s="32">
        <f>VLOOKUP(Table10[[#This Row],[Month]],database!A:J,MATCH('IP from start'!$A$1,database!$A$1:$J$1,),)</f>
        <v>4.8502999999999998</v>
      </c>
      <c r="C185" s="33">
        <f>(Table10[[#This Row],[Industrial Production ]]-B173)/B173</f>
        <v>0.16127564823904025</v>
      </c>
      <c r="D185" s="34">
        <f t="shared" si="2"/>
        <v>0.17169611613416905</v>
      </c>
    </row>
    <row r="186" spans="1:4" x14ac:dyDescent="0.35">
      <c r="A186" s="31">
        <v>12389</v>
      </c>
      <c r="B186" s="32">
        <f>VLOOKUP(Table10[[#This Row],[Month]],database!A:J,MATCH('IP from start'!$A$1,database!$A$1:$J$1,),)</f>
        <v>4.8773</v>
      </c>
      <c r="C186" s="33">
        <f>(Table10[[#This Row],[Industrial Production ]]-B174)/B174</f>
        <v>0.19080521509839357</v>
      </c>
      <c r="D186" s="34">
        <f t="shared" si="2"/>
        <v>0.19771267431437836</v>
      </c>
    </row>
    <row r="187" spans="1:4" x14ac:dyDescent="0.35">
      <c r="A187" s="31">
        <v>12420</v>
      </c>
      <c r="B187" s="32">
        <f>VLOOKUP(Table10[[#This Row],[Month]],database!A:J,MATCH('IP from start'!$A$1,database!$A$1:$J$1,),)</f>
        <v>5.0389999999999997</v>
      </c>
      <c r="C187" s="33">
        <f>(Table10[[#This Row],[Industrial Production ]]-B175)/B175</f>
        <v>0.25504358655043591</v>
      </c>
      <c r="D187" s="34">
        <f t="shared" si="2"/>
        <v>0.22839123841705533</v>
      </c>
    </row>
    <row r="188" spans="1:4" x14ac:dyDescent="0.35">
      <c r="A188" s="31">
        <v>12451</v>
      </c>
      <c r="B188" s="32">
        <f>VLOOKUP(Table10[[#This Row],[Month]],database!A:J,MATCH('IP from start'!$A$1,database!$A$1:$J$1,),)</f>
        <v>5.2815000000000003</v>
      </c>
      <c r="C188" s="33">
        <f>(Table10[[#This Row],[Industrial Production ]]-B176)/B176</f>
        <v>0.30668744897201816</v>
      </c>
      <c r="D188" s="34">
        <f t="shared" si="2"/>
        <v>0.26106331282149392</v>
      </c>
    </row>
    <row r="189" spans="1:4" x14ac:dyDescent="0.35">
      <c r="A189" s="31">
        <v>12479</v>
      </c>
      <c r="B189" s="32">
        <f>VLOOKUP(Table10[[#This Row],[Month]],database!A:J,MATCH('IP from start'!$A$1,database!$A$1:$J$1,),)</f>
        <v>5.524</v>
      </c>
      <c r="C189" s="33">
        <f>(Table10[[#This Row],[Industrial Production ]]-B177)/B177</f>
        <v>0.45391377585934628</v>
      </c>
      <c r="D189" s="34">
        <f t="shared" si="2"/>
        <v>0.30969246022180258</v>
      </c>
    </row>
    <row r="190" spans="1:4" x14ac:dyDescent="0.35">
      <c r="A190" s="31">
        <v>12510</v>
      </c>
      <c r="B190" s="32">
        <f>VLOOKUP(Table10[[#This Row],[Month]],database!A:J,MATCH('IP from start'!$A$1,database!$A$1:$J$1,),)</f>
        <v>5.524</v>
      </c>
      <c r="C190" s="33">
        <f>(Table10[[#This Row],[Industrial Production ]]-B178)/B178</f>
        <v>0.35761508024281741</v>
      </c>
      <c r="D190" s="34">
        <f t="shared" si="2"/>
        <v>0.339493716908704</v>
      </c>
    </row>
    <row r="191" spans="1:4" x14ac:dyDescent="0.35">
      <c r="A191" s="31">
        <v>12540</v>
      </c>
      <c r="B191" s="32">
        <f>VLOOKUP(Table10[[#This Row],[Month]],database!A:J,MATCH('IP from start'!$A$1,database!$A$1:$J$1,),)</f>
        <v>5.6318000000000001</v>
      </c>
      <c r="C191" s="33">
        <f>(Table10[[#This Row],[Industrial Production ]]-B179)/B179</f>
        <v>0.18749209294479816</v>
      </c>
      <c r="D191" s="34">
        <f t="shared" si="2"/>
        <v>0.33799471228394812</v>
      </c>
    </row>
    <row r="192" spans="1:4" x14ac:dyDescent="0.35">
      <c r="A192" s="31">
        <v>12571</v>
      </c>
      <c r="B192" s="32">
        <f>VLOOKUP(Table10[[#This Row],[Month]],database!A:J,MATCH('IP from start'!$A$1,database!$A$1:$J$1,),)</f>
        <v>5.524</v>
      </c>
      <c r="C192" s="33">
        <f>(Table10[[#This Row],[Industrial Production ]]-B180)/B180</f>
        <v>9.8535675764610531E-3</v>
      </c>
      <c r="D192" s="34">
        <f t="shared" si="2"/>
        <v>0.30217189913472292</v>
      </c>
    </row>
    <row r="193" spans="1:4" x14ac:dyDescent="0.35">
      <c r="A193" s="31">
        <v>12601</v>
      </c>
      <c r="B193" s="32">
        <f>VLOOKUP(Table10[[#This Row],[Month]],database!A:J,MATCH('IP from start'!$A$1,database!$A$1:$J$1,),)</f>
        <v>5.1467000000000001</v>
      </c>
      <c r="C193" s="33">
        <f>(Table10[[#This Row],[Industrial Production ]]-B181)/B181</f>
        <v>-0.13964995570117517</v>
      </c>
      <c r="D193" s="34">
        <f t="shared" si="2"/>
        <v>0.23882918015861376</v>
      </c>
    </row>
    <row r="194" spans="1:4" x14ac:dyDescent="0.35">
      <c r="A194" s="31">
        <v>12632</v>
      </c>
      <c r="B194" s="32">
        <f>VLOOKUP(Table10[[#This Row],[Month]],database!A:J,MATCH('IP from start'!$A$1,database!$A$1:$J$1,),)</f>
        <v>5.0929000000000002</v>
      </c>
      <c r="C194" s="33">
        <f>(Table10[[#This Row],[Industrial Production ]]-B182)/B182</f>
        <v>-0.11267335702836435</v>
      </c>
      <c r="D194" s="34">
        <f t="shared" si="2"/>
        <v>0.1868847689205769</v>
      </c>
    </row>
    <row r="195" spans="1:4" x14ac:dyDescent="0.35">
      <c r="A195" s="31">
        <v>12663</v>
      </c>
      <c r="B195" s="32">
        <f>VLOOKUP(Table10[[#This Row],[Month]],database!A:J,MATCH('IP from start'!$A$1,database!$A$1:$J$1,),)</f>
        <v>4.7964000000000002</v>
      </c>
      <c r="C195" s="33">
        <f>(Table10[[#This Row],[Industrial Production ]]-B183)/B183</f>
        <v>-0.11443447435471359</v>
      </c>
      <c r="D195" s="34">
        <f t="shared" si="2"/>
        <v>0.1490141160532307</v>
      </c>
    </row>
    <row r="196" spans="1:4" x14ac:dyDescent="0.35">
      <c r="A196" s="31">
        <v>12693</v>
      </c>
      <c r="B196" s="32">
        <f>VLOOKUP(Table10[[#This Row],[Month]],database!A:J,MATCH('IP from start'!$A$1,database!$A$1:$J$1,),)</f>
        <v>5.0119999999999996</v>
      </c>
      <c r="C196" s="33">
        <f>(Table10[[#This Row],[Industrial Production ]]-B184)/B184</f>
        <v>-2.6172110284259913E-2</v>
      </c>
      <c r="D196" s="34">
        <f t="shared" si="2"/>
        <v>0.1274797098428998</v>
      </c>
    </row>
    <row r="197" spans="1:4" x14ac:dyDescent="0.35">
      <c r="A197" s="31">
        <v>12724</v>
      </c>
      <c r="B197" s="32">
        <f>VLOOKUP(Table10[[#This Row],[Month]],database!A:J,MATCH('IP from start'!$A$1,database!$A$1:$J$1,),)</f>
        <v>5.0659000000000001</v>
      </c>
      <c r="C197" s="33">
        <f>(Table10[[#This Row],[Industrial Production ]]-B185)/B185</f>
        <v>4.4450858709770578E-2</v>
      </c>
      <c r="D197" s="34">
        <f t="shared" si="2"/>
        <v>0.11774431071546064</v>
      </c>
    </row>
    <row r="198" spans="1:4" x14ac:dyDescent="0.35">
      <c r="A198" s="31">
        <v>12754</v>
      </c>
      <c r="B198" s="32">
        <f>VLOOKUP(Table10[[#This Row],[Month]],database!A:J,MATCH('IP from start'!$A$1,database!$A$1:$J$1,),)</f>
        <v>5.3893000000000004</v>
      </c>
      <c r="C198" s="33">
        <f>(Table10[[#This Row],[Industrial Production ]]-B186)/B186</f>
        <v>0.10497611383347354</v>
      </c>
      <c r="D198" s="34">
        <f t="shared" si="2"/>
        <v>0.11059188561005064</v>
      </c>
    </row>
    <row r="199" spans="1:4" x14ac:dyDescent="0.35">
      <c r="A199" s="31">
        <v>12785</v>
      </c>
      <c r="B199" s="32">
        <f>VLOOKUP(Table10[[#This Row],[Month]],database!A:J,MATCH('IP from start'!$A$1,database!$A$1:$J$1,),)</f>
        <v>5.8204000000000002</v>
      </c>
      <c r="C199" s="33">
        <f>(Table10[[#This Row],[Industrial Production ]]-B187)/B187</f>
        <v>0.15507045048620768</v>
      </c>
      <c r="D199" s="34">
        <f t="shared" si="2"/>
        <v>0.10226079093803164</v>
      </c>
    </row>
    <row r="200" spans="1:4" x14ac:dyDescent="0.35">
      <c r="A200" s="31">
        <v>12816</v>
      </c>
      <c r="B200" s="32">
        <f>VLOOKUP(Table10[[#This Row],[Month]],database!A:J,MATCH('IP from start'!$A$1,database!$A$1:$J$1,),)</f>
        <v>5.9282000000000004</v>
      </c>
      <c r="C200" s="33">
        <f>(Table10[[#This Row],[Industrial Production ]]-B188)/B188</f>
        <v>0.12244627473255704</v>
      </c>
      <c r="D200" s="34">
        <f t="shared" si="2"/>
        <v>8.6907359751409882E-2</v>
      </c>
    </row>
    <row r="201" spans="1:4" x14ac:dyDescent="0.35">
      <c r="A201" s="31">
        <v>12844</v>
      </c>
      <c r="B201" s="32">
        <f>VLOOKUP(Table10[[#This Row],[Month]],database!A:J,MATCH('IP from start'!$A$1,database!$A$1:$J$1,),)</f>
        <v>5.9012000000000002</v>
      </c>
      <c r="C201" s="33">
        <f>(Table10[[#This Row],[Industrial Production ]]-B189)/B189</f>
        <v>6.8283852280955862E-2</v>
      </c>
      <c r="D201" s="34">
        <f t="shared" si="2"/>
        <v>5.4771532786544029E-2</v>
      </c>
    </row>
    <row r="202" spans="1:4" x14ac:dyDescent="0.35">
      <c r="A202" s="31">
        <v>12875</v>
      </c>
      <c r="B202" s="32">
        <f>VLOOKUP(Table10[[#This Row],[Month]],database!A:J,MATCH('IP from start'!$A$1,database!$A$1:$J$1,),)</f>
        <v>5.7934999999999999</v>
      </c>
      <c r="C202" s="33">
        <f>(Table10[[#This Row],[Industrial Production ]]-B190)/B190</f>
        <v>4.8787110789283099E-2</v>
      </c>
      <c r="D202" s="34">
        <f t="shared" si="2"/>
        <v>2.9035868665416163E-2</v>
      </c>
    </row>
    <row r="203" spans="1:4" x14ac:dyDescent="0.35">
      <c r="A203" s="31">
        <v>12905</v>
      </c>
      <c r="B203" s="32">
        <f>VLOOKUP(Table10[[#This Row],[Month]],database!A:J,MATCH('IP from start'!$A$1,database!$A$1:$J$1,),)</f>
        <v>5.7934999999999999</v>
      </c>
      <c r="C203" s="33">
        <f>(Table10[[#This Row],[Industrial Production ]]-B191)/B191</f>
        <v>2.871195710074927E-2</v>
      </c>
      <c r="D203" s="34">
        <f t="shared" si="2"/>
        <v>1.580419067841209E-2</v>
      </c>
    </row>
    <row r="204" spans="1:4" x14ac:dyDescent="0.35">
      <c r="A204" s="31">
        <v>12936</v>
      </c>
      <c r="B204" s="32">
        <f>VLOOKUP(Table10[[#This Row],[Month]],database!A:J,MATCH('IP from start'!$A$1,database!$A$1:$J$1,),)</f>
        <v>5.8742999999999999</v>
      </c>
      <c r="C204" s="33">
        <f>(Table10[[#This Row],[Industrial Production ]]-B192)/B192</f>
        <v>6.3414192614047765E-2</v>
      </c>
      <c r="D204" s="34">
        <f t="shared" si="2"/>
        <v>2.0267576098210983E-2</v>
      </c>
    </row>
    <row r="205" spans="1:4" x14ac:dyDescent="0.35">
      <c r="A205" s="31">
        <v>12966</v>
      </c>
      <c r="B205" s="32">
        <f>VLOOKUP(Table10[[#This Row],[Month]],database!A:J,MATCH('IP from start'!$A$1,database!$A$1:$J$1,),)</f>
        <v>5.8742999999999999</v>
      </c>
      <c r="C205" s="33">
        <f>(Table10[[#This Row],[Industrial Production ]]-B193)/B193</f>
        <v>0.14137214137214132</v>
      </c>
      <c r="D205" s="34">
        <f t="shared" si="2"/>
        <v>4.3686084187654017E-2</v>
      </c>
    </row>
    <row r="206" spans="1:4" x14ac:dyDescent="0.35">
      <c r="A206" s="31">
        <v>12997</v>
      </c>
      <c r="B206" s="32">
        <f>VLOOKUP(Table10[[#This Row],[Month]],database!A:J,MATCH('IP from start'!$A$1,database!$A$1:$J$1,),)</f>
        <v>6.0899000000000001</v>
      </c>
      <c r="C206" s="33">
        <f>(Table10[[#This Row],[Industrial Production ]]-B194)/B194</f>
        <v>0.19576272850438844</v>
      </c>
      <c r="D206" s="34">
        <f t="shared" si="2"/>
        <v>6.9389091315383428E-2</v>
      </c>
    </row>
    <row r="207" spans="1:4" x14ac:dyDescent="0.35">
      <c r="A207" s="31">
        <v>13028</v>
      </c>
      <c r="B207" s="32">
        <f>VLOOKUP(Table10[[#This Row],[Month]],database!A:J,MATCH('IP from start'!$A$1,database!$A$1:$J$1,),)</f>
        <v>6.2515000000000001</v>
      </c>
      <c r="C207" s="33">
        <f>(Table10[[#This Row],[Industrial Production ]]-B195)/B195</f>
        <v>0.30337336335585019</v>
      </c>
      <c r="D207" s="34">
        <f t="shared" si="2"/>
        <v>0.1042064111245971</v>
      </c>
    </row>
    <row r="208" spans="1:4" x14ac:dyDescent="0.35">
      <c r="A208" s="31">
        <v>13058</v>
      </c>
      <c r="B208" s="32">
        <f>VLOOKUP(Table10[[#This Row],[Month]],database!A:J,MATCH('IP from start'!$A$1,database!$A$1:$J$1,),)</f>
        <v>6.4401999999999999</v>
      </c>
      <c r="C208" s="33">
        <f>(Table10[[#This Row],[Industrial Production ]]-B196)/B196</f>
        <v>0.28495610534716692</v>
      </c>
      <c r="D208" s="34">
        <f t="shared" si="2"/>
        <v>0.130133762427216</v>
      </c>
    </row>
    <row r="209" spans="1:4" x14ac:dyDescent="0.35">
      <c r="A209" s="31">
        <v>13089</v>
      </c>
      <c r="B209" s="32">
        <f>VLOOKUP(Table10[[#This Row],[Month]],database!A:J,MATCH('IP from start'!$A$1,database!$A$1:$J$1,),)</f>
        <v>6.5749000000000004</v>
      </c>
      <c r="C209" s="33">
        <f>(Table10[[#This Row],[Industrial Production ]]-B197)/B197</f>
        <v>0.29787402041098332</v>
      </c>
      <c r="D209" s="34">
        <f t="shared" si="2"/>
        <v>0.15125235923565036</v>
      </c>
    </row>
    <row r="210" spans="1:4" x14ac:dyDescent="0.35">
      <c r="A210" s="31">
        <v>13119</v>
      </c>
      <c r="B210" s="32">
        <f>VLOOKUP(Table10[[#This Row],[Month]],database!A:J,MATCH('IP from start'!$A$1,database!$A$1:$J$1,),)</f>
        <v>6.6557000000000004</v>
      </c>
      <c r="C210" s="33">
        <f>(Table10[[#This Row],[Industrial Production ]]-B198)/B198</f>
        <v>0.23498413523092052</v>
      </c>
      <c r="D210" s="34">
        <f t="shared" si="2"/>
        <v>0.16208636101877097</v>
      </c>
    </row>
    <row r="211" spans="1:4" x14ac:dyDescent="0.35">
      <c r="A211" s="31">
        <v>13150</v>
      </c>
      <c r="B211" s="32">
        <f>VLOOKUP(Table10[[#This Row],[Month]],database!A:J,MATCH('IP from start'!$A$1,database!$A$1:$J$1,),)</f>
        <v>6.548</v>
      </c>
      <c r="C211" s="33">
        <f>(Table10[[#This Row],[Industrial Production ]]-B199)/B199</f>
        <v>0.12500859047488141</v>
      </c>
      <c r="D211" s="34">
        <f t="shared" si="2"/>
        <v>0.1595812060178271</v>
      </c>
    </row>
    <row r="212" spans="1:4" x14ac:dyDescent="0.35">
      <c r="A212" s="31">
        <v>13181</v>
      </c>
      <c r="B212" s="32">
        <f>VLOOKUP(Table10[[#This Row],[Month]],database!A:J,MATCH('IP from start'!$A$1,database!$A$1:$J$1,),)</f>
        <v>6.3863000000000003</v>
      </c>
      <c r="C212" s="33">
        <f>(Table10[[#This Row],[Industrial Production ]]-B200)/B200</f>
        <v>7.7274720825883061E-2</v>
      </c>
      <c r="D212" s="34">
        <f t="shared" si="2"/>
        <v>0.15581690985893762</v>
      </c>
    </row>
    <row r="213" spans="1:4" x14ac:dyDescent="0.35">
      <c r="A213" s="31">
        <v>13210</v>
      </c>
      <c r="B213" s="32">
        <f>VLOOKUP(Table10[[#This Row],[Month]],database!A:J,MATCH('IP from start'!$A$1,database!$A$1:$J$1,),)</f>
        <v>6.4671000000000003</v>
      </c>
      <c r="C213" s="33">
        <f>(Table10[[#This Row],[Industrial Production ]]-B201)/B201</f>
        <v>9.5895750016945711E-2</v>
      </c>
      <c r="D213" s="34">
        <f t="shared" si="2"/>
        <v>0.15811790133693676</v>
      </c>
    </row>
    <row r="214" spans="1:4" x14ac:dyDescent="0.35">
      <c r="A214" s="31">
        <v>13241</v>
      </c>
      <c r="B214" s="32">
        <f>VLOOKUP(Table10[[#This Row],[Month]],database!A:J,MATCH('IP from start'!$A$1,database!$A$1:$J$1,),)</f>
        <v>6.8712999999999997</v>
      </c>
      <c r="C214" s="33">
        <f>(Table10[[#This Row],[Industrial Production ]]-B202)/B202</f>
        <v>0.18603607491153878</v>
      </c>
      <c r="D214" s="34">
        <f t="shared" si="2"/>
        <v>0.1695553150137914</v>
      </c>
    </row>
    <row r="215" spans="1:4" x14ac:dyDescent="0.35">
      <c r="A215" s="31">
        <v>13271</v>
      </c>
      <c r="B215" s="32">
        <f>VLOOKUP(Table10[[#This Row],[Month]],database!A:J,MATCH('IP from start'!$A$1,database!$A$1:$J$1,),)</f>
        <v>7.0060000000000002</v>
      </c>
      <c r="C215" s="33">
        <f>(Table10[[#This Row],[Industrial Production ]]-B203)/B203</f>
        <v>0.20928626909467513</v>
      </c>
      <c r="D215" s="34">
        <f t="shared" si="2"/>
        <v>0.18460317434661855</v>
      </c>
    </row>
    <row r="216" spans="1:4" x14ac:dyDescent="0.35">
      <c r="A216" s="31">
        <v>13302</v>
      </c>
      <c r="B216" s="32">
        <f>VLOOKUP(Table10[[#This Row],[Month]],database!A:J,MATCH('IP from start'!$A$1,database!$A$1:$J$1,),)</f>
        <v>7.1407999999999996</v>
      </c>
      <c r="C216" s="33">
        <f>(Table10[[#This Row],[Industrial Production ]]-B204)/B204</f>
        <v>0.21560015661440507</v>
      </c>
      <c r="D216" s="34">
        <f t="shared" si="2"/>
        <v>0.19728533801331502</v>
      </c>
    </row>
    <row r="217" spans="1:4" x14ac:dyDescent="0.35">
      <c r="A217" s="31">
        <v>13332</v>
      </c>
      <c r="B217" s="32">
        <f>VLOOKUP(Table10[[#This Row],[Month]],database!A:J,MATCH('IP from start'!$A$1,database!$A$1:$J$1,),)</f>
        <v>7.2755000000000001</v>
      </c>
      <c r="C217" s="33">
        <f>(Table10[[#This Row],[Industrial Production ]]-B205)/B205</f>
        <v>0.23853054832065101</v>
      </c>
      <c r="D217" s="34">
        <f t="shared" si="2"/>
        <v>0.20538187192569082</v>
      </c>
    </row>
    <row r="218" spans="1:4" x14ac:dyDescent="0.35">
      <c r="A218" s="31">
        <v>13363</v>
      </c>
      <c r="B218" s="32">
        <f>VLOOKUP(Table10[[#This Row],[Month]],database!A:J,MATCH('IP from start'!$A$1,database!$A$1:$J$1,),)</f>
        <v>7.3833000000000002</v>
      </c>
      <c r="C218" s="33">
        <f>(Table10[[#This Row],[Industrial Production ]]-B206)/B206</f>
        <v>0.21238443981017752</v>
      </c>
      <c r="D218" s="34">
        <f t="shared" si="2"/>
        <v>0.20676701453450655</v>
      </c>
    </row>
    <row r="219" spans="1:4" x14ac:dyDescent="0.35">
      <c r="A219" s="31">
        <v>13394</v>
      </c>
      <c r="B219" s="32">
        <f>VLOOKUP(Table10[[#This Row],[Month]],database!A:J,MATCH('IP from start'!$A$1,database!$A$1:$J$1,),)</f>
        <v>7.5179999999999998</v>
      </c>
      <c r="C219" s="33">
        <f>(Table10[[#This Row],[Industrial Production ]]-B207)/B207</f>
        <v>0.20259137806926333</v>
      </c>
      <c r="D219" s="34">
        <f t="shared" si="2"/>
        <v>0.19836851576062434</v>
      </c>
    </row>
    <row r="220" spans="1:4" x14ac:dyDescent="0.35">
      <c r="A220" s="31">
        <v>13424</v>
      </c>
      <c r="B220" s="32">
        <f>VLOOKUP(Table10[[#This Row],[Month]],database!A:J,MATCH('IP from start'!$A$1,database!$A$1:$J$1,),)</f>
        <v>7.6257999999999999</v>
      </c>
      <c r="C220" s="33">
        <f>(Table10[[#This Row],[Industrial Production ]]-B208)/B208</f>
        <v>0.18409366168752522</v>
      </c>
      <c r="D220" s="34">
        <f t="shared" si="2"/>
        <v>0.18996331212232084</v>
      </c>
    </row>
    <row r="221" spans="1:4" x14ac:dyDescent="0.35">
      <c r="A221" s="31">
        <v>13455</v>
      </c>
      <c r="B221" s="32">
        <f>VLOOKUP(Table10[[#This Row],[Month]],database!A:J,MATCH('IP from start'!$A$1,database!$A$1:$J$1,),)</f>
        <v>7.8414000000000001</v>
      </c>
      <c r="C221" s="33">
        <f>(Table10[[#This Row],[Industrial Production ]]-B209)/B209</f>
        <v>0.19262650382515317</v>
      </c>
      <c r="D221" s="34">
        <f t="shared" si="2"/>
        <v>0.18119268574016834</v>
      </c>
    </row>
    <row r="222" spans="1:4" x14ac:dyDescent="0.35">
      <c r="A222" s="31">
        <v>13485</v>
      </c>
      <c r="B222" s="32">
        <f>VLOOKUP(Table10[[#This Row],[Month]],database!A:J,MATCH('IP from start'!$A$1,database!$A$1:$J$1,),)</f>
        <v>8.0838999999999999</v>
      </c>
      <c r="C222" s="33">
        <f>(Table10[[#This Row],[Industrial Production ]]-B210)/B210</f>
        <v>0.21458298901693276</v>
      </c>
      <c r="D222" s="34">
        <f t="shared" ref="D222:D285" si="3">AVERAGE(C211:C222)</f>
        <v>0.17949259022233602</v>
      </c>
    </row>
    <row r="223" spans="1:4" x14ac:dyDescent="0.35">
      <c r="A223" s="31">
        <v>13516</v>
      </c>
      <c r="B223" s="32">
        <f>VLOOKUP(Table10[[#This Row],[Month]],database!A:J,MATCH('IP from start'!$A$1,database!$A$1:$J$1,),)</f>
        <v>8.0569000000000006</v>
      </c>
      <c r="C223" s="33">
        <f>(Table10[[#This Row],[Industrial Production ]]-B211)/B211</f>
        <v>0.23043677458766043</v>
      </c>
      <c r="D223" s="34">
        <f t="shared" si="3"/>
        <v>0.18827827223173424</v>
      </c>
    </row>
    <row r="224" spans="1:4" x14ac:dyDescent="0.35">
      <c r="A224" s="31">
        <v>13547</v>
      </c>
      <c r="B224" s="32">
        <f>VLOOKUP(Table10[[#This Row],[Month]],database!A:J,MATCH('IP from start'!$A$1,database!$A$1:$J$1,),)</f>
        <v>8.1646999999999998</v>
      </c>
      <c r="C224" s="33">
        <f>(Table10[[#This Row],[Industrial Production ]]-B212)/B212</f>
        <v>0.27847110220315352</v>
      </c>
      <c r="D224" s="34">
        <f t="shared" si="3"/>
        <v>0.20504463734650683</v>
      </c>
    </row>
    <row r="225" spans="1:4" x14ac:dyDescent="0.35">
      <c r="A225" s="31">
        <v>13575</v>
      </c>
      <c r="B225" s="32">
        <f>VLOOKUP(Table10[[#This Row],[Month]],database!A:J,MATCH('IP from start'!$A$1,database!$A$1:$J$1,),)</f>
        <v>8.3534000000000006</v>
      </c>
      <c r="C225" s="33">
        <f>(Table10[[#This Row],[Industrial Production ]]-B213)/B213</f>
        <v>0.2916763309675125</v>
      </c>
      <c r="D225" s="34">
        <f t="shared" si="3"/>
        <v>0.22135968575905404</v>
      </c>
    </row>
    <row r="226" spans="1:4" x14ac:dyDescent="0.35">
      <c r="A226" s="31">
        <v>13606</v>
      </c>
      <c r="B226" s="32">
        <f>VLOOKUP(Table10[[#This Row],[Month]],database!A:J,MATCH('IP from start'!$A$1,database!$A$1:$J$1,),)</f>
        <v>8.3534000000000006</v>
      </c>
      <c r="C226" s="33">
        <f>(Table10[[#This Row],[Industrial Production ]]-B214)/B214</f>
        <v>0.21569426454964868</v>
      </c>
      <c r="D226" s="34">
        <f t="shared" si="3"/>
        <v>0.22383120156222983</v>
      </c>
    </row>
    <row r="227" spans="1:4" x14ac:dyDescent="0.35">
      <c r="A227" s="31">
        <v>13636</v>
      </c>
      <c r="B227" s="32">
        <f>VLOOKUP(Table10[[#This Row],[Month]],database!A:J,MATCH('IP from start'!$A$1,database!$A$1:$J$1,),)</f>
        <v>8.3803000000000001</v>
      </c>
      <c r="C227" s="33">
        <f>(Table10[[#This Row],[Industrial Production ]]-B215)/B215</f>
        <v>0.19616043391378815</v>
      </c>
      <c r="D227" s="34">
        <f t="shared" si="3"/>
        <v>0.22273738196382262</v>
      </c>
    </row>
    <row r="228" spans="1:4" x14ac:dyDescent="0.35">
      <c r="A228" s="31">
        <v>13667</v>
      </c>
      <c r="B228" s="32">
        <f>VLOOKUP(Table10[[#This Row],[Month]],database!A:J,MATCH('IP from start'!$A$1,database!$A$1:$J$1,),)</f>
        <v>8.2725000000000009</v>
      </c>
      <c r="C228" s="33">
        <f>(Table10[[#This Row],[Industrial Production ]]-B216)/B216</f>
        <v>0.15848364328926751</v>
      </c>
      <c r="D228" s="34">
        <f t="shared" si="3"/>
        <v>0.21797767252006114</v>
      </c>
    </row>
    <row r="229" spans="1:4" x14ac:dyDescent="0.35">
      <c r="A229" s="31">
        <v>13697</v>
      </c>
      <c r="B229" s="32">
        <f>VLOOKUP(Table10[[#This Row],[Month]],database!A:J,MATCH('IP from start'!$A$1,database!$A$1:$J$1,),)</f>
        <v>8.3263999999999996</v>
      </c>
      <c r="C229" s="33">
        <f>(Table10[[#This Row],[Industrial Production ]]-B217)/B217</f>
        <v>0.14444368084667714</v>
      </c>
      <c r="D229" s="34">
        <f t="shared" si="3"/>
        <v>0.21013710023056334</v>
      </c>
    </row>
    <row r="230" spans="1:4" x14ac:dyDescent="0.35">
      <c r="A230" s="31">
        <v>13728</v>
      </c>
      <c r="B230" s="32">
        <f>VLOOKUP(Table10[[#This Row],[Month]],database!A:J,MATCH('IP from start'!$A$1,database!$A$1:$J$1,),)</f>
        <v>8.2725000000000009</v>
      </c>
      <c r="C230" s="33">
        <f>(Table10[[#This Row],[Industrial Production ]]-B218)/B218</f>
        <v>0.12043395229775312</v>
      </c>
      <c r="D230" s="34">
        <f t="shared" si="3"/>
        <v>0.20247455960452801</v>
      </c>
    </row>
    <row r="231" spans="1:4" x14ac:dyDescent="0.35">
      <c r="A231" s="31">
        <v>13759</v>
      </c>
      <c r="B231" s="32">
        <f>VLOOKUP(Table10[[#This Row],[Month]],database!A:J,MATCH('IP from start'!$A$1,database!$A$1:$J$1,),)</f>
        <v>8.0030999999999999</v>
      </c>
      <c r="C231" s="33">
        <f>(Table10[[#This Row],[Industrial Production ]]-B219)/B219</f>
        <v>6.4525139664804484E-2</v>
      </c>
      <c r="D231" s="34">
        <f t="shared" si="3"/>
        <v>0.19096903973748977</v>
      </c>
    </row>
    <row r="232" spans="1:4" x14ac:dyDescent="0.35">
      <c r="A232" s="31">
        <v>13789</v>
      </c>
      <c r="B232" s="32">
        <f>VLOOKUP(Table10[[#This Row],[Month]],database!A:J,MATCH('IP from start'!$A$1,database!$A$1:$J$1,),)</f>
        <v>7.4101999999999997</v>
      </c>
      <c r="C232" s="33">
        <f>(Table10[[#This Row],[Industrial Production ]]-B220)/B220</f>
        <v>-2.8272443546906584E-2</v>
      </c>
      <c r="D232" s="34">
        <f t="shared" si="3"/>
        <v>0.17327186430128708</v>
      </c>
    </row>
    <row r="233" spans="1:4" x14ac:dyDescent="0.35">
      <c r="A233" s="31">
        <v>13820</v>
      </c>
      <c r="B233" s="32">
        <f>VLOOKUP(Table10[[#This Row],[Month]],database!A:J,MATCH('IP from start'!$A$1,database!$A$1:$J$1,),)</f>
        <v>6.6826999999999996</v>
      </c>
      <c r="C233" s="33">
        <f>(Table10[[#This Row],[Industrial Production ]]-B221)/B221</f>
        <v>-0.1477669803861556</v>
      </c>
      <c r="D233" s="34">
        <f t="shared" si="3"/>
        <v>0.14490574061701134</v>
      </c>
    </row>
    <row r="234" spans="1:4" x14ac:dyDescent="0.35">
      <c r="A234" s="31">
        <v>13850</v>
      </c>
      <c r="B234" s="32">
        <f>VLOOKUP(Table10[[#This Row],[Month]],database!A:J,MATCH('IP from start'!$A$1,database!$A$1:$J$1,),)</f>
        <v>6.0899000000000001</v>
      </c>
      <c r="C234" s="33">
        <f>(Table10[[#This Row],[Industrial Production ]]-B222)/B222</f>
        <v>-0.24666312052350967</v>
      </c>
      <c r="D234" s="34">
        <f t="shared" si="3"/>
        <v>0.10646856482197448</v>
      </c>
    </row>
    <row r="235" spans="1:4" x14ac:dyDescent="0.35">
      <c r="A235" s="31">
        <v>13881</v>
      </c>
      <c r="B235" s="32">
        <f>VLOOKUP(Table10[[#This Row],[Month]],database!A:J,MATCH('IP from start'!$A$1,database!$A$1:$J$1,),)</f>
        <v>5.9550999999999998</v>
      </c>
      <c r="C235" s="33">
        <f>(Table10[[#This Row],[Industrial Production ]]-B223)/B223</f>
        <v>-0.26086956521739141</v>
      </c>
      <c r="D235" s="34">
        <f t="shared" si="3"/>
        <v>6.5526369838220147E-2</v>
      </c>
    </row>
    <row r="236" spans="1:4" x14ac:dyDescent="0.35">
      <c r="A236" s="31">
        <v>13912</v>
      </c>
      <c r="B236" s="32">
        <f>VLOOKUP(Table10[[#This Row],[Month]],database!A:J,MATCH('IP from start'!$A$1,database!$A$1:$J$1,),)</f>
        <v>5.9012000000000002</v>
      </c>
      <c r="C236" s="33">
        <f>(Table10[[#This Row],[Industrial Production ]]-B224)/B224</f>
        <v>-0.27723002682278586</v>
      </c>
      <c r="D236" s="34">
        <f t="shared" si="3"/>
        <v>1.9217942419391881E-2</v>
      </c>
    </row>
    <row r="237" spans="1:4" x14ac:dyDescent="0.35">
      <c r="A237" s="31">
        <v>13940</v>
      </c>
      <c r="B237" s="32">
        <f>VLOOKUP(Table10[[#This Row],[Month]],database!A:J,MATCH('IP from start'!$A$1,database!$A$1:$J$1,),)</f>
        <v>5.9012000000000002</v>
      </c>
      <c r="C237" s="33">
        <f>(Table10[[#This Row],[Industrial Production ]]-B225)/B225</f>
        <v>-0.29355711446836019</v>
      </c>
      <c r="D237" s="34">
        <f t="shared" si="3"/>
        <v>-2.9551511366930853E-2</v>
      </c>
    </row>
    <row r="238" spans="1:4" x14ac:dyDescent="0.35">
      <c r="A238" s="31">
        <v>13971</v>
      </c>
      <c r="B238" s="32">
        <f>VLOOKUP(Table10[[#This Row],[Month]],database!A:J,MATCH('IP from start'!$A$1,database!$A$1:$J$1,),)</f>
        <v>5.7934999999999999</v>
      </c>
      <c r="C238" s="33">
        <f>(Table10[[#This Row],[Industrial Production ]]-B226)/B226</f>
        <v>-0.30645006823568854</v>
      </c>
      <c r="D238" s="34">
        <f t="shared" si="3"/>
        <v>-7.3063539099042285E-2</v>
      </c>
    </row>
    <row r="239" spans="1:4" x14ac:dyDescent="0.35">
      <c r="A239" s="31">
        <v>14001</v>
      </c>
      <c r="B239" s="32">
        <f>VLOOKUP(Table10[[#This Row],[Month]],database!A:J,MATCH('IP from start'!$A$1,database!$A$1:$J$1,),)</f>
        <v>5.6586999999999996</v>
      </c>
      <c r="C239" s="33">
        <f>(Table10[[#This Row],[Industrial Production ]]-B227)/B227</f>
        <v>-0.32476164337792207</v>
      </c>
      <c r="D239" s="34">
        <f t="shared" si="3"/>
        <v>-0.11647371220668483</v>
      </c>
    </row>
    <row r="240" spans="1:4" x14ac:dyDescent="0.35">
      <c r="A240" s="31">
        <v>14032</v>
      </c>
      <c r="B240" s="32">
        <f>VLOOKUP(Table10[[#This Row],[Month]],database!A:J,MATCH('IP from start'!$A$1,database!$A$1:$J$1,),)</f>
        <v>5.7126000000000001</v>
      </c>
      <c r="C240" s="33">
        <f>(Table10[[#This Row],[Industrial Production ]]-B228)/B228</f>
        <v>-0.3094469628286492</v>
      </c>
      <c r="D240" s="34">
        <f t="shared" si="3"/>
        <v>-0.15546792938317786</v>
      </c>
    </row>
    <row r="241" spans="1:4" x14ac:dyDescent="0.35">
      <c r="A241" s="31">
        <v>14062</v>
      </c>
      <c r="B241" s="32">
        <f>VLOOKUP(Table10[[#This Row],[Month]],database!A:J,MATCH('IP from start'!$A$1,database!$A$1:$J$1,),)</f>
        <v>6.0359999999999996</v>
      </c>
      <c r="C241" s="33">
        <f>(Table10[[#This Row],[Industrial Production ]]-B229)/B229</f>
        <v>-0.2750768639508071</v>
      </c>
      <c r="D241" s="34">
        <f t="shared" si="3"/>
        <v>-0.19042797478296825</v>
      </c>
    </row>
    <row r="242" spans="1:4" x14ac:dyDescent="0.35">
      <c r="A242" s="31">
        <v>14093</v>
      </c>
      <c r="B242" s="32">
        <f>VLOOKUP(Table10[[#This Row],[Month]],database!A:J,MATCH('IP from start'!$A$1,database!$A$1:$J$1,),)</f>
        <v>6.3593000000000002</v>
      </c>
      <c r="C242" s="33">
        <f>(Table10[[#This Row],[Industrial Production ]]-B230)/B230</f>
        <v>-0.2312722877002116</v>
      </c>
      <c r="D242" s="34">
        <f t="shared" si="3"/>
        <v>-0.21973682811613196</v>
      </c>
    </row>
    <row r="243" spans="1:4" x14ac:dyDescent="0.35">
      <c r="A243" s="31">
        <v>14124</v>
      </c>
      <c r="B243" s="32">
        <f>VLOOKUP(Table10[[#This Row],[Month]],database!A:J,MATCH('IP from start'!$A$1,database!$A$1:$J$1,),)</f>
        <v>6.548</v>
      </c>
      <c r="C243" s="33">
        <f>(Table10[[#This Row],[Industrial Production ]]-B231)/B231</f>
        <v>-0.18181704589471578</v>
      </c>
      <c r="D243" s="34">
        <f t="shared" si="3"/>
        <v>-0.24026534357942533</v>
      </c>
    </row>
    <row r="244" spans="1:4" x14ac:dyDescent="0.35">
      <c r="A244" s="31">
        <v>14154</v>
      </c>
      <c r="B244" s="32">
        <f>VLOOKUP(Table10[[#This Row],[Month]],database!A:J,MATCH('IP from start'!$A$1,database!$A$1:$J$1,),)</f>
        <v>6.7096</v>
      </c>
      <c r="C244" s="33">
        <f>(Table10[[#This Row],[Industrial Production ]]-B232)/B232</f>
        <v>-9.4545356400636923E-2</v>
      </c>
      <c r="D244" s="34">
        <f t="shared" si="3"/>
        <v>-0.24578808631723623</v>
      </c>
    </row>
    <row r="245" spans="1:4" x14ac:dyDescent="0.35">
      <c r="A245" s="31">
        <v>14185</v>
      </c>
      <c r="B245" s="32">
        <f>VLOOKUP(Table10[[#This Row],[Month]],database!A:J,MATCH('IP from start'!$A$1,database!$A$1:$J$1,),)</f>
        <v>6.9790999999999999</v>
      </c>
      <c r="C245" s="33">
        <f>(Table10[[#This Row],[Industrial Production ]]-B233)/B233</f>
        <v>4.4353330240770983E-2</v>
      </c>
      <c r="D245" s="34">
        <f t="shared" si="3"/>
        <v>-0.22977806043165902</v>
      </c>
    </row>
    <row r="246" spans="1:4" x14ac:dyDescent="0.35">
      <c r="A246" s="31">
        <v>14215</v>
      </c>
      <c r="B246" s="32">
        <f>VLOOKUP(Table10[[#This Row],[Month]],database!A:J,MATCH('IP from start'!$A$1,database!$A$1:$J$1,),)</f>
        <v>7.0598999999999998</v>
      </c>
      <c r="C246" s="33">
        <f>(Table10[[#This Row],[Industrial Production ]]-B234)/B234</f>
        <v>0.15928011954219276</v>
      </c>
      <c r="D246" s="34">
        <f t="shared" si="3"/>
        <v>-0.19594945709285042</v>
      </c>
    </row>
    <row r="247" spans="1:4" x14ac:dyDescent="0.35">
      <c r="A247" s="31">
        <v>14246</v>
      </c>
      <c r="B247" s="32">
        <f>VLOOKUP(Table10[[#This Row],[Month]],database!A:J,MATCH('IP from start'!$A$1,database!$A$1:$J$1,),)</f>
        <v>7.0598999999999998</v>
      </c>
      <c r="C247" s="33">
        <f>(Table10[[#This Row],[Industrial Production ]]-B235)/B235</f>
        <v>0.18552165370858592</v>
      </c>
      <c r="D247" s="34">
        <f t="shared" si="3"/>
        <v>-0.15875018884901901</v>
      </c>
    </row>
    <row r="248" spans="1:4" x14ac:dyDescent="0.35">
      <c r="A248" s="31">
        <v>14277</v>
      </c>
      <c r="B248" s="32">
        <f>VLOOKUP(Table10[[#This Row],[Month]],database!A:J,MATCH('IP from start'!$A$1,database!$A$1:$J$1,),)</f>
        <v>7.1138000000000003</v>
      </c>
      <c r="C248" s="33">
        <f>(Table10[[#This Row],[Industrial Production ]]-B236)/B236</f>
        <v>0.20548363044804449</v>
      </c>
      <c r="D248" s="34">
        <f t="shared" si="3"/>
        <v>-0.11852405074311641</v>
      </c>
    </row>
    <row r="249" spans="1:4" x14ac:dyDescent="0.35">
      <c r="A249" s="31">
        <v>14305</v>
      </c>
      <c r="B249" s="32">
        <f>VLOOKUP(Table10[[#This Row],[Month]],database!A:J,MATCH('IP from start'!$A$1,database!$A$1:$J$1,),)</f>
        <v>7.1407999999999996</v>
      </c>
      <c r="C249" s="33">
        <f>(Table10[[#This Row],[Industrial Production ]]-B237)/B237</f>
        <v>0.2100589710567341</v>
      </c>
      <c r="D249" s="34">
        <f t="shared" si="3"/>
        <v>-7.6556043616025235E-2</v>
      </c>
    </row>
    <row r="250" spans="1:4" x14ac:dyDescent="0.35">
      <c r="A250" s="31">
        <v>14336</v>
      </c>
      <c r="B250" s="32">
        <f>VLOOKUP(Table10[[#This Row],[Month]],database!A:J,MATCH('IP from start'!$A$1,database!$A$1:$J$1,),)</f>
        <v>7.1138000000000003</v>
      </c>
      <c r="C250" s="33">
        <f>(Table10[[#This Row],[Industrial Production ]]-B238)/B238</f>
        <v>0.22789332873047388</v>
      </c>
      <c r="D250" s="34">
        <f t="shared" si="3"/>
        <v>-3.2027427202178375E-2</v>
      </c>
    </row>
    <row r="251" spans="1:4" x14ac:dyDescent="0.35">
      <c r="A251" s="31">
        <v>14366</v>
      </c>
      <c r="B251" s="32">
        <f>VLOOKUP(Table10[[#This Row],[Month]],database!A:J,MATCH('IP from start'!$A$1,database!$A$1:$J$1,),)</f>
        <v>7.0869</v>
      </c>
      <c r="C251" s="33">
        <f>(Table10[[#This Row],[Industrial Production ]]-B239)/B239</f>
        <v>0.2523901249403574</v>
      </c>
      <c r="D251" s="34">
        <f t="shared" si="3"/>
        <v>1.6068553491011571E-2</v>
      </c>
    </row>
    <row r="252" spans="1:4" x14ac:dyDescent="0.35">
      <c r="A252" s="31">
        <v>14397</v>
      </c>
      <c r="B252" s="32">
        <f>VLOOKUP(Table10[[#This Row],[Month]],database!A:J,MATCH('IP from start'!$A$1,database!$A$1:$J$1,),)</f>
        <v>7.2485999999999997</v>
      </c>
      <c r="C252" s="33">
        <f>(Table10[[#This Row],[Industrial Production ]]-B240)/B240</f>
        <v>0.26887931939922272</v>
      </c>
      <c r="D252" s="34">
        <f t="shared" si="3"/>
        <v>6.4262410343334242E-2</v>
      </c>
    </row>
    <row r="253" spans="1:4" x14ac:dyDescent="0.35">
      <c r="A253" s="31">
        <v>14427</v>
      </c>
      <c r="B253" s="32">
        <f>VLOOKUP(Table10[[#This Row],[Month]],database!A:J,MATCH('IP from start'!$A$1,database!$A$1:$J$1,),)</f>
        <v>7.4641000000000002</v>
      </c>
      <c r="C253" s="33">
        <f>(Table10[[#This Row],[Industrial Production ]]-B241)/B241</f>
        <v>0.23659708416169661</v>
      </c>
      <c r="D253" s="34">
        <f t="shared" si="3"/>
        <v>0.10690190601937621</v>
      </c>
    </row>
    <row r="254" spans="1:4" x14ac:dyDescent="0.35">
      <c r="A254" s="31">
        <v>14458</v>
      </c>
      <c r="B254" s="32">
        <f>VLOOKUP(Table10[[#This Row],[Month]],database!A:J,MATCH('IP from start'!$A$1,database!$A$1:$J$1,),)</f>
        <v>7.5719000000000003</v>
      </c>
      <c r="C254" s="33">
        <f>(Table10[[#This Row],[Industrial Production ]]-B242)/B242</f>
        <v>0.19068136430110233</v>
      </c>
      <c r="D254" s="34">
        <f t="shared" si="3"/>
        <v>0.14206471035281903</v>
      </c>
    </row>
    <row r="255" spans="1:4" x14ac:dyDescent="0.35">
      <c r="A255" s="31">
        <v>14489</v>
      </c>
      <c r="B255" s="32">
        <f>VLOOKUP(Table10[[#This Row],[Month]],database!A:J,MATCH('IP from start'!$A$1,database!$A$1:$J$1,),)</f>
        <v>8.0299999999999994</v>
      </c>
      <c r="C255" s="33">
        <f>(Table10[[#This Row],[Industrial Production ]]-B243)/B243</f>
        <v>0.22632864996945623</v>
      </c>
      <c r="D255" s="34">
        <f t="shared" si="3"/>
        <v>0.17607685167483336</v>
      </c>
    </row>
    <row r="256" spans="1:4" x14ac:dyDescent="0.35">
      <c r="A256" s="31">
        <v>14519</v>
      </c>
      <c r="B256" s="32">
        <f>VLOOKUP(Table10[[#This Row],[Month]],database!A:J,MATCH('IP from start'!$A$1,database!$A$1:$J$1,),)</f>
        <v>8.4342000000000006</v>
      </c>
      <c r="C256" s="33">
        <f>(Table10[[#This Row],[Industrial Production ]]-B244)/B244</f>
        <v>0.25703469655419109</v>
      </c>
      <c r="D256" s="34">
        <f t="shared" si="3"/>
        <v>0.20537518942106905</v>
      </c>
    </row>
    <row r="257" spans="1:4" x14ac:dyDescent="0.35">
      <c r="A257" s="31">
        <v>14550</v>
      </c>
      <c r="B257" s="32">
        <f>VLOOKUP(Table10[[#This Row],[Month]],database!A:J,MATCH('IP from start'!$A$1,database!$A$1:$J$1,),)</f>
        <v>8.6498000000000008</v>
      </c>
      <c r="C257" s="33">
        <f>(Table10[[#This Row],[Industrial Production ]]-B245)/B245</f>
        <v>0.23938616727085169</v>
      </c>
      <c r="D257" s="34">
        <f t="shared" si="3"/>
        <v>0.22162792584024241</v>
      </c>
    </row>
    <row r="258" spans="1:4" x14ac:dyDescent="0.35">
      <c r="A258" s="31">
        <v>14580</v>
      </c>
      <c r="B258" s="32">
        <f>VLOOKUP(Table10[[#This Row],[Month]],database!A:J,MATCH('IP from start'!$A$1,database!$A$1:$J$1,),)</f>
        <v>8.6498000000000008</v>
      </c>
      <c r="C258" s="33">
        <f>(Table10[[#This Row],[Industrial Production ]]-B246)/B246</f>
        <v>0.22520149010609231</v>
      </c>
      <c r="D258" s="34">
        <f t="shared" si="3"/>
        <v>0.22712137338723407</v>
      </c>
    </row>
    <row r="259" spans="1:4" x14ac:dyDescent="0.35">
      <c r="A259" s="31">
        <v>14611</v>
      </c>
      <c r="B259" s="32">
        <f>VLOOKUP(Table10[[#This Row],[Month]],database!A:J,MATCH('IP from start'!$A$1,database!$A$1:$J$1,),)</f>
        <v>8.5419999999999998</v>
      </c>
      <c r="C259" s="33">
        <f>(Table10[[#This Row],[Industrial Production ]]-B247)/B247</f>
        <v>0.20993215201348461</v>
      </c>
      <c r="D259" s="34">
        <f t="shared" si="3"/>
        <v>0.22915558157930896</v>
      </c>
    </row>
    <row r="260" spans="1:4" x14ac:dyDescent="0.35">
      <c r="A260" s="31">
        <v>14642</v>
      </c>
      <c r="B260" s="32">
        <f>VLOOKUP(Table10[[#This Row],[Month]],database!A:J,MATCH('IP from start'!$A$1,database!$A$1:$J$1,),)</f>
        <v>8.2725000000000009</v>
      </c>
      <c r="C260" s="33">
        <f>(Table10[[#This Row],[Industrial Production ]]-B248)/B248</f>
        <v>0.16288059827377779</v>
      </c>
      <c r="D260" s="34">
        <f t="shared" si="3"/>
        <v>0.2256053288981201</v>
      </c>
    </row>
    <row r="261" spans="1:4" x14ac:dyDescent="0.35">
      <c r="A261" s="31">
        <v>14671</v>
      </c>
      <c r="B261" s="32">
        <f>VLOOKUP(Table10[[#This Row],[Month]],database!A:J,MATCH('IP from start'!$A$1,database!$A$1:$J$1,),)</f>
        <v>8.0838999999999999</v>
      </c>
      <c r="C261" s="33">
        <f>(Table10[[#This Row],[Industrial Production ]]-B249)/B249</f>
        <v>0.13207203674658305</v>
      </c>
      <c r="D261" s="34">
        <f t="shared" si="3"/>
        <v>0.21910641770560749</v>
      </c>
    </row>
    <row r="262" spans="1:4" x14ac:dyDescent="0.35">
      <c r="A262" s="31">
        <v>14702</v>
      </c>
      <c r="B262" s="32">
        <f>VLOOKUP(Table10[[#This Row],[Month]],database!A:J,MATCH('IP from start'!$A$1,database!$A$1:$J$1,),)</f>
        <v>8.2455999999999996</v>
      </c>
      <c r="C262" s="33">
        <f>(Table10[[#This Row],[Industrial Production ]]-B250)/B250</f>
        <v>0.1590992156090977</v>
      </c>
      <c r="D262" s="34">
        <f t="shared" si="3"/>
        <v>0.21337357494549281</v>
      </c>
    </row>
    <row r="263" spans="1:4" x14ac:dyDescent="0.35">
      <c r="A263" s="31">
        <v>14732</v>
      </c>
      <c r="B263" s="32">
        <f>VLOOKUP(Table10[[#This Row],[Month]],database!A:J,MATCH('IP from start'!$A$1,database!$A$1:$J$1,),)</f>
        <v>8.4880999999999993</v>
      </c>
      <c r="C263" s="33">
        <f>(Table10[[#This Row],[Industrial Production ]]-B251)/B251</f>
        <v>0.19771691430667843</v>
      </c>
      <c r="D263" s="34">
        <f t="shared" si="3"/>
        <v>0.20881747405935291</v>
      </c>
    </row>
    <row r="264" spans="1:4" x14ac:dyDescent="0.35">
      <c r="A264" s="31">
        <v>14763</v>
      </c>
      <c r="B264" s="32">
        <f>VLOOKUP(Table10[[#This Row],[Month]],database!A:J,MATCH('IP from start'!$A$1,database!$A$1:$J$1,),)</f>
        <v>8.7575000000000003</v>
      </c>
      <c r="C264" s="33">
        <f>(Table10[[#This Row],[Industrial Production ]]-B252)/B252</f>
        <v>0.20816433518196625</v>
      </c>
      <c r="D264" s="34">
        <f t="shared" si="3"/>
        <v>0.2037578920412482</v>
      </c>
    </row>
    <row r="265" spans="1:4" x14ac:dyDescent="0.35">
      <c r="A265" s="31">
        <v>14793</v>
      </c>
      <c r="B265" s="32">
        <f>VLOOKUP(Table10[[#This Row],[Month]],database!A:J,MATCH('IP from start'!$A$1,database!$A$1:$J$1,),)</f>
        <v>8.8652999999999995</v>
      </c>
      <c r="C265" s="33">
        <f>(Table10[[#This Row],[Industrial Production ]]-B253)/B253</f>
        <v>0.18772524483862746</v>
      </c>
      <c r="D265" s="34">
        <f t="shared" si="3"/>
        <v>0.19968523876432576</v>
      </c>
    </row>
    <row r="266" spans="1:4" x14ac:dyDescent="0.35">
      <c r="A266" s="31">
        <v>14824</v>
      </c>
      <c r="B266" s="32">
        <f>VLOOKUP(Table10[[#This Row],[Month]],database!A:J,MATCH('IP from start'!$A$1,database!$A$1:$J$1,),)</f>
        <v>8.9192</v>
      </c>
      <c r="C266" s="33">
        <f>(Table10[[#This Row],[Industrial Production ]]-B254)/B254</f>
        <v>0.177934204096726</v>
      </c>
      <c r="D266" s="34">
        <f t="shared" si="3"/>
        <v>0.19862297541396109</v>
      </c>
    </row>
    <row r="267" spans="1:4" x14ac:dyDescent="0.35">
      <c r="A267" s="31">
        <v>14855</v>
      </c>
      <c r="B267" s="32">
        <f>VLOOKUP(Table10[[#This Row],[Month]],database!A:J,MATCH('IP from start'!$A$1,database!$A$1:$J$1,),)</f>
        <v>9.1079000000000008</v>
      </c>
      <c r="C267" s="33">
        <f>(Table10[[#This Row],[Industrial Production ]]-B255)/B255</f>
        <v>0.13423412204234142</v>
      </c>
      <c r="D267" s="34">
        <f t="shared" si="3"/>
        <v>0.19094843142003481</v>
      </c>
    </row>
    <row r="268" spans="1:4" x14ac:dyDescent="0.35">
      <c r="A268" s="31">
        <v>14885</v>
      </c>
      <c r="B268" s="32">
        <f>VLOOKUP(Table10[[#This Row],[Month]],database!A:J,MATCH('IP from start'!$A$1,database!$A$1:$J$1,),)</f>
        <v>9.2425999999999995</v>
      </c>
      <c r="C268" s="33">
        <f>(Table10[[#This Row],[Industrial Production ]]-B256)/B256</f>
        <v>9.5847857532427361E-2</v>
      </c>
      <c r="D268" s="34">
        <f t="shared" si="3"/>
        <v>0.17751619483488781</v>
      </c>
    </row>
    <row r="269" spans="1:4" x14ac:dyDescent="0.35">
      <c r="A269" s="31">
        <v>14916</v>
      </c>
      <c r="B269" s="32">
        <f>VLOOKUP(Table10[[#This Row],[Month]],database!A:J,MATCH('IP from start'!$A$1,database!$A$1:$J$1,),)</f>
        <v>9.4581999999999997</v>
      </c>
      <c r="C269" s="33">
        <f>(Table10[[#This Row],[Industrial Production ]]-B257)/B257</f>
        <v>9.3458808296145446E-2</v>
      </c>
      <c r="D269" s="34">
        <f t="shared" si="3"/>
        <v>0.16535558158699565</v>
      </c>
    </row>
    <row r="270" spans="1:4" x14ac:dyDescent="0.35">
      <c r="A270" s="31">
        <v>14946</v>
      </c>
      <c r="B270" s="32">
        <f>VLOOKUP(Table10[[#This Row],[Month]],database!A:J,MATCH('IP from start'!$A$1,database!$A$1:$J$1,),)</f>
        <v>9.7814999999999994</v>
      </c>
      <c r="C270" s="33">
        <f>(Table10[[#This Row],[Industrial Production ]]-B258)/B258</f>
        <v>0.13083539503803537</v>
      </c>
      <c r="D270" s="34">
        <f t="shared" si="3"/>
        <v>0.15749174033132424</v>
      </c>
    </row>
    <row r="271" spans="1:4" x14ac:dyDescent="0.35">
      <c r="A271" s="31">
        <v>14977</v>
      </c>
      <c r="B271" s="32">
        <f>VLOOKUP(Table10[[#This Row],[Month]],database!A:J,MATCH('IP from start'!$A$1,database!$A$1:$J$1,),)</f>
        <v>10.023999999999999</v>
      </c>
      <c r="C271" s="33">
        <f>(Table10[[#This Row],[Industrial Production ]]-B259)/B259</f>
        <v>0.17349566846171849</v>
      </c>
      <c r="D271" s="34">
        <f t="shared" si="3"/>
        <v>0.1544553667020104</v>
      </c>
    </row>
    <row r="272" spans="1:4" x14ac:dyDescent="0.35">
      <c r="A272" s="31">
        <v>15008</v>
      </c>
      <c r="B272" s="32">
        <f>VLOOKUP(Table10[[#This Row],[Month]],database!A:J,MATCH('IP from start'!$A$1,database!$A$1:$J$1,),)</f>
        <v>10.320399999999999</v>
      </c>
      <c r="C272" s="33">
        <f>(Table10[[#This Row],[Industrial Production ]]-B260)/B260</f>
        <v>0.24755515261408259</v>
      </c>
      <c r="D272" s="34">
        <f t="shared" si="3"/>
        <v>0.16151157956370249</v>
      </c>
    </row>
    <row r="273" spans="1:4" x14ac:dyDescent="0.35">
      <c r="A273" s="31">
        <v>15036</v>
      </c>
      <c r="B273" s="32">
        <f>VLOOKUP(Table10[[#This Row],[Month]],database!A:J,MATCH('IP from start'!$A$1,database!$A$1:$J$1,),)</f>
        <v>10.643800000000001</v>
      </c>
      <c r="C273" s="33">
        <f>(Table10[[#This Row],[Industrial Production ]]-B261)/B261</f>
        <v>0.31666646049555297</v>
      </c>
      <c r="D273" s="34">
        <f t="shared" si="3"/>
        <v>0.17689444820944999</v>
      </c>
    </row>
    <row r="274" spans="1:4" x14ac:dyDescent="0.35">
      <c r="A274" s="31">
        <v>15067</v>
      </c>
      <c r="B274" s="32">
        <f>VLOOKUP(Table10[[#This Row],[Month]],database!A:J,MATCH('IP from start'!$A$1,database!$A$1:$J$1,),)</f>
        <v>10.6707</v>
      </c>
      <c r="C274" s="33">
        <f>(Table10[[#This Row],[Industrial Production ]]-B262)/B262</f>
        <v>0.29410837295042214</v>
      </c>
      <c r="D274" s="34">
        <f t="shared" si="3"/>
        <v>0.18814521132122697</v>
      </c>
    </row>
    <row r="275" spans="1:4" x14ac:dyDescent="0.35">
      <c r="A275" s="31">
        <v>15097</v>
      </c>
      <c r="B275" s="32">
        <f>VLOOKUP(Table10[[#This Row],[Month]],database!A:J,MATCH('IP from start'!$A$1,database!$A$1:$J$1,),)</f>
        <v>11.155799999999999</v>
      </c>
      <c r="C275" s="33">
        <f>(Table10[[#This Row],[Industrial Production ]]-B263)/B263</f>
        <v>0.31428706070852136</v>
      </c>
      <c r="D275" s="34">
        <f t="shared" si="3"/>
        <v>0.19785939018804724</v>
      </c>
    </row>
    <row r="276" spans="1:4" x14ac:dyDescent="0.35">
      <c r="A276" s="31">
        <v>15128</v>
      </c>
      <c r="B276" s="32">
        <f>VLOOKUP(Table10[[#This Row],[Month]],database!A:J,MATCH('IP from start'!$A$1,database!$A$1:$J$1,),)</f>
        <v>11.236599999999999</v>
      </c>
      <c r="C276" s="33">
        <f>(Table10[[#This Row],[Industrial Production ]]-B264)/B264</f>
        <v>0.28308307165286883</v>
      </c>
      <c r="D276" s="34">
        <f t="shared" si="3"/>
        <v>0.20410261822728915</v>
      </c>
    </row>
    <row r="277" spans="1:4" x14ac:dyDescent="0.35">
      <c r="A277" s="31">
        <v>15158</v>
      </c>
      <c r="B277" s="32">
        <f>VLOOKUP(Table10[[#This Row],[Month]],database!A:J,MATCH('IP from start'!$A$1,database!$A$1:$J$1,),)</f>
        <v>11.3713</v>
      </c>
      <c r="C277" s="33">
        <f>(Table10[[#This Row],[Industrial Production ]]-B265)/B265</f>
        <v>0.28267514917712883</v>
      </c>
      <c r="D277" s="34">
        <f t="shared" si="3"/>
        <v>0.21201511025549755</v>
      </c>
    </row>
    <row r="278" spans="1:4" x14ac:dyDescent="0.35">
      <c r="A278" s="31">
        <v>15189</v>
      </c>
      <c r="B278" s="32">
        <f>VLOOKUP(Table10[[#This Row],[Month]],database!A:J,MATCH('IP from start'!$A$1,database!$A$1:$J$1,),)</f>
        <v>11.5061</v>
      </c>
      <c r="C278" s="33">
        <f>(Table10[[#This Row],[Industrial Production ]]-B266)/B266</f>
        <v>0.29003722306933355</v>
      </c>
      <c r="D278" s="34">
        <f t="shared" si="3"/>
        <v>0.22135702850321484</v>
      </c>
    </row>
    <row r="279" spans="1:4" x14ac:dyDescent="0.35">
      <c r="A279" s="31">
        <v>15220</v>
      </c>
      <c r="B279" s="32">
        <f>VLOOKUP(Table10[[#This Row],[Month]],database!A:J,MATCH('IP from start'!$A$1,database!$A$1:$J$1,),)</f>
        <v>11.5061</v>
      </c>
      <c r="C279" s="33">
        <f>(Table10[[#This Row],[Industrial Production ]]-B267)/B267</f>
        <v>0.26330987384578214</v>
      </c>
      <c r="D279" s="34">
        <f t="shared" si="3"/>
        <v>0.23211334115350157</v>
      </c>
    </row>
    <row r="280" spans="1:4" x14ac:dyDescent="0.35">
      <c r="A280" s="31">
        <v>15250</v>
      </c>
      <c r="B280" s="32">
        <f>VLOOKUP(Table10[[#This Row],[Month]],database!A:J,MATCH('IP from start'!$A$1,database!$A$1:$J$1,),)</f>
        <v>11.613899999999999</v>
      </c>
      <c r="C280" s="33">
        <f>(Table10[[#This Row],[Industrial Production ]]-B268)/B268</f>
        <v>0.25656200636184623</v>
      </c>
      <c r="D280" s="34">
        <f t="shared" si="3"/>
        <v>0.24550618688928647</v>
      </c>
    </row>
    <row r="281" spans="1:4" x14ac:dyDescent="0.35">
      <c r="A281" s="31">
        <v>15281</v>
      </c>
      <c r="B281" s="32">
        <f>VLOOKUP(Table10[[#This Row],[Month]],database!A:J,MATCH('IP from start'!$A$1,database!$A$1:$J$1,),)</f>
        <v>11.6678</v>
      </c>
      <c r="C281" s="33">
        <f>(Table10[[#This Row],[Industrial Production ]]-B269)/B269</f>
        <v>0.23361739020109534</v>
      </c>
      <c r="D281" s="34">
        <f t="shared" si="3"/>
        <v>0.25718606871469896</v>
      </c>
    </row>
    <row r="282" spans="1:4" x14ac:dyDescent="0.35">
      <c r="A282" s="31">
        <v>15311</v>
      </c>
      <c r="B282" s="32">
        <f>VLOOKUP(Table10[[#This Row],[Month]],database!A:J,MATCH('IP from start'!$A$1,database!$A$1:$J$1,),)</f>
        <v>11.856400000000001</v>
      </c>
      <c r="C282" s="33">
        <f>(Table10[[#This Row],[Industrial Production ]]-B270)/B270</f>
        <v>0.21212492971425664</v>
      </c>
      <c r="D282" s="34">
        <f t="shared" si="3"/>
        <v>0.26396019660438408</v>
      </c>
    </row>
    <row r="283" spans="1:4" x14ac:dyDescent="0.35">
      <c r="A283" s="31">
        <v>15342</v>
      </c>
      <c r="B283" s="32">
        <f>VLOOKUP(Table10[[#This Row],[Month]],database!A:J,MATCH('IP from start'!$A$1,database!$A$1:$J$1,),)</f>
        <v>12.0989</v>
      </c>
      <c r="C283" s="33">
        <f>(Table10[[#This Row],[Industrial Production ]]-B271)/B271</f>
        <v>0.20699321628092593</v>
      </c>
      <c r="D283" s="34">
        <f t="shared" si="3"/>
        <v>0.26675165892265135</v>
      </c>
    </row>
    <row r="284" spans="1:4" x14ac:dyDescent="0.35">
      <c r="A284" s="31">
        <v>15373</v>
      </c>
      <c r="B284" s="32">
        <f>VLOOKUP(Table10[[#This Row],[Month]],database!A:J,MATCH('IP from start'!$A$1,database!$A$1:$J$1,),)</f>
        <v>12.314500000000001</v>
      </c>
      <c r="C284" s="33">
        <f>(Table10[[#This Row],[Industrial Production ]]-B272)/B272</f>
        <v>0.19321925506763318</v>
      </c>
      <c r="D284" s="34">
        <f t="shared" si="3"/>
        <v>0.26222366746044723</v>
      </c>
    </row>
    <row r="285" spans="1:4" x14ac:dyDescent="0.35">
      <c r="A285" s="31">
        <v>15401</v>
      </c>
      <c r="B285" s="32">
        <f>VLOOKUP(Table10[[#This Row],[Month]],database!A:J,MATCH('IP from start'!$A$1,database!$A$1:$J$1,),)</f>
        <v>12.449199999999999</v>
      </c>
      <c r="C285" s="33">
        <f>(Table10[[#This Row],[Industrial Production ]]-B273)/B273</f>
        <v>0.16961987260189018</v>
      </c>
      <c r="D285" s="34">
        <f t="shared" si="3"/>
        <v>0.24996978513597534</v>
      </c>
    </row>
    <row r="286" spans="1:4" x14ac:dyDescent="0.35">
      <c r="A286" s="31">
        <v>15432</v>
      </c>
      <c r="B286" s="32">
        <f>VLOOKUP(Table10[[#This Row],[Month]],database!A:J,MATCH('IP from start'!$A$1,database!$A$1:$J$1,),)</f>
        <v>12.0989</v>
      </c>
      <c r="C286" s="33">
        <f>(Table10[[#This Row],[Industrial Production ]]-B274)/B274</f>
        <v>0.13384314056247484</v>
      </c>
      <c r="D286" s="34">
        <f t="shared" ref="D286:D349" si="4">AVERAGE(C275:C286)</f>
        <v>0.23661434910364643</v>
      </c>
    </row>
    <row r="287" spans="1:4" x14ac:dyDescent="0.35">
      <c r="A287" s="31">
        <v>15462</v>
      </c>
      <c r="B287" s="32">
        <f>VLOOKUP(Table10[[#This Row],[Month]],database!A:J,MATCH('IP from start'!$A$1,database!$A$1:$J$1,),)</f>
        <v>12.1258</v>
      </c>
      <c r="C287" s="33">
        <f>(Table10[[#This Row],[Industrial Production ]]-B275)/B275</f>
        <v>8.6950285949909528E-2</v>
      </c>
      <c r="D287" s="34">
        <f t="shared" si="4"/>
        <v>0.21766961787376207</v>
      </c>
    </row>
    <row r="288" spans="1:4" x14ac:dyDescent="0.35">
      <c r="A288" s="31">
        <v>15493</v>
      </c>
      <c r="B288" s="32">
        <f>VLOOKUP(Table10[[#This Row],[Month]],database!A:J,MATCH('IP from start'!$A$1,database!$A$1:$J$1,),)</f>
        <v>12.152799999999999</v>
      </c>
      <c r="C288" s="33">
        <f>(Table10[[#This Row],[Industrial Production ]]-B276)/B276</f>
        <v>8.1537119769325234E-2</v>
      </c>
      <c r="D288" s="34">
        <f t="shared" si="4"/>
        <v>0.20087412188346679</v>
      </c>
    </row>
    <row r="289" spans="1:4" x14ac:dyDescent="0.35">
      <c r="A289" s="31">
        <v>15523</v>
      </c>
      <c r="B289" s="32">
        <f>VLOOKUP(Table10[[#This Row],[Month]],database!A:J,MATCH('IP from start'!$A$1,database!$A$1:$J$1,),)</f>
        <v>12.449199999999999</v>
      </c>
      <c r="C289" s="33">
        <f>(Table10[[#This Row],[Industrial Production ]]-B277)/B277</f>
        <v>9.479127276564682E-2</v>
      </c>
      <c r="D289" s="34">
        <f t="shared" si="4"/>
        <v>0.18521713218250999</v>
      </c>
    </row>
    <row r="290" spans="1:4" x14ac:dyDescent="0.35">
      <c r="A290" s="31">
        <v>15554</v>
      </c>
      <c r="B290" s="32">
        <f>VLOOKUP(Table10[[#This Row],[Month]],database!A:J,MATCH('IP from start'!$A$1,database!$A$1:$J$1,),)</f>
        <v>12.8264</v>
      </c>
      <c r="C290" s="33">
        <f>(Table10[[#This Row],[Industrial Production ]]-B278)/B278</f>
        <v>0.11474782941222478</v>
      </c>
      <c r="D290" s="34">
        <f t="shared" si="4"/>
        <v>0.17060968271108426</v>
      </c>
    </row>
    <row r="291" spans="1:4" x14ac:dyDescent="0.35">
      <c r="A291" s="31">
        <v>15585</v>
      </c>
      <c r="B291" s="32">
        <f>VLOOKUP(Table10[[#This Row],[Month]],database!A:J,MATCH('IP from start'!$A$1,database!$A$1:$J$1,),)</f>
        <v>13.1229</v>
      </c>
      <c r="C291" s="33">
        <f>(Table10[[#This Row],[Industrial Production ]]-B279)/B279</f>
        <v>0.14051676936581461</v>
      </c>
      <c r="D291" s="34">
        <f t="shared" si="4"/>
        <v>0.1603769240044203</v>
      </c>
    </row>
    <row r="292" spans="1:4" x14ac:dyDescent="0.35">
      <c r="A292" s="31">
        <v>15615</v>
      </c>
      <c r="B292" s="32">
        <f>VLOOKUP(Table10[[#This Row],[Month]],database!A:J,MATCH('IP from start'!$A$1,database!$A$1:$J$1,),)</f>
        <v>13.554</v>
      </c>
      <c r="C292" s="33">
        <f>(Table10[[#This Row],[Industrial Production ]]-B280)/B280</f>
        <v>0.16704982822307762</v>
      </c>
      <c r="D292" s="34">
        <f t="shared" si="4"/>
        <v>0.15291757582618959</v>
      </c>
    </row>
    <row r="293" spans="1:4" x14ac:dyDescent="0.35">
      <c r="A293" s="31">
        <v>15646</v>
      </c>
      <c r="B293" s="32">
        <f>VLOOKUP(Table10[[#This Row],[Month]],database!A:J,MATCH('IP from start'!$A$1,database!$A$1:$J$1,),)</f>
        <v>13.8774</v>
      </c>
      <c r="C293" s="33">
        <f>(Table10[[#This Row],[Industrial Production ]]-B281)/B281</f>
        <v>0.18937588919933493</v>
      </c>
      <c r="D293" s="34">
        <f t="shared" si="4"/>
        <v>0.14923078407604287</v>
      </c>
    </row>
    <row r="294" spans="1:4" x14ac:dyDescent="0.35">
      <c r="A294" s="31">
        <v>15676</v>
      </c>
      <c r="B294" s="32">
        <f>VLOOKUP(Table10[[#This Row],[Month]],database!A:J,MATCH('IP from start'!$A$1,database!$A$1:$J$1,),)</f>
        <v>14.200699999999999</v>
      </c>
      <c r="C294" s="33">
        <f>(Table10[[#This Row],[Industrial Production ]]-B282)/B282</f>
        <v>0.19772443574778167</v>
      </c>
      <c r="D294" s="34">
        <f t="shared" si="4"/>
        <v>0.14803074291216994</v>
      </c>
    </row>
    <row r="295" spans="1:4" x14ac:dyDescent="0.35">
      <c r="A295" s="31">
        <v>15707</v>
      </c>
      <c r="B295" s="32">
        <f>VLOOKUP(Table10[[#This Row],[Month]],database!A:J,MATCH('IP from start'!$A$1,database!$A$1:$J$1,),)</f>
        <v>14.3355</v>
      </c>
      <c r="C295" s="33">
        <f>(Table10[[#This Row],[Industrial Production ]]-B283)/B283</f>
        <v>0.18485978064121525</v>
      </c>
      <c r="D295" s="34">
        <f t="shared" si="4"/>
        <v>0.14618628994219407</v>
      </c>
    </row>
    <row r="296" spans="1:4" x14ac:dyDescent="0.35">
      <c r="A296" s="31">
        <v>15738</v>
      </c>
      <c r="B296" s="32">
        <f>VLOOKUP(Table10[[#This Row],[Month]],database!A:J,MATCH('IP from start'!$A$1,database!$A$1:$J$1,),)</f>
        <v>14.7127</v>
      </c>
      <c r="C296" s="33">
        <f>(Table10[[#This Row],[Industrial Production ]]-B284)/B284</f>
        <v>0.1947460311015469</v>
      </c>
      <c r="D296" s="34">
        <f t="shared" si="4"/>
        <v>0.14631352127835354</v>
      </c>
    </row>
    <row r="297" spans="1:4" x14ac:dyDescent="0.35">
      <c r="A297" s="31">
        <v>15766</v>
      </c>
      <c r="B297" s="32">
        <f>VLOOKUP(Table10[[#This Row],[Month]],database!A:J,MATCH('IP from start'!$A$1,database!$A$1:$J$1,),)</f>
        <v>14.820499999999999</v>
      </c>
      <c r="C297" s="33">
        <f>(Table10[[#This Row],[Industrial Production ]]-B285)/B285</f>
        <v>0.1904781030106352</v>
      </c>
      <c r="D297" s="34">
        <f t="shared" si="4"/>
        <v>0.14805170714574897</v>
      </c>
    </row>
    <row r="298" spans="1:4" x14ac:dyDescent="0.35">
      <c r="A298" s="31">
        <v>15797</v>
      </c>
      <c r="B298" s="32">
        <f>VLOOKUP(Table10[[#This Row],[Month]],database!A:J,MATCH('IP from start'!$A$1,database!$A$1:$J$1,),)</f>
        <v>15.0091</v>
      </c>
      <c r="C298" s="33">
        <f>(Table10[[#This Row],[Industrial Production ]]-B286)/B286</f>
        <v>0.24053426344543716</v>
      </c>
      <c r="D298" s="34">
        <f t="shared" si="4"/>
        <v>0.15694263405266248</v>
      </c>
    </row>
    <row r="299" spans="1:4" x14ac:dyDescent="0.35">
      <c r="A299" s="31">
        <v>15827</v>
      </c>
      <c r="B299" s="32">
        <f>VLOOKUP(Table10[[#This Row],[Month]],database!A:J,MATCH('IP from start'!$A$1,database!$A$1:$J$1,),)</f>
        <v>15.116899999999999</v>
      </c>
      <c r="C299" s="33">
        <f>(Table10[[#This Row],[Industrial Production ]]-B287)/B287</f>
        <v>0.24667238450246576</v>
      </c>
      <c r="D299" s="34">
        <f t="shared" si="4"/>
        <v>0.17025280893204217</v>
      </c>
    </row>
    <row r="300" spans="1:4" x14ac:dyDescent="0.35">
      <c r="A300" s="31">
        <v>15858</v>
      </c>
      <c r="B300" s="32">
        <f>VLOOKUP(Table10[[#This Row],[Month]],database!A:J,MATCH('IP from start'!$A$1,database!$A$1:$J$1,),)</f>
        <v>15.036099999999999</v>
      </c>
      <c r="C300" s="33">
        <f>(Table10[[#This Row],[Industrial Production ]]-B288)/B288</f>
        <v>0.23725396616417618</v>
      </c>
      <c r="D300" s="34">
        <f t="shared" si="4"/>
        <v>0.18322921279827975</v>
      </c>
    </row>
    <row r="301" spans="1:4" x14ac:dyDescent="0.35">
      <c r="A301" s="31">
        <v>15888</v>
      </c>
      <c r="B301" s="32">
        <f>VLOOKUP(Table10[[#This Row],[Month]],database!A:J,MATCH('IP from start'!$A$1,database!$A$1:$J$1,),)</f>
        <v>15.4941</v>
      </c>
      <c r="C301" s="33">
        <f>(Table10[[#This Row],[Industrial Production ]]-B289)/B289</f>
        <v>0.24458599749381488</v>
      </c>
      <c r="D301" s="34">
        <f t="shared" si="4"/>
        <v>0.19571210652562709</v>
      </c>
    </row>
    <row r="302" spans="1:4" x14ac:dyDescent="0.35">
      <c r="A302" s="31">
        <v>15919</v>
      </c>
      <c r="B302" s="32">
        <f>VLOOKUP(Table10[[#This Row],[Month]],database!A:J,MATCH('IP from start'!$A$1,database!$A$1:$J$1,),)</f>
        <v>15.817500000000001</v>
      </c>
      <c r="C302" s="33">
        <f>(Table10[[#This Row],[Industrial Production ]]-B290)/B290</f>
        <v>0.23319871515000323</v>
      </c>
      <c r="D302" s="34">
        <f t="shared" si="4"/>
        <v>0.20558301367044196</v>
      </c>
    </row>
    <row r="303" spans="1:4" x14ac:dyDescent="0.35">
      <c r="A303" s="31">
        <v>15950</v>
      </c>
      <c r="B303" s="32">
        <f>VLOOKUP(Table10[[#This Row],[Month]],database!A:J,MATCH('IP from start'!$A$1,database!$A$1:$J$1,),)</f>
        <v>16.221699999999998</v>
      </c>
      <c r="C303" s="33">
        <f>(Table10[[#This Row],[Industrial Production ]]-B291)/B291</f>
        <v>0.23613682951176942</v>
      </c>
      <c r="D303" s="34">
        <f t="shared" si="4"/>
        <v>0.21355135201593822</v>
      </c>
    </row>
    <row r="304" spans="1:4" x14ac:dyDescent="0.35">
      <c r="A304" s="31">
        <v>15980</v>
      </c>
      <c r="B304" s="32">
        <f>VLOOKUP(Table10[[#This Row],[Month]],database!A:J,MATCH('IP from start'!$A$1,database!$A$1:$J$1,),)</f>
        <v>16.464200000000002</v>
      </c>
      <c r="C304" s="33">
        <f>(Table10[[#This Row],[Industrial Production ]]-B292)/B292</f>
        <v>0.21471152427327736</v>
      </c>
      <c r="D304" s="34">
        <f t="shared" si="4"/>
        <v>0.21752316002012151</v>
      </c>
    </row>
    <row r="305" spans="1:4" x14ac:dyDescent="0.35">
      <c r="A305" s="31">
        <v>16011</v>
      </c>
      <c r="B305" s="32">
        <f>VLOOKUP(Table10[[#This Row],[Month]],database!A:J,MATCH('IP from start'!$A$1,database!$A$1:$J$1,),)</f>
        <v>16.6798</v>
      </c>
      <c r="C305" s="33">
        <f>(Table10[[#This Row],[Industrial Production ]]-B293)/B293</f>
        <v>0.2019398446394858</v>
      </c>
      <c r="D305" s="34">
        <f t="shared" si="4"/>
        <v>0.21857015630680074</v>
      </c>
    </row>
    <row r="306" spans="1:4" x14ac:dyDescent="0.35">
      <c r="A306" s="31">
        <v>16041</v>
      </c>
      <c r="B306" s="32">
        <f>VLOOKUP(Table10[[#This Row],[Month]],database!A:J,MATCH('IP from start'!$A$1,database!$A$1:$J$1,),)</f>
        <v>16.464200000000002</v>
      </c>
      <c r="C306" s="33">
        <f>(Table10[[#This Row],[Industrial Production ]]-B294)/B294</f>
        <v>0.15939355102213287</v>
      </c>
      <c r="D306" s="34">
        <f t="shared" si="4"/>
        <v>0.21537591591299668</v>
      </c>
    </row>
    <row r="307" spans="1:4" x14ac:dyDescent="0.35">
      <c r="A307" s="31">
        <v>16072</v>
      </c>
      <c r="B307" s="32">
        <f>VLOOKUP(Table10[[#This Row],[Month]],database!A:J,MATCH('IP from start'!$A$1,database!$A$1:$J$1,),)</f>
        <v>16.652799999999999</v>
      </c>
      <c r="C307" s="33">
        <f>(Table10[[#This Row],[Industrial Production ]]-B295)/B295</f>
        <v>0.16164765791217603</v>
      </c>
      <c r="D307" s="34">
        <f t="shared" si="4"/>
        <v>0.21344157235224345</v>
      </c>
    </row>
    <row r="308" spans="1:4" x14ac:dyDescent="0.35">
      <c r="A308" s="31">
        <v>16103</v>
      </c>
      <c r="B308" s="32">
        <f>VLOOKUP(Table10[[#This Row],[Month]],database!A:J,MATCH('IP from start'!$A$1,database!$A$1:$J$1,),)</f>
        <v>16.787600000000001</v>
      </c>
      <c r="C308" s="33">
        <f>(Table10[[#This Row],[Industrial Production ]]-B296)/B296</f>
        <v>0.14102781950287854</v>
      </c>
      <c r="D308" s="34">
        <f t="shared" si="4"/>
        <v>0.20896505471902105</v>
      </c>
    </row>
    <row r="309" spans="1:4" x14ac:dyDescent="0.35">
      <c r="A309" s="31">
        <v>16132</v>
      </c>
      <c r="B309" s="32">
        <f>VLOOKUP(Table10[[#This Row],[Month]],database!A:J,MATCH('IP from start'!$A$1,database!$A$1:$J$1,),)</f>
        <v>16.7606</v>
      </c>
      <c r="C309" s="33">
        <f>(Table10[[#This Row],[Industrial Production ]]-B297)/B297</f>
        <v>0.13090651462501274</v>
      </c>
      <c r="D309" s="34">
        <f t="shared" si="4"/>
        <v>0.20400075568688583</v>
      </c>
    </row>
    <row r="310" spans="1:4" x14ac:dyDescent="0.35">
      <c r="A310" s="31">
        <v>16163</v>
      </c>
      <c r="B310" s="32">
        <f>VLOOKUP(Table10[[#This Row],[Month]],database!A:J,MATCH('IP from start'!$A$1,database!$A$1:$J$1,),)</f>
        <v>16.7606</v>
      </c>
      <c r="C310" s="33">
        <f>(Table10[[#This Row],[Industrial Production ]]-B298)/B298</f>
        <v>0.1166958711714893</v>
      </c>
      <c r="D310" s="34">
        <f t="shared" si="4"/>
        <v>0.19368088966405683</v>
      </c>
    </row>
    <row r="311" spans="1:4" x14ac:dyDescent="0.35">
      <c r="A311" s="31">
        <v>16193</v>
      </c>
      <c r="B311" s="32">
        <f>VLOOKUP(Table10[[#This Row],[Month]],database!A:J,MATCH('IP from start'!$A$1,database!$A$1:$J$1,),)</f>
        <v>16.652799999999999</v>
      </c>
      <c r="C311" s="33">
        <f>(Table10[[#This Row],[Industrial Production ]]-B299)/B299</f>
        <v>0.10160151882991883</v>
      </c>
      <c r="D311" s="34">
        <f t="shared" si="4"/>
        <v>0.18159165085801124</v>
      </c>
    </row>
    <row r="312" spans="1:4" x14ac:dyDescent="0.35">
      <c r="A312" s="31">
        <v>16224</v>
      </c>
      <c r="B312" s="32">
        <f>VLOOKUP(Table10[[#This Row],[Month]],database!A:J,MATCH('IP from start'!$A$1,database!$A$1:$J$1,),)</f>
        <v>16.5989</v>
      </c>
      <c r="C312" s="33">
        <f>(Table10[[#This Row],[Industrial Production ]]-B300)/B300</f>
        <v>0.1039365260938675</v>
      </c>
      <c r="D312" s="34">
        <f t="shared" si="4"/>
        <v>0.17048186418548553</v>
      </c>
    </row>
    <row r="313" spans="1:4" x14ac:dyDescent="0.35">
      <c r="A313" s="31">
        <v>16254</v>
      </c>
      <c r="B313" s="32">
        <f>VLOOKUP(Table10[[#This Row],[Month]],database!A:J,MATCH('IP from start'!$A$1,database!$A$1:$J$1,),)</f>
        <v>16.571999999999999</v>
      </c>
      <c r="C313" s="33">
        <f>(Table10[[#This Row],[Industrial Production ]]-B301)/B301</f>
        <v>6.9568416364938893E-2</v>
      </c>
      <c r="D313" s="34">
        <f t="shared" si="4"/>
        <v>0.15589706575807918</v>
      </c>
    </row>
    <row r="314" spans="1:4" x14ac:dyDescent="0.35">
      <c r="A314" s="31">
        <v>16285</v>
      </c>
      <c r="B314" s="32">
        <f>VLOOKUP(Table10[[#This Row],[Month]],database!A:J,MATCH('IP from start'!$A$1,database!$A$1:$J$1,),)</f>
        <v>16.787600000000001</v>
      </c>
      <c r="C314" s="33">
        <f>(Table10[[#This Row],[Industrial Production ]]-B302)/B302</f>
        <v>6.133080448869925E-2</v>
      </c>
      <c r="D314" s="34">
        <f t="shared" si="4"/>
        <v>0.14157473986963723</v>
      </c>
    </row>
    <row r="315" spans="1:4" x14ac:dyDescent="0.35">
      <c r="A315" s="31">
        <v>16316</v>
      </c>
      <c r="B315" s="32">
        <f>VLOOKUP(Table10[[#This Row],[Month]],database!A:J,MATCH('IP from start'!$A$1,database!$A$1:$J$1,),)</f>
        <v>16.6798</v>
      </c>
      <c r="C315" s="33">
        <f>(Table10[[#This Row],[Industrial Production ]]-B303)/B303</f>
        <v>2.8239950190177464E-2</v>
      </c>
      <c r="D315" s="34">
        <f t="shared" si="4"/>
        <v>0.12424999992617125</v>
      </c>
    </row>
    <row r="316" spans="1:4" x14ac:dyDescent="0.35">
      <c r="A316" s="31">
        <v>16346</v>
      </c>
      <c r="B316" s="32">
        <f>VLOOKUP(Table10[[#This Row],[Month]],database!A:J,MATCH('IP from start'!$A$1,database!$A$1:$J$1,),)</f>
        <v>16.733699999999999</v>
      </c>
      <c r="C316" s="33">
        <f>(Table10[[#This Row],[Industrial Production ]]-B304)/B304</f>
        <v>1.6368848774917528E-2</v>
      </c>
      <c r="D316" s="34">
        <f t="shared" si="4"/>
        <v>0.10772144363464126</v>
      </c>
    </row>
    <row r="317" spans="1:4" x14ac:dyDescent="0.35">
      <c r="A317" s="31">
        <v>16377</v>
      </c>
      <c r="B317" s="32">
        <f>VLOOKUP(Table10[[#This Row],[Month]],database!A:J,MATCH('IP from start'!$A$1,database!$A$1:$J$1,),)</f>
        <v>16.5989</v>
      </c>
      <c r="C317" s="33">
        <f>(Table10[[#This Row],[Industrial Production ]]-B305)/B305</f>
        <v>-4.8501780596889501E-3</v>
      </c>
      <c r="D317" s="34">
        <f t="shared" si="4"/>
        <v>9.0488941743043338E-2</v>
      </c>
    </row>
    <row r="318" spans="1:4" x14ac:dyDescent="0.35">
      <c r="A318" s="31">
        <v>16407</v>
      </c>
      <c r="B318" s="32">
        <f>VLOOKUP(Table10[[#This Row],[Month]],database!A:J,MATCH('IP from start'!$A$1,database!$A$1:$J$1,),)</f>
        <v>16.545000000000002</v>
      </c>
      <c r="C318" s="33">
        <f>(Table10[[#This Row],[Industrial Production ]]-B306)/B306</f>
        <v>4.9076177403092752E-3</v>
      </c>
      <c r="D318" s="34">
        <f t="shared" si="4"/>
        <v>7.7615113969558031E-2</v>
      </c>
    </row>
    <row r="319" spans="1:4" x14ac:dyDescent="0.35">
      <c r="A319" s="31">
        <v>16438</v>
      </c>
      <c r="B319" s="32">
        <f>VLOOKUP(Table10[[#This Row],[Month]],database!A:J,MATCH('IP from start'!$A$1,database!$A$1:$J$1,),)</f>
        <v>16.383400000000002</v>
      </c>
      <c r="C319" s="33">
        <f>(Table10[[#This Row],[Industrial Production ]]-B307)/B307</f>
        <v>-1.6177459646425672E-2</v>
      </c>
      <c r="D319" s="34">
        <f t="shared" si="4"/>
        <v>6.2796354173007884E-2</v>
      </c>
    </row>
    <row r="320" spans="1:4" x14ac:dyDescent="0.35">
      <c r="A320" s="31">
        <v>16469</v>
      </c>
      <c r="B320" s="32">
        <f>VLOOKUP(Table10[[#This Row],[Month]],database!A:J,MATCH('IP from start'!$A$1,database!$A$1:$J$1,),)</f>
        <v>16.329499999999999</v>
      </c>
      <c r="C320" s="33">
        <f>(Table10[[#This Row],[Industrial Production ]]-B308)/B308</f>
        <v>-2.7287998284448146E-2</v>
      </c>
      <c r="D320" s="34">
        <f t="shared" si="4"/>
        <v>4.877003602406399E-2</v>
      </c>
    </row>
    <row r="321" spans="1:4" x14ac:dyDescent="0.35">
      <c r="A321" s="31">
        <v>16497</v>
      </c>
      <c r="B321" s="32">
        <f>VLOOKUP(Table10[[#This Row],[Month]],database!A:J,MATCH('IP from start'!$A$1,database!$A$1:$J$1,),)</f>
        <v>16.221699999999998</v>
      </c>
      <c r="C321" s="33">
        <f>(Table10[[#This Row],[Industrial Production ]]-B309)/B309</f>
        <v>-3.2152786893070759E-2</v>
      </c>
      <c r="D321" s="34">
        <f t="shared" si="4"/>
        <v>3.5181760897557035E-2</v>
      </c>
    </row>
    <row r="322" spans="1:4" x14ac:dyDescent="0.35">
      <c r="A322" s="31">
        <v>16528</v>
      </c>
      <c r="B322" s="32">
        <f>VLOOKUP(Table10[[#This Row],[Month]],database!A:J,MATCH('IP from start'!$A$1,database!$A$1:$J$1,),)</f>
        <v>15.9253</v>
      </c>
      <c r="C322" s="33">
        <f>(Table10[[#This Row],[Industrial Production ]]-B310)/B310</f>
        <v>-4.9837118002935464E-2</v>
      </c>
      <c r="D322" s="34">
        <f t="shared" si="4"/>
        <v>2.130401179968831E-2</v>
      </c>
    </row>
    <row r="323" spans="1:4" x14ac:dyDescent="0.35">
      <c r="A323" s="31">
        <v>16558</v>
      </c>
      <c r="B323" s="32">
        <f>VLOOKUP(Table10[[#This Row],[Month]],database!A:J,MATCH('IP from start'!$A$1,database!$A$1:$J$1,),)</f>
        <v>15.4941</v>
      </c>
      <c r="C323" s="33">
        <f>(Table10[[#This Row],[Industrial Production ]]-B311)/B311</f>
        <v>-6.9579890468870087E-2</v>
      </c>
      <c r="D323" s="34">
        <f t="shared" si="4"/>
        <v>7.0388943581225659E-3</v>
      </c>
    </row>
    <row r="324" spans="1:4" x14ac:dyDescent="0.35">
      <c r="A324" s="31">
        <v>16589</v>
      </c>
      <c r="B324" s="32">
        <f>VLOOKUP(Table10[[#This Row],[Month]],database!A:J,MATCH('IP from start'!$A$1,database!$A$1:$J$1,),)</f>
        <v>15.143800000000001</v>
      </c>
      <c r="C324" s="33">
        <f>(Table10[[#This Row],[Industrial Production ]]-B312)/B312</f>
        <v>-8.7662435462590879E-2</v>
      </c>
      <c r="D324" s="34">
        <f t="shared" si="4"/>
        <v>-8.927685771582294E-3</v>
      </c>
    </row>
    <row r="325" spans="1:4" x14ac:dyDescent="0.35">
      <c r="A325" s="31">
        <v>16619</v>
      </c>
      <c r="B325" s="32">
        <f>VLOOKUP(Table10[[#This Row],[Month]],database!A:J,MATCH('IP from start'!$A$1,database!$A$1:$J$1,),)</f>
        <v>14.7935</v>
      </c>
      <c r="C325" s="33">
        <f>(Table10[[#This Row],[Industrial Production ]]-B313)/B313</f>
        <v>-0.10731957518706248</v>
      </c>
      <c r="D325" s="34">
        <f t="shared" si="4"/>
        <v>-2.3668351734249079E-2</v>
      </c>
    </row>
    <row r="326" spans="1:4" x14ac:dyDescent="0.35">
      <c r="A326" s="31">
        <v>16650</v>
      </c>
      <c r="B326" s="32">
        <f>VLOOKUP(Table10[[#This Row],[Month]],database!A:J,MATCH('IP from start'!$A$1,database!$A$1:$J$1,),)</f>
        <v>13.2576</v>
      </c>
      <c r="C326" s="33">
        <f>(Table10[[#This Row],[Industrial Production ]]-B314)/B314</f>
        <v>-0.2102742500416975</v>
      </c>
      <c r="D326" s="34">
        <f t="shared" si="4"/>
        <v>-4.6302106278448808E-2</v>
      </c>
    </row>
    <row r="327" spans="1:4" x14ac:dyDescent="0.35">
      <c r="A327" s="31">
        <v>16681</v>
      </c>
      <c r="B327" s="32">
        <f>VLOOKUP(Table10[[#This Row],[Month]],database!A:J,MATCH('IP from start'!$A$1,database!$A$1:$J$1,),)</f>
        <v>12.071999999999999</v>
      </c>
      <c r="C327" s="33">
        <f>(Table10[[#This Row],[Industrial Production ]]-B315)/B315</f>
        <v>-0.27625031475197548</v>
      </c>
      <c r="D327" s="34">
        <f t="shared" si="4"/>
        <v>-7.1676295023628225E-2</v>
      </c>
    </row>
    <row r="328" spans="1:4" x14ac:dyDescent="0.35">
      <c r="A328" s="31">
        <v>16711</v>
      </c>
      <c r="B328" s="32">
        <f>VLOOKUP(Table10[[#This Row],[Month]],database!A:J,MATCH('IP from start'!$A$1,database!$A$1:$J$1,),)</f>
        <v>11.5869</v>
      </c>
      <c r="C328" s="33">
        <f>(Table10[[#This Row],[Industrial Production ]]-B316)/B316</f>
        <v>-0.30757094964054565</v>
      </c>
      <c r="D328" s="34">
        <f t="shared" si="4"/>
        <v>-9.8671278224916822E-2</v>
      </c>
    </row>
    <row r="329" spans="1:4" x14ac:dyDescent="0.35">
      <c r="A329" s="31">
        <v>16742</v>
      </c>
      <c r="B329" s="32">
        <f>VLOOKUP(Table10[[#This Row],[Month]],database!A:J,MATCH('IP from start'!$A$1,database!$A$1:$J$1,),)</f>
        <v>12.0181</v>
      </c>
      <c r="C329" s="33">
        <f>(Table10[[#This Row],[Industrial Production ]]-B317)/B317</f>
        <v>-0.27597009440384601</v>
      </c>
      <c r="D329" s="34">
        <f t="shared" si="4"/>
        <v>-0.12126460458692989</v>
      </c>
    </row>
    <row r="330" spans="1:4" x14ac:dyDescent="0.35">
      <c r="A330" s="31">
        <v>16772</v>
      </c>
      <c r="B330" s="32">
        <f>VLOOKUP(Table10[[#This Row],[Month]],database!A:J,MATCH('IP from start'!$A$1,database!$A$1:$J$1,),)</f>
        <v>12.071999999999999</v>
      </c>
      <c r="C330" s="33">
        <f>(Table10[[#This Row],[Industrial Production ]]-B318)/B318</f>
        <v>-0.27035358114233921</v>
      </c>
      <c r="D330" s="34">
        <f t="shared" si="4"/>
        <v>-0.1442030378271506</v>
      </c>
    </row>
    <row r="331" spans="1:4" x14ac:dyDescent="0.35">
      <c r="A331" s="31">
        <v>16803</v>
      </c>
      <c r="B331" s="32">
        <f>VLOOKUP(Table10[[#This Row],[Month]],database!A:J,MATCH('IP from start'!$A$1,database!$A$1:$J$1,),)</f>
        <v>11.398300000000001</v>
      </c>
      <c r="C331" s="33">
        <f>(Table10[[#This Row],[Industrial Production ]]-B319)/B319</f>
        <v>-0.30427750039674306</v>
      </c>
      <c r="D331" s="34">
        <f t="shared" si="4"/>
        <v>-0.16821137455634372</v>
      </c>
    </row>
    <row r="332" spans="1:4" x14ac:dyDescent="0.35">
      <c r="A332" s="31">
        <v>16834</v>
      </c>
      <c r="B332" s="32">
        <f>VLOOKUP(Table10[[#This Row],[Month]],database!A:J,MATCH('IP from start'!$A$1,database!$A$1:$J$1,),)</f>
        <v>10.8324</v>
      </c>
      <c r="C332" s="33">
        <f>(Table10[[#This Row],[Industrial Production ]]-B320)/B320</f>
        <v>-0.33663614930034597</v>
      </c>
      <c r="D332" s="34">
        <f t="shared" si="4"/>
        <v>-0.19399038714100189</v>
      </c>
    </row>
    <row r="333" spans="1:4" x14ac:dyDescent="0.35">
      <c r="A333" s="31">
        <v>16862</v>
      </c>
      <c r="B333" s="32">
        <f>VLOOKUP(Table10[[#This Row],[Month]],database!A:J,MATCH('IP from start'!$A$1,database!$A$1:$J$1,),)</f>
        <v>11.9642</v>
      </c>
      <c r="C333" s="33">
        <f>(Table10[[#This Row],[Industrial Production ]]-B321)/B321</f>
        <v>-0.26245707909775173</v>
      </c>
      <c r="D333" s="34">
        <f t="shared" si="4"/>
        <v>-0.21318241149139194</v>
      </c>
    </row>
    <row r="334" spans="1:4" x14ac:dyDescent="0.35">
      <c r="A334" s="31">
        <v>16893</v>
      </c>
      <c r="B334" s="32">
        <f>VLOOKUP(Table10[[#This Row],[Month]],database!A:J,MATCH('IP from start'!$A$1,database!$A$1:$J$1,),)</f>
        <v>11.7486</v>
      </c>
      <c r="C334" s="33">
        <f>(Table10[[#This Row],[Industrial Production ]]-B322)/B322</f>
        <v>-0.26226821472750905</v>
      </c>
      <c r="D334" s="34">
        <f t="shared" si="4"/>
        <v>-0.23088500288510647</v>
      </c>
    </row>
    <row r="335" spans="1:4" x14ac:dyDescent="0.35">
      <c r="A335" s="31">
        <v>16923</v>
      </c>
      <c r="B335" s="32">
        <f>VLOOKUP(Table10[[#This Row],[Month]],database!A:J,MATCH('IP from start'!$A$1,database!$A$1:$J$1,),)</f>
        <v>11.317500000000001</v>
      </c>
      <c r="C335" s="33">
        <f>(Table10[[#This Row],[Industrial Production ]]-B323)/B323</f>
        <v>-0.2695606714814025</v>
      </c>
      <c r="D335" s="34">
        <f t="shared" si="4"/>
        <v>-0.24755006796948412</v>
      </c>
    </row>
    <row r="336" spans="1:4" x14ac:dyDescent="0.35">
      <c r="A336" s="31">
        <v>16954</v>
      </c>
      <c r="B336" s="32">
        <f>VLOOKUP(Table10[[#This Row],[Month]],database!A:J,MATCH('IP from start'!$A$1,database!$A$1:$J$1,),)</f>
        <v>12.0181</v>
      </c>
      <c r="C336" s="33">
        <f>(Table10[[#This Row],[Industrial Production ]]-B324)/B324</f>
        <v>-0.20640129954172665</v>
      </c>
      <c r="D336" s="34">
        <f t="shared" si="4"/>
        <v>-0.25744497330941207</v>
      </c>
    </row>
    <row r="337" spans="1:4" x14ac:dyDescent="0.35">
      <c r="A337" s="31">
        <v>16984</v>
      </c>
      <c r="B337" s="32">
        <f>VLOOKUP(Table10[[#This Row],[Month]],database!A:J,MATCH('IP from start'!$A$1,database!$A$1:$J$1,),)</f>
        <v>12.4223</v>
      </c>
      <c r="C337" s="33">
        <f>(Table10[[#This Row],[Industrial Production ]]-B325)/B325</f>
        <v>-0.16028661236353803</v>
      </c>
      <c r="D337" s="34">
        <f t="shared" si="4"/>
        <v>-0.26185889307411842</v>
      </c>
    </row>
    <row r="338" spans="1:4" x14ac:dyDescent="0.35">
      <c r="A338" s="31">
        <v>17015</v>
      </c>
      <c r="B338" s="32">
        <f>VLOOKUP(Table10[[#This Row],[Month]],database!A:J,MATCH('IP from start'!$A$1,database!$A$1:$J$1,),)</f>
        <v>12.8803</v>
      </c>
      <c r="C338" s="33">
        <f>(Table10[[#This Row],[Industrial Production ]]-B326)/B326</f>
        <v>-2.8459147960415154E-2</v>
      </c>
      <c r="D338" s="34">
        <f t="shared" si="4"/>
        <v>-0.2467076345673449</v>
      </c>
    </row>
    <row r="339" spans="1:4" x14ac:dyDescent="0.35">
      <c r="A339" s="31">
        <v>17046</v>
      </c>
      <c r="B339" s="32">
        <f>VLOOKUP(Table10[[#This Row],[Month]],database!A:J,MATCH('IP from start'!$A$1,database!$A$1:$J$1,),)</f>
        <v>13.1229</v>
      </c>
      <c r="C339" s="33">
        <f>(Table10[[#This Row],[Industrial Production ]]-B327)/B327</f>
        <v>8.7052683896620311E-2</v>
      </c>
      <c r="D339" s="34">
        <f t="shared" si="4"/>
        <v>-0.21643238467996193</v>
      </c>
    </row>
    <row r="340" spans="1:4" x14ac:dyDescent="0.35">
      <c r="A340" s="31">
        <v>17076</v>
      </c>
      <c r="B340" s="32">
        <f>VLOOKUP(Table10[[#This Row],[Month]],database!A:J,MATCH('IP from start'!$A$1,database!$A$1:$J$1,),)</f>
        <v>13.365399999999999</v>
      </c>
      <c r="C340" s="33">
        <f>(Table10[[#This Row],[Industrial Production ]]-B328)/B328</f>
        <v>0.1534923059662204</v>
      </c>
      <c r="D340" s="34">
        <f t="shared" si="4"/>
        <v>-0.17801044671273139</v>
      </c>
    </row>
    <row r="341" spans="1:4" x14ac:dyDescent="0.35">
      <c r="A341" s="31">
        <v>17107</v>
      </c>
      <c r="B341" s="32">
        <f>VLOOKUP(Table10[[#This Row],[Month]],database!A:J,MATCH('IP from start'!$A$1,database!$A$1:$J$1,),)</f>
        <v>13.446199999999999</v>
      </c>
      <c r="C341" s="33">
        <f>(Table10[[#This Row],[Industrial Production ]]-B329)/B329</f>
        <v>0.11882909944167537</v>
      </c>
      <c r="D341" s="34">
        <f t="shared" si="4"/>
        <v>-0.14511051389227131</v>
      </c>
    </row>
    <row r="342" spans="1:4" x14ac:dyDescent="0.35">
      <c r="A342" s="31">
        <v>17137</v>
      </c>
      <c r="B342" s="32">
        <f>VLOOKUP(Table10[[#This Row],[Month]],database!A:J,MATCH('IP from start'!$A$1,database!$A$1:$J$1,),)</f>
        <v>13.527100000000001</v>
      </c>
      <c r="C342" s="33">
        <f>(Table10[[#This Row],[Industrial Production ]]-B330)/B330</f>
        <v>0.120535122597747</v>
      </c>
      <c r="D342" s="34">
        <f t="shared" si="4"/>
        <v>-0.11253645524726412</v>
      </c>
    </row>
    <row r="343" spans="1:4" x14ac:dyDescent="0.35">
      <c r="A343" s="31">
        <v>17168</v>
      </c>
      <c r="B343" s="32">
        <f>VLOOKUP(Table10[[#This Row],[Month]],database!A:J,MATCH('IP from start'!$A$1,database!$A$1:$J$1,),)</f>
        <v>13.688700000000001</v>
      </c>
      <c r="C343" s="33">
        <f>(Table10[[#This Row],[Industrial Production ]]-B331)/B331</f>
        <v>0.20094224577349251</v>
      </c>
      <c r="D343" s="34">
        <f t="shared" si="4"/>
        <v>-7.043480973307778E-2</v>
      </c>
    </row>
    <row r="344" spans="1:4" x14ac:dyDescent="0.35">
      <c r="A344" s="31">
        <v>17199</v>
      </c>
      <c r="B344" s="32">
        <f>VLOOKUP(Table10[[#This Row],[Month]],database!A:J,MATCH('IP from start'!$A$1,database!$A$1:$J$1,),)</f>
        <v>13.769600000000001</v>
      </c>
      <c r="C344" s="33">
        <f>(Table10[[#This Row],[Industrial Production ]]-B332)/B332</f>
        <v>0.27114951441970392</v>
      </c>
      <c r="D344" s="34">
        <f t="shared" si="4"/>
        <v>-1.9786004423073617E-2</v>
      </c>
    </row>
    <row r="345" spans="1:4" x14ac:dyDescent="0.35">
      <c r="A345" s="31">
        <v>17227</v>
      </c>
      <c r="B345" s="32">
        <f>VLOOKUP(Table10[[#This Row],[Month]],database!A:J,MATCH('IP from start'!$A$1,database!$A$1:$J$1,),)</f>
        <v>13.8504</v>
      </c>
      <c r="C345" s="33">
        <f>(Table10[[#This Row],[Industrial Production ]]-B333)/B333</f>
        <v>0.15765366677253811</v>
      </c>
      <c r="D345" s="34">
        <f t="shared" si="4"/>
        <v>1.5223224399450536E-2</v>
      </c>
    </row>
    <row r="346" spans="1:4" x14ac:dyDescent="0.35">
      <c r="A346" s="31">
        <v>17258</v>
      </c>
      <c r="B346" s="32">
        <f>VLOOKUP(Table10[[#This Row],[Month]],database!A:J,MATCH('IP from start'!$A$1,database!$A$1:$J$1,),)</f>
        <v>13.742599999999999</v>
      </c>
      <c r="C346" s="33">
        <f>(Table10[[#This Row],[Industrial Production ]]-B334)/B334</f>
        <v>0.16972234989700899</v>
      </c>
      <c r="D346" s="34">
        <f t="shared" si="4"/>
        <v>5.1222438118160372E-2</v>
      </c>
    </row>
    <row r="347" spans="1:4" x14ac:dyDescent="0.35">
      <c r="A347" s="31">
        <v>17288</v>
      </c>
      <c r="B347" s="32">
        <f>VLOOKUP(Table10[[#This Row],[Month]],database!A:J,MATCH('IP from start'!$A$1,database!$A$1:$J$1,),)</f>
        <v>13.7965</v>
      </c>
      <c r="C347" s="33">
        <f>(Table10[[#This Row],[Industrial Production ]]-B335)/B335</f>
        <v>0.21904130770929967</v>
      </c>
      <c r="D347" s="34">
        <f t="shared" si="4"/>
        <v>9.193926971738553E-2</v>
      </c>
    </row>
    <row r="348" spans="1:4" x14ac:dyDescent="0.35">
      <c r="A348" s="31">
        <v>17319</v>
      </c>
      <c r="B348" s="32">
        <f>VLOOKUP(Table10[[#This Row],[Month]],database!A:J,MATCH('IP from start'!$A$1,database!$A$1:$J$1,),)</f>
        <v>13.7965</v>
      </c>
      <c r="C348" s="33">
        <f>(Table10[[#This Row],[Industrial Production ]]-B336)/B336</f>
        <v>0.14797680165749991</v>
      </c>
      <c r="D348" s="34">
        <f t="shared" si="4"/>
        <v>0.12147077815065442</v>
      </c>
    </row>
    <row r="349" spans="1:4" x14ac:dyDescent="0.35">
      <c r="A349" s="31">
        <v>17349</v>
      </c>
      <c r="B349" s="32">
        <f>VLOOKUP(Table10[[#This Row],[Month]],database!A:J,MATCH('IP from start'!$A$1,database!$A$1:$J$1,),)</f>
        <v>13.7157</v>
      </c>
      <c r="C349" s="33">
        <f>(Table10[[#This Row],[Industrial Production ]]-B337)/B337</f>
        <v>0.10411920497814416</v>
      </c>
      <c r="D349" s="34">
        <f t="shared" si="4"/>
        <v>0.14350459626246126</v>
      </c>
    </row>
    <row r="350" spans="1:4" x14ac:dyDescent="0.35">
      <c r="A350" s="31">
        <v>17380</v>
      </c>
      <c r="B350" s="32">
        <f>VLOOKUP(Table10[[#This Row],[Month]],database!A:J,MATCH('IP from start'!$A$1,database!$A$1:$J$1,),)</f>
        <v>13.7965</v>
      </c>
      <c r="C350" s="33">
        <f>(Table10[[#This Row],[Industrial Production ]]-B338)/B338</f>
        <v>7.1131883574140339E-2</v>
      </c>
      <c r="D350" s="34">
        <f t="shared" ref="D350:D413" si="5">AVERAGE(C339:C350)</f>
        <v>0.15180384889034088</v>
      </c>
    </row>
    <row r="351" spans="1:4" x14ac:dyDescent="0.35">
      <c r="A351" s="31">
        <v>17411</v>
      </c>
      <c r="B351" s="32">
        <f>VLOOKUP(Table10[[#This Row],[Month]],database!A:J,MATCH('IP from start'!$A$1,database!$A$1:$J$1,),)</f>
        <v>13.904299999999999</v>
      </c>
      <c r="C351" s="33">
        <f>(Table10[[#This Row],[Industrial Production ]]-B339)/B339</f>
        <v>5.9544765257679301E-2</v>
      </c>
      <c r="D351" s="34">
        <f t="shared" si="5"/>
        <v>0.1495115223370958</v>
      </c>
    </row>
    <row r="352" spans="1:4" x14ac:dyDescent="0.35">
      <c r="A352" s="31">
        <v>17441</v>
      </c>
      <c r="B352" s="32">
        <f>VLOOKUP(Table10[[#This Row],[Month]],database!A:J,MATCH('IP from start'!$A$1,database!$A$1:$J$1,),)</f>
        <v>14.039</v>
      </c>
      <c r="C352" s="33">
        <f>(Table10[[#This Row],[Industrial Production ]]-B340)/B340</f>
        <v>5.0398790907866614E-2</v>
      </c>
      <c r="D352" s="34">
        <f t="shared" si="5"/>
        <v>0.14092039608223297</v>
      </c>
    </row>
    <row r="353" spans="1:4" x14ac:dyDescent="0.35">
      <c r="A353" s="31">
        <v>17472</v>
      </c>
      <c r="B353" s="32">
        <f>VLOOKUP(Table10[[#This Row],[Month]],database!A:J,MATCH('IP from start'!$A$1,database!$A$1:$J$1,),)</f>
        <v>14.2277</v>
      </c>
      <c r="C353" s="33">
        <f>(Table10[[#This Row],[Industrial Production ]]-B341)/B341</f>
        <v>5.8120509883833445E-2</v>
      </c>
      <c r="D353" s="34">
        <f t="shared" si="5"/>
        <v>0.13586134695241284</v>
      </c>
    </row>
    <row r="354" spans="1:4" x14ac:dyDescent="0.35">
      <c r="A354" s="31">
        <v>17502</v>
      </c>
      <c r="B354" s="32">
        <f>VLOOKUP(Table10[[#This Row],[Month]],database!A:J,MATCH('IP from start'!$A$1,database!$A$1:$J$1,),)</f>
        <v>14.281499999999999</v>
      </c>
      <c r="C354" s="33">
        <f>(Table10[[#This Row],[Industrial Production ]]-B342)/B342</f>
        <v>5.5769529315226364E-2</v>
      </c>
      <c r="D354" s="34">
        <f t="shared" si="5"/>
        <v>0.13046421417886944</v>
      </c>
    </row>
    <row r="355" spans="1:4" x14ac:dyDescent="0.35">
      <c r="A355" s="31">
        <v>17533</v>
      </c>
      <c r="B355" s="32">
        <f>VLOOKUP(Table10[[#This Row],[Month]],database!A:J,MATCH('IP from start'!$A$1,database!$A$1:$J$1,),)</f>
        <v>14.362399999999999</v>
      </c>
      <c r="C355" s="33">
        <f>(Table10[[#This Row],[Industrial Production ]]-B343)/B343</f>
        <v>4.9215776516396616E-2</v>
      </c>
      <c r="D355" s="34">
        <f t="shared" si="5"/>
        <v>0.11782034174077811</v>
      </c>
    </row>
    <row r="356" spans="1:4" x14ac:dyDescent="0.35">
      <c r="A356" s="31">
        <v>17564</v>
      </c>
      <c r="B356" s="32">
        <f>VLOOKUP(Table10[[#This Row],[Month]],database!A:J,MATCH('IP from start'!$A$1,database!$A$1:$J$1,),)</f>
        <v>14.3893</v>
      </c>
      <c r="C356" s="33">
        <f>(Table10[[#This Row],[Industrial Production ]]-B344)/B344</f>
        <v>4.5004938415059252E-2</v>
      </c>
      <c r="D356" s="34">
        <f t="shared" si="5"/>
        <v>9.8974960407057722E-2</v>
      </c>
    </row>
    <row r="357" spans="1:4" x14ac:dyDescent="0.35">
      <c r="A357" s="31">
        <v>17593</v>
      </c>
      <c r="B357" s="32">
        <f>VLOOKUP(Table10[[#This Row],[Month]],database!A:J,MATCH('IP from start'!$A$1,database!$A$1:$J$1,),)</f>
        <v>14.2277</v>
      </c>
      <c r="C357" s="33">
        <f>(Table10[[#This Row],[Industrial Production ]]-B345)/B345</f>
        <v>2.7241090510021368E-2</v>
      </c>
      <c r="D357" s="34">
        <f t="shared" si="5"/>
        <v>8.8107245718514651E-2</v>
      </c>
    </row>
    <row r="358" spans="1:4" x14ac:dyDescent="0.35">
      <c r="A358" s="31">
        <v>17624</v>
      </c>
      <c r="B358" s="32">
        <f>VLOOKUP(Table10[[#This Row],[Month]],database!A:J,MATCH('IP from start'!$A$1,database!$A$1:$J$1,),)</f>
        <v>14.2546</v>
      </c>
      <c r="C358" s="33">
        <f>(Table10[[#This Row],[Industrial Production ]]-B346)/B346</f>
        <v>3.7256414361183508E-2</v>
      </c>
      <c r="D358" s="34">
        <f t="shared" si="5"/>
        <v>7.7068417757195876E-2</v>
      </c>
    </row>
    <row r="359" spans="1:4" x14ac:dyDescent="0.35">
      <c r="A359" s="31">
        <v>17654</v>
      </c>
      <c r="B359" s="32">
        <f>VLOOKUP(Table10[[#This Row],[Month]],database!A:J,MATCH('IP from start'!$A$1,database!$A$1:$J$1,),)</f>
        <v>14.4971</v>
      </c>
      <c r="C359" s="33">
        <f>(Table10[[#This Row],[Industrial Production ]]-B347)/B347</f>
        <v>5.0780995179936915E-2</v>
      </c>
      <c r="D359" s="34">
        <f t="shared" si="5"/>
        <v>6.3046725046415661E-2</v>
      </c>
    </row>
    <row r="360" spans="1:4" x14ac:dyDescent="0.35">
      <c r="A360" s="31">
        <v>17685</v>
      </c>
      <c r="B360" s="32">
        <f>VLOOKUP(Table10[[#This Row],[Month]],database!A:J,MATCH('IP from start'!$A$1,database!$A$1:$J$1,),)</f>
        <v>14.685700000000001</v>
      </c>
      <c r="C360" s="33">
        <f>(Table10[[#This Row],[Industrial Production ]]-B348)/B348</f>
        <v>6.4451128909506078E-2</v>
      </c>
      <c r="D360" s="34">
        <f t="shared" si="5"/>
        <v>5.6086252317416173E-2</v>
      </c>
    </row>
    <row r="361" spans="1:4" x14ac:dyDescent="0.35">
      <c r="A361" s="31">
        <v>17715</v>
      </c>
      <c r="B361" s="32">
        <f>VLOOKUP(Table10[[#This Row],[Month]],database!A:J,MATCH('IP from start'!$A$1,database!$A$1:$J$1,),)</f>
        <v>14.685700000000001</v>
      </c>
      <c r="C361" s="33">
        <f>(Table10[[#This Row],[Industrial Production ]]-B349)/B349</f>
        <v>7.0721873473464758E-2</v>
      </c>
      <c r="D361" s="34">
        <f t="shared" si="5"/>
        <v>5.3303141358692886E-2</v>
      </c>
    </row>
    <row r="362" spans="1:4" x14ac:dyDescent="0.35">
      <c r="A362" s="31">
        <v>17746</v>
      </c>
      <c r="B362" s="32">
        <f>VLOOKUP(Table10[[#This Row],[Month]],database!A:J,MATCH('IP from start'!$A$1,database!$A$1:$J$1,),)</f>
        <v>14.6318</v>
      </c>
      <c r="C362" s="33">
        <f>(Table10[[#This Row],[Industrial Production ]]-B350)/B350</f>
        <v>6.054434095603959E-2</v>
      </c>
      <c r="D362" s="34">
        <f t="shared" si="5"/>
        <v>5.2420846140517806E-2</v>
      </c>
    </row>
    <row r="363" spans="1:4" x14ac:dyDescent="0.35">
      <c r="A363" s="31">
        <v>17777</v>
      </c>
      <c r="B363" s="32">
        <f>VLOOKUP(Table10[[#This Row],[Month]],database!A:J,MATCH('IP from start'!$A$1,database!$A$1:$J$1,),)</f>
        <v>14.524100000000001</v>
      </c>
      <c r="C363" s="33">
        <f>(Table10[[#This Row],[Industrial Production ]]-B351)/B351</f>
        <v>4.4576138316923648E-2</v>
      </c>
      <c r="D363" s="34">
        <f t="shared" si="5"/>
        <v>5.1173460562121499E-2</v>
      </c>
    </row>
    <row r="364" spans="1:4" x14ac:dyDescent="0.35">
      <c r="A364" s="31">
        <v>17807</v>
      </c>
      <c r="B364" s="32">
        <f>VLOOKUP(Table10[[#This Row],[Month]],database!A:J,MATCH('IP from start'!$A$1,database!$A$1:$J$1,),)</f>
        <v>14.6319</v>
      </c>
      <c r="C364" s="33">
        <f>(Table10[[#This Row],[Industrial Production ]]-B352)/B352</f>
        <v>4.2232352731676061E-2</v>
      </c>
      <c r="D364" s="34">
        <f t="shared" si="5"/>
        <v>5.0492924047438964E-2</v>
      </c>
    </row>
    <row r="365" spans="1:4" x14ac:dyDescent="0.35">
      <c r="A365" s="31">
        <v>17838</v>
      </c>
      <c r="B365" s="32">
        <f>VLOOKUP(Table10[[#This Row],[Month]],database!A:J,MATCH('IP from start'!$A$1,database!$A$1:$J$1,),)</f>
        <v>14.443199999999999</v>
      </c>
      <c r="C365" s="33">
        <f>(Table10[[#This Row],[Industrial Production ]]-B353)/B353</f>
        <v>1.5146509977016573E-2</v>
      </c>
      <c r="D365" s="34">
        <f t="shared" si="5"/>
        <v>4.6911757388537562E-2</v>
      </c>
    </row>
    <row r="366" spans="1:4" x14ac:dyDescent="0.35">
      <c r="A366" s="31">
        <v>17868</v>
      </c>
      <c r="B366" s="32">
        <f>VLOOKUP(Table10[[#This Row],[Month]],database!A:J,MATCH('IP from start'!$A$1,database!$A$1:$J$1,),)</f>
        <v>14.3085</v>
      </c>
      <c r="C366" s="33">
        <f>(Table10[[#This Row],[Industrial Production ]]-B354)/B354</f>
        <v>1.8905577145258568E-3</v>
      </c>
      <c r="D366" s="34">
        <f t="shared" si="5"/>
        <v>4.2421843088479183E-2</v>
      </c>
    </row>
    <row r="367" spans="1:4" x14ac:dyDescent="0.35">
      <c r="A367" s="31">
        <v>17899</v>
      </c>
      <c r="B367" s="32">
        <f>VLOOKUP(Table10[[#This Row],[Month]],database!A:J,MATCH('IP from start'!$A$1,database!$A$1:$J$1,),)</f>
        <v>14.1738</v>
      </c>
      <c r="C367" s="33">
        <f>(Table10[[#This Row],[Industrial Production ]]-B355)/B355</f>
        <v>-1.3131510054029913E-2</v>
      </c>
      <c r="D367" s="34">
        <f t="shared" si="5"/>
        <v>3.7226235874276974E-2</v>
      </c>
    </row>
    <row r="368" spans="1:4" x14ac:dyDescent="0.35">
      <c r="A368" s="31">
        <v>17930</v>
      </c>
      <c r="B368" s="32">
        <f>VLOOKUP(Table10[[#This Row],[Month]],database!A:J,MATCH('IP from start'!$A$1,database!$A$1:$J$1,),)</f>
        <v>14.039</v>
      </c>
      <c r="C368" s="33">
        <f>(Table10[[#This Row],[Industrial Production ]]-B356)/B356</f>
        <v>-2.4344478188654119E-2</v>
      </c>
      <c r="D368" s="34">
        <f t="shared" si="5"/>
        <v>3.144711782396753E-2</v>
      </c>
    </row>
    <row r="369" spans="1:4" x14ac:dyDescent="0.35">
      <c r="A369" s="31">
        <v>17958</v>
      </c>
      <c r="B369" s="32">
        <f>VLOOKUP(Table10[[#This Row],[Month]],database!A:J,MATCH('IP from start'!$A$1,database!$A$1:$J$1,),)</f>
        <v>13.769600000000001</v>
      </c>
      <c r="C369" s="33">
        <f>(Table10[[#This Row],[Industrial Production ]]-B357)/B357</f>
        <v>-3.2197755083393655E-2</v>
      </c>
      <c r="D369" s="34">
        <f t="shared" si="5"/>
        <v>2.6493880691182942E-2</v>
      </c>
    </row>
    <row r="370" spans="1:4" x14ac:dyDescent="0.35">
      <c r="A370" s="31">
        <v>17989</v>
      </c>
      <c r="B370" s="32">
        <f>VLOOKUP(Table10[[#This Row],[Month]],database!A:J,MATCH('IP from start'!$A$1,database!$A$1:$J$1,),)</f>
        <v>13.688700000000001</v>
      </c>
      <c r="C370" s="33">
        <f>(Table10[[#This Row],[Industrial Production ]]-B358)/B358</f>
        <v>-3.9699465435718936E-2</v>
      </c>
      <c r="D370" s="34">
        <f t="shared" si="5"/>
        <v>2.008089070810774E-2</v>
      </c>
    </row>
    <row r="371" spans="1:4" x14ac:dyDescent="0.35">
      <c r="A371" s="31">
        <v>18019</v>
      </c>
      <c r="B371" s="32">
        <f>VLOOKUP(Table10[[#This Row],[Month]],database!A:J,MATCH('IP from start'!$A$1,database!$A$1:$J$1,),)</f>
        <v>13.5001</v>
      </c>
      <c r="C371" s="33">
        <f>(Table10[[#This Row],[Industrial Production ]]-B359)/B359</f>
        <v>-6.8772375164688107E-2</v>
      </c>
      <c r="D371" s="34">
        <f t="shared" si="5"/>
        <v>1.0118109846055654E-2</v>
      </c>
    </row>
    <row r="372" spans="1:4" x14ac:dyDescent="0.35">
      <c r="A372" s="31">
        <v>18050</v>
      </c>
      <c r="B372" s="32">
        <f>VLOOKUP(Table10[[#This Row],[Month]],database!A:J,MATCH('IP from start'!$A$1,database!$A$1:$J$1,),)</f>
        <v>13.4732</v>
      </c>
      <c r="C372" s="33">
        <f>(Table10[[#This Row],[Industrial Production ]]-B360)/B360</f>
        <v>-8.2563309886488231E-2</v>
      </c>
      <c r="D372" s="34">
        <f t="shared" si="5"/>
        <v>-2.1330933869438732E-3</v>
      </c>
    </row>
    <row r="373" spans="1:4" x14ac:dyDescent="0.35">
      <c r="A373" s="31">
        <v>18080</v>
      </c>
      <c r="B373" s="32">
        <f>VLOOKUP(Table10[[#This Row],[Month]],database!A:J,MATCH('IP from start'!$A$1,database!$A$1:$J$1,),)</f>
        <v>13.446199999999999</v>
      </c>
      <c r="C373" s="33">
        <f>(Table10[[#This Row],[Industrial Production ]]-B361)/B361</f>
        <v>-8.4401833075713195E-2</v>
      </c>
      <c r="D373" s="34">
        <f t="shared" si="5"/>
        <v>-1.5060068932708698E-2</v>
      </c>
    </row>
    <row r="374" spans="1:4" x14ac:dyDescent="0.35">
      <c r="A374" s="31">
        <v>18111</v>
      </c>
      <c r="B374" s="32">
        <f>VLOOKUP(Table10[[#This Row],[Month]],database!A:J,MATCH('IP from start'!$A$1,database!$A$1:$J$1,),)</f>
        <v>13.5809</v>
      </c>
      <c r="C374" s="33">
        <f>(Table10[[#This Row],[Industrial Production ]]-B362)/B362</f>
        <v>-7.1823015623504988E-2</v>
      </c>
      <c r="D374" s="34">
        <f t="shared" si="5"/>
        <v>-2.6090681981004088E-2</v>
      </c>
    </row>
    <row r="375" spans="1:4" x14ac:dyDescent="0.35">
      <c r="A375" s="31">
        <v>18142</v>
      </c>
      <c r="B375" s="32">
        <f>VLOOKUP(Table10[[#This Row],[Month]],database!A:J,MATCH('IP from start'!$A$1,database!$A$1:$J$1,),)</f>
        <v>13.7157</v>
      </c>
      <c r="C375" s="33">
        <f>(Table10[[#This Row],[Industrial Production ]]-B363)/B363</f>
        <v>-5.5659214684558811E-2</v>
      </c>
      <c r="D375" s="34">
        <f t="shared" si="5"/>
        <v>-3.4443628064460961E-2</v>
      </c>
    </row>
    <row r="376" spans="1:4" x14ac:dyDescent="0.35">
      <c r="A376" s="31">
        <v>18172</v>
      </c>
      <c r="B376" s="32">
        <f>VLOOKUP(Table10[[#This Row],[Month]],database!A:J,MATCH('IP from start'!$A$1,database!$A$1:$J$1,),)</f>
        <v>13.2037</v>
      </c>
      <c r="C376" s="33">
        <f>(Table10[[#This Row],[Industrial Production ]]-B364)/B364</f>
        <v>-9.7608649594379426E-2</v>
      </c>
      <c r="D376" s="34">
        <f t="shared" si="5"/>
        <v>-4.609704492496558E-2</v>
      </c>
    </row>
    <row r="377" spans="1:4" x14ac:dyDescent="0.35">
      <c r="A377" s="31">
        <v>18203</v>
      </c>
      <c r="B377" s="32">
        <f>VLOOKUP(Table10[[#This Row],[Month]],database!A:J,MATCH('IP from start'!$A$1,database!$A$1:$J$1,),)</f>
        <v>13.554</v>
      </c>
      <c r="C377" s="33">
        <f>(Table10[[#This Row],[Industrial Production ]]-B365)/B365</f>
        <v>-6.1565304087736715E-2</v>
      </c>
      <c r="D377" s="34">
        <f t="shared" si="5"/>
        <v>-5.248969609702836E-2</v>
      </c>
    </row>
    <row r="378" spans="1:4" x14ac:dyDescent="0.35">
      <c r="A378" s="31">
        <v>18233</v>
      </c>
      <c r="B378" s="32">
        <f>VLOOKUP(Table10[[#This Row],[Month]],database!A:J,MATCH('IP from start'!$A$1,database!$A$1:$J$1,),)</f>
        <v>13.7965</v>
      </c>
      <c r="C378" s="33">
        <f>(Table10[[#This Row],[Industrial Production ]]-B366)/B366</f>
        <v>-3.578292623265894E-2</v>
      </c>
      <c r="D378" s="34">
        <f t="shared" si="5"/>
        <v>-5.5629153092627094E-2</v>
      </c>
    </row>
    <row r="379" spans="1:4" x14ac:dyDescent="0.35">
      <c r="A379" s="31">
        <v>18264</v>
      </c>
      <c r="B379" s="32">
        <f>VLOOKUP(Table10[[#This Row],[Month]],database!A:J,MATCH('IP from start'!$A$1,database!$A$1:$J$1,),)</f>
        <v>14.039</v>
      </c>
      <c r="C379" s="33">
        <f>(Table10[[#This Row],[Industrial Production ]]-B367)/B367</f>
        <v>-9.5105052985085328E-3</v>
      </c>
      <c r="D379" s="34">
        <f t="shared" si="5"/>
        <v>-5.5327402696333648E-2</v>
      </c>
    </row>
    <row r="380" spans="1:4" x14ac:dyDescent="0.35">
      <c r="A380" s="31">
        <v>18295</v>
      </c>
      <c r="B380" s="32">
        <f>VLOOKUP(Table10[[#This Row],[Month]],database!A:J,MATCH('IP from start'!$A$1,database!$A$1:$J$1,),)</f>
        <v>14.0929</v>
      </c>
      <c r="C380" s="33">
        <f>(Table10[[#This Row],[Industrial Production ]]-B368)/B368</f>
        <v>3.8393047937887673E-3</v>
      </c>
      <c r="D380" s="34">
        <f t="shared" si="5"/>
        <v>-5.29787541144634E-2</v>
      </c>
    </row>
    <row r="381" spans="1:4" x14ac:dyDescent="0.35">
      <c r="A381" s="31">
        <v>18323</v>
      </c>
      <c r="B381" s="32">
        <f>VLOOKUP(Table10[[#This Row],[Month]],database!A:J,MATCH('IP from start'!$A$1,database!$A$1:$J$1,),)</f>
        <v>14.551</v>
      </c>
      <c r="C381" s="33">
        <f>(Table10[[#This Row],[Industrial Production ]]-B369)/B369</f>
        <v>5.6748198930978357E-2</v>
      </c>
      <c r="D381" s="34">
        <f t="shared" si="5"/>
        <v>-4.55665912799324E-2</v>
      </c>
    </row>
    <row r="382" spans="1:4" x14ac:dyDescent="0.35">
      <c r="A382" s="31">
        <v>18354</v>
      </c>
      <c r="B382" s="32">
        <f>VLOOKUP(Table10[[#This Row],[Month]],database!A:J,MATCH('IP from start'!$A$1,database!$A$1:$J$1,),)</f>
        <v>15.036</v>
      </c>
      <c r="C382" s="33">
        <f>(Table10[[#This Row],[Industrial Production ]]-B370)/B370</f>
        <v>9.8424247737184598E-2</v>
      </c>
      <c r="D382" s="34">
        <f t="shared" si="5"/>
        <v>-3.4056281848857096E-2</v>
      </c>
    </row>
    <row r="383" spans="1:4" x14ac:dyDescent="0.35">
      <c r="A383" s="31">
        <v>18384</v>
      </c>
      <c r="B383" s="32">
        <f>VLOOKUP(Table10[[#This Row],[Month]],database!A:J,MATCH('IP from start'!$A$1,database!$A$1:$J$1,),)</f>
        <v>15.3863</v>
      </c>
      <c r="C383" s="33">
        <f>(Table10[[#This Row],[Industrial Production ]]-B371)/B371</f>
        <v>0.13971748357419578</v>
      </c>
      <c r="D383" s="34">
        <f t="shared" si="5"/>
        <v>-1.6682126953950115E-2</v>
      </c>
    </row>
    <row r="384" spans="1:4" x14ac:dyDescent="0.35">
      <c r="A384" s="31">
        <v>18415</v>
      </c>
      <c r="B384" s="32">
        <f>VLOOKUP(Table10[[#This Row],[Month]],database!A:J,MATCH('IP from start'!$A$1,database!$A$1:$J$1,),)</f>
        <v>15.8444</v>
      </c>
      <c r="C384" s="33">
        <f>(Table10[[#This Row],[Industrial Production ]]-B372)/B372</f>
        <v>0.17599382477807796</v>
      </c>
      <c r="D384" s="34">
        <f t="shared" si="5"/>
        <v>4.8643009347637406E-3</v>
      </c>
    </row>
    <row r="385" spans="1:4" x14ac:dyDescent="0.35">
      <c r="A385" s="31">
        <v>18445</v>
      </c>
      <c r="B385" s="32">
        <f>VLOOKUP(Table10[[#This Row],[Month]],database!A:J,MATCH('IP from start'!$A$1,database!$A$1:$J$1,),)</f>
        <v>16.356400000000001</v>
      </c>
      <c r="C385" s="33">
        <f>(Table10[[#This Row],[Industrial Production ]]-B373)/B373</f>
        <v>0.21643289553926029</v>
      </c>
      <c r="D385" s="34">
        <f t="shared" si="5"/>
        <v>2.9933861652678195E-2</v>
      </c>
    </row>
    <row r="386" spans="1:4" x14ac:dyDescent="0.35">
      <c r="A386" s="31">
        <v>18476</v>
      </c>
      <c r="B386" s="32">
        <f>VLOOKUP(Table10[[#This Row],[Month]],database!A:J,MATCH('IP from start'!$A$1,database!$A$1:$J$1,),)</f>
        <v>16.868400000000001</v>
      </c>
      <c r="C386" s="33">
        <f>(Table10[[#This Row],[Industrial Production ]]-B374)/B374</f>
        <v>0.24206790418897139</v>
      </c>
      <c r="D386" s="34">
        <f t="shared" si="5"/>
        <v>5.6091438303717885E-2</v>
      </c>
    </row>
    <row r="387" spans="1:4" x14ac:dyDescent="0.35">
      <c r="A387" s="31">
        <v>18507</v>
      </c>
      <c r="B387" s="32">
        <f>VLOOKUP(Table10[[#This Row],[Month]],database!A:J,MATCH('IP from start'!$A$1,database!$A$1:$J$1,),)</f>
        <v>16.7606</v>
      </c>
      <c r="C387" s="33">
        <f>(Table10[[#This Row],[Industrial Production ]]-B375)/B375</f>
        <v>0.22200106447355952</v>
      </c>
      <c r="D387" s="34">
        <f t="shared" si="5"/>
        <v>7.922979490022776E-2</v>
      </c>
    </row>
    <row r="388" spans="1:4" x14ac:dyDescent="0.35">
      <c r="A388" s="31">
        <v>18537</v>
      </c>
      <c r="B388" s="32">
        <f>VLOOKUP(Table10[[#This Row],[Month]],database!A:J,MATCH('IP from start'!$A$1,database!$A$1:$J$1,),)</f>
        <v>16.868400000000001</v>
      </c>
      <c r="C388" s="33">
        <f>(Table10[[#This Row],[Industrial Production ]]-B376)/B376</f>
        <v>0.27755098949536883</v>
      </c>
      <c r="D388" s="34">
        <f t="shared" si="5"/>
        <v>0.11049309815770676</v>
      </c>
    </row>
    <row r="389" spans="1:4" x14ac:dyDescent="0.35">
      <c r="A389" s="31">
        <v>18568</v>
      </c>
      <c r="B389" s="32">
        <f>VLOOKUP(Table10[[#This Row],[Month]],database!A:J,MATCH('IP from start'!$A$1,database!$A$1:$J$1,),)</f>
        <v>16.8415</v>
      </c>
      <c r="C389" s="33">
        <f>(Table10[[#This Row],[Industrial Production ]]-B377)/B377</f>
        <v>0.24254832521764791</v>
      </c>
      <c r="D389" s="34">
        <f t="shared" si="5"/>
        <v>0.13583590059982215</v>
      </c>
    </row>
    <row r="390" spans="1:4" x14ac:dyDescent="0.35">
      <c r="A390" s="31">
        <v>18598</v>
      </c>
      <c r="B390" s="32">
        <f>VLOOKUP(Table10[[#This Row],[Month]],database!A:J,MATCH('IP from start'!$A$1,database!$A$1:$J$1,),)</f>
        <v>17.137899999999998</v>
      </c>
      <c r="C390" s="33">
        <f>(Table10[[#This Row],[Industrial Production ]]-B378)/B378</f>
        <v>0.24219186025441222</v>
      </c>
      <c r="D390" s="34">
        <f t="shared" si="5"/>
        <v>0.15900046614041144</v>
      </c>
    </row>
    <row r="391" spans="1:4" x14ac:dyDescent="0.35">
      <c r="A391" s="31">
        <v>18629</v>
      </c>
      <c r="B391" s="32">
        <f>VLOOKUP(Table10[[#This Row],[Month]],database!A:J,MATCH('IP from start'!$A$1,database!$A$1:$J$1,),)</f>
        <v>17.191700000000001</v>
      </c>
      <c r="C391" s="33">
        <f>(Table10[[#This Row],[Industrial Production ]]-B379)/B379</f>
        <v>0.22456727687157213</v>
      </c>
      <c r="D391" s="34">
        <f t="shared" si="5"/>
        <v>0.17850694798791814</v>
      </c>
    </row>
    <row r="392" spans="1:4" x14ac:dyDescent="0.35">
      <c r="A392" s="31">
        <v>18660</v>
      </c>
      <c r="B392" s="32">
        <f>VLOOKUP(Table10[[#This Row],[Month]],database!A:J,MATCH('IP from start'!$A$1,database!$A$1:$J$1,),)</f>
        <v>17.299499999999998</v>
      </c>
      <c r="C392" s="33">
        <f>(Table10[[#This Row],[Industrial Production ]]-B380)/B380</f>
        <v>0.22753301307750698</v>
      </c>
      <c r="D392" s="34">
        <f t="shared" si="5"/>
        <v>0.19714809034489467</v>
      </c>
    </row>
    <row r="393" spans="1:4" x14ac:dyDescent="0.35">
      <c r="A393" s="31">
        <v>18688</v>
      </c>
      <c r="B393" s="32">
        <f>VLOOKUP(Table10[[#This Row],[Month]],database!A:J,MATCH('IP from start'!$A$1,database!$A$1:$J$1,),)</f>
        <v>17.380400000000002</v>
      </c>
      <c r="C393" s="33">
        <f>(Table10[[#This Row],[Industrial Production ]]-B381)/B381</f>
        <v>0.1944471170366299</v>
      </c>
      <c r="D393" s="34">
        <f t="shared" si="5"/>
        <v>0.20862300018703228</v>
      </c>
    </row>
    <row r="394" spans="1:4" x14ac:dyDescent="0.35">
      <c r="A394" s="31">
        <v>18719</v>
      </c>
      <c r="B394" s="32">
        <f>VLOOKUP(Table10[[#This Row],[Month]],database!A:J,MATCH('IP from start'!$A$1,database!$A$1:$J$1,),)</f>
        <v>17.407299999999999</v>
      </c>
      <c r="C394" s="33">
        <f>(Table10[[#This Row],[Industrial Production ]]-B382)/B382</f>
        <v>0.15770816706570895</v>
      </c>
      <c r="D394" s="34">
        <f t="shared" si="5"/>
        <v>0.21356332679774262</v>
      </c>
    </row>
    <row r="395" spans="1:4" x14ac:dyDescent="0.35">
      <c r="A395" s="31">
        <v>18749</v>
      </c>
      <c r="B395" s="32">
        <f>VLOOKUP(Table10[[#This Row],[Month]],database!A:J,MATCH('IP from start'!$A$1,database!$A$1:$J$1,),)</f>
        <v>17.353400000000001</v>
      </c>
      <c r="C395" s="33">
        <f>(Table10[[#This Row],[Industrial Production ]]-B383)/B383</f>
        <v>0.12784750069867351</v>
      </c>
      <c r="D395" s="34">
        <f t="shared" si="5"/>
        <v>0.21257416155811579</v>
      </c>
    </row>
    <row r="396" spans="1:4" x14ac:dyDescent="0.35">
      <c r="A396" s="31">
        <v>18780</v>
      </c>
      <c r="B396" s="32">
        <f>VLOOKUP(Table10[[#This Row],[Month]],database!A:J,MATCH('IP from start'!$A$1,database!$A$1:$J$1,),)</f>
        <v>17.272600000000001</v>
      </c>
      <c r="C396" s="33">
        <f>(Table10[[#This Row],[Industrial Production ]]-B384)/B384</f>
        <v>9.0139102774481852E-2</v>
      </c>
      <c r="D396" s="34">
        <f t="shared" si="5"/>
        <v>0.20541960139114945</v>
      </c>
    </row>
    <row r="397" spans="1:4" x14ac:dyDescent="0.35">
      <c r="A397" s="31">
        <v>18810</v>
      </c>
      <c r="B397" s="32">
        <f>VLOOKUP(Table10[[#This Row],[Month]],database!A:J,MATCH('IP from start'!$A$1,database!$A$1:$J$1,),)</f>
        <v>17.0031</v>
      </c>
      <c r="C397" s="33">
        <f>(Table10[[#This Row],[Industrial Production ]]-B385)/B385</f>
        <v>3.9538040155535394E-2</v>
      </c>
      <c r="D397" s="34">
        <f t="shared" si="5"/>
        <v>0.19067836344250574</v>
      </c>
    </row>
    <row r="398" spans="1:4" x14ac:dyDescent="0.35">
      <c r="A398" s="31">
        <v>18841</v>
      </c>
      <c r="B398" s="32">
        <f>VLOOKUP(Table10[[#This Row],[Month]],database!A:J,MATCH('IP from start'!$A$1,database!$A$1:$J$1,),)</f>
        <v>16.8415</v>
      </c>
      <c r="C398" s="33">
        <f>(Table10[[#This Row],[Industrial Production ]]-B386)/B386</f>
        <v>-1.5946977780940251E-3</v>
      </c>
      <c r="D398" s="34">
        <f t="shared" si="5"/>
        <v>0.17037314661191694</v>
      </c>
    </row>
    <row r="399" spans="1:4" x14ac:dyDescent="0.35">
      <c r="A399" s="31">
        <v>18872</v>
      </c>
      <c r="B399" s="32">
        <f>VLOOKUP(Table10[[#This Row],[Month]],database!A:J,MATCH('IP from start'!$A$1,database!$A$1:$J$1,),)</f>
        <v>16.949200000000001</v>
      </c>
      <c r="C399" s="33">
        <f>(Table10[[#This Row],[Industrial Production ]]-B387)/B387</f>
        <v>1.125258045654696E-2</v>
      </c>
      <c r="D399" s="34">
        <f t="shared" si="5"/>
        <v>0.15281077294383255</v>
      </c>
    </row>
    <row r="400" spans="1:4" x14ac:dyDescent="0.35">
      <c r="A400" s="31">
        <v>18902</v>
      </c>
      <c r="B400" s="32">
        <f>VLOOKUP(Table10[[#This Row],[Month]],database!A:J,MATCH('IP from start'!$A$1,database!$A$1:$J$1,),)</f>
        <v>16.9223</v>
      </c>
      <c r="C400" s="33">
        <f>(Table10[[#This Row],[Industrial Production ]]-B388)/B388</f>
        <v>3.1953238007160563E-3</v>
      </c>
      <c r="D400" s="34">
        <f t="shared" si="5"/>
        <v>0.12994780080261145</v>
      </c>
    </row>
    <row r="401" spans="1:4" x14ac:dyDescent="0.35">
      <c r="A401" s="31">
        <v>18933</v>
      </c>
      <c r="B401" s="32">
        <f>VLOOKUP(Table10[[#This Row],[Month]],database!A:J,MATCH('IP from start'!$A$1,database!$A$1:$J$1,),)</f>
        <v>17.056999999999999</v>
      </c>
      <c r="C401" s="33">
        <f>(Table10[[#This Row],[Industrial Production ]]-B389)/B389</f>
        <v>1.2795772348068682E-2</v>
      </c>
      <c r="D401" s="34">
        <f t="shared" si="5"/>
        <v>0.11080175473014653</v>
      </c>
    </row>
    <row r="402" spans="1:4" x14ac:dyDescent="0.35">
      <c r="A402" s="31">
        <v>18963</v>
      </c>
      <c r="B402" s="32">
        <f>VLOOKUP(Table10[[#This Row],[Month]],database!A:J,MATCH('IP from start'!$A$1,database!$A$1:$J$1,),)</f>
        <v>17.1648</v>
      </c>
      <c r="C402" s="33">
        <f>(Table10[[#This Row],[Industrial Production ]]-B390)/B390</f>
        <v>1.5696205486087128E-3</v>
      </c>
      <c r="D402" s="34">
        <f t="shared" si="5"/>
        <v>9.0749901421329562E-2</v>
      </c>
    </row>
    <row r="403" spans="1:4" x14ac:dyDescent="0.35">
      <c r="A403" s="31">
        <v>18994</v>
      </c>
      <c r="B403" s="32">
        <f>VLOOKUP(Table10[[#This Row],[Month]],database!A:J,MATCH('IP from start'!$A$1,database!$A$1:$J$1,),)</f>
        <v>17.353400000000001</v>
      </c>
      <c r="C403" s="33">
        <f>(Table10[[#This Row],[Industrial Production ]]-B391)/B391</f>
        <v>9.4057015885572522E-3</v>
      </c>
      <c r="D403" s="34">
        <f t="shared" si="5"/>
        <v>7.281977014774503E-2</v>
      </c>
    </row>
    <row r="404" spans="1:4" x14ac:dyDescent="0.35">
      <c r="A404" s="31">
        <v>19025</v>
      </c>
      <c r="B404" s="32">
        <f>VLOOKUP(Table10[[#This Row],[Month]],database!A:J,MATCH('IP from start'!$A$1,database!$A$1:$J$1,),)</f>
        <v>17.461200000000002</v>
      </c>
      <c r="C404" s="33">
        <f>(Table10[[#This Row],[Industrial Production ]]-B392)/B392</f>
        <v>9.3470909563862139E-3</v>
      </c>
      <c r="D404" s="34">
        <f t="shared" si="5"/>
        <v>5.4637609970984963E-2</v>
      </c>
    </row>
    <row r="405" spans="1:4" x14ac:dyDescent="0.35">
      <c r="A405" s="31">
        <v>19054</v>
      </c>
      <c r="B405" s="32">
        <f>VLOOKUP(Table10[[#This Row],[Month]],database!A:J,MATCH('IP from start'!$A$1,database!$A$1:$J$1,),)</f>
        <v>17.5151</v>
      </c>
      <c r="C405" s="33">
        <f>(Table10[[#This Row],[Industrial Production ]]-B393)/B393</f>
        <v>7.7501093185426513E-3</v>
      </c>
      <c r="D405" s="34">
        <f t="shared" si="5"/>
        <v>3.9079525994477685E-2</v>
      </c>
    </row>
    <row r="406" spans="1:4" x14ac:dyDescent="0.35">
      <c r="A406" s="31">
        <v>19085</v>
      </c>
      <c r="B406" s="32">
        <f>VLOOKUP(Table10[[#This Row],[Month]],database!A:J,MATCH('IP from start'!$A$1,database!$A$1:$J$1,),)</f>
        <v>17.353400000000001</v>
      </c>
      <c r="C406" s="33">
        <f>(Table10[[#This Row],[Industrial Production ]]-B394)/B394</f>
        <v>-3.0964020841829994E-3</v>
      </c>
      <c r="D406" s="34">
        <f t="shared" si="5"/>
        <v>2.5679145231986691E-2</v>
      </c>
    </row>
    <row r="407" spans="1:4" x14ac:dyDescent="0.35">
      <c r="A407" s="31">
        <v>19115</v>
      </c>
      <c r="B407" s="32">
        <f>VLOOKUP(Table10[[#This Row],[Month]],database!A:J,MATCH('IP from start'!$A$1,database!$A$1:$J$1,),)</f>
        <v>17.191800000000001</v>
      </c>
      <c r="C407" s="33">
        <f>(Table10[[#This Row],[Industrial Production ]]-B395)/B395</f>
        <v>-9.3122961494577407E-3</v>
      </c>
      <c r="D407" s="34">
        <f t="shared" si="5"/>
        <v>1.4249162161309082E-2</v>
      </c>
    </row>
    <row r="408" spans="1:4" x14ac:dyDescent="0.35">
      <c r="A408" s="31">
        <v>19146</v>
      </c>
      <c r="B408" s="32">
        <f>VLOOKUP(Table10[[#This Row],[Month]],database!A:J,MATCH('IP from start'!$A$1,database!$A$1:$J$1,),)</f>
        <v>17.030100000000001</v>
      </c>
      <c r="C408" s="33">
        <f>(Table10[[#This Row],[Industrial Production ]]-B396)/B396</f>
        <v>-1.4039577133726231E-2</v>
      </c>
      <c r="D408" s="34">
        <f t="shared" si="5"/>
        <v>5.5676055022917427E-3</v>
      </c>
    </row>
    <row r="409" spans="1:4" x14ac:dyDescent="0.35">
      <c r="A409" s="31">
        <v>19176</v>
      </c>
      <c r="B409" s="32">
        <f>VLOOKUP(Table10[[#This Row],[Month]],database!A:J,MATCH('IP from start'!$A$1,database!$A$1:$J$1,),)</f>
        <v>16.7606</v>
      </c>
      <c r="C409" s="33">
        <f>(Table10[[#This Row],[Industrial Production ]]-B397)/B397</f>
        <v>-1.4262105145532269E-2</v>
      </c>
      <c r="D409" s="34">
        <f t="shared" si="5"/>
        <v>1.0842600605361046E-3</v>
      </c>
    </row>
    <row r="410" spans="1:4" x14ac:dyDescent="0.35">
      <c r="A410" s="31">
        <v>19207</v>
      </c>
      <c r="B410" s="32">
        <f>VLOOKUP(Table10[[#This Row],[Month]],database!A:J,MATCH('IP from start'!$A$1,database!$A$1:$J$1,),)</f>
        <v>17.8385</v>
      </c>
      <c r="C410" s="33">
        <f>(Table10[[#This Row],[Industrial Production ]]-B398)/B398</f>
        <v>5.9199002464151051E-2</v>
      </c>
      <c r="D410" s="34">
        <f t="shared" si="5"/>
        <v>6.1504017473898616E-3</v>
      </c>
    </row>
    <row r="411" spans="1:4" x14ac:dyDescent="0.35">
      <c r="A411" s="31">
        <v>19238</v>
      </c>
      <c r="B411" s="32">
        <f>VLOOKUP(Table10[[#This Row],[Month]],database!A:J,MATCH('IP from start'!$A$1,database!$A$1:$J$1,),)</f>
        <v>18.485199999999999</v>
      </c>
      <c r="C411" s="33">
        <f>(Table10[[#This Row],[Industrial Production ]]-B399)/B399</f>
        <v>9.0623746253510357E-2</v>
      </c>
      <c r="D411" s="34">
        <f t="shared" si="5"/>
        <v>1.2764665563803478E-2</v>
      </c>
    </row>
    <row r="412" spans="1:4" x14ac:dyDescent="0.35">
      <c r="A412" s="31">
        <v>19268</v>
      </c>
      <c r="B412" s="32">
        <f>VLOOKUP(Table10[[#This Row],[Month]],database!A:J,MATCH('IP from start'!$A$1,database!$A$1:$J$1,),)</f>
        <v>18.6738</v>
      </c>
      <c r="C412" s="33">
        <f>(Table10[[#This Row],[Industrial Production ]]-B400)/B400</f>
        <v>0.10350247897744397</v>
      </c>
      <c r="D412" s="34">
        <f t="shared" si="5"/>
        <v>2.1123595161864139E-2</v>
      </c>
    </row>
    <row r="413" spans="1:4" x14ac:dyDescent="0.35">
      <c r="A413" s="31">
        <v>19299</v>
      </c>
      <c r="B413" s="32">
        <f>VLOOKUP(Table10[[#This Row],[Month]],database!A:J,MATCH('IP from start'!$A$1,database!$A$1:$J$1,),)</f>
        <v>19.051100000000002</v>
      </c>
      <c r="C413" s="33">
        <f>(Table10[[#This Row],[Industrial Production ]]-B401)/B401</f>
        <v>0.11690801430497762</v>
      </c>
      <c r="D413" s="34">
        <f t="shared" si="5"/>
        <v>2.9799615324939882E-2</v>
      </c>
    </row>
    <row r="414" spans="1:4" x14ac:dyDescent="0.35">
      <c r="A414" s="31">
        <v>19329</v>
      </c>
      <c r="B414" s="32">
        <f>VLOOKUP(Table10[[#This Row],[Month]],database!A:J,MATCH('IP from start'!$A$1,database!$A$1:$J$1,),)</f>
        <v>19.158799999999999</v>
      </c>
      <c r="C414" s="33">
        <f>(Table10[[#This Row],[Industrial Production ]]-B402)/B402</f>
        <v>0.1161679716629381</v>
      </c>
      <c r="D414" s="34">
        <f t="shared" ref="D414:D477" si="6">AVERAGE(C403:C414)</f>
        <v>3.9349477917800663E-2</v>
      </c>
    </row>
    <row r="415" spans="1:4" x14ac:dyDescent="0.35">
      <c r="A415" s="31">
        <v>19360</v>
      </c>
      <c r="B415" s="32">
        <f>VLOOKUP(Table10[[#This Row],[Month]],database!A:J,MATCH('IP from start'!$A$1,database!$A$1:$J$1,),)</f>
        <v>19.212700000000002</v>
      </c>
      <c r="C415" s="33">
        <f>(Table10[[#This Row],[Industrial Production ]]-B403)/B403</f>
        <v>0.10714326875424994</v>
      </c>
      <c r="D415" s="34">
        <f t="shared" si="6"/>
        <v>4.7494275181608391E-2</v>
      </c>
    </row>
    <row r="416" spans="1:4" x14ac:dyDescent="0.35">
      <c r="A416" s="31">
        <v>19391</v>
      </c>
      <c r="B416" s="32">
        <f>VLOOKUP(Table10[[#This Row],[Month]],database!A:J,MATCH('IP from start'!$A$1,database!$A$1:$J$1,),)</f>
        <v>19.320499999999999</v>
      </c>
      <c r="C416" s="33">
        <f>(Table10[[#This Row],[Industrial Production ]]-B404)/B404</f>
        <v>0.10648179964721768</v>
      </c>
      <c r="D416" s="34">
        <f t="shared" si="6"/>
        <v>5.5588834239177681E-2</v>
      </c>
    </row>
    <row r="417" spans="1:4" x14ac:dyDescent="0.35">
      <c r="A417" s="31">
        <v>19419</v>
      </c>
      <c r="B417" s="32">
        <f>VLOOKUP(Table10[[#This Row],[Month]],database!A:J,MATCH('IP from start'!$A$1,database!$A$1:$J$1,),)</f>
        <v>19.482199999999999</v>
      </c>
      <c r="C417" s="33">
        <f>(Table10[[#This Row],[Industrial Production ]]-B405)/B405</f>
        <v>0.11230880782867346</v>
      </c>
      <c r="D417" s="34">
        <f t="shared" si="6"/>
        <v>6.4302059115021917E-2</v>
      </c>
    </row>
    <row r="418" spans="1:4" x14ac:dyDescent="0.35">
      <c r="A418" s="31">
        <v>19450</v>
      </c>
      <c r="B418" s="32">
        <f>VLOOKUP(Table10[[#This Row],[Month]],database!A:J,MATCH('IP from start'!$A$1,database!$A$1:$J$1,),)</f>
        <v>19.562999999999999</v>
      </c>
      <c r="C418" s="33">
        <f>(Table10[[#This Row],[Industrial Production ]]-B406)/B406</f>
        <v>0.12732951467723894</v>
      </c>
      <c r="D418" s="34">
        <f t="shared" si="6"/>
        <v>7.5170885511807076E-2</v>
      </c>
    </row>
    <row r="419" spans="1:4" x14ac:dyDescent="0.35">
      <c r="A419" s="31">
        <v>19480</v>
      </c>
      <c r="B419" s="32">
        <f>VLOOKUP(Table10[[#This Row],[Month]],database!A:J,MATCH('IP from start'!$A$1,database!$A$1:$J$1,),)</f>
        <v>19.6708</v>
      </c>
      <c r="C419" s="33">
        <f>(Table10[[#This Row],[Industrial Production ]]-B407)/B407</f>
        <v>0.14419665189218112</v>
      </c>
      <c r="D419" s="34">
        <f t="shared" si="6"/>
        <v>8.7963297848610303E-2</v>
      </c>
    </row>
    <row r="420" spans="1:4" x14ac:dyDescent="0.35">
      <c r="A420" s="31">
        <v>19511</v>
      </c>
      <c r="B420" s="32">
        <f>VLOOKUP(Table10[[#This Row],[Month]],database!A:J,MATCH('IP from start'!$A$1,database!$A$1:$J$1,),)</f>
        <v>19.59</v>
      </c>
      <c r="C420" s="33">
        <f>(Table10[[#This Row],[Industrial Production ]]-B408)/B408</f>
        <v>0.15031620483731739</v>
      </c>
      <c r="D420" s="34">
        <f t="shared" si="6"/>
        <v>0.10165961301286397</v>
      </c>
    </row>
    <row r="421" spans="1:4" x14ac:dyDescent="0.35">
      <c r="A421" s="31">
        <v>19541</v>
      </c>
      <c r="B421" s="32">
        <f>VLOOKUP(Table10[[#This Row],[Month]],database!A:J,MATCH('IP from start'!$A$1,database!$A$1:$J$1,),)</f>
        <v>19.8325</v>
      </c>
      <c r="C421" s="33">
        <f>(Table10[[#This Row],[Industrial Production ]]-B409)/B409</f>
        <v>0.18328102812548472</v>
      </c>
      <c r="D421" s="34">
        <f t="shared" si="6"/>
        <v>0.11812154078544869</v>
      </c>
    </row>
    <row r="422" spans="1:4" x14ac:dyDescent="0.35">
      <c r="A422" s="31">
        <v>19572</v>
      </c>
      <c r="B422" s="32">
        <f>VLOOKUP(Table10[[#This Row],[Month]],database!A:J,MATCH('IP from start'!$A$1,database!$A$1:$J$1,),)</f>
        <v>19.724699999999999</v>
      </c>
      <c r="C422" s="33">
        <f>(Table10[[#This Row],[Industrial Production ]]-B410)/B410</f>
        <v>0.10573759004400587</v>
      </c>
      <c r="D422" s="34">
        <f t="shared" si="6"/>
        <v>0.12199975641710327</v>
      </c>
    </row>
    <row r="423" spans="1:4" x14ac:dyDescent="0.35">
      <c r="A423" s="31">
        <v>19603</v>
      </c>
      <c r="B423" s="32">
        <f>VLOOKUP(Table10[[#This Row],[Month]],database!A:J,MATCH('IP from start'!$A$1,database!$A$1:$J$1,),)</f>
        <v>19.320499999999999</v>
      </c>
      <c r="C423" s="33">
        <f>(Table10[[#This Row],[Industrial Production ]]-B411)/B411</f>
        <v>4.518750135243331E-2</v>
      </c>
      <c r="D423" s="34">
        <f t="shared" si="6"/>
        <v>0.11821340267534684</v>
      </c>
    </row>
    <row r="424" spans="1:4" x14ac:dyDescent="0.35">
      <c r="A424" s="31">
        <v>19633</v>
      </c>
      <c r="B424" s="32">
        <f>VLOOKUP(Table10[[#This Row],[Month]],database!A:J,MATCH('IP from start'!$A$1,database!$A$1:$J$1,),)</f>
        <v>19.158799999999999</v>
      </c>
      <c r="C424" s="33">
        <f>(Table10[[#This Row],[Industrial Production ]]-B412)/B412</f>
        <v>2.5972217759641821E-2</v>
      </c>
      <c r="D424" s="34">
        <f t="shared" si="6"/>
        <v>0.11175254757386331</v>
      </c>
    </row>
    <row r="425" spans="1:4" x14ac:dyDescent="0.35">
      <c r="A425" s="31">
        <v>19664</v>
      </c>
      <c r="B425" s="32">
        <f>VLOOKUP(Table10[[#This Row],[Month]],database!A:J,MATCH('IP from start'!$A$1,database!$A$1:$J$1,),)</f>
        <v>18.700800000000001</v>
      </c>
      <c r="C425" s="33">
        <f>(Table10[[#This Row],[Industrial Production ]]-B413)/B413</f>
        <v>-1.8387389704531534E-2</v>
      </c>
      <c r="D425" s="34">
        <f t="shared" si="6"/>
        <v>0.10047793057307088</v>
      </c>
    </row>
    <row r="426" spans="1:4" x14ac:dyDescent="0.35">
      <c r="A426" s="31">
        <v>19694</v>
      </c>
      <c r="B426" s="32">
        <f>VLOOKUP(Table10[[#This Row],[Month]],database!A:J,MATCH('IP from start'!$A$1,database!$A$1:$J$1,),)</f>
        <v>18.242699999999999</v>
      </c>
      <c r="C426" s="33">
        <f>(Table10[[#This Row],[Industrial Production ]]-B414)/B414</f>
        <v>-4.7816147149090764E-2</v>
      </c>
      <c r="D426" s="34">
        <f t="shared" si="6"/>
        <v>8.6812587338735162E-2</v>
      </c>
    </row>
    <row r="427" spans="1:4" x14ac:dyDescent="0.35">
      <c r="A427" s="31">
        <v>19725</v>
      </c>
      <c r="B427" s="32">
        <f>VLOOKUP(Table10[[#This Row],[Month]],database!A:J,MATCH('IP from start'!$A$1,database!$A$1:$J$1,),)</f>
        <v>18.107900000000001</v>
      </c>
      <c r="C427" s="33">
        <f>(Table10[[#This Row],[Industrial Production ]]-B415)/B415</f>
        <v>-5.7503630411134342E-2</v>
      </c>
      <c r="D427" s="34">
        <f t="shared" si="6"/>
        <v>7.3092012408286458E-2</v>
      </c>
    </row>
    <row r="428" spans="1:4" x14ac:dyDescent="0.35">
      <c r="A428" s="31">
        <v>19756</v>
      </c>
      <c r="B428" s="32">
        <f>VLOOKUP(Table10[[#This Row],[Month]],database!A:J,MATCH('IP from start'!$A$1,database!$A$1:$J$1,),)</f>
        <v>18.161799999999999</v>
      </c>
      <c r="C428" s="33">
        <f>(Table10[[#This Row],[Industrial Production ]]-B416)/B416</f>
        <v>-5.997256799772261E-2</v>
      </c>
      <c r="D428" s="34">
        <f t="shared" si="6"/>
        <v>5.9220815104541441E-2</v>
      </c>
    </row>
    <row r="429" spans="1:4" x14ac:dyDescent="0.35">
      <c r="A429" s="31">
        <v>19784</v>
      </c>
      <c r="B429" s="32">
        <f>VLOOKUP(Table10[[#This Row],[Month]],database!A:J,MATCH('IP from start'!$A$1,database!$A$1:$J$1,),)</f>
        <v>18.053999999999998</v>
      </c>
      <c r="C429" s="33">
        <f>(Table10[[#This Row],[Industrial Production ]]-B417)/B417</f>
        <v>-7.3307942634815396E-2</v>
      </c>
      <c r="D429" s="34">
        <f t="shared" si="6"/>
        <v>4.3752752565917367E-2</v>
      </c>
    </row>
    <row r="430" spans="1:4" x14ac:dyDescent="0.35">
      <c r="A430" s="31">
        <v>19815</v>
      </c>
      <c r="B430" s="32">
        <f>VLOOKUP(Table10[[#This Row],[Month]],database!A:J,MATCH('IP from start'!$A$1,database!$A$1:$J$1,),)</f>
        <v>17.946200000000001</v>
      </c>
      <c r="C430" s="33">
        <f>(Table10[[#This Row],[Industrial Production ]]-B418)/B418</f>
        <v>-8.2645810969687566E-2</v>
      </c>
      <c r="D430" s="34">
        <f t="shared" si="6"/>
        <v>2.6254808762006827E-2</v>
      </c>
    </row>
    <row r="431" spans="1:4" x14ac:dyDescent="0.35">
      <c r="A431" s="31">
        <v>19845</v>
      </c>
      <c r="B431" s="32">
        <f>VLOOKUP(Table10[[#This Row],[Month]],database!A:J,MATCH('IP from start'!$A$1,database!$A$1:$J$1,),)</f>
        <v>18.053999999999998</v>
      </c>
      <c r="C431" s="33">
        <f>(Table10[[#This Row],[Industrial Production ]]-B419)/B419</f>
        <v>-8.2192895052565287E-2</v>
      </c>
      <c r="D431" s="34">
        <f t="shared" si="6"/>
        <v>7.3890131832779725E-3</v>
      </c>
    </row>
    <row r="432" spans="1:4" x14ac:dyDescent="0.35">
      <c r="A432" s="31">
        <v>19876</v>
      </c>
      <c r="B432" s="32">
        <f>VLOOKUP(Table10[[#This Row],[Month]],database!A:J,MATCH('IP from start'!$A$1,database!$A$1:$J$1,),)</f>
        <v>18.107900000000001</v>
      </c>
      <c r="C432" s="33">
        <f>(Table10[[#This Row],[Industrial Production ]]-B420)/B420</f>
        <v>-7.5655946911689587E-2</v>
      </c>
      <c r="D432" s="34">
        <f t="shared" si="6"/>
        <v>-1.1441999462472612E-2</v>
      </c>
    </row>
    <row r="433" spans="1:4" x14ac:dyDescent="0.35">
      <c r="A433" s="31">
        <v>19906</v>
      </c>
      <c r="B433" s="32">
        <f>VLOOKUP(Table10[[#This Row],[Month]],database!A:J,MATCH('IP from start'!$A$1,database!$A$1:$J$1,),)</f>
        <v>18.134899999999998</v>
      </c>
      <c r="C433" s="33">
        <f>(Table10[[#This Row],[Industrial Production ]]-B421)/B421</f>
        <v>-8.5596873818227726E-2</v>
      </c>
      <c r="D433" s="34">
        <f t="shared" si="6"/>
        <v>-3.3848491291115314E-2</v>
      </c>
    </row>
    <row r="434" spans="1:4" x14ac:dyDescent="0.35">
      <c r="A434" s="31">
        <v>19937</v>
      </c>
      <c r="B434" s="32">
        <f>VLOOKUP(Table10[[#This Row],[Month]],database!A:J,MATCH('IP from start'!$A$1,database!$A$1:$J$1,),)</f>
        <v>18.107900000000001</v>
      </c>
      <c r="C434" s="33">
        <f>(Table10[[#This Row],[Industrial Production ]]-B422)/B422</f>
        <v>-8.1968293560865199E-2</v>
      </c>
      <c r="D434" s="34">
        <f t="shared" si="6"/>
        <v>-4.9490648258187907E-2</v>
      </c>
    </row>
    <row r="435" spans="1:4" x14ac:dyDescent="0.35">
      <c r="A435" s="31">
        <v>19968</v>
      </c>
      <c r="B435" s="32">
        <f>VLOOKUP(Table10[[#This Row],[Month]],database!A:J,MATCH('IP from start'!$A$1,database!$A$1:$J$1,),)</f>
        <v>18.134899999999998</v>
      </c>
      <c r="C435" s="33">
        <f>(Table10[[#This Row],[Industrial Production ]]-B423)/B423</f>
        <v>-6.1364871509536553E-2</v>
      </c>
      <c r="D435" s="34">
        <f t="shared" si="6"/>
        <v>-5.8370012663352067E-2</v>
      </c>
    </row>
    <row r="436" spans="1:4" x14ac:dyDescent="0.35">
      <c r="A436" s="31">
        <v>19998</v>
      </c>
      <c r="B436" s="32">
        <f>VLOOKUP(Table10[[#This Row],[Month]],database!A:J,MATCH('IP from start'!$A$1,database!$A$1:$J$1,),)</f>
        <v>18.3505</v>
      </c>
      <c r="C436" s="33">
        <f>(Table10[[#This Row],[Industrial Production ]]-B424)/B424</f>
        <v>-4.2189489947178277E-2</v>
      </c>
      <c r="D436" s="34">
        <f t="shared" si="6"/>
        <v>-6.4050154972253734E-2</v>
      </c>
    </row>
    <row r="437" spans="1:4" x14ac:dyDescent="0.35">
      <c r="A437" s="31">
        <v>20029</v>
      </c>
      <c r="B437" s="32">
        <f>VLOOKUP(Table10[[#This Row],[Month]],database!A:J,MATCH('IP from start'!$A$1,database!$A$1:$J$1,),)</f>
        <v>18.646899999999999</v>
      </c>
      <c r="C437" s="33">
        <f>(Table10[[#This Row],[Industrial Production ]]-B425)/B425</f>
        <v>-2.8822296372348925E-3</v>
      </c>
      <c r="D437" s="34">
        <f t="shared" si="6"/>
        <v>-6.2758058299979033E-2</v>
      </c>
    </row>
    <row r="438" spans="1:4" x14ac:dyDescent="0.35">
      <c r="A438" s="31">
        <v>20059</v>
      </c>
      <c r="B438" s="32">
        <f>VLOOKUP(Table10[[#This Row],[Month]],database!A:J,MATCH('IP from start'!$A$1,database!$A$1:$J$1,),)</f>
        <v>18.889399999999998</v>
      </c>
      <c r="C438" s="33">
        <f>(Table10[[#This Row],[Industrial Production ]]-B426)/B426</f>
        <v>3.5449796356898877E-2</v>
      </c>
      <c r="D438" s="34">
        <f t="shared" si="6"/>
        <v>-5.5819229674479887E-2</v>
      </c>
    </row>
    <row r="439" spans="1:4" x14ac:dyDescent="0.35">
      <c r="A439" s="31">
        <v>20090</v>
      </c>
      <c r="B439" s="32">
        <f>VLOOKUP(Table10[[#This Row],[Month]],database!A:J,MATCH('IP from start'!$A$1,database!$A$1:$J$1,),)</f>
        <v>19.320499999999999</v>
      </c>
      <c r="C439" s="33">
        <f>(Table10[[#This Row],[Industrial Production ]]-B427)/B427</f>
        <v>6.6965247212542503E-2</v>
      </c>
      <c r="D439" s="34">
        <f t="shared" si="6"/>
        <v>-4.5446823205840141E-2</v>
      </c>
    </row>
    <row r="440" spans="1:4" x14ac:dyDescent="0.35">
      <c r="A440" s="31">
        <v>20121</v>
      </c>
      <c r="B440" s="32">
        <f>VLOOKUP(Table10[[#This Row],[Month]],database!A:J,MATCH('IP from start'!$A$1,database!$A$1:$J$1,),)</f>
        <v>19.562999999999999</v>
      </c>
      <c r="C440" s="33">
        <f>(Table10[[#This Row],[Industrial Production ]]-B428)/B428</f>
        <v>7.7150943188450449E-2</v>
      </c>
      <c r="D440" s="34">
        <f t="shared" si="6"/>
        <v>-3.4019863940325724E-2</v>
      </c>
    </row>
    <row r="441" spans="1:4" x14ac:dyDescent="0.35">
      <c r="A441" s="31">
        <v>20149</v>
      </c>
      <c r="B441" s="32">
        <f>VLOOKUP(Table10[[#This Row],[Month]],database!A:J,MATCH('IP from start'!$A$1,database!$A$1:$J$1,),)</f>
        <v>20.021100000000001</v>
      </c>
      <c r="C441" s="33">
        <f>(Table10[[#This Row],[Industrial Production ]]-B429)/B429</f>
        <v>0.10895646394150893</v>
      </c>
      <c r="D441" s="34">
        <f t="shared" si="6"/>
        <v>-1.8831163392298705E-2</v>
      </c>
    </row>
    <row r="442" spans="1:4" x14ac:dyDescent="0.35">
      <c r="A442" s="31">
        <v>20180</v>
      </c>
      <c r="B442" s="32">
        <f>VLOOKUP(Table10[[#This Row],[Month]],database!A:J,MATCH('IP from start'!$A$1,database!$A$1:$J$1,),)</f>
        <v>20.2636</v>
      </c>
      <c r="C442" s="33">
        <f>(Table10[[#This Row],[Industrial Production ]]-B430)/B430</f>
        <v>0.12913040086480698</v>
      </c>
      <c r="D442" s="34">
        <f t="shared" si="6"/>
        <v>-1.1831457394241528E-3</v>
      </c>
    </row>
    <row r="443" spans="1:4" x14ac:dyDescent="0.35">
      <c r="A443" s="31">
        <v>20210</v>
      </c>
      <c r="B443" s="32">
        <f>VLOOKUP(Table10[[#This Row],[Month]],database!A:J,MATCH('IP from start'!$A$1,database!$A$1:$J$1,),)</f>
        <v>20.587</v>
      </c>
      <c r="C443" s="33">
        <f>(Table10[[#This Row],[Industrial Production ]]-B431)/B431</f>
        <v>0.14030131826742004</v>
      </c>
      <c r="D443" s="34">
        <f t="shared" si="6"/>
        <v>1.7358038703907962E-2</v>
      </c>
    </row>
    <row r="444" spans="1:4" x14ac:dyDescent="0.35">
      <c r="A444" s="31">
        <v>20241</v>
      </c>
      <c r="B444" s="32">
        <f>VLOOKUP(Table10[[#This Row],[Month]],database!A:J,MATCH('IP from start'!$A$1,database!$A$1:$J$1,),)</f>
        <v>20.613900000000001</v>
      </c>
      <c r="C444" s="33">
        <f>(Table10[[#This Row],[Industrial Production ]]-B432)/B432</f>
        <v>0.13839263525864404</v>
      </c>
      <c r="D444" s="34">
        <f t="shared" si="6"/>
        <v>3.5195420551435756E-2</v>
      </c>
    </row>
    <row r="445" spans="1:4" x14ac:dyDescent="0.35">
      <c r="A445" s="31">
        <v>20271</v>
      </c>
      <c r="B445" s="32">
        <f>VLOOKUP(Table10[[#This Row],[Month]],database!A:J,MATCH('IP from start'!$A$1,database!$A$1:$J$1,),)</f>
        <v>20.775600000000001</v>
      </c>
      <c r="C445" s="33">
        <f>(Table10[[#This Row],[Industrial Production ]]-B433)/B433</f>
        <v>0.14561425759171556</v>
      </c>
      <c r="D445" s="34">
        <f t="shared" si="6"/>
        <v>5.4463014835597706E-2</v>
      </c>
    </row>
    <row r="446" spans="1:4" x14ac:dyDescent="0.35">
      <c r="A446" s="31">
        <v>20302</v>
      </c>
      <c r="B446" s="32">
        <f>VLOOKUP(Table10[[#This Row],[Month]],database!A:J,MATCH('IP from start'!$A$1,database!$A$1:$J$1,),)</f>
        <v>20.748699999999999</v>
      </c>
      <c r="C446" s="33">
        <f>(Table10[[#This Row],[Industrial Production ]]-B434)/B434</f>
        <v>0.14583689991661089</v>
      </c>
      <c r="D446" s="34">
        <f t="shared" si="6"/>
        <v>7.3446780958720717E-2</v>
      </c>
    </row>
    <row r="447" spans="1:4" x14ac:dyDescent="0.35">
      <c r="A447" s="31">
        <v>20333</v>
      </c>
      <c r="B447" s="32">
        <f>VLOOKUP(Table10[[#This Row],[Month]],database!A:J,MATCH('IP from start'!$A$1,database!$A$1:$J$1,),)</f>
        <v>20.883400000000002</v>
      </c>
      <c r="C447" s="33">
        <f>(Table10[[#This Row],[Industrial Production ]]-B435)/B435</f>
        <v>0.15155859695945409</v>
      </c>
      <c r="D447" s="34">
        <f t="shared" si="6"/>
        <v>9.1190403331136594E-2</v>
      </c>
    </row>
    <row r="448" spans="1:4" x14ac:dyDescent="0.35">
      <c r="A448" s="31">
        <v>20363</v>
      </c>
      <c r="B448" s="32">
        <f>VLOOKUP(Table10[[#This Row],[Month]],database!A:J,MATCH('IP from start'!$A$1,database!$A$1:$J$1,),)</f>
        <v>21.233699999999999</v>
      </c>
      <c r="C448" s="33">
        <f>(Table10[[#This Row],[Industrial Production ]]-B436)/B436</f>
        <v>0.15711833465028194</v>
      </c>
      <c r="D448" s="34">
        <f t="shared" si="6"/>
        <v>0.10779938871425827</v>
      </c>
    </row>
    <row r="449" spans="1:4" x14ac:dyDescent="0.35">
      <c r="A449" s="31">
        <v>20394</v>
      </c>
      <c r="B449" s="32">
        <f>VLOOKUP(Table10[[#This Row],[Month]],database!A:J,MATCH('IP from start'!$A$1,database!$A$1:$J$1,),)</f>
        <v>21.287600000000001</v>
      </c>
      <c r="C449" s="33">
        <f>(Table10[[#This Row],[Industrial Production ]]-B437)/B437</f>
        <v>0.14161603269176123</v>
      </c>
      <c r="D449" s="34">
        <f t="shared" si="6"/>
        <v>0.11984091057500795</v>
      </c>
    </row>
    <row r="450" spans="1:4" x14ac:dyDescent="0.35">
      <c r="A450" s="31">
        <v>20424</v>
      </c>
      <c r="B450" s="32">
        <f>VLOOKUP(Table10[[#This Row],[Month]],database!A:J,MATCH('IP from start'!$A$1,database!$A$1:$J$1,),)</f>
        <v>21.368400000000001</v>
      </c>
      <c r="C450" s="33">
        <f>(Table10[[#This Row],[Industrial Production ]]-B438)/B438</f>
        <v>0.13123762533484404</v>
      </c>
      <c r="D450" s="34">
        <f t="shared" si="6"/>
        <v>0.12782322965650339</v>
      </c>
    </row>
    <row r="451" spans="1:4" x14ac:dyDescent="0.35">
      <c r="A451" s="31">
        <v>20455</v>
      </c>
      <c r="B451" s="32">
        <f>VLOOKUP(Table10[[#This Row],[Month]],database!A:J,MATCH('IP from start'!$A$1,database!$A$1:$J$1,),)</f>
        <v>21.5032</v>
      </c>
      <c r="C451" s="33">
        <f>(Table10[[#This Row],[Industrial Production ]]-B439)/B439</f>
        <v>0.11297326673740331</v>
      </c>
      <c r="D451" s="34">
        <f t="shared" si="6"/>
        <v>0.13165723128357512</v>
      </c>
    </row>
    <row r="452" spans="1:4" x14ac:dyDescent="0.35">
      <c r="A452" s="31">
        <v>20486</v>
      </c>
      <c r="B452" s="32">
        <f>VLOOKUP(Table10[[#This Row],[Month]],database!A:J,MATCH('IP from start'!$A$1,database!$A$1:$J$1,),)</f>
        <v>21.314499999999999</v>
      </c>
      <c r="C452" s="33">
        <f>(Table10[[#This Row],[Industrial Production ]]-B440)/B440</f>
        <v>8.9531257987016319E-2</v>
      </c>
      <c r="D452" s="34">
        <f t="shared" si="6"/>
        <v>0.1326889241834556</v>
      </c>
    </row>
    <row r="453" spans="1:4" x14ac:dyDescent="0.35">
      <c r="A453" s="31">
        <v>20515</v>
      </c>
      <c r="B453" s="32">
        <f>VLOOKUP(Table10[[#This Row],[Month]],database!A:J,MATCH('IP from start'!$A$1,database!$A$1:$J$1,),)</f>
        <v>21.314499999999999</v>
      </c>
      <c r="C453" s="33">
        <f>(Table10[[#This Row],[Industrial Production ]]-B441)/B441</f>
        <v>6.4601845053468498E-2</v>
      </c>
      <c r="D453" s="34">
        <f t="shared" si="6"/>
        <v>0.12899270594278556</v>
      </c>
    </row>
    <row r="454" spans="1:4" x14ac:dyDescent="0.35">
      <c r="A454" s="31">
        <v>20546</v>
      </c>
      <c r="B454" s="32">
        <f>VLOOKUP(Table10[[#This Row],[Month]],database!A:J,MATCH('IP from start'!$A$1,database!$A$1:$J$1,),)</f>
        <v>21.476199999999999</v>
      </c>
      <c r="C454" s="33">
        <f>(Table10[[#This Row],[Industrial Production ]]-B442)/B442</f>
        <v>5.984129177441315E-2</v>
      </c>
      <c r="D454" s="34">
        <f t="shared" si="6"/>
        <v>0.12321861351858605</v>
      </c>
    </row>
    <row r="455" spans="1:4" x14ac:dyDescent="0.35">
      <c r="A455" s="31">
        <v>20576</v>
      </c>
      <c r="B455" s="32">
        <f>VLOOKUP(Table10[[#This Row],[Month]],database!A:J,MATCH('IP from start'!$A$1,database!$A$1:$J$1,),)</f>
        <v>21.287600000000001</v>
      </c>
      <c r="C455" s="33">
        <f>(Table10[[#This Row],[Industrial Production ]]-B443)/B443</f>
        <v>3.4031184728226624E-2</v>
      </c>
      <c r="D455" s="34">
        <f t="shared" si="6"/>
        <v>0.11436276905698661</v>
      </c>
    </row>
    <row r="456" spans="1:4" x14ac:dyDescent="0.35">
      <c r="A456" s="31">
        <v>20607</v>
      </c>
      <c r="B456" s="32">
        <f>VLOOKUP(Table10[[#This Row],[Month]],database!A:J,MATCH('IP from start'!$A$1,database!$A$1:$J$1,),)</f>
        <v>21.099</v>
      </c>
      <c r="C456" s="33">
        <f>(Table10[[#This Row],[Industrial Production ]]-B444)/B444</f>
        <v>2.3532664852356864E-2</v>
      </c>
      <c r="D456" s="34">
        <f t="shared" si="6"/>
        <v>0.1047911048564627</v>
      </c>
    </row>
    <row r="457" spans="1:4" x14ac:dyDescent="0.35">
      <c r="A457" s="31">
        <v>20637</v>
      </c>
      <c r="B457" s="32">
        <f>VLOOKUP(Table10[[#This Row],[Month]],database!A:J,MATCH('IP from start'!$A$1,database!$A$1:$J$1,),)</f>
        <v>20.452200000000001</v>
      </c>
      <c r="C457" s="33">
        <f>(Table10[[#This Row],[Industrial Production ]]-B445)/B445</f>
        <v>-1.5566337434297901E-2</v>
      </c>
      <c r="D457" s="34">
        <f t="shared" si="6"/>
        <v>9.1359388604294933E-2</v>
      </c>
    </row>
    <row r="458" spans="1:4" x14ac:dyDescent="0.35">
      <c r="A458" s="31">
        <v>20668</v>
      </c>
      <c r="B458" s="32">
        <f>VLOOKUP(Table10[[#This Row],[Month]],database!A:J,MATCH('IP from start'!$A$1,database!$A$1:$J$1,),)</f>
        <v>21.287600000000001</v>
      </c>
      <c r="C458" s="33">
        <f>(Table10[[#This Row],[Industrial Production ]]-B446)/B446</f>
        <v>2.5972711543373887E-2</v>
      </c>
      <c r="D458" s="34">
        <f t="shared" si="6"/>
        <v>8.1370706239858495E-2</v>
      </c>
    </row>
    <row r="459" spans="1:4" x14ac:dyDescent="0.35">
      <c r="A459" s="31">
        <v>20699</v>
      </c>
      <c r="B459" s="32">
        <f>VLOOKUP(Table10[[#This Row],[Month]],database!A:J,MATCH('IP from start'!$A$1,database!$A$1:$J$1,),)</f>
        <v>21.772600000000001</v>
      </c>
      <c r="C459" s="33">
        <f>(Table10[[#This Row],[Industrial Production ]]-B447)/B447</f>
        <v>4.2579273489948895E-2</v>
      </c>
      <c r="D459" s="34">
        <f t="shared" si="6"/>
        <v>7.2289095950733073E-2</v>
      </c>
    </row>
    <row r="460" spans="1:4" x14ac:dyDescent="0.35">
      <c r="A460" s="31">
        <v>20729</v>
      </c>
      <c r="B460" s="32">
        <f>VLOOKUP(Table10[[#This Row],[Month]],database!A:J,MATCH('IP from start'!$A$1,database!$A$1:$J$1,),)</f>
        <v>21.961300000000001</v>
      </c>
      <c r="C460" s="33">
        <f>(Table10[[#This Row],[Industrial Production ]]-B448)/B448</f>
        <v>3.4266284255688013E-2</v>
      </c>
      <c r="D460" s="34">
        <f t="shared" si="6"/>
        <v>6.2051425084516908E-2</v>
      </c>
    </row>
    <row r="461" spans="1:4" x14ac:dyDescent="0.35">
      <c r="A461" s="31">
        <v>20760</v>
      </c>
      <c r="B461" s="32">
        <f>VLOOKUP(Table10[[#This Row],[Month]],database!A:J,MATCH('IP from start'!$A$1,database!$A$1:$J$1,),)</f>
        <v>21.772600000000001</v>
      </c>
      <c r="C461" s="33">
        <f>(Table10[[#This Row],[Industrial Production ]]-B449)/B449</f>
        <v>2.2783216520415612E-2</v>
      </c>
      <c r="D461" s="34">
        <f t="shared" si="6"/>
        <v>5.2148690403571445E-2</v>
      </c>
    </row>
    <row r="462" spans="1:4" x14ac:dyDescent="0.35">
      <c r="A462" s="31">
        <v>20790</v>
      </c>
      <c r="B462" s="32">
        <f>VLOOKUP(Table10[[#This Row],[Month]],database!A:J,MATCH('IP from start'!$A$1,database!$A$1:$J$1,),)</f>
        <v>22.096</v>
      </c>
      <c r="C462" s="33">
        <f>(Table10[[#This Row],[Industrial Production ]]-B450)/B450</f>
        <v>3.4050279852492413E-2</v>
      </c>
      <c r="D462" s="34">
        <f t="shared" si="6"/>
        <v>4.4049744946708803E-2</v>
      </c>
    </row>
    <row r="463" spans="1:4" x14ac:dyDescent="0.35">
      <c r="A463" s="31">
        <v>20821</v>
      </c>
      <c r="B463" s="32">
        <f>VLOOKUP(Table10[[#This Row],[Month]],database!A:J,MATCH('IP from start'!$A$1,database!$A$1:$J$1,),)</f>
        <v>22.0151</v>
      </c>
      <c r="C463" s="33">
        <f>(Table10[[#This Row],[Industrial Production ]]-B451)/B451</f>
        <v>2.3805759142825286E-2</v>
      </c>
      <c r="D463" s="34">
        <f t="shared" si="6"/>
        <v>3.661911931382731E-2</v>
      </c>
    </row>
    <row r="464" spans="1:4" x14ac:dyDescent="0.35">
      <c r="A464" s="31">
        <v>20852</v>
      </c>
      <c r="B464" s="32">
        <f>VLOOKUP(Table10[[#This Row],[Month]],database!A:J,MATCH('IP from start'!$A$1,database!$A$1:$J$1,),)</f>
        <v>22.230699999999999</v>
      </c>
      <c r="C464" s="33">
        <f>(Table10[[#This Row],[Industrial Production ]]-B452)/B452</f>
        <v>4.2984822538647396E-2</v>
      </c>
      <c r="D464" s="34">
        <f t="shared" si="6"/>
        <v>3.2740249693129893E-2</v>
      </c>
    </row>
    <row r="465" spans="1:4" x14ac:dyDescent="0.35">
      <c r="A465" s="31">
        <v>20880</v>
      </c>
      <c r="B465" s="32">
        <f>VLOOKUP(Table10[[#This Row],[Month]],database!A:J,MATCH('IP from start'!$A$1,database!$A$1:$J$1,),)</f>
        <v>22.203800000000001</v>
      </c>
      <c r="C465" s="33">
        <f>(Table10[[#This Row],[Industrial Production ]]-B453)/B453</f>
        <v>4.1722770883670844E-2</v>
      </c>
      <c r="D465" s="34">
        <f t="shared" si="6"/>
        <v>3.083366017898009E-2</v>
      </c>
    </row>
    <row r="466" spans="1:4" x14ac:dyDescent="0.35">
      <c r="A466" s="31">
        <v>20911</v>
      </c>
      <c r="B466" s="32">
        <f>VLOOKUP(Table10[[#This Row],[Month]],database!A:J,MATCH('IP from start'!$A$1,database!$A$1:$J$1,),)</f>
        <v>21.907399999999999</v>
      </c>
      <c r="C466" s="33">
        <f>(Table10[[#This Row],[Industrial Production ]]-B454)/B454</f>
        <v>2.0078039876700742E-2</v>
      </c>
      <c r="D466" s="34">
        <f t="shared" si="6"/>
        <v>2.7520055854170722E-2</v>
      </c>
    </row>
    <row r="467" spans="1:4" x14ac:dyDescent="0.35">
      <c r="A467" s="31">
        <v>20941</v>
      </c>
      <c r="B467" s="32">
        <f>VLOOKUP(Table10[[#This Row],[Month]],database!A:J,MATCH('IP from start'!$A$1,database!$A$1:$J$1,),)</f>
        <v>21.826499999999999</v>
      </c>
      <c r="C467" s="33">
        <f>(Table10[[#This Row],[Industrial Production ]]-B455)/B455</f>
        <v>2.5315206974952466E-2</v>
      </c>
      <c r="D467" s="34">
        <f t="shared" si="6"/>
        <v>2.6793724374731209E-2</v>
      </c>
    </row>
    <row r="468" spans="1:4" x14ac:dyDescent="0.35">
      <c r="A468" s="31">
        <v>20972</v>
      </c>
      <c r="B468" s="32">
        <f>VLOOKUP(Table10[[#This Row],[Month]],database!A:J,MATCH('IP from start'!$A$1,database!$A$1:$J$1,),)</f>
        <v>21.880400000000002</v>
      </c>
      <c r="C468" s="33">
        <f>(Table10[[#This Row],[Industrial Production ]]-B456)/B456</f>
        <v>3.7034930565429711E-2</v>
      </c>
      <c r="D468" s="34">
        <f t="shared" si="6"/>
        <v>2.7918913184153949E-2</v>
      </c>
    </row>
    <row r="469" spans="1:4" x14ac:dyDescent="0.35">
      <c r="A469" s="31">
        <v>21002</v>
      </c>
      <c r="B469" s="32">
        <f>VLOOKUP(Table10[[#This Row],[Month]],database!A:J,MATCH('IP from start'!$A$1,database!$A$1:$J$1,),)</f>
        <v>22.0151</v>
      </c>
      <c r="C469" s="33">
        <f>(Table10[[#This Row],[Industrial Production ]]-B457)/B457</f>
        <v>7.6417206950841421E-2</v>
      </c>
      <c r="D469" s="34">
        <f t="shared" si="6"/>
        <v>3.5584208549582226E-2</v>
      </c>
    </row>
    <row r="470" spans="1:4" x14ac:dyDescent="0.35">
      <c r="A470" s="31">
        <v>21033</v>
      </c>
      <c r="B470" s="32">
        <f>VLOOKUP(Table10[[#This Row],[Month]],database!A:J,MATCH('IP from start'!$A$1,database!$A$1:$J$1,),)</f>
        <v>22.0152</v>
      </c>
      <c r="C470" s="33">
        <f>(Table10[[#This Row],[Industrial Production ]]-B458)/B458</f>
        <v>3.4179522351039993E-2</v>
      </c>
      <c r="D470" s="34">
        <f t="shared" si="6"/>
        <v>3.6268109450221069E-2</v>
      </c>
    </row>
    <row r="471" spans="1:4" x14ac:dyDescent="0.35">
      <c r="A471" s="31">
        <v>21064</v>
      </c>
      <c r="B471" s="32">
        <f>VLOOKUP(Table10[[#This Row],[Month]],database!A:J,MATCH('IP from start'!$A$1,database!$A$1:$J$1,),)</f>
        <v>21.826499999999999</v>
      </c>
      <c r="C471" s="33">
        <f>(Table10[[#This Row],[Industrial Production ]]-B459)/B459</f>
        <v>2.4755885838162977E-3</v>
      </c>
      <c r="D471" s="34">
        <f t="shared" si="6"/>
        <v>3.2926135708043348E-2</v>
      </c>
    </row>
    <row r="472" spans="1:4" x14ac:dyDescent="0.35">
      <c r="A472" s="31">
        <v>21094</v>
      </c>
      <c r="B472" s="32">
        <f>VLOOKUP(Table10[[#This Row],[Month]],database!A:J,MATCH('IP from start'!$A$1,database!$A$1:$J$1,),)</f>
        <v>21.5032</v>
      </c>
      <c r="C472" s="33">
        <f>(Table10[[#This Row],[Industrial Production ]]-B460)/B460</f>
        <v>-2.0859420890384527E-2</v>
      </c>
      <c r="D472" s="34">
        <f t="shared" si="6"/>
        <v>2.8332326945870637E-2</v>
      </c>
    </row>
    <row r="473" spans="1:4" x14ac:dyDescent="0.35">
      <c r="A473" s="31">
        <v>21125</v>
      </c>
      <c r="B473" s="32">
        <f>VLOOKUP(Table10[[#This Row],[Month]],database!A:J,MATCH('IP from start'!$A$1,database!$A$1:$J$1,),)</f>
        <v>20.991199999999999</v>
      </c>
      <c r="C473" s="33">
        <f>(Table10[[#This Row],[Industrial Production ]]-B461)/B461</f>
        <v>-3.5889145072246831E-2</v>
      </c>
      <c r="D473" s="34">
        <f t="shared" si="6"/>
        <v>2.3442963479815435E-2</v>
      </c>
    </row>
    <row r="474" spans="1:4" x14ac:dyDescent="0.35">
      <c r="A474" s="31">
        <v>21155</v>
      </c>
      <c r="B474" s="32">
        <f>VLOOKUP(Table10[[#This Row],[Month]],database!A:J,MATCH('IP from start'!$A$1,database!$A$1:$J$1,),)</f>
        <v>20.587</v>
      </c>
      <c r="C474" s="33">
        <f>(Table10[[#This Row],[Industrial Production ]]-B462)/B462</f>
        <v>-6.8292903692976123E-2</v>
      </c>
      <c r="D474" s="34">
        <f t="shared" si="6"/>
        <v>1.4914364851026388E-2</v>
      </c>
    </row>
    <row r="475" spans="1:4" x14ac:dyDescent="0.35">
      <c r="A475" s="31">
        <v>21186</v>
      </c>
      <c r="B475" s="32">
        <f>VLOOKUP(Table10[[#This Row],[Month]],database!A:J,MATCH('IP from start'!$A$1,database!$A$1:$J$1,),)</f>
        <v>20.209700000000002</v>
      </c>
      <c r="C475" s="33">
        <f>(Table10[[#This Row],[Industrial Production ]]-B463)/B463</f>
        <v>-8.2007349501024243E-2</v>
      </c>
      <c r="D475" s="34">
        <f t="shared" si="6"/>
        <v>6.0966057973722643E-3</v>
      </c>
    </row>
    <row r="476" spans="1:4" x14ac:dyDescent="0.35">
      <c r="A476" s="31">
        <v>21217</v>
      </c>
      <c r="B476" s="32">
        <f>VLOOKUP(Table10[[#This Row],[Month]],database!A:J,MATCH('IP from start'!$A$1,database!$A$1:$J$1,),)</f>
        <v>19.778600000000001</v>
      </c>
      <c r="C476" s="33">
        <f>(Table10[[#This Row],[Industrial Production ]]-B464)/B464</f>
        <v>-0.11030241962691224</v>
      </c>
      <c r="D476" s="34">
        <f t="shared" si="6"/>
        <v>-6.67733104975771E-3</v>
      </c>
    </row>
    <row r="477" spans="1:4" x14ac:dyDescent="0.35">
      <c r="A477" s="31">
        <v>21245</v>
      </c>
      <c r="B477" s="32">
        <f>VLOOKUP(Table10[[#This Row],[Month]],database!A:J,MATCH('IP from start'!$A$1,database!$A$1:$J$1,),)</f>
        <v>19.536100000000001</v>
      </c>
      <c r="C477" s="33">
        <f>(Table10[[#This Row],[Industrial Production ]]-B465)/B465</f>
        <v>-0.12014610111782667</v>
      </c>
      <c r="D477" s="34">
        <f t="shared" si="6"/>
        <v>-2.0166403716549167E-2</v>
      </c>
    </row>
    <row r="478" spans="1:4" x14ac:dyDescent="0.35">
      <c r="A478" s="31">
        <v>21276</v>
      </c>
      <c r="B478" s="32">
        <f>VLOOKUP(Table10[[#This Row],[Month]],database!A:J,MATCH('IP from start'!$A$1,database!$A$1:$J$1,),)</f>
        <v>19.212700000000002</v>
      </c>
      <c r="C478" s="33">
        <f>(Table10[[#This Row],[Industrial Production ]]-B466)/B466</f>
        <v>-0.12300409907154648</v>
      </c>
      <c r="D478" s="34">
        <f t="shared" ref="D478:D541" si="7">AVERAGE(C467:C478)</f>
        <v>-3.2089915295569767E-2</v>
      </c>
    </row>
    <row r="479" spans="1:4" x14ac:dyDescent="0.35">
      <c r="A479" s="31">
        <v>21306</v>
      </c>
      <c r="B479" s="32">
        <f>VLOOKUP(Table10[[#This Row],[Month]],database!A:J,MATCH('IP from start'!$A$1,database!$A$1:$J$1,),)</f>
        <v>19.401299999999999</v>
      </c>
      <c r="C479" s="33">
        <f>(Table10[[#This Row],[Industrial Production ]]-B467)/B467</f>
        <v>-0.11111263830664561</v>
      </c>
      <c r="D479" s="34">
        <f t="shared" si="7"/>
        <v>-4.3458902402369604E-2</v>
      </c>
    </row>
    <row r="480" spans="1:4" x14ac:dyDescent="0.35">
      <c r="A480" s="31">
        <v>21337</v>
      </c>
      <c r="B480" s="32">
        <f>VLOOKUP(Table10[[#This Row],[Month]],database!A:J,MATCH('IP from start'!$A$1,database!$A$1:$J$1,),)</f>
        <v>19.9133</v>
      </c>
      <c r="C480" s="33">
        <f>(Table10[[#This Row],[Industrial Production ]]-B468)/B468</f>
        <v>-8.9902378384307507E-2</v>
      </c>
      <c r="D480" s="34">
        <f t="shared" si="7"/>
        <v>-5.4037011481514373E-2</v>
      </c>
    </row>
    <row r="481" spans="1:4" x14ac:dyDescent="0.35">
      <c r="A481" s="31">
        <v>21367</v>
      </c>
      <c r="B481" s="32">
        <f>VLOOKUP(Table10[[#This Row],[Month]],database!A:J,MATCH('IP from start'!$A$1,database!$A$1:$J$1,),)</f>
        <v>20.209700000000002</v>
      </c>
      <c r="C481" s="33">
        <f>(Table10[[#This Row],[Industrial Production ]]-B469)/B469</f>
        <v>-8.2007349501024243E-2</v>
      </c>
      <c r="D481" s="34">
        <f t="shared" si="7"/>
        <v>-6.7239057852503184E-2</v>
      </c>
    </row>
    <row r="482" spans="1:4" x14ac:dyDescent="0.35">
      <c r="A482" s="31">
        <v>21398</v>
      </c>
      <c r="B482" s="32">
        <f>VLOOKUP(Table10[[#This Row],[Month]],database!A:J,MATCH('IP from start'!$A$1,database!$A$1:$J$1,),)</f>
        <v>20.613900000000001</v>
      </c>
      <c r="C482" s="33">
        <f>(Table10[[#This Row],[Industrial Production ]]-B470)/B470</f>
        <v>-6.365147716123401E-2</v>
      </c>
      <c r="D482" s="34">
        <f t="shared" si="7"/>
        <v>-7.5391641145192687E-2</v>
      </c>
    </row>
    <row r="483" spans="1:4" x14ac:dyDescent="0.35">
      <c r="A483" s="31">
        <v>21429</v>
      </c>
      <c r="B483" s="32">
        <f>VLOOKUP(Table10[[#This Row],[Month]],database!A:J,MATCH('IP from start'!$A$1,database!$A$1:$J$1,),)</f>
        <v>20.802600000000002</v>
      </c>
      <c r="C483" s="33">
        <f>(Table10[[#This Row],[Industrial Production ]]-B471)/B471</f>
        <v>-4.6910865232629953E-2</v>
      </c>
      <c r="D483" s="34">
        <f t="shared" si="7"/>
        <v>-7.9507178963229883E-2</v>
      </c>
    </row>
    <row r="484" spans="1:4" x14ac:dyDescent="0.35">
      <c r="A484" s="31">
        <v>21459</v>
      </c>
      <c r="B484" s="32">
        <f>VLOOKUP(Table10[[#This Row],[Month]],database!A:J,MATCH('IP from start'!$A$1,database!$A$1:$J$1,),)</f>
        <v>21.045100000000001</v>
      </c>
      <c r="C484" s="33">
        <f>(Table10[[#This Row],[Industrial Production ]]-B472)/B472</f>
        <v>-2.1303805945161566E-2</v>
      </c>
      <c r="D484" s="34">
        <f t="shared" si="7"/>
        <v>-7.9544211051127967E-2</v>
      </c>
    </row>
    <row r="485" spans="1:4" x14ac:dyDescent="0.35">
      <c r="A485" s="31">
        <v>21490</v>
      </c>
      <c r="B485" s="32">
        <f>VLOOKUP(Table10[[#This Row],[Month]],database!A:J,MATCH('IP from start'!$A$1,database!$A$1:$J$1,),)</f>
        <v>21.664899999999999</v>
      </c>
      <c r="C485" s="33">
        <f>(Table10[[#This Row],[Industrial Production ]]-B473)/B473</f>
        <v>3.2094401463470416E-2</v>
      </c>
      <c r="D485" s="34">
        <f t="shared" si="7"/>
        <v>-7.3878915506484857E-2</v>
      </c>
    </row>
    <row r="486" spans="1:4" x14ac:dyDescent="0.35">
      <c r="A486" s="31">
        <v>21520</v>
      </c>
      <c r="B486" s="32">
        <f>VLOOKUP(Table10[[#This Row],[Month]],database!A:J,MATCH('IP from start'!$A$1,database!$A$1:$J$1,),)</f>
        <v>21.691800000000001</v>
      </c>
      <c r="C486" s="33">
        <f>(Table10[[#This Row],[Industrial Production ]]-B474)/B474</f>
        <v>5.3664934181765232E-2</v>
      </c>
      <c r="D486" s="34">
        <f t="shared" si="7"/>
        <v>-6.3715762350256402E-2</v>
      </c>
    </row>
    <row r="487" spans="1:4" x14ac:dyDescent="0.35">
      <c r="A487" s="31">
        <v>21551</v>
      </c>
      <c r="B487" s="32">
        <f>VLOOKUP(Table10[[#This Row],[Month]],database!A:J,MATCH('IP from start'!$A$1,database!$A$1:$J$1,),)</f>
        <v>22.0151</v>
      </c>
      <c r="C487" s="33">
        <f>(Table10[[#This Row],[Industrial Production ]]-B475)/B475</f>
        <v>8.9333339930825234E-2</v>
      </c>
      <c r="D487" s="34">
        <f t="shared" si="7"/>
        <v>-4.9437371564268952E-2</v>
      </c>
    </row>
    <row r="488" spans="1:4" x14ac:dyDescent="0.35">
      <c r="A488" s="31">
        <v>21582</v>
      </c>
      <c r="B488" s="32">
        <f>VLOOKUP(Table10[[#This Row],[Month]],database!A:J,MATCH('IP from start'!$A$1,database!$A$1:$J$1,),)</f>
        <v>22.446300000000001</v>
      </c>
      <c r="C488" s="33">
        <f>(Table10[[#This Row],[Industrial Production ]]-B476)/B476</f>
        <v>0.13487810057334695</v>
      </c>
      <c r="D488" s="34">
        <f t="shared" si="7"/>
        <v>-2.9005661547580691E-2</v>
      </c>
    </row>
    <row r="489" spans="1:4" x14ac:dyDescent="0.35">
      <c r="A489" s="31">
        <v>21610</v>
      </c>
      <c r="B489" s="32">
        <f>VLOOKUP(Table10[[#This Row],[Month]],database!A:J,MATCH('IP from start'!$A$1,database!$A$1:$J$1,),)</f>
        <v>22.769600000000001</v>
      </c>
      <c r="C489" s="33">
        <f>(Table10[[#This Row],[Industrial Production ]]-B477)/B477</f>
        <v>0.16551409953880247</v>
      </c>
      <c r="D489" s="34">
        <f t="shared" si="7"/>
        <v>-5.2006448261949292E-3</v>
      </c>
    </row>
    <row r="490" spans="1:4" x14ac:dyDescent="0.35">
      <c r="A490" s="31">
        <v>21641</v>
      </c>
      <c r="B490" s="32">
        <f>VLOOKUP(Table10[[#This Row],[Month]],database!A:J,MATCH('IP from start'!$A$1,database!$A$1:$J$1,),)</f>
        <v>23.2547</v>
      </c>
      <c r="C490" s="33">
        <f>(Table10[[#This Row],[Industrial Production ]]-B478)/B478</f>
        <v>0.21038167462147422</v>
      </c>
      <c r="D490" s="34">
        <f t="shared" si="7"/>
        <v>2.2581502981556801E-2</v>
      </c>
    </row>
    <row r="491" spans="1:4" x14ac:dyDescent="0.35">
      <c r="A491" s="31">
        <v>21671</v>
      </c>
      <c r="B491" s="32">
        <f>VLOOKUP(Table10[[#This Row],[Month]],database!A:J,MATCH('IP from start'!$A$1,database!$A$1:$J$1,),)</f>
        <v>23.605</v>
      </c>
      <c r="C491" s="33">
        <f>(Table10[[#This Row],[Industrial Production ]]-B479)/B479</f>
        <v>0.21667104781638352</v>
      </c>
      <c r="D491" s="34">
        <f t="shared" si="7"/>
        <v>4.9896810158475892E-2</v>
      </c>
    </row>
    <row r="492" spans="1:4" x14ac:dyDescent="0.35">
      <c r="A492" s="31">
        <v>21702</v>
      </c>
      <c r="B492" s="32">
        <f>VLOOKUP(Table10[[#This Row],[Month]],database!A:J,MATCH('IP from start'!$A$1,database!$A$1:$J$1,),)</f>
        <v>23.631900000000002</v>
      </c>
      <c r="C492" s="33">
        <f>(Table10[[#This Row],[Industrial Production ]]-B480)/B480</f>
        <v>0.18673951580099743</v>
      </c>
      <c r="D492" s="34">
        <f t="shared" si="7"/>
        <v>7.2950301340584653E-2</v>
      </c>
    </row>
    <row r="493" spans="1:4" x14ac:dyDescent="0.35">
      <c r="A493" s="31">
        <v>21732</v>
      </c>
      <c r="B493" s="32">
        <f>VLOOKUP(Table10[[#This Row],[Month]],database!A:J,MATCH('IP from start'!$A$1,database!$A$1:$J$1,),)</f>
        <v>23.065999999999999</v>
      </c>
      <c r="C493" s="33">
        <f>(Table10[[#This Row],[Industrial Production ]]-B481)/B481</f>
        <v>0.14133312221359037</v>
      </c>
      <c r="D493" s="34">
        <f t="shared" si="7"/>
        <v>9.1562007316802529E-2</v>
      </c>
    </row>
    <row r="494" spans="1:4" x14ac:dyDescent="0.35">
      <c r="A494" s="31">
        <v>21763</v>
      </c>
      <c r="B494" s="32">
        <f>VLOOKUP(Table10[[#This Row],[Month]],database!A:J,MATCH('IP from start'!$A$1,database!$A$1:$J$1,),)</f>
        <v>22.284600000000001</v>
      </c>
      <c r="C494" s="33">
        <f>(Table10[[#This Row],[Industrial Production ]]-B482)/B482</f>
        <v>8.1047254522433887E-2</v>
      </c>
      <c r="D494" s="34">
        <f t="shared" si="7"/>
        <v>0.10362023495710819</v>
      </c>
    </row>
    <row r="495" spans="1:4" x14ac:dyDescent="0.35">
      <c r="A495" s="31">
        <v>21794</v>
      </c>
      <c r="B495" s="32">
        <f>VLOOKUP(Table10[[#This Row],[Month]],database!A:J,MATCH('IP from start'!$A$1,database!$A$1:$J$1,),)</f>
        <v>22.2577</v>
      </c>
      <c r="C495" s="33">
        <f>(Table10[[#This Row],[Industrial Production ]]-B483)/B483</f>
        <v>6.9947987270821813E-2</v>
      </c>
      <c r="D495" s="34">
        <f t="shared" si="7"/>
        <v>0.11335847266572917</v>
      </c>
    </row>
    <row r="496" spans="1:4" x14ac:dyDescent="0.35">
      <c r="A496" s="31">
        <v>21824</v>
      </c>
      <c r="B496" s="32">
        <f>VLOOKUP(Table10[[#This Row],[Month]],database!A:J,MATCH('IP from start'!$A$1,database!$A$1:$J$1,),)</f>
        <v>22.096</v>
      </c>
      <c r="C496" s="33">
        <f>(Table10[[#This Row],[Industrial Production ]]-B484)/B484</f>
        <v>4.9935614466075168E-2</v>
      </c>
      <c r="D496" s="34">
        <f t="shared" si="7"/>
        <v>0.11929509103333223</v>
      </c>
    </row>
    <row r="497" spans="1:4" x14ac:dyDescent="0.35">
      <c r="A497" s="31">
        <v>21855</v>
      </c>
      <c r="B497" s="32">
        <f>VLOOKUP(Table10[[#This Row],[Month]],database!A:J,MATCH('IP from start'!$A$1,database!$A$1:$J$1,),)</f>
        <v>22.230699999999999</v>
      </c>
      <c r="C497" s="33">
        <f>(Table10[[#This Row],[Industrial Production ]]-B485)/B485</f>
        <v>2.6115975610318969E-2</v>
      </c>
      <c r="D497" s="34">
        <f t="shared" si="7"/>
        <v>0.11879688887890293</v>
      </c>
    </row>
    <row r="498" spans="1:4" x14ac:dyDescent="0.35">
      <c r="A498" s="31">
        <v>21885</v>
      </c>
      <c r="B498" s="32">
        <f>VLOOKUP(Table10[[#This Row],[Month]],database!A:J,MATCH('IP from start'!$A$1,database!$A$1:$J$1,),)</f>
        <v>23.605</v>
      </c>
      <c r="C498" s="33">
        <f>(Table10[[#This Row],[Industrial Production ]]-B486)/B486</f>
        <v>8.8199227357803403E-2</v>
      </c>
      <c r="D498" s="34">
        <f t="shared" si="7"/>
        <v>0.12167474664357276</v>
      </c>
    </row>
    <row r="499" spans="1:4" x14ac:dyDescent="0.35">
      <c r="A499" s="31">
        <v>21916</v>
      </c>
      <c r="B499" s="32">
        <f>VLOOKUP(Table10[[#This Row],[Month]],database!A:J,MATCH('IP from start'!$A$1,database!$A$1:$J$1,),)</f>
        <v>24.224699999999999</v>
      </c>
      <c r="C499" s="33">
        <f>(Table10[[#This Row],[Industrial Production ]]-B487)/B487</f>
        <v>0.10036747505121477</v>
      </c>
      <c r="D499" s="34">
        <f t="shared" si="7"/>
        <v>0.12259425790360523</v>
      </c>
    </row>
    <row r="500" spans="1:4" x14ac:dyDescent="0.35">
      <c r="A500" s="31">
        <v>21947</v>
      </c>
      <c r="B500" s="32">
        <f>VLOOKUP(Table10[[#This Row],[Month]],database!A:J,MATCH('IP from start'!$A$1,database!$A$1:$J$1,),)</f>
        <v>24.0092</v>
      </c>
      <c r="C500" s="33">
        <f>(Table10[[#This Row],[Industrial Production ]]-B488)/B488</f>
        <v>6.9628402008348772E-2</v>
      </c>
      <c r="D500" s="34">
        <f t="shared" si="7"/>
        <v>0.11715678302318872</v>
      </c>
    </row>
    <row r="501" spans="1:4" x14ac:dyDescent="0.35">
      <c r="A501" s="31">
        <v>21976</v>
      </c>
      <c r="B501" s="32">
        <f>VLOOKUP(Table10[[#This Row],[Month]],database!A:J,MATCH('IP from start'!$A$1,database!$A$1:$J$1,),)</f>
        <v>23.793600000000001</v>
      </c>
      <c r="C501" s="33">
        <f>(Table10[[#This Row],[Industrial Production ]]-B489)/B489</f>
        <v>4.497224369334555E-2</v>
      </c>
      <c r="D501" s="34">
        <f t="shared" si="7"/>
        <v>0.10711162836940068</v>
      </c>
    </row>
    <row r="502" spans="1:4" x14ac:dyDescent="0.35">
      <c r="A502" s="31">
        <v>22007</v>
      </c>
      <c r="B502" s="32">
        <f>VLOOKUP(Table10[[#This Row],[Month]],database!A:J,MATCH('IP from start'!$A$1,database!$A$1:$J$1,),)</f>
        <v>23.605</v>
      </c>
      <c r="C502" s="33">
        <f>(Table10[[#This Row],[Industrial Production ]]-B490)/B490</f>
        <v>1.5063621547472155E-2</v>
      </c>
      <c r="D502" s="34">
        <f t="shared" si="7"/>
        <v>9.0835123946567162E-2</v>
      </c>
    </row>
    <row r="503" spans="1:4" x14ac:dyDescent="0.35">
      <c r="A503" s="31">
        <v>22037</v>
      </c>
      <c r="B503" s="32">
        <f>VLOOKUP(Table10[[#This Row],[Month]],database!A:J,MATCH('IP from start'!$A$1,database!$A$1:$J$1,),)</f>
        <v>23.577999999999999</v>
      </c>
      <c r="C503" s="33">
        <f>(Table10[[#This Row],[Industrial Production ]]-B491)/B491</f>
        <v>-1.1438254607075205E-3</v>
      </c>
      <c r="D503" s="34">
        <f t="shared" si="7"/>
        <v>7.2683884506809557E-2</v>
      </c>
    </row>
    <row r="504" spans="1:4" x14ac:dyDescent="0.35">
      <c r="A504" s="31">
        <v>22068</v>
      </c>
      <c r="B504" s="32">
        <f>VLOOKUP(Table10[[#This Row],[Month]],database!A:J,MATCH('IP from start'!$A$1,database!$A$1:$J$1,),)</f>
        <v>23.281600000000001</v>
      </c>
      <c r="C504" s="33">
        <f>(Table10[[#This Row],[Industrial Production ]]-B492)/B492</f>
        <v>-1.4823183916655059E-2</v>
      </c>
      <c r="D504" s="34">
        <f t="shared" si="7"/>
        <v>5.5886992863671853E-2</v>
      </c>
    </row>
    <row r="505" spans="1:4" x14ac:dyDescent="0.35">
      <c r="A505" s="31">
        <v>22098</v>
      </c>
      <c r="B505" s="32">
        <f>VLOOKUP(Table10[[#This Row],[Month]],database!A:J,MATCH('IP from start'!$A$1,database!$A$1:$J$1,),)</f>
        <v>23.200800000000001</v>
      </c>
      <c r="C505" s="33">
        <f>(Table10[[#This Row],[Industrial Production ]]-B493)/B493</f>
        <v>5.8440995404492341E-3</v>
      </c>
      <c r="D505" s="34">
        <f t="shared" si="7"/>
        <v>4.4596240974243424E-2</v>
      </c>
    </row>
    <row r="506" spans="1:4" x14ac:dyDescent="0.35">
      <c r="A506" s="31">
        <v>22129</v>
      </c>
      <c r="B506" s="32">
        <f>VLOOKUP(Table10[[#This Row],[Month]],database!A:J,MATCH('IP from start'!$A$1,database!$A$1:$J$1,),)</f>
        <v>23.1738</v>
      </c>
      <c r="C506" s="33">
        <f>(Table10[[#This Row],[Industrial Production ]]-B494)/B494</f>
        <v>3.9901995099754936E-2</v>
      </c>
      <c r="D506" s="34">
        <f t="shared" si="7"/>
        <v>4.1167469355686846E-2</v>
      </c>
    </row>
    <row r="507" spans="1:4" x14ac:dyDescent="0.35">
      <c r="A507" s="31">
        <v>22160</v>
      </c>
      <c r="B507" s="32">
        <f>VLOOKUP(Table10[[#This Row],[Month]],database!A:J,MATCH('IP from start'!$A$1,database!$A$1:$J$1,),)</f>
        <v>22.9313</v>
      </c>
      <c r="C507" s="33">
        <f>(Table10[[#This Row],[Industrial Production ]]-B495)/B495</f>
        <v>3.02636840284486E-2</v>
      </c>
      <c r="D507" s="34">
        <f t="shared" si="7"/>
        <v>3.7860444085489088E-2</v>
      </c>
    </row>
    <row r="508" spans="1:4" x14ac:dyDescent="0.35">
      <c r="A508" s="31">
        <v>22190</v>
      </c>
      <c r="B508" s="32">
        <f>VLOOKUP(Table10[[#This Row],[Month]],database!A:J,MATCH('IP from start'!$A$1,database!$A$1:$J$1,),)</f>
        <v>22.904399999999999</v>
      </c>
      <c r="C508" s="33">
        <f>(Table10[[#This Row],[Industrial Production ]]-B496)/B496</f>
        <v>3.6585807385952157E-2</v>
      </c>
      <c r="D508" s="34">
        <f t="shared" si="7"/>
        <v>3.6747960162145495E-2</v>
      </c>
    </row>
    <row r="509" spans="1:4" x14ac:dyDescent="0.35">
      <c r="A509" s="31">
        <v>22221</v>
      </c>
      <c r="B509" s="32">
        <f>VLOOKUP(Table10[[#This Row],[Month]],database!A:J,MATCH('IP from start'!$A$1,database!$A$1:$J$1,),)</f>
        <v>22.581</v>
      </c>
      <c r="C509" s="33">
        <f>(Table10[[#This Row],[Industrial Production ]]-B497)/B497</f>
        <v>1.5757488518130365E-2</v>
      </c>
      <c r="D509" s="34">
        <f t="shared" si="7"/>
        <v>3.5884752904463114E-2</v>
      </c>
    </row>
    <row r="510" spans="1:4" x14ac:dyDescent="0.35">
      <c r="A510" s="31">
        <v>22251</v>
      </c>
      <c r="B510" s="32">
        <f>VLOOKUP(Table10[[#This Row],[Month]],database!A:J,MATCH('IP from start'!$A$1,database!$A$1:$J$1,),)</f>
        <v>22.149899999999999</v>
      </c>
      <c r="C510" s="33">
        <f>(Table10[[#This Row],[Industrial Production ]]-B498)/B498</f>
        <v>-6.1643719550942666E-2</v>
      </c>
      <c r="D510" s="34">
        <f t="shared" si="7"/>
        <v>2.3397840662067609E-2</v>
      </c>
    </row>
    <row r="511" spans="1:4" x14ac:dyDescent="0.35">
      <c r="A511" s="31">
        <v>22282</v>
      </c>
      <c r="B511" s="32">
        <f>VLOOKUP(Table10[[#This Row],[Month]],database!A:J,MATCH('IP from start'!$A$1,database!$A$1:$J$1,),)</f>
        <v>22.1768</v>
      </c>
      <c r="C511" s="33">
        <f>(Table10[[#This Row],[Industrial Production ]]-B499)/B499</f>
        <v>-8.4537682613200521E-2</v>
      </c>
      <c r="D511" s="34">
        <f t="shared" si="7"/>
        <v>7.9890775233663319E-3</v>
      </c>
    </row>
    <row r="512" spans="1:4" x14ac:dyDescent="0.35">
      <c r="A512" s="31">
        <v>22313</v>
      </c>
      <c r="B512" s="32">
        <f>VLOOKUP(Table10[[#This Row],[Month]],database!A:J,MATCH('IP from start'!$A$1,database!$A$1:$J$1,),)</f>
        <v>22.149899999999999</v>
      </c>
      <c r="C512" s="33">
        <f>(Table10[[#This Row],[Industrial Production ]]-B500)/B500</f>
        <v>-7.7441147560102008E-2</v>
      </c>
      <c r="D512" s="34">
        <f t="shared" si="7"/>
        <v>-4.2667182740045648E-3</v>
      </c>
    </row>
    <row r="513" spans="1:4" x14ac:dyDescent="0.35">
      <c r="A513" s="31">
        <v>22341</v>
      </c>
      <c r="B513" s="32">
        <f>VLOOKUP(Table10[[#This Row],[Month]],database!A:J,MATCH('IP from start'!$A$1,database!$A$1:$J$1,),)</f>
        <v>22.284600000000001</v>
      </c>
      <c r="C513" s="33">
        <f>(Table10[[#This Row],[Industrial Production ]]-B501)/B501</f>
        <v>-6.3420415573935865E-2</v>
      </c>
      <c r="D513" s="34">
        <f t="shared" si="7"/>
        <v>-1.3299439879611347E-2</v>
      </c>
    </row>
    <row r="514" spans="1:4" x14ac:dyDescent="0.35">
      <c r="A514" s="31">
        <v>22372</v>
      </c>
      <c r="B514" s="32">
        <f>VLOOKUP(Table10[[#This Row],[Month]],database!A:J,MATCH('IP from start'!$A$1,database!$A$1:$J$1,),)</f>
        <v>22.742699999999999</v>
      </c>
      <c r="C514" s="33">
        <f>(Table10[[#This Row],[Industrial Production ]]-B502)/B502</f>
        <v>-3.65303961025207E-2</v>
      </c>
      <c r="D514" s="34">
        <f t="shared" si="7"/>
        <v>-1.7598941350444087E-2</v>
      </c>
    </row>
    <row r="515" spans="1:4" x14ac:dyDescent="0.35">
      <c r="A515" s="31">
        <v>22402</v>
      </c>
      <c r="B515" s="32">
        <f>VLOOKUP(Table10[[#This Row],[Month]],database!A:J,MATCH('IP from start'!$A$1,database!$A$1:$J$1,),)</f>
        <v>23.093</v>
      </c>
      <c r="C515" s="33">
        <f>(Table10[[#This Row],[Industrial Production ]]-B503)/B503</f>
        <v>-2.057002290270589E-2</v>
      </c>
      <c r="D515" s="34">
        <f t="shared" si="7"/>
        <v>-1.9217791137277285E-2</v>
      </c>
    </row>
    <row r="516" spans="1:4" x14ac:dyDescent="0.35">
      <c r="A516" s="31">
        <v>22433</v>
      </c>
      <c r="B516" s="32">
        <f>VLOOKUP(Table10[[#This Row],[Month]],database!A:J,MATCH('IP from start'!$A$1,database!$A$1:$J$1,),)</f>
        <v>23.416399999999999</v>
      </c>
      <c r="C516" s="33">
        <f>(Table10[[#This Row],[Industrial Production ]]-B504)/B504</f>
        <v>5.7899800700982095E-3</v>
      </c>
      <c r="D516" s="34">
        <f t="shared" si="7"/>
        <v>-1.7500027471714513E-2</v>
      </c>
    </row>
    <row r="517" spans="1:4" x14ac:dyDescent="0.35">
      <c r="A517" s="31">
        <v>22463</v>
      </c>
      <c r="B517" s="32">
        <f>VLOOKUP(Table10[[#This Row],[Month]],database!A:J,MATCH('IP from start'!$A$1,database!$A$1:$J$1,),)</f>
        <v>23.6858</v>
      </c>
      <c r="C517" s="33">
        <f>(Table10[[#This Row],[Industrial Production ]]-B505)/B505</f>
        <v>2.090445157063547E-2</v>
      </c>
      <c r="D517" s="34">
        <f t="shared" si="7"/>
        <v>-1.6244998135865659E-2</v>
      </c>
    </row>
    <row r="518" spans="1:4" x14ac:dyDescent="0.35">
      <c r="A518" s="31">
        <v>22494</v>
      </c>
      <c r="B518" s="32">
        <f>VLOOKUP(Table10[[#This Row],[Month]],database!A:J,MATCH('IP from start'!$A$1,database!$A$1:$J$1,),)</f>
        <v>23.901399999999999</v>
      </c>
      <c r="C518" s="33">
        <f>(Table10[[#This Row],[Industrial Production ]]-B506)/B506</f>
        <v>3.1397526517014857E-2</v>
      </c>
      <c r="D518" s="34">
        <f t="shared" si="7"/>
        <v>-1.6953703851093998E-2</v>
      </c>
    </row>
    <row r="519" spans="1:4" x14ac:dyDescent="0.35">
      <c r="A519" s="31">
        <v>22525</v>
      </c>
      <c r="B519" s="32">
        <f>VLOOKUP(Table10[[#This Row],[Month]],database!A:J,MATCH('IP from start'!$A$1,database!$A$1:$J$1,),)</f>
        <v>23.874500000000001</v>
      </c>
      <c r="C519" s="33">
        <f>(Table10[[#This Row],[Industrial Production ]]-B507)/B507</f>
        <v>4.1131553815091204E-2</v>
      </c>
      <c r="D519" s="34">
        <f t="shared" si="7"/>
        <v>-1.6048048035540444E-2</v>
      </c>
    </row>
    <row r="520" spans="1:4" x14ac:dyDescent="0.35">
      <c r="A520" s="31">
        <v>22555</v>
      </c>
      <c r="B520" s="32">
        <f>VLOOKUP(Table10[[#This Row],[Month]],database!A:J,MATCH('IP from start'!$A$1,database!$A$1:$J$1,),)</f>
        <v>24.3325</v>
      </c>
      <c r="C520" s="33">
        <f>(Table10[[#This Row],[Industrial Production ]]-B508)/B508</f>
        <v>6.2350465412759147E-2</v>
      </c>
      <c r="D520" s="34">
        <f t="shared" si="7"/>
        <v>-1.3900993199973198E-2</v>
      </c>
    </row>
    <row r="521" spans="1:4" x14ac:dyDescent="0.35">
      <c r="A521" s="31">
        <v>22586</v>
      </c>
      <c r="B521" s="32">
        <f>VLOOKUP(Table10[[#This Row],[Month]],database!A:J,MATCH('IP from start'!$A$1,database!$A$1:$J$1,),)</f>
        <v>24.709800000000001</v>
      </c>
      <c r="C521" s="33">
        <f>(Table10[[#This Row],[Industrial Production ]]-B509)/B509</f>
        <v>9.427394712368814E-2</v>
      </c>
      <c r="D521" s="34">
        <f t="shared" si="7"/>
        <v>-7.3579549828433786E-3</v>
      </c>
    </row>
    <row r="522" spans="1:4" x14ac:dyDescent="0.35">
      <c r="A522" s="31">
        <v>22616</v>
      </c>
      <c r="B522" s="32">
        <f>VLOOKUP(Table10[[#This Row],[Month]],database!A:J,MATCH('IP from start'!$A$1,database!$A$1:$J$1,),)</f>
        <v>24.9253</v>
      </c>
      <c r="C522" s="33">
        <f>(Table10[[#This Row],[Industrial Production ]]-B510)/B510</f>
        <v>0.12530079142569497</v>
      </c>
      <c r="D522" s="34">
        <f t="shared" si="7"/>
        <v>8.2207542652097555E-3</v>
      </c>
    </row>
    <row r="523" spans="1:4" x14ac:dyDescent="0.35">
      <c r="A523" s="31">
        <v>22647</v>
      </c>
      <c r="B523" s="32">
        <f>VLOOKUP(Table10[[#This Row],[Month]],database!A:J,MATCH('IP from start'!$A$1,database!$A$1:$J$1,),)</f>
        <v>24.709800000000001</v>
      </c>
      <c r="C523" s="33">
        <f>(Table10[[#This Row],[Industrial Production ]]-B511)/B511</f>
        <v>0.11421846253742655</v>
      </c>
      <c r="D523" s="34">
        <f t="shared" si="7"/>
        <v>2.4783766361095343E-2</v>
      </c>
    </row>
    <row r="524" spans="1:4" x14ac:dyDescent="0.35">
      <c r="A524" s="31">
        <v>22678</v>
      </c>
      <c r="B524" s="32">
        <f>VLOOKUP(Table10[[#This Row],[Month]],database!A:J,MATCH('IP from start'!$A$1,database!$A$1:$J$1,),)</f>
        <v>25.114000000000001</v>
      </c>
      <c r="C524" s="33">
        <f>(Table10[[#This Row],[Industrial Production ]]-B512)/B512</f>
        <v>0.1338200172461276</v>
      </c>
      <c r="D524" s="34">
        <f t="shared" si="7"/>
        <v>4.2388863428281139E-2</v>
      </c>
    </row>
    <row r="525" spans="1:4" x14ac:dyDescent="0.35">
      <c r="A525" s="31">
        <v>22706</v>
      </c>
      <c r="B525" s="32">
        <f>VLOOKUP(Table10[[#This Row],[Month]],database!A:J,MATCH('IP from start'!$A$1,database!$A$1:$J$1,),)</f>
        <v>25.248699999999999</v>
      </c>
      <c r="C525" s="33">
        <f>(Table10[[#This Row],[Industrial Production ]]-B513)/B513</f>
        <v>0.13301113773637391</v>
      </c>
      <c r="D525" s="34">
        <f t="shared" si="7"/>
        <v>5.8758159537473632E-2</v>
      </c>
    </row>
    <row r="526" spans="1:4" x14ac:dyDescent="0.35">
      <c r="A526" s="31">
        <v>22737</v>
      </c>
      <c r="B526" s="32">
        <f>VLOOKUP(Table10[[#This Row],[Month]],database!A:J,MATCH('IP from start'!$A$1,database!$A$1:$J$1,),)</f>
        <v>25.302600000000002</v>
      </c>
      <c r="C526" s="33">
        <f>(Table10[[#This Row],[Industrial Production ]]-B514)/B514</f>
        <v>0.11255919481855728</v>
      </c>
      <c r="D526" s="34">
        <f t="shared" si="7"/>
        <v>7.118229211423012E-2</v>
      </c>
    </row>
    <row r="527" spans="1:4" x14ac:dyDescent="0.35">
      <c r="A527" s="31">
        <v>22767</v>
      </c>
      <c r="B527" s="32">
        <f>VLOOKUP(Table10[[#This Row],[Month]],database!A:J,MATCH('IP from start'!$A$1,database!$A$1:$J$1,),)</f>
        <v>25.275600000000001</v>
      </c>
      <c r="C527" s="33">
        <f>(Table10[[#This Row],[Industrial Production ]]-B515)/B515</f>
        <v>9.4513488936041251E-2</v>
      </c>
      <c r="D527" s="34">
        <f t="shared" si="7"/>
        <v>8.0772584767459049E-2</v>
      </c>
    </row>
    <row r="528" spans="1:4" x14ac:dyDescent="0.35">
      <c r="A528" s="31">
        <v>22798</v>
      </c>
      <c r="B528" s="32">
        <f>VLOOKUP(Table10[[#This Row],[Month]],database!A:J,MATCH('IP from start'!$A$1,database!$A$1:$J$1,),)</f>
        <v>25.221800000000002</v>
      </c>
      <c r="C528" s="33">
        <f>(Table10[[#This Row],[Industrial Production ]]-B516)/B516</f>
        <v>7.7099810389299903E-2</v>
      </c>
      <c r="D528" s="34">
        <f t="shared" si="7"/>
        <v>8.6715070627392518E-2</v>
      </c>
    </row>
    <row r="529" spans="1:4" x14ac:dyDescent="0.35">
      <c r="A529" s="31">
        <v>22828</v>
      </c>
      <c r="B529" s="32">
        <f>VLOOKUP(Table10[[#This Row],[Month]],database!A:J,MATCH('IP from start'!$A$1,database!$A$1:$J$1,),)</f>
        <v>25.464300000000001</v>
      </c>
      <c r="C529" s="33">
        <f>(Table10[[#This Row],[Industrial Production ]]-B517)/B517</f>
        <v>7.508718303793839E-2</v>
      </c>
      <c r="D529" s="34">
        <f t="shared" si="7"/>
        <v>9.1230298249667774E-2</v>
      </c>
    </row>
    <row r="530" spans="1:4" x14ac:dyDescent="0.35">
      <c r="A530" s="31">
        <v>22859</v>
      </c>
      <c r="B530" s="32">
        <f>VLOOKUP(Table10[[#This Row],[Month]],database!A:J,MATCH('IP from start'!$A$1,database!$A$1:$J$1,),)</f>
        <v>25.491199999999999</v>
      </c>
      <c r="C530" s="33">
        <f>(Table10[[#This Row],[Industrial Production ]]-B518)/B518</f>
        <v>6.6514932179704972E-2</v>
      </c>
      <c r="D530" s="34">
        <f t="shared" si="7"/>
        <v>9.4156748721558603E-2</v>
      </c>
    </row>
    <row r="531" spans="1:4" x14ac:dyDescent="0.35">
      <c r="A531" s="31">
        <v>22890</v>
      </c>
      <c r="B531" s="32">
        <f>VLOOKUP(Table10[[#This Row],[Month]],database!A:J,MATCH('IP from start'!$A$1,database!$A$1:$J$1,),)</f>
        <v>25.652899999999999</v>
      </c>
      <c r="C531" s="33">
        <f>(Table10[[#This Row],[Industrial Production ]]-B519)/B519</f>
        <v>7.4489518105091107E-2</v>
      </c>
      <c r="D531" s="34">
        <f t="shared" si="7"/>
        <v>9.6936579079058602E-2</v>
      </c>
    </row>
    <row r="532" spans="1:4" x14ac:dyDescent="0.35">
      <c r="A532" s="31">
        <v>22920</v>
      </c>
      <c r="B532" s="32">
        <f>VLOOKUP(Table10[[#This Row],[Month]],database!A:J,MATCH('IP from start'!$A$1,database!$A$1:$J$1,),)</f>
        <v>25.6799</v>
      </c>
      <c r="C532" s="33">
        <f>(Table10[[#This Row],[Industrial Production ]]-B520)/B520</f>
        <v>5.5374499126682436E-2</v>
      </c>
      <c r="D532" s="34">
        <f t="shared" si="7"/>
        <v>9.6355248555218875E-2</v>
      </c>
    </row>
    <row r="533" spans="1:4" x14ac:dyDescent="0.35">
      <c r="A533" s="31">
        <v>22951</v>
      </c>
      <c r="B533" s="32">
        <f>VLOOKUP(Table10[[#This Row],[Month]],database!A:J,MATCH('IP from start'!$A$1,database!$A$1:$J$1,),)</f>
        <v>25.787600000000001</v>
      </c>
      <c r="C533" s="33">
        <f>(Table10[[#This Row],[Industrial Production ]]-B521)/B521</f>
        <v>4.3618321475689802E-2</v>
      </c>
      <c r="D533" s="34">
        <f t="shared" si="7"/>
        <v>9.2133946417885679E-2</v>
      </c>
    </row>
    <row r="534" spans="1:4" x14ac:dyDescent="0.35">
      <c r="A534" s="31">
        <v>22981</v>
      </c>
      <c r="B534" s="32">
        <f>VLOOKUP(Table10[[#This Row],[Month]],database!A:J,MATCH('IP from start'!$A$1,database!$A$1:$J$1,),)</f>
        <v>25.787600000000001</v>
      </c>
      <c r="C534" s="33">
        <f>(Table10[[#This Row],[Industrial Production ]]-B522)/B522</f>
        <v>3.459537096845379E-2</v>
      </c>
      <c r="D534" s="34">
        <f t="shared" si="7"/>
        <v>8.4575161379782257E-2</v>
      </c>
    </row>
    <row r="535" spans="1:4" x14ac:dyDescent="0.35">
      <c r="A535" s="31">
        <v>23012</v>
      </c>
      <c r="B535" s="32">
        <f>VLOOKUP(Table10[[#This Row],[Month]],database!A:J,MATCH('IP from start'!$A$1,database!$A$1:$J$1,),)</f>
        <v>25.976199999999999</v>
      </c>
      <c r="C535" s="33">
        <f>(Table10[[#This Row],[Industrial Production ]]-B523)/B523</f>
        <v>5.1250920687338518E-2</v>
      </c>
      <c r="D535" s="34">
        <f t="shared" si="7"/>
        <v>7.9327866225608237E-2</v>
      </c>
    </row>
    <row r="536" spans="1:4" x14ac:dyDescent="0.35">
      <c r="A536" s="31">
        <v>23043</v>
      </c>
      <c r="B536" s="32">
        <f>VLOOKUP(Table10[[#This Row],[Month]],database!A:J,MATCH('IP from start'!$A$1,database!$A$1:$J$1,),)</f>
        <v>26.2727</v>
      </c>
      <c r="C536" s="33">
        <f>(Table10[[#This Row],[Industrial Production ]]-B524)/B524</f>
        <v>4.6137612487058992E-2</v>
      </c>
      <c r="D536" s="34">
        <f t="shared" si="7"/>
        <v>7.2020999162352523E-2</v>
      </c>
    </row>
    <row r="537" spans="1:4" x14ac:dyDescent="0.35">
      <c r="A537" s="31">
        <v>23071</v>
      </c>
      <c r="B537" s="32">
        <f>VLOOKUP(Table10[[#This Row],[Month]],database!A:J,MATCH('IP from start'!$A$1,database!$A$1:$J$1,),)</f>
        <v>26.4344</v>
      </c>
      <c r="C537" s="33">
        <f>(Table10[[#This Row],[Industrial Production ]]-B525)/B525</f>
        <v>4.6960833627077855E-2</v>
      </c>
      <c r="D537" s="34">
        <f t="shared" si="7"/>
        <v>6.4850140486577848E-2</v>
      </c>
    </row>
    <row r="538" spans="1:4" x14ac:dyDescent="0.35">
      <c r="A538" s="31">
        <v>23102</v>
      </c>
      <c r="B538" s="32">
        <f>VLOOKUP(Table10[[#This Row],[Month]],database!A:J,MATCH('IP from start'!$A$1,database!$A$1:$J$1,),)</f>
        <v>26.6769</v>
      </c>
      <c r="C538" s="33">
        <f>(Table10[[#This Row],[Industrial Production ]]-B526)/B526</f>
        <v>5.4314576367645931E-2</v>
      </c>
      <c r="D538" s="34">
        <f t="shared" si="7"/>
        <v>5.9996422282335232E-2</v>
      </c>
    </row>
    <row r="539" spans="1:4" x14ac:dyDescent="0.35">
      <c r="A539" s="31">
        <v>23132</v>
      </c>
      <c r="B539" s="32">
        <f>VLOOKUP(Table10[[#This Row],[Month]],database!A:J,MATCH('IP from start'!$A$1,database!$A$1:$J$1,),)</f>
        <v>27.0002</v>
      </c>
      <c r="C539" s="33">
        <f>(Table10[[#This Row],[Industrial Production ]]-B527)/B527</f>
        <v>6.8231812499010849E-2</v>
      </c>
      <c r="D539" s="34">
        <f t="shared" si="7"/>
        <v>5.7806282579249364E-2</v>
      </c>
    </row>
    <row r="540" spans="1:4" x14ac:dyDescent="0.35">
      <c r="A540" s="31">
        <v>23163</v>
      </c>
      <c r="B540" s="32">
        <f>VLOOKUP(Table10[[#This Row],[Month]],database!A:J,MATCH('IP from start'!$A$1,database!$A$1:$J$1,),)</f>
        <v>27.081099999999999</v>
      </c>
      <c r="C540" s="33">
        <f>(Table10[[#This Row],[Industrial Production ]]-B528)/B528</f>
        <v>7.3717974133487588E-2</v>
      </c>
      <c r="D540" s="34">
        <f t="shared" si="7"/>
        <v>5.7524462891265025E-2</v>
      </c>
    </row>
    <row r="541" spans="1:4" x14ac:dyDescent="0.35">
      <c r="A541" s="31">
        <v>23193</v>
      </c>
      <c r="B541" s="32">
        <f>VLOOKUP(Table10[[#This Row],[Month]],database!A:J,MATCH('IP from start'!$A$1,database!$A$1:$J$1,),)</f>
        <v>26.973299999999998</v>
      </c>
      <c r="C541" s="33">
        <f>(Table10[[#This Row],[Industrial Production ]]-B529)/B529</f>
        <v>5.9259433795548933E-2</v>
      </c>
      <c r="D541" s="34">
        <f t="shared" si="7"/>
        <v>5.6205483787732567E-2</v>
      </c>
    </row>
    <row r="542" spans="1:4" x14ac:dyDescent="0.35">
      <c r="A542" s="31">
        <v>23224</v>
      </c>
      <c r="B542" s="32">
        <f>VLOOKUP(Table10[[#This Row],[Month]],database!A:J,MATCH('IP from start'!$A$1,database!$A$1:$J$1,),)</f>
        <v>27.027200000000001</v>
      </c>
      <c r="C542" s="33">
        <f>(Table10[[#This Row],[Industrial Production ]]-B530)/B530</f>
        <v>6.0256088375596338E-2</v>
      </c>
      <c r="D542" s="34">
        <f t="shared" ref="D542:D605" si="8">AVERAGE(C531:C542)</f>
        <v>5.5683913470723517E-2</v>
      </c>
    </row>
    <row r="543" spans="1:4" x14ac:dyDescent="0.35">
      <c r="A543" s="31">
        <v>23255</v>
      </c>
      <c r="B543" s="32">
        <f>VLOOKUP(Table10[[#This Row],[Month]],database!A:J,MATCH('IP from start'!$A$1,database!$A$1:$J$1,),)</f>
        <v>27.296600000000002</v>
      </c>
      <c r="C543" s="33">
        <f>(Table10[[#This Row],[Industrial Production ]]-B531)/B531</f>
        <v>6.4074627040217783E-2</v>
      </c>
      <c r="D543" s="34">
        <f t="shared" si="8"/>
        <v>5.481600588198407E-2</v>
      </c>
    </row>
    <row r="544" spans="1:4" x14ac:dyDescent="0.35">
      <c r="A544" s="31">
        <v>23285</v>
      </c>
      <c r="B544" s="32">
        <f>VLOOKUP(Table10[[#This Row],[Month]],database!A:J,MATCH('IP from start'!$A$1,database!$A$1:$J$1,),)</f>
        <v>27.485299999999999</v>
      </c>
      <c r="C544" s="33">
        <f>(Table10[[#This Row],[Industrial Production ]]-B532)/B532</f>
        <v>7.0304012087274437E-2</v>
      </c>
      <c r="D544" s="34">
        <f t="shared" si="8"/>
        <v>5.6060131962033403E-2</v>
      </c>
    </row>
    <row r="545" spans="1:4" x14ac:dyDescent="0.35">
      <c r="A545" s="31">
        <v>23316</v>
      </c>
      <c r="B545" s="32">
        <f>VLOOKUP(Table10[[#This Row],[Month]],database!A:J,MATCH('IP from start'!$A$1,database!$A$1:$J$1,),)</f>
        <v>27.62</v>
      </c>
      <c r="C545" s="33">
        <f>(Table10[[#This Row],[Industrial Production ]]-B533)/B533</f>
        <v>7.1057407436132078E-2</v>
      </c>
      <c r="D545" s="34">
        <f t="shared" si="8"/>
        <v>5.834672245873692E-2</v>
      </c>
    </row>
    <row r="546" spans="1:4" x14ac:dyDescent="0.35">
      <c r="A546" s="31">
        <v>23346</v>
      </c>
      <c r="B546" s="32">
        <f>VLOOKUP(Table10[[#This Row],[Month]],database!A:J,MATCH('IP from start'!$A$1,database!$A$1:$J$1,),)</f>
        <v>27.566099999999999</v>
      </c>
      <c r="C546" s="33">
        <f>(Table10[[#This Row],[Industrial Production ]]-B534)/B534</f>
        <v>6.8967255580201239E-2</v>
      </c>
      <c r="D546" s="34">
        <f t="shared" si="8"/>
        <v>6.1211046176382539E-2</v>
      </c>
    </row>
    <row r="547" spans="1:4" x14ac:dyDescent="0.35">
      <c r="A547" s="31">
        <v>23377</v>
      </c>
      <c r="B547" s="32">
        <f>VLOOKUP(Table10[[#This Row],[Month]],database!A:J,MATCH('IP from start'!$A$1,database!$A$1:$J$1,),)</f>
        <v>27.808599999999998</v>
      </c>
      <c r="C547" s="33">
        <f>(Table10[[#This Row],[Industrial Production ]]-B535)/B535</f>
        <v>7.0541495676811852E-2</v>
      </c>
      <c r="D547" s="34">
        <f t="shared" si="8"/>
        <v>6.2818594092171984E-2</v>
      </c>
    </row>
    <row r="548" spans="1:4" x14ac:dyDescent="0.35">
      <c r="A548" s="31">
        <v>23408</v>
      </c>
      <c r="B548" s="32">
        <f>VLOOKUP(Table10[[#This Row],[Month]],database!A:J,MATCH('IP from start'!$A$1,database!$A$1:$J$1,),)</f>
        <v>27.997199999999999</v>
      </c>
      <c r="C548" s="33">
        <f>(Table10[[#This Row],[Industrial Production ]]-B536)/B536</f>
        <v>6.5638476441324992E-2</v>
      </c>
      <c r="D548" s="34">
        <f t="shared" si="8"/>
        <v>6.4443666088360815E-2</v>
      </c>
    </row>
    <row r="549" spans="1:4" x14ac:dyDescent="0.35">
      <c r="A549" s="31">
        <v>23437</v>
      </c>
      <c r="B549" s="32">
        <f>VLOOKUP(Table10[[#This Row],[Month]],database!A:J,MATCH('IP from start'!$A$1,database!$A$1:$J$1,),)</f>
        <v>27.997199999999999</v>
      </c>
      <c r="C549" s="33">
        <f>(Table10[[#This Row],[Industrial Production ]]-B537)/B537</f>
        <v>5.9119934630632788E-2</v>
      </c>
      <c r="D549" s="34">
        <f t="shared" si="8"/>
        <v>6.5456924505323741E-2</v>
      </c>
    </row>
    <row r="550" spans="1:4" x14ac:dyDescent="0.35">
      <c r="A550" s="31">
        <v>23468</v>
      </c>
      <c r="B550" s="32">
        <f>VLOOKUP(Table10[[#This Row],[Month]],database!A:J,MATCH('IP from start'!$A$1,database!$A$1:$J$1,),)</f>
        <v>28.455300000000001</v>
      </c>
      <c r="C550" s="33">
        <f>(Table10[[#This Row],[Industrial Production ]]-B538)/B538</f>
        <v>6.6664417529772993E-2</v>
      </c>
      <c r="D550" s="34">
        <f t="shared" si="8"/>
        <v>6.6486077935501001E-2</v>
      </c>
    </row>
    <row r="551" spans="1:4" x14ac:dyDescent="0.35">
      <c r="A551" s="31">
        <v>23498</v>
      </c>
      <c r="B551" s="32">
        <f>VLOOKUP(Table10[[#This Row],[Month]],database!A:J,MATCH('IP from start'!$A$1,database!$A$1:$J$1,),)</f>
        <v>28.617000000000001</v>
      </c>
      <c r="C551" s="33">
        <f>(Table10[[#This Row],[Industrial Production ]]-B539)/B539</f>
        <v>5.9881037918237692E-2</v>
      </c>
      <c r="D551" s="34">
        <f t="shared" si="8"/>
        <v>6.5790180053769909E-2</v>
      </c>
    </row>
    <row r="552" spans="1:4" x14ac:dyDescent="0.35">
      <c r="A552" s="31">
        <v>23529</v>
      </c>
      <c r="B552" s="32">
        <f>VLOOKUP(Table10[[#This Row],[Month]],database!A:J,MATCH('IP from start'!$A$1,database!$A$1:$J$1,),)</f>
        <v>28.697800000000001</v>
      </c>
      <c r="C552" s="33">
        <f>(Table10[[#This Row],[Industrial Production ]]-B540)/B540</f>
        <v>5.9698461288500156E-2</v>
      </c>
      <c r="D552" s="34">
        <f t="shared" si="8"/>
        <v>6.4621887316687623E-2</v>
      </c>
    </row>
    <row r="553" spans="1:4" x14ac:dyDescent="0.35">
      <c r="A553" s="31">
        <v>23559</v>
      </c>
      <c r="B553" s="32">
        <f>VLOOKUP(Table10[[#This Row],[Month]],database!A:J,MATCH('IP from start'!$A$1,database!$A$1:$J$1,),)</f>
        <v>28.886500000000002</v>
      </c>
      <c r="C553" s="33">
        <f>(Table10[[#This Row],[Industrial Production ]]-B541)/B541</f>
        <v>7.0929400555364133E-2</v>
      </c>
      <c r="D553" s="34">
        <f t="shared" si="8"/>
        <v>6.5594384546672213E-2</v>
      </c>
    </row>
    <row r="554" spans="1:4" x14ac:dyDescent="0.35">
      <c r="A554" s="31">
        <v>23590</v>
      </c>
      <c r="B554" s="32">
        <f>VLOOKUP(Table10[[#This Row],[Month]],database!A:J,MATCH('IP from start'!$A$1,database!$A$1:$J$1,),)</f>
        <v>29.075099999999999</v>
      </c>
      <c r="C554" s="33">
        <f>(Table10[[#This Row],[Industrial Production ]]-B542)/B542</f>
        <v>7.5771815060383552E-2</v>
      </c>
      <c r="D554" s="34">
        <f t="shared" si="8"/>
        <v>6.6887361770404483E-2</v>
      </c>
    </row>
    <row r="555" spans="1:4" x14ac:dyDescent="0.35">
      <c r="A555" s="31">
        <v>23621</v>
      </c>
      <c r="B555" s="32">
        <f>VLOOKUP(Table10[[#This Row],[Month]],database!A:J,MATCH('IP from start'!$A$1,database!$A$1:$J$1,),)</f>
        <v>29.1829</v>
      </c>
      <c r="C555" s="33">
        <f>(Table10[[#This Row],[Industrial Production ]]-B543)/B543</f>
        <v>6.9103844434837983E-2</v>
      </c>
      <c r="D555" s="34">
        <f t="shared" si="8"/>
        <v>6.7306463219956161E-2</v>
      </c>
    </row>
    <row r="556" spans="1:4" x14ac:dyDescent="0.35">
      <c r="A556" s="31">
        <v>23651</v>
      </c>
      <c r="B556" s="32">
        <f>VLOOKUP(Table10[[#This Row],[Month]],database!A:J,MATCH('IP from start'!$A$1,database!$A$1:$J$1,),)</f>
        <v>28.778700000000001</v>
      </c>
      <c r="C556" s="33">
        <f>(Table10[[#This Row],[Industrial Production ]]-B544)/B544</f>
        <v>4.7057881849570569E-2</v>
      </c>
      <c r="D556" s="34">
        <f t="shared" si="8"/>
        <v>6.5369285700147509E-2</v>
      </c>
    </row>
    <row r="557" spans="1:4" x14ac:dyDescent="0.35">
      <c r="A557" s="31">
        <v>23682</v>
      </c>
      <c r="B557" s="32">
        <f>VLOOKUP(Table10[[#This Row],[Month]],database!A:J,MATCH('IP from start'!$A$1,database!$A$1:$J$1,),)</f>
        <v>29.667899999999999</v>
      </c>
      <c r="C557" s="33">
        <f>(Table10[[#This Row],[Industrial Production ]]-B545)/B545</f>
        <v>7.4145546705285961E-2</v>
      </c>
      <c r="D557" s="34">
        <f t="shared" si="8"/>
        <v>6.5626630639243663E-2</v>
      </c>
    </row>
    <row r="558" spans="1:4" x14ac:dyDescent="0.35">
      <c r="A558" s="31">
        <v>23712</v>
      </c>
      <c r="B558" s="32">
        <f>VLOOKUP(Table10[[#This Row],[Month]],database!A:J,MATCH('IP from start'!$A$1,database!$A$1:$J$1,),)</f>
        <v>30.0182</v>
      </c>
      <c r="C558" s="33">
        <f>(Table10[[#This Row],[Industrial Production ]]-B546)/B546</f>
        <v>8.89534609538528E-2</v>
      </c>
      <c r="D558" s="34">
        <f t="shared" si="8"/>
        <v>6.7292147753714615E-2</v>
      </c>
    </row>
    <row r="559" spans="1:4" x14ac:dyDescent="0.35">
      <c r="A559" s="31">
        <v>23743</v>
      </c>
      <c r="B559" s="32">
        <f>VLOOKUP(Table10[[#This Row],[Month]],database!A:J,MATCH('IP from start'!$A$1,database!$A$1:$J$1,),)</f>
        <v>30.3416</v>
      </c>
      <c r="C559" s="33">
        <f>(Table10[[#This Row],[Industrial Production ]]-B547)/B547</f>
        <v>9.108692994253581E-2</v>
      </c>
      <c r="D559" s="34">
        <f t="shared" si="8"/>
        <v>6.9004267275858289E-2</v>
      </c>
    </row>
    <row r="560" spans="1:4" x14ac:dyDescent="0.35">
      <c r="A560" s="31">
        <v>23774</v>
      </c>
      <c r="B560" s="32">
        <f>VLOOKUP(Table10[[#This Row],[Month]],database!A:J,MATCH('IP from start'!$A$1,database!$A$1:$J$1,),)</f>
        <v>30.530200000000001</v>
      </c>
      <c r="C560" s="33">
        <f>(Table10[[#This Row],[Industrial Production ]]-B548)/B548</f>
        <v>9.0473333047590518E-2</v>
      </c>
      <c r="D560" s="34">
        <f t="shared" si="8"/>
        <v>7.1073838659713742E-2</v>
      </c>
    </row>
    <row r="561" spans="1:4" x14ac:dyDescent="0.35">
      <c r="A561" s="31">
        <v>23802</v>
      </c>
      <c r="B561" s="32">
        <f>VLOOKUP(Table10[[#This Row],[Month]],database!A:J,MATCH('IP from start'!$A$1,database!$A$1:$J$1,),)</f>
        <v>30.9344</v>
      </c>
      <c r="C561" s="33">
        <f>(Table10[[#This Row],[Industrial Production ]]-B549)/B549</f>
        <v>0.10491049104910494</v>
      </c>
      <c r="D561" s="34">
        <f t="shared" si="8"/>
        <v>7.4889718361253091E-2</v>
      </c>
    </row>
    <row r="562" spans="1:4" x14ac:dyDescent="0.35">
      <c r="A562" s="31">
        <v>23833</v>
      </c>
      <c r="B562" s="32">
        <f>VLOOKUP(Table10[[#This Row],[Month]],database!A:J,MATCH('IP from start'!$A$1,database!$A$1:$J$1,),)</f>
        <v>31.069099999999999</v>
      </c>
      <c r="C562" s="33">
        <f>(Table10[[#This Row],[Industrial Production ]]-B550)/B550</f>
        <v>9.1856350135124124E-2</v>
      </c>
      <c r="D562" s="34">
        <f t="shared" si="8"/>
        <v>7.6989046078365694E-2</v>
      </c>
    </row>
    <row r="563" spans="1:4" x14ac:dyDescent="0.35">
      <c r="A563" s="31">
        <v>23863</v>
      </c>
      <c r="B563" s="32">
        <f>VLOOKUP(Table10[[#This Row],[Month]],database!A:J,MATCH('IP from start'!$A$1,database!$A$1:$J$1,),)</f>
        <v>31.311599999999999</v>
      </c>
      <c r="C563" s="33">
        <f>(Table10[[#This Row],[Industrial Production ]]-B551)/B551</f>
        <v>9.4160813502463483E-2</v>
      </c>
      <c r="D563" s="34">
        <f t="shared" si="8"/>
        <v>7.9845694043717844E-2</v>
      </c>
    </row>
    <row r="564" spans="1:4" x14ac:dyDescent="0.35">
      <c r="A564" s="31">
        <v>23894</v>
      </c>
      <c r="B564" s="32">
        <f>VLOOKUP(Table10[[#This Row],[Month]],database!A:J,MATCH('IP from start'!$A$1,database!$A$1:$J$1,),)</f>
        <v>31.554099999999998</v>
      </c>
      <c r="C564" s="33">
        <f>(Table10[[#This Row],[Industrial Production ]]-B552)/B552</f>
        <v>9.9530277582253593E-2</v>
      </c>
      <c r="D564" s="34">
        <f t="shared" si="8"/>
        <v>8.3165012068197305E-2</v>
      </c>
    </row>
    <row r="565" spans="1:4" x14ac:dyDescent="0.35">
      <c r="A565" s="31">
        <v>23924</v>
      </c>
      <c r="B565" s="32">
        <f>VLOOKUP(Table10[[#This Row],[Month]],database!A:J,MATCH('IP from start'!$A$1,database!$A$1:$J$1,),)</f>
        <v>31.8506</v>
      </c>
      <c r="C565" s="33">
        <f>(Table10[[#This Row],[Industrial Production ]]-B553)/B553</f>
        <v>0.10261194675713563</v>
      </c>
      <c r="D565" s="34">
        <f t="shared" si="8"/>
        <v>8.5805224251678247E-2</v>
      </c>
    </row>
    <row r="566" spans="1:4" x14ac:dyDescent="0.35">
      <c r="A566" s="31">
        <v>23955</v>
      </c>
      <c r="B566" s="32">
        <f>VLOOKUP(Table10[[#This Row],[Month]],database!A:J,MATCH('IP from start'!$A$1,database!$A$1:$J$1,),)</f>
        <v>31.985299999999999</v>
      </c>
      <c r="C566" s="33">
        <f>(Table10[[#This Row],[Industrial Production ]]-B554)/B554</f>
        <v>0.10009251902830944</v>
      </c>
      <c r="D566" s="34">
        <f t="shared" si="8"/>
        <v>8.7831949582338753E-2</v>
      </c>
    </row>
    <row r="567" spans="1:4" x14ac:dyDescent="0.35">
      <c r="A567" s="31">
        <v>23986</v>
      </c>
      <c r="B567" s="32">
        <f>VLOOKUP(Table10[[#This Row],[Month]],database!A:J,MATCH('IP from start'!$A$1,database!$A$1:$J$1,),)</f>
        <v>32.066099999999999</v>
      </c>
      <c r="C567" s="33">
        <f>(Table10[[#This Row],[Industrial Production ]]-B555)/B555</f>
        <v>9.8797583516374271E-2</v>
      </c>
      <c r="D567" s="34">
        <f t="shared" si="8"/>
        <v>9.0306427839133438E-2</v>
      </c>
    </row>
    <row r="568" spans="1:4" x14ac:dyDescent="0.35">
      <c r="A568" s="31">
        <v>24016</v>
      </c>
      <c r="B568" s="32">
        <f>VLOOKUP(Table10[[#This Row],[Month]],database!A:J,MATCH('IP from start'!$A$1,database!$A$1:$J$1,),)</f>
        <v>32.389499999999998</v>
      </c>
      <c r="C568" s="33">
        <f>(Table10[[#This Row],[Industrial Production ]]-B556)/B556</f>
        <v>0.12546779388923049</v>
      </c>
      <c r="D568" s="34">
        <f t="shared" si="8"/>
        <v>9.6840587175771764E-2</v>
      </c>
    </row>
    <row r="569" spans="1:4" x14ac:dyDescent="0.35">
      <c r="A569" s="31">
        <v>24047</v>
      </c>
      <c r="B569" s="32">
        <f>VLOOKUP(Table10[[#This Row],[Month]],database!A:J,MATCH('IP from start'!$A$1,database!$A$1:$J$1,),)</f>
        <v>32.5242</v>
      </c>
      <c r="C569" s="33">
        <f>(Table10[[#This Row],[Industrial Production ]]-B557)/B557</f>
        <v>9.6275772804950838E-2</v>
      </c>
      <c r="D569" s="34">
        <f t="shared" si="8"/>
        <v>9.868477268407716E-2</v>
      </c>
    </row>
    <row r="570" spans="1:4" x14ac:dyDescent="0.35">
      <c r="A570" s="31">
        <v>24077</v>
      </c>
      <c r="B570" s="32">
        <f>VLOOKUP(Table10[[#This Row],[Month]],database!A:J,MATCH('IP from start'!$A$1,database!$A$1:$J$1,),)</f>
        <v>32.928400000000003</v>
      </c>
      <c r="C570" s="33">
        <f>(Table10[[#This Row],[Industrial Production ]]-B558)/B558</f>
        <v>9.6947851636673854E-2</v>
      </c>
      <c r="D570" s="34">
        <f t="shared" si="8"/>
        <v>9.9350971907645566E-2</v>
      </c>
    </row>
    <row r="571" spans="1:4" x14ac:dyDescent="0.35">
      <c r="A571" s="31">
        <v>24108</v>
      </c>
      <c r="B571" s="32">
        <f>VLOOKUP(Table10[[#This Row],[Month]],database!A:J,MATCH('IP from start'!$A$1,database!$A$1:$J$1,),)</f>
        <v>33.251800000000003</v>
      </c>
      <c r="C571" s="33">
        <f>(Table10[[#This Row],[Industrial Production ]]-B559)/B559</f>
        <v>9.5914519998945444E-2</v>
      </c>
      <c r="D571" s="34">
        <f t="shared" si="8"/>
        <v>9.9753271079013051E-2</v>
      </c>
    </row>
    <row r="572" spans="1:4" x14ac:dyDescent="0.35">
      <c r="A572" s="31">
        <v>24139</v>
      </c>
      <c r="B572" s="32">
        <f>VLOOKUP(Table10[[#This Row],[Month]],database!A:J,MATCH('IP from start'!$A$1,database!$A$1:$J$1,),)</f>
        <v>33.467399999999998</v>
      </c>
      <c r="C572" s="33">
        <f>(Table10[[#This Row],[Industrial Production ]]-B560)/B560</f>
        <v>9.620637925725993E-2</v>
      </c>
      <c r="D572" s="34">
        <f t="shared" si="8"/>
        <v>0.10023102492981882</v>
      </c>
    </row>
    <row r="573" spans="1:4" x14ac:dyDescent="0.35">
      <c r="A573" s="31">
        <v>24167</v>
      </c>
      <c r="B573" s="32">
        <f>VLOOKUP(Table10[[#This Row],[Month]],database!A:J,MATCH('IP from start'!$A$1,database!$A$1:$J$1,),)</f>
        <v>33.925400000000003</v>
      </c>
      <c r="C573" s="33">
        <f>(Table10[[#This Row],[Industrial Production ]]-B561)/B561</f>
        <v>9.6688476259439438E-2</v>
      </c>
      <c r="D573" s="34">
        <f t="shared" si="8"/>
        <v>9.9545857030680043E-2</v>
      </c>
    </row>
    <row r="574" spans="1:4" x14ac:dyDescent="0.35">
      <c r="A574" s="31">
        <v>24198</v>
      </c>
      <c r="B574" s="32">
        <f>VLOOKUP(Table10[[#This Row],[Month]],database!A:J,MATCH('IP from start'!$A$1,database!$A$1:$J$1,),)</f>
        <v>33.979300000000002</v>
      </c>
      <c r="C574" s="33">
        <f>(Table10[[#This Row],[Industrial Production ]]-B562)/B562</f>
        <v>9.3668628959319822E-2</v>
      </c>
      <c r="D574" s="34">
        <f t="shared" si="8"/>
        <v>9.9696880266029672E-2</v>
      </c>
    </row>
    <row r="575" spans="1:4" x14ac:dyDescent="0.35">
      <c r="A575" s="31">
        <v>24228</v>
      </c>
      <c r="B575" s="32">
        <f>VLOOKUP(Table10[[#This Row],[Month]],database!A:J,MATCH('IP from start'!$A$1,database!$A$1:$J$1,),)</f>
        <v>34.302700000000002</v>
      </c>
      <c r="C575" s="33">
        <f>(Table10[[#This Row],[Industrial Production ]]-B563)/B563</f>
        <v>9.5526897379884873E-2</v>
      </c>
      <c r="D575" s="34">
        <f t="shared" si="8"/>
        <v>9.9810720589148139E-2</v>
      </c>
    </row>
    <row r="576" spans="1:4" x14ac:dyDescent="0.35">
      <c r="A576" s="31">
        <v>24259</v>
      </c>
      <c r="B576" s="32">
        <f>VLOOKUP(Table10[[#This Row],[Month]],database!A:J,MATCH('IP from start'!$A$1,database!$A$1:$J$1,),)</f>
        <v>34.464300000000001</v>
      </c>
      <c r="C576" s="33">
        <f>(Table10[[#This Row],[Industrial Production ]]-B564)/B564</f>
        <v>9.2228902107808597E-2</v>
      </c>
      <c r="D576" s="34">
        <f t="shared" si="8"/>
        <v>9.9202272632944385E-2</v>
      </c>
    </row>
    <row r="577" spans="1:4" x14ac:dyDescent="0.35">
      <c r="A577" s="31">
        <v>24289</v>
      </c>
      <c r="B577" s="32">
        <f>VLOOKUP(Table10[[#This Row],[Month]],database!A:J,MATCH('IP from start'!$A$1,database!$A$1:$J$1,),)</f>
        <v>34.652999999999999</v>
      </c>
      <c r="C577" s="33">
        <f>(Table10[[#This Row],[Industrial Production ]]-B565)/B565</f>
        <v>8.7985783627309966E-2</v>
      </c>
      <c r="D577" s="34">
        <f t="shared" si="8"/>
        <v>9.7983425705458913E-2</v>
      </c>
    </row>
    <row r="578" spans="1:4" x14ac:dyDescent="0.35">
      <c r="A578" s="31">
        <v>24320</v>
      </c>
      <c r="B578" s="32">
        <f>VLOOKUP(Table10[[#This Row],[Month]],database!A:J,MATCH('IP from start'!$A$1,database!$A$1:$J$1,),)</f>
        <v>34.679900000000004</v>
      </c>
      <c r="C578" s="33">
        <f>(Table10[[#This Row],[Industrial Production ]]-B566)/B566</f>
        <v>8.4244950023917395E-2</v>
      </c>
      <c r="D578" s="34">
        <f t="shared" si="8"/>
        <v>9.666279495509289E-2</v>
      </c>
    </row>
    <row r="579" spans="1:4" x14ac:dyDescent="0.35">
      <c r="A579" s="31">
        <v>24351</v>
      </c>
      <c r="B579" s="32">
        <f>VLOOKUP(Table10[[#This Row],[Month]],database!A:J,MATCH('IP from start'!$A$1,database!$A$1:$J$1,),)</f>
        <v>35.003300000000003</v>
      </c>
      <c r="C579" s="33">
        <f>(Table10[[#This Row],[Industrial Production ]]-B567)/B567</f>
        <v>9.1598292277514398E-2</v>
      </c>
      <c r="D579" s="34">
        <f t="shared" si="8"/>
        <v>9.6062854018521257E-2</v>
      </c>
    </row>
    <row r="580" spans="1:4" x14ac:dyDescent="0.35">
      <c r="A580" s="31">
        <v>24381</v>
      </c>
      <c r="B580" s="32">
        <f>VLOOKUP(Table10[[#This Row],[Month]],database!A:J,MATCH('IP from start'!$A$1,database!$A$1:$J$1,),)</f>
        <v>35.245800000000003</v>
      </c>
      <c r="C580" s="33">
        <f>(Table10[[#This Row],[Industrial Production ]]-B568)/B568</f>
        <v>8.8185986199231375E-2</v>
      </c>
      <c r="D580" s="34">
        <f t="shared" si="8"/>
        <v>9.2956036711021317E-2</v>
      </c>
    </row>
    <row r="581" spans="1:4" x14ac:dyDescent="0.35">
      <c r="A581" s="31">
        <v>24412</v>
      </c>
      <c r="B581" s="32">
        <f>VLOOKUP(Table10[[#This Row],[Month]],database!A:J,MATCH('IP from start'!$A$1,database!$A$1:$J$1,),)</f>
        <v>35.003300000000003</v>
      </c>
      <c r="C581" s="33">
        <f>(Table10[[#This Row],[Industrial Production ]]-B569)/B569</f>
        <v>7.6223243000596561E-2</v>
      </c>
      <c r="D581" s="34">
        <f t="shared" si="8"/>
        <v>9.1284992560658459E-2</v>
      </c>
    </row>
    <row r="582" spans="1:4" x14ac:dyDescent="0.35">
      <c r="A582" s="31">
        <v>24442</v>
      </c>
      <c r="B582" s="32">
        <f>VLOOKUP(Table10[[#This Row],[Month]],database!A:J,MATCH('IP from start'!$A$1,database!$A$1:$J$1,),)</f>
        <v>35.084099999999999</v>
      </c>
      <c r="C582" s="33">
        <f>(Table10[[#This Row],[Industrial Production ]]-B570)/B570</f>
        <v>6.5466284423172566E-2</v>
      </c>
      <c r="D582" s="34">
        <f t="shared" si="8"/>
        <v>8.8661528626200012E-2</v>
      </c>
    </row>
    <row r="583" spans="1:4" x14ac:dyDescent="0.35">
      <c r="A583" s="31">
        <v>24473</v>
      </c>
      <c r="B583" s="32">
        <f>VLOOKUP(Table10[[#This Row],[Month]],database!A:J,MATCH('IP from start'!$A$1,database!$A$1:$J$1,),)</f>
        <v>35.249600000000001</v>
      </c>
      <c r="C583" s="33">
        <f>(Table10[[#This Row],[Industrial Production ]]-B571)/B571</f>
        <v>6.0080958023324992E-2</v>
      </c>
      <c r="D583" s="34">
        <f t="shared" si="8"/>
        <v>8.5675398461564981E-2</v>
      </c>
    </row>
    <row r="584" spans="1:4" x14ac:dyDescent="0.35">
      <c r="A584" s="31">
        <v>24504</v>
      </c>
      <c r="B584" s="32">
        <f>VLOOKUP(Table10[[#This Row],[Month]],database!A:J,MATCH('IP from start'!$A$1,database!$A$1:$J$1,),)</f>
        <v>34.849800000000002</v>
      </c>
      <c r="C584" s="33">
        <f>(Table10[[#This Row],[Industrial Production ]]-B572)/B572</f>
        <v>4.130586779970969E-2</v>
      </c>
      <c r="D584" s="34">
        <f t="shared" si="8"/>
        <v>8.1100355840102473E-2</v>
      </c>
    </row>
    <row r="585" spans="1:4" x14ac:dyDescent="0.35">
      <c r="A585" s="31">
        <v>24532</v>
      </c>
      <c r="B585" s="32">
        <f>VLOOKUP(Table10[[#This Row],[Month]],database!A:J,MATCH('IP from start'!$A$1,database!$A$1:$J$1,),)</f>
        <v>34.653399999999998</v>
      </c>
      <c r="C585" s="33">
        <f>(Table10[[#This Row],[Industrial Production ]]-B573)/B573</f>
        <v>2.1458847942839122E-2</v>
      </c>
      <c r="D585" s="34">
        <f t="shared" si="8"/>
        <v>7.4831220147052457E-2</v>
      </c>
    </row>
    <row r="586" spans="1:4" x14ac:dyDescent="0.35">
      <c r="A586" s="31">
        <v>24563</v>
      </c>
      <c r="B586" s="32">
        <f>VLOOKUP(Table10[[#This Row],[Month]],database!A:J,MATCH('IP from start'!$A$1,database!$A$1:$J$1,),)</f>
        <v>34.980200000000004</v>
      </c>
      <c r="C586" s="33">
        <f>(Table10[[#This Row],[Industrial Production ]]-B574)/B574</f>
        <v>2.945616890283206E-2</v>
      </c>
      <c r="D586" s="34">
        <f t="shared" si="8"/>
        <v>6.9480181809011804E-2</v>
      </c>
    </row>
    <row r="587" spans="1:4" x14ac:dyDescent="0.35">
      <c r="A587" s="31">
        <v>24593</v>
      </c>
      <c r="B587" s="32">
        <f>VLOOKUP(Table10[[#This Row],[Month]],database!A:J,MATCH('IP from start'!$A$1,database!$A$1:$J$1,),)</f>
        <v>34.674999999999997</v>
      </c>
      <c r="C587" s="33">
        <f>(Table10[[#This Row],[Industrial Production ]]-B575)/B575</f>
        <v>1.0853373058097339E-2</v>
      </c>
      <c r="D587" s="34">
        <f t="shared" si="8"/>
        <v>6.2424054782196176E-2</v>
      </c>
    </row>
    <row r="588" spans="1:4" x14ac:dyDescent="0.35">
      <c r="A588" s="31">
        <v>24624</v>
      </c>
      <c r="B588" s="32">
        <f>VLOOKUP(Table10[[#This Row],[Month]],database!A:J,MATCH('IP from start'!$A$1,database!$A$1:$J$1,),)</f>
        <v>34.670699999999997</v>
      </c>
      <c r="C588" s="33">
        <f>(Table10[[#This Row],[Industrial Production ]]-B576)/B576</f>
        <v>5.9888058077487436E-3</v>
      </c>
      <c r="D588" s="34">
        <f t="shared" si="8"/>
        <v>5.5237380090524528E-2</v>
      </c>
    </row>
    <row r="589" spans="1:4" x14ac:dyDescent="0.35">
      <c r="A589" s="31">
        <v>24654</v>
      </c>
      <c r="B589" s="32">
        <f>VLOOKUP(Table10[[#This Row],[Month]],database!A:J,MATCH('IP from start'!$A$1,database!$A$1:$J$1,),)</f>
        <v>34.591799999999999</v>
      </c>
      <c r="C589" s="33">
        <f>(Table10[[#This Row],[Industrial Production ]]-B577)/B577</f>
        <v>-1.7660808588000889E-3</v>
      </c>
      <c r="D589" s="34">
        <f t="shared" si="8"/>
        <v>4.7758058050015352E-2</v>
      </c>
    </row>
    <row r="590" spans="1:4" x14ac:dyDescent="0.35">
      <c r="A590" s="31">
        <v>24685</v>
      </c>
      <c r="B590" s="32">
        <f>VLOOKUP(Table10[[#This Row],[Month]],database!A:J,MATCH('IP from start'!$A$1,database!$A$1:$J$1,),)</f>
        <v>35.2545</v>
      </c>
      <c r="C590" s="33">
        <f>(Table10[[#This Row],[Industrial Production ]]-B578)/B578</f>
        <v>1.6568675226860417E-2</v>
      </c>
      <c r="D590" s="34">
        <f t="shared" si="8"/>
        <v>4.2118368483593932E-2</v>
      </c>
    </row>
    <row r="591" spans="1:4" x14ac:dyDescent="0.35">
      <c r="A591" s="31">
        <v>24716</v>
      </c>
      <c r="B591" s="32">
        <f>VLOOKUP(Table10[[#This Row],[Month]],database!A:J,MATCH('IP from start'!$A$1,database!$A$1:$J$1,),)</f>
        <v>35.197200000000002</v>
      </c>
      <c r="C591" s="33">
        <f>(Table10[[#This Row],[Industrial Production ]]-B579)/B579</f>
        <v>5.5394777063876629E-3</v>
      </c>
      <c r="D591" s="34">
        <f t="shared" si="8"/>
        <v>3.4946800602666701E-2</v>
      </c>
    </row>
    <row r="592" spans="1:4" x14ac:dyDescent="0.35">
      <c r="A592" s="31">
        <v>24746</v>
      </c>
      <c r="B592" s="32">
        <f>VLOOKUP(Table10[[#This Row],[Month]],database!A:J,MATCH('IP from start'!$A$1,database!$A$1:$J$1,),)</f>
        <v>35.483899999999998</v>
      </c>
      <c r="C592" s="33">
        <f>(Table10[[#This Row],[Industrial Production ]]-B580)/B580</f>
        <v>6.7554148295682253E-3</v>
      </c>
      <c r="D592" s="34">
        <f t="shared" si="8"/>
        <v>2.816091965519477E-2</v>
      </c>
    </row>
    <row r="593" spans="1:4" x14ac:dyDescent="0.35">
      <c r="A593" s="31">
        <v>24777</v>
      </c>
      <c r="B593" s="32">
        <f>VLOOKUP(Table10[[#This Row],[Month]],database!A:J,MATCH('IP from start'!$A$1,database!$A$1:$J$1,),)</f>
        <v>35.991399999999999</v>
      </c>
      <c r="C593" s="33">
        <f>(Table10[[#This Row],[Industrial Production ]]-B581)/B581</f>
        <v>2.8228767001968261E-2</v>
      </c>
      <c r="D593" s="34">
        <f t="shared" si="8"/>
        <v>2.4161379988642415E-2</v>
      </c>
    </row>
    <row r="594" spans="1:4" x14ac:dyDescent="0.35">
      <c r="A594" s="31">
        <v>24807</v>
      </c>
      <c r="B594" s="32">
        <f>VLOOKUP(Table10[[#This Row],[Month]],database!A:J,MATCH('IP from start'!$A$1,database!$A$1:$J$1,),)</f>
        <v>36.378999999999998</v>
      </c>
      <c r="C594" s="33">
        <f>(Table10[[#This Row],[Industrial Production ]]-B582)/B582</f>
        <v>3.6908457107350578E-2</v>
      </c>
      <c r="D594" s="34">
        <f t="shared" si="8"/>
        <v>2.178156104565725E-2</v>
      </c>
    </row>
    <row r="595" spans="1:4" x14ac:dyDescent="0.35">
      <c r="A595" s="31">
        <v>24838</v>
      </c>
      <c r="B595" s="32">
        <f>VLOOKUP(Table10[[#This Row],[Month]],database!A:J,MATCH('IP from start'!$A$1,database!$A$1:$J$1,),)</f>
        <v>36.3399</v>
      </c>
      <c r="C595" s="33">
        <f>(Table10[[#This Row],[Industrial Production ]]-B583)/B583</f>
        <v>3.0930847442240453E-2</v>
      </c>
      <c r="D595" s="34">
        <f t="shared" si="8"/>
        <v>1.9352385163900209E-2</v>
      </c>
    </row>
    <row r="596" spans="1:4" x14ac:dyDescent="0.35">
      <c r="A596" s="31">
        <v>24869</v>
      </c>
      <c r="B596" s="32">
        <f>VLOOKUP(Table10[[#This Row],[Month]],database!A:J,MATCH('IP from start'!$A$1,database!$A$1:$J$1,),)</f>
        <v>36.470100000000002</v>
      </c>
      <c r="C596" s="33">
        <f>(Table10[[#This Row],[Industrial Production ]]-B584)/B584</f>
        <v>4.6493810581409369E-2</v>
      </c>
      <c r="D596" s="34">
        <f t="shared" si="8"/>
        <v>1.9784713729041843E-2</v>
      </c>
    </row>
    <row r="597" spans="1:4" x14ac:dyDescent="0.35">
      <c r="A597" s="31">
        <v>24898</v>
      </c>
      <c r="B597" s="32">
        <f>VLOOKUP(Table10[[#This Row],[Month]],database!A:J,MATCH('IP from start'!$A$1,database!$A$1:$J$1,),)</f>
        <v>36.5839</v>
      </c>
      <c r="C597" s="33">
        <f>(Table10[[#This Row],[Industrial Production ]]-B585)/B585</f>
        <v>5.5708819336630813E-2</v>
      </c>
      <c r="D597" s="34">
        <f t="shared" si="8"/>
        <v>2.2638878011857818E-2</v>
      </c>
    </row>
    <row r="598" spans="1:4" x14ac:dyDescent="0.35">
      <c r="A598" s="31">
        <v>24929</v>
      </c>
      <c r="B598" s="32">
        <f>VLOOKUP(Table10[[#This Row],[Month]],database!A:J,MATCH('IP from start'!$A$1,database!$A$1:$J$1,),)</f>
        <v>36.636899999999997</v>
      </c>
      <c r="C598" s="33">
        <f>(Table10[[#This Row],[Industrial Production ]]-B586)/B586</f>
        <v>4.7361078553009799E-2</v>
      </c>
      <c r="D598" s="34">
        <f t="shared" si="8"/>
        <v>2.4130953816039299E-2</v>
      </c>
    </row>
    <row r="599" spans="1:4" x14ac:dyDescent="0.35">
      <c r="A599" s="31">
        <v>24959</v>
      </c>
      <c r="B599" s="32">
        <f>VLOOKUP(Table10[[#This Row],[Month]],database!A:J,MATCH('IP from start'!$A$1,database!$A$1:$J$1,),)</f>
        <v>37.047800000000002</v>
      </c>
      <c r="C599" s="33">
        <f>(Table10[[#This Row],[Industrial Production ]]-B587)/B587</f>
        <v>6.8429704397981406E-2</v>
      </c>
      <c r="D599" s="34">
        <f t="shared" si="8"/>
        <v>2.8928981427696301E-2</v>
      </c>
    </row>
    <row r="600" spans="1:4" x14ac:dyDescent="0.35">
      <c r="A600" s="31">
        <v>24990</v>
      </c>
      <c r="B600" s="32">
        <f>VLOOKUP(Table10[[#This Row],[Month]],database!A:J,MATCH('IP from start'!$A$1,database!$A$1:$J$1,),)</f>
        <v>37.183900000000001</v>
      </c>
      <c r="C600" s="33">
        <f>(Table10[[#This Row],[Industrial Production ]]-B588)/B588</f>
        <v>7.2487720178710122E-2</v>
      </c>
      <c r="D600" s="34">
        <f t="shared" si="8"/>
        <v>3.447055762527642E-2</v>
      </c>
    </row>
    <row r="601" spans="1:4" x14ac:dyDescent="0.35">
      <c r="A601" s="31">
        <v>25020</v>
      </c>
      <c r="B601" s="32">
        <f>VLOOKUP(Table10[[#This Row],[Month]],database!A:J,MATCH('IP from start'!$A$1,database!$A$1:$J$1,),)</f>
        <v>37.126899999999999</v>
      </c>
      <c r="C601" s="33">
        <f>(Table10[[#This Row],[Industrial Production ]]-B589)/B589</f>
        <v>7.3286154522169994E-2</v>
      </c>
      <c r="D601" s="34">
        <f t="shared" si="8"/>
        <v>4.0724910573690591E-2</v>
      </c>
    </row>
    <row r="602" spans="1:4" x14ac:dyDescent="0.35">
      <c r="A602" s="31">
        <v>25051</v>
      </c>
      <c r="B602" s="32">
        <f>VLOOKUP(Table10[[#This Row],[Month]],database!A:J,MATCH('IP from start'!$A$1,database!$A$1:$J$1,),)</f>
        <v>37.230499999999999</v>
      </c>
      <c r="C602" s="33">
        <f>(Table10[[#This Row],[Industrial Production ]]-B590)/B590</f>
        <v>5.6049582322824011E-2</v>
      </c>
      <c r="D602" s="34">
        <f t="shared" si="8"/>
        <v>4.4014986165020892E-2</v>
      </c>
    </row>
    <row r="603" spans="1:4" x14ac:dyDescent="0.35">
      <c r="A603" s="31">
        <v>25082</v>
      </c>
      <c r="B603" s="32">
        <f>VLOOKUP(Table10[[#This Row],[Month]],database!A:J,MATCH('IP from start'!$A$1,database!$A$1:$J$1,),)</f>
        <v>37.371499999999997</v>
      </c>
      <c r="C603" s="33">
        <f>(Table10[[#This Row],[Industrial Production ]]-B591)/B591</f>
        <v>6.1774800268203013E-2</v>
      </c>
      <c r="D603" s="34">
        <f t="shared" si="8"/>
        <v>4.8701263045172166E-2</v>
      </c>
    </row>
    <row r="604" spans="1:4" x14ac:dyDescent="0.35">
      <c r="A604" s="31">
        <v>25112</v>
      </c>
      <c r="B604" s="32">
        <f>VLOOKUP(Table10[[#This Row],[Month]],database!A:J,MATCH('IP from start'!$A$1,database!$A$1:$J$1,),)</f>
        <v>37.445700000000002</v>
      </c>
      <c r="C604" s="33">
        <f>(Table10[[#This Row],[Industrial Production ]]-B592)/B592</f>
        <v>5.5287045674235466E-2</v>
      </c>
      <c r="D604" s="34">
        <f t="shared" si="8"/>
        <v>5.2745565615561103E-2</v>
      </c>
    </row>
    <row r="605" spans="1:4" x14ac:dyDescent="0.35">
      <c r="A605" s="31">
        <v>25143</v>
      </c>
      <c r="B605" s="32">
        <f>VLOOKUP(Table10[[#This Row],[Month]],database!A:J,MATCH('IP from start'!$A$1,database!$A$1:$J$1,),)</f>
        <v>37.930100000000003</v>
      </c>
      <c r="C605" s="33">
        <f>(Table10[[#This Row],[Industrial Production ]]-B593)/B593</f>
        <v>5.3865645682024163E-2</v>
      </c>
      <c r="D605" s="34">
        <f t="shared" si="8"/>
        <v>5.4881972172232431E-2</v>
      </c>
    </row>
    <row r="606" spans="1:4" x14ac:dyDescent="0.35">
      <c r="A606" s="31">
        <v>25173</v>
      </c>
      <c r="B606" s="32">
        <f>VLOOKUP(Table10[[#This Row],[Month]],database!A:J,MATCH('IP from start'!$A$1,database!$A$1:$J$1,),)</f>
        <v>38.049900000000001</v>
      </c>
      <c r="C606" s="33">
        <f>(Table10[[#This Row],[Industrial Production ]]-B594)/B594</f>
        <v>4.5930344429478638E-2</v>
      </c>
      <c r="D606" s="34">
        <f t="shared" ref="D606:D669" si="9">AVERAGE(C595:C606)</f>
        <v>5.5633796115743102E-2</v>
      </c>
    </row>
    <row r="607" spans="1:4" x14ac:dyDescent="0.35">
      <c r="A607" s="31">
        <v>25204</v>
      </c>
      <c r="B607" s="32">
        <f>VLOOKUP(Table10[[#This Row],[Month]],database!A:J,MATCH('IP from start'!$A$1,database!$A$1:$J$1,),)</f>
        <v>38.280099999999997</v>
      </c>
      <c r="C607" s="33">
        <f>(Table10[[#This Row],[Industrial Production ]]-B595)/B595</f>
        <v>5.3390350551322303E-2</v>
      </c>
      <c r="D607" s="34">
        <f t="shared" si="9"/>
        <v>5.7505421374833256E-2</v>
      </c>
    </row>
    <row r="608" spans="1:4" x14ac:dyDescent="0.35">
      <c r="A608" s="31">
        <v>25235</v>
      </c>
      <c r="B608" s="32">
        <f>VLOOKUP(Table10[[#This Row],[Month]],database!A:J,MATCH('IP from start'!$A$1,database!$A$1:$J$1,),)</f>
        <v>38.524999999999999</v>
      </c>
      <c r="C608" s="33">
        <f>(Table10[[#This Row],[Industrial Production ]]-B596)/B596</f>
        <v>5.6344786551174697E-2</v>
      </c>
      <c r="D608" s="34">
        <f t="shared" si="9"/>
        <v>5.8326336038980381E-2</v>
      </c>
    </row>
    <row r="609" spans="1:4" x14ac:dyDescent="0.35">
      <c r="A609" s="31">
        <v>25263</v>
      </c>
      <c r="B609" s="32">
        <f>VLOOKUP(Table10[[#This Row],[Month]],database!A:J,MATCH('IP from start'!$A$1,database!$A$1:$J$1,),)</f>
        <v>38.827100000000002</v>
      </c>
      <c r="C609" s="33">
        <f>(Table10[[#This Row],[Industrial Production ]]-B597)/B597</f>
        <v>6.1316590084709438E-2</v>
      </c>
      <c r="D609" s="34">
        <f t="shared" si="9"/>
        <v>5.8793650267986934E-2</v>
      </c>
    </row>
    <row r="610" spans="1:4" x14ac:dyDescent="0.35">
      <c r="A610" s="31">
        <v>25294</v>
      </c>
      <c r="B610" s="32">
        <f>VLOOKUP(Table10[[#This Row],[Month]],database!A:J,MATCH('IP from start'!$A$1,database!$A$1:$J$1,),)</f>
        <v>38.684199999999997</v>
      </c>
      <c r="C610" s="33">
        <f>(Table10[[#This Row],[Industrial Production ]]-B598)/B598</f>
        <v>5.5880819610829517E-2</v>
      </c>
      <c r="D610" s="34">
        <f t="shared" si="9"/>
        <v>5.9503628689471899E-2</v>
      </c>
    </row>
    <row r="611" spans="1:4" x14ac:dyDescent="0.35">
      <c r="A611" s="31">
        <v>25324</v>
      </c>
      <c r="B611" s="32">
        <f>VLOOKUP(Table10[[#This Row],[Month]],database!A:J,MATCH('IP from start'!$A$1,database!$A$1:$J$1,),)</f>
        <v>38.537999999999997</v>
      </c>
      <c r="C611" s="33">
        <f>(Table10[[#This Row],[Industrial Production ]]-B599)/B599</f>
        <v>4.022371098958627E-2</v>
      </c>
      <c r="D611" s="34">
        <f t="shared" si="9"/>
        <v>5.7153129238772304E-2</v>
      </c>
    </row>
    <row r="612" spans="1:4" x14ac:dyDescent="0.35">
      <c r="A612" s="31">
        <v>25355</v>
      </c>
      <c r="B612" s="32">
        <f>VLOOKUP(Table10[[#This Row],[Month]],database!A:J,MATCH('IP from start'!$A$1,database!$A$1:$J$1,),)</f>
        <v>38.914499999999997</v>
      </c>
      <c r="C612" s="33">
        <f>(Table10[[#This Row],[Industrial Production ]]-B600)/B600</f>
        <v>4.6541648401593042E-2</v>
      </c>
      <c r="D612" s="34">
        <f t="shared" si="9"/>
        <v>5.4990956590679207E-2</v>
      </c>
    </row>
    <row r="613" spans="1:4" x14ac:dyDescent="0.35">
      <c r="A613" s="31">
        <v>25385</v>
      </c>
      <c r="B613" s="32">
        <f>VLOOKUP(Table10[[#This Row],[Month]],database!A:J,MATCH('IP from start'!$A$1,database!$A$1:$J$1,),)</f>
        <v>39.119999999999997</v>
      </c>
      <c r="C613" s="33">
        <f>(Table10[[#This Row],[Industrial Production ]]-B601)/B601</f>
        <v>5.3683447850480334E-2</v>
      </c>
      <c r="D613" s="34">
        <f t="shared" si="9"/>
        <v>5.3357397701371739E-2</v>
      </c>
    </row>
    <row r="614" spans="1:4" x14ac:dyDescent="0.35">
      <c r="A614" s="31">
        <v>25416</v>
      </c>
      <c r="B614" s="32">
        <f>VLOOKUP(Table10[[#This Row],[Month]],database!A:J,MATCH('IP from start'!$A$1,database!$A$1:$J$1,),)</f>
        <v>39.209899999999998</v>
      </c>
      <c r="C614" s="33">
        <f>(Table10[[#This Row],[Industrial Production ]]-B602)/B602</f>
        <v>5.3166086944843566E-2</v>
      </c>
      <c r="D614" s="34">
        <f t="shared" si="9"/>
        <v>5.3117106419873363E-2</v>
      </c>
    </row>
    <row r="615" spans="1:4" x14ac:dyDescent="0.35">
      <c r="A615" s="31">
        <v>25447</v>
      </c>
      <c r="B615" s="32">
        <f>VLOOKUP(Table10[[#This Row],[Month]],database!A:J,MATCH('IP from start'!$A$1,database!$A$1:$J$1,),)</f>
        <v>39.201099999999997</v>
      </c>
      <c r="C615" s="33">
        <f>(Table10[[#This Row],[Industrial Production ]]-B603)/B603</f>
        <v>4.8957092971917082E-2</v>
      </c>
      <c r="D615" s="34">
        <f t="shared" si="9"/>
        <v>5.2048964145182876E-2</v>
      </c>
    </row>
    <row r="616" spans="1:4" x14ac:dyDescent="0.35">
      <c r="A616" s="31">
        <v>25477</v>
      </c>
      <c r="B616" s="32">
        <f>VLOOKUP(Table10[[#This Row],[Month]],database!A:J,MATCH('IP from start'!$A$1,database!$A$1:$J$1,),)</f>
        <v>39.212499999999999</v>
      </c>
      <c r="C616" s="33">
        <f>(Table10[[#This Row],[Industrial Production ]]-B604)/B604</f>
        <v>4.7182987632758799E-2</v>
      </c>
      <c r="D616" s="34">
        <f t="shared" si="9"/>
        <v>5.1373625975059824E-2</v>
      </c>
    </row>
    <row r="617" spans="1:4" x14ac:dyDescent="0.35">
      <c r="A617" s="31">
        <v>25508</v>
      </c>
      <c r="B617" s="32">
        <f>VLOOKUP(Table10[[#This Row],[Month]],database!A:J,MATCH('IP from start'!$A$1,database!$A$1:$J$1,),)</f>
        <v>38.8429</v>
      </c>
      <c r="C617" s="33">
        <f>(Table10[[#This Row],[Industrial Production ]]-B605)/B605</f>
        <v>2.4065320154705552E-2</v>
      </c>
      <c r="D617" s="34">
        <f t="shared" si="9"/>
        <v>4.8890265514449922E-2</v>
      </c>
    </row>
    <row r="618" spans="1:4" x14ac:dyDescent="0.35">
      <c r="A618" s="31">
        <v>25538</v>
      </c>
      <c r="B618" s="32">
        <f>VLOOKUP(Table10[[#This Row],[Month]],database!A:J,MATCH('IP from start'!$A$1,database!$A$1:$J$1,),)</f>
        <v>38.738700000000001</v>
      </c>
      <c r="C618" s="33">
        <f>(Table10[[#This Row],[Industrial Production ]]-B606)/B606</f>
        <v>1.8102544290523773E-2</v>
      </c>
      <c r="D618" s="34">
        <f t="shared" si="9"/>
        <v>4.6571282169537036E-2</v>
      </c>
    </row>
    <row r="619" spans="1:4" x14ac:dyDescent="0.35">
      <c r="A619" s="31">
        <v>25569</v>
      </c>
      <c r="B619" s="32">
        <f>VLOOKUP(Table10[[#This Row],[Month]],database!A:J,MATCH('IP from start'!$A$1,database!$A$1:$J$1,),)</f>
        <v>38.021299999999997</v>
      </c>
      <c r="C619" s="33">
        <f>(Table10[[#This Row],[Industrial Production ]]-B607)/B607</f>
        <v>-6.7606928926518175E-3</v>
      </c>
      <c r="D619" s="34">
        <f t="shared" si="9"/>
        <v>4.1558695215872521E-2</v>
      </c>
    </row>
    <row r="620" spans="1:4" x14ac:dyDescent="0.35">
      <c r="A620" s="31">
        <v>25600</v>
      </c>
      <c r="B620" s="32">
        <f>VLOOKUP(Table10[[#This Row],[Month]],database!A:J,MATCH('IP from start'!$A$1,database!$A$1:$J$1,),)</f>
        <v>37.996299999999998</v>
      </c>
      <c r="C620" s="33">
        <f>(Table10[[#This Row],[Industrial Production ]]-B608)/B608</f>
        <v>-1.3723556132381586E-2</v>
      </c>
      <c r="D620" s="34">
        <f t="shared" si="9"/>
        <v>3.57196666589095E-2</v>
      </c>
    </row>
    <row r="621" spans="1:4" x14ac:dyDescent="0.35">
      <c r="A621" s="31">
        <v>25628</v>
      </c>
      <c r="B621" s="32">
        <f>VLOOKUP(Table10[[#This Row],[Month]],database!A:J,MATCH('IP from start'!$A$1,database!$A$1:$J$1,),)</f>
        <v>37.946899999999999</v>
      </c>
      <c r="C621" s="33">
        <f>(Table10[[#This Row],[Industrial Production ]]-B609)/B609</f>
        <v>-2.2669733253320543E-2</v>
      </c>
      <c r="D621" s="34">
        <f t="shared" si="9"/>
        <v>2.872080638074033E-2</v>
      </c>
    </row>
    <row r="622" spans="1:4" x14ac:dyDescent="0.35">
      <c r="A622" s="31">
        <v>25659</v>
      </c>
      <c r="B622" s="32">
        <f>VLOOKUP(Table10[[#This Row],[Month]],database!A:J,MATCH('IP from start'!$A$1,database!$A$1:$J$1,),)</f>
        <v>37.849400000000003</v>
      </c>
      <c r="C622" s="33">
        <f>(Table10[[#This Row],[Industrial Production ]]-B610)/B610</f>
        <v>-2.1579869817651504E-2</v>
      </c>
      <c r="D622" s="34">
        <f t="shared" si="9"/>
        <v>2.2265748928366913E-2</v>
      </c>
    </row>
    <row r="623" spans="1:4" x14ac:dyDescent="0.35">
      <c r="A623" s="31">
        <v>25689</v>
      </c>
      <c r="B623" s="32">
        <f>VLOOKUP(Table10[[#This Row],[Month]],database!A:J,MATCH('IP from start'!$A$1,database!$A$1:$J$1,),)</f>
        <v>37.805300000000003</v>
      </c>
      <c r="C623" s="33">
        <f>(Table10[[#This Row],[Industrial Production ]]-B611)/B611</f>
        <v>-1.9012403342155645E-2</v>
      </c>
      <c r="D623" s="34">
        <f t="shared" si="9"/>
        <v>1.7329406067388423E-2</v>
      </c>
    </row>
    <row r="624" spans="1:4" x14ac:dyDescent="0.35">
      <c r="A624" s="31">
        <v>25720</v>
      </c>
      <c r="B624" s="32">
        <f>VLOOKUP(Table10[[#This Row],[Month]],database!A:J,MATCH('IP from start'!$A$1,database!$A$1:$J$1,),)</f>
        <v>37.683</v>
      </c>
      <c r="C624" s="33">
        <f>(Table10[[#This Row],[Industrial Production ]]-B612)/B612</f>
        <v>-3.1646301507150212E-2</v>
      </c>
      <c r="D624" s="34">
        <f t="shared" si="9"/>
        <v>1.0813743574993146E-2</v>
      </c>
    </row>
    <row r="625" spans="1:4" x14ac:dyDescent="0.35">
      <c r="A625" s="31">
        <v>25750</v>
      </c>
      <c r="B625" s="32">
        <f>VLOOKUP(Table10[[#This Row],[Month]],database!A:J,MATCH('IP from start'!$A$1,database!$A$1:$J$1,),)</f>
        <v>37.775500000000001</v>
      </c>
      <c r="C625" s="33">
        <f>(Table10[[#This Row],[Industrial Production ]]-B613)/B613</f>
        <v>-3.4368609406952876E-2</v>
      </c>
      <c r="D625" s="34">
        <f t="shared" si="9"/>
        <v>3.476072136873717E-3</v>
      </c>
    </row>
    <row r="626" spans="1:4" x14ac:dyDescent="0.35">
      <c r="A626" s="31">
        <v>25781</v>
      </c>
      <c r="B626" s="32">
        <f>VLOOKUP(Table10[[#This Row],[Month]],database!A:J,MATCH('IP from start'!$A$1,database!$A$1:$J$1,),)</f>
        <v>37.708100000000002</v>
      </c>
      <c r="C626" s="33">
        <f>(Table10[[#This Row],[Industrial Production ]]-B614)/B614</f>
        <v>-3.8301551393908069E-2</v>
      </c>
      <c r="D626" s="34">
        <f t="shared" si="9"/>
        <v>-4.1462310580222548E-3</v>
      </c>
    </row>
    <row r="627" spans="1:4" x14ac:dyDescent="0.35">
      <c r="A627" s="31">
        <v>25812</v>
      </c>
      <c r="B627" s="32">
        <f>VLOOKUP(Table10[[#This Row],[Month]],database!A:J,MATCH('IP from start'!$A$1,database!$A$1:$J$1,),)</f>
        <v>37.4482</v>
      </c>
      <c r="C627" s="33">
        <f>(Table10[[#This Row],[Industrial Production ]]-B615)/B615</f>
        <v>-4.471558196071021E-2</v>
      </c>
      <c r="D627" s="34">
        <f t="shared" si="9"/>
        <v>-1.1952287302407862E-2</v>
      </c>
    </row>
    <row r="628" spans="1:4" x14ac:dyDescent="0.35">
      <c r="A628" s="31">
        <v>25842</v>
      </c>
      <c r="B628" s="32">
        <f>VLOOKUP(Table10[[#This Row],[Month]],database!A:J,MATCH('IP from start'!$A$1,database!$A$1:$J$1,),)</f>
        <v>36.699100000000001</v>
      </c>
      <c r="C628" s="33">
        <f>(Table10[[#This Row],[Industrial Production ]]-B616)/B616</f>
        <v>-6.409690787376468E-2</v>
      </c>
      <c r="D628" s="34">
        <f t="shared" si="9"/>
        <v>-2.1225611927951485E-2</v>
      </c>
    </row>
    <row r="629" spans="1:4" x14ac:dyDescent="0.35">
      <c r="A629" s="31">
        <v>25873</v>
      </c>
      <c r="B629" s="32">
        <f>VLOOKUP(Table10[[#This Row],[Month]],database!A:J,MATCH('IP from start'!$A$1,database!$A$1:$J$1,),)</f>
        <v>36.476799999999997</v>
      </c>
      <c r="C629" s="33">
        <f>(Table10[[#This Row],[Industrial Production ]]-B617)/B617</f>
        <v>-6.0914607302750383E-2</v>
      </c>
      <c r="D629" s="34">
        <f t="shared" si="9"/>
        <v>-2.830727254940615E-2</v>
      </c>
    </row>
    <row r="630" spans="1:4" x14ac:dyDescent="0.35">
      <c r="A630" s="31">
        <v>25903</v>
      </c>
      <c r="B630" s="32">
        <f>VLOOKUP(Table10[[#This Row],[Month]],database!A:J,MATCH('IP from start'!$A$1,database!$A$1:$J$1,),)</f>
        <v>37.314500000000002</v>
      </c>
      <c r="C630" s="33">
        <f>(Table10[[#This Row],[Industrial Production ]]-B618)/B618</f>
        <v>-3.6764269322408831E-2</v>
      </c>
      <c r="D630" s="34">
        <f t="shared" si="9"/>
        <v>-3.2879507017150526E-2</v>
      </c>
    </row>
    <row r="631" spans="1:4" x14ac:dyDescent="0.35">
      <c r="A631" s="31">
        <v>25934</v>
      </c>
      <c r="B631" s="32">
        <f>VLOOKUP(Table10[[#This Row],[Month]],database!A:J,MATCH('IP from start'!$A$1,database!$A$1:$J$1,),)</f>
        <v>37.601500000000001</v>
      </c>
      <c r="C631" s="33">
        <f>(Table10[[#This Row],[Industrial Production ]]-B619)/B619</f>
        <v>-1.1041179549357731E-2</v>
      </c>
      <c r="D631" s="34">
        <f t="shared" si="9"/>
        <v>-3.3236214238542693E-2</v>
      </c>
    </row>
    <row r="632" spans="1:4" x14ac:dyDescent="0.35">
      <c r="A632" s="31">
        <v>25965</v>
      </c>
      <c r="B632" s="32">
        <f>VLOOKUP(Table10[[#This Row],[Month]],database!A:J,MATCH('IP from start'!$A$1,database!$A$1:$J$1,),)</f>
        <v>37.529899999999998</v>
      </c>
      <c r="C632" s="33">
        <f>(Table10[[#This Row],[Industrial Production ]]-B620)/B620</f>
        <v>-1.2274879396151735E-2</v>
      </c>
      <c r="D632" s="34">
        <f t="shared" si="9"/>
        <v>-3.3115491177190204E-2</v>
      </c>
    </row>
    <row r="633" spans="1:4" x14ac:dyDescent="0.35">
      <c r="A633" s="31">
        <v>25993</v>
      </c>
      <c r="B633" s="32">
        <f>VLOOKUP(Table10[[#This Row],[Month]],database!A:J,MATCH('IP from start'!$A$1,database!$A$1:$J$1,),)</f>
        <v>37.489199999999997</v>
      </c>
      <c r="C633" s="33">
        <f>(Table10[[#This Row],[Industrial Production ]]-B621)/B621</f>
        <v>-1.2061591328936031E-2</v>
      </c>
      <c r="D633" s="34">
        <f t="shared" si="9"/>
        <v>-3.223147935015816E-2</v>
      </c>
    </row>
    <row r="634" spans="1:4" x14ac:dyDescent="0.35">
      <c r="A634" s="31">
        <v>26024</v>
      </c>
      <c r="B634" s="32">
        <f>VLOOKUP(Table10[[#This Row],[Month]],database!A:J,MATCH('IP from start'!$A$1,database!$A$1:$J$1,),)</f>
        <v>37.699800000000003</v>
      </c>
      <c r="C634" s="33">
        <f>(Table10[[#This Row],[Industrial Production ]]-B622)/B622</f>
        <v>-3.9525065126527637E-3</v>
      </c>
      <c r="D634" s="34">
        <f t="shared" si="9"/>
        <v>-3.076253240807493E-2</v>
      </c>
    </row>
    <row r="635" spans="1:4" x14ac:dyDescent="0.35">
      <c r="A635" s="31">
        <v>26054</v>
      </c>
      <c r="B635" s="32">
        <f>VLOOKUP(Table10[[#This Row],[Month]],database!A:J,MATCH('IP from start'!$A$1,database!$A$1:$J$1,),)</f>
        <v>37.891100000000002</v>
      </c>
      <c r="C635" s="33">
        <f>(Table10[[#This Row],[Industrial Production ]]-B623)/B623</f>
        <v>2.269523056291022E-3</v>
      </c>
      <c r="D635" s="34">
        <f t="shared" si="9"/>
        <v>-2.8989038541537709E-2</v>
      </c>
    </row>
    <row r="636" spans="1:4" x14ac:dyDescent="0.35">
      <c r="A636" s="31">
        <v>26085</v>
      </c>
      <c r="B636" s="32">
        <f>VLOOKUP(Table10[[#This Row],[Month]],database!A:J,MATCH('IP from start'!$A$1,database!$A$1:$J$1,),)</f>
        <v>38.049999999999997</v>
      </c>
      <c r="C636" s="33">
        <f>(Table10[[#This Row],[Industrial Production ]]-B624)/B624</f>
        <v>9.7391396651009023E-3</v>
      </c>
      <c r="D636" s="34">
        <f t="shared" si="9"/>
        <v>-2.5540251777183446E-2</v>
      </c>
    </row>
    <row r="637" spans="1:4" x14ac:dyDescent="0.35">
      <c r="A637" s="31">
        <v>26115</v>
      </c>
      <c r="B637" s="32">
        <f>VLOOKUP(Table10[[#This Row],[Month]],database!A:J,MATCH('IP from start'!$A$1,database!$A$1:$J$1,),)</f>
        <v>37.939500000000002</v>
      </c>
      <c r="C637" s="33">
        <f>(Table10[[#This Row],[Industrial Production ]]-B625)/B625</f>
        <v>4.3414382337758992E-3</v>
      </c>
      <c r="D637" s="34">
        <f t="shared" si="9"/>
        <v>-2.2314414473789384E-2</v>
      </c>
    </row>
    <row r="638" spans="1:4" x14ac:dyDescent="0.35">
      <c r="A638" s="31">
        <v>26146</v>
      </c>
      <c r="B638" s="32">
        <f>VLOOKUP(Table10[[#This Row],[Month]],database!A:J,MATCH('IP from start'!$A$1,database!$A$1:$J$1,),)</f>
        <v>37.719299999999997</v>
      </c>
      <c r="C638" s="33">
        <f>(Table10[[#This Row],[Industrial Production ]]-B626)/B626</f>
        <v>2.9701841248949728E-4</v>
      </c>
      <c r="D638" s="34">
        <f t="shared" si="9"/>
        <v>-1.9097866989922923E-2</v>
      </c>
    </row>
    <row r="639" spans="1:4" x14ac:dyDescent="0.35">
      <c r="A639" s="31">
        <v>26177</v>
      </c>
      <c r="B639" s="32">
        <f>VLOOKUP(Table10[[#This Row],[Month]],database!A:J,MATCH('IP from start'!$A$1,database!$A$1:$J$1,),)</f>
        <v>38.3324</v>
      </c>
      <c r="C639" s="33">
        <f>(Table10[[#This Row],[Industrial Production ]]-B627)/B627</f>
        <v>2.3611281717145279E-2</v>
      </c>
      <c r="D639" s="34">
        <f t="shared" si="9"/>
        <v>-1.3403961683434967E-2</v>
      </c>
    </row>
    <row r="640" spans="1:4" x14ac:dyDescent="0.35">
      <c r="A640" s="31">
        <v>26207</v>
      </c>
      <c r="B640" s="32">
        <f>VLOOKUP(Table10[[#This Row],[Month]],database!A:J,MATCH('IP from start'!$A$1,database!$A$1:$J$1,),)</f>
        <v>38.619300000000003</v>
      </c>
      <c r="C640" s="33">
        <f>(Table10[[#This Row],[Industrial Production ]]-B628)/B628</f>
        <v>5.2322809006215443E-2</v>
      </c>
      <c r="D640" s="34">
        <f t="shared" si="9"/>
        <v>-3.7023186101032856E-3</v>
      </c>
    </row>
    <row r="641" spans="1:4" x14ac:dyDescent="0.35">
      <c r="A641" s="31">
        <v>26238</v>
      </c>
      <c r="B641" s="32">
        <f>VLOOKUP(Table10[[#This Row],[Month]],database!A:J,MATCH('IP from start'!$A$1,database!$A$1:$J$1,),)</f>
        <v>38.783200000000001</v>
      </c>
      <c r="C641" s="33">
        <f>(Table10[[#This Row],[Industrial Production ]]-B629)/B629</f>
        <v>6.3229230634266262E-2</v>
      </c>
      <c r="D641" s="34">
        <f t="shared" si="9"/>
        <v>6.6430012179814341E-3</v>
      </c>
    </row>
    <row r="642" spans="1:4" x14ac:dyDescent="0.35">
      <c r="A642" s="31">
        <v>26268</v>
      </c>
      <c r="B642" s="32">
        <f>VLOOKUP(Table10[[#This Row],[Month]],database!A:J,MATCH('IP from start'!$A$1,database!$A$1:$J$1,),)</f>
        <v>39.230899999999998</v>
      </c>
      <c r="C642" s="33">
        <f>(Table10[[#This Row],[Industrial Production ]]-B630)/B630</f>
        <v>5.1358051159736719E-2</v>
      </c>
      <c r="D642" s="34">
        <f t="shared" si="9"/>
        <v>1.3986527924826896E-2</v>
      </c>
    </row>
    <row r="643" spans="1:4" x14ac:dyDescent="0.35">
      <c r="A643" s="31">
        <v>26299</v>
      </c>
      <c r="B643" s="32">
        <f>VLOOKUP(Table10[[#This Row],[Month]],database!A:J,MATCH('IP from start'!$A$1,database!$A$1:$J$1,),)</f>
        <v>40.168799999999997</v>
      </c>
      <c r="C643" s="33">
        <f>(Table10[[#This Row],[Industrial Production ]]-B631)/B631</f>
        <v>6.8276531521348771E-2</v>
      </c>
      <c r="D643" s="34">
        <f t="shared" si="9"/>
        <v>2.0596337180719106E-2</v>
      </c>
    </row>
    <row r="644" spans="1:4" x14ac:dyDescent="0.35">
      <c r="A644" s="31">
        <v>26330</v>
      </c>
      <c r="B644" s="32">
        <f>VLOOKUP(Table10[[#This Row],[Month]],database!A:J,MATCH('IP from start'!$A$1,database!$A$1:$J$1,),)</f>
        <v>40.5837</v>
      </c>
      <c r="C644" s="33">
        <f>(Table10[[#This Row],[Industrial Production ]]-B632)/B632</f>
        <v>8.1369787822509587E-2</v>
      </c>
      <c r="D644" s="34">
        <f t="shared" si="9"/>
        <v>2.8400059448940879E-2</v>
      </c>
    </row>
    <row r="645" spans="1:4" x14ac:dyDescent="0.35">
      <c r="A645" s="31">
        <v>26359</v>
      </c>
      <c r="B645" s="32">
        <f>VLOOKUP(Table10[[#This Row],[Month]],database!A:J,MATCH('IP from start'!$A$1,database!$A$1:$J$1,),)</f>
        <v>40.865499999999997</v>
      </c>
      <c r="C645" s="33">
        <f>(Table10[[#This Row],[Industrial Production ]]-B633)/B633</f>
        <v>9.0060604120653434E-2</v>
      </c>
      <c r="D645" s="34">
        <f t="shared" si="9"/>
        <v>3.6910242403073334E-2</v>
      </c>
    </row>
    <row r="646" spans="1:4" x14ac:dyDescent="0.35">
      <c r="A646" s="31">
        <v>26390</v>
      </c>
      <c r="B646" s="32">
        <f>VLOOKUP(Table10[[#This Row],[Month]],database!A:J,MATCH('IP from start'!$A$1,database!$A$1:$J$1,),)</f>
        <v>41.265599999999999</v>
      </c>
      <c r="C646" s="33">
        <f>(Table10[[#This Row],[Industrial Production ]]-B634)/B634</f>
        <v>9.4584056148838871E-2</v>
      </c>
      <c r="D646" s="34">
        <f t="shared" si="9"/>
        <v>4.5121622624864306E-2</v>
      </c>
    </row>
    <row r="647" spans="1:4" x14ac:dyDescent="0.35">
      <c r="A647" s="31">
        <v>26420</v>
      </c>
      <c r="B647" s="32">
        <f>VLOOKUP(Table10[[#This Row],[Month]],database!A:J,MATCH('IP from start'!$A$1,database!$A$1:$J$1,),)</f>
        <v>41.270600000000002</v>
      </c>
      <c r="C647" s="33">
        <f>(Table10[[#This Row],[Industrial Production ]]-B635)/B635</f>
        <v>8.9189809744240733E-2</v>
      </c>
      <c r="D647" s="34">
        <f t="shared" si="9"/>
        <v>5.236497984886012E-2</v>
      </c>
    </row>
    <row r="648" spans="1:4" x14ac:dyDescent="0.35">
      <c r="A648" s="31">
        <v>26451</v>
      </c>
      <c r="B648" s="32">
        <f>VLOOKUP(Table10[[#This Row],[Month]],database!A:J,MATCH('IP from start'!$A$1,database!$A$1:$J$1,),)</f>
        <v>41.378599999999999</v>
      </c>
      <c r="C648" s="33">
        <f>(Table10[[#This Row],[Industrial Production ]]-B636)/B636</f>
        <v>8.747963206307495E-2</v>
      </c>
      <c r="D648" s="34">
        <f t="shared" si="9"/>
        <v>5.8843354215357961E-2</v>
      </c>
    </row>
    <row r="649" spans="1:4" x14ac:dyDescent="0.35">
      <c r="A649" s="31">
        <v>26481</v>
      </c>
      <c r="B649" s="32">
        <f>VLOOKUP(Table10[[#This Row],[Month]],database!A:J,MATCH('IP from start'!$A$1,database!$A$1:$J$1,),)</f>
        <v>41.334699999999998</v>
      </c>
      <c r="C649" s="33">
        <f>(Table10[[#This Row],[Industrial Production ]]-B637)/B637</f>
        <v>8.9489845675351426E-2</v>
      </c>
      <c r="D649" s="34">
        <f t="shared" si="9"/>
        <v>6.5939054835489244E-2</v>
      </c>
    </row>
    <row r="650" spans="1:4" x14ac:dyDescent="0.35">
      <c r="A650" s="31">
        <v>26512</v>
      </c>
      <c r="B650" s="32">
        <f>VLOOKUP(Table10[[#This Row],[Month]],database!A:J,MATCH('IP from start'!$A$1,database!$A$1:$J$1,),)</f>
        <v>41.904600000000002</v>
      </c>
      <c r="C650" s="33">
        <f>(Table10[[#This Row],[Industrial Production ]]-B638)/B638</f>
        <v>0.11095911111818102</v>
      </c>
      <c r="D650" s="34">
        <f t="shared" si="9"/>
        <v>7.5160895894296878E-2</v>
      </c>
    </row>
    <row r="651" spans="1:4" x14ac:dyDescent="0.35">
      <c r="A651" s="31">
        <v>26543</v>
      </c>
      <c r="B651" s="32">
        <f>VLOOKUP(Table10[[#This Row],[Month]],database!A:J,MATCH('IP from start'!$A$1,database!$A$1:$J$1,),)</f>
        <v>42.228400000000001</v>
      </c>
      <c r="C651" s="33">
        <f>(Table10[[#This Row],[Industrial Production ]]-B639)/B639</f>
        <v>0.10163725725495927</v>
      </c>
      <c r="D651" s="34">
        <f t="shared" si="9"/>
        <v>8.1663060522448053E-2</v>
      </c>
    </row>
    <row r="652" spans="1:4" x14ac:dyDescent="0.35">
      <c r="A652" s="31">
        <v>26573</v>
      </c>
      <c r="B652" s="32">
        <f>VLOOKUP(Table10[[#This Row],[Month]],database!A:J,MATCH('IP from start'!$A$1,database!$A$1:$J$1,),)</f>
        <v>42.774500000000003</v>
      </c>
      <c r="C652" s="33">
        <f>(Table10[[#This Row],[Industrial Production ]]-B640)/B640</f>
        <v>0.10759387145805337</v>
      </c>
      <c r="D652" s="34">
        <f t="shared" si="9"/>
        <v>8.6268982393434543E-2</v>
      </c>
    </row>
    <row r="653" spans="1:4" x14ac:dyDescent="0.35">
      <c r="A653" s="31">
        <v>26604</v>
      </c>
      <c r="B653" s="32">
        <f>VLOOKUP(Table10[[#This Row],[Month]],database!A:J,MATCH('IP from start'!$A$1,database!$A$1:$J$1,),)</f>
        <v>43.279499999999999</v>
      </c>
      <c r="C653" s="33">
        <f>(Table10[[#This Row],[Industrial Production ]]-B641)/B641</f>
        <v>0.11593421894015961</v>
      </c>
      <c r="D653" s="34">
        <f t="shared" si="9"/>
        <v>9.0661064752258977E-2</v>
      </c>
    </row>
    <row r="654" spans="1:4" x14ac:dyDescent="0.35">
      <c r="A654" s="31">
        <v>26634</v>
      </c>
      <c r="B654" s="32">
        <f>VLOOKUP(Table10[[#This Row],[Month]],database!A:J,MATCH('IP from start'!$A$1,database!$A$1:$J$1,),)</f>
        <v>43.769500000000001</v>
      </c>
      <c r="C654" s="33">
        <f>(Table10[[#This Row],[Industrial Production ]]-B642)/B642</f>
        <v>0.11568941829017439</v>
      </c>
      <c r="D654" s="34">
        <f t="shared" si="9"/>
        <v>9.602201201312878E-2</v>
      </c>
    </row>
    <row r="655" spans="1:4" x14ac:dyDescent="0.35">
      <c r="A655" s="31">
        <v>26665</v>
      </c>
      <c r="B655" s="32">
        <f>VLOOKUP(Table10[[#This Row],[Month]],database!A:J,MATCH('IP from start'!$A$1,database!$A$1:$J$1,),)</f>
        <v>44.084699999999998</v>
      </c>
      <c r="C655" s="33">
        <f>(Table10[[#This Row],[Industrial Production ]]-B643)/B643</f>
        <v>9.7486108621616802E-2</v>
      </c>
      <c r="D655" s="34">
        <f t="shared" si="9"/>
        <v>9.8456143438151122E-2</v>
      </c>
    </row>
    <row r="656" spans="1:4" x14ac:dyDescent="0.35">
      <c r="A656" s="31">
        <v>26696</v>
      </c>
      <c r="B656" s="32">
        <f>VLOOKUP(Table10[[#This Row],[Month]],database!A:J,MATCH('IP from start'!$A$1,database!$A$1:$J$1,),)</f>
        <v>44.724200000000003</v>
      </c>
      <c r="C656" s="33">
        <f>(Table10[[#This Row],[Industrial Production ]]-B644)/B644</f>
        <v>0.1020237188822114</v>
      </c>
      <c r="D656" s="34">
        <f t="shared" si="9"/>
        <v>0.10017730435979295</v>
      </c>
    </row>
    <row r="657" spans="1:4" x14ac:dyDescent="0.35">
      <c r="A657" s="31">
        <v>26724</v>
      </c>
      <c r="B657" s="32">
        <f>VLOOKUP(Table10[[#This Row],[Month]],database!A:J,MATCH('IP from start'!$A$1,database!$A$1:$J$1,),)</f>
        <v>44.743499999999997</v>
      </c>
      <c r="C657" s="33">
        <f>(Table10[[#This Row],[Industrial Production ]]-B645)/B645</f>
        <v>9.489667323292264E-2</v>
      </c>
      <c r="D657" s="34">
        <f t="shared" si="9"/>
        <v>0.1005803101191487</v>
      </c>
    </row>
    <row r="658" spans="1:4" x14ac:dyDescent="0.35">
      <c r="A658" s="31">
        <v>26755</v>
      </c>
      <c r="B658" s="32">
        <f>VLOOKUP(Table10[[#This Row],[Month]],database!A:J,MATCH('IP from start'!$A$1,database!$A$1:$J$1,),)</f>
        <v>44.678199999999997</v>
      </c>
      <c r="C658" s="33">
        <f>(Table10[[#This Row],[Industrial Production ]]-B646)/B646</f>
        <v>8.2698421930130606E-2</v>
      </c>
      <c r="D658" s="34">
        <f t="shared" si="9"/>
        <v>9.9589840600923019E-2</v>
      </c>
    </row>
    <row r="659" spans="1:4" x14ac:dyDescent="0.35">
      <c r="A659" s="31">
        <v>26785</v>
      </c>
      <c r="B659" s="32">
        <f>VLOOKUP(Table10[[#This Row],[Month]],database!A:J,MATCH('IP from start'!$A$1,database!$A$1:$J$1,),)</f>
        <v>44.9741</v>
      </c>
      <c r="C659" s="33">
        <f>(Table10[[#This Row],[Industrial Production ]]-B647)/B647</f>
        <v>8.973700406584828E-2</v>
      </c>
      <c r="D659" s="34">
        <f t="shared" si="9"/>
        <v>9.9635440127723643E-2</v>
      </c>
    </row>
    <row r="660" spans="1:4" x14ac:dyDescent="0.35">
      <c r="A660" s="31">
        <v>26816</v>
      </c>
      <c r="B660" s="32">
        <f>VLOOKUP(Table10[[#This Row],[Month]],database!A:J,MATCH('IP from start'!$A$1,database!$A$1:$J$1,),)</f>
        <v>45.025700000000001</v>
      </c>
      <c r="C660" s="33">
        <f>(Table10[[#This Row],[Industrial Production ]]-B648)/B648</f>
        <v>8.8139763065932672E-2</v>
      </c>
      <c r="D660" s="34">
        <f t="shared" si="9"/>
        <v>9.9690451044628467E-2</v>
      </c>
    </row>
    <row r="661" spans="1:4" x14ac:dyDescent="0.35">
      <c r="A661" s="31">
        <v>26846</v>
      </c>
      <c r="B661" s="32">
        <f>VLOOKUP(Table10[[#This Row],[Month]],database!A:J,MATCH('IP from start'!$A$1,database!$A$1:$J$1,),)</f>
        <v>45.1952</v>
      </c>
      <c r="C661" s="33">
        <f>(Table10[[#This Row],[Industrial Production ]]-B649)/B649</f>
        <v>9.339610545135206E-2</v>
      </c>
      <c r="D661" s="34">
        <f t="shared" si="9"/>
        <v>0.1000159726926285</v>
      </c>
    </row>
    <row r="662" spans="1:4" x14ac:dyDescent="0.35">
      <c r="A662" s="31">
        <v>26877</v>
      </c>
      <c r="B662" s="32">
        <f>VLOOKUP(Table10[[#This Row],[Month]],database!A:J,MATCH('IP from start'!$A$1,database!$A$1:$J$1,),)</f>
        <v>45.130800000000001</v>
      </c>
      <c r="C662" s="33">
        <f>(Table10[[#This Row],[Industrial Production ]]-B650)/B650</f>
        <v>7.6989161094486017E-2</v>
      </c>
      <c r="D662" s="34">
        <f t="shared" si="9"/>
        <v>9.7185143523987258E-2</v>
      </c>
    </row>
    <row r="663" spans="1:4" x14ac:dyDescent="0.35">
      <c r="A663" s="31">
        <v>26908</v>
      </c>
      <c r="B663" s="32">
        <f>VLOOKUP(Table10[[#This Row],[Month]],database!A:J,MATCH('IP from start'!$A$1,database!$A$1:$J$1,),)</f>
        <v>45.486199999999997</v>
      </c>
      <c r="C663" s="33">
        <f>(Table10[[#This Row],[Industrial Production ]]-B651)/B651</f>
        <v>7.7147133208930393E-2</v>
      </c>
      <c r="D663" s="34">
        <f t="shared" si="9"/>
        <v>9.514429985348484E-2</v>
      </c>
    </row>
    <row r="664" spans="1:4" x14ac:dyDescent="0.35">
      <c r="A664" s="31">
        <v>26938</v>
      </c>
      <c r="B664" s="32">
        <f>VLOOKUP(Table10[[#This Row],[Month]],database!A:J,MATCH('IP from start'!$A$1,database!$A$1:$J$1,),)</f>
        <v>45.853099999999998</v>
      </c>
      <c r="C664" s="33">
        <f>(Table10[[#This Row],[Industrial Production ]]-B652)/B652</f>
        <v>7.1972787525277776E-2</v>
      </c>
      <c r="D664" s="34">
        <f t="shared" si="9"/>
        <v>9.2175876192420222E-2</v>
      </c>
    </row>
    <row r="665" spans="1:4" x14ac:dyDescent="0.35">
      <c r="A665" s="31">
        <v>26969</v>
      </c>
      <c r="B665" s="32">
        <f>VLOOKUP(Table10[[#This Row],[Month]],database!A:J,MATCH('IP from start'!$A$1,database!$A$1:$J$1,),)</f>
        <v>46.065399999999997</v>
      </c>
      <c r="C665" s="33">
        <f>(Table10[[#This Row],[Industrial Production ]]-B653)/B653</f>
        <v>6.4369967305537221E-2</v>
      </c>
      <c r="D665" s="34">
        <f t="shared" si="9"/>
        <v>8.7878855222868354E-2</v>
      </c>
    </row>
    <row r="666" spans="1:4" x14ac:dyDescent="0.35">
      <c r="A666" s="31">
        <v>26999</v>
      </c>
      <c r="B666" s="32">
        <f>VLOOKUP(Table10[[#This Row],[Month]],database!A:J,MATCH('IP from start'!$A$1,database!$A$1:$J$1,),)</f>
        <v>45.934399999999997</v>
      </c>
      <c r="C666" s="33">
        <f>(Table10[[#This Row],[Industrial Production ]]-B654)/B654</f>
        <v>4.9461382926466964E-2</v>
      </c>
      <c r="D666" s="34">
        <f t="shared" si="9"/>
        <v>8.2359852275892736E-2</v>
      </c>
    </row>
    <row r="667" spans="1:4" x14ac:dyDescent="0.35">
      <c r="A667" s="31">
        <v>27030</v>
      </c>
      <c r="B667" s="32">
        <f>VLOOKUP(Table10[[#This Row],[Month]],database!A:J,MATCH('IP from start'!$A$1,database!$A$1:$J$1,),)</f>
        <v>45.629800000000003</v>
      </c>
      <c r="C667" s="33">
        <f>(Table10[[#This Row],[Industrial Production ]]-B655)/B655</f>
        <v>3.5048440842287802E-2</v>
      </c>
      <c r="D667" s="34">
        <f t="shared" si="9"/>
        <v>7.7156713294281989E-2</v>
      </c>
    </row>
    <row r="668" spans="1:4" x14ac:dyDescent="0.35">
      <c r="A668" s="31">
        <v>27061</v>
      </c>
      <c r="B668" s="32">
        <f>VLOOKUP(Table10[[#This Row],[Month]],database!A:J,MATCH('IP from start'!$A$1,database!$A$1:$J$1,),)</f>
        <v>45.495100000000001</v>
      </c>
      <c r="C668" s="33">
        <f>(Table10[[#This Row],[Industrial Production ]]-B656)/B656</f>
        <v>1.723675325662611E-2</v>
      </c>
      <c r="D668" s="34">
        <f t="shared" si="9"/>
        <v>7.0091132825483224E-2</v>
      </c>
    </row>
    <row r="669" spans="1:4" x14ac:dyDescent="0.35">
      <c r="A669" s="31">
        <v>27089</v>
      </c>
      <c r="B669" s="32">
        <f>VLOOKUP(Table10[[#This Row],[Month]],database!A:J,MATCH('IP from start'!$A$1,database!$A$1:$J$1,),)</f>
        <v>45.495199999999997</v>
      </c>
      <c r="C669" s="33">
        <f>(Table10[[#This Row],[Industrial Production ]]-B657)/B657</f>
        <v>1.6800205616458248E-2</v>
      </c>
      <c r="D669" s="34">
        <f t="shared" si="9"/>
        <v>6.3583093857444511E-2</v>
      </c>
    </row>
    <row r="670" spans="1:4" x14ac:dyDescent="0.35">
      <c r="A670" s="31">
        <v>27120</v>
      </c>
      <c r="B670" s="32">
        <f>VLOOKUP(Table10[[#This Row],[Month]],database!A:J,MATCH('IP from start'!$A$1,database!$A$1:$J$1,),)</f>
        <v>45.362499999999997</v>
      </c>
      <c r="C670" s="33">
        <f>(Table10[[#This Row],[Industrial Production ]]-B658)/B658</f>
        <v>1.5316194475157916E-2</v>
      </c>
      <c r="D670" s="34">
        <f t="shared" ref="D670:D733" si="10">AVERAGE(C659:C670)</f>
        <v>5.7967908236196776E-2</v>
      </c>
    </row>
    <row r="671" spans="1:4" x14ac:dyDescent="0.35">
      <c r="A671" s="31">
        <v>27150</v>
      </c>
      <c r="B671" s="32">
        <f>VLOOKUP(Table10[[#This Row],[Month]],database!A:J,MATCH('IP from start'!$A$1,database!$A$1:$J$1,),)</f>
        <v>45.7241</v>
      </c>
      <c r="C671" s="33">
        <f>(Table10[[#This Row],[Industrial Production ]]-B659)/B659</f>
        <v>1.667626478350873E-2</v>
      </c>
      <c r="D671" s="34">
        <f t="shared" si="10"/>
        <v>5.1879513296001815E-2</v>
      </c>
    </row>
    <row r="672" spans="1:4" x14ac:dyDescent="0.35">
      <c r="A672" s="31">
        <v>27181</v>
      </c>
      <c r="B672" s="32">
        <f>VLOOKUP(Table10[[#This Row],[Month]],database!A:J,MATCH('IP from start'!$A$1,database!$A$1:$J$1,),)</f>
        <v>45.639000000000003</v>
      </c>
      <c r="C672" s="33">
        <f>(Table10[[#This Row],[Industrial Production ]]-B660)/B660</f>
        <v>1.3621109721781169E-2</v>
      </c>
      <c r="D672" s="34">
        <f t="shared" si="10"/>
        <v>4.5669625517322537E-2</v>
      </c>
    </row>
    <row r="673" spans="1:4" x14ac:dyDescent="0.35">
      <c r="A673" s="31">
        <v>27211</v>
      </c>
      <c r="B673" s="32">
        <f>VLOOKUP(Table10[[#This Row],[Month]],database!A:J,MATCH('IP from start'!$A$1,database!$A$1:$J$1,),)</f>
        <v>45.719299999999997</v>
      </c>
      <c r="C673" s="33">
        <f>(Table10[[#This Row],[Industrial Production ]]-B661)/B661</f>
        <v>1.1596364215668857E-2</v>
      </c>
      <c r="D673" s="34">
        <f t="shared" si="10"/>
        <v>3.8852980414348932E-2</v>
      </c>
    </row>
    <row r="674" spans="1:4" x14ac:dyDescent="0.35">
      <c r="A674" s="31">
        <v>27242</v>
      </c>
      <c r="B674" s="32">
        <f>VLOOKUP(Table10[[#This Row],[Month]],database!A:J,MATCH('IP from start'!$A$1,database!$A$1:$J$1,),)</f>
        <v>45.235700000000001</v>
      </c>
      <c r="C674" s="33">
        <f>(Table10[[#This Row],[Industrial Production ]]-B662)/B662</f>
        <v>2.3243549859519588E-3</v>
      </c>
      <c r="D674" s="34">
        <f t="shared" si="10"/>
        <v>3.263091323863776E-2</v>
      </c>
    </row>
    <row r="675" spans="1:4" x14ac:dyDescent="0.35">
      <c r="A675" s="31">
        <v>27273</v>
      </c>
      <c r="B675" s="32">
        <f>VLOOKUP(Table10[[#This Row],[Month]],database!A:J,MATCH('IP from start'!$A$1,database!$A$1:$J$1,),)</f>
        <v>45.242100000000001</v>
      </c>
      <c r="C675" s="33">
        <f>(Table10[[#This Row],[Industrial Production ]]-B663)/B663</f>
        <v>-5.3664627953092583E-3</v>
      </c>
      <c r="D675" s="34">
        <f t="shared" si="10"/>
        <v>2.5754780238284453E-2</v>
      </c>
    </row>
    <row r="676" spans="1:4" x14ac:dyDescent="0.35">
      <c r="A676" s="31">
        <v>27303</v>
      </c>
      <c r="B676" s="32">
        <f>VLOOKUP(Table10[[#This Row],[Month]],database!A:J,MATCH('IP from start'!$A$1,database!$A$1:$J$1,),)</f>
        <v>45.101100000000002</v>
      </c>
      <c r="C676" s="33">
        <f>(Table10[[#This Row],[Industrial Production ]]-B664)/B664</f>
        <v>-1.6400199768390696E-2</v>
      </c>
      <c r="D676" s="34">
        <f t="shared" si="10"/>
        <v>1.8390364630478755E-2</v>
      </c>
    </row>
    <row r="677" spans="1:4" x14ac:dyDescent="0.35">
      <c r="A677" s="31">
        <v>27334</v>
      </c>
      <c r="B677" s="32">
        <f>VLOOKUP(Table10[[#This Row],[Month]],database!A:J,MATCH('IP from start'!$A$1,database!$A$1:$J$1,),)</f>
        <v>43.6158</v>
      </c>
      <c r="C677" s="33">
        <f>(Table10[[#This Row],[Industrial Production ]]-B665)/B665</f>
        <v>-5.3176570701654532E-2</v>
      </c>
      <c r="D677" s="34">
        <f t="shared" si="10"/>
        <v>8.5948197965461069E-3</v>
      </c>
    </row>
    <row r="678" spans="1:4" x14ac:dyDescent="0.35">
      <c r="A678" s="31">
        <v>27364</v>
      </c>
      <c r="B678" s="32">
        <f>VLOOKUP(Table10[[#This Row],[Month]],database!A:J,MATCH('IP from start'!$A$1,database!$A$1:$J$1,),)</f>
        <v>42.055300000000003</v>
      </c>
      <c r="C678" s="33">
        <f>(Table10[[#This Row],[Industrial Production ]]-B666)/B666</f>
        <v>-8.4448692047789764E-2</v>
      </c>
      <c r="D678" s="34">
        <f t="shared" si="10"/>
        <v>-2.5643531179752863E-3</v>
      </c>
    </row>
    <row r="679" spans="1:4" x14ac:dyDescent="0.35">
      <c r="A679" s="31">
        <v>27395</v>
      </c>
      <c r="B679" s="32">
        <f>VLOOKUP(Table10[[#This Row],[Month]],database!A:J,MATCH('IP from start'!$A$1,database!$A$1:$J$1,),)</f>
        <v>41.475000000000001</v>
      </c>
      <c r="C679" s="33">
        <f>(Table10[[#This Row],[Industrial Production ]]-B667)/B667</f>
        <v>-9.1054530153540036E-2</v>
      </c>
      <c r="D679" s="34">
        <f t="shared" si="10"/>
        <v>-1.3072934034294275E-2</v>
      </c>
    </row>
    <row r="680" spans="1:4" x14ac:dyDescent="0.35">
      <c r="A680" s="31">
        <v>27426</v>
      </c>
      <c r="B680" s="32">
        <f>VLOOKUP(Table10[[#This Row],[Month]],database!A:J,MATCH('IP from start'!$A$1,database!$A$1:$J$1,),)</f>
        <v>40.529000000000003</v>
      </c>
      <c r="C680" s="33">
        <f>(Table10[[#This Row],[Industrial Production ]]-B668)/B668</f>
        <v>-0.10915681029385577</v>
      </c>
      <c r="D680" s="34">
        <f t="shared" si="10"/>
        <v>-2.3605730996834429E-2</v>
      </c>
    </row>
    <row r="681" spans="1:4" x14ac:dyDescent="0.35">
      <c r="A681" s="31">
        <v>27454</v>
      </c>
      <c r="B681" s="32">
        <f>VLOOKUP(Table10[[#This Row],[Month]],database!A:J,MATCH('IP from start'!$A$1,database!$A$1:$J$1,),)</f>
        <v>40.079599999999999</v>
      </c>
      <c r="C681" s="33">
        <f>(Table10[[#This Row],[Industrial Production ]]-B669)/B669</f>
        <v>-0.11903673354551685</v>
      </c>
      <c r="D681" s="34">
        <f t="shared" si="10"/>
        <v>-3.4925475926999024E-2</v>
      </c>
    </row>
    <row r="682" spans="1:4" x14ac:dyDescent="0.35">
      <c r="A682" s="31">
        <v>27485</v>
      </c>
      <c r="B682" s="32">
        <f>VLOOKUP(Table10[[#This Row],[Month]],database!A:J,MATCH('IP from start'!$A$1,database!$A$1:$J$1,),)</f>
        <v>40.152700000000003</v>
      </c>
      <c r="C682" s="33">
        <f>(Table10[[#This Row],[Industrial Production ]]-B670)/B670</f>
        <v>-0.1148481675392669</v>
      </c>
      <c r="D682" s="34">
        <f t="shared" si="10"/>
        <v>-4.5772506094867764E-2</v>
      </c>
    </row>
    <row r="683" spans="1:4" x14ac:dyDescent="0.35">
      <c r="A683" s="31">
        <v>27515</v>
      </c>
      <c r="B683" s="32">
        <f>VLOOKUP(Table10[[#This Row],[Month]],database!A:J,MATCH('IP from start'!$A$1,database!$A$1:$J$1,),)</f>
        <v>40.039900000000003</v>
      </c>
      <c r="C683" s="33">
        <f>(Table10[[#This Row],[Industrial Production ]]-B671)/B671</f>
        <v>-0.12431518608348764</v>
      </c>
      <c r="D683" s="34">
        <f t="shared" si="10"/>
        <v>-5.752179366711746E-2</v>
      </c>
    </row>
    <row r="684" spans="1:4" x14ac:dyDescent="0.35">
      <c r="A684" s="31">
        <v>27546</v>
      </c>
      <c r="B684" s="32">
        <f>VLOOKUP(Table10[[#This Row],[Month]],database!A:J,MATCH('IP from start'!$A$1,database!$A$1:$J$1,),)</f>
        <v>40.298699999999997</v>
      </c>
      <c r="C684" s="33">
        <f>(Table10[[#This Row],[Industrial Production ]]-B672)/B672</f>
        <v>-0.11701176625254729</v>
      </c>
      <c r="D684" s="34">
        <f t="shared" si="10"/>
        <v>-6.8407866664978154E-2</v>
      </c>
    </row>
    <row r="685" spans="1:4" x14ac:dyDescent="0.35">
      <c r="A685" s="31">
        <v>27576</v>
      </c>
      <c r="B685" s="32">
        <f>VLOOKUP(Table10[[#This Row],[Month]],database!A:J,MATCH('IP from start'!$A$1,database!$A$1:$J$1,),)</f>
        <v>40.709400000000002</v>
      </c>
      <c r="C685" s="33">
        <f>(Table10[[#This Row],[Industrial Production ]]-B673)/B673</f>
        <v>-0.10957954299387775</v>
      </c>
      <c r="D685" s="34">
        <f t="shared" si="10"/>
        <v>-7.8505858932440373E-2</v>
      </c>
    </row>
    <row r="686" spans="1:4" x14ac:dyDescent="0.35">
      <c r="A686" s="31">
        <v>27607</v>
      </c>
      <c r="B686" s="32">
        <f>VLOOKUP(Table10[[#This Row],[Month]],database!A:J,MATCH('IP from start'!$A$1,database!$A$1:$J$1,),)</f>
        <v>41.1098</v>
      </c>
      <c r="C686" s="33">
        <f>(Table10[[#This Row],[Industrial Production ]]-B674)/B674</f>
        <v>-9.1208934536218103E-2</v>
      </c>
      <c r="D686" s="34">
        <f t="shared" si="10"/>
        <v>-8.6300299725954543E-2</v>
      </c>
    </row>
    <row r="687" spans="1:4" x14ac:dyDescent="0.35">
      <c r="A687" s="31">
        <v>27638</v>
      </c>
      <c r="B687" s="32">
        <f>VLOOKUP(Table10[[#This Row],[Month]],database!A:J,MATCH('IP from start'!$A$1,database!$A$1:$J$1,),)</f>
        <v>41.637999999999998</v>
      </c>
      <c r="C687" s="33">
        <f>(Table10[[#This Row],[Industrial Production ]]-B675)/B675</f>
        <v>-7.9662526717371701E-2</v>
      </c>
      <c r="D687" s="34">
        <f t="shared" si="10"/>
        <v>-9.249163838612641E-2</v>
      </c>
    </row>
    <row r="688" spans="1:4" x14ac:dyDescent="0.35">
      <c r="A688" s="31">
        <v>27668</v>
      </c>
      <c r="B688" s="32">
        <f>VLOOKUP(Table10[[#This Row],[Month]],database!A:J,MATCH('IP from start'!$A$1,database!$A$1:$J$1,),)</f>
        <v>41.817100000000003</v>
      </c>
      <c r="C688" s="33">
        <f>(Table10[[#This Row],[Industrial Production ]]-B676)/B676</f>
        <v>-7.2814188567462856E-2</v>
      </c>
      <c r="D688" s="34">
        <f t="shared" si="10"/>
        <v>-9.7192804119382428E-2</v>
      </c>
    </row>
    <row r="689" spans="1:4" x14ac:dyDescent="0.35">
      <c r="A689" s="31">
        <v>27699</v>
      </c>
      <c r="B689" s="32">
        <f>VLOOKUP(Table10[[#This Row],[Month]],database!A:J,MATCH('IP from start'!$A$1,database!$A$1:$J$1,),)</f>
        <v>41.876399999999997</v>
      </c>
      <c r="C689" s="33">
        <f>(Table10[[#This Row],[Industrial Production ]]-B677)/B677</f>
        <v>-3.9880043470485543E-2</v>
      </c>
      <c r="D689" s="34">
        <f t="shared" si="10"/>
        <v>-9.608476018345169E-2</v>
      </c>
    </row>
    <row r="690" spans="1:4" x14ac:dyDescent="0.35">
      <c r="A690" s="31">
        <v>27729</v>
      </c>
      <c r="B690" s="32">
        <f>VLOOKUP(Table10[[#This Row],[Month]],database!A:J,MATCH('IP from start'!$A$1,database!$A$1:$J$1,),)</f>
        <v>42.448399999999999</v>
      </c>
      <c r="C690" s="33">
        <f>(Table10[[#This Row],[Industrial Production ]]-B678)/B678</f>
        <v>9.3472166409464888E-3</v>
      </c>
      <c r="D690" s="34">
        <f t="shared" si="10"/>
        <v>-8.8268434459390324E-2</v>
      </c>
    </row>
    <row r="691" spans="1:4" x14ac:dyDescent="0.35">
      <c r="A691" s="31">
        <v>27760</v>
      </c>
      <c r="B691" s="32">
        <f>VLOOKUP(Table10[[#This Row],[Month]],database!A:J,MATCH('IP from start'!$A$1,database!$A$1:$J$1,),)</f>
        <v>43.014899999999997</v>
      </c>
      <c r="C691" s="33">
        <f>(Table10[[#This Row],[Industrial Production ]]-B679)/B679</f>
        <v>3.7128390596744928E-2</v>
      </c>
      <c r="D691" s="34">
        <f t="shared" si="10"/>
        <v>-7.7586524396866599E-2</v>
      </c>
    </row>
    <row r="692" spans="1:4" x14ac:dyDescent="0.35">
      <c r="A692" s="31">
        <v>27791</v>
      </c>
      <c r="B692" s="32">
        <f>VLOOKUP(Table10[[#This Row],[Month]],database!A:J,MATCH('IP from start'!$A$1,database!$A$1:$J$1,),)</f>
        <v>43.451500000000003</v>
      </c>
      <c r="C692" s="33">
        <f>(Table10[[#This Row],[Industrial Production ]]-B680)/B680</f>
        <v>7.2108860322238372E-2</v>
      </c>
      <c r="D692" s="34">
        <f t="shared" si="10"/>
        <v>-6.2481051845525409E-2</v>
      </c>
    </row>
    <row r="693" spans="1:4" x14ac:dyDescent="0.35">
      <c r="A693" s="31">
        <v>27820</v>
      </c>
      <c r="B693" s="32">
        <f>VLOOKUP(Table10[[#This Row],[Month]],database!A:J,MATCH('IP from start'!$A$1,database!$A$1:$J$1,),)</f>
        <v>43.535899999999998</v>
      </c>
      <c r="C693" s="33">
        <f>(Table10[[#This Row],[Industrial Production ]]-B681)/B681</f>
        <v>8.6235890577750246E-2</v>
      </c>
      <c r="D693" s="34">
        <f t="shared" si="10"/>
        <v>-4.5374999835253144E-2</v>
      </c>
    </row>
    <row r="694" spans="1:4" x14ac:dyDescent="0.35">
      <c r="A694" s="31">
        <v>27851</v>
      </c>
      <c r="B694" s="32">
        <f>VLOOKUP(Table10[[#This Row],[Month]],database!A:J,MATCH('IP from start'!$A$1,database!$A$1:$J$1,),)</f>
        <v>43.759300000000003</v>
      </c>
      <c r="C694" s="33">
        <f>(Table10[[#This Row],[Industrial Production ]]-B682)/B682</f>
        <v>8.9822104117531318E-2</v>
      </c>
      <c r="D694" s="34">
        <f t="shared" si="10"/>
        <v>-2.8319143863853286E-2</v>
      </c>
    </row>
    <row r="695" spans="1:4" x14ac:dyDescent="0.35">
      <c r="A695" s="31">
        <v>27881</v>
      </c>
      <c r="B695" s="32">
        <f>VLOOKUP(Table10[[#This Row],[Month]],database!A:J,MATCH('IP from start'!$A$1,database!$A$1:$J$1,),)</f>
        <v>43.935899999999997</v>
      </c>
      <c r="C695" s="33">
        <f>(Table10[[#This Row],[Industrial Production ]]-B683)/B683</f>
        <v>9.7302940317033598E-2</v>
      </c>
      <c r="D695" s="34">
        <f t="shared" si="10"/>
        <v>-9.8509666638098552E-3</v>
      </c>
    </row>
    <row r="696" spans="1:4" x14ac:dyDescent="0.35">
      <c r="A696" s="31">
        <v>27912</v>
      </c>
      <c r="B696" s="32">
        <f>VLOOKUP(Table10[[#This Row],[Month]],database!A:J,MATCH('IP from start'!$A$1,database!$A$1:$J$1,),)</f>
        <v>43.991799999999998</v>
      </c>
      <c r="C696" s="33">
        <f>(Table10[[#This Row],[Industrial Production ]]-B684)/B684</f>
        <v>9.1643154741964411E-2</v>
      </c>
      <c r="D696" s="34">
        <f t="shared" si="10"/>
        <v>7.536943419066116E-3</v>
      </c>
    </row>
    <row r="697" spans="1:4" x14ac:dyDescent="0.35">
      <c r="A697" s="31">
        <v>27942</v>
      </c>
      <c r="B697" s="32">
        <f>VLOOKUP(Table10[[#This Row],[Month]],database!A:J,MATCH('IP from start'!$A$1,database!$A$1:$J$1,),)</f>
        <v>44.2254</v>
      </c>
      <c r="C697" s="33">
        <f>(Table10[[#This Row],[Industrial Production ]]-B685)/B685</f>
        <v>8.6368258927913402E-2</v>
      </c>
      <c r="D697" s="34">
        <f t="shared" si="10"/>
        <v>2.3865926912548713E-2</v>
      </c>
    </row>
    <row r="698" spans="1:4" x14ac:dyDescent="0.35">
      <c r="A698" s="31">
        <v>27973</v>
      </c>
      <c r="B698" s="32">
        <f>VLOOKUP(Table10[[#This Row],[Month]],database!A:J,MATCH('IP from start'!$A$1,database!$A$1:$J$1,),)</f>
        <v>44.536499999999997</v>
      </c>
      <c r="C698" s="33">
        <f>(Table10[[#This Row],[Industrial Production ]]-B686)/B686</f>
        <v>8.3354820505086302E-2</v>
      </c>
      <c r="D698" s="34">
        <f t="shared" si="10"/>
        <v>3.8412906499324079E-2</v>
      </c>
    </row>
    <row r="699" spans="1:4" x14ac:dyDescent="0.35">
      <c r="A699" s="31">
        <v>28004</v>
      </c>
      <c r="B699" s="32">
        <f>VLOOKUP(Table10[[#This Row],[Month]],database!A:J,MATCH('IP from start'!$A$1,database!$A$1:$J$1,),)</f>
        <v>44.677500000000002</v>
      </c>
      <c r="C699" s="33">
        <f>(Table10[[#This Row],[Industrial Production ]]-B687)/B687</f>
        <v>7.299822277727086E-2</v>
      </c>
      <c r="D699" s="34">
        <f t="shared" si="10"/>
        <v>5.1134635623877628E-2</v>
      </c>
    </row>
    <row r="700" spans="1:4" x14ac:dyDescent="0.35">
      <c r="A700" s="31">
        <v>28034</v>
      </c>
      <c r="B700" s="32">
        <f>VLOOKUP(Table10[[#This Row],[Month]],database!A:J,MATCH('IP from start'!$A$1,database!$A$1:$J$1,),)</f>
        <v>44.669499999999999</v>
      </c>
      <c r="C700" s="33">
        <f>(Table10[[#This Row],[Industrial Production ]]-B688)/B688</f>
        <v>6.8211329814836408E-2</v>
      </c>
      <c r="D700" s="34">
        <f t="shared" si="10"/>
        <v>6.2886762155735909E-2</v>
      </c>
    </row>
    <row r="701" spans="1:4" x14ac:dyDescent="0.35">
      <c r="A701" s="31">
        <v>28065</v>
      </c>
      <c r="B701" s="32">
        <f>VLOOKUP(Table10[[#This Row],[Month]],database!A:J,MATCH('IP from start'!$A$1,database!$A$1:$J$1,),)</f>
        <v>45.353999999999999</v>
      </c>
      <c r="C701" s="33">
        <f>(Table10[[#This Row],[Industrial Production ]]-B689)/B689</f>
        <v>8.3044387769722394E-2</v>
      </c>
      <c r="D701" s="34">
        <f t="shared" si="10"/>
        <v>7.3130464759086578E-2</v>
      </c>
    </row>
    <row r="702" spans="1:4" x14ac:dyDescent="0.35">
      <c r="A702" s="31">
        <v>28095</v>
      </c>
      <c r="B702" s="32">
        <f>VLOOKUP(Table10[[#This Row],[Month]],database!A:J,MATCH('IP from start'!$A$1,database!$A$1:$J$1,),)</f>
        <v>45.835700000000003</v>
      </c>
      <c r="C702" s="33">
        <f>(Table10[[#This Row],[Industrial Production ]]-B690)/B690</f>
        <v>7.9798060704290463E-2</v>
      </c>
      <c r="D702" s="34">
        <f t="shared" si="10"/>
        <v>7.9001368431031907E-2</v>
      </c>
    </row>
    <row r="703" spans="1:4" x14ac:dyDescent="0.35">
      <c r="A703" s="31">
        <v>28126</v>
      </c>
      <c r="B703" s="32">
        <f>VLOOKUP(Table10[[#This Row],[Month]],database!A:J,MATCH('IP from start'!$A$1,database!$A$1:$J$1,),)</f>
        <v>45.5276</v>
      </c>
      <c r="C703" s="33">
        <f>(Table10[[#This Row],[Industrial Production ]]-B691)/B691</f>
        <v>5.8414642368109712E-2</v>
      </c>
      <c r="D703" s="34">
        <f t="shared" si="10"/>
        <v>8.0775222745312306E-2</v>
      </c>
    </row>
    <row r="704" spans="1:4" x14ac:dyDescent="0.35">
      <c r="A704" s="31">
        <v>28157</v>
      </c>
      <c r="B704" s="32">
        <f>VLOOKUP(Table10[[#This Row],[Month]],database!A:J,MATCH('IP from start'!$A$1,database!$A$1:$J$1,),)</f>
        <v>46.256700000000002</v>
      </c>
      <c r="C704" s="33">
        <f>(Table10[[#This Row],[Industrial Production ]]-B692)/B692</f>
        <v>6.4559336271475073E-2</v>
      </c>
      <c r="D704" s="34">
        <f t="shared" si="10"/>
        <v>8.0146095741082016E-2</v>
      </c>
    </row>
    <row r="705" spans="1:4" x14ac:dyDescent="0.35">
      <c r="A705" s="31">
        <v>28185</v>
      </c>
      <c r="B705" s="32">
        <f>VLOOKUP(Table10[[#This Row],[Month]],database!A:J,MATCH('IP from start'!$A$1,database!$A$1:$J$1,),)</f>
        <v>46.835599999999999</v>
      </c>
      <c r="C705" s="33">
        <f>(Table10[[#This Row],[Industrial Production ]]-B693)/B693</f>
        <v>7.5792621721383999E-2</v>
      </c>
      <c r="D705" s="34">
        <f t="shared" si="10"/>
        <v>7.9275823336384832E-2</v>
      </c>
    </row>
    <row r="706" spans="1:4" x14ac:dyDescent="0.35">
      <c r="A706" s="31">
        <v>28216</v>
      </c>
      <c r="B706" s="32">
        <f>VLOOKUP(Table10[[#This Row],[Month]],database!A:J,MATCH('IP from start'!$A$1,database!$A$1:$J$1,),)</f>
        <v>47.2898</v>
      </c>
      <c r="C706" s="33">
        <f>(Table10[[#This Row],[Industrial Production ]]-B694)/B694</f>
        <v>8.0679992595859534E-2</v>
      </c>
      <c r="D706" s="34">
        <f t="shared" si="10"/>
        <v>7.8513980709578851E-2</v>
      </c>
    </row>
    <row r="707" spans="1:4" x14ac:dyDescent="0.35">
      <c r="A707" s="31">
        <v>28246</v>
      </c>
      <c r="B707" s="32">
        <f>VLOOKUP(Table10[[#This Row],[Month]],database!A:J,MATCH('IP from start'!$A$1,database!$A$1:$J$1,),)</f>
        <v>47.660699999999999</v>
      </c>
      <c r="C707" s="33">
        <f>(Table10[[#This Row],[Industrial Production ]]-B695)/B695</f>
        <v>8.4778051661625276E-2</v>
      </c>
      <c r="D707" s="34">
        <f t="shared" si="10"/>
        <v>7.7470239988294817E-2</v>
      </c>
    </row>
    <row r="708" spans="1:4" x14ac:dyDescent="0.35">
      <c r="A708" s="31">
        <v>28277</v>
      </c>
      <c r="B708" s="32">
        <f>VLOOKUP(Table10[[#This Row],[Month]],database!A:J,MATCH('IP from start'!$A$1,database!$A$1:$J$1,),)</f>
        <v>48.019599999999997</v>
      </c>
      <c r="C708" s="33">
        <f>(Table10[[#This Row],[Industrial Production ]]-B696)/B696</f>
        <v>9.1557972167540302E-2</v>
      </c>
      <c r="D708" s="34">
        <f t="shared" si="10"/>
        <v>7.7463141440426153E-2</v>
      </c>
    </row>
    <row r="709" spans="1:4" x14ac:dyDescent="0.35">
      <c r="A709" s="31">
        <v>28307</v>
      </c>
      <c r="B709" s="32">
        <f>VLOOKUP(Table10[[#This Row],[Month]],database!A:J,MATCH('IP from start'!$A$1,database!$A$1:$J$1,),)</f>
        <v>48.081899999999997</v>
      </c>
      <c r="C709" s="33">
        <f>(Table10[[#This Row],[Industrial Production ]]-B697)/B697</f>
        <v>8.7201020228194592E-2</v>
      </c>
      <c r="D709" s="34">
        <f t="shared" si="10"/>
        <v>7.7532538215449587E-2</v>
      </c>
    </row>
    <row r="710" spans="1:4" x14ac:dyDescent="0.35">
      <c r="A710" s="31">
        <v>28338</v>
      </c>
      <c r="B710" s="32">
        <f>VLOOKUP(Table10[[#This Row],[Month]],database!A:J,MATCH('IP from start'!$A$1,database!$A$1:$J$1,),)</f>
        <v>48.131500000000003</v>
      </c>
      <c r="C710" s="33">
        <f>(Table10[[#This Row],[Industrial Production ]]-B698)/B698</f>
        <v>8.0720308061926871E-2</v>
      </c>
      <c r="D710" s="34">
        <f t="shared" si="10"/>
        <v>7.7312995511852958E-2</v>
      </c>
    </row>
    <row r="711" spans="1:4" x14ac:dyDescent="0.35">
      <c r="A711" s="31">
        <v>28369</v>
      </c>
      <c r="B711" s="32">
        <f>VLOOKUP(Table10[[#This Row],[Month]],database!A:J,MATCH('IP from start'!$A$1,database!$A$1:$J$1,),)</f>
        <v>48.330800000000004</v>
      </c>
      <c r="C711" s="33">
        <f>(Table10[[#This Row],[Industrial Production ]]-B699)/B699</f>
        <v>8.1770466118292237E-2</v>
      </c>
      <c r="D711" s="34">
        <f t="shared" si="10"/>
        <v>7.8044015790271412E-2</v>
      </c>
    </row>
    <row r="712" spans="1:4" x14ac:dyDescent="0.35">
      <c r="A712" s="31">
        <v>28399</v>
      </c>
      <c r="B712" s="32">
        <f>VLOOKUP(Table10[[#This Row],[Month]],database!A:J,MATCH('IP from start'!$A$1,database!$A$1:$J$1,),)</f>
        <v>48.401400000000002</v>
      </c>
      <c r="C712" s="33">
        <f>(Table10[[#This Row],[Industrial Production ]]-B700)/B700</f>
        <v>8.354470052272811E-2</v>
      </c>
      <c r="D712" s="34">
        <f t="shared" si="10"/>
        <v>7.9321796682595716E-2</v>
      </c>
    </row>
    <row r="713" spans="1:4" x14ac:dyDescent="0.35">
      <c r="A713" s="31">
        <v>28430</v>
      </c>
      <c r="B713" s="32">
        <f>VLOOKUP(Table10[[#This Row],[Month]],database!A:J,MATCH('IP from start'!$A$1,database!$A$1:$J$1,),)</f>
        <v>48.492400000000004</v>
      </c>
      <c r="C713" s="33">
        <f>(Table10[[#This Row],[Industrial Production ]]-B701)/B701</f>
        <v>6.9197865678881781E-2</v>
      </c>
      <c r="D713" s="34">
        <f t="shared" si="10"/>
        <v>7.8167919841692329E-2</v>
      </c>
    </row>
    <row r="714" spans="1:4" x14ac:dyDescent="0.35">
      <c r="A714" s="31">
        <v>28460</v>
      </c>
      <c r="B714" s="32">
        <f>VLOOKUP(Table10[[#This Row],[Month]],database!A:J,MATCH('IP from start'!$A$1,database!$A$1:$J$1,),)</f>
        <v>48.564</v>
      </c>
      <c r="C714" s="33">
        <f>(Table10[[#This Row],[Industrial Production ]]-B702)/B702</f>
        <v>5.9523471878906553E-2</v>
      </c>
      <c r="D714" s="34">
        <f t="shared" si="10"/>
        <v>7.6478370772910323E-2</v>
      </c>
    </row>
    <row r="715" spans="1:4" x14ac:dyDescent="0.35">
      <c r="A715" s="31">
        <v>28491</v>
      </c>
      <c r="B715" s="32">
        <f>VLOOKUP(Table10[[#This Row],[Month]],database!A:J,MATCH('IP from start'!$A$1,database!$A$1:$J$1,),)</f>
        <v>47.869300000000003</v>
      </c>
      <c r="C715" s="33">
        <f>(Table10[[#This Row],[Industrial Production ]]-B703)/B703</f>
        <v>5.1434734095361999E-2</v>
      </c>
      <c r="D715" s="34">
        <f t="shared" si="10"/>
        <v>7.5896711750181367E-2</v>
      </c>
    </row>
    <row r="716" spans="1:4" x14ac:dyDescent="0.35">
      <c r="A716" s="31">
        <v>28522</v>
      </c>
      <c r="B716" s="32">
        <f>VLOOKUP(Table10[[#This Row],[Month]],database!A:J,MATCH('IP from start'!$A$1,database!$A$1:$J$1,),)</f>
        <v>48.128300000000003</v>
      </c>
      <c r="C716" s="33">
        <f>(Table10[[#This Row],[Industrial Production ]]-B704)/B704</f>
        <v>4.0461165625736394E-2</v>
      </c>
      <c r="D716" s="34">
        <f t="shared" si="10"/>
        <v>7.388853086303647E-2</v>
      </c>
    </row>
    <row r="717" spans="1:4" x14ac:dyDescent="0.35">
      <c r="A717" s="31">
        <v>28550</v>
      </c>
      <c r="B717" s="32">
        <f>VLOOKUP(Table10[[#This Row],[Month]],database!A:J,MATCH('IP from start'!$A$1,database!$A$1:$J$1,),)</f>
        <v>49.055300000000003</v>
      </c>
      <c r="C717" s="33">
        <f>(Table10[[#This Row],[Industrial Production ]]-B705)/B705</f>
        <v>4.7393435762539675E-2</v>
      </c>
      <c r="D717" s="34">
        <f t="shared" si="10"/>
        <v>7.1521932033132771E-2</v>
      </c>
    </row>
    <row r="718" spans="1:4" x14ac:dyDescent="0.35">
      <c r="A718" s="31">
        <v>28581</v>
      </c>
      <c r="B718" s="32">
        <f>VLOOKUP(Table10[[#This Row],[Month]],database!A:J,MATCH('IP from start'!$A$1,database!$A$1:$J$1,),)</f>
        <v>50.026000000000003</v>
      </c>
      <c r="C718" s="33">
        <f>(Table10[[#This Row],[Industrial Production ]]-B706)/B706</f>
        <v>5.7860257391657476E-2</v>
      </c>
      <c r="D718" s="34">
        <f t="shared" si="10"/>
        <v>6.9620287432782604E-2</v>
      </c>
    </row>
    <row r="719" spans="1:4" x14ac:dyDescent="0.35">
      <c r="A719" s="31">
        <v>28611</v>
      </c>
      <c r="B719" s="32">
        <f>VLOOKUP(Table10[[#This Row],[Month]],database!A:J,MATCH('IP from start'!$A$1,database!$A$1:$J$1,),)</f>
        <v>50.271700000000003</v>
      </c>
      <c r="C719" s="33">
        <f>(Table10[[#This Row],[Industrial Production ]]-B707)/B707</f>
        <v>5.4783081238840479E-2</v>
      </c>
      <c r="D719" s="34">
        <f t="shared" si="10"/>
        <v>6.7120706564217217E-2</v>
      </c>
    </row>
    <row r="720" spans="1:4" x14ac:dyDescent="0.35">
      <c r="A720" s="31">
        <v>28642</v>
      </c>
      <c r="B720" s="32">
        <f>VLOOKUP(Table10[[#This Row],[Month]],database!A:J,MATCH('IP from start'!$A$1,database!$A$1:$J$1,),)</f>
        <v>50.593899999999998</v>
      </c>
      <c r="C720" s="33">
        <f>(Table10[[#This Row],[Industrial Production ]]-B708)/B708</f>
        <v>5.3609359511532811E-2</v>
      </c>
      <c r="D720" s="34">
        <f t="shared" si="10"/>
        <v>6.3958322176216567E-2</v>
      </c>
    </row>
    <row r="721" spans="1:4" x14ac:dyDescent="0.35">
      <c r="A721" s="31">
        <v>28672</v>
      </c>
      <c r="B721" s="32">
        <f>VLOOKUP(Table10[[#This Row],[Month]],database!A:J,MATCH('IP from start'!$A$1,database!$A$1:$J$1,),)</f>
        <v>50.549900000000001</v>
      </c>
      <c r="C721" s="33">
        <f>(Table10[[#This Row],[Industrial Production ]]-B709)/B709</f>
        <v>5.1329086412974602E-2</v>
      </c>
      <c r="D721" s="34">
        <f t="shared" si="10"/>
        <v>6.0968994358281577E-2</v>
      </c>
    </row>
    <row r="722" spans="1:4" x14ac:dyDescent="0.35">
      <c r="A722" s="31">
        <v>28703</v>
      </c>
      <c r="B722" s="32">
        <f>VLOOKUP(Table10[[#This Row],[Month]],database!A:J,MATCH('IP from start'!$A$1,database!$A$1:$J$1,),)</f>
        <v>50.7622</v>
      </c>
      <c r="C722" s="33">
        <f>(Table10[[#This Row],[Industrial Production ]]-B710)/B710</f>
        <v>5.4656513925391836E-2</v>
      </c>
      <c r="D722" s="34">
        <f t="shared" si="10"/>
        <v>5.8797011513570328E-2</v>
      </c>
    </row>
    <row r="723" spans="1:4" x14ac:dyDescent="0.35">
      <c r="A723" s="31">
        <v>28734</v>
      </c>
      <c r="B723" s="32">
        <f>VLOOKUP(Table10[[#This Row],[Month]],database!A:J,MATCH('IP from start'!$A$1,database!$A$1:$J$1,),)</f>
        <v>50.885599999999997</v>
      </c>
      <c r="C723" s="33">
        <f>(Table10[[#This Row],[Industrial Production ]]-B711)/B711</f>
        <v>5.286070166436295E-2</v>
      </c>
      <c r="D723" s="34">
        <f t="shared" si="10"/>
        <v>5.6387864475742892E-2</v>
      </c>
    </row>
    <row r="724" spans="1:4" x14ac:dyDescent="0.35">
      <c r="A724" s="31">
        <v>28764</v>
      </c>
      <c r="B724" s="32">
        <f>VLOOKUP(Table10[[#This Row],[Month]],database!A:J,MATCH('IP from start'!$A$1,database!$A$1:$J$1,),)</f>
        <v>51.2821</v>
      </c>
      <c r="C724" s="33">
        <f>(Table10[[#This Row],[Industrial Production ]]-B712)/B712</f>
        <v>5.9516873478866257E-2</v>
      </c>
      <c r="D724" s="34">
        <f t="shared" si="10"/>
        <v>5.4385545555421071E-2</v>
      </c>
    </row>
    <row r="725" spans="1:4" x14ac:dyDescent="0.35">
      <c r="A725" s="31">
        <v>28795</v>
      </c>
      <c r="B725" s="32">
        <f>VLOOKUP(Table10[[#This Row],[Month]],database!A:J,MATCH('IP from start'!$A$1,database!$A$1:$J$1,),)</f>
        <v>51.673699999999997</v>
      </c>
      <c r="C725" s="33">
        <f>(Table10[[#This Row],[Industrial Production ]]-B713)/B713</f>
        <v>6.560409466225621E-2</v>
      </c>
      <c r="D725" s="34">
        <f t="shared" si="10"/>
        <v>5.4086064637368945E-2</v>
      </c>
    </row>
    <row r="726" spans="1:4" x14ac:dyDescent="0.35">
      <c r="A726" s="31">
        <v>28825</v>
      </c>
      <c r="B726" s="32">
        <f>VLOOKUP(Table10[[#This Row],[Month]],database!A:J,MATCH('IP from start'!$A$1,database!$A$1:$J$1,),)</f>
        <v>51.940399999999997</v>
      </c>
      <c r="C726" s="33">
        <f>(Table10[[#This Row],[Industrial Production ]]-B714)/B714</f>
        <v>6.9524750844246697E-2</v>
      </c>
      <c r="D726" s="34">
        <f t="shared" si="10"/>
        <v>5.4919504551147282E-2</v>
      </c>
    </row>
    <row r="727" spans="1:4" x14ac:dyDescent="0.35">
      <c r="A727" s="31">
        <v>28856</v>
      </c>
      <c r="B727" s="32">
        <f>VLOOKUP(Table10[[#This Row],[Month]],database!A:J,MATCH('IP from start'!$A$1,database!$A$1:$J$1,),)</f>
        <v>51.650700000000001</v>
      </c>
      <c r="C727" s="33">
        <f>(Table10[[#This Row],[Industrial Production ]]-B715)/B715</f>
        <v>7.8994261457760978E-2</v>
      </c>
      <c r="D727" s="34">
        <f t="shared" si="10"/>
        <v>5.721613183134721E-2</v>
      </c>
    </row>
    <row r="728" spans="1:4" x14ac:dyDescent="0.35">
      <c r="A728" s="31">
        <v>28887</v>
      </c>
      <c r="B728" s="32">
        <f>VLOOKUP(Table10[[#This Row],[Month]],database!A:J,MATCH('IP from start'!$A$1,database!$A$1:$J$1,),)</f>
        <v>51.909700000000001</v>
      </c>
      <c r="C728" s="33">
        <f>(Table10[[#This Row],[Industrial Production ]]-B716)/B716</f>
        <v>7.8569157855149618E-2</v>
      </c>
      <c r="D728" s="34">
        <f t="shared" si="10"/>
        <v>6.0391797850464973E-2</v>
      </c>
    </row>
    <row r="729" spans="1:4" x14ac:dyDescent="0.35">
      <c r="A729" s="31">
        <v>28915</v>
      </c>
      <c r="B729" s="32">
        <f>VLOOKUP(Table10[[#This Row],[Month]],database!A:J,MATCH('IP from start'!$A$1,database!$A$1:$J$1,),)</f>
        <v>52.066699999999997</v>
      </c>
      <c r="C729" s="33">
        <f>(Table10[[#This Row],[Industrial Production ]]-B717)/B717</f>
        <v>6.1387862269724057E-2</v>
      </c>
      <c r="D729" s="34">
        <f t="shared" si="10"/>
        <v>6.1558000059396989E-2</v>
      </c>
    </row>
    <row r="730" spans="1:4" x14ac:dyDescent="0.35">
      <c r="A730" s="31">
        <v>28946</v>
      </c>
      <c r="B730" s="32">
        <f>VLOOKUP(Table10[[#This Row],[Month]],database!A:J,MATCH('IP from start'!$A$1,database!$A$1:$J$1,),)</f>
        <v>51.454799999999999</v>
      </c>
      <c r="C730" s="33">
        <f>(Table10[[#This Row],[Industrial Production ]]-B718)/B718</f>
        <v>2.8561148202934379E-2</v>
      </c>
      <c r="D730" s="34">
        <f t="shared" si="10"/>
        <v>5.9116407627003403E-2</v>
      </c>
    </row>
    <row r="731" spans="1:4" x14ac:dyDescent="0.35">
      <c r="A731" s="31">
        <v>28976</v>
      </c>
      <c r="B731" s="32">
        <f>VLOOKUP(Table10[[#This Row],[Month]],database!A:J,MATCH('IP from start'!$A$1,database!$A$1:$J$1,),)</f>
        <v>51.906100000000002</v>
      </c>
      <c r="C731" s="33">
        <f>(Table10[[#This Row],[Industrial Production ]]-B719)/B719</f>
        <v>3.251133341422708E-2</v>
      </c>
      <c r="D731" s="34">
        <f t="shared" si="10"/>
        <v>5.7260428641618955E-2</v>
      </c>
    </row>
    <row r="732" spans="1:4" x14ac:dyDescent="0.35">
      <c r="A732" s="31">
        <v>29007</v>
      </c>
      <c r="B732" s="32">
        <f>VLOOKUP(Table10[[#This Row],[Month]],database!A:J,MATCH('IP from start'!$A$1,database!$A$1:$J$1,),)</f>
        <v>51.906700000000001</v>
      </c>
      <c r="C732" s="33">
        <f>(Table10[[#This Row],[Industrial Production ]]-B720)/B720</f>
        <v>2.5947792125137672E-2</v>
      </c>
      <c r="D732" s="34">
        <f t="shared" si="10"/>
        <v>5.4955298026086029E-2</v>
      </c>
    </row>
    <row r="733" spans="1:4" x14ac:dyDescent="0.35">
      <c r="A733" s="31">
        <v>29037</v>
      </c>
      <c r="B733" s="32">
        <f>VLOOKUP(Table10[[#This Row],[Month]],database!A:J,MATCH('IP from start'!$A$1,database!$A$1:$J$1,),)</f>
        <v>51.825800000000001</v>
      </c>
      <c r="C733" s="33">
        <f>(Table10[[#This Row],[Industrial Production ]]-B721)/B721</f>
        <v>2.5240406014650871E-2</v>
      </c>
      <c r="D733" s="34">
        <f t="shared" si="10"/>
        <v>5.2781241326225713E-2</v>
      </c>
    </row>
    <row r="734" spans="1:4" x14ac:dyDescent="0.35">
      <c r="A734" s="31">
        <v>29068</v>
      </c>
      <c r="B734" s="32">
        <f>VLOOKUP(Table10[[#This Row],[Month]],database!A:J,MATCH('IP from start'!$A$1,database!$A$1:$J$1,),)</f>
        <v>51.49</v>
      </c>
      <c r="C734" s="33">
        <f>(Table10[[#This Row],[Industrial Production ]]-B722)/B722</f>
        <v>1.4337440063669462E-2</v>
      </c>
      <c r="D734" s="34">
        <f t="shared" ref="D734:D797" si="11">AVERAGE(C723:C734)</f>
        <v>4.9421318504415508E-2</v>
      </c>
    </row>
    <row r="735" spans="1:4" x14ac:dyDescent="0.35">
      <c r="A735" s="31">
        <v>29099</v>
      </c>
      <c r="B735" s="32">
        <f>VLOOKUP(Table10[[#This Row],[Month]],database!A:J,MATCH('IP from start'!$A$1,database!$A$1:$J$1,),)</f>
        <v>51.484699999999997</v>
      </c>
      <c r="C735" s="33">
        <f>(Table10[[#This Row],[Industrial Production ]]-B723)/B723</f>
        <v>1.1773468328957504E-2</v>
      </c>
      <c r="D735" s="34">
        <f t="shared" si="11"/>
        <v>4.5997382393131725E-2</v>
      </c>
    </row>
    <row r="736" spans="1:4" x14ac:dyDescent="0.35">
      <c r="A736" s="31">
        <v>29129</v>
      </c>
      <c r="B736" s="32">
        <f>VLOOKUP(Table10[[#This Row],[Month]],database!A:J,MATCH('IP from start'!$A$1,database!$A$1:$J$1,),)</f>
        <v>51.842100000000002</v>
      </c>
      <c r="C736" s="33">
        <f>(Table10[[#This Row],[Industrial Production ]]-B724)/B724</f>
        <v>1.09199896260099E-2</v>
      </c>
      <c r="D736" s="34">
        <f t="shared" si="11"/>
        <v>4.1947642072060358E-2</v>
      </c>
    </row>
    <row r="737" spans="1:4" x14ac:dyDescent="0.35">
      <c r="A737" s="31">
        <v>29160</v>
      </c>
      <c r="B737" s="32">
        <f>VLOOKUP(Table10[[#This Row],[Month]],database!A:J,MATCH('IP from start'!$A$1,database!$A$1:$J$1,),)</f>
        <v>51.759099999999997</v>
      </c>
      <c r="C737" s="33">
        <f>(Table10[[#This Row],[Industrial Production ]]-B725)/B725</f>
        <v>1.6526782483158729E-3</v>
      </c>
      <c r="D737" s="34">
        <f t="shared" si="11"/>
        <v>3.661835737089867E-2</v>
      </c>
    </row>
    <row r="738" spans="1:4" x14ac:dyDescent="0.35">
      <c r="A738" s="31">
        <v>29190</v>
      </c>
      <c r="B738" s="32">
        <f>VLOOKUP(Table10[[#This Row],[Month]],database!A:J,MATCH('IP from start'!$A$1,database!$A$1:$J$1,),)</f>
        <v>51.797400000000003</v>
      </c>
      <c r="C738" s="33">
        <f>(Table10[[#This Row],[Industrial Production ]]-B726)/B726</f>
        <v>-2.7531555398108906E-3</v>
      </c>
      <c r="D738" s="34">
        <f t="shared" si="11"/>
        <v>3.0595198505560538E-2</v>
      </c>
    </row>
    <row r="739" spans="1:4" x14ac:dyDescent="0.35">
      <c r="A739" s="31">
        <v>29221</v>
      </c>
      <c r="B739" s="32">
        <f>VLOOKUP(Table10[[#This Row],[Month]],database!A:J,MATCH('IP from start'!$A$1,database!$A$1:$J$1,),)</f>
        <v>52.067700000000002</v>
      </c>
      <c r="C739" s="33">
        <f>(Table10[[#This Row],[Industrial Production ]]-B727)/B727</f>
        <v>8.0734627023448195E-3</v>
      </c>
      <c r="D739" s="34">
        <f t="shared" si="11"/>
        <v>2.4685131942609195E-2</v>
      </c>
    </row>
    <row r="740" spans="1:4" x14ac:dyDescent="0.35">
      <c r="A740" s="31">
        <v>29252</v>
      </c>
      <c r="B740" s="32">
        <f>VLOOKUP(Table10[[#This Row],[Month]],database!A:J,MATCH('IP from start'!$A$1,database!$A$1:$J$1,),)</f>
        <v>52.0899</v>
      </c>
      <c r="C740" s="33">
        <f>(Table10[[#This Row],[Industrial Production ]]-B728)/B728</f>
        <v>3.4714128573272288E-3</v>
      </c>
      <c r="D740" s="34">
        <f t="shared" si="11"/>
        <v>1.8426986526123998E-2</v>
      </c>
    </row>
    <row r="741" spans="1:4" x14ac:dyDescent="0.35">
      <c r="A741" s="31">
        <v>29281</v>
      </c>
      <c r="B741" s="32">
        <f>VLOOKUP(Table10[[#This Row],[Month]],database!A:J,MATCH('IP from start'!$A$1,database!$A$1:$J$1,),)</f>
        <v>51.868699999999997</v>
      </c>
      <c r="C741" s="33">
        <f>(Table10[[#This Row],[Industrial Production ]]-B729)/B729</f>
        <v>-3.8028144668281342E-3</v>
      </c>
      <c r="D741" s="34">
        <f t="shared" si="11"/>
        <v>1.2994430131411314E-2</v>
      </c>
    </row>
    <row r="742" spans="1:4" x14ac:dyDescent="0.35">
      <c r="A742" s="31">
        <v>29312</v>
      </c>
      <c r="B742" s="32">
        <f>VLOOKUP(Table10[[#This Row],[Month]],database!A:J,MATCH('IP from start'!$A$1,database!$A$1:$J$1,),)</f>
        <v>50.845399999999998</v>
      </c>
      <c r="C742" s="33">
        <f>(Table10[[#This Row],[Industrial Production ]]-B730)/B730</f>
        <v>-1.1843404308247254E-2</v>
      </c>
      <c r="D742" s="34">
        <f t="shared" si="11"/>
        <v>9.6273840888128435E-3</v>
      </c>
    </row>
    <row r="743" spans="1:4" x14ac:dyDescent="0.35">
      <c r="A743" s="31">
        <v>29342</v>
      </c>
      <c r="B743" s="32">
        <f>VLOOKUP(Table10[[#This Row],[Month]],database!A:J,MATCH('IP from start'!$A$1,database!$A$1:$J$1,),)</f>
        <v>49.594700000000003</v>
      </c>
      <c r="C743" s="33">
        <f>(Table10[[#This Row],[Industrial Production ]]-B731)/B731</f>
        <v>-4.4530411647185957E-2</v>
      </c>
      <c r="D743" s="34">
        <f t="shared" si="11"/>
        <v>3.2072386670284263E-3</v>
      </c>
    </row>
    <row r="744" spans="1:4" x14ac:dyDescent="0.35">
      <c r="A744" s="31">
        <v>29373</v>
      </c>
      <c r="B744" s="32">
        <f>VLOOKUP(Table10[[#This Row],[Month]],database!A:J,MATCH('IP from start'!$A$1,database!$A$1:$J$1,),)</f>
        <v>48.9621</v>
      </c>
      <c r="C744" s="33">
        <f>(Table10[[#This Row],[Industrial Production ]]-B732)/B732</f>
        <v>-5.6728707469363322E-2</v>
      </c>
      <c r="D744" s="34">
        <f t="shared" si="11"/>
        <v>-3.6824696325133241E-3</v>
      </c>
    </row>
    <row r="745" spans="1:4" x14ac:dyDescent="0.35">
      <c r="A745" s="31">
        <v>29403</v>
      </c>
      <c r="B745" s="32">
        <f>VLOOKUP(Table10[[#This Row],[Month]],database!A:J,MATCH('IP from start'!$A$1,database!$A$1:$J$1,),)</f>
        <v>48.609000000000002</v>
      </c>
      <c r="C745" s="33">
        <f>(Table10[[#This Row],[Industrial Production ]]-B733)/B733</f>
        <v>-6.2069471190025031E-2</v>
      </c>
      <c r="D745" s="34">
        <f t="shared" si="11"/>
        <v>-1.0958292732902983E-2</v>
      </c>
    </row>
    <row r="746" spans="1:4" x14ac:dyDescent="0.35">
      <c r="A746" s="31">
        <v>29434</v>
      </c>
      <c r="B746" s="32">
        <f>VLOOKUP(Table10[[#This Row],[Month]],database!A:J,MATCH('IP from start'!$A$1,database!$A$1:$J$1,),)</f>
        <v>48.764600000000002</v>
      </c>
      <c r="C746" s="33">
        <f>(Table10[[#This Row],[Industrial Production ]]-B734)/B734</f>
        <v>-5.2930666148766757E-2</v>
      </c>
      <c r="D746" s="34">
        <f t="shared" si="11"/>
        <v>-1.6563968250606003E-2</v>
      </c>
    </row>
    <row r="747" spans="1:4" x14ac:dyDescent="0.35">
      <c r="A747" s="31">
        <v>29465</v>
      </c>
      <c r="B747" s="32">
        <f>VLOOKUP(Table10[[#This Row],[Month]],database!A:J,MATCH('IP from start'!$A$1,database!$A$1:$J$1,),)</f>
        <v>49.5764</v>
      </c>
      <c r="C747" s="33">
        <f>(Table10[[#This Row],[Industrial Production ]]-B735)/B735</f>
        <v>-3.7065380588796229E-2</v>
      </c>
      <c r="D747" s="34">
        <f t="shared" si="11"/>
        <v>-2.0633872327085481E-2</v>
      </c>
    </row>
    <row r="748" spans="1:4" x14ac:dyDescent="0.35">
      <c r="A748" s="31">
        <v>29495</v>
      </c>
      <c r="B748" s="32">
        <f>VLOOKUP(Table10[[#This Row],[Month]],database!A:J,MATCH('IP from start'!$A$1,database!$A$1:$J$1,),)</f>
        <v>50.205800000000004</v>
      </c>
      <c r="C748" s="33">
        <f>(Table10[[#This Row],[Industrial Production ]]-B736)/B736</f>
        <v>-3.1563150412502551E-2</v>
      </c>
      <c r="D748" s="34">
        <f t="shared" si="11"/>
        <v>-2.4174133996961517E-2</v>
      </c>
    </row>
    <row r="749" spans="1:4" x14ac:dyDescent="0.35">
      <c r="A749" s="31">
        <v>29526</v>
      </c>
      <c r="B749" s="32">
        <f>VLOOKUP(Table10[[#This Row],[Month]],database!A:J,MATCH('IP from start'!$A$1,database!$A$1:$J$1,),)</f>
        <v>51.041800000000002</v>
      </c>
      <c r="C749" s="33">
        <f>(Table10[[#This Row],[Industrial Production ]]-B737)/B737</f>
        <v>-1.3858432623441956E-2</v>
      </c>
      <c r="D749" s="34">
        <f t="shared" si="11"/>
        <v>-2.5466726569608005E-2</v>
      </c>
    </row>
    <row r="750" spans="1:4" x14ac:dyDescent="0.35">
      <c r="A750" s="31">
        <v>29556</v>
      </c>
      <c r="B750" s="32">
        <f>VLOOKUP(Table10[[#This Row],[Month]],database!A:J,MATCH('IP from start'!$A$1,database!$A$1:$J$1,),)</f>
        <v>51.390599999999999</v>
      </c>
      <c r="C750" s="33">
        <f>(Table10[[#This Row],[Industrial Production ]]-B738)/B738</f>
        <v>-7.8536760532382718E-3</v>
      </c>
      <c r="D750" s="34">
        <f t="shared" si="11"/>
        <v>-2.5891769945726954E-2</v>
      </c>
    </row>
    <row r="751" spans="1:4" x14ac:dyDescent="0.35">
      <c r="A751" s="31">
        <v>29587</v>
      </c>
      <c r="B751" s="32">
        <f>VLOOKUP(Table10[[#This Row],[Month]],database!A:J,MATCH('IP from start'!$A$1,database!$A$1:$J$1,),)</f>
        <v>51.065600000000003</v>
      </c>
      <c r="C751" s="33">
        <f>(Table10[[#This Row],[Industrial Production ]]-B739)/B739</f>
        <v>-1.9246096908448012E-2</v>
      </c>
      <c r="D751" s="34">
        <f t="shared" si="11"/>
        <v>-2.8168399913293025E-2</v>
      </c>
    </row>
    <row r="752" spans="1:4" x14ac:dyDescent="0.35">
      <c r="A752" s="31">
        <v>29618</v>
      </c>
      <c r="B752" s="32">
        <f>VLOOKUP(Table10[[#This Row],[Month]],database!A:J,MATCH('IP from start'!$A$1,database!$A$1:$J$1,),)</f>
        <v>50.855400000000003</v>
      </c>
      <c r="C752" s="33">
        <f>(Table10[[#This Row],[Industrial Production ]]-B740)/B740</f>
        <v>-2.3699411978137741E-2</v>
      </c>
      <c r="D752" s="34">
        <f t="shared" si="11"/>
        <v>-3.043263531624844E-2</v>
      </c>
    </row>
    <row r="753" spans="1:4" x14ac:dyDescent="0.35">
      <c r="A753" s="31">
        <v>29646</v>
      </c>
      <c r="B753" s="32">
        <f>VLOOKUP(Table10[[#This Row],[Month]],database!A:J,MATCH('IP from start'!$A$1,database!$A$1:$J$1,),)</f>
        <v>51.110700000000001</v>
      </c>
      <c r="C753" s="33">
        <f>(Table10[[#This Row],[Industrial Production ]]-B741)/B741</f>
        <v>-1.461382297994736E-2</v>
      </c>
      <c r="D753" s="34">
        <f t="shared" si="11"/>
        <v>-3.1333552692341705E-2</v>
      </c>
    </row>
    <row r="754" spans="1:4" x14ac:dyDescent="0.35">
      <c r="A754" s="31">
        <v>29677</v>
      </c>
      <c r="B754" s="32">
        <f>VLOOKUP(Table10[[#This Row],[Month]],database!A:J,MATCH('IP from start'!$A$1,database!$A$1:$J$1,),)</f>
        <v>50.886400000000002</v>
      </c>
      <c r="C754" s="33">
        <f>(Table10[[#This Row],[Industrial Production ]]-B742)/B742</f>
        <v>8.0636596427609817E-4</v>
      </c>
      <c r="D754" s="34">
        <f t="shared" si="11"/>
        <v>-3.0279405169631429E-2</v>
      </c>
    </row>
    <row r="755" spans="1:4" x14ac:dyDescent="0.35">
      <c r="A755" s="31">
        <v>29707</v>
      </c>
      <c r="B755" s="32">
        <f>VLOOKUP(Table10[[#This Row],[Month]],database!A:J,MATCH('IP from start'!$A$1,database!$A$1:$J$1,),)</f>
        <v>51.178800000000003</v>
      </c>
      <c r="C755" s="33">
        <f>(Table10[[#This Row],[Industrial Production ]]-B743)/B743</f>
        <v>3.1940913041111234E-2</v>
      </c>
      <c r="D755" s="34">
        <f t="shared" si="11"/>
        <v>-2.3906794778939994E-2</v>
      </c>
    </row>
    <row r="756" spans="1:4" x14ac:dyDescent="0.35">
      <c r="A756" s="31">
        <v>29738</v>
      </c>
      <c r="B756" s="32">
        <f>VLOOKUP(Table10[[#This Row],[Month]],database!A:J,MATCH('IP from start'!$A$1,database!$A$1:$J$1,),)</f>
        <v>51.449599999999997</v>
      </c>
      <c r="C756" s="33">
        <f>(Table10[[#This Row],[Industrial Production ]]-B744)/B744</f>
        <v>5.0804601926796381E-2</v>
      </c>
      <c r="D756" s="34">
        <f t="shared" si="11"/>
        <v>-1.494568566259335E-2</v>
      </c>
    </row>
    <row r="757" spans="1:4" x14ac:dyDescent="0.35">
      <c r="A757" s="31">
        <v>29768</v>
      </c>
      <c r="B757" s="32">
        <f>VLOOKUP(Table10[[#This Row],[Month]],database!A:J,MATCH('IP from start'!$A$1,database!$A$1:$J$1,),)</f>
        <v>51.776400000000002</v>
      </c>
      <c r="C757" s="33">
        <f>(Table10[[#This Row],[Industrial Production ]]-B745)/B745</f>
        <v>6.5160772696414251E-2</v>
      </c>
      <c r="D757" s="34">
        <f t="shared" si="11"/>
        <v>-4.3431653387234091E-3</v>
      </c>
    </row>
    <row r="758" spans="1:4" x14ac:dyDescent="0.35">
      <c r="A758" s="31">
        <v>29799</v>
      </c>
      <c r="B758" s="32">
        <f>VLOOKUP(Table10[[#This Row],[Month]],database!A:J,MATCH('IP from start'!$A$1,database!$A$1:$J$1,),)</f>
        <v>51.712899999999998</v>
      </c>
      <c r="C758" s="33">
        <f>(Table10[[#This Row],[Industrial Production ]]-B746)/B746</f>
        <v>6.045984177046456E-2</v>
      </c>
      <c r="D758" s="34">
        <f t="shared" si="11"/>
        <v>5.1060436545458656E-3</v>
      </c>
    </row>
    <row r="759" spans="1:4" x14ac:dyDescent="0.35">
      <c r="A759" s="31">
        <v>29830</v>
      </c>
      <c r="B759" s="32">
        <f>VLOOKUP(Table10[[#This Row],[Month]],database!A:J,MATCH('IP from start'!$A$1,database!$A$1:$J$1,),)</f>
        <v>51.460500000000003</v>
      </c>
      <c r="C759" s="33">
        <f>(Table10[[#This Row],[Industrial Production ]]-B747)/B747</f>
        <v>3.8003969630711461E-2</v>
      </c>
      <c r="D759" s="34">
        <f t="shared" si="11"/>
        <v>1.1361822839504841E-2</v>
      </c>
    </row>
    <row r="760" spans="1:4" x14ac:dyDescent="0.35">
      <c r="A760" s="31">
        <v>29860</v>
      </c>
      <c r="B760" s="32">
        <f>VLOOKUP(Table10[[#This Row],[Month]],database!A:J,MATCH('IP from start'!$A$1,database!$A$1:$J$1,),)</f>
        <v>51.0625</v>
      </c>
      <c r="C760" s="33">
        <f>(Table10[[#This Row],[Industrial Production ]]-B748)/B748</f>
        <v>1.7063765541033036E-2</v>
      </c>
      <c r="D760" s="34">
        <f t="shared" si="11"/>
        <v>1.5414065835632805E-2</v>
      </c>
    </row>
    <row r="761" spans="1:4" x14ac:dyDescent="0.35">
      <c r="A761" s="31">
        <v>29891</v>
      </c>
      <c r="B761" s="32">
        <f>VLOOKUP(Table10[[#This Row],[Month]],database!A:J,MATCH('IP from start'!$A$1,database!$A$1:$J$1,),)</f>
        <v>50.472999999999999</v>
      </c>
      <c r="C761" s="33">
        <f>(Table10[[#This Row],[Industrial Production ]]-B749)/B749</f>
        <v>-1.1143807624339327E-2</v>
      </c>
      <c r="D761" s="34">
        <f t="shared" si="11"/>
        <v>1.5640284585558027E-2</v>
      </c>
    </row>
    <row r="762" spans="1:4" x14ac:dyDescent="0.35">
      <c r="A762" s="31">
        <v>29921</v>
      </c>
      <c r="B762" s="32">
        <f>VLOOKUP(Table10[[#This Row],[Month]],database!A:J,MATCH('IP from start'!$A$1,database!$A$1:$J$1,),)</f>
        <v>49.936399999999999</v>
      </c>
      <c r="C762" s="33">
        <f>(Table10[[#This Row],[Industrial Production ]]-B750)/B750</f>
        <v>-2.8297003732200055E-2</v>
      </c>
      <c r="D762" s="34">
        <f t="shared" si="11"/>
        <v>1.393667394564454E-2</v>
      </c>
    </row>
    <row r="763" spans="1:4" x14ac:dyDescent="0.35">
      <c r="A763" s="31">
        <v>29952</v>
      </c>
      <c r="B763" s="32">
        <f>VLOOKUP(Table10[[#This Row],[Month]],database!A:J,MATCH('IP from start'!$A$1,database!$A$1:$J$1,),)</f>
        <v>48.9114</v>
      </c>
      <c r="C763" s="33">
        <f>(Table10[[#This Row],[Industrial Production ]]-B751)/B751</f>
        <v>-4.2184954254919221E-2</v>
      </c>
      <c r="D763" s="34">
        <f t="shared" si="11"/>
        <v>1.2025102500105274E-2</v>
      </c>
    </row>
    <row r="764" spans="1:4" x14ac:dyDescent="0.35">
      <c r="A764" s="31">
        <v>29983</v>
      </c>
      <c r="B764" s="32">
        <f>VLOOKUP(Table10[[#This Row],[Month]],database!A:J,MATCH('IP from start'!$A$1,database!$A$1:$J$1,),)</f>
        <v>49.910200000000003</v>
      </c>
      <c r="C764" s="33">
        <f>(Table10[[#This Row],[Industrial Production ]]-B752)/B752</f>
        <v>-1.8586030195416804E-2</v>
      </c>
      <c r="D764" s="34">
        <f t="shared" si="11"/>
        <v>1.2451217648665353E-2</v>
      </c>
    </row>
    <row r="765" spans="1:4" x14ac:dyDescent="0.35">
      <c r="A765" s="31">
        <v>30011</v>
      </c>
      <c r="B765" s="32">
        <f>VLOOKUP(Table10[[#This Row],[Month]],database!A:J,MATCH('IP from start'!$A$1,database!$A$1:$J$1,),)</f>
        <v>49.569099999999999</v>
      </c>
      <c r="C765" s="33">
        <f>(Table10[[#This Row],[Industrial Production ]]-B753)/B753</f>
        <v>-3.0161981737679242E-2</v>
      </c>
      <c r="D765" s="34">
        <f t="shared" si="11"/>
        <v>1.1155537752187699E-2</v>
      </c>
    </row>
    <row r="766" spans="1:4" x14ac:dyDescent="0.35">
      <c r="A766" s="31">
        <v>30042</v>
      </c>
      <c r="B766" s="32">
        <f>VLOOKUP(Table10[[#This Row],[Month]],database!A:J,MATCH('IP from start'!$A$1,database!$A$1:$J$1,),)</f>
        <v>49.114600000000003</v>
      </c>
      <c r="C766" s="33">
        <f>(Table10[[#This Row],[Industrial Production ]]-B754)/B754</f>
        <v>-3.4818733492642411E-2</v>
      </c>
      <c r="D766" s="34">
        <f t="shared" si="11"/>
        <v>8.1867794641111522E-3</v>
      </c>
    </row>
    <row r="767" spans="1:4" x14ac:dyDescent="0.35">
      <c r="A767" s="31">
        <v>30072</v>
      </c>
      <c r="B767" s="32">
        <f>VLOOKUP(Table10[[#This Row],[Month]],database!A:J,MATCH('IP from start'!$A$1,database!$A$1:$J$1,),)</f>
        <v>48.780500000000004</v>
      </c>
      <c r="C767" s="33">
        <f>(Table10[[#This Row],[Industrial Production ]]-B755)/B755</f>
        <v>-4.6861200340766074E-2</v>
      </c>
      <c r="D767" s="34">
        <f t="shared" si="11"/>
        <v>1.6199366822880455E-3</v>
      </c>
    </row>
    <row r="768" spans="1:4" x14ac:dyDescent="0.35">
      <c r="A768" s="31">
        <v>30103</v>
      </c>
      <c r="B768" s="32">
        <f>VLOOKUP(Table10[[#This Row],[Month]],database!A:J,MATCH('IP from start'!$A$1,database!$A$1:$J$1,),)</f>
        <v>48.660600000000002</v>
      </c>
      <c r="C768" s="33">
        <f>(Table10[[#This Row],[Industrial Production ]]-B756)/B756</f>
        <v>-5.4208390347057989E-2</v>
      </c>
      <c r="D768" s="34">
        <f t="shared" si="11"/>
        <v>-7.1311460071998194E-3</v>
      </c>
    </row>
    <row r="769" spans="1:4" x14ac:dyDescent="0.35">
      <c r="A769" s="31">
        <v>30133</v>
      </c>
      <c r="B769" s="32">
        <f>VLOOKUP(Table10[[#This Row],[Month]],database!A:J,MATCH('IP from start'!$A$1,database!$A$1:$J$1,),)</f>
        <v>48.4863</v>
      </c>
      <c r="C769" s="33">
        <f>(Table10[[#This Row],[Industrial Production ]]-B757)/B757</f>
        <v>-6.3544394743551155E-2</v>
      </c>
      <c r="D769" s="34">
        <f t="shared" si="11"/>
        <v>-1.7856576627196936E-2</v>
      </c>
    </row>
    <row r="770" spans="1:4" x14ac:dyDescent="0.35">
      <c r="A770" s="31">
        <v>30164</v>
      </c>
      <c r="B770" s="32">
        <f>VLOOKUP(Table10[[#This Row],[Month]],database!A:J,MATCH('IP from start'!$A$1,database!$A$1:$J$1,),)</f>
        <v>48.056899999999999</v>
      </c>
      <c r="C770" s="33">
        <f>(Table10[[#This Row],[Industrial Production ]]-B758)/B758</f>
        <v>-7.0698026991330959E-2</v>
      </c>
      <c r="D770" s="34">
        <f t="shared" si="11"/>
        <v>-2.8786399024013226E-2</v>
      </c>
    </row>
    <row r="771" spans="1:4" x14ac:dyDescent="0.35">
      <c r="A771" s="31">
        <v>30195</v>
      </c>
      <c r="B771" s="32">
        <f>VLOOKUP(Table10[[#This Row],[Month]],database!A:J,MATCH('IP from start'!$A$1,database!$A$1:$J$1,),)</f>
        <v>47.930300000000003</v>
      </c>
      <c r="C771" s="33">
        <f>(Table10[[#This Row],[Industrial Production ]]-B759)/B759</f>
        <v>-6.8600188494087708E-2</v>
      </c>
      <c r="D771" s="34">
        <f t="shared" si="11"/>
        <v>-3.7670078867746495E-2</v>
      </c>
    </row>
    <row r="772" spans="1:4" x14ac:dyDescent="0.35">
      <c r="A772" s="31">
        <v>30225</v>
      </c>
      <c r="B772" s="32">
        <f>VLOOKUP(Table10[[#This Row],[Month]],database!A:J,MATCH('IP from start'!$A$1,database!$A$1:$J$1,),)</f>
        <v>47.473799999999997</v>
      </c>
      <c r="C772" s="33">
        <f>(Table10[[#This Row],[Industrial Production ]]-B760)/B760</f>
        <v>-7.0280538555691607E-2</v>
      </c>
      <c r="D772" s="34">
        <f t="shared" si="11"/>
        <v>-4.4948770875806877E-2</v>
      </c>
    </row>
    <row r="773" spans="1:4" x14ac:dyDescent="0.35">
      <c r="A773" s="31">
        <v>30256</v>
      </c>
      <c r="B773" s="32">
        <f>VLOOKUP(Table10[[#This Row],[Month]],database!A:J,MATCH('IP from start'!$A$1,database!$A$1:$J$1,),)</f>
        <v>47.32</v>
      </c>
      <c r="C773" s="33">
        <f>(Table10[[#This Row],[Industrial Production ]]-B761)/B761</f>
        <v>-6.2469042854595501E-2</v>
      </c>
      <c r="D773" s="34">
        <f t="shared" si="11"/>
        <v>-4.9225873811661568E-2</v>
      </c>
    </row>
    <row r="774" spans="1:4" x14ac:dyDescent="0.35">
      <c r="A774" s="31">
        <v>30286</v>
      </c>
      <c r="B774" s="32">
        <f>VLOOKUP(Table10[[#This Row],[Month]],database!A:J,MATCH('IP from start'!$A$1,database!$A$1:$J$1,),)</f>
        <v>46.981299999999997</v>
      </c>
      <c r="C774" s="33">
        <f>(Table10[[#This Row],[Industrial Production ]]-B762)/B762</f>
        <v>-5.9177273491881704E-2</v>
      </c>
      <c r="D774" s="34">
        <f t="shared" si="11"/>
        <v>-5.1799229624968364E-2</v>
      </c>
    </row>
    <row r="775" spans="1:4" x14ac:dyDescent="0.35">
      <c r="A775" s="31">
        <v>30317</v>
      </c>
      <c r="B775" s="32">
        <f>VLOOKUP(Table10[[#This Row],[Month]],database!A:J,MATCH('IP from start'!$A$1,database!$A$1:$J$1,),)</f>
        <v>47.8523</v>
      </c>
      <c r="C775" s="33">
        <f>(Table10[[#This Row],[Industrial Production ]]-B763)/B763</f>
        <v>-2.1653438666650326E-2</v>
      </c>
      <c r="D775" s="34">
        <f t="shared" si="11"/>
        <v>-5.0088269992612629E-2</v>
      </c>
    </row>
    <row r="776" spans="1:4" x14ac:dyDescent="0.35">
      <c r="A776" s="31">
        <v>30348</v>
      </c>
      <c r="B776" s="32">
        <f>VLOOKUP(Table10[[#This Row],[Month]],database!A:J,MATCH('IP from start'!$A$1,database!$A$1:$J$1,),)</f>
        <v>47.566699999999997</v>
      </c>
      <c r="C776" s="33">
        <f>(Table10[[#This Row],[Industrial Production ]]-B764)/B764</f>
        <v>-4.6954329976638155E-2</v>
      </c>
      <c r="D776" s="34">
        <f t="shared" si="11"/>
        <v>-5.2452294974381079E-2</v>
      </c>
    </row>
    <row r="777" spans="1:4" x14ac:dyDescent="0.35">
      <c r="A777" s="31">
        <v>30376</v>
      </c>
      <c r="B777" s="32">
        <f>VLOOKUP(Table10[[#This Row],[Month]],database!A:J,MATCH('IP from start'!$A$1,database!$A$1:$J$1,),)</f>
        <v>47.959899999999998</v>
      </c>
      <c r="C777" s="33">
        <f>(Table10[[#This Row],[Industrial Production ]]-B765)/B765</f>
        <v>-3.2463772793938188E-2</v>
      </c>
      <c r="D777" s="34">
        <f t="shared" si="11"/>
        <v>-5.2644110895735986E-2</v>
      </c>
    </row>
    <row r="778" spans="1:4" x14ac:dyDescent="0.35">
      <c r="A778" s="31">
        <v>30407</v>
      </c>
      <c r="B778" s="32">
        <f>VLOOKUP(Table10[[#This Row],[Month]],database!A:J,MATCH('IP from start'!$A$1,database!$A$1:$J$1,),)</f>
        <v>48.556399999999996</v>
      </c>
      <c r="C778" s="33">
        <f>(Table10[[#This Row],[Industrial Production ]]-B766)/B766</f>
        <v>-1.1365255952405322E-2</v>
      </c>
      <c r="D778" s="34">
        <f t="shared" si="11"/>
        <v>-5.0689654434049568E-2</v>
      </c>
    </row>
    <row r="779" spans="1:4" x14ac:dyDescent="0.35">
      <c r="A779" s="31">
        <v>30437</v>
      </c>
      <c r="B779" s="32">
        <f>VLOOKUP(Table10[[#This Row],[Month]],database!A:J,MATCH('IP from start'!$A$1,database!$A$1:$J$1,),)</f>
        <v>48.864699999999999</v>
      </c>
      <c r="C779" s="33">
        <f>(Table10[[#This Row],[Industrial Production ]]-B767)/B767</f>
        <v>1.7260995684750177E-3</v>
      </c>
      <c r="D779" s="34">
        <f t="shared" si="11"/>
        <v>-4.6640712774946129E-2</v>
      </c>
    </row>
    <row r="780" spans="1:4" x14ac:dyDescent="0.35">
      <c r="A780" s="31">
        <v>30468</v>
      </c>
      <c r="B780" s="32">
        <f>VLOOKUP(Table10[[#This Row],[Month]],database!A:J,MATCH('IP from start'!$A$1,database!$A$1:$J$1,),)</f>
        <v>49.155799999999999</v>
      </c>
      <c r="C780" s="33">
        <f>(Table10[[#This Row],[Industrial Production ]]-B768)/B768</f>
        <v>1.0176611056994713E-2</v>
      </c>
      <c r="D780" s="34">
        <f t="shared" si="11"/>
        <v>-4.1275295991275072E-2</v>
      </c>
    </row>
    <row r="781" spans="1:4" x14ac:dyDescent="0.35">
      <c r="A781" s="31">
        <v>30498</v>
      </c>
      <c r="B781" s="32">
        <f>VLOOKUP(Table10[[#This Row],[Month]],database!A:J,MATCH('IP from start'!$A$1,database!$A$1:$J$1,),)</f>
        <v>49.887300000000003</v>
      </c>
      <c r="C781" s="33">
        <f>(Table10[[#This Row],[Industrial Production ]]-B769)/B769</f>
        <v>2.8894759963123674E-2</v>
      </c>
      <c r="D781" s="34">
        <f t="shared" si="11"/>
        <v>-3.357203309905217E-2</v>
      </c>
    </row>
    <row r="782" spans="1:4" x14ac:dyDescent="0.35">
      <c r="A782" s="31">
        <v>30529</v>
      </c>
      <c r="B782" s="32">
        <f>VLOOKUP(Table10[[#This Row],[Month]],database!A:J,MATCH('IP from start'!$A$1,database!$A$1:$J$1,),)</f>
        <v>50.484299999999998</v>
      </c>
      <c r="C782" s="33">
        <f>(Table10[[#This Row],[Industrial Production ]]-B770)/B770</f>
        <v>5.051095680328941E-2</v>
      </c>
      <c r="D782" s="34">
        <f t="shared" si="11"/>
        <v>-2.3471284449500477E-2</v>
      </c>
    </row>
    <row r="783" spans="1:4" x14ac:dyDescent="0.35">
      <c r="A783" s="31">
        <v>30560</v>
      </c>
      <c r="B783" s="32">
        <f>VLOOKUP(Table10[[#This Row],[Month]],database!A:J,MATCH('IP from start'!$A$1,database!$A$1:$J$1,),)</f>
        <v>51.216000000000001</v>
      </c>
      <c r="C783" s="33">
        <f>(Table10[[#This Row],[Industrial Production ]]-B771)/B771</f>
        <v>6.8551626006930863E-2</v>
      </c>
      <c r="D783" s="34">
        <f t="shared" si="11"/>
        <v>-1.20419665744156E-2</v>
      </c>
    </row>
    <row r="784" spans="1:4" x14ac:dyDescent="0.35">
      <c r="A784" s="31">
        <v>30590</v>
      </c>
      <c r="B784" s="32">
        <f>VLOOKUP(Table10[[#This Row],[Month]],database!A:J,MATCH('IP from start'!$A$1,database!$A$1:$J$1,),)</f>
        <v>51.613900000000001</v>
      </c>
      <c r="C784" s="33">
        <f>(Table10[[#This Row],[Industrial Production ]]-B772)/B772</f>
        <v>8.7208102153187736E-2</v>
      </c>
      <c r="D784" s="34">
        <f t="shared" si="11"/>
        <v>1.0820868179910205E-3</v>
      </c>
    </row>
    <row r="785" spans="1:4" x14ac:dyDescent="0.35">
      <c r="A785" s="31">
        <v>30621</v>
      </c>
      <c r="B785" s="32">
        <f>VLOOKUP(Table10[[#This Row],[Month]],database!A:J,MATCH('IP from start'!$A$1,database!$A$1:$J$1,),)</f>
        <v>51.841999999999999</v>
      </c>
      <c r="C785" s="33">
        <f>(Table10[[#This Row],[Industrial Production ]]-B773)/B773</f>
        <v>9.5562130177514762E-2</v>
      </c>
      <c r="D785" s="34">
        <f t="shared" si="11"/>
        <v>1.4251351237333542E-2</v>
      </c>
    </row>
    <row r="786" spans="1:4" x14ac:dyDescent="0.35">
      <c r="A786" s="31">
        <v>30651</v>
      </c>
      <c r="B786" s="32">
        <f>VLOOKUP(Table10[[#This Row],[Month]],database!A:J,MATCH('IP from start'!$A$1,database!$A$1:$J$1,),)</f>
        <v>52.094799999999999</v>
      </c>
      <c r="C786" s="33">
        <f>(Table10[[#This Row],[Industrial Production ]]-B774)/B774</f>
        <v>0.10884117723434648</v>
      </c>
      <c r="D786" s="34">
        <f t="shared" si="11"/>
        <v>2.8252888797852555E-2</v>
      </c>
    </row>
    <row r="787" spans="1:4" x14ac:dyDescent="0.35">
      <c r="A787" s="31">
        <v>30682</v>
      </c>
      <c r="B787" s="32">
        <f>VLOOKUP(Table10[[#This Row],[Month]],database!A:J,MATCH('IP from start'!$A$1,database!$A$1:$J$1,),)</f>
        <v>53.134799999999998</v>
      </c>
      <c r="C787" s="33">
        <f>(Table10[[#This Row],[Industrial Production ]]-B775)/B775</f>
        <v>0.11039176800279191</v>
      </c>
      <c r="D787" s="34">
        <f t="shared" si="11"/>
        <v>3.925665602030607E-2</v>
      </c>
    </row>
    <row r="788" spans="1:4" x14ac:dyDescent="0.35">
      <c r="A788" s="31">
        <v>30713</v>
      </c>
      <c r="B788" s="32">
        <f>VLOOKUP(Table10[[#This Row],[Month]],database!A:J,MATCH('IP from start'!$A$1,database!$A$1:$J$1,),)</f>
        <v>53.376300000000001</v>
      </c>
      <c r="C788" s="33">
        <f>(Table10[[#This Row],[Industrial Production ]]-B776)/B776</f>
        <v>0.12213586395524607</v>
      </c>
      <c r="D788" s="34">
        <f t="shared" si="11"/>
        <v>5.3347505514629766E-2</v>
      </c>
    </row>
    <row r="789" spans="1:4" x14ac:dyDescent="0.35">
      <c r="A789" s="31">
        <v>30742</v>
      </c>
      <c r="B789" s="32">
        <f>VLOOKUP(Table10[[#This Row],[Month]],database!A:J,MATCH('IP from start'!$A$1,database!$A$1:$J$1,),)</f>
        <v>53.631399999999999</v>
      </c>
      <c r="C789" s="33">
        <f>(Table10[[#This Row],[Industrial Production ]]-B777)/B777</f>
        <v>0.11825504223319903</v>
      </c>
      <c r="D789" s="34">
        <f t="shared" si="11"/>
        <v>6.5907406766891205E-2</v>
      </c>
    </row>
    <row r="790" spans="1:4" x14ac:dyDescent="0.35">
      <c r="A790" s="31">
        <v>30773</v>
      </c>
      <c r="B790" s="32">
        <f>VLOOKUP(Table10[[#This Row],[Month]],database!A:J,MATCH('IP from start'!$A$1,database!$A$1:$J$1,),)</f>
        <v>53.949100000000001</v>
      </c>
      <c r="C790" s="33">
        <f>(Table10[[#This Row],[Industrial Production ]]-B778)/B778</f>
        <v>0.11106053990823053</v>
      </c>
      <c r="D790" s="34">
        <f t="shared" si="11"/>
        <v>7.6109556421944183E-2</v>
      </c>
    </row>
    <row r="791" spans="1:4" x14ac:dyDescent="0.35">
      <c r="A791" s="31">
        <v>30803</v>
      </c>
      <c r="B791" s="32">
        <f>VLOOKUP(Table10[[#This Row],[Month]],database!A:J,MATCH('IP from start'!$A$1,database!$A$1:$J$1,),)</f>
        <v>54.239600000000003</v>
      </c>
      <c r="C791" s="33">
        <f>(Table10[[#This Row],[Industrial Production ]]-B779)/B779</f>
        <v>0.10999555916643311</v>
      </c>
      <c r="D791" s="34">
        <f t="shared" si="11"/>
        <v>8.513201138844069E-2</v>
      </c>
    </row>
    <row r="792" spans="1:4" x14ac:dyDescent="0.35">
      <c r="A792" s="31">
        <v>30834</v>
      </c>
      <c r="B792" s="32">
        <f>VLOOKUP(Table10[[#This Row],[Month]],database!A:J,MATCH('IP from start'!$A$1,database!$A$1:$J$1,),)</f>
        <v>54.428800000000003</v>
      </c>
      <c r="C792" s="33">
        <f>(Table10[[#This Row],[Industrial Production ]]-B780)/B780</f>
        <v>0.10727116637304251</v>
      </c>
      <c r="D792" s="34">
        <f t="shared" si="11"/>
        <v>9.3223224331444685E-2</v>
      </c>
    </row>
    <row r="793" spans="1:4" x14ac:dyDescent="0.35">
      <c r="A793" s="31">
        <v>30864</v>
      </c>
      <c r="B793" s="32">
        <f>VLOOKUP(Table10[[#This Row],[Month]],database!A:J,MATCH('IP from start'!$A$1,database!$A$1:$J$1,),)</f>
        <v>54.586500000000001</v>
      </c>
      <c r="C793" s="33">
        <f>(Table10[[#This Row],[Industrial Production ]]-B781)/B781</f>
        <v>9.4196318501903242E-2</v>
      </c>
      <c r="D793" s="34">
        <f t="shared" si="11"/>
        <v>9.8665020876342976E-2</v>
      </c>
    </row>
    <row r="794" spans="1:4" x14ac:dyDescent="0.35">
      <c r="A794" s="31">
        <v>30895</v>
      </c>
      <c r="B794" s="32">
        <f>VLOOKUP(Table10[[#This Row],[Month]],database!A:J,MATCH('IP from start'!$A$1,database!$A$1:$J$1,),)</f>
        <v>54.652999999999999</v>
      </c>
      <c r="C794" s="33">
        <f>(Table10[[#This Row],[Industrial Production ]]-B782)/B782</f>
        <v>8.2574186430236757E-2</v>
      </c>
      <c r="D794" s="34">
        <f t="shared" si="11"/>
        <v>0.10133695667858859</v>
      </c>
    </row>
    <row r="795" spans="1:4" x14ac:dyDescent="0.35">
      <c r="A795" s="31">
        <v>30926</v>
      </c>
      <c r="B795" s="32">
        <f>VLOOKUP(Table10[[#This Row],[Month]],database!A:J,MATCH('IP from start'!$A$1,database!$A$1:$J$1,),)</f>
        <v>54.494900000000001</v>
      </c>
      <c r="C795" s="33">
        <f>(Table10[[#This Row],[Industrial Production ]]-B783)/B783</f>
        <v>6.4021009059668857E-2</v>
      </c>
      <c r="D795" s="34">
        <f t="shared" si="11"/>
        <v>0.10095940526631675</v>
      </c>
    </row>
    <row r="796" spans="1:4" x14ac:dyDescent="0.35">
      <c r="A796" s="31">
        <v>30956</v>
      </c>
      <c r="B796" s="32">
        <f>VLOOKUP(Table10[[#This Row],[Month]],database!A:J,MATCH('IP from start'!$A$1,database!$A$1:$J$1,),)</f>
        <v>54.477200000000003</v>
      </c>
      <c r="C796" s="33">
        <f>(Table10[[#This Row],[Industrial Production ]]-B784)/B784</f>
        <v>5.5475366131991624E-2</v>
      </c>
      <c r="D796" s="34">
        <f t="shared" si="11"/>
        <v>9.8315010597883723E-2</v>
      </c>
    </row>
    <row r="797" spans="1:4" x14ac:dyDescent="0.35">
      <c r="A797" s="31">
        <v>30987</v>
      </c>
      <c r="B797" s="32">
        <f>VLOOKUP(Table10[[#This Row],[Month]],database!A:J,MATCH('IP from start'!$A$1,database!$A$1:$J$1,),)</f>
        <v>54.659399999999998</v>
      </c>
      <c r="C797" s="33">
        <f>(Table10[[#This Row],[Industrial Production ]]-B785)/B785</f>
        <v>5.434589714902973E-2</v>
      </c>
      <c r="D797" s="34">
        <f t="shared" si="11"/>
        <v>9.488032451217665E-2</v>
      </c>
    </row>
    <row r="798" spans="1:4" x14ac:dyDescent="0.35">
      <c r="A798" s="31">
        <v>31017</v>
      </c>
      <c r="B798" s="32">
        <f>VLOOKUP(Table10[[#This Row],[Month]],database!A:J,MATCH('IP from start'!$A$1,database!$A$1:$J$1,),)</f>
        <v>54.6892</v>
      </c>
      <c r="C798" s="33">
        <f>(Table10[[#This Row],[Industrial Production ]]-B786)/B786</f>
        <v>4.9801515698303864E-2</v>
      </c>
      <c r="D798" s="34">
        <f t="shared" ref="D798:D861" si="12">AVERAGE(C787:C798)</f>
        <v>8.996035271750645E-2</v>
      </c>
    </row>
    <row r="799" spans="1:4" x14ac:dyDescent="0.35">
      <c r="A799" s="31">
        <v>31048</v>
      </c>
      <c r="B799" s="32">
        <f>VLOOKUP(Table10[[#This Row],[Month]],database!A:J,MATCH('IP from start'!$A$1,database!$A$1:$J$1,),)</f>
        <v>54.650500000000001</v>
      </c>
      <c r="C799" s="33">
        <f>(Table10[[#This Row],[Industrial Production ]]-B787)/B787</f>
        <v>2.8525561402320185E-2</v>
      </c>
      <c r="D799" s="34">
        <f t="shared" si="12"/>
        <v>8.3138168834133802E-2</v>
      </c>
    </row>
    <row r="800" spans="1:4" x14ac:dyDescent="0.35">
      <c r="A800" s="31">
        <v>31079</v>
      </c>
      <c r="B800" s="32">
        <f>VLOOKUP(Table10[[#This Row],[Month]],database!A:J,MATCH('IP from start'!$A$1,database!$A$1:$J$1,),)</f>
        <v>54.816899999999997</v>
      </c>
      <c r="C800" s="33">
        <f>(Table10[[#This Row],[Industrial Production ]]-B788)/B788</f>
        <v>2.6989506578762416E-2</v>
      </c>
      <c r="D800" s="34">
        <f t="shared" si="12"/>
        <v>7.5209305719426828E-2</v>
      </c>
    </row>
    <row r="801" spans="1:4" x14ac:dyDescent="0.35">
      <c r="A801" s="31">
        <v>31107</v>
      </c>
      <c r="B801" s="32">
        <f>VLOOKUP(Table10[[#This Row],[Month]],database!A:J,MATCH('IP from start'!$A$1,database!$A$1:$J$1,),)</f>
        <v>54.897799999999997</v>
      </c>
      <c r="C801" s="33">
        <f>(Table10[[#This Row],[Industrial Production ]]-B789)/B789</f>
        <v>2.3613032663700694E-2</v>
      </c>
      <c r="D801" s="34">
        <f t="shared" si="12"/>
        <v>6.7322471588635302E-2</v>
      </c>
    </row>
    <row r="802" spans="1:4" x14ac:dyDescent="0.35">
      <c r="A802" s="31">
        <v>31138</v>
      </c>
      <c r="B802" s="32">
        <f>VLOOKUP(Table10[[#This Row],[Month]],database!A:J,MATCH('IP from start'!$A$1,database!$A$1:$J$1,),)</f>
        <v>54.783299999999997</v>
      </c>
      <c r="C802" s="33">
        <f>(Table10[[#This Row],[Industrial Production ]]-B790)/B790</f>
        <v>1.5462723196494391E-2</v>
      </c>
      <c r="D802" s="34">
        <f t="shared" si="12"/>
        <v>5.9355986862657285E-2</v>
      </c>
    </row>
    <row r="803" spans="1:4" x14ac:dyDescent="0.35">
      <c r="A803" s="31">
        <v>31168</v>
      </c>
      <c r="B803" s="32">
        <f>VLOOKUP(Table10[[#This Row],[Month]],database!A:J,MATCH('IP from start'!$A$1,database!$A$1:$J$1,),)</f>
        <v>54.870399999999997</v>
      </c>
      <c r="C803" s="33">
        <f>(Table10[[#This Row],[Industrial Production ]]-B791)/B791</f>
        <v>1.1629879276395725E-2</v>
      </c>
      <c r="D803" s="34">
        <f t="shared" si="12"/>
        <v>5.1158846871820839E-2</v>
      </c>
    </row>
    <row r="804" spans="1:4" x14ac:dyDescent="0.35">
      <c r="A804" s="31">
        <v>31199</v>
      </c>
      <c r="B804" s="32">
        <f>VLOOKUP(Table10[[#This Row],[Month]],database!A:J,MATCH('IP from start'!$A$1,database!$A$1:$J$1,),)</f>
        <v>54.8401</v>
      </c>
      <c r="C804" s="33">
        <f>(Table10[[#This Row],[Industrial Production ]]-B792)/B792</f>
        <v>7.5566611793755709E-3</v>
      </c>
      <c r="D804" s="34">
        <f t="shared" si="12"/>
        <v>4.2849304772348586E-2</v>
      </c>
    </row>
    <row r="805" spans="1:4" x14ac:dyDescent="0.35">
      <c r="A805" s="31">
        <v>31229</v>
      </c>
      <c r="B805" s="32">
        <f>VLOOKUP(Table10[[#This Row],[Month]],database!A:J,MATCH('IP from start'!$A$1,database!$A$1:$J$1,),)</f>
        <v>54.558199999999999</v>
      </c>
      <c r="C805" s="33">
        <f>(Table10[[#This Row],[Industrial Production ]]-B793)/B793</f>
        <v>-5.184432048217333E-4</v>
      </c>
      <c r="D805" s="34">
        <f t="shared" si="12"/>
        <v>3.4956407963454846E-2</v>
      </c>
    </row>
    <row r="806" spans="1:4" x14ac:dyDescent="0.35">
      <c r="A806" s="31">
        <v>31260</v>
      </c>
      <c r="B806" s="32">
        <f>VLOOKUP(Table10[[#This Row],[Month]],database!A:J,MATCH('IP from start'!$A$1,database!$A$1:$J$1,),)</f>
        <v>54.738100000000003</v>
      </c>
      <c r="C806" s="33">
        <f>(Table10[[#This Row],[Industrial Production ]]-B794)/B794</f>
        <v>1.5570965912210524E-3</v>
      </c>
      <c r="D806" s="34">
        <f t="shared" si="12"/>
        <v>2.8204983810203536E-2</v>
      </c>
    </row>
    <row r="807" spans="1:4" x14ac:dyDescent="0.35">
      <c r="A807" s="31">
        <v>31291</v>
      </c>
      <c r="B807" s="32">
        <f>VLOOKUP(Table10[[#This Row],[Month]],database!A:J,MATCH('IP from start'!$A$1,database!$A$1:$J$1,),)</f>
        <v>54.941600000000001</v>
      </c>
      <c r="C807" s="33">
        <f>(Table10[[#This Row],[Industrial Production ]]-B795)/B795</f>
        <v>8.1970973430541185E-3</v>
      </c>
      <c r="D807" s="34">
        <f t="shared" si="12"/>
        <v>2.3552991167152305E-2</v>
      </c>
    </row>
    <row r="808" spans="1:4" x14ac:dyDescent="0.35">
      <c r="A808" s="31">
        <v>31321</v>
      </c>
      <c r="B808" s="32">
        <f>VLOOKUP(Table10[[#This Row],[Month]],database!A:J,MATCH('IP from start'!$A$1,database!$A$1:$J$1,),)</f>
        <v>54.753799999999998</v>
      </c>
      <c r="C808" s="33">
        <f>(Table10[[#This Row],[Industrial Production ]]-B796)/B796</f>
        <v>5.07735346163156E-3</v>
      </c>
      <c r="D808" s="34">
        <f t="shared" si="12"/>
        <v>1.935315677795563E-2</v>
      </c>
    </row>
    <row r="809" spans="1:4" x14ac:dyDescent="0.35">
      <c r="A809" s="31">
        <v>31352</v>
      </c>
      <c r="B809" s="32">
        <f>VLOOKUP(Table10[[#This Row],[Month]],database!A:J,MATCH('IP from start'!$A$1,database!$A$1:$J$1,),)</f>
        <v>54.939</v>
      </c>
      <c r="C809" s="33">
        <f>(Table10[[#This Row],[Industrial Production ]]-B797)/B797</f>
        <v>5.1153141088266995E-3</v>
      </c>
      <c r="D809" s="34">
        <f t="shared" si="12"/>
        <v>1.5250608191272046E-2</v>
      </c>
    </row>
    <row r="810" spans="1:4" x14ac:dyDescent="0.35">
      <c r="A810" s="31">
        <v>31382</v>
      </c>
      <c r="B810" s="32">
        <f>VLOOKUP(Table10[[#This Row],[Month]],database!A:J,MATCH('IP from start'!$A$1,database!$A$1:$J$1,),)</f>
        <v>55.494500000000002</v>
      </c>
      <c r="C810" s="33">
        <f>(Table10[[#This Row],[Industrial Production ]]-B798)/B798</f>
        <v>1.4725027976273241E-2</v>
      </c>
      <c r="D810" s="34">
        <f t="shared" si="12"/>
        <v>1.2327567547769494E-2</v>
      </c>
    </row>
    <row r="811" spans="1:4" x14ac:dyDescent="0.35">
      <c r="A811" s="31">
        <v>31413</v>
      </c>
      <c r="B811" s="32">
        <f>VLOOKUP(Table10[[#This Row],[Month]],database!A:J,MATCH('IP from start'!$A$1,database!$A$1:$J$1,),)</f>
        <v>55.780200000000001</v>
      </c>
      <c r="C811" s="33">
        <f>(Table10[[#This Row],[Industrial Production ]]-B799)/B799</f>
        <v>2.0671357078160302E-2</v>
      </c>
      <c r="D811" s="34">
        <f t="shared" si="12"/>
        <v>1.167305052075617E-2</v>
      </c>
    </row>
    <row r="812" spans="1:4" x14ac:dyDescent="0.35">
      <c r="A812" s="31">
        <v>31444</v>
      </c>
      <c r="B812" s="32">
        <f>VLOOKUP(Table10[[#This Row],[Month]],database!A:J,MATCH('IP from start'!$A$1,database!$A$1:$J$1,),)</f>
        <v>55.3994</v>
      </c>
      <c r="C812" s="33">
        <f>(Table10[[#This Row],[Industrial Production ]]-B800)/B800</f>
        <v>1.0626284959565448E-2</v>
      </c>
      <c r="D812" s="34">
        <f t="shared" si="12"/>
        <v>1.0309448719156421E-2</v>
      </c>
    </row>
    <row r="813" spans="1:4" x14ac:dyDescent="0.35">
      <c r="A813" s="31">
        <v>31472</v>
      </c>
      <c r="B813" s="32">
        <f>VLOOKUP(Table10[[#This Row],[Month]],database!A:J,MATCH('IP from start'!$A$1,database!$A$1:$J$1,),)</f>
        <v>55.000100000000003</v>
      </c>
      <c r="C813" s="33">
        <f>(Table10[[#This Row],[Industrial Production ]]-B801)/B801</f>
        <v>1.8634626524197094E-3</v>
      </c>
      <c r="D813" s="34">
        <f t="shared" si="12"/>
        <v>8.4969845515496731E-3</v>
      </c>
    </row>
    <row r="814" spans="1:4" x14ac:dyDescent="0.35">
      <c r="A814" s="31">
        <v>31503</v>
      </c>
      <c r="B814" s="32">
        <f>VLOOKUP(Table10[[#This Row],[Month]],database!A:J,MATCH('IP from start'!$A$1,database!$A$1:$J$1,),)</f>
        <v>55.064100000000003</v>
      </c>
      <c r="C814" s="33">
        <f>(Table10[[#This Row],[Industrial Production ]]-B802)/B802</f>
        <v>5.1256496048979593E-3</v>
      </c>
      <c r="D814" s="34">
        <f t="shared" si="12"/>
        <v>7.6355617522499706E-3</v>
      </c>
    </row>
    <row r="815" spans="1:4" x14ac:dyDescent="0.35">
      <c r="A815" s="31">
        <v>31533</v>
      </c>
      <c r="B815" s="32">
        <f>VLOOKUP(Table10[[#This Row],[Month]],database!A:J,MATCH('IP from start'!$A$1,database!$A$1:$J$1,),)</f>
        <v>55.170499999999997</v>
      </c>
      <c r="C815" s="33">
        <f>(Table10[[#This Row],[Industrial Production ]]-B803)/B803</f>
        <v>5.4692511809646092E-3</v>
      </c>
      <c r="D815" s="34">
        <f t="shared" si="12"/>
        <v>7.1221760776307118E-3</v>
      </c>
    </row>
    <row r="816" spans="1:4" x14ac:dyDescent="0.35">
      <c r="A816" s="31">
        <v>31564</v>
      </c>
      <c r="B816" s="32">
        <f>VLOOKUP(Table10[[#This Row],[Month]],database!A:J,MATCH('IP from start'!$A$1,database!$A$1:$J$1,),)</f>
        <v>54.958799999999997</v>
      </c>
      <c r="C816" s="33">
        <f>(Table10[[#This Row],[Industrial Production ]]-B804)/B804</f>
        <v>2.1644745359690612E-3</v>
      </c>
      <c r="D816" s="34">
        <f t="shared" si="12"/>
        <v>6.6728271906801697E-3</v>
      </c>
    </row>
    <row r="817" spans="1:4" x14ac:dyDescent="0.35">
      <c r="A817" s="31">
        <v>31594</v>
      </c>
      <c r="B817" s="32">
        <f>VLOOKUP(Table10[[#This Row],[Month]],database!A:J,MATCH('IP from start'!$A$1,database!$A$1:$J$1,),)</f>
        <v>55.294400000000003</v>
      </c>
      <c r="C817" s="33">
        <f>(Table10[[#This Row],[Industrial Production ]]-B805)/B805</f>
        <v>1.349384693776561E-2</v>
      </c>
      <c r="D817" s="34">
        <f t="shared" si="12"/>
        <v>7.8405180358957806E-3</v>
      </c>
    </row>
    <row r="818" spans="1:4" x14ac:dyDescent="0.35">
      <c r="A818" s="31">
        <v>31625</v>
      </c>
      <c r="B818" s="32">
        <f>VLOOKUP(Table10[[#This Row],[Month]],database!A:J,MATCH('IP from start'!$A$1,database!$A$1:$J$1,),)</f>
        <v>55.2029</v>
      </c>
      <c r="C818" s="33">
        <f>(Table10[[#This Row],[Industrial Production ]]-B806)/B806</f>
        <v>8.4913433239370163E-3</v>
      </c>
      <c r="D818" s="34">
        <f t="shared" si="12"/>
        <v>8.4183719302887774E-3</v>
      </c>
    </row>
    <row r="819" spans="1:4" x14ac:dyDescent="0.35">
      <c r="A819" s="31">
        <v>31656</v>
      </c>
      <c r="B819" s="32">
        <f>VLOOKUP(Table10[[#This Row],[Month]],database!A:J,MATCH('IP from start'!$A$1,database!$A$1:$J$1,),)</f>
        <v>55.351100000000002</v>
      </c>
      <c r="C819" s="33">
        <f>(Table10[[#This Row],[Industrial Production ]]-B807)/B807</f>
        <v>7.4533686678218561E-3</v>
      </c>
      <c r="D819" s="34">
        <f t="shared" si="12"/>
        <v>8.3563945406860893E-3</v>
      </c>
    </row>
    <row r="820" spans="1:4" x14ac:dyDescent="0.35">
      <c r="A820" s="31">
        <v>31686</v>
      </c>
      <c r="B820" s="32">
        <f>VLOOKUP(Table10[[#This Row],[Month]],database!A:J,MATCH('IP from start'!$A$1,database!$A$1:$J$1,),)</f>
        <v>55.585700000000003</v>
      </c>
      <c r="C820" s="33">
        <f>(Table10[[#This Row],[Industrial Production ]]-B808)/B808</f>
        <v>1.5193466024276023E-2</v>
      </c>
      <c r="D820" s="34">
        <f t="shared" si="12"/>
        <v>9.1994039209064623E-3</v>
      </c>
    </row>
    <row r="821" spans="1:4" x14ac:dyDescent="0.35">
      <c r="A821" s="31">
        <v>31717</v>
      </c>
      <c r="B821" s="32">
        <f>VLOOKUP(Table10[[#This Row],[Month]],database!A:J,MATCH('IP from start'!$A$1,database!$A$1:$J$1,),)</f>
        <v>55.802999999999997</v>
      </c>
      <c r="C821" s="33">
        <f>(Table10[[#This Row],[Industrial Production ]]-B809)/B809</f>
        <v>1.5726533063943594E-2</v>
      </c>
      <c r="D821" s="34">
        <f t="shared" si="12"/>
        <v>1.0083672167166201E-2</v>
      </c>
    </row>
    <row r="822" spans="1:4" x14ac:dyDescent="0.35">
      <c r="A822" s="31">
        <v>31747</v>
      </c>
      <c r="B822" s="32">
        <f>VLOOKUP(Table10[[#This Row],[Month]],database!A:J,MATCH('IP from start'!$A$1,database!$A$1:$J$1,),)</f>
        <v>56.344099999999997</v>
      </c>
      <c r="C822" s="33">
        <f>(Table10[[#This Row],[Industrial Production ]]-B810)/B810</f>
        <v>1.5309625278180635E-2</v>
      </c>
      <c r="D822" s="34">
        <f t="shared" si="12"/>
        <v>1.0132388608991821E-2</v>
      </c>
    </row>
    <row r="823" spans="1:4" x14ac:dyDescent="0.35">
      <c r="A823" s="31">
        <v>31778</v>
      </c>
      <c r="B823" s="32">
        <f>VLOOKUP(Table10[[#This Row],[Month]],database!A:J,MATCH('IP from start'!$A$1,database!$A$1:$J$1,),)</f>
        <v>56.125900000000001</v>
      </c>
      <c r="C823" s="33">
        <f>(Table10[[#This Row],[Industrial Production ]]-B811)/B811</f>
        <v>6.1975396287571715E-3</v>
      </c>
      <c r="D823" s="34">
        <f t="shared" si="12"/>
        <v>8.9262371548748908E-3</v>
      </c>
    </row>
    <row r="824" spans="1:4" x14ac:dyDescent="0.35">
      <c r="A824" s="31">
        <v>31809</v>
      </c>
      <c r="B824" s="32">
        <f>VLOOKUP(Table10[[#This Row],[Month]],database!A:J,MATCH('IP from start'!$A$1,database!$A$1:$J$1,),)</f>
        <v>56.877899999999997</v>
      </c>
      <c r="C824" s="33">
        <f>(Table10[[#This Row],[Industrial Production ]]-B812)/B812</f>
        <v>2.6688014671638987E-2</v>
      </c>
      <c r="D824" s="34">
        <f t="shared" si="12"/>
        <v>1.026471463088102E-2</v>
      </c>
    </row>
    <row r="825" spans="1:4" x14ac:dyDescent="0.35">
      <c r="A825" s="31">
        <v>31837</v>
      </c>
      <c r="B825" s="32">
        <f>VLOOKUP(Table10[[#This Row],[Month]],database!A:J,MATCH('IP from start'!$A$1,database!$A$1:$J$1,),)</f>
        <v>56.951599999999999</v>
      </c>
      <c r="C825" s="33">
        <f>(Table10[[#This Row],[Industrial Production ]]-B813)/B813</f>
        <v>3.5481753669538707E-2</v>
      </c>
      <c r="D825" s="34">
        <f t="shared" si="12"/>
        <v>1.3066238882307603E-2</v>
      </c>
    </row>
    <row r="826" spans="1:4" x14ac:dyDescent="0.35">
      <c r="A826" s="31">
        <v>31868</v>
      </c>
      <c r="B826" s="32">
        <f>VLOOKUP(Table10[[#This Row],[Month]],database!A:J,MATCH('IP from start'!$A$1,database!$A$1:$J$1,),)</f>
        <v>57.317700000000002</v>
      </c>
      <c r="C826" s="33">
        <f>(Table10[[#This Row],[Industrial Production ]]-B814)/B814</f>
        <v>4.0926847074591224E-2</v>
      </c>
      <c r="D826" s="34">
        <f t="shared" si="12"/>
        <v>1.604967200478204E-2</v>
      </c>
    </row>
    <row r="827" spans="1:4" x14ac:dyDescent="0.35">
      <c r="A827" s="31">
        <v>31898</v>
      </c>
      <c r="B827" s="32">
        <f>VLOOKUP(Table10[[#This Row],[Month]],database!A:J,MATCH('IP from start'!$A$1,database!$A$1:$J$1,),)</f>
        <v>57.677399999999999</v>
      </c>
      <c r="C827" s="33">
        <f>(Table10[[#This Row],[Industrial Production ]]-B815)/B815</f>
        <v>4.5439138670122656E-2</v>
      </c>
      <c r="D827" s="34">
        <f t="shared" si="12"/>
        <v>1.9380495962211881E-2</v>
      </c>
    </row>
    <row r="828" spans="1:4" x14ac:dyDescent="0.35">
      <c r="A828" s="31">
        <v>31929</v>
      </c>
      <c r="B828" s="32">
        <f>VLOOKUP(Table10[[#This Row],[Month]],database!A:J,MATCH('IP from start'!$A$1,database!$A$1:$J$1,),)</f>
        <v>57.987499999999997</v>
      </c>
      <c r="C828" s="33">
        <f>(Table10[[#This Row],[Industrial Production ]]-B816)/B816</f>
        <v>5.5108554044120336E-2</v>
      </c>
      <c r="D828" s="34">
        <f t="shared" si="12"/>
        <v>2.3792502587891156E-2</v>
      </c>
    </row>
    <row r="829" spans="1:4" x14ac:dyDescent="0.35">
      <c r="A829" s="31">
        <v>31959</v>
      </c>
      <c r="B829" s="32">
        <f>VLOOKUP(Table10[[#This Row],[Month]],database!A:J,MATCH('IP from start'!$A$1,database!$A$1:$J$1,),)</f>
        <v>58.378999999999998</v>
      </c>
      <c r="C829" s="33">
        <f>(Table10[[#This Row],[Industrial Production ]]-B817)/B817</f>
        <v>5.5785034289186512E-2</v>
      </c>
      <c r="D829" s="34">
        <f t="shared" si="12"/>
        <v>2.7316768200509562E-2</v>
      </c>
    </row>
    <row r="830" spans="1:4" x14ac:dyDescent="0.35">
      <c r="A830" s="31">
        <v>31990</v>
      </c>
      <c r="B830" s="32">
        <f>VLOOKUP(Table10[[#This Row],[Month]],database!A:J,MATCH('IP from start'!$A$1,database!$A$1:$J$1,),)</f>
        <v>58.817100000000003</v>
      </c>
      <c r="C830" s="33">
        <f>(Table10[[#This Row],[Industrial Production ]]-B818)/B818</f>
        <v>6.5471198071115899E-2</v>
      </c>
      <c r="D830" s="34">
        <f t="shared" si="12"/>
        <v>3.2065089429441133E-2</v>
      </c>
    </row>
    <row r="831" spans="1:4" x14ac:dyDescent="0.35">
      <c r="A831" s="31">
        <v>32021</v>
      </c>
      <c r="B831" s="32">
        <f>VLOOKUP(Table10[[#This Row],[Month]],database!A:J,MATCH('IP from start'!$A$1,database!$A$1:$J$1,),)</f>
        <v>59.039099999999998</v>
      </c>
      <c r="C831" s="33">
        <f>(Table10[[#This Row],[Industrial Production ]]-B819)/B819</f>
        <v>6.6629208814278224E-2</v>
      </c>
      <c r="D831" s="34">
        <f t="shared" si="12"/>
        <v>3.6996409441645832E-2</v>
      </c>
    </row>
    <row r="832" spans="1:4" x14ac:dyDescent="0.35">
      <c r="A832" s="31">
        <v>32051</v>
      </c>
      <c r="B832" s="32">
        <f>VLOOKUP(Table10[[#This Row],[Month]],database!A:J,MATCH('IP from start'!$A$1,database!$A$1:$J$1,),)</f>
        <v>59.834000000000003</v>
      </c>
      <c r="C832" s="33">
        <f>(Table10[[#This Row],[Industrial Production ]]-B820)/B820</f>
        <v>7.6427930205070729E-2</v>
      </c>
      <c r="D832" s="34">
        <f t="shared" si="12"/>
        <v>4.2099281456712066E-2</v>
      </c>
    </row>
    <row r="833" spans="1:4" x14ac:dyDescent="0.35">
      <c r="A833" s="31">
        <v>32082</v>
      </c>
      <c r="B833" s="32">
        <f>VLOOKUP(Table10[[#This Row],[Month]],database!A:J,MATCH('IP from start'!$A$1,database!$A$1:$J$1,),)</f>
        <v>60.136699999999998</v>
      </c>
      <c r="C833" s="33">
        <f>(Table10[[#This Row],[Industrial Production ]]-B821)/B821</f>
        <v>7.766069924556028E-2</v>
      </c>
      <c r="D833" s="34">
        <f t="shared" si="12"/>
        <v>4.7260461971846773E-2</v>
      </c>
    </row>
    <row r="834" spans="1:4" x14ac:dyDescent="0.35">
      <c r="A834" s="31">
        <v>32112</v>
      </c>
      <c r="B834" s="32">
        <f>VLOOKUP(Table10[[#This Row],[Month]],database!A:J,MATCH('IP from start'!$A$1,database!$A$1:$J$1,),)</f>
        <v>60.4739</v>
      </c>
      <c r="C834" s="33">
        <f>(Table10[[#This Row],[Industrial Production ]]-B822)/B822</f>
        <v>7.3296050518155464E-2</v>
      </c>
      <c r="D834" s="34">
        <f t="shared" si="12"/>
        <v>5.2092664075178013E-2</v>
      </c>
    </row>
    <row r="835" spans="1:4" x14ac:dyDescent="0.35">
      <c r="A835" s="31">
        <v>32143</v>
      </c>
      <c r="B835" s="32">
        <f>VLOOKUP(Table10[[#This Row],[Month]],database!A:J,MATCH('IP from start'!$A$1,database!$A$1:$J$1,),)</f>
        <v>60.459400000000002</v>
      </c>
      <c r="C835" s="33">
        <f>(Table10[[#This Row],[Industrial Production ]]-B823)/B823</f>
        <v>7.7210343174897875E-2</v>
      </c>
      <c r="D835" s="34">
        <f t="shared" si="12"/>
        <v>5.8010397704023074E-2</v>
      </c>
    </row>
    <row r="836" spans="1:4" x14ac:dyDescent="0.35">
      <c r="A836" s="31">
        <v>32174</v>
      </c>
      <c r="B836" s="32">
        <f>VLOOKUP(Table10[[#This Row],[Month]],database!A:J,MATCH('IP from start'!$A$1,database!$A$1:$J$1,),)</f>
        <v>60.764299999999999</v>
      </c>
      <c r="C836" s="33">
        <f>(Table10[[#This Row],[Industrial Production ]]-B824)/B824</f>
        <v>6.8328823673166589E-2</v>
      </c>
      <c r="D836" s="34">
        <f t="shared" si="12"/>
        <v>6.1480465120817035E-2</v>
      </c>
    </row>
    <row r="837" spans="1:4" x14ac:dyDescent="0.35">
      <c r="A837" s="31">
        <v>32203</v>
      </c>
      <c r="B837" s="32">
        <f>VLOOKUP(Table10[[#This Row],[Month]],database!A:J,MATCH('IP from start'!$A$1,database!$A$1:$J$1,),)</f>
        <v>60.894799999999996</v>
      </c>
      <c r="C837" s="33">
        <f>(Table10[[#This Row],[Industrial Production ]]-B825)/B825</f>
        <v>6.9237738711467239E-2</v>
      </c>
      <c r="D837" s="34">
        <f t="shared" si="12"/>
        <v>6.4293463874311077E-2</v>
      </c>
    </row>
    <row r="838" spans="1:4" x14ac:dyDescent="0.35">
      <c r="A838" s="31">
        <v>32234</v>
      </c>
      <c r="B838" s="32">
        <f>VLOOKUP(Table10[[#This Row],[Month]],database!A:J,MATCH('IP from start'!$A$1,database!$A$1:$J$1,),)</f>
        <v>61.247500000000002</v>
      </c>
      <c r="C838" s="33">
        <f>(Table10[[#This Row],[Industrial Production ]]-B826)/B826</f>
        <v>6.8561718282485168E-2</v>
      </c>
      <c r="D838" s="34">
        <f t="shared" si="12"/>
        <v>6.6596369808302247E-2</v>
      </c>
    </row>
    <row r="839" spans="1:4" x14ac:dyDescent="0.35">
      <c r="A839" s="31">
        <v>32264</v>
      </c>
      <c r="B839" s="32">
        <f>VLOOKUP(Table10[[#This Row],[Month]],database!A:J,MATCH('IP from start'!$A$1,database!$A$1:$J$1,),)</f>
        <v>61.135300000000001</v>
      </c>
      <c r="C839" s="33">
        <f>(Table10[[#This Row],[Industrial Production ]]-B827)/B827</f>
        <v>5.9952425039963703E-2</v>
      </c>
      <c r="D839" s="34">
        <f t="shared" si="12"/>
        <v>6.7805810339122322E-2</v>
      </c>
    </row>
    <row r="840" spans="1:4" x14ac:dyDescent="0.35">
      <c r="A840" s="31">
        <v>32295</v>
      </c>
      <c r="B840" s="32">
        <f>VLOOKUP(Table10[[#This Row],[Month]],database!A:J,MATCH('IP from start'!$A$1,database!$A$1:$J$1,),)</f>
        <v>61.299500000000002</v>
      </c>
      <c r="C840" s="33">
        <f>(Table10[[#This Row],[Industrial Production ]]-B828)/B828</f>
        <v>5.7115757706402329E-2</v>
      </c>
      <c r="D840" s="34">
        <f t="shared" si="12"/>
        <v>6.7973077310979166E-2</v>
      </c>
    </row>
    <row r="841" spans="1:4" x14ac:dyDescent="0.35">
      <c r="A841" s="31">
        <v>32325</v>
      </c>
      <c r="B841" s="32">
        <f>VLOOKUP(Table10[[#This Row],[Month]],database!A:J,MATCH('IP from start'!$A$1,database!$A$1:$J$1,),)</f>
        <v>61.311</v>
      </c>
      <c r="C841" s="33">
        <f>(Table10[[#This Row],[Industrial Production ]]-B829)/B829</f>
        <v>5.0223539286387266E-2</v>
      </c>
      <c r="D841" s="34">
        <f t="shared" si="12"/>
        <v>6.7509619394079221E-2</v>
      </c>
    </row>
    <row r="842" spans="1:4" x14ac:dyDescent="0.35">
      <c r="A842" s="31">
        <v>32356</v>
      </c>
      <c r="B842" s="32">
        <f>VLOOKUP(Table10[[#This Row],[Month]],database!A:J,MATCH('IP from start'!$A$1,database!$A$1:$J$1,),)</f>
        <v>61.623399999999997</v>
      </c>
      <c r="C842" s="33">
        <f>(Table10[[#This Row],[Industrial Production ]]-B830)/B830</f>
        <v>4.7712314956024571E-2</v>
      </c>
      <c r="D842" s="34">
        <f t="shared" si="12"/>
        <v>6.6029712467821619E-2</v>
      </c>
    </row>
    <row r="843" spans="1:4" x14ac:dyDescent="0.35">
      <c r="A843" s="31">
        <v>32387</v>
      </c>
      <c r="B843" s="32">
        <f>VLOOKUP(Table10[[#This Row],[Month]],database!A:J,MATCH('IP from start'!$A$1,database!$A$1:$J$1,),)</f>
        <v>61.4255</v>
      </c>
      <c r="C843" s="33">
        <f>(Table10[[#This Row],[Industrial Production ]]-B831)/B831</f>
        <v>4.0420670369297668E-2</v>
      </c>
      <c r="D843" s="34">
        <f t="shared" si="12"/>
        <v>6.3845667597406563E-2</v>
      </c>
    </row>
    <row r="844" spans="1:4" x14ac:dyDescent="0.35">
      <c r="A844" s="31">
        <v>32417</v>
      </c>
      <c r="B844" s="32">
        <f>VLOOKUP(Table10[[#This Row],[Month]],database!A:J,MATCH('IP from start'!$A$1,database!$A$1:$J$1,),)</f>
        <v>61.694000000000003</v>
      </c>
      <c r="C844" s="33">
        <f>(Table10[[#This Row],[Industrial Production ]]-B832)/B832</f>
        <v>3.1086004612761963E-2</v>
      </c>
      <c r="D844" s="34">
        <f t="shared" si="12"/>
        <v>6.0067173798047498E-2</v>
      </c>
    </row>
    <row r="845" spans="1:4" x14ac:dyDescent="0.35">
      <c r="A845" s="31">
        <v>32448</v>
      </c>
      <c r="B845" s="32">
        <f>VLOOKUP(Table10[[#This Row],[Month]],database!A:J,MATCH('IP from start'!$A$1,database!$A$1:$J$1,),)</f>
        <v>61.849400000000003</v>
      </c>
      <c r="C845" s="33">
        <f>(Table10[[#This Row],[Industrial Production ]]-B833)/B833</f>
        <v>2.848011280964877E-2</v>
      </c>
      <c r="D845" s="34">
        <f t="shared" si="12"/>
        <v>5.5968791595054884E-2</v>
      </c>
    </row>
    <row r="846" spans="1:4" x14ac:dyDescent="0.35">
      <c r="A846" s="31">
        <v>32478</v>
      </c>
      <c r="B846" s="32">
        <f>VLOOKUP(Table10[[#This Row],[Month]],database!A:J,MATCH('IP from start'!$A$1,database!$A$1:$J$1,),)</f>
        <v>62.117100000000001</v>
      </c>
      <c r="C846" s="33">
        <f>(Table10[[#This Row],[Industrial Production ]]-B834)/B834</f>
        <v>2.7172052736800508E-2</v>
      </c>
      <c r="D846" s="34">
        <f t="shared" si="12"/>
        <v>5.2125125113275307E-2</v>
      </c>
    </row>
    <row r="847" spans="1:4" x14ac:dyDescent="0.35">
      <c r="A847" s="31">
        <v>32509</v>
      </c>
      <c r="B847" s="32">
        <f>VLOOKUP(Table10[[#This Row],[Month]],database!A:J,MATCH('IP from start'!$A$1,database!$A$1:$J$1,),)</f>
        <v>62.310299999999998</v>
      </c>
      <c r="C847" s="33">
        <f>(Table10[[#This Row],[Industrial Production ]]-B835)/B835</f>
        <v>3.0613932655633298E-2</v>
      </c>
      <c r="D847" s="34">
        <f t="shared" si="12"/>
        <v>4.8242090903336581E-2</v>
      </c>
    </row>
    <row r="848" spans="1:4" x14ac:dyDescent="0.35">
      <c r="A848" s="31">
        <v>32540</v>
      </c>
      <c r="B848" s="32">
        <f>VLOOKUP(Table10[[#This Row],[Month]],database!A:J,MATCH('IP from start'!$A$1,database!$A$1:$J$1,),)</f>
        <v>62.035299999999999</v>
      </c>
      <c r="C848" s="33">
        <f>(Table10[[#This Row],[Industrial Production ]]-B836)/B836</f>
        <v>2.0916887053747033E-2</v>
      </c>
      <c r="D848" s="34">
        <f t="shared" si="12"/>
        <v>4.4291096185051636E-2</v>
      </c>
    </row>
    <row r="849" spans="1:4" x14ac:dyDescent="0.35">
      <c r="A849" s="31">
        <v>32568</v>
      </c>
      <c r="B849" s="32">
        <f>VLOOKUP(Table10[[#This Row],[Month]],database!A:J,MATCH('IP from start'!$A$1,database!$A$1:$J$1,),)</f>
        <v>62.195</v>
      </c>
      <c r="C849" s="33">
        <f>(Table10[[#This Row],[Industrial Production ]]-B837)/B837</f>
        <v>2.1351576817725058E-2</v>
      </c>
      <c r="D849" s="34">
        <f t="shared" si="12"/>
        <v>4.0300582693906441E-2</v>
      </c>
    </row>
    <row r="850" spans="1:4" x14ac:dyDescent="0.35">
      <c r="A850" s="31">
        <v>32599</v>
      </c>
      <c r="B850" s="32">
        <f>VLOOKUP(Table10[[#This Row],[Month]],database!A:J,MATCH('IP from start'!$A$1,database!$A$1:$J$1,),)</f>
        <v>62.1753</v>
      </c>
      <c r="C850" s="33">
        <f>(Table10[[#This Row],[Industrial Production ]]-B838)/B838</f>
        <v>1.5148373402996003E-2</v>
      </c>
      <c r="D850" s="34">
        <f t="shared" si="12"/>
        <v>3.5849470620615685E-2</v>
      </c>
    </row>
    <row r="851" spans="1:4" x14ac:dyDescent="0.35">
      <c r="A851" s="31">
        <v>32629</v>
      </c>
      <c r="B851" s="32">
        <f>VLOOKUP(Table10[[#This Row],[Month]],database!A:J,MATCH('IP from start'!$A$1,database!$A$1:$J$1,),)</f>
        <v>61.832099999999997</v>
      </c>
      <c r="C851" s="33">
        <f>(Table10[[#This Row],[Industrial Production ]]-B839)/B839</f>
        <v>1.1397670413001916E-2</v>
      </c>
      <c r="D851" s="34">
        <f t="shared" si="12"/>
        <v>3.1803241068368869E-2</v>
      </c>
    </row>
    <row r="852" spans="1:4" x14ac:dyDescent="0.35">
      <c r="A852" s="31">
        <v>32660</v>
      </c>
      <c r="B852" s="32">
        <f>VLOOKUP(Table10[[#This Row],[Month]],database!A:J,MATCH('IP from start'!$A$1,database!$A$1:$J$1,),)</f>
        <v>61.824599999999997</v>
      </c>
      <c r="C852" s="33">
        <f>(Table10[[#This Row],[Industrial Production ]]-B840)/B840</f>
        <v>8.5661383861205202E-3</v>
      </c>
      <c r="D852" s="34">
        <f t="shared" si="12"/>
        <v>2.7757439458345384E-2</v>
      </c>
    </row>
    <row r="853" spans="1:4" x14ac:dyDescent="0.35">
      <c r="A853" s="31">
        <v>32690</v>
      </c>
      <c r="B853" s="32">
        <f>VLOOKUP(Table10[[#This Row],[Month]],database!A:J,MATCH('IP from start'!$A$1,database!$A$1:$J$1,),)</f>
        <v>61.228499999999997</v>
      </c>
      <c r="C853" s="33">
        <f>(Table10[[#This Row],[Industrial Production ]]-B841)/B841</f>
        <v>-1.3455986690806402E-3</v>
      </c>
      <c r="D853" s="34">
        <f t="shared" si="12"/>
        <v>2.3460011295389729E-2</v>
      </c>
    </row>
    <row r="854" spans="1:4" x14ac:dyDescent="0.35">
      <c r="A854" s="31">
        <v>32721</v>
      </c>
      <c r="B854" s="32">
        <f>VLOOKUP(Table10[[#This Row],[Month]],database!A:J,MATCH('IP from start'!$A$1,database!$A$1:$J$1,),)</f>
        <v>61.833399999999997</v>
      </c>
      <c r="C854" s="33">
        <f>(Table10[[#This Row],[Industrial Production ]]-B842)/B842</f>
        <v>3.4077963890340496E-3</v>
      </c>
      <c r="D854" s="34">
        <f t="shared" si="12"/>
        <v>1.9767968081473845E-2</v>
      </c>
    </row>
    <row r="855" spans="1:4" x14ac:dyDescent="0.35">
      <c r="A855" s="31">
        <v>32752</v>
      </c>
      <c r="B855" s="32">
        <f>VLOOKUP(Table10[[#This Row],[Month]],database!A:J,MATCH('IP from start'!$A$1,database!$A$1:$J$1,),)</f>
        <v>61.622100000000003</v>
      </c>
      <c r="C855" s="33">
        <f>(Table10[[#This Row],[Industrial Production ]]-B843)/B843</f>
        <v>3.2006251475365064E-3</v>
      </c>
      <c r="D855" s="34">
        <f t="shared" si="12"/>
        <v>1.6666297646327082E-2</v>
      </c>
    </row>
    <row r="856" spans="1:4" x14ac:dyDescent="0.35">
      <c r="A856" s="31">
        <v>32782</v>
      </c>
      <c r="B856" s="32">
        <f>VLOOKUP(Table10[[#This Row],[Month]],database!A:J,MATCH('IP from start'!$A$1,database!$A$1:$J$1,),)</f>
        <v>61.553699999999999</v>
      </c>
      <c r="C856" s="33">
        <f>(Table10[[#This Row],[Industrial Production ]]-B844)/B844</f>
        <v>-2.2741271436444942E-3</v>
      </c>
      <c r="D856" s="34">
        <f t="shared" si="12"/>
        <v>1.3886286666626542E-2</v>
      </c>
    </row>
    <row r="857" spans="1:4" x14ac:dyDescent="0.35">
      <c r="A857" s="31">
        <v>32813</v>
      </c>
      <c r="B857" s="32">
        <f>VLOOKUP(Table10[[#This Row],[Month]],database!A:J,MATCH('IP from start'!$A$1,database!$A$1:$J$1,),)</f>
        <v>61.7575</v>
      </c>
      <c r="C857" s="33">
        <f>(Table10[[#This Row],[Industrial Production ]]-B845)/B845</f>
        <v>-1.4858672840804038E-3</v>
      </c>
      <c r="D857" s="34">
        <f t="shared" si="12"/>
        <v>1.138912165881578E-2</v>
      </c>
    </row>
    <row r="858" spans="1:4" x14ac:dyDescent="0.35">
      <c r="A858" s="31">
        <v>32843</v>
      </c>
      <c r="B858" s="32">
        <f>VLOOKUP(Table10[[#This Row],[Month]],database!A:J,MATCH('IP from start'!$A$1,database!$A$1:$J$1,),)</f>
        <v>62.1111</v>
      </c>
      <c r="C858" s="33">
        <f>(Table10[[#This Row],[Industrial Production ]]-B846)/B846</f>
        <v>-9.659175975697879E-5</v>
      </c>
      <c r="D858" s="34">
        <f t="shared" si="12"/>
        <v>9.1167346174359891E-3</v>
      </c>
    </row>
    <row r="859" spans="1:4" x14ac:dyDescent="0.35">
      <c r="A859" s="31">
        <v>32874</v>
      </c>
      <c r="B859" s="32">
        <f>VLOOKUP(Table10[[#This Row],[Month]],database!A:J,MATCH('IP from start'!$A$1,database!$A$1:$J$1,),)</f>
        <v>61.778100000000002</v>
      </c>
      <c r="C859" s="33">
        <f>(Table10[[#This Row],[Industrial Production ]]-B847)/B847</f>
        <v>-8.5411240196242993E-3</v>
      </c>
      <c r="D859" s="34">
        <f t="shared" si="12"/>
        <v>5.8538132278311908E-3</v>
      </c>
    </row>
    <row r="860" spans="1:4" x14ac:dyDescent="0.35">
      <c r="A860" s="31">
        <v>32905</v>
      </c>
      <c r="B860" s="32">
        <f>VLOOKUP(Table10[[#This Row],[Month]],database!A:J,MATCH('IP from start'!$A$1,database!$A$1:$J$1,),)</f>
        <v>62.342599999999997</v>
      </c>
      <c r="C860" s="33">
        <f>(Table10[[#This Row],[Industrial Production ]]-B848)/B848</f>
        <v>4.9536312389880906E-3</v>
      </c>
      <c r="D860" s="34">
        <f t="shared" si="12"/>
        <v>4.523541909934611E-3</v>
      </c>
    </row>
    <row r="861" spans="1:4" x14ac:dyDescent="0.35">
      <c r="A861" s="31">
        <v>32933</v>
      </c>
      <c r="B861" s="32">
        <f>VLOOKUP(Table10[[#This Row],[Month]],database!A:J,MATCH('IP from start'!$A$1,database!$A$1:$J$1,),)</f>
        <v>62.644599999999997</v>
      </c>
      <c r="C861" s="33">
        <f>(Table10[[#This Row],[Industrial Production ]]-B849)/B849</f>
        <v>7.2288769193664549E-3</v>
      </c>
      <c r="D861" s="34">
        <f t="shared" si="12"/>
        <v>3.3466502517380606E-3</v>
      </c>
    </row>
    <row r="862" spans="1:4" x14ac:dyDescent="0.35">
      <c r="A862" s="31">
        <v>32964</v>
      </c>
      <c r="B862" s="32">
        <f>VLOOKUP(Table10[[#This Row],[Month]],database!A:J,MATCH('IP from start'!$A$1,database!$A$1:$J$1,),)</f>
        <v>62.510399999999997</v>
      </c>
      <c r="C862" s="33">
        <f>(Table10[[#This Row],[Industrial Production ]]-B850)/B850</f>
        <v>5.3896000501806518E-3</v>
      </c>
      <c r="D862" s="34">
        <f t="shared" ref="D862:D925" si="13">AVERAGE(C851:C862)</f>
        <v>2.5334191390034475E-3</v>
      </c>
    </row>
    <row r="863" spans="1:4" x14ac:dyDescent="0.35">
      <c r="A863" s="31">
        <v>32994</v>
      </c>
      <c r="B863" s="32">
        <f>VLOOKUP(Table10[[#This Row],[Month]],database!A:J,MATCH('IP from start'!$A$1,database!$A$1:$J$1,),)</f>
        <v>62.689799999999998</v>
      </c>
      <c r="C863" s="33">
        <f>(Table10[[#This Row],[Industrial Production ]]-B851)/B851</f>
        <v>1.3871435710577536E-2</v>
      </c>
      <c r="D863" s="34">
        <f t="shared" si="13"/>
        <v>2.739566247134749E-3</v>
      </c>
    </row>
    <row r="864" spans="1:4" x14ac:dyDescent="0.35">
      <c r="A864" s="31">
        <v>33025</v>
      </c>
      <c r="B864" s="32">
        <f>VLOOKUP(Table10[[#This Row],[Month]],database!A:J,MATCH('IP from start'!$A$1,database!$A$1:$J$1,),)</f>
        <v>62.892299999999999</v>
      </c>
      <c r="C864" s="33">
        <f>(Table10[[#This Row],[Industrial Production ]]-B852)/B852</f>
        <v>1.7269824632913149E-2</v>
      </c>
      <c r="D864" s="34">
        <f t="shared" si="13"/>
        <v>3.464873434367468E-3</v>
      </c>
    </row>
    <row r="865" spans="1:4" x14ac:dyDescent="0.35">
      <c r="A865" s="31">
        <v>33055</v>
      </c>
      <c r="B865" s="32">
        <f>VLOOKUP(Table10[[#This Row],[Month]],database!A:J,MATCH('IP from start'!$A$1,database!$A$1:$J$1,),)</f>
        <v>62.793300000000002</v>
      </c>
      <c r="C865" s="33">
        <f>(Table10[[#This Row],[Industrial Production ]]-B853)/B853</f>
        <v>2.5556726034444831E-2</v>
      </c>
      <c r="D865" s="34">
        <f t="shared" si="13"/>
        <v>5.7067338263279239E-3</v>
      </c>
    </row>
    <row r="866" spans="1:4" x14ac:dyDescent="0.35">
      <c r="A866" s="31">
        <v>33086</v>
      </c>
      <c r="B866" s="32">
        <f>VLOOKUP(Table10[[#This Row],[Month]],database!A:J,MATCH('IP from start'!$A$1,database!$A$1:$J$1,),)</f>
        <v>63.024099999999997</v>
      </c>
      <c r="C866" s="33">
        <f>(Table10[[#This Row],[Industrial Production ]]-B854)/B854</f>
        <v>1.9256583011770332E-2</v>
      </c>
      <c r="D866" s="34">
        <f t="shared" si="13"/>
        <v>7.0274660448892802E-3</v>
      </c>
    </row>
    <row r="867" spans="1:4" x14ac:dyDescent="0.35">
      <c r="A867" s="31">
        <v>33117</v>
      </c>
      <c r="B867" s="32">
        <f>VLOOKUP(Table10[[#This Row],[Month]],database!A:J,MATCH('IP from start'!$A$1,database!$A$1:$J$1,),)</f>
        <v>63.032800000000002</v>
      </c>
      <c r="C867" s="33">
        <f>(Table10[[#This Row],[Industrial Production ]]-B855)/B855</f>
        <v>2.2892760876373874E-2</v>
      </c>
      <c r="D867" s="34">
        <f t="shared" si="13"/>
        <v>8.6684773556257293E-3</v>
      </c>
    </row>
    <row r="868" spans="1:4" x14ac:dyDescent="0.35">
      <c r="A868" s="31">
        <v>33147</v>
      </c>
      <c r="B868" s="32">
        <f>VLOOKUP(Table10[[#This Row],[Month]],database!A:J,MATCH('IP from start'!$A$1,database!$A$1:$J$1,),)</f>
        <v>62.646599999999999</v>
      </c>
      <c r="C868" s="33">
        <f>(Table10[[#This Row],[Industrial Production ]]-B856)/B856</f>
        <v>1.7755228361576968E-2</v>
      </c>
      <c r="D868" s="34">
        <f t="shared" si="13"/>
        <v>1.0337590314394183E-2</v>
      </c>
    </row>
    <row r="869" spans="1:4" x14ac:dyDescent="0.35">
      <c r="A869" s="31">
        <v>33178</v>
      </c>
      <c r="B869" s="32">
        <f>VLOOKUP(Table10[[#This Row],[Month]],database!A:J,MATCH('IP from start'!$A$1,database!$A$1:$J$1,),)</f>
        <v>61.868099999999998</v>
      </c>
      <c r="C869" s="33">
        <f>(Table10[[#This Row],[Industrial Production ]]-B857)/B857</f>
        <v>1.7908756021535526E-3</v>
      </c>
      <c r="D869" s="34">
        <f t="shared" si="13"/>
        <v>1.0610652221580348E-2</v>
      </c>
    </row>
    <row r="870" spans="1:4" x14ac:dyDescent="0.35">
      <c r="A870" s="31">
        <v>33208</v>
      </c>
      <c r="B870" s="32">
        <f>VLOOKUP(Table10[[#This Row],[Month]],database!A:J,MATCH('IP from start'!$A$1,database!$A$1:$J$1,),)</f>
        <v>61.4345</v>
      </c>
      <c r="C870" s="33">
        <f>(Table10[[#This Row],[Industrial Production ]]-B858)/B858</f>
        <v>-1.0893382986293923E-2</v>
      </c>
      <c r="D870" s="34">
        <f t="shared" si="13"/>
        <v>9.710919619368933E-3</v>
      </c>
    </row>
    <row r="871" spans="1:4" x14ac:dyDescent="0.35">
      <c r="A871" s="31">
        <v>33239</v>
      </c>
      <c r="B871" s="32">
        <f>VLOOKUP(Table10[[#This Row],[Month]],database!A:J,MATCH('IP from start'!$A$1,database!$A$1:$J$1,),)</f>
        <v>61.2241</v>
      </c>
      <c r="C871" s="33">
        <f>(Table10[[#This Row],[Industrial Production ]]-B859)/B859</f>
        <v>-8.9675791259362456E-3</v>
      </c>
      <c r="D871" s="34">
        <f t="shared" si="13"/>
        <v>9.67538169384294E-3</v>
      </c>
    </row>
    <row r="872" spans="1:4" x14ac:dyDescent="0.35">
      <c r="A872" s="31">
        <v>33270</v>
      </c>
      <c r="B872" s="32">
        <f>VLOOKUP(Table10[[#This Row],[Month]],database!A:J,MATCH('IP from start'!$A$1,database!$A$1:$J$1,),)</f>
        <v>60.779000000000003</v>
      </c>
      <c r="C872" s="33">
        <f>(Table10[[#This Row],[Industrial Production ]]-B860)/B860</f>
        <v>-2.5080763394532694E-2</v>
      </c>
      <c r="D872" s="34">
        <f t="shared" si="13"/>
        <v>7.1725154743828732E-3</v>
      </c>
    </row>
    <row r="873" spans="1:4" x14ac:dyDescent="0.35">
      <c r="A873" s="31">
        <v>33298</v>
      </c>
      <c r="B873" s="32">
        <f>VLOOKUP(Table10[[#This Row],[Month]],database!A:J,MATCH('IP from start'!$A$1,database!$A$1:$J$1,),)</f>
        <v>60.4377</v>
      </c>
      <c r="C873" s="33">
        <f>(Table10[[#This Row],[Industrial Production ]]-B861)/B861</f>
        <v>-3.5228894429847064E-2</v>
      </c>
      <c r="D873" s="34">
        <f t="shared" si="13"/>
        <v>3.6343678619484118E-3</v>
      </c>
    </row>
    <row r="874" spans="1:4" x14ac:dyDescent="0.35">
      <c r="A874" s="31">
        <v>33329</v>
      </c>
      <c r="B874" s="32">
        <f>VLOOKUP(Table10[[#This Row],[Month]],database!A:J,MATCH('IP from start'!$A$1,database!$A$1:$J$1,),)</f>
        <v>60.598199999999999</v>
      </c>
      <c r="C874" s="33">
        <f>(Table10[[#This Row],[Industrial Production ]]-B862)/B862</f>
        <v>-3.0590109805728304E-2</v>
      </c>
      <c r="D874" s="34">
        <f t="shared" si="13"/>
        <v>6.3605870728933398E-4</v>
      </c>
    </row>
    <row r="875" spans="1:4" x14ac:dyDescent="0.35">
      <c r="A875" s="31">
        <v>33359</v>
      </c>
      <c r="B875" s="32">
        <f>VLOOKUP(Table10[[#This Row],[Month]],database!A:J,MATCH('IP from start'!$A$1,database!$A$1:$J$1,),)</f>
        <v>61.204099999999997</v>
      </c>
      <c r="C875" s="33">
        <f>(Table10[[#This Row],[Industrial Production ]]-B863)/B863</f>
        <v>-2.3699230177796092E-2</v>
      </c>
      <c r="D875" s="34">
        <f t="shared" si="13"/>
        <v>-2.4948301167418033E-3</v>
      </c>
    </row>
    <row r="876" spans="1:4" x14ac:dyDescent="0.35">
      <c r="A876" s="31">
        <v>33390</v>
      </c>
      <c r="B876" s="32">
        <f>VLOOKUP(Table10[[#This Row],[Month]],database!A:J,MATCH('IP from start'!$A$1,database!$A$1:$J$1,),)</f>
        <v>61.692300000000003</v>
      </c>
      <c r="C876" s="33">
        <f>(Table10[[#This Row],[Industrial Production ]]-B864)/B864</f>
        <v>-1.9080237167347924E-2</v>
      </c>
      <c r="D876" s="34">
        <f t="shared" si="13"/>
        <v>-5.5240019334302252E-3</v>
      </c>
    </row>
    <row r="877" spans="1:4" x14ac:dyDescent="0.35">
      <c r="A877" s="31">
        <v>33420</v>
      </c>
      <c r="B877" s="32">
        <f>VLOOKUP(Table10[[#This Row],[Month]],database!A:J,MATCH('IP from start'!$A$1,database!$A$1:$J$1,),)</f>
        <v>61.856900000000003</v>
      </c>
      <c r="C877" s="33">
        <f>(Table10[[#This Row],[Industrial Production ]]-B865)/B865</f>
        <v>-1.4912419000116238E-2</v>
      </c>
      <c r="D877" s="34">
        <f t="shared" si="13"/>
        <v>-8.8964306863103127E-3</v>
      </c>
    </row>
    <row r="878" spans="1:4" x14ac:dyDescent="0.35">
      <c r="A878" s="31">
        <v>33451</v>
      </c>
      <c r="B878" s="32">
        <f>VLOOKUP(Table10[[#This Row],[Month]],database!A:J,MATCH('IP from start'!$A$1,database!$A$1:$J$1,),)</f>
        <v>61.868099999999998</v>
      </c>
      <c r="C878" s="33">
        <f>(Table10[[#This Row],[Industrial Production ]]-B866)/B866</f>
        <v>-1.8342189733768492E-2</v>
      </c>
      <c r="D878" s="34">
        <f t="shared" si="13"/>
        <v>-1.202966174843855E-2</v>
      </c>
    </row>
    <row r="879" spans="1:4" x14ac:dyDescent="0.35">
      <c r="A879" s="31">
        <v>33482</v>
      </c>
      <c r="B879" s="32">
        <f>VLOOKUP(Table10[[#This Row],[Month]],database!A:J,MATCH('IP from start'!$A$1,database!$A$1:$J$1,),)</f>
        <v>62.3855</v>
      </c>
      <c r="C879" s="33">
        <f>(Table10[[#This Row],[Industrial Production ]]-B867)/B867</f>
        <v>-1.0269256640986935E-2</v>
      </c>
      <c r="D879" s="34">
        <f t="shared" si="13"/>
        <v>-1.4793163208218616E-2</v>
      </c>
    </row>
    <row r="880" spans="1:4" x14ac:dyDescent="0.35">
      <c r="A880" s="31">
        <v>33512</v>
      </c>
      <c r="B880" s="32">
        <f>VLOOKUP(Table10[[#This Row],[Month]],database!A:J,MATCH('IP from start'!$A$1,database!$A$1:$J$1,),)</f>
        <v>62.322899999999997</v>
      </c>
      <c r="C880" s="33">
        <f>(Table10[[#This Row],[Industrial Production ]]-B868)/B868</f>
        <v>-5.1670800969246906E-3</v>
      </c>
      <c r="D880" s="34">
        <f t="shared" si="13"/>
        <v>-1.670335557976042E-2</v>
      </c>
    </row>
    <row r="881" spans="1:4" x14ac:dyDescent="0.35">
      <c r="A881" s="31">
        <v>33543</v>
      </c>
      <c r="B881" s="32">
        <f>VLOOKUP(Table10[[#This Row],[Month]],database!A:J,MATCH('IP from start'!$A$1,database!$A$1:$J$1,),)</f>
        <v>62.242699999999999</v>
      </c>
      <c r="C881" s="33">
        <f>(Table10[[#This Row],[Industrial Production ]]-B869)/B869</f>
        <v>6.054816617933975E-3</v>
      </c>
      <c r="D881" s="34">
        <f t="shared" si="13"/>
        <v>-1.634802716177872E-2</v>
      </c>
    </row>
    <row r="882" spans="1:4" x14ac:dyDescent="0.35">
      <c r="A882" s="31">
        <v>33573</v>
      </c>
      <c r="B882" s="32">
        <f>VLOOKUP(Table10[[#This Row],[Month]],database!A:J,MATCH('IP from start'!$A$1,database!$A$1:$J$1,),)</f>
        <v>61.970500000000001</v>
      </c>
      <c r="C882" s="33">
        <f>(Table10[[#This Row],[Industrial Production ]]-B870)/B870</f>
        <v>8.7247393565504944E-3</v>
      </c>
      <c r="D882" s="34">
        <f t="shared" si="13"/>
        <v>-1.4713183633208352E-2</v>
      </c>
    </row>
    <row r="883" spans="1:4" x14ac:dyDescent="0.35">
      <c r="A883" s="31">
        <v>33604</v>
      </c>
      <c r="B883" s="32">
        <f>VLOOKUP(Table10[[#This Row],[Month]],database!A:J,MATCH('IP from start'!$A$1,database!$A$1:$J$1,),)</f>
        <v>61.647100000000002</v>
      </c>
      <c r="C883" s="33">
        <f>(Table10[[#This Row],[Industrial Production ]]-B871)/B871</f>
        <v>6.9090439875800838E-3</v>
      </c>
      <c r="D883" s="34">
        <f t="shared" si="13"/>
        <v>-1.3390131707081991E-2</v>
      </c>
    </row>
    <row r="884" spans="1:4" x14ac:dyDescent="0.35">
      <c r="A884" s="31">
        <v>33635</v>
      </c>
      <c r="B884" s="32">
        <f>VLOOKUP(Table10[[#This Row],[Month]],database!A:J,MATCH('IP from start'!$A$1,database!$A$1:$J$1,),)</f>
        <v>62.0794</v>
      </c>
      <c r="C884" s="33">
        <f>(Table10[[#This Row],[Industrial Production ]]-B872)/B872</f>
        <v>2.1395547804340252E-2</v>
      </c>
      <c r="D884" s="34">
        <f t="shared" si="13"/>
        <v>-9.5171057738425782E-3</v>
      </c>
    </row>
    <row r="885" spans="1:4" x14ac:dyDescent="0.35">
      <c r="A885" s="31">
        <v>33664</v>
      </c>
      <c r="B885" s="32">
        <f>VLOOKUP(Table10[[#This Row],[Month]],database!A:J,MATCH('IP from start'!$A$1,database!$A$1:$J$1,),)</f>
        <v>62.595500000000001</v>
      </c>
      <c r="C885" s="33">
        <f>(Table10[[#This Row],[Industrial Production ]]-B873)/B873</f>
        <v>3.5702880817767749E-2</v>
      </c>
      <c r="D885" s="34">
        <f t="shared" si="13"/>
        <v>-3.6061245032080109E-3</v>
      </c>
    </row>
    <row r="886" spans="1:4" x14ac:dyDescent="0.35">
      <c r="A886" s="31">
        <v>33695</v>
      </c>
      <c r="B886" s="32">
        <f>VLOOKUP(Table10[[#This Row],[Month]],database!A:J,MATCH('IP from start'!$A$1,database!$A$1:$J$1,),)</f>
        <v>63.072600000000001</v>
      </c>
      <c r="C886" s="33">
        <f>(Table10[[#This Row],[Industrial Production ]]-B874)/B874</f>
        <v>4.0832896026614697E-2</v>
      </c>
      <c r="D886" s="34">
        <f t="shared" si="13"/>
        <v>2.3457926494872407E-3</v>
      </c>
    </row>
    <row r="887" spans="1:4" x14ac:dyDescent="0.35">
      <c r="A887" s="31">
        <v>33725</v>
      </c>
      <c r="B887" s="32">
        <f>VLOOKUP(Table10[[#This Row],[Month]],database!A:J,MATCH('IP from start'!$A$1,database!$A$1:$J$1,),)</f>
        <v>63.2761</v>
      </c>
      <c r="C887" s="33">
        <f>(Table10[[#This Row],[Industrial Production ]]-B875)/B875</f>
        <v>3.3853941157536878E-2</v>
      </c>
      <c r="D887" s="34">
        <f t="shared" si="13"/>
        <v>7.1418902607649866E-3</v>
      </c>
    </row>
    <row r="888" spans="1:4" x14ac:dyDescent="0.35">
      <c r="A888" s="31">
        <v>33756</v>
      </c>
      <c r="B888" s="32">
        <f>VLOOKUP(Table10[[#This Row],[Month]],database!A:J,MATCH('IP from start'!$A$1,database!$A$1:$J$1,),)</f>
        <v>63.310200000000002</v>
      </c>
      <c r="C888" s="33">
        <f>(Table10[[#This Row],[Industrial Production ]]-B876)/B876</f>
        <v>2.6225314990687632E-2</v>
      </c>
      <c r="D888" s="34">
        <f t="shared" si="13"/>
        <v>1.0917352940601284E-2</v>
      </c>
    </row>
    <row r="889" spans="1:4" x14ac:dyDescent="0.35">
      <c r="A889" s="31">
        <v>33786</v>
      </c>
      <c r="B889" s="32">
        <f>VLOOKUP(Table10[[#This Row],[Month]],database!A:J,MATCH('IP from start'!$A$1,database!$A$1:$J$1,),)</f>
        <v>63.876899999999999</v>
      </c>
      <c r="C889" s="33">
        <f>(Table10[[#This Row],[Industrial Production ]]-B877)/B877</f>
        <v>3.2656017356188172E-2</v>
      </c>
      <c r="D889" s="34">
        <f t="shared" si="13"/>
        <v>1.4881389303626652E-2</v>
      </c>
    </row>
    <row r="890" spans="1:4" x14ac:dyDescent="0.35">
      <c r="A890" s="31">
        <v>33817</v>
      </c>
      <c r="B890" s="32">
        <f>VLOOKUP(Table10[[#This Row],[Month]],database!A:J,MATCH('IP from start'!$A$1,database!$A$1:$J$1,),)</f>
        <v>63.522100000000002</v>
      </c>
      <c r="C890" s="33">
        <f>(Table10[[#This Row],[Industrial Production ]]-B878)/B878</f>
        <v>2.6734294410204994E-2</v>
      </c>
      <c r="D890" s="34">
        <f t="shared" si="13"/>
        <v>1.8637762982291108E-2</v>
      </c>
    </row>
    <row r="891" spans="1:4" x14ac:dyDescent="0.35">
      <c r="A891" s="31">
        <v>33848</v>
      </c>
      <c r="B891" s="32">
        <f>VLOOKUP(Table10[[#This Row],[Month]],database!A:J,MATCH('IP from start'!$A$1,database!$A$1:$J$1,),)</f>
        <v>63.721699999999998</v>
      </c>
      <c r="C891" s="33">
        <f>(Table10[[#This Row],[Industrial Production ]]-B879)/B879</f>
        <v>2.1418438579477572E-2</v>
      </c>
      <c r="D891" s="34">
        <f t="shared" si="13"/>
        <v>2.1278404250663154E-2</v>
      </c>
    </row>
    <row r="892" spans="1:4" x14ac:dyDescent="0.35">
      <c r="A892" s="31">
        <v>33878</v>
      </c>
      <c r="B892" s="32">
        <f>VLOOKUP(Table10[[#This Row],[Month]],database!A:J,MATCH('IP from start'!$A$1,database!$A$1:$J$1,),)</f>
        <v>64.155600000000007</v>
      </c>
      <c r="C892" s="33">
        <f>(Table10[[#This Row],[Industrial Production ]]-B880)/B880</f>
        <v>2.9406526333017397E-2</v>
      </c>
      <c r="D892" s="34">
        <f t="shared" si="13"/>
        <v>2.4159538119824991E-2</v>
      </c>
    </row>
    <row r="893" spans="1:4" x14ac:dyDescent="0.35">
      <c r="A893" s="31">
        <v>33909</v>
      </c>
      <c r="B893" s="32">
        <f>VLOOKUP(Table10[[#This Row],[Month]],database!A:J,MATCH('IP from start'!$A$1,database!$A$1:$J$1,),)</f>
        <v>64.414400000000001</v>
      </c>
      <c r="C893" s="33">
        <f>(Table10[[#This Row],[Industrial Production ]]-B881)/B881</f>
        <v>3.4890838604366474E-2</v>
      </c>
      <c r="D893" s="34">
        <f t="shared" si="13"/>
        <v>2.6562539952027699E-2</v>
      </c>
    </row>
    <row r="894" spans="1:4" x14ac:dyDescent="0.35">
      <c r="A894" s="31">
        <v>33939</v>
      </c>
      <c r="B894" s="32">
        <f>VLOOKUP(Table10[[#This Row],[Month]],database!A:J,MATCH('IP from start'!$A$1,database!$A$1:$J$1,),)</f>
        <v>64.516099999999994</v>
      </c>
      <c r="C894" s="33">
        <f>(Table10[[#This Row],[Industrial Production ]]-B882)/B882</f>
        <v>4.1077609507749545E-2</v>
      </c>
      <c r="D894" s="34">
        <f t="shared" si="13"/>
        <v>2.9258612464627617E-2</v>
      </c>
    </row>
    <row r="895" spans="1:4" x14ac:dyDescent="0.35">
      <c r="A895" s="31">
        <v>33970</v>
      </c>
      <c r="B895" s="32">
        <f>VLOOKUP(Table10[[#This Row],[Month]],database!A:J,MATCH('IP from start'!$A$1,database!$A$1:$J$1,),)</f>
        <v>64.773799999999994</v>
      </c>
      <c r="C895" s="33">
        <f>(Table10[[#This Row],[Industrial Production ]]-B883)/B883</f>
        <v>5.0719336351588193E-2</v>
      </c>
      <c r="D895" s="34">
        <f t="shared" si="13"/>
        <v>3.2909470161628297E-2</v>
      </c>
    </row>
    <row r="896" spans="1:4" x14ac:dyDescent="0.35">
      <c r="A896" s="31">
        <v>34001</v>
      </c>
      <c r="B896" s="32">
        <f>VLOOKUP(Table10[[#This Row],[Month]],database!A:J,MATCH('IP from start'!$A$1,database!$A$1:$J$1,),)</f>
        <v>65.080500000000001</v>
      </c>
      <c r="C896" s="33">
        <f>(Table10[[#This Row],[Industrial Production ]]-B884)/B884</f>
        <v>4.834292857211895E-2</v>
      </c>
      <c r="D896" s="34">
        <f t="shared" si="13"/>
        <v>3.515508522560986E-2</v>
      </c>
    </row>
    <row r="897" spans="1:4" x14ac:dyDescent="0.35">
      <c r="A897" s="31">
        <v>34029</v>
      </c>
      <c r="B897" s="32">
        <f>VLOOKUP(Table10[[#This Row],[Month]],database!A:J,MATCH('IP from start'!$A$1,database!$A$1:$J$1,),)</f>
        <v>65.017600000000002</v>
      </c>
      <c r="C897" s="33">
        <f>(Table10[[#This Row],[Industrial Production ]]-B885)/B885</f>
        <v>3.8694474842440756E-2</v>
      </c>
      <c r="D897" s="34">
        <f t="shared" si="13"/>
        <v>3.5404384727665945E-2</v>
      </c>
    </row>
    <row r="898" spans="1:4" x14ac:dyDescent="0.35">
      <c r="A898" s="31">
        <v>34060</v>
      </c>
      <c r="B898" s="32">
        <f>VLOOKUP(Table10[[#This Row],[Month]],database!A:J,MATCH('IP from start'!$A$1,database!$A$1:$J$1,),)</f>
        <v>65.204099999999997</v>
      </c>
      <c r="C898" s="33">
        <f>(Table10[[#This Row],[Industrial Production ]]-B886)/B886</f>
        <v>3.3794389322780345E-2</v>
      </c>
      <c r="D898" s="34">
        <f t="shared" si="13"/>
        <v>3.4817842502346409E-2</v>
      </c>
    </row>
    <row r="899" spans="1:4" x14ac:dyDescent="0.35">
      <c r="A899" s="31">
        <v>34090</v>
      </c>
      <c r="B899" s="32">
        <f>VLOOKUP(Table10[[#This Row],[Month]],database!A:J,MATCH('IP from start'!$A$1,database!$A$1:$J$1,),)</f>
        <v>64.943299999999994</v>
      </c>
      <c r="C899" s="33">
        <f>(Table10[[#This Row],[Industrial Production ]]-B887)/B887</f>
        <v>2.6348020816706372E-2</v>
      </c>
      <c r="D899" s="34">
        <f t="shared" si="13"/>
        <v>3.4192349140610541E-2</v>
      </c>
    </row>
    <row r="900" spans="1:4" x14ac:dyDescent="0.35">
      <c r="A900" s="31">
        <v>34121</v>
      </c>
      <c r="B900" s="32">
        <f>VLOOKUP(Table10[[#This Row],[Month]],database!A:J,MATCH('IP from start'!$A$1,database!$A$1:$J$1,),)</f>
        <v>65.098399999999998</v>
      </c>
      <c r="C900" s="33">
        <f>(Table10[[#This Row],[Industrial Production ]]-B888)/B888</f>
        <v>2.824505371962174E-2</v>
      </c>
      <c r="D900" s="34">
        <f t="shared" si="13"/>
        <v>3.4360660701355045E-2</v>
      </c>
    </row>
    <row r="901" spans="1:4" x14ac:dyDescent="0.35">
      <c r="A901" s="31">
        <v>34151</v>
      </c>
      <c r="B901" s="32">
        <f>VLOOKUP(Table10[[#This Row],[Month]],database!A:J,MATCH('IP from start'!$A$1,database!$A$1:$J$1,),)</f>
        <v>65.255399999999995</v>
      </c>
      <c r="C901" s="33">
        <f>(Table10[[#This Row],[Industrial Production ]]-B889)/B889</f>
        <v>2.1580571380264157E-2</v>
      </c>
      <c r="D901" s="34">
        <f t="shared" si="13"/>
        <v>3.343770687002804E-2</v>
      </c>
    </row>
    <row r="902" spans="1:4" x14ac:dyDescent="0.35">
      <c r="A902" s="31">
        <v>34182</v>
      </c>
      <c r="B902" s="32">
        <f>VLOOKUP(Table10[[#This Row],[Month]],database!A:J,MATCH('IP from start'!$A$1,database!$A$1:$J$1,),)</f>
        <v>65.194599999999994</v>
      </c>
      <c r="C902" s="33">
        <f>(Table10[[#This Row],[Industrial Production ]]-B890)/B890</f>
        <v>2.6329419210007105E-2</v>
      </c>
      <c r="D902" s="34">
        <f t="shared" si="13"/>
        <v>3.3403967270011548E-2</v>
      </c>
    </row>
    <row r="903" spans="1:4" x14ac:dyDescent="0.35">
      <c r="A903" s="31">
        <v>34213</v>
      </c>
      <c r="B903" s="32">
        <f>VLOOKUP(Table10[[#This Row],[Month]],database!A:J,MATCH('IP from start'!$A$1,database!$A$1:$J$1,),)</f>
        <v>65.528199999999998</v>
      </c>
      <c r="C903" s="33">
        <f>(Table10[[#This Row],[Industrial Production ]]-B891)/B891</f>
        <v>2.8349840007407208E-2</v>
      </c>
      <c r="D903" s="34">
        <f t="shared" si="13"/>
        <v>3.3981584055672351E-2</v>
      </c>
    </row>
    <row r="904" spans="1:4" x14ac:dyDescent="0.35">
      <c r="A904" s="31">
        <v>34243</v>
      </c>
      <c r="B904" s="32">
        <f>VLOOKUP(Table10[[#This Row],[Month]],database!A:J,MATCH('IP from start'!$A$1,database!$A$1:$J$1,),)</f>
        <v>66.015199999999993</v>
      </c>
      <c r="C904" s="33">
        <f>(Table10[[#This Row],[Industrial Production ]]-B892)/B892</f>
        <v>2.8985778326443615E-2</v>
      </c>
      <c r="D904" s="34">
        <f t="shared" si="13"/>
        <v>3.3946521721791197E-2</v>
      </c>
    </row>
    <row r="905" spans="1:4" x14ac:dyDescent="0.35">
      <c r="A905" s="31">
        <v>34274</v>
      </c>
      <c r="B905" s="32">
        <f>VLOOKUP(Table10[[#This Row],[Month]],database!A:J,MATCH('IP from start'!$A$1,database!$A$1:$J$1,),)</f>
        <v>66.3292</v>
      </c>
      <c r="C905" s="33">
        <f>(Table10[[#This Row],[Industrial Production ]]-B893)/B893</f>
        <v>2.972627238629871E-2</v>
      </c>
      <c r="D905" s="34">
        <f t="shared" si="13"/>
        <v>3.3516141203618885E-2</v>
      </c>
    </row>
    <row r="906" spans="1:4" x14ac:dyDescent="0.35">
      <c r="A906" s="31">
        <v>34304</v>
      </c>
      <c r="B906" s="32">
        <f>VLOOKUP(Table10[[#This Row],[Month]],database!A:J,MATCH('IP from start'!$A$1,database!$A$1:$J$1,),)</f>
        <v>66.703800000000001</v>
      </c>
      <c r="C906" s="33">
        <f>(Table10[[#This Row],[Industrial Production ]]-B894)/B894</f>
        <v>3.3909365259214473E-2</v>
      </c>
      <c r="D906" s="34">
        <f t="shared" si="13"/>
        <v>3.2918787516240965E-2</v>
      </c>
    </row>
    <row r="907" spans="1:4" x14ac:dyDescent="0.35">
      <c r="A907" s="31">
        <v>34335</v>
      </c>
      <c r="B907" s="32">
        <f>VLOOKUP(Table10[[#This Row],[Month]],database!A:J,MATCH('IP from start'!$A$1,database!$A$1:$J$1,),)</f>
        <v>66.916399999999996</v>
      </c>
      <c r="C907" s="33">
        <f>(Table10[[#This Row],[Industrial Production ]]-B895)/B895</f>
        <v>3.3078189020869578E-2</v>
      </c>
      <c r="D907" s="34">
        <f t="shared" si="13"/>
        <v>3.1448691905347749E-2</v>
      </c>
    </row>
    <row r="908" spans="1:4" x14ac:dyDescent="0.35">
      <c r="A908" s="31">
        <v>34366</v>
      </c>
      <c r="B908" s="32">
        <f>VLOOKUP(Table10[[#This Row],[Month]],database!A:J,MATCH('IP from start'!$A$1,database!$A$1:$J$1,),)</f>
        <v>66.964200000000005</v>
      </c>
      <c r="C908" s="33">
        <f>(Table10[[#This Row],[Industrial Production ]]-B896)/B896</f>
        <v>2.8944153778781734E-2</v>
      </c>
      <c r="D908" s="34">
        <f t="shared" si="13"/>
        <v>2.9832127339236309E-2</v>
      </c>
    </row>
    <row r="909" spans="1:4" x14ac:dyDescent="0.35">
      <c r="A909" s="31">
        <v>34394</v>
      </c>
      <c r="B909" s="32">
        <f>VLOOKUP(Table10[[#This Row],[Month]],database!A:J,MATCH('IP from start'!$A$1,database!$A$1:$J$1,),)</f>
        <v>67.633499999999998</v>
      </c>
      <c r="C909" s="33">
        <f>(Table10[[#This Row],[Industrial Production ]]-B897)/B897</f>
        <v>4.0233721330839592E-2</v>
      </c>
      <c r="D909" s="34">
        <f t="shared" si="13"/>
        <v>2.9960397879936217E-2</v>
      </c>
    </row>
    <row r="910" spans="1:4" x14ac:dyDescent="0.35">
      <c r="A910" s="31">
        <v>34425</v>
      </c>
      <c r="B910" s="32">
        <f>VLOOKUP(Table10[[#This Row],[Month]],database!A:J,MATCH('IP from start'!$A$1,database!$A$1:$J$1,),)</f>
        <v>68.0334</v>
      </c>
      <c r="C910" s="33">
        <f>(Table10[[#This Row],[Industrial Production ]]-B898)/B898</f>
        <v>4.339144317611935E-2</v>
      </c>
      <c r="D910" s="34">
        <f t="shared" si="13"/>
        <v>3.0760152367714469E-2</v>
      </c>
    </row>
    <row r="911" spans="1:4" x14ac:dyDescent="0.35">
      <c r="A911" s="31">
        <v>34455</v>
      </c>
      <c r="B911" s="32">
        <f>VLOOKUP(Table10[[#This Row],[Month]],database!A:J,MATCH('IP from start'!$A$1,database!$A$1:$J$1,),)</f>
        <v>68.353099999999998</v>
      </c>
      <c r="C911" s="33">
        <f>(Table10[[#This Row],[Industrial Production ]]-B899)/B899</f>
        <v>5.2504261409568105E-2</v>
      </c>
      <c r="D911" s="34">
        <f t="shared" si="13"/>
        <v>3.2939839083786282E-2</v>
      </c>
    </row>
    <row r="912" spans="1:4" x14ac:dyDescent="0.35">
      <c r="A912" s="31">
        <v>34486</v>
      </c>
      <c r="B912" s="32">
        <f>VLOOKUP(Table10[[#This Row],[Month]],database!A:J,MATCH('IP from start'!$A$1,database!$A$1:$J$1,),)</f>
        <v>68.800200000000004</v>
      </c>
      <c r="C912" s="33">
        <f>(Table10[[#This Row],[Industrial Production ]]-B900)/B900</f>
        <v>5.6864684846325037E-2</v>
      </c>
      <c r="D912" s="34">
        <f t="shared" si="13"/>
        <v>3.5324808344344892E-2</v>
      </c>
    </row>
    <row r="913" spans="1:4" x14ac:dyDescent="0.35">
      <c r="A913" s="31">
        <v>34516</v>
      </c>
      <c r="B913" s="32">
        <f>VLOOKUP(Table10[[#This Row],[Month]],database!A:J,MATCH('IP from start'!$A$1,database!$A$1:$J$1,),)</f>
        <v>68.886300000000006</v>
      </c>
      <c r="C913" s="33">
        <f>(Table10[[#This Row],[Industrial Production ]]-B901)/B901</f>
        <v>5.5641372208277189E-2</v>
      </c>
      <c r="D913" s="34">
        <f t="shared" si="13"/>
        <v>3.816320841334598E-2</v>
      </c>
    </row>
    <row r="914" spans="1:4" x14ac:dyDescent="0.35">
      <c r="A914" s="31">
        <v>34547</v>
      </c>
      <c r="B914" s="32">
        <f>VLOOKUP(Table10[[#This Row],[Month]],database!A:J,MATCH('IP from start'!$A$1,database!$A$1:$J$1,),)</f>
        <v>69.341200000000001</v>
      </c>
      <c r="C914" s="33">
        <f>(Table10[[#This Row],[Industrial Production ]]-B902)/B902</f>
        <v>6.3603427277719421E-2</v>
      </c>
      <c r="D914" s="34">
        <f t="shared" si="13"/>
        <v>4.1269375752322007E-2</v>
      </c>
    </row>
    <row r="915" spans="1:4" x14ac:dyDescent="0.35">
      <c r="A915" s="31">
        <v>34578</v>
      </c>
      <c r="B915" s="32">
        <f>VLOOKUP(Table10[[#This Row],[Month]],database!A:J,MATCH('IP from start'!$A$1,database!$A$1:$J$1,),)</f>
        <v>69.557400000000001</v>
      </c>
      <c r="C915" s="33">
        <f>(Table10[[#This Row],[Industrial Production ]]-B903)/B903</f>
        <v>6.1488031107218011E-2</v>
      </c>
      <c r="D915" s="34">
        <f t="shared" si="13"/>
        <v>4.4030891677306234E-2</v>
      </c>
    </row>
    <row r="916" spans="1:4" x14ac:dyDescent="0.35">
      <c r="A916" s="31">
        <v>34608</v>
      </c>
      <c r="B916" s="32">
        <f>VLOOKUP(Table10[[#This Row],[Month]],database!A:J,MATCH('IP from start'!$A$1,database!$A$1:$J$1,),)</f>
        <v>70.119</v>
      </c>
      <c r="C916" s="33">
        <f>(Table10[[#This Row],[Industrial Production ]]-B904)/B904</f>
        <v>6.2164471212690517E-2</v>
      </c>
      <c r="D916" s="34">
        <f t="shared" si="13"/>
        <v>4.6795782751160149E-2</v>
      </c>
    </row>
    <row r="917" spans="1:4" x14ac:dyDescent="0.35">
      <c r="A917" s="31">
        <v>34639</v>
      </c>
      <c r="B917" s="32">
        <f>VLOOKUP(Table10[[#This Row],[Month]],database!A:J,MATCH('IP from start'!$A$1,database!$A$1:$J$1,),)</f>
        <v>70.594200000000001</v>
      </c>
      <c r="C917" s="33">
        <f>(Table10[[#This Row],[Industrial Production ]]-B905)/B905</f>
        <v>6.4300489075701212E-2</v>
      </c>
      <c r="D917" s="34">
        <f t="shared" si="13"/>
        <v>4.9676967475277022E-2</v>
      </c>
    </row>
    <row r="918" spans="1:4" x14ac:dyDescent="0.35">
      <c r="A918" s="31">
        <v>34669</v>
      </c>
      <c r="B918" s="32">
        <f>VLOOKUP(Table10[[#This Row],[Month]],database!A:J,MATCH('IP from start'!$A$1,database!$A$1:$J$1,),)</f>
        <v>71.281400000000005</v>
      </c>
      <c r="C918" s="33">
        <f>(Table10[[#This Row],[Industrial Production ]]-B906)/B906</f>
        <v>6.8625775443078268E-2</v>
      </c>
      <c r="D918" s="34">
        <f t="shared" si="13"/>
        <v>5.2570001657265664E-2</v>
      </c>
    </row>
    <row r="919" spans="1:4" x14ac:dyDescent="0.35">
      <c r="A919" s="31">
        <v>34700</v>
      </c>
      <c r="B919" s="32">
        <f>VLOOKUP(Table10[[#This Row],[Month]],database!A:J,MATCH('IP from start'!$A$1,database!$A$1:$J$1,),)</f>
        <v>71.430300000000003</v>
      </c>
      <c r="C919" s="33">
        <f>(Table10[[#This Row],[Industrial Production ]]-B907)/B907</f>
        <v>6.7455810533740709E-2</v>
      </c>
      <c r="D919" s="34">
        <f t="shared" si="13"/>
        <v>5.5434803450004927E-2</v>
      </c>
    </row>
    <row r="920" spans="1:4" x14ac:dyDescent="0.35">
      <c r="A920" s="31">
        <v>34731</v>
      </c>
      <c r="B920" s="32">
        <f>VLOOKUP(Table10[[#This Row],[Month]],database!A:J,MATCH('IP from start'!$A$1,database!$A$1:$J$1,),)</f>
        <v>71.334299999999999</v>
      </c>
      <c r="C920" s="33">
        <f>(Table10[[#This Row],[Industrial Production ]]-B908)/B908</f>
        <v>6.526024353311162E-2</v>
      </c>
      <c r="D920" s="34">
        <f t="shared" si="13"/>
        <v>5.8461144262865757E-2</v>
      </c>
    </row>
    <row r="921" spans="1:4" x14ac:dyDescent="0.35">
      <c r="A921" s="31">
        <v>34759</v>
      </c>
      <c r="B921" s="32">
        <f>VLOOKUP(Table10[[#This Row],[Month]],database!A:J,MATCH('IP from start'!$A$1,database!$A$1:$J$1,),)</f>
        <v>71.445099999999996</v>
      </c>
      <c r="C921" s="33">
        <f>(Table10[[#This Row],[Industrial Production ]]-B909)/B909</f>
        <v>5.6356687144684198E-2</v>
      </c>
      <c r="D921" s="34">
        <f t="shared" si="13"/>
        <v>5.9804724747352801E-2</v>
      </c>
    </row>
    <row r="922" spans="1:4" x14ac:dyDescent="0.35">
      <c r="A922" s="31">
        <v>34790</v>
      </c>
      <c r="B922" s="32">
        <f>VLOOKUP(Table10[[#This Row],[Month]],database!A:J,MATCH('IP from start'!$A$1,database!$A$1:$J$1,),)</f>
        <v>71.328900000000004</v>
      </c>
      <c r="C922" s="33">
        <f>(Table10[[#This Row],[Industrial Production ]]-B910)/B910</f>
        <v>4.843944297947779E-2</v>
      </c>
      <c r="D922" s="34">
        <f t="shared" si="13"/>
        <v>6.0225391397632673E-2</v>
      </c>
    </row>
    <row r="923" spans="1:4" x14ac:dyDescent="0.35">
      <c r="A923" s="31">
        <v>34820</v>
      </c>
      <c r="B923" s="32">
        <f>VLOOKUP(Table10[[#This Row],[Month]],database!A:J,MATCH('IP from start'!$A$1,database!$A$1:$J$1,),)</f>
        <v>71.66</v>
      </c>
      <c r="C923" s="33">
        <f>(Table10[[#This Row],[Industrial Production ]]-B911)/B911</f>
        <v>4.8379663833827566E-2</v>
      </c>
      <c r="D923" s="34">
        <f t="shared" si="13"/>
        <v>5.9881674932987627E-2</v>
      </c>
    </row>
    <row r="924" spans="1:4" x14ac:dyDescent="0.35">
      <c r="A924" s="31">
        <v>34851</v>
      </c>
      <c r="B924" s="32">
        <f>VLOOKUP(Table10[[#This Row],[Month]],database!A:J,MATCH('IP from start'!$A$1,database!$A$1:$J$1,),)</f>
        <v>71.896699999999996</v>
      </c>
      <c r="C924" s="33">
        <f>(Table10[[#This Row],[Industrial Production ]]-B912)/B912</f>
        <v>4.5007136607160901E-2</v>
      </c>
      <c r="D924" s="34">
        <f t="shared" si="13"/>
        <v>5.8893545913057288E-2</v>
      </c>
    </row>
    <row r="925" spans="1:4" x14ac:dyDescent="0.35">
      <c r="A925" s="31">
        <v>34881</v>
      </c>
      <c r="B925" s="32">
        <f>VLOOKUP(Table10[[#This Row],[Month]],database!A:J,MATCH('IP from start'!$A$1,database!$A$1:$J$1,),)</f>
        <v>71.592399999999998</v>
      </c>
      <c r="C925" s="33">
        <f>(Table10[[#This Row],[Industrial Production ]]-B913)/B913</f>
        <v>3.9283573076213878E-2</v>
      </c>
      <c r="D925" s="34">
        <f t="shared" si="13"/>
        <v>5.7530395985385334E-2</v>
      </c>
    </row>
    <row r="926" spans="1:4" x14ac:dyDescent="0.35">
      <c r="A926" s="31">
        <v>34912</v>
      </c>
      <c r="B926" s="32">
        <f>VLOOKUP(Table10[[#This Row],[Month]],database!A:J,MATCH('IP from start'!$A$1,database!$A$1:$J$1,),)</f>
        <v>72.533900000000003</v>
      </c>
      <c r="C926" s="33">
        <f>(Table10[[#This Row],[Industrial Production ]]-B914)/B914</f>
        <v>4.6043333544847825E-2</v>
      </c>
      <c r="D926" s="34">
        <f t="shared" ref="D926:D989" si="14">AVERAGE(C915:C926)</f>
        <v>5.6067054840979368E-2</v>
      </c>
    </row>
    <row r="927" spans="1:4" x14ac:dyDescent="0.35">
      <c r="A927" s="31">
        <v>34943</v>
      </c>
      <c r="B927" s="32">
        <f>VLOOKUP(Table10[[#This Row],[Month]],database!A:J,MATCH('IP from start'!$A$1,database!$A$1:$J$1,),)</f>
        <v>72.824700000000007</v>
      </c>
      <c r="C927" s="33">
        <f>(Table10[[#This Row],[Industrial Production ]]-B915)/B915</f>
        <v>4.6972716058967211E-2</v>
      </c>
      <c r="D927" s="34">
        <f t="shared" si="14"/>
        <v>5.4857445253625133E-2</v>
      </c>
    </row>
    <row r="928" spans="1:4" x14ac:dyDescent="0.35">
      <c r="A928" s="31">
        <v>34973</v>
      </c>
      <c r="B928" s="32">
        <f>VLOOKUP(Table10[[#This Row],[Month]],database!A:J,MATCH('IP from start'!$A$1,database!$A$1:$J$1,),)</f>
        <v>72.712999999999994</v>
      </c>
      <c r="C928" s="33">
        <f>(Table10[[#This Row],[Industrial Production ]]-B916)/B916</f>
        <v>3.6994252627675722E-2</v>
      </c>
      <c r="D928" s="34">
        <f t="shared" si="14"/>
        <v>5.2759927038207248E-2</v>
      </c>
    </row>
    <row r="929" spans="1:4" x14ac:dyDescent="0.35">
      <c r="A929" s="31">
        <v>35004</v>
      </c>
      <c r="B929" s="32">
        <f>VLOOKUP(Table10[[#This Row],[Month]],database!A:J,MATCH('IP from start'!$A$1,database!$A$1:$J$1,),)</f>
        <v>72.888400000000004</v>
      </c>
      <c r="C929" s="33">
        <f>(Table10[[#This Row],[Industrial Production ]]-B917)/B917</f>
        <v>3.2498420550130233E-2</v>
      </c>
      <c r="D929" s="34">
        <f t="shared" si="14"/>
        <v>5.0109754661076318E-2</v>
      </c>
    </row>
    <row r="930" spans="1:4" x14ac:dyDescent="0.35">
      <c r="A930" s="31">
        <v>35034</v>
      </c>
      <c r="B930" s="32">
        <f>VLOOKUP(Table10[[#This Row],[Month]],database!A:J,MATCH('IP from start'!$A$1,database!$A$1:$J$1,),)</f>
        <v>73.142899999999997</v>
      </c>
      <c r="C930" s="33">
        <f>(Table10[[#This Row],[Industrial Production ]]-B918)/B918</f>
        <v>2.6114806948236036E-2</v>
      </c>
      <c r="D930" s="34">
        <f t="shared" si="14"/>
        <v>4.6567173953172801E-2</v>
      </c>
    </row>
    <row r="931" spans="1:4" x14ac:dyDescent="0.35">
      <c r="A931" s="31">
        <v>35065</v>
      </c>
      <c r="B931" s="32">
        <f>VLOOKUP(Table10[[#This Row],[Month]],database!A:J,MATCH('IP from start'!$A$1,database!$A$1:$J$1,),)</f>
        <v>72.747100000000003</v>
      </c>
      <c r="C931" s="33">
        <f>(Table10[[#This Row],[Industrial Production ]]-B919)/B919</f>
        <v>1.8434753878956139E-2</v>
      </c>
      <c r="D931" s="34">
        <f t="shared" si="14"/>
        <v>4.248208589860742E-2</v>
      </c>
    </row>
    <row r="932" spans="1:4" x14ac:dyDescent="0.35">
      <c r="A932" s="31">
        <v>35096</v>
      </c>
      <c r="B932" s="32">
        <f>VLOOKUP(Table10[[#This Row],[Month]],database!A:J,MATCH('IP from start'!$A$1,database!$A$1:$J$1,),)</f>
        <v>73.787099999999995</v>
      </c>
      <c r="C932" s="33">
        <f>(Table10[[#This Row],[Industrial Production ]]-B920)/B920</f>
        <v>3.4384580769699802E-2</v>
      </c>
      <c r="D932" s="34">
        <f t="shared" si="14"/>
        <v>3.9909114001656441E-2</v>
      </c>
    </row>
    <row r="933" spans="1:4" x14ac:dyDescent="0.35">
      <c r="A933" s="31">
        <v>35125</v>
      </c>
      <c r="B933" s="32">
        <f>VLOOKUP(Table10[[#This Row],[Month]],database!A:J,MATCH('IP from start'!$A$1,database!$A$1:$J$1,),)</f>
        <v>73.674899999999994</v>
      </c>
      <c r="C933" s="33">
        <f>(Table10[[#This Row],[Industrial Production ]]-B921)/B921</f>
        <v>3.1209978011088199E-2</v>
      </c>
      <c r="D933" s="34">
        <f t="shared" si="14"/>
        <v>3.7813554907190114E-2</v>
      </c>
    </row>
    <row r="934" spans="1:4" x14ac:dyDescent="0.35">
      <c r="A934" s="31">
        <v>35156</v>
      </c>
      <c r="B934" s="32">
        <f>VLOOKUP(Table10[[#This Row],[Month]],database!A:J,MATCH('IP from start'!$A$1,database!$A$1:$J$1,),)</f>
        <v>74.415300000000002</v>
      </c>
      <c r="C934" s="33">
        <f>(Table10[[#This Row],[Industrial Production ]]-B922)/B922</f>
        <v>4.3269978928596929E-2</v>
      </c>
      <c r="D934" s="34">
        <f t="shared" si="14"/>
        <v>3.7382766236283373E-2</v>
      </c>
    </row>
    <row r="935" spans="1:4" x14ac:dyDescent="0.35">
      <c r="A935" s="31">
        <v>35186</v>
      </c>
      <c r="B935" s="32">
        <f>VLOOKUP(Table10[[#This Row],[Month]],database!A:J,MATCH('IP from start'!$A$1,database!$A$1:$J$1,),)</f>
        <v>74.971800000000002</v>
      </c>
      <c r="C935" s="33">
        <f>(Table10[[#This Row],[Industrial Production ]]-B923)/B923</f>
        <v>4.6215461903432953E-2</v>
      </c>
      <c r="D935" s="34">
        <f t="shared" si="14"/>
        <v>3.7202416075417154E-2</v>
      </c>
    </row>
    <row r="936" spans="1:4" x14ac:dyDescent="0.35">
      <c r="A936" s="31">
        <v>35217</v>
      </c>
      <c r="B936" s="32">
        <f>VLOOKUP(Table10[[#This Row],[Month]],database!A:J,MATCH('IP from start'!$A$1,database!$A$1:$J$1,),)</f>
        <v>75.531700000000001</v>
      </c>
      <c r="C936" s="33">
        <f>(Table10[[#This Row],[Industrial Production ]]-B924)/B924</f>
        <v>5.0558648727966726E-2</v>
      </c>
      <c r="D936" s="34">
        <f t="shared" si="14"/>
        <v>3.7665042085484303E-2</v>
      </c>
    </row>
    <row r="937" spans="1:4" x14ac:dyDescent="0.35">
      <c r="A937" s="31">
        <v>35247</v>
      </c>
      <c r="B937" s="32">
        <f>VLOOKUP(Table10[[#This Row],[Month]],database!A:J,MATCH('IP from start'!$A$1,database!$A$1:$J$1,),)</f>
        <v>75.532300000000006</v>
      </c>
      <c r="C937" s="33">
        <f>(Table10[[#This Row],[Industrial Production ]]-B925)/B925</f>
        <v>5.5032377738419284E-2</v>
      </c>
      <c r="D937" s="34">
        <f t="shared" si="14"/>
        <v>3.8977442474001416E-2</v>
      </c>
    </row>
    <row r="938" spans="1:4" x14ac:dyDescent="0.35">
      <c r="A938" s="31">
        <v>35278</v>
      </c>
      <c r="B938" s="32">
        <f>VLOOKUP(Table10[[#This Row],[Month]],database!A:J,MATCH('IP from start'!$A$1,database!$A$1:$J$1,),)</f>
        <v>75.912899999999993</v>
      </c>
      <c r="C938" s="33">
        <f>(Table10[[#This Row],[Industrial Production ]]-B926)/B926</f>
        <v>4.6585113994973254E-2</v>
      </c>
      <c r="D938" s="34">
        <f t="shared" si="14"/>
        <v>3.9022590844845211E-2</v>
      </c>
    </row>
    <row r="939" spans="1:4" x14ac:dyDescent="0.35">
      <c r="A939" s="31">
        <v>35309</v>
      </c>
      <c r="B939" s="32">
        <f>VLOOKUP(Table10[[#This Row],[Month]],database!A:J,MATCH('IP from start'!$A$1,database!$A$1:$J$1,),)</f>
        <v>76.403199999999998</v>
      </c>
      <c r="C939" s="33">
        <f>(Table10[[#This Row],[Industrial Production ]]-B927)/B927</f>
        <v>4.913854777293955E-2</v>
      </c>
      <c r="D939" s="34">
        <f t="shared" si="14"/>
        <v>3.9203076821009576E-2</v>
      </c>
    </row>
    <row r="940" spans="1:4" x14ac:dyDescent="0.35">
      <c r="A940" s="31">
        <v>35339</v>
      </c>
      <c r="B940" s="32">
        <f>VLOOKUP(Table10[[#This Row],[Month]],database!A:J,MATCH('IP from start'!$A$1,database!$A$1:$J$1,),)</f>
        <v>76.393100000000004</v>
      </c>
      <c r="C940" s="33">
        <f>(Table10[[#This Row],[Industrial Production ]]-B928)/B928</f>
        <v>5.0611307469090955E-2</v>
      </c>
      <c r="D940" s="34">
        <f t="shared" si="14"/>
        <v>4.0337831391127503E-2</v>
      </c>
    </row>
    <row r="941" spans="1:4" x14ac:dyDescent="0.35">
      <c r="A941" s="31">
        <v>35370</v>
      </c>
      <c r="B941" s="32">
        <f>VLOOKUP(Table10[[#This Row],[Month]],database!A:J,MATCH('IP from start'!$A$1,database!$A$1:$J$1,),)</f>
        <v>77.0672</v>
      </c>
      <c r="C941" s="33">
        <f>(Table10[[#This Row],[Industrial Production ]]-B929)/B929</f>
        <v>5.733148210140427E-2</v>
      </c>
      <c r="D941" s="34">
        <f t="shared" si="14"/>
        <v>4.2407253187067007E-2</v>
      </c>
    </row>
    <row r="942" spans="1:4" x14ac:dyDescent="0.35">
      <c r="A942" s="31">
        <v>35400</v>
      </c>
      <c r="B942" s="32">
        <f>VLOOKUP(Table10[[#This Row],[Month]],database!A:J,MATCH('IP from start'!$A$1,database!$A$1:$J$1,),)</f>
        <v>77.554299999999998</v>
      </c>
      <c r="C942" s="33">
        <f>(Table10[[#This Row],[Industrial Production ]]-B930)/B930</f>
        <v>6.0312074035894128E-2</v>
      </c>
      <c r="D942" s="34">
        <f t="shared" si="14"/>
        <v>4.5257025444371851E-2</v>
      </c>
    </row>
    <row r="943" spans="1:4" x14ac:dyDescent="0.35">
      <c r="A943" s="31">
        <v>35431</v>
      </c>
      <c r="B943" s="32">
        <f>VLOOKUP(Table10[[#This Row],[Month]],database!A:J,MATCH('IP from start'!$A$1,database!$A$1:$J$1,),)</f>
        <v>77.694500000000005</v>
      </c>
      <c r="C943" s="33">
        <f>(Table10[[#This Row],[Industrial Production ]]-B931)/B931</f>
        <v>6.8008209261949989E-2</v>
      </c>
      <c r="D943" s="34">
        <f t="shared" si="14"/>
        <v>4.9388146726287996E-2</v>
      </c>
    </row>
    <row r="944" spans="1:4" x14ac:dyDescent="0.35">
      <c r="A944" s="31">
        <v>35462</v>
      </c>
      <c r="B944" s="32">
        <f>VLOOKUP(Table10[[#This Row],[Month]],database!A:J,MATCH('IP from start'!$A$1,database!$A$1:$J$1,),)</f>
        <v>78.611999999999995</v>
      </c>
      <c r="C944" s="33">
        <f>(Table10[[#This Row],[Industrial Production ]]-B932)/B932</f>
        <v>6.5389478648706881E-2</v>
      </c>
      <c r="D944" s="34">
        <f t="shared" si="14"/>
        <v>5.1971888216205263E-2</v>
      </c>
    </row>
    <row r="945" spans="1:4" x14ac:dyDescent="0.35">
      <c r="A945" s="31">
        <v>35490</v>
      </c>
      <c r="B945" s="32">
        <f>VLOOKUP(Table10[[#This Row],[Month]],database!A:J,MATCH('IP from start'!$A$1,database!$A$1:$J$1,),)</f>
        <v>79.102099999999993</v>
      </c>
      <c r="C945" s="33">
        <f>(Table10[[#This Row],[Industrial Production ]]-B933)/B933</f>
        <v>7.3664165136294715E-2</v>
      </c>
      <c r="D945" s="34">
        <f t="shared" si="14"/>
        <v>5.5509737143305794E-2</v>
      </c>
    </row>
    <row r="946" spans="1:4" x14ac:dyDescent="0.35">
      <c r="A946" s="31">
        <v>35521</v>
      </c>
      <c r="B946" s="32">
        <f>VLOOKUP(Table10[[#This Row],[Month]],database!A:J,MATCH('IP from start'!$A$1,database!$A$1:$J$1,),)</f>
        <v>79.168300000000002</v>
      </c>
      <c r="C946" s="33">
        <f>(Table10[[#This Row],[Industrial Production ]]-B934)/B934</f>
        <v>6.3871273783751459E-2</v>
      </c>
      <c r="D946" s="34">
        <f t="shared" si="14"/>
        <v>5.7226511714568683E-2</v>
      </c>
    </row>
    <row r="947" spans="1:4" x14ac:dyDescent="0.35">
      <c r="A947" s="31">
        <v>35551</v>
      </c>
      <c r="B947" s="32">
        <f>VLOOKUP(Table10[[#This Row],[Month]],database!A:J,MATCH('IP from start'!$A$1,database!$A$1:$J$1,),)</f>
        <v>79.608400000000003</v>
      </c>
      <c r="C947" s="33">
        <f>(Table10[[#This Row],[Industrial Production ]]-B935)/B935</f>
        <v>6.1844586898007002E-2</v>
      </c>
      <c r="D947" s="34">
        <f t="shared" si="14"/>
        <v>5.8528938797449852E-2</v>
      </c>
    </row>
    <row r="948" spans="1:4" x14ac:dyDescent="0.35">
      <c r="A948" s="31">
        <v>35582</v>
      </c>
      <c r="B948" s="32">
        <f>VLOOKUP(Table10[[#This Row],[Month]],database!A:J,MATCH('IP from start'!$A$1,database!$A$1:$J$1,),)</f>
        <v>79.980199999999996</v>
      </c>
      <c r="C948" s="33">
        <f>(Table10[[#This Row],[Industrial Production ]]-B936)/B936</f>
        <v>5.8895801365519321E-2</v>
      </c>
      <c r="D948" s="34">
        <f t="shared" si="14"/>
        <v>5.9223701517245902E-2</v>
      </c>
    </row>
    <row r="949" spans="1:4" x14ac:dyDescent="0.35">
      <c r="A949" s="31">
        <v>35612</v>
      </c>
      <c r="B949" s="32">
        <f>VLOOKUP(Table10[[#This Row],[Month]],database!A:J,MATCH('IP from start'!$A$1,database!$A$1:$J$1,),)</f>
        <v>80.649199999999993</v>
      </c>
      <c r="C949" s="33">
        <f>(Table10[[#This Row],[Industrial Production ]]-B937)/B937</f>
        <v>6.7744527837759291E-2</v>
      </c>
      <c r="D949" s="34">
        <f t="shared" si="14"/>
        <v>6.0283047358857568E-2</v>
      </c>
    </row>
    <row r="950" spans="1:4" x14ac:dyDescent="0.35">
      <c r="A950" s="31">
        <v>35643</v>
      </c>
      <c r="B950" s="32">
        <f>VLOOKUP(Table10[[#This Row],[Month]],database!A:J,MATCH('IP from start'!$A$1,database!$A$1:$J$1,),)</f>
        <v>81.454800000000006</v>
      </c>
      <c r="C950" s="33">
        <f>(Table10[[#This Row],[Industrial Production ]]-B938)/B938</f>
        <v>7.3003402583750765E-2</v>
      </c>
      <c r="D950" s="34">
        <f t="shared" si="14"/>
        <v>6.2484571407922351E-2</v>
      </c>
    </row>
    <row r="951" spans="1:4" x14ac:dyDescent="0.35">
      <c r="A951" s="31">
        <v>35674</v>
      </c>
      <c r="B951" s="32">
        <f>VLOOKUP(Table10[[#This Row],[Month]],database!A:J,MATCH('IP from start'!$A$1,database!$A$1:$J$1,),)</f>
        <v>82.212000000000003</v>
      </c>
      <c r="C951" s="33">
        <f>(Table10[[#This Row],[Industrial Production ]]-B939)/B939</f>
        <v>7.6028229184118015E-2</v>
      </c>
      <c r="D951" s="34">
        <f t="shared" si="14"/>
        <v>6.4725378192187238E-2</v>
      </c>
    </row>
    <row r="952" spans="1:4" x14ac:dyDescent="0.35">
      <c r="A952" s="31">
        <v>35704</v>
      </c>
      <c r="B952" s="32">
        <f>VLOOKUP(Table10[[#This Row],[Month]],database!A:J,MATCH('IP from start'!$A$1,database!$A$1:$J$1,),)</f>
        <v>82.930899999999994</v>
      </c>
      <c r="C952" s="33">
        <f>(Table10[[#This Row],[Industrial Production ]]-B940)/B940</f>
        <v>8.5581027605896212E-2</v>
      </c>
      <c r="D952" s="34">
        <f t="shared" si="14"/>
        <v>6.7639521536921002E-2</v>
      </c>
    </row>
    <row r="953" spans="1:4" x14ac:dyDescent="0.35">
      <c r="A953" s="31">
        <v>35735</v>
      </c>
      <c r="B953" s="32">
        <f>VLOOKUP(Table10[[#This Row],[Month]],database!A:J,MATCH('IP from start'!$A$1,database!$A$1:$J$1,),)</f>
        <v>83.591899999999995</v>
      </c>
      <c r="C953" s="33">
        <f>(Table10[[#This Row],[Industrial Production ]]-B941)/B941</f>
        <v>8.4662476384246427E-2</v>
      </c>
      <c r="D953" s="34">
        <f t="shared" si="14"/>
        <v>6.9917104393824508E-2</v>
      </c>
    </row>
    <row r="954" spans="1:4" x14ac:dyDescent="0.35">
      <c r="A954" s="31">
        <v>35765</v>
      </c>
      <c r="B954" s="32">
        <f>VLOOKUP(Table10[[#This Row],[Month]],database!A:J,MATCH('IP from start'!$A$1,database!$A$1:$J$1,),)</f>
        <v>83.9696</v>
      </c>
      <c r="C954" s="33">
        <f>(Table10[[#This Row],[Industrial Production ]]-B942)/B942</f>
        <v>8.2720107073366689E-2</v>
      </c>
      <c r="D954" s="34">
        <f t="shared" si="14"/>
        <v>7.1784440480280556E-2</v>
      </c>
    </row>
    <row r="955" spans="1:4" x14ac:dyDescent="0.35">
      <c r="A955" s="31">
        <v>35796</v>
      </c>
      <c r="B955" s="32">
        <f>VLOOKUP(Table10[[#This Row],[Month]],database!A:J,MATCH('IP from start'!$A$1,database!$A$1:$J$1,),)</f>
        <v>84.346699999999998</v>
      </c>
      <c r="C955" s="33">
        <f>(Table10[[#This Row],[Industrial Production ]]-B943)/B943</f>
        <v>8.5619960228844938E-2</v>
      </c>
      <c r="D955" s="34">
        <f t="shared" si="14"/>
        <v>7.3252086394188495E-2</v>
      </c>
    </row>
    <row r="956" spans="1:4" x14ac:dyDescent="0.35">
      <c r="A956" s="31">
        <v>35827</v>
      </c>
      <c r="B956" s="32">
        <f>VLOOKUP(Table10[[#This Row],[Month]],database!A:J,MATCH('IP from start'!$A$1,database!$A$1:$J$1,),)</f>
        <v>84.486500000000007</v>
      </c>
      <c r="C956" s="33">
        <f>(Table10[[#This Row],[Industrial Production ]]-B944)/B944</f>
        <v>7.4727776929730982E-2</v>
      </c>
      <c r="D956" s="34">
        <f t="shared" si="14"/>
        <v>7.4030277917607148E-2</v>
      </c>
    </row>
    <row r="957" spans="1:4" x14ac:dyDescent="0.35">
      <c r="A957" s="31">
        <v>35855</v>
      </c>
      <c r="B957" s="32">
        <f>VLOOKUP(Table10[[#This Row],[Month]],database!A:J,MATCH('IP from start'!$A$1,database!$A$1:$J$1,),)</f>
        <v>84.521199999999993</v>
      </c>
      <c r="C957" s="33">
        <f>(Table10[[#This Row],[Industrial Production ]]-B945)/B945</f>
        <v>6.8507662881263587E-2</v>
      </c>
      <c r="D957" s="34">
        <f t="shared" si="14"/>
        <v>7.3600569396354565E-2</v>
      </c>
    </row>
    <row r="958" spans="1:4" x14ac:dyDescent="0.35">
      <c r="A958" s="31">
        <v>35886</v>
      </c>
      <c r="B958" s="32">
        <f>VLOOKUP(Table10[[#This Row],[Month]],database!A:J,MATCH('IP from start'!$A$1,database!$A$1:$J$1,),)</f>
        <v>84.827500000000001</v>
      </c>
      <c r="C958" s="33">
        <f>(Table10[[#This Row],[Industrial Production ]]-B946)/B946</f>
        <v>7.1483156768555073E-2</v>
      </c>
      <c r="D958" s="34">
        <f t="shared" si="14"/>
        <v>7.4234892978421521E-2</v>
      </c>
    </row>
    <row r="959" spans="1:4" x14ac:dyDescent="0.35">
      <c r="A959" s="31">
        <v>35916</v>
      </c>
      <c r="B959" s="32">
        <f>VLOOKUP(Table10[[#This Row],[Month]],database!A:J,MATCH('IP from start'!$A$1,database!$A$1:$J$1,),)</f>
        <v>85.3596</v>
      </c>
      <c r="C959" s="33">
        <f>(Table10[[#This Row],[Industrial Production ]]-B947)/B947</f>
        <v>7.2243632581486333E-2</v>
      </c>
      <c r="D959" s="34">
        <f t="shared" si="14"/>
        <v>7.5101480118711469E-2</v>
      </c>
    </row>
    <row r="960" spans="1:4" x14ac:dyDescent="0.35">
      <c r="A960" s="31">
        <v>35947</v>
      </c>
      <c r="B960" s="32">
        <f>VLOOKUP(Table10[[#This Row],[Month]],database!A:J,MATCH('IP from start'!$A$1,database!$A$1:$J$1,),)</f>
        <v>84.846599999999995</v>
      </c>
      <c r="C960" s="33">
        <f>(Table10[[#This Row],[Industrial Production ]]-B948)/B948</f>
        <v>6.0845059152140141E-2</v>
      </c>
      <c r="D960" s="34">
        <f t="shared" si="14"/>
        <v>7.5263918267596527E-2</v>
      </c>
    </row>
    <row r="961" spans="1:4" x14ac:dyDescent="0.35">
      <c r="A961" s="31">
        <v>35977</v>
      </c>
      <c r="B961" s="32">
        <f>VLOOKUP(Table10[[#This Row],[Month]],database!A:J,MATCH('IP from start'!$A$1,database!$A$1:$J$1,),)</f>
        <v>84.506100000000004</v>
      </c>
      <c r="C961" s="33">
        <f>(Table10[[#This Row],[Industrial Production ]]-B949)/B949</f>
        <v>4.7823165015896132E-2</v>
      </c>
      <c r="D961" s="34">
        <f t="shared" si="14"/>
        <v>7.3603804699107933E-2</v>
      </c>
    </row>
    <row r="962" spans="1:4" x14ac:dyDescent="0.35">
      <c r="A962" s="31">
        <v>36008</v>
      </c>
      <c r="B962" s="32">
        <f>VLOOKUP(Table10[[#This Row],[Month]],database!A:J,MATCH('IP from start'!$A$1,database!$A$1:$J$1,),)</f>
        <v>86.246399999999994</v>
      </c>
      <c r="C962" s="33">
        <f>(Table10[[#This Row],[Industrial Production ]]-B950)/B950</f>
        <v>5.8825262599625658E-2</v>
      </c>
      <c r="D962" s="34">
        <f t="shared" si="14"/>
        <v>7.2422293033764171E-2</v>
      </c>
    </row>
    <row r="963" spans="1:4" x14ac:dyDescent="0.35">
      <c r="A963" s="31">
        <v>36039</v>
      </c>
      <c r="B963" s="32">
        <f>VLOOKUP(Table10[[#This Row],[Month]],database!A:J,MATCH('IP from start'!$A$1,database!$A$1:$J$1,),)</f>
        <v>86.170699999999997</v>
      </c>
      <c r="C963" s="33">
        <f>(Table10[[#This Row],[Industrial Production ]]-B951)/B951</f>
        <v>4.8152337858220123E-2</v>
      </c>
      <c r="D963" s="34">
        <f t="shared" si="14"/>
        <v>7.009930208993935E-2</v>
      </c>
    </row>
    <row r="964" spans="1:4" x14ac:dyDescent="0.35">
      <c r="A964" s="31">
        <v>36069</v>
      </c>
      <c r="B964" s="32">
        <f>VLOOKUP(Table10[[#This Row],[Month]],database!A:J,MATCH('IP from start'!$A$1,database!$A$1:$J$1,),)</f>
        <v>86.767099999999999</v>
      </c>
      <c r="C964" s="33">
        <f>(Table10[[#This Row],[Industrial Production ]]-B952)/B952</f>
        <v>4.6257788110342535E-2</v>
      </c>
      <c r="D964" s="34">
        <f t="shared" si="14"/>
        <v>6.6822365465309883E-2</v>
      </c>
    </row>
    <row r="965" spans="1:4" x14ac:dyDescent="0.35">
      <c r="A965" s="31">
        <v>36100</v>
      </c>
      <c r="B965" s="32">
        <f>VLOOKUP(Table10[[#This Row],[Month]],database!A:J,MATCH('IP from start'!$A$1,database!$A$1:$J$1,),)</f>
        <v>86.692899999999995</v>
      </c>
      <c r="C965" s="33">
        <f>(Table10[[#This Row],[Industrial Production ]]-B953)/B953</f>
        <v>3.709689575186112E-2</v>
      </c>
      <c r="D965" s="34">
        <f t="shared" si="14"/>
        <v>6.2858567079277769E-2</v>
      </c>
    </row>
    <row r="966" spans="1:4" x14ac:dyDescent="0.35">
      <c r="A966" s="31">
        <v>36130</v>
      </c>
      <c r="B966" s="32">
        <f>VLOOKUP(Table10[[#This Row],[Month]],database!A:J,MATCH('IP from start'!$A$1,database!$A$1:$J$1,),)</f>
        <v>87.063299999999998</v>
      </c>
      <c r="C966" s="33">
        <f>(Table10[[#This Row],[Industrial Production ]]-B954)/B954</f>
        <v>3.684309559650157E-2</v>
      </c>
      <c r="D966" s="34">
        <f t="shared" si="14"/>
        <v>5.9035482789539018E-2</v>
      </c>
    </row>
    <row r="967" spans="1:4" x14ac:dyDescent="0.35">
      <c r="A967" s="31">
        <v>36161</v>
      </c>
      <c r="B967" s="32">
        <f>VLOOKUP(Table10[[#This Row],[Month]],database!A:J,MATCH('IP from start'!$A$1,database!$A$1:$J$1,),)</f>
        <v>87.425200000000004</v>
      </c>
      <c r="C967" s="33">
        <f>(Table10[[#This Row],[Industrial Production ]]-B955)/B955</f>
        <v>3.6498167681723238E-2</v>
      </c>
      <c r="D967" s="34">
        <f t="shared" si="14"/>
        <v>5.4942000077278869E-2</v>
      </c>
    </row>
    <row r="968" spans="1:4" x14ac:dyDescent="0.35">
      <c r="A968" s="31">
        <v>36192</v>
      </c>
      <c r="B968" s="32">
        <f>VLOOKUP(Table10[[#This Row],[Month]],database!A:J,MATCH('IP from start'!$A$1,database!$A$1:$J$1,),)</f>
        <v>87.926000000000002</v>
      </c>
      <c r="C968" s="33">
        <f>(Table10[[#This Row],[Industrial Production ]]-B956)/B956</f>
        <v>4.0710646079551112E-2</v>
      </c>
      <c r="D968" s="34">
        <f t="shared" si="14"/>
        <v>5.210723917309721E-2</v>
      </c>
    </row>
    <row r="969" spans="1:4" x14ac:dyDescent="0.35">
      <c r="A969" s="31">
        <v>36220</v>
      </c>
      <c r="B969" s="32">
        <f>VLOOKUP(Table10[[#This Row],[Month]],database!A:J,MATCH('IP from start'!$A$1,database!$A$1:$J$1,),)</f>
        <v>88.110100000000003</v>
      </c>
      <c r="C969" s="33">
        <f>(Table10[[#This Row],[Industrial Production ]]-B957)/B957</f>
        <v>4.246153627728913E-2</v>
      </c>
      <c r="D969" s="34">
        <f t="shared" si="14"/>
        <v>4.9936728622766012E-2</v>
      </c>
    </row>
    <row r="970" spans="1:4" x14ac:dyDescent="0.35">
      <c r="A970" s="31">
        <v>36251</v>
      </c>
      <c r="B970" s="32">
        <f>VLOOKUP(Table10[[#This Row],[Month]],database!A:J,MATCH('IP from start'!$A$1,database!$A$1:$J$1,),)</f>
        <v>88.310599999999994</v>
      </c>
      <c r="C970" s="33">
        <f>(Table10[[#This Row],[Industrial Production ]]-B958)/B958</f>
        <v>4.1060976687984356E-2</v>
      </c>
      <c r="D970" s="34">
        <f t="shared" si="14"/>
        <v>4.7401546949385122E-2</v>
      </c>
    </row>
    <row r="971" spans="1:4" x14ac:dyDescent="0.35">
      <c r="A971" s="31">
        <v>36281</v>
      </c>
      <c r="B971" s="32">
        <f>VLOOKUP(Table10[[#This Row],[Month]],database!A:J,MATCH('IP from start'!$A$1,database!$A$1:$J$1,),)</f>
        <v>88.848699999999994</v>
      </c>
      <c r="C971" s="33">
        <f>(Table10[[#This Row],[Industrial Production ]]-B959)/B959</f>
        <v>4.0875308694042538E-2</v>
      </c>
      <c r="D971" s="34">
        <f t="shared" si="14"/>
        <v>4.4787519958764808E-2</v>
      </c>
    </row>
    <row r="972" spans="1:4" x14ac:dyDescent="0.35">
      <c r="A972" s="31">
        <v>36312</v>
      </c>
      <c r="B972" s="32">
        <f>VLOOKUP(Table10[[#This Row],[Month]],database!A:J,MATCH('IP from start'!$A$1,database!$A$1:$J$1,),)</f>
        <v>88.797799999999995</v>
      </c>
      <c r="C972" s="33">
        <f>(Table10[[#This Row],[Industrial Production ]]-B960)/B960</f>
        <v>4.6568748777204981E-2</v>
      </c>
      <c r="D972" s="34">
        <f t="shared" si="14"/>
        <v>4.3597827427520212E-2</v>
      </c>
    </row>
    <row r="973" spans="1:4" x14ac:dyDescent="0.35">
      <c r="A973" s="31">
        <v>36342</v>
      </c>
      <c r="B973" s="32">
        <f>VLOOKUP(Table10[[#This Row],[Month]],database!A:J,MATCH('IP from start'!$A$1,database!$A$1:$J$1,),)</f>
        <v>89.311899999999994</v>
      </c>
      <c r="C973" s="33">
        <f>(Table10[[#This Row],[Industrial Production ]]-B961)/B961</f>
        <v>5.6869267425665018E-2</v>
      </c>
      <c r="D973" s="34">
        <f t="shared" si="14"/>
        <v>4.4351669295000944E-2</v>
      </c>
    </row>
    <row r="974" spans="1:4" x14ac:dyDescent="0.35">
      <c r="A974" s="31">
        <v>36373</v>
      </c>
      <c r="B974" s="32">
        <f>VLOOKUP(Table10[[#This Row],[Month]],database!A:J,MATCH('IP from start'!$A$1,database!$A$1:$J$1,),)</f>
        <v>89.710899999999995</v>
      </c>
      <c r="C974" s="33">
        <f>(Table10[[#This Row],[Industrial Production ]]-B962)/B962</f>
        <v>4.0169792594241631E-2</v>
      </c>
      <c r="D974" s="34">
        <f t="shared" si="14"/>
        <v>4.279704679455227E-2</v>
      </c>
    </row>
    <row r="975" spans="1:4" x14ac:dyDescent="0.35">
      <c r="A975" s="31">
        <v>36404</v>
      </c>
      <c r="B975" s="32">
        <f>VLOOKUP(Table10[[#This Row],[Month]],database!A:J,MATCH('IP from start'!$A$1,database!$A$1:$J$1,),)</f>
        <v>89.333100000000002</v>
      </c>
      <c r="C975" s="33">
        <f>(Table10[[#This Row],[Industrial Production ]]-B963)/B963</f>
        <v>3.6699249280788077E-2</v>
      </c>
      <c r="D975" s="34">
        <f t="shared" si="14"/>
        <v>4.1842622746432939E-2</v>
      </c>
    </row>
    <row r="976" spans="1:4" x14ac:dyDescent="0.35">
      <c r="A976" s="31">
        <v>36434</v>
      </c>
      <c r="B976" s="32">
        <f>VLOOKUP(Table10[[#This Row],[Month]],database!A:J,MATCH('IP from start'!$A$1,database!$A$1:$J$1,),)</f>
        <v>90.492400000000004</v>
      </c>
      <c r="C976" s="33">
        <f>(Table10[[#This Row],[Industrial Production ]]-B964)/B964</f>
        <v>4.293447631648406E-2</v>
      </c>
      <c r="D976" s="34">
        <f t="shared" si="14"/>
        <v>4.1565680096944731E-2</v>
      </c>
    </row>
    <row r="977" spans="1:4" x14ac:dyDescent="0.35">
      <c r="A977" s="31">
        <v>36465</v>
      </c>
      <c r="B977" s="32">
        <f>VLOOKUP(Table10[[#This Row],[Month]],database!A:J,MATCH('IP from start'!$A$1,database!$A$1:$J$1,),)</f>
        <v>90.965000000000003</v>
      </c>
      <c r="C977" s="33">
        <f>(Table10[[#This Row],[Industrial Production ]]-B965)/B965</f>
        <v>4.9278545301864506E-2</v>
      </c>
      <c r="D977" s="34">
        <f t="shared" si="14"/>
        <v>4.2580817559445018E-2</v>
      </c>
    </row>
    <row r="978" spans="1:4" x14ac:dyDescent="0.35">
      <c r="A978" s="31">
        <v>36495</v>
      </c>
      <c r="B978" s="32">
        <f>VLOOKUP(Table10[[#This Row],[Month]],database!A:J,MATCH('IP from start'!$A$1,database!$A$1:$J$1,),)</f>
        <v>91.680400000000006</v>
      </c>
      <c r="C978" s="33">
        <f>(Table10[[#This Row],[Industrial Production ]]-B966)/B966</f>
        <v>5.3031529932819087E-2</v>
      </c>
      <c r="D978" s="34">
        <f t="shared" si="14"/>
        <v>4.3929853754138153E-2</v>
      </c>
    </row>
    <row r="979" spans="1:4" x14ac:dyDescent="0.35">
      <c r="A979" s="31">
        <v>36526</v>
      </c>
      <c r="B979" s="32">
        <f>VLOOKUP(Table10[[#This Row],[Month]],database!A:J,MATCH('IP from start'!$A$1,database!$A$1:$J$1,),)</f>
        <v>91.626099999999994</v>
      </c>
      <c r="C979" s="33">
        <f>(Table10[[#This Row],[Industrial Production ]]-B967)/B967</f>
        <v>4.8051362764969255E-2</v>
      </c>
      <c r="D979" s="34">
        <f t="shared" si="14"/>
        <v>4.4892620011075308E-2</v>
      </c>
    </row>
    <row r="980" spans="1:4" x14ac:dyDescent="0.35">
      <c r="A980" s="31">
        <v>36557</v>
      </c>
      <c r="B980" s="32">
        <f>VLOOKUP(Table10[[#This Row],[Month]],database!A:J,MATCH('IP from start'!$A$1,database!$A$1:$J$1,),)</f>
        <v>91.962599999999995</v>
      </c>
      <c r="C980" s="33">
        <f>(Table10[[#This Row],[Industrial Production ]]-B968)/B968</f>
        <v>4.5909059891272121E-2</v>
      </c>
      <c r="D980" s="34">
        <f t="shared" si="14"/>
        <v>4.5325821162052055E-2</v>
      </c>
    </row>
    <row r="981" spans="1:4" x14ac:dyDescent="0.35">
      <c r="A981" s="31">
        <v>36586</v>
      </c>
      <c r="B981" s="32">
        <f>VLOOKUP(Table10[[#This Row],[Month]],database!A:J,MATCH('IP from start'!$A$1,database!$A$1:$J$1,),)</f>
        <v>92.311800000000005</v>
      </c>
      <c r="C981" s="33">
        <f>(Table10[[#This Row],[Industrial Production ]]-B969)/B969</f>
        <v>4.7686928059325805E-2</v>
      </c>
      <c r="D981" s="34">
        <f t="shared" si="14"/>
        <v>4.5761270477221783E-2</v>
      </c>
    </row>
    <row r="982" spans="1:4" x14ac:dyDescent="0.35">
      <c r="A982" s="31">
        <v>36617</v>
      </c>
      <c r="B982" s="32">
        <f>VLOOKUP(Table10[[#This Row],[Month]],database!A:J,MATCH('IP from start'!$A$1,database!$A$1:$J$1,),)</f>
        <v>92.887200000000007</v>
      </c>
      <c r="C982" s="33">
        <f>(Table10[[#This Row],[Industrial Production ]]-B970)/B970</f>
        <v>5.1823903359279791E-2</v>
      </c>
      <c r="D982" s="34">
        <f t="shared" si="14"/>
        <v>4.6658181033163069E-2</v>
      </c>
    </row>
    <row r="983" spans="1:4" x14ac:dyDescent="0.35">
      <c r="A983" s="31">
        <v>36647</v>
      </c>
      <c r="B983" s="32">
        <f>VLOOKUP(Table10[[#This Row],[Month]],database!A:J,MATCH('IP from start'!$A$1,database!$A$1:$J$1,),)</f>
        <v>93.162000000000006</v>
      </c>
      <c r="C983" s="33">
        <f>(Table10[[#This Row],[Industrial Production ]]-B971)/B971</f>
        <v>4.8546574119824069E-2</v>
      </c>
      <c r="D983" s="34">
        <f t="shared" si="14"/>
        <v>4.7297453151978197E-2</v>
      </c>
    </row>
    <row r="984" spans="1:4" x14ac:dyDescent="0.35">
      <c r="A984" s="31">
        <v>36678</v>
      </c>
      <c r="B984" s="32">
        <f>VLOOKUP(Table10[[#This Row],[Month]],database!A:J,MATCH('IP from start'!$A$1,database!$A$1:$J$1,),)</f>
        <v>93.216800000000006</v>
      </c>
      <c r="C984" s="33">
        <f>(Table10[[#This Row],[Industrial Production ]]-B972)/B972</f>
        <v>4.9764746423898019E-2</v>
      </c>
      <c r="D984" s="34">
        <f t="shared" si="14"/>
        <v>4.7563786289202624E-2</v>
      </c>
    </row>
    <row r="985" spans="1:4" x14ac:dyDescent="0.35">
      <c r="A985" s="31">
        <v>36708</v>
      </c>
      <c r="B985" s="32">
        <f>VLOOKUP(Table10[[#This Row],[Month]],database!A:J,MATCH('IP from start'!$A$1,database!$A$1:$J$1,),)</f>
        <v>93.04</v>
      </c>
      <c r="C985" s="33">
        <f>(Table10[[#This Row],[Industrial Production ]]-B973)/B973</f>
        <v>4.1742477766120889E-2</v>
      </c>
      <c r="D985" s="34">
        <f t="shared" si="14"/>
        <v>4.6303220484240605E-2</v>
      </c>
    </row>
    <row r="986" spans="1:4" x14ac:dyDescent="0.35">
      <c r="A986" s="31">
        <v>36739</v>
      </c>
      <c r="B986" s="32">
        <f>VLOOKUP(Table10[[#This Row],[Month]],database!A:J,MATCH('IP from start'!$A$1,database!$A$1:$J$1,),)</f>
        <v>92.79</v>
      </c>
      <c r="C986" s="33">
        <f>(Table10[[#This Row],[Industrial Production ]]-B974)/B974</f>
        <v>3.4322473634753541E-2</v>
      </c>
      <c r="D986" s="34">
        <f t="shared" si="14"/>
        <v>4.5815943904283257E-2</v>
      </c>
    </row>
    <row r="987" spans="1:4" x14ac:dyDescent="0.35">
      <c r="A987" s="31">
        <v>36770</v>
      </c>
      <c r="B987" s="32">
        <f>VLOOKUP(Table10[[#This Row],[Month]],database!A:J,MATCH('IP from start'!$A$1,database!$A$1:$J$1,),)</f>
        <v>93.154700000000005</v>
      </c>
      <c r="C987" s="33">
        <f>(Table10[[#This Row],[Industrial Production ]]-B975)/B975</f>
        <v>4.2779216214370752E-2</v>
      </c>
      <c r="D987" s="34">
        <f t="shared" si="14"/>
        <v>4.6322607815415147E-2</v>
      </c>
    </row>
    <row r="988" spans="1:4" x14ac:dyDescent="0.35">
      <c r="A988" s="31">
        <v>36800</v>
      </c>
      <c r="B988" s="32">
        <f>VLOOKUP(Table10[[#This Row],[Month]],database!A:J,MATCH('IP from start'!$A$1,database!$A$1:$J$1,),)</f>
        <v>92.836100000000002</v>
      </c>
      <c r="C988" s="33">
        <f>(Table10[[#This Row],[Industrial Production ]]-B976)/B976</f>
        <v>2.5899412547352025E-2</v>
      </c>
      <c r="D988" s="34">
        <f t="shared" si="14"/>
        <v>4.4903019167987494E-2</v>
      </c>
    </row>
    <row r="989" spans="1:4" x14ac:dyDescent="0.35">
      <c r="A989" s="31">
        <v>36831</v>
      </c>
      <c r="B989" s="32">
        <f>VLOOKUP(Table10[[#This Row],[Month]],database!A:J,MATCH('IP from start'!$A$1,database!$A$1:$J$1,),)</f>
        <v>92.839500000000001</v>
      </c>
      <c r="C989" s="33">
        <f>(Table10[[#This Row],[Industrial Production ]]-B977)/B977</f>
        <v>2.0606826801517038E-2</v>
      </c>
      <c r="D989" s="34">
        <f t="shared" si="14"/>
        <v>4.2513709292958529E-2</v>
      </c>
    </row>
    <row r="990" spans="1:4" x14ac:dyDescent="0.35">
      <c r="A990" s="31">
        <v>36861</v>
      </c>
      <c r="B990" s="32">
        <f>VLOOKUP(Table10[[#This Row],[Month]],database!A:J,MATCH('IP from start'!$A$1,database!$A$1:$J$1,),)</f>
        <v>92.5334</v>
      </c>
      <c r="C990" s="33">
        <f>(Table10[[#This Row],[Industrial Production ]]-B978)/B978</f>
        <v>9.3040606280076696E-3</v>
      </c>
      <c r="D990" s="34">
        <f t="shared" ref="D990:D1053" si="15">AVERAGE(C979:C990)</f>
        <v>3.886975351755758E-2</v>
      </c>
    </row>
    <row r="991" spans="1:4" x14ac:dyDescent="0.35">
      <c r="A991" s="31">
        <v>36892</v>
      </c>
      <c r="B991" s="32">
        <f>VLOOKUP(Table10[[#This Row],[Month]],database!A:J,MATCH('IP from start'!$A$1,database!$A$1:$J$1,),)</f>
        <v>92.0304</v>
      </c>
      <c r="C991" s="33">
        <f>(Table10[[#This Row],[Industrial Production ]]-B979)/B979</f>
        <v>4.4124981855607334E-3</v>
      </c>
      <c r="D991" s="34">
        <f t="shared" si="15"/>
        <v>3.5233181469273532E-2</v>
      </c>
    </row>
    <row r="992" spans="1:4" x14ac:dyDescent="0.35">
      <c r="A992" s="31">
        <v>36923</v>
      </c>
      <c r="B992" s="32">
        <f>VLOOKUP(Table10[[#This Row],[Month]],database!A:J,MATCH('IP from start'!$A$1,database!$A$1:$J$1,),)</f>
        <v>91.407899999999998</v>
      </c>
      <c r="C992" s="33">
        <f>(Table10[[#This Row],[Industrial Production ]]-B980)/B980</f>
        <v>-6.0317998838657983E-3</v>
      </c>
      <c r="D992" s="34">
        <f t="shared" si="15"/>
        <v>3.0904776488012039E-2</v>
      </c>
    </row>
    <row r="993" spans="1:4" x14ac:dyDescent="0.35">
      <c r="A993" s="31">
        <v>36951</v>
      </c>
      <c r="B993" s="32">
        <f>VLOOKUP(Table10[[#This Row],[Month]],database!A:J,MATCH('IP from start'!$A$1,database!$A$1:$J$1,),)</f>
        <v>91.1751</v>
      </c>
      <c r="C993" s="33">
        <f>(Table10[[#This Row],[Industrial Production ]]-B981)/B981</f>
        <v>-1.2313702040259259E-2</v>
      </c>
      <c r="D993" s="34">
        <f t="shared" si="15"/>
        <v>2.5904723979713284E-2</v>
      </c>
    </row>
    <row r="994" spans="1:4" x14ac:dyDescent="0.35">
      <c r="A994" s="31">
        <v>36982</v>
      </c>
      <c r="B994" s="32">
        <f>VLOOKUP(Table10[[#This Row],[Month]],database!A:J,MATCH('IP from start'!$A$1,database!$A$1:$J$1,),)</f>
        <v>90.8767</v>
      </c>
      <c r="C994" s="33">
        <f>(Table10[[#This Row],[Industrial Production ]]-B982)/B982</f>
        <v>-2.1644532292931722E-2</v>
      </c>
      <c r="D994" s="34">
        <f t="shared" si="15"/>
        <v>1.978235434202899E-2</v>
      </c>
    </row>
    <row r="995" spans="1:4" x14ac:dyDescent="0.35">
      <c r="A995" s="31">
        <v>37012</v>
      </c>
      <c r="B995" s="32">
        <f>VLOOKUP(Table10[[#This Row],[Month]],database!A:J,MATCH('IP from start'!$A$1,database!$A$1:$J$1,),)</f>
        <v>90.375</v>
      </c>
      <c r="C995" s="33">
        <f>(Table10[[#This Row],[Industrial Production ]]-B983)/B983</f>
        <v>-2.9915630836607265E-2</v>
      </c>
      <c r="D995" s="34">
        <f t="shared" si="15"/>
        <v>1.3243837262326389E-2</v>
      </c>
    </row>
    <row r="996" spans="1:4" x14ac:dyDescent="0.35">
      <c r="A996" s="31">
        <v>37043</v>
      </c>
      <c r="B996" s="32">
        <f>VLOOKUP(Table10[[#This Row],[Month]],database!A:J,MATCH('IP from start'!$A$1,database!$A$1:$J$1,),)</f>
        <v>89.8626</v>
      </c>
      <c r="C996" s="33">
        <f>(Table10[[#This Row],[Industrial Production ]]-B984)/B984</f>
        <v>-3.5982784219153692E-2</v>
      </c>
      <c r="D996" s="34">
        <f t="shared" si="15"/>
        <v>6.0982097087387442E-3</v>
      </c>
    </row>
    <row r="997" spans="1:4" x14ac:dyDescent="0.35">
      <c r="A997" s="31">
        <v>37073</v>
      </c>
      <c r="B997" s="32">
        <f>VLOOKUP(Table10[[#This Row],[Month]],database!A:J,MATCH('IP from start'!$A$1,database!$A$1:$J$1,),)</f>
        <v>89.328800000000001</v>
      </c>
      <c r="C997" s="33">
        <f>(Table10[[#This Row],[Industrial Production ]]-B985)/B985</f>
        <v>-3.9888220120378383E-2</v>
      </c>
      <c r="D997" s="34">
        <f t="shared" si="15"/>
        <v>-7.0434844846953054E-4</v>
      </c>
    </row>
    <row r="998" spans="1:4" x14ac:dyDescent="0.35">
      <c r="A998" s="31">
        <v>37104</v>
      </c>
      <c r="B998" s="32">
        <f>VLOOKUP(Table10[[#This Row],[Month]],database!A:J,MATCH('IP from start'!$A$1,database!$A$1:$J$1,),)</f>
        <v>89.220100000000002</v>
      </c>
      <c r="C998" s="33">
        <f>(Table10[[#This Row],[Industrial Production ]]-B986)/B986</f>
        <v>-3.8472895786183896E-2</v>
      </c>
      <c r="D998" s="34">
        <f t="shared" si="15"/>
        <v>-6.7706292335476511E-3</v>
      </c>
    </row>
    <row r="999" spans="1:4" x14ac:dyDescent="0.35">
      <c r="A999" s="31">
        <v>37135</v>
      </c>
      <c r="B999" s="32">
        <f>VLOOKUP(Table10[[#This Row],[Month]],database!A:J,MATCH('IP from start'!$A$1,database!$A$1:$J$1,),)</f>
        <v>88.747799999999998</v>
      </c>
      <c r="C999" s="33">
        <f>(Table10[[#This Row],[Industrial Production ]]-B987)/B987</f>
        <v>-4.7307328562058673E-2</v>
      </c>
      <c r="D999" s="34">
        <f t="shared" si="15"/>
        <v>-1.4277841298250099E-2</v>
      </c>
    </row>
    <row r="1000" spans="1:4" x14ac:dyDescent="0.35">
      <c r="A1000" s="31">
        <v>37165</v>
      </c>
      <c r="B1000" s="32">
        <f>VLOOKUP(Table10[[#This Row],[Month]],database!A:J,MATCH('IP from start'!$A$1,database!$A$1:$J$1,),)</f>
        <v>88.475499999999997</v>
      </c>
      <c r="C1000" s="33">
        <f>(Table10[[#This Row],[Industrial Production ]]-B988)/B988</f>
        <v>-4.6970952032668378E-2</v>
      </c>
      <c r="D1000" s="34">
        <f t="shared" si="15"/>
        <v>-2.0350371679918471E-2</v>
      </c>
    </row>
    <row r="1001" spans="1:4" x14ac:dyDescent="0.35">
      <c r="A1001" s="31">
        <v>37196</v>
      </c>
      <c r="B1001" s="32">
        <f>VLOOKUP(Table10[[#This Row],[Month]],database!A:J,MATCH('IP from start'!$A$1,database!$A$1:$J$1,),)</f>
        <v>87.963099999999997</v>
      </c>
      <c r="C1001" s="33">
        <f>(Table10[[#This Row],[Industrial Production ]]-B989)/B989</f>
        <v>-5.2525056683846896E-2</v>
      </c>
      <c r="D1001" s="34">
        <f t="shared" si="15"/>
        <v>-2.6444695303698796E-2</v>
      </c>
    </row>
    <row r="1002" spans="1:4" x14ac:dyDescent="0.35">
      <c r="A1002" s="31">
        <v>37226</v>
      </c>
      <c r="B1002" s="32">
        <f>VLOOKUP(Table10[[#This Row],[Month]],database!A:J,MATCH('IP from start'!$A$1,database!$A$1:$J$1,),)</f>
        <v>87.932900000000004</v>
      </c>
      <c r="C1002" s="33">
        <f>(Table10[[#This Row],[Industrial Production ]]-B990)/B990</f>
        <v>-4.9717183200876619E-2</v>
      </c>
      <c r="D1002" s="34">
        <f t="shared" si="15"/>
        <v>-3.1363132289439155E-2</v>
      </c>
    </row>
    <row r="1003" spans="1:4" x14ac:dyDescent="0.35">
      <c r="A1003" s="31">
        <v>37257</v>
      </c>
      <c r="B1003" s="32">
        <f>VLOOKUP(Table10[[#This Row],[Month]],database!A:J,MATCH('IP from start'!$A$1,database!$A$1:$J$1,),)</f>
        <v>88.545199999999994</v>
      </c>
      <c r="C1003" s="33">
        <f>(Table10[[#This Row],[Industrial Production ]]-B991)/B991</f>
        <v>-3.7870095099010827E-2</v>
      </c>
      <c r="D1003" s="34">
        <f t="shared" si="15"/>
        <v>-3.4886681729820117E-2</v>
      </c>
    </row>
    <row r="1004" spans="1:4" x14ac:dyDescent="0.35">
      <c r="A1004" s="31">
        <v>37288</v>
      </c>
      <c r="B1004" s="32">
        <f>VLOOKUP(Table10[[#This Row],[Month]],database!A:J,MATCH('IP from start'!$A$1,database!$A$1:$J$1,),)</f>
        <v>88.536199999999994</v>
      </c>
      <c r="C1004" s="33">
        <f>(Table10[[#This Row],[Industrial Production ]]-B992)/B992</f>
        <v>-3.1416321784003401E-2</v>
      </c>
      <c r="D1004" s="34">
        <f t="shared" si="15"/>
        <v>-3.7002058554831588E-2</v>
      </c>
    </row>
    <row r="1005" spans="1:4" x14ac:dyDescent="0.35">
      <c r="A1005" s="31">
        <v>37316</v>
      </c>
      <c r="B1005" s="32">
        <f>VLOOKUP(Table10[[#This Row],[Month]],database!A:J,MATCH('IP from start'!$A$1,database!$A$1:$J$1,),)</f>
        <v>89.209699999999998</v>
      </c>
      <c r="C1005" s="33">
        <f>(Table10[[#This Row],[Industrial Production ]]-B993)/B993</f>
        <v>-2.1556324040225922E-2</v>
      </c>
      <c r="D1005" s="34">
        <f t="shared" si="15"/>
        <v>-3.7772277054828808E-2</v>
      </c>
    </row>
    <row r="1006" spans="1:4" x14ac:dyDescent="0.35">
      <c r="A1006" s="31">
        <v>37347</v>
      </c>
      <c r="B1006" s="32">
        <f>VLOOKUP(Table10[[#This Row],[Month]],database!A:J,MATCH('IP from start'!$A$1,database!$A$1:$J$1,),)</f>
        <v>89.638900000000007</v>
      </c>
      <c r="C1006" s="33">
        <f>(Table10[[#This Row],[Industrial Production ]]-B994)/B994</f>
        <v>-1.3620653038677603E-2</v>
      </c>
      <c r="D1006" s="34">
        <f t="shared" si="15"/>
        <v>-3.7103620450307635E-2</v>
      </c>
    </row>
    <row r="1007" spans="1:4" x14ac:dyDescent="0.35">
      <c r="A1007" s="31">
        <v>37377</v>
      </c>
      <c r="B1007" s="32">
        <f>VLOOKUP(Table10[[#This Row],[Month]],database!A:J,MATCH('IP from start'!$A$1,database!$A$1:$J$1,),)</f>
        <v>90.027100000000004</v>
      </c>
      <c r="C1007" s="33">
        <f>(Table10[[#This Row],[Industrial Production ]]-B995)/B995</f>
        <v>-3.849515905947393E-3</v>
      </c>
      <c r="D1007" s="34">
        <f t="shared" si="15"/>
        <v>-3.4931444206085974E-2</v>
      </c>
    </row>
    <row r="1008" spans="1:4" x14ac:dyDescent="0.35">
      <c r="A1008" s="31">
        <v>37408</v>
      </c>
      <c r="B1008" s="32">
        <f>VLOOKUP(Table10[[#This Row],[Month]],database!A:J,MATCH('IP from start'!$A$1,database!$A$1:$J$1,),)</f>
        <v>90.764499999999998</v>
      </c>
      <c r="C1008" s="33">
        <f>(Table10[[#This Row],[Industrial Production ]]-B996)/B996</f>
        <v>1.0036433399434221E-2</v>
      </c>
      <c r="D1008" s="34">
        <f t="shared" si="15"/>
        <v>-3.1096509404536982E-2</v>
      </c>
    </row>
    <row r="1009" spans="1:4" x14ac:dyDescent="0.35">
      <c r="A1009" s="31">
        <v>37438</v>
      </c>
      <c r="B1009" s="32">
        <f>VLOOKUP(Table10[[#This Row],[Month]],database!A:J,MATCH('IP from start'!$A$1,database!$A$1:$J$1,),)</f>
        <v>90.743700000000004</v>
      </c>
      <c r="C1009" s="33">
        <f>(Table10[[#This Row],[Industrial Production ]]-B997)/B997</f>
        <v>1.5839236617977662E-2</v>
      </c>
      <c r="D1009" s="34">
        <f t="shared" si="15"/>
        <v>-2.6452554676340643E-2</v>
      </c>
    </row>
    <row r="1010" spans="1:4" x14ac:dyDescent="0.35">
      <c r="A1010" s="31">
        <v>37469</v>
      </c>
      <c r="B1010" s="32">
        <f>VLOOKUP(Table10[[#This Row],[Month]],database!A:J,MATCH('IP from start'!$A$1,database!$A$1:$J$1,),)</f>
        <v>90.626800000000003</v>
      </c>
      <c r="C1010" s="33">
        <f>(Table10[[#This Row],[Industrial Production ]]-B998)/B998</f>
        <v>1.5766626578540045E-2</v>
      </c>
      <c r="D1010" s="34">
        <f t="shared" si="15"/>
        <v>-2.193259447928032E-2</v>
      </c>
    </row>
    <row r="1011" spans="1:4" x14ac:dyDescent="0.35">
      <c r="A1011" s="31">
        <v>37500</v>
      </c>
      <c r="B1011" s="32">
        <f>VLOOKUP(Table10[[#This Row],[Month]],database!A:J,MATCH('IP from start'!$A$1,database!$A$1:$J$1,),)</f>
        <v>90.724100000000007</v>
      </c>
      <c r="C1011" s="33">
        <f>(Table10[[#This Row],[Industrial Production ]]-B999)/B999</f>
        <v>2.2268721027450925E-2</v>
      </c>
      <c r="D1011" s="34">
        <f t="shared" si="15"/>
        <v>-1.6134590346821187E-2</v>
      </c>
    </row>
    <row r="1012" spans="1:4" x14ac:dyDescent="0.35">
      <c r="A1012" s="31">
        <v>37530</v>
      </c>
      <c r="B1012" s="32">
        <f>VLOOKUP(Table10[[#This Row],[Month]],database!A:J,MATCH('IP from start'!$A$1,database!$A$1:$J$1,),)</f>
        <v>90.487899999999996</v>
      </c>
      <c r="C1012" s="33">
        <f>(Table10[[#This Row],[Industrial Production ]]-B1000)/B1000</f>
        <v>2.2745279766715074E-2</v>
      </c>
      <c r="D1012" s="34">
        <f t="shared" si="15"/>
        <v>-1.0324904363539228E-2</v>
      </c>
    </row>
    <row r="1013" spans="1:4" x14ac:dyDescent="0.35">
      <c r="A1013" s="31">
        <v>37561</v>
      </c>
      <c r="B1013" s="32">
        <f>VLOOKUP(Table10[[#This Row],[Month]],database!A:J,MATCH('IP from start'!$A$1,database!$A$1:$J$1,),)</f>
        <v>90.982299999999995</v>
      </c>
      <c r="C1013" s="33">
        <f>(Table10[[#This Row],[Industrial Production ]]-B1001)/B1001</f>
        <v>3.432348336973115E-2</v>
      </c>
      <c r="D1013" s="34">
        <f t="shared" si="15"/>
        <v>-3.0875260257410601E-3</v>
      </c>
    </row>
    <row r="1014" spans="1:4" x14ac:dyDescent="0.35">
      <c r="A1014" s="31">
        <v>37591</v>
      </c>
      <c r="B1014" s="32">
        <f>VLOOKUP(Table10[[#This Row],[Month]],database!A:J,MATCH('IP from start'!$A$1,database!$A$1:$J$1,),)</f>
        <v>90.491900000000001</v>
      </c>
      <c r="C1014" s="33">
        <f>(Table10[[#This Row],[Industrial Production ]]-B1002)/B1002</f>
        <v>2.9101735527885437E-2</v>
      </c>
      <c r="D1014" s="34">
        <f t="shared" si="15"/>
        <v>3.4807172016557788E-3</v>
      </c>
    </row>
    <row r="1015" spans="1:4" x14ac:dyDescent="0.35">
      <c r="A1015" s="31">
        <v>37622</v>
      </c>
      <c r="B1015" s="32">
        <f>VLOOKUP(Table10[[#This Row],[Month]],database!A:J,MATCH('IP from start'!$A$1,database!$A$1:$J$1,),)</f>
        <v>91.239500000000007</v>
      </c>
      <c r="C1015" s="33">
        <f>(Table10[[#This Row],[Industrial Production ]]-B1003)/B1003</f>
        <v>3.0428526899256118E-2</v>
      </c>
      <c r="D1015" s="34">
        <f t="shared" si="15"/>
        <v>9.1722690348446934E-3</v>
      </c>
    </row>
    <row r="1016" spans="1:4" x14ac:dyDescent="0.35">
      <c r="A1016" s="31">
        <v>37653</v>
      </c>
      <c r="B1016" s="32">
        <f>VLOOKUP(Table10[[#This Row],[Month]],database!A:J,MATCH('IP from start'!$A$1,database!$A$1:$J$1,),)</f>
        <v>91.338399999999993</v>
      </c>
      <c r="C1016" s="33">
        <f>(Table10[[#This Row],[Industrial Production ]]-B1004)/B1004</f>
        <v>3.165033059923511E-2</v>
      </c>
      <c r="D1016" s="34">
        <f t="shared" si="15"/>
        <v>1.4427823400114568E-2</v>
      </c>
    </row>
    <row r="1017" spans="1:4" x14ac:dyDescent="0.35">
      <c r="A1017" s="31">
        <v>37681</v>
      </c>
      <c r="B1017" s="32">
        <f>VLOOKUP(Table10[[#This Row],[Month]],database!A:J,MATCH('IP from start'!$A$1,database!$A$1:$J$1,),)</f>
        <v>91.069000000000003</v>
      </c>
      <c r="C1017" s="33">
        <f>(Table10[[#This Row],[Industrial Production ]]-B1005)/B1005</f>
        <v>2.0841903963358298E-2</v>
      </c>
      <c r="D1017" s="34">
        <f t="shared" si="15"/>
        <v>1.7961009067079921E-2</v>
      </c>
    </row>
    <row r="1018" spans="1:4" x14ac:dyDescent="0.35">
      <c r="A1018" s="31">
        <v>37712</v>
      </c>
      <c r="B1018" s="32">
        <f>VLOOKUP(Table10[[#This Row],[Month]],database!A:J,MATCH('IP from start'!$A$1,database!$A$1:$J$1,),)</f>
        <v>90.491299999999995</v>
      </c>
      <c r="C1018" s="33">
        <f>(Table10[[#This Row],[Industrial Production ]]-B1006)/B1006</f>
        <v>9.5092643930256692E-3</v>
      </c>
      <c r="D1018" s="34">
        <f t="shared" si="15"/>
        <v>1.9888502186388528E-2</v>
      </c>
    </row>
    <row r="1019" spans="1:4" x14ac:dyDescent="0.35">
      <c r="A1019" s="31">
        <v>37742</v>
      </c>
      <c r="B1019" s="32">
        <f>VLOOKUP(Table10[[#This Row],[Month]],database!A:J,MATCH('IP from start'!$A$1,database!$A$1:$J$1,),)</f>
        <v>90.469700000000003</v>
      </c>
      <c r="C1019" s="33">
        <f>(Table10[[#This Row],[Industrial Production ]]-B1007)/B1007</f>
        <v>4.9162974259972687E-3</v>
      </c>
      <c r="D1019" s="34">
        <f t="shared" si="15"/>
        <v>2.0618986630717248E-2</v>
      </c>
    </row>
    <row r="1020" spans="1:4" x14ac:dyDescent="0.35">
      <c r="A1020" s="31">
        <v>37773</v>
      </c>
      <c r="B1020" s="32">
        <f>VLOOKUP(Table10[[#This Row],[Month]],database!A:J,MATCH('IP from start'!$A$1,database!$A$1:$J$1,),)</f>
        <v>90.5899</v>
      </c>
      <c r="C1020" s="33">
        <f>(Table10[[#This Row],[Industrial Production ]]-B1008)/B1008</f>
        <v>-1.9236595805628644E-3</v>
      </c>
      <c r="D1020" s="34">
        <f t="shared" si="15"/>
        <v>1.9622312215717492E-2</v>
      </c>
    </row>
    <row r="1021" spans="1:4" x14ac:dyDescent="0.35">
      <c r="A1021" s="31">
        <v>37803</v>
      </c>
      <c r="B1021" s="32">
        <f>VLOOKUP(Table10[[#This Row],[Month]],database!A:J,MATCH('IP from start'!$A$1,database!$A$1:$J$1,),)</f>
        <v>91.061400000000006</v>
      </c>
      <c r="C1021" s="33">
        <f>(Table10[[#This Row],[Industrial Production ]]-B1009)/B1009</f>
        <v>3.5010694957336112E-3</v>
      </c>
      <c r="D1021" s="34">
        <f t="shared" si="15"/>
        <v>1.8594131622197151E-2</v>
      </c>
    </row>
    <row r="1022" spans="1:4" x14ac:dyDescent="0.35">
      <c r="A1022" s="31">
        <v>37834</v>
      </c>
      <c r="B1022" s="32">
        <f>VLOOKUP(Table10[[#This Row],[Month]],database!A:J,MATCH('IP from start'!$A$1,database!$A$1:$J$1,),)</f>
        <v>90.845200000000006</v>
      </c>
      <c r="C1022" s="33">
        <f>(Table10[[#This Row],[Industrial Production ]]-B1010)/B1010</f>
        <v>2.4098831692170811E-3</v>
      </c>
      <c r="D1022" s="34">
        <f t="shared" si="15"/>
        <v>1.7481069671420241E-2</v>
      </c>
    </row>
    <row r="1023" spans="1:4" x14ac:dyDescent="0.35">
      <c r="A1023" s="31">
        <v>37865</v>
      </c>
      <c r="B1023" s="32">
        <f>VLOOKUP(Table10[[#This Row],[Month]],database!A:J,MATCH('IP from start'!$A$1,database!$A$1:$J$1,),)</f>
        <v>91.445300000000003</v>
      </c>
      <c r="C1023" s="33">
        <f>(Table10[[#This Row],[Industrial Production ]]-B1011)/B1011</f>
        <v>7.9493761856000329E-3</v>
      </c>
      <c r="D1023" s="34">
        <f t="shared" si="15"/>
        <v>1.6287790934599335E-2</v>
      </c>
    </row>
    <row r="1024" spans="1:4" x14ac:dyDescent="0.35">
      <c r="A1024" s="31">
        <v>37895</v>
      </c>
      <c r="B1024" s="32">
        <f>VLOOKUP(Table10[[#This Row],[Month]],database!A:J,MATCH('IP from start'!$A$1,database!$A$1:$J$1,),)</f>
        <v>91.5595</v>
      </c>
      <c r="C1024" s="33">
        <f>(Table10[[#This Row],[Industrial Production ]]-B1012)/B1012</f>
        <v>1.1842467335411737E-2</v>
      </c>
      <c r="D1024" s="34">
        <f t="shared" si="15"/>
        <v>1.5379223231990723E-2</v>
      </c>
    </row>
    <row r="1025" spans="1:4" x14ac:dyDescent="0.35">
      <c r="A1025" s="31">
        <v>37926</v>
      </c>
      <c r="B1025" s="32">
        <f>VLOOKUP(Table10[[#This Row],[Month]],database!A:J,MATCH('IP from start'!$A$1,database!$A$1:$J$1,),)</f>
        <v>92.176299999999998</v>
      </c>
      <c r="C1025" s="33">
        <f>(Table10[[#This Row],[Industrial Production ]]-B1013)/B1013</f>
        <v>1.3123431700451656E-2</v>
      </c>
      <c r="D1025" s="34">
        <f t="shared" si="15"/>
        <v>1.3612552259550765E-2</v>
      </c>
    </row>
    <row r="1026" spans="1:4" x14ac:dyDescent="0.35">
      <c r="A1026" s="31">
        <v>37956</v>
      </c>
      <c r="B1026" s="32">
        <f>VLOOKUP(Table10[[#This Row],[Month]],database!A:J,MATCH('IP from start'!$A$1,database!$A$1:$J$1,),)</f>
        <v>92.253200000000007</v>
      </c>
      <c r="C1026" s="33">
        <f>(Table10[[#This Row],[Industrial Production ]]-B1014)/B1014</f>
        <v>1.9463620500840467E-2</v>
      </c>
      <c r="D1026" s="34">
        <f t="shared" si="15"/>
        <v>1.2809376007297014E-2</v>
      </c>
    </row>
    <row r="1027" spans="1:4" x14ac:dyDescent="0.35">
      <c r="A1027" s="31">
        <v>37987</v>
      </c>
      <c r="B1027" s="32">
        <f>VLOOKUP(Table10[[#This Row],[Month]],database!A:J,MATCH('IP from start'!$A$1,database!$A$1:$J$1,),)</f>
        <v>92.406700000000001</v>
      </c>
      <c r="C1027" s="33">
        <f>(Table10[[#This Row],[Industrial Production ]]-B1015)/B1015</f>
        <v>1.2792704913990037E-2</v>
      </c>
      <c r="D1027" s="34">
        <f t="shared" si="15"/>
        <v>1.133972417519151E-2</v>
      </c>
    </row>
    <row r="1028" spans="1:4" x14ac:dyDescent="0.35">
      <c r="A1028" s="31">
        <v>38018</v>
      </c>
      <c r="B1028" s="32">
        <f>VLOOKUP(Table10[[#This Row],[Month]],database!A:J,MATCH('IP from start'!$A$1,database!$A$1:$J$1,),)</f>
        <v>92.968699999999998</v>
      </c>
      <c r="C1028" s="33">
        <f>(Table10[[#This Row],[Industrial Production ]]-B1016)/B1016</f>
        <v>1.7849009835950766E-2</v>
      </c>
      <c r="D1028" s="34">
        <f t="shared" si="15"/>
        <v>1.0189614111584481E-2</v>
      </c>
    </row>
    <row r="1029" spans="1:4" x14ac:dyDescent="0.35">
      <c r="A1029" s="31">
        <v>38047</v>
      </c>
      <c r="B1029" s="32">
        <f>VLOOKUP(Table10[[#This Row],[Month]],database!A:J,MATCH('IP from start'!$A$1,database!$A$1:$J$1,),)</f>
        <v>92.6</v>
      </c>
      <c r="C1029" s="33">
        <f>(Table10[[#This Row],[Industrial Production ]]-B1017)/B1017</f>
        <v>1.6811428696922023E-2</v>
      </c>
      <c r="D1029" s="34">
        <f t="shared" si="15"/>
        <v>9.8537411727147913E-3</v>
      </c>
    </row>
    <row r="1030" spans="1:4" x14ac:dyDescent="0.35">
      <c r="A1030" s="31">
        <v>38078</v>
      </c>
      <c r="B1030" s="32">
        <f>VLOOKUP(Table10[[#This Row],[Month]],database!A:J,MATCH('IP from start'!$A$1,database!$A$1:$J$1,),)</f>
        <v>92.976100000000002</v>
      </c>
      <c r="C1030" s="33">
        <f>(Table10[[#This Row],[Industrial Production ]]-B1018)/B1018</f>
        <v>2.7458993295488152E-2</v>
      </c>
      <c r="D1030" s="34">
        <f t="shared" si="15"/>
        <v>1.1349551914586664E-2</v>
      </c>
    </row>
    <row r="1031" spans="1:4" x14ac:dyDescent="0.35">
      <c r="A1031" s="31">
        <v>38108</v>
      </c>
      <c r="B1031" s="32">
        <f>VLOOKUP(Table10[[#This Row],[Month]],database!A:J,MATCH('IP from start'!$A$1,database!$A$1:$J$1,),)</f>
        <v>93.644599999999997</v>
      </c>
      <c r="C1031" s="33">
        <f>(Table10[[#This Row],[Industrial Production ]]-B1019)/B1019</f>
        <v>3.5093517498123609E-2</v>
      </c>
      <c r="D1031" s="34">
        <f t="shared" si="15"/>
        <v>1.3864320253930527E-2</v>
      </c>
    </row>
    <row r="1032" spans="1:4" x14ac:dyDescent="0.35">
      <c r="A1032" s="31">
        <v>38139</v>
      </c>
      <c r="B1032" s="32">
        <f>VLOOKUP(Table10[[#This Row],[Month]],database!A:J,MATCH('IP from start'!$A$1,database!$A$1:$J$1,),)</f>
        <v>92.930300000000003</v>
      </c>
      <c r="C1032" s="33">
        <f>(Table10[[#This Row],[Industrial Production ]]-B1020)/B1020</f>
        <v>2.5835109653504447E-2</v>
      </c>
      <c r="D1032" s="34">
        <f t="shared" si="15"/>
        <v>1.6177551023436137E-2</v>
      </c>
    </row>
    <row r="1033" spans="1:4" x14ac:dyDescent="0.35">
      <c r="A1033" s="31">
        <v>38169</v>
      </c>
      <c r="B1033" s="32">
        <f>VLOOKUP(Table10[[#This Row],[Month]],database!A:J,MATCH('IP from start'!$A$1,database!$A$1:$J$1,),)</f>
        <v>93.610900000000001</v>
      </c>
      <c r="C1033" s="33">
        <f>(Table10[[#This Row],[Industrial Production ]]-B1021)/B1021</f>
        <v>2.7997592832967585E-2</v>
      </c>
      <c r="D1033" s="34">
        <f t="shared" si="15"/>
        <v>1.8218927968205633E-2</v>
      </c>
    </row>
    <row r="1034" spans="1:4" x14ac:dyDescent="0.35">
      <c r="A1034" s="31">
        <v>38200</v>
      </c>
      <c r="B1034" s="32">
        <f>VLOOKUP(Table10[[#This Row],[Month]],database!A:J,MATCH('IP from start'!$A$1,database!$A$1:$J$1,),)</f>
        <v>93.695800000000006</v>
      </c>
      <c r="C1034" s="33">
        <f>(Table10[[#This Row],[Industrial Production ]]-B1022)/B1022</f>
        <v>3.1378652917270253E-2</v>
      </c>
      <c r="D1034" s="34">
        <f t="shared" si="15"/>
        <v>2.063299211387673E-2</v>
      </c>
    </row>
    <row r="1035" spans="1:4" x14ac:dyDescent="0.35">
      <c r="A1035" s="31">
        <v>38231</v>
      </c>
      <c r="B1035" s="32">
        <f>VLOOKUP(Table10[[#This Row],[Month]],database!A:J,MATCH('IP from start'!$A$1,database!$A$1:$J$1,),)</f>
        <v>93.7958</v>
      </c>
      <c r="C1035" s="33">
        <f>(Table10[[#This Row],[Industrial Production ]]-B1023)/B1023</f>
        <v>2.5703890741240902E-2</v>
      </c>
      <c r="D1035" s="34">
        <f t="shared" si="15"/>
        <v>2.2112534993513469E-2</v>
      </c>
    </row>
    <row r="1036" spans="1:4" x14ac:dyDescent="0.35">
      <c r="A1036" s="31">
        <v>38261</v>
      </c>
      <c r="B1036" s="32">
        <f>VLOOKUP(Table10[[#This Row],[Month]],database!A:J,MATCH('IP from start'!$A$1,database!$A$1:$J$1,),)</f>
        <v>94.622600000000006</v>
      </c>
      <c r="C1036" s="33">
        <f>(Table10[[#This Row],[Industrial Production ]]-B1024)/B1024</f>
        <v>3.3454748005395461E-2</v>
      </c>
      <c r="D1036" s="34">
        <f t="shared" si="15"/>
        <v>2.3913558382678779E-2</v>
      </c>
    </row>
    <row r="1037" spans="1:4" x14ac:dyDescent="0.35">
      <c r="A1037" s="31">
        <v>38292</v>
      </c>
      <c r="B1037" s="32">
        <f>VLOOKUP(Table10[[#This Row],[Month]],database!A:J,MATCH('IP from start'!$A$1,database!$A$1:$J$1,),)</f>
        <v>94.849100000000007</v>
      </c>
      <c r="C1037" s="33">
        <f>(Table10[[#This Row],[Industrial Production ]]-B1025)/B1025</f>
        <v>2.8996607587850776E-2</v>
      </c>
      <c r="D1037" s="34">
        <f t="shared" si="15"/>
        <v>2.5236323039962039E-2</v>
      </c>
    </row>
    <row r="1038" spans="1:4" x14ac:dyDescent="0.35">
      <c r="A1038" s="31">
        <v>38322</v>
      </c>
      <c r="B1038" s="32">
        <f>VLOOKUP(Table10[[#This Row],[Month]],database!A:J,MATCH('IP from start'!$A$1,database!$A$1:$J$1,),)</f>
        <v>95.584100000000007</v>
      </c>
      <c r="C1038" s="33">
        <f>(Table10[[#This Row],[Industrial Production ]]-B1026)/B1026</f>
        <v>3.6106064613476818E-2</v>
      </c>
      <c r="D1038" s="34">
        <f t="shared" si="15"/>
        <v>2.6623193382681737E-2</v>
      </c>
    </row>
    <row r="1039" spans="1:4" x14ac:dyDescent="0.35">
      <c r="A1039" s="31">
        <v>38353</v>
      </c>
      <c r="B1039" s="32">
        <f>VLOOKUP(Table10[[#This Row],[Month]],database!A:J,MATCH('IP from start'!$A$1,database!$A$1:$J$1,),)</f>
        <v>95.9285</v>
      </c>
      <c r="C1039" s="33">
        <f>(Table10[[#This Row],[Industrial Production ]]-B1027)/B1027</f>
        <v>3.8111955085507854E-2</v>
      </c>
      <c r="D1039" s="34">
        <f t="shared" si="15"/>
        <v>2.8733130896974889E-2</v>
      </c>
    </row>
    <row r="1040" spans="1:4" x14ac:dyDescent="0.35">
      <c r="A1040" s="31">
        <v>38384</v>
      </c>
      <c r="B1040" s="32">
        <f>VLOOKUP(Table10[[#This Row],[Month]],database!A:J,MATCH('IP from start'!$A$1,database!$A$1:$J$1,),)</f>
        <v>96.628699999999995</v>
      </c>
      <c r="C1040" s="33">
        <f>(Table10[[#This Row],[Industrial Production ]]-B1028)/B1028</f>
        <v>3.9368088399644147E-2</v>
      </c>
      <c r="D1040" s="34">
        <f t="shared" si="15"/>
        <v>3.0526387443949338E-2</v>
      </c>
    </row>
    <row r="1041" spans="1:4" x14ac:dyDescent="0.35">
      <c r="A1041" s="31">
        <v>38412</v>
      </c>
      <c r="B1041" s="32">
        <f>VLOOKUP(Table10[[#This Row],[Month]],database!A:J,MATCH('IP from start'!$A$1,database!$A$1:$J$1,),)</f>
        <v>96.490700000000004</v>
      </c>
      <c r="C1041" s="33">
        <f>(Table10[[#This Row],[Industrial Production ]]-B1029)/B1029</f>
        <v>4.201619870410378E-2</v>
      </c>
      <c r="D1041" s="34">
        <f t="shared" si="15"/>
        <v>3.2626784944547821E-2</v>
      </c>
    </row>
    <row r="1042" spans="1:4" x14ac:dyDescent="0.35">
      <c r="A1042" s="31">
        <v>38443</v>
      </c>
      <c r="B1042" s="32">
        <f>VLOOKUP(Table10[[#This Row],[Month]],database!A:J,MATCH('IP from start'!$A$1,database!$A$1:$J$1,),)</f>
        <v>96.680899999999994</v>
      </c>
      <c r="C1042" s="33">
        <f>(Table10[[#This Row],[Industrial Production ]]-B1030)/B1030</f>
        <v>3.9846799338754707E-2</v>
      </c>
      <c r="D1042" s="34">
        <f t="shared" si="15"/>
        <v>3.3659102114820032E-2</v>
      </c>
    </row>
    <row r="1043" spans="1:4" x14ac:dyDescent="0.35">
      <c r="A1043" s="31">
        <v>38473</v>
      </c>
      <c r="B1043" s="32">
        <f>VLOOKUP(Table10[[#This Row],[Month]],database!A:J,MATCH('IP from start'!$A$1,database!$A$1:$J$1,),)</f>
        <v>96.792500000000004</v>
      </c>
      <c r="C1043" s="33">
        <f>(Table10[[#This Row],[Industrial Production ]]-B1031)/B1031</f>
        <v>3.3615392665460764E-2</v>
      </c>
      <c r="D1043" s="34">
        <f t="shared" si="15"/>
        <v>3.3535925045431458E-2</v>
      </c>
    </row>
    <row r="1044" spans="1:4" x14ac:dyDescent="0.35">
      <c r="A1044" s="31">
        <v>38504</v>
      </c>
      <c r="B1044" s="32">
        <f>VLOOKUP(Table10[[#This Row],[Month]],database!A:J,MATCH('IP from start'!$A$1,database!$A$1:$J$1,),)</f>
        <v>97.19</v>
      </c>
      <c r="C1044" s="33">
        <f>(Table10[[#This Row],[Industrial Production ]]-B1032)/B1032</f>
        <v>4.5837579347102024E-2</v>
      </c>
      <c r="D1044" s="34">
        <f t="shared" si="15"/>
        <v>3.5202797519897924E-2</v>
      </c>
    </row>
    <row r="1045" spans="1:4" x14ac:dyDescent="0.35">
      <c r="A1045" s="31">
        <v>38534</v>
      </c>
      <c r="B1045" s="32">
        <f>VLOOKUP(Table10[[#This Row],[Month]],database!A:J,MATCH('IP from start'!$A$1,database!$A$1:$J$1,),)</f>
        <v>96.898099999999999</v>
      </c>
      <c r="C1045" s="33">
        <f>(Table10[[#This Row],[Industrial Production ]]-B1033)/B1033</f>
        <v>3.5115568806623997E-2</v>
      </c>
      <c r="D1045" s="34">
        <f t="shared" si="15"/>
        <v>3.5795962184369284E-2</v>
      </c>
    </row>
    <row r="1046" spans="1:4" x14ac:dyDescent="0.35">
      <c r="A1046" s="31">
        <v>38565</v>
      </c>
      <c r="B1046" s="32">
        <f>VLOOKUP(Table10[[#This Row],[Month]],database!A:J,MATCH('IP from start'!$A$1,database!$A$1:$J$1,),)</f>
        <v>97.222300000000004</v>
      </c>
      <c r="C1046" s="33">
        <f>(Table10[[#This Row],[Industrial Production ]]-B1034)/B1034</f>
        <v>3.7637759643441848E-2</v>
      </c>
      <c r="D1046" s="34">
        <f t="shared" si="15"/>
        <v>3.6317554411550254E-2</v>
      </c>
    </row>
    <row r="1047" spans="1:4" x14ac:dyDescent="0.35">
      <c r="A1047" s="31">
        <v>38596</v>
      </c>
      <c r="B1047" s="32">
        <f>VLOOKUP(Table10[[#This Row],[Month]],database!A:J,MATCH('IP from start'!$A$1,database!$A$1:$J$1,),)</f>
        <v>95.346299999999999</v>
      </c>
      <c r="C1047" s="33">
        <f>(Table10[[#This Row],[Industrial Production ]]-B1035)/B1035</f>
        <v>1.6530590921981576E-2</v>
      </c>
      <c r="D1047" s="34">
        <f t="shared" si="15"/>
        <v>3.5553112759945313E-2</v>
      </c>
    </row>
    <row r="1048" spans="1:4" x14ac:dyDescent="0.35">
      <c r="A1048" s="31">
        <v>38626</v>
      </c>
      <c r="B1048" s="32">
        <f>VLOOKUP(Table10[[#This Row],[Month]],database!A:J,MATCH('IP from start'!$A$1,database!$A$1:$J$1,),)</f>
        <v>96.498099999999994</v>
      </c>
      <c r="C1048" s="33">
        <f>(Table10[[#This Row],[Industrial Production ]]-B1036)/B1036</f>
        <v>1.9820846182624322E-2</v>
      </c>
      <c r="D1048" s="34">
        <f t="shared" si="15"/>
        <v>3.4416954274714383E-2</v>
      </c>
    </row>
    <row r="1049" spans="1:4" x14ac:dyDescent="0.35">
      <c r="A1049" s="31">
        <v>38657</v>
      </c>
      <c r="B1049" s="32">
        <f>VLOOKUP(Table10[[#This Row],[Month]],database!A:J,MATCH('IP from start'!$A$1,database!$A$1:$J$1,),)</f>
        <v>97.564599999999999</v>
      </c>
      <c r="C1049" s="33">
        <f>(Table10[[#This Row],[Industrial Production ]]-B1037)/B1037</f>
        <v>2.8629686523119265E-2</v>
      </c>
      <c r="D1049" s="34">
        <f t="shared" si="15"/>
        <v>3.438637751932009E-2</v>
      </c>
    </row>
    <row r="1050" spans="1:4" x14ac:dyDescent="0.35">
      <c r="A1050" s="31">
        <v>38687</v>
      </c>
      <c r="B1050" s="32">
        <f>VLOOKUP(Table10[[#This Row],[Month]],database!A:J,MATCH('IP from start'!$A$1,database!$A$1:$J$1,),)</f>
        <v>98.022199999999998</v>
      </c>
      <c r="C1050" s="33">
        <f>(Table10[[#This Row],[Industrial Production ]]-B1038)/B1038</f>
        <v>2.5507380411595563E-2</v>
      </c>
      <c r="D1050" s="34">
        <f t="shared" si="15"/>
        <v>3.3503153835829982E-2</v>
      </c>
    </row>
    <row r="1051" spans="1:4" x14ac:dyDescent="0.35">
      <c r="A1051" s="31">
        <v>38718</v>
      </c>
      <c r="B1051" s="32">
        <f>VLOOKUP(Table10[[#This Row],[Month]],database!A:J,MATCH('IP from start'!$A$1,database!$A$1:$J$1,),)</f>
        <v>98.204400000000007</v>
      </c>
      <c r="C1051" s="33">
        <f>(Table10[[#This Row],[Industrial Production ]]-B1039)/B1039</f>
        <v>2.3724961820522653E-2</v>
      </c>
      <c r="D1051" s="34">
        <f t="shared" si="15"/>
        <v>3.2304237730414555E-2</v>
      </c>
    </row>
    <row r="1052" spans="1:4" x14ac:dyDescent="0.35">
      <c r="A1052" s="31">
        <v>38749</v>
      </c>
      <c r="B1052" s="32">
        <f>VLOOKUP(Table10[[#This Row],[Month]],database!A:J,MATCH('IP from start'!$A$1,database!$A$1:$J$1,),)</f>
        <v>98.240399999999994</v>
      </c>
      <c r="C1052" s="33">
        <f>(Table10[[#This Row],[Industrial Production ]]-B1040)/B1040</f>
        <v>1.6679309563307786E-2</v>
      </c>
      <c r="D1052" s="34">
        <f t="shared" si="15"/>
        <v>3.041350616071985E-2</v>
      </c>
    </row>
    <row r="1053" spans="1:4" x14ac:dyDescent="0.35">
      <c r="A1053" s="31">
        <v>38777</v>
      </c>
      <c r="B1053" s="32">
        <f>VLOOKUP(Table10[[#This Row],[Month]],database!A:J,MATCH('IP from start'!$A$1,database!$A$1:$J$1,),)</f>
        <v>98.474199999999996</v>
      </c>
      <c r="C1053" s="33">
        <f>(Table10[[#This Row],[Industrial Production ]]-B1041)/B1041</f>
        <v>2.0556385226762706E-2</v>
      </c>
      <c r="D1053" s="34">
        <f t="shared" si="15"/>
        <v>2.8625188370941437E-2</v>
      </c>
    </row>
    <row r="1054" spans="1:4" x14ac:dyDescent="0.35">
      <c r="A1054" s="31">
        <v>38808</v>
      </c>
      <c r="B1054" s="32">
        <f>VLOOKUP(Table10[[#This Row],[Month]],database!A:J,MATCH('IP from start'!$A$1,database!$A$1:$J$1,),)</f>
        <v>98.776499999999999</v>
      </c>
      <c r="C1054" s="33">
        <f>(Table10[[#This Row],[Industrial Production ]]-B1042)/B1042</f>
        <v>2.1675429169567152E-2</v>
      </c>
      <c r="D1054" s="34">
        <f t="shared" ref="D1054:D1117" si="16">AVERAGE(C1043:C1054)</f>
        <v>2.7110907523509139E-2</v>
      </c>
    </row>
    <row r="1055" spans="1:4" x14ac:dyDescent="0.35">
      <c r="A1055" s="31">
        <v>38838</v>
      </c>
      <c r="B1055" s="32">
        <f>VLOOKUP(Table10[[#This Row],[Month]],database!A:J,MATCH('IP from start'!$A$1,database!$A$1:$J$1,),)</f>
        <v>98.788399999999996</v>
      </c>
      <c r="C1055" s="33">
        <f>(Table10[[#This Row],[Industrial Production ]]-B1043)/B1043</f>
        <v>2.0620399307797521E-2</v>
      </c>
      <c r="D1055" s="34">
        <f t="shared" si="16"/>
        <v>2.6027991410370533E-2</v>
      </c>
    </row>
    <row r="1056" spans="1:4" x14ac:dyDescent="0.35">
      <c r="A1056" s="31">
        <v>38869</v>
      </c>
      <c r="B1056" s="32">
        <f>VLOOKUP(Table10[[#This Row],[Month]],database!A:J,MATCH('IP from start'!$A$1,database!$A$1:$J$1,),)</f>
        <v>99.106899999999996</v>
      </c>
      <c r="C1056" s="33">
        <f>(Table10[[#This Row],[Industrial Production ]]-B1044)/B1044</f>
        <v>1.9723222553760657E-2</v>
      </c>
      <c r="D1056" s="34">
        <f t="shared" si="16"/>
        <v>2.3851795010925419E-2</v>
      </c>
    </row>
    <row r="1057" spans="1:4" x14ac:dyDescent="0.35">
      <c r="A1057" s="31">
        <v>38899</v>
      </c>
      <c r="B1057" s="32">
        <f>VLOOKUP(Table10[[#This Row],[Month]],database!A:J,MATCH('IP from start'!$A$1,database!$A$1:$J$1,),)</f>
        <v>99.035700000000006</v>
      </c>
      <c r="C1057" s="33">
        <f>(Table10[[#This Row],[Industrial Production ]]-B1045)/B1045</f>
        <v>2.2060288075824049E-2</v>
      </c>
      <c r="D1057" s="34">
        <f t="shared" si="16"/>
        <v>2.2763854950025423E-2</v>
      </c>
    </row>
    <row r="1058" spans="1:4" x14ac:dyDescent="0.35">
      <c r="A1058" s="31">
        <v>38930</v>
      </c>
      <c r="B1058" s="32">
        <f>VLOOKUP(Table10[[#This Row],[Month]],database!A:J,MATCH('IP from start'!$A$1,database!$A$1:$J$1,),)</f>
        <v>99.458299999999994</v>
      </c>
      <c r="C1058" s="33">
        <f>(Table10[[#This Row],[Industrial Production ]]-B1046)/B1046</f>
        <v>2.2998838743786044E-2</v>
      </c>
      <c r="D1058" s="34">
        <f t="shared" si="16"/>
        <v>2.1543944875054108E-2</v>
      </c>
    </row>
    <row r="1059" spans="1:4" x14ac:dyDescent="0.35">
      <c r="A1059" s="31">
        <v>38961</v>
      </c>
      <c r="B1059" s="32">
        <f>VLOOKUP(Table10[[#This Row],[Month]],database!A:J,MATCH('IP from start'!$A$1,database!$A$1:$J$1,),)</f>
        <v>99.254400000000004</v>
      </c>
      <c r="C1059" s="33">
        <f>(Table10[[#This Row],[Industrial Production ]]-B1047)/B1047</f>
        <v>4.098848093738304E-2</v>
      </c>
      <c r="D1059" s="34">
        <f t="shared" si="16"/>
        <v>2.3582102376337566E-2</v>
      </c>
    </row>
    <row r="1060" spans="1:4" x14ac:dyDescent="0.35">
      <c r="A1060" s="31">
        <v>38991</v>
      </c>
      <c r="B1060" s="32">
        <f>VLOOKUP(Table10[[#This Row],[Month]],database!A:J,MATCH('IP from start'!$A$1,database!$A$1:$J$1,),)</f>
        <v>99.151399999999995</v>
      </c>
      <c r="C1060" s="33">
        <f>(Table10[[#This Row],[Industrial Production ]]-B1048)/B1048</f>
        <v>2.7495878157186533E-2</v>
      </c>
      <c r="D1060" s="34">
        <f t="shared" si="16"/>
        <v>2.4221688374217749E-2</v>
      </c>
    </row>
    <row r="1061" spans="1:4" x14ac:dyDescent="0.35">
      <c r="A1061" s="31">
        <v>39022</v>
      </c>
      <c r="B1061" s="32">
        <f>VLOOKUP(Table10[[#This Row],[Month]],database!A:J,MATCH('IP from start'!$A$1,database!$A$1:$J$1,),)</f>
        <v>99.097399999999993</v>
      </c>
      <c r="C1061" s="33">
        <f>(Table10[[#This Row],[Industrial Production ]]-B1049)/B1049</f>
        <v>1.5710616350602519E-2</v>
      </c>
      <c r="D1061" s="34">
        <f t="shared" si="16"/>
        <v>2.3145099193174683E-2</v>
      </c>
    </row>
    <row r="1062" spans="1:4" x14ac:dyDescent="0.35">
      <c r="A1062" s="31">
        <v>39052</v>
      </c>
      <c r="B1062" s="32">
        <f>VLOOKUP(Table10[[#This Row],[Month]],database!A:J,MATCH('IP from start'!$A$1,database!$A$1:$J$1,),)</f>
        <v>100.1117</v>
      </c>
      <c r="C1062" s="33">
        <f>(Table10[[#This Row],[Industrial Production ]]-B1050)/B1050</f>
        <v>2.1316599709045512E-2</v>
      </c>
      <c r="D1062" s="34">
        <f t="shared" si="16"/>
        <v>2.2795867467962184E-2</v>
      </c>
    </row>
    <row r="1063" spans="1:4" x14ac:dyDescent="0.35">
      <c r="A1063" s="31">
        <v>39083</v>
      </c>
      <c r="B1063" s="32">
        <f>VLOOKUP(Table10[[#This Row],[Month]],database!A:J,MATCH('IP from start'!$A$1,database!$A$1:$J$1,),)</f>
        <v>99.7226</v>
      </c>
      <c r="C1063" s="33">
        <f>(Table10[[#This Row],[Industrial Production ]]-B1051)/B1051</f>
        <v>1.5459592441886444E-2</v>
      </c>
      <c r="D1063" s="34">
        <f t="shared" si="16"/>
        <v>2.2107086686409167E-2</v>
      </c>
    </row>
    <row r="1064" spans="1:4" x14ac:dyDescent="0.35">
      <c r="A1064" s="31">
        <v>39114</v>
      </c>
      <c r="B1064" s="32">
        <f>VLOOKUP(Table10[[#This Row],[Month]],database!A:J,MATCH('IP from start'!$A$1,database!$A$1:$J$1,),)</f>
        <v>100.6919</v>
      </c>
      <c r="C1064" s="33">
        <f>(Table10[[#This Row],[Industrial Production ]]-B1052)/B1052</f>
        <v>2.4954092206465061E-2</v>
      </c>
      <c r="D1064" s="34">
        <f t="shared" si="16"/>
        <v>2.2796651906672277E-2</v>
      </c>
    </row>
    <row r="1065" spans="1:4" x14ac:dyDescent="0.35">
      <c r="A1065" s="31">
        <v>39142</v>
      </c>
      <c r="B1065" s="32">
        <f>VLOOKUP(Table10[[#This Row],[Month]],database!A:J,MATCH('IP from start'!$A$1,database!$A$1:$J$1,),)</f>
        <v>100.8857</v>
      </c>
      <c r="C1065" s="33">
        <f>(Table10[[#This Row],[Industrial Production ]]-B1053)/B1053</f>
        <v>2.4488647787948556E-2</v>
      </c>
      <c r="D1065" s="34">
        <f t="shared" si="16"/>
        <v>2.3124340453437763E-2</v>
      </c>
    </row>
    <row r="1066" spans="1:4" x14ac:dyDescent="0.35">
      <c r="A1066" s="31">
        <v>39173</v>
      </c>
      <c r="B1066" s="32">
        <f>VLOOKUP(Table10[[#This Row],[Month]],database!A:J,MATCH('IP from start'!$A$1,database!$A$1:$J$1,),)</f>
        <v>101.57769999999999</v>
      </c>
      <c r="C1066" s="33">
        <f>(Table10[[#This Row],[Industrial Production ]]-B1054)/B1054</f>
        <v>2.8358972022697649E-2</v>
      </c>
      <c r="D1066" s="34">
        <f t="shared" si="16"/>
        <v>2.3681302357865298E-2</v>
      </c>
    </row>
    <row r="1067" spans="1:4" x14ac:dyDescent="0.35">
      <c r="A1067" s="31">
        <v>39203</v>
      </c>
      <c r="B1067" s="32">
        <f>VLOOKUP(Table10[[#This Row],[Month]],database!A:J,MATCH('IP from start'!$A$1,database!$A$1:$J$1,),)</f>
        <v>101.6481</v>
      </c>
      <c r="C1067" s="33">
        <f>(Table10[[#This Row],[Industrial Production ]]-B1055)/B1055</f>
        <v>2.894773070522454E-2</v>
      </c>
      <c r="D1067" s="34">
        <f t="shared" si="16"/>
        <v>2.4375246640984217E-2</v>
      </c>
    </row>
    <row r="1068" spans="1:4" x14ac:dyDescent="0.35">
      <c r="A1068" s="31">
        <v>39234</v>
      </c>
      <c r="B1068" s="32">
        <f>VLOOKUP(Table10[[#This Row],[Month]],database!A:J,MATCH('IP from start'!$A$1,database!$A$1:$J$1,),)</f>
        <v>101.6741</v>
      </c>
      <c r="C1068" s="33">
        <f>(Table10[[#This Row],[Industrial Production ]]-B1056)/B1056</f>
        <v>2.5903342754137196E-2</v>
      </c>
      <c r="D1068" s="34">
        <f t="shared" si="16"/>
        <v>2.4890256657682259E-2</v>
      </c>
    </row>
    <row r="1069" spans="1:4" x14ac:dyDescent="0.35">
      <c r="A1069" s="31">
        <v>39264</v>
      </c>
      <c r="B1069" s="32">
        <f>VLOOKUP(Table10[[#This Row],[Month]],database!A:J,MATCH('IP from start'!$A$1,database!$A$1:$J$1,),)</f>
        <v>101.56270000000001</v>
      </c>
      <c r="C1069" s="33">
        <f>(Table10[[#This Row],[Industrial Production ]]-B1057)/B1057</f>
        <v>2.5516051282517323E-2</v>
      </c>
      <c r="D1069" s="34">
        <f t="shared" si="16"/>
        <v>2.51782369249067E-2</v>
      </c>
    </row>
    <row r="1070" spans="1:4" x14ac:dyDescent="0.35">
      <c r="A1070" s="31">
        <v>39295</v>
      </c>
      <c r="B1070" s="32">
        <f>VLOOKUP(Table10[[#This Row],[Month]],database!A:J,MATCH('IP from start'!$A$1,database!$A$1:$J$1,),)</f>
        <v>101.77509999999999</v>
      </c>
      <c r="C1070" s="33">
        <f>(Table10[[#This Row],[Industrial Production ]]-B1058)/B1058</f>
        <v>2.3294184597967196E-2</v>
      </c>
      <c r="D1070" s="34">
        <f t="shared" si="16"/>
        <v>2.5202849079421798E-2</v>
      </c>
    </row>
    <row r="1071" spans="1:4" x14ac:dyDescent="0.35">
      <c r="A1071" s="31">
        <v>39326</v>
      </c>
      <c r="B1071" s="32">
        <f>VLOOKUP(Table10[[#This Row],[Month]],database!A:J,MATCH('IP from start'!$A$1,database!$A$1:$J$1,),)</f>
        <v>102.0279</v>
      </c>
      <c r="C1071" s="33">
        <f>(Table10[[#This Row],[Industrial Production ]]-B1059)/B1059</f>
        <v>2.7943345584679355E-2</v>
      </c>
      <c r="D1071" s="34">
        <f t="shared" si="16"/>
        <v>2.411575446669649E-2</v>
      </c>
    </row>
    <row r="1072" spans="1:4" x14ac:dyDescent="0.35">
      <c r="A1072" s="31">
        <v>39356</v>
      </c>
      <c r="B1072" s="32">
        <f>VLOOKUP(Table10[[#This Row],[Month]],database!A:J,MATCH('IP from start'!$A$1,database!$A$1:$J$1,),)</f>
        <v>101.7289</v>
      </c>
      <c r="C1072" s="33">
        <f>(Table10[[#This Row],[Industrial Production ]]-B1060)/B1060</f>
        <v>2.5995598650145137E-2</v>
      </c>
      <c r="D1072" s="34">
        <f t="shared" si="16"/>
        <v>2.3990731174443041E-2</v>
      </c>
    </row>
    <row r="1073" spans="1:4" x14ac:dyDescent="0.35">
      <c r="A1073" s="31">
        <v>39387</v>
      </c>
      <c r="B1073" s="32">
        <f>VLOOKUP(Table10[[#This Row],[Month]],database!A:J,MATCH('IP from start'!$A$1,database!$A$1:$J$1,),)</f>
        <v>102.3185</v>
      </c>
      <c r="C1073" s="33">
        <f>(Table10[[#This Row],[Industrial Production ]]-B1061)/B1061</f>
        <v>3.2504384575175606E-2</v>
      </c>
      <c r="D1073" s="34">
        <f t="shared" si="16"/>
        <v>2.5390211859824128E-2</v>
      </c>
    </row>
    <row r="1074" spans="1:4" x14ac:dyDescent="0.35">
      <c r="A1074" s="31">
        <v>39417</v>
      </c>
      <c r="B1074" s="32">
        <f>VLOOKUP(Table10[[#This Row],[Month]],database!A:J,MATCH('IP from start'!$A$1,database!$A$1:$J$1,),)</f>
        <v>102.3074</v>
      </c>
      <c r="C1074" s="33">
        <f>(Table10[[#This Row],[Industrial Production ]]-B1062)/B1062</f>
        <v>2.1932501395940756E-2</v>
      </c>
      <c r="D1074" s="34">
        <f t="shared" si="16"/>
        <v>2.5441537000398737E-2</v>
      </c>
    </row>
    <row r="1075" spans="1:4" x14ac:dyDescent="0.35">
      <c r="A1075" s="31">
        <v>39448</v>
      </c>
      <c r="B1075" s="32">
        <f>VLOOKUP(Table10[[#This Row],[Month]],database!A:J,MATCH('IP from start'!$A$1,database!$A$1:$J$1,),)</f>
        <v>102.1686</v>
      </c>
      <c r="C1075" s="33">
        <f>(Table10[[#This Row],[Industrial Production ]]-B1063)/B1063</f>
        <v>2.4528040785137952E-2</v>
      </c>
      <c r="D1075" s="34">
        <f t="shared" si="16"/>
        <v>2.6197241029003029E-2</v>
      </c>
    </row>
    <row r="1076" spans="1:4" x14ac:dyDescent="0.35">
      <c r="A1076" s="31">
        <v>39479</v>
      </c>
      <c r="B1076" s="32">
        <f>VLOOKUP(Table10[[#This Row],[Month]],database!A:J,MATCH('IP from start'!$A$1,database!$A$1:$J$1,),)</f>
        <v>101.76730000000001</v>
      </c>
      <c r="C1076" s="33">
        <f>(Table10[[#This Row],[Industrial Production ]]-B1064)/B1064</f>
        <v>1.0680104357947381E-2</v>
      </c>
      <c r="D1076" s="34">
        <f t="shared" si="16"/>
        <v>2.5007742041626549E-2</v>
      </c>
    </row>
    <row r="1077" spans="1:4" x14ac:dyDescent="0.35">
      <c r="A1077" s="31">
        <v>39508</v>
      </c>
      <c r="B1077" s="32">
        <f>VLOOKUP(Table10[[#This Row],[Month]],database!A:J,MATCH('IP from start'!$A$1,database!$A$1:$J$1,),)</f>
        <v>101.3986</v>
      </c>
      <c r="C1077" s="33">
        <f>(Table10[[#This Row],[Industrial Production ]]-B1065)/B1065</f>
        <v>5.083971266492693E-3</v>
      </c>
      <c r="D1077" s="34">
        <f t="shared" si="16"/>
        <v>2.3390685664838564E-2</v>
      </c>
    </row>
    <row r="1078" spans="1:4" x14ac:dyDescent="0.35">
      <c r="A1078" s="31">
        <v>39539</v>
      </c>
      <c r="B1078" s="32">
        <f>VLOOKUP(Table10[[#This Row],[Month]],database!A:J,MATCH('IP from start'!$A$1,database!$A$1:$J$1,),)</f>
        <v>100.7238</v>
      </c>
      <c r="C1078" s="33">
        <f>(Table10[[#This Row],[Industrial Production ]]-B1066)/B1066</f>
        <v>-8.4063726585657667E-3</v>
      </c>
      <c r="D1078" s="34">
        <f t="shared" si="16"/>
        <v>2.032690694139995E-2</v>
      </c>
    </row>
    <row r="1079" spans="1:4" x14ac:dyDescent="0.35">
      <c r="A1079" s="31">
        <v>39569</v>
      </c>
      <c r="B1079" s="32">
        <f>VLOOKUP(Table10[[#This Row],[Month]],database!A:J,MATCH('IP from start'!$A$1,database!$A$1:$J$1,),)</f>
        <v>100.1399</v>
      </c>
      <c r="C1079" s="33">
        <f>(Table10[[#This Row],[Industrial Production ]]-B1067)/B1067</f>
        <v>-1.4837463759775167E-2</v>
      </c>
      <c r="D1079" s="34">
        <f t="shared" si="16"/>
        <v>1.6678140735983303E-2</v>
      </c>
    </row>
    <row r="1080" spans="1:4" x14ac:dyDescent="0.35">
      <c r="A1080" s="31">
        <v>39600</v>
      </c>
      <c r="B1080" s="32">
        <f>VLOOKUP(Table10[[#This Row],[Month]],database!A:J,MATCH('IP from start'!$A$1,database!$A$1:$J$1,),)</f>
        <v>99.914100000000005</v>
      </c>
      <c r="C1080" s="33">
        <f>(Table10[[#This Row],[Industrial Production ]]-B1068)/B1068</f>
        <v>-1.7310209778104661E-2</v>
      </c>
      <c r="D1080" s="34">
        <f t="shared" si="16"/>
        <v>1.3077011358296482E-2</v>
      </c>
    </row>
    <row r="1081" spans="1:4" x14ac:dyDescent="0.35">
      <c r="A1081" s="31">
        <v>39630</v>
      </c>
      <c r="B1081" s="32">
        <f>VLOOKUP(Table10[[#This Row],[Month]],database!A:J,MATCH('IP from start'!$A$1,database!$A$1:$J$1,),)</f>
        <v>99.494299999999996</v>
      </c>
      <c r="C1081" s="33">
        <f>(Table10[[#This Row],[Industrial Production ]]-B1069)/B1069</f>
        <v>-2.0365744510533995E-2</v>
      </c>
      <c r="D1081" s="34">
        <f t="shared" si="16"/>
        <v>9.2535283755422106E-3</v>
      </c>
    </row>
    <row r="1082" spans="1:4" x14ac:dyDescent="0.35">
      <c r="A1082" s="31">
        <v>39661</v>
      </c>
      <c r="B1082" s="32">
        <f>VLOOKUP(Table10[[#This Row],[Month]],database!A:J,MATCH('IP from start'!$A$1,database!$A$1:$J$1,),)</f>
        <v>97.936700000000002</v>
      </c>
      <c r="C1082" s="33">
        <f>(Table10[[#This Row],[Industrial Production ]]-B1070)/B1070</f>
        <v>-3.7714529388819008E-2</v>
      </c>
      <c r="D1082" s="34">
        <f t="shared" si="16"/>
        <v>4.1694688766433568E-3</v>
      </c>
    </row>
    <row r="1083" spans="1:4" x14ac:dyDescent="0.35">
      <c r="A1083" s="31">
        <v>39692</v>
      </c>
      <c r="B1083" s="32">
        <f>VLOOKUP(Table10[[#This Row],[Month]],database!A:J,MATCH('IP from start'!$A$1,database!$A$1:$J$1,),)</f>
        <v>93.658500000000004</v>
      </c>
      <c r="C1083" s="33">
        <f>(Table10[[#This Row],[Industrial Production ]]-B1071)/B1071</f>
        <v>-8.203050342112303E-2</v>
      </c>
      <c r="D1083" s="34">
        <f t="shared" si="16"/>
        <v>-4.9950185405068419E-3</v>
      </c>
    </row>
    <row r="1084" spans="1:4" x14ac:dyDescent="0.35">
      <c r="A1084" s="31">
        <v>39722</v>
      </c>
      <c r="B1084" s="32">
        <f>VLOOKUP(Table10[[#This Row],[Month]],database!A:J,MATCH('IP from start'!$A$1,database!$A$1:$J$1,),)</f>
        <v>94.584500000000006</v>
      </c>
      <c r="C1084" s="33">
        <f>(Table10[[#This Row],[Industrial Production ]]-B1072)/B1072</f>
        <v>-7.0229797038992764E-2</v>
      </c>
      <c r="D1084" s="34">
        <f t="shared" si="16"/>
        <v>-1.3013801514601667E-2</v>
      </c>
    </row>
    <row r="1085" spans="1:4" x14ac:dyDescent="0.35">
      <c r="A1085" s="31">
        <v>39753</v>
      </c>
      <c r="B1085" s="32">
        <f>VLOOKUP(Table10[[#This Row],[Month]],database!A:J,MATCH('IP from start'!$A$1,database!$A$1:$J$1,),)</f>
        <v>93.345500000000001</v>
      </c>
      <c r="C1085" s="33">
        <f>(Table10[[#This Row],[Industrial Production ]]-B1073)/B1073</f>
        <v>-8.7696750831960976E-2</v>
      </c>
      <c r="D1085" s="34">
        <f t="shared" si="16"/>
        <v>-2.3030562798529716E-2</v>
      </c>
    </row>
    <row r="1086" spans="1:4" x14ac:dyDescent="0.35">
      <c r="A1086" s="31">
        <v>39783</v>
      </c>
      <c r="B1086" s="32">
        <f>VLOOKUP(Table10[[#This Row],[Month]],database!A:J,MATCH('IP from start'!$A$1,database!$A$1:$J$1,),)</f>
        <v>90.718299999999999</v>
      </c>
      <c r="C1086" s="33">
        <f>(Table10[[#This Row],[Industrial Production ]]-B1074)/B1074</f>
        <v>-0.11327724094249293</v>
      </c>
      <c r="D1086" s="34">
        <f t="shared" si="16"/>
        <v>-3.4298041326732524E-2</v>
      </c>
    </row>
    <row r="1087" spans="1:4" x14ac:dyDescent="0.35">
      <c r="A1087" s="31">
        <v>39814</v>
      </c>
      <c r="B1087" s="32">
        <f>VLOOKUP(Table10[[#This Row],[Month]],database!A:J,MATCH('IP from start'!$A$1,database!$A$1:$J$1,),)</f>
        <v>88.468299999999999</v>
      </c>
      <c r="C1087" s="33">
        <f>(Table10[[#This Row],[Industrial Production ]]-B1075)/B1075</f>
        <v>-0.13409501549399716</v>
      </c>
      <c r="D1087" s="34">
        <f t="shared" si="16"/>
        <v>-4.7516629349993782E-2</v>
      </c>
    </row>
    <row r="1088" spans="1:4" x14ac:dyDescent="0.35">
      <c r="A1088" s="31">
        <v>39845</v>
      </c>
      <c r="B1088" s="32">
        <f>VLOOKUP(Table10[[#This Row],[Month]],database!A:J,MATCH('IP from start'!$A$1,database!$A$1:$J$1,),)</f>
        <v>87.936000000000007</v>
      </c>
      <c r="C1088" s="33">
        <f>(Table10[[#This Row],[Industrial Production ]]-B1076)/B1076</f>
        <v>-0.13591104411731467</v>
      </c>
      <c r="D1088" s="34">
        <f t="shared" si="16"/>
        <v>-5.9732558389598955E-2</v>
      </c>
    </row>
    <row r="1089" spans="1:4" x14ac:dyDescent="0.35">
      <c r="A1089" s="31">
        <v>39873</v>
      </c>
      <c r="B1089" s="32">
        <f>VLOOKUP(Table10[[#This Row],[Month]],database!A:J,MATCH('IP from start'!$A$1,database!$A$1:$J$1,),)</f>
        <v>86.550299999999993</v>
      </c>
      <c r="C1089" s="33">
        <f>(Table10[[#This Row],[Industrial Production ]]-B1077)/B1077</f>
        <v>-0.14643496064048231</v>
      </c>
      <c r="D1089" s="34">
        <f t="shared" si="16"/>
        <v>-7.2359136048513531E-2</v>
      </c>
    </row>
    <row r="1090" spans="1:4" x14ac:dyDescent="0.35">
      <c r="A1090" s="31">
        <v>39904</v>
      </c>
      <c r="B1090" s="32">
        <f>VLOOKUP(Table10[[#This Row],[Month]],database!A:J,MATCH('IP from start'!$A$1,database!$A$1:$J$1,),)</f>
        <v>85.859800000000007</v>
      </c>
      <c r="C1090" s="33">
        <f>(Table10[[#This Row],[Industrial Production ]]-B1078)/B1078</f>
        <v>-0.14757187477041167</v>
      </c>
      <c r="D1090" s="34">
        <f t="shared" si="16"/>
        <v>-8.3956261224500686E-2</v>
      </c>
    </row>
    <row r="1091" spans="1:4" x14ac:dyDescent="0.35">
      <c r="A1091" s="31">
        <v>39934</v>
      </c>
      <c r="B1091" s="32">
        <f>VLOOKUP(Table10[[#This Row],[Month]],database!A:J,MATCH('IP from start'!$A$1,database!$A$1:$J$1,),)</f>
        <v>84.999099999999999</v>
      </c>
      <c r="C1091" s="33">
        <f>(Table10[[#This Row],[Industrial Production ]]-B1079)/B1079</f>
        <v>-0.15119647612989426</v>
      </c>
      <c r="D1091" s="34">
        <f t="shared" si="16"/>
        <v>-9.5319512255343949E-2</v>
      </c>
    </row>
    <row r="1092" spans="1:4" x14ac:dyDescent="0.35">
      <c r="A1092" s="31">
        <v>39965</v>
      </c>
      <c r="B1092" s="32">
        <f>VLOOKUP(Table10[[#This Row],[Month]],database!A:J,MATCH('IP from start'!$A$1,database!$A$1:$J$1,),)</f>
        <v>84.727699999999999</v>
      </c>
      <c r="C1092" s="33">
        <f>(Table10[[#This Row],[Industrial Production ]]-B1080)/B1080</f>
        <v>-0.15199456332990044</v>
      </c>
      <c r="D1092" s="34">
        <f t="shared" si="16"/>
        <v>-0.10654320838466026</v>
      </c>
    </row>
    <row r="1093" spans="1:4" x14ac:dyDescent="0.35">
      <c r="A1093" s="31">
        <v>39995</v>
      </c>
      <c r="B1093" s="32">
        <f>VLOOKUP(Table10[[#This Row],[Month]],database!A:J,MATCH('IP from start'!$A$1,database!$A$1:$J$1,),)</f>
        <v>85.709100000000007</v>
      </c>
      <c r="C1093" s="33">
        <f>(Table10[[#This Row],[Industrial Production ]]-B1081)/B1081</f>
        <v>-0.13855266080569428</v>
      </c>
      <c r="D1093" s="34">
        <f t="shared" si="16"/>
        <v>-0.1163921180759236</v>
      </c>
    </row>
    <row r="1094" spans="1:4" x14ac:dyDescent="0.35">
      <c r="A1094" s="31">
        <v>40026</v>
      </c>
      <c r="B1094" s="32">
        <f>VLOOKUP(Table10[[#This Row],[Month]],database!A:J,MATCH('IP from start'!$A$1,database!$A$1:$J$1,),)</f>
        <v>86.633300000000006</v>
      </c>
      <c r="C1094" s="33">
        <f>(Table10[[#This Row],[Industrial Production ]]-B1082)/B1082</f>
        <v>-0.11541536523080721</v>
      </c>
      <c r="D1094" s="34">
        <f t="shared" si="16"/>
        <v>-0.12286718772942264</v>
      </c>
    </row>
    <row r="1095" spans="1:4" x14ac:dyDescent="0.35">
      <c r="A1095" s="31">
        <v>40057</v>
      </c>
      <c r="B1095" s="32">
        <f>VLOOKUP(Table10[[#This Row],[Month]],database!A:J,MATCH('IP from start'!$A$1,database!$A$1:$J$1,),)</f>
        <v>87.361500000000007</v>
      </c>
      <c r="C1095" s="33">
        <f>(Table10[[#This Row],[Industrial Production ]]-B1083)/B1083</f>
        <v>-6.723362001313278E-2</v>
      </c>
      <c r="D1095" s="34">
        <f t="shared" si="16"/>
        <v>-0.12163411411209012</v>
      </c>
    </row>
    <row r="1096" spans="1:4" x14ac:dyDescent="0.35">
      <c r="A1096" s="31">
        <v>40087</v>
      </c>
      <c r="B1096" s="32">
        <f>VLOOKUP(Table10[[#This Row],[Month]],database!A:J,MATCH('IP from start'!$A$1,database!$A$1:$J$1,),)</f>
        <v>87.5488</v>
      </c>
      <c r="C1096" s="33">
        <f>(Table10[[#This Row],[Industrial Production ]]-B1084)/B1084</f>
        <v>-7.4385337978210009E-2</v>
      </c>
      <c r="D1096" s="34">
        <f t="shared" si="16"/>
        <v>-0.1219804091903582</v>
      </c>
    </row>
    <row r="1097" spans="1:4" x14ac:dyDescent="0.35">
      <c r="A1097" s="31">
        <v>40118</v>
      </c>
      <c r="B1097" s="32">
        <f>VLOOKUP(Table10[[#This Row],[Month]],database!A:J,MATCH('IP from start'!$A$1,database!$A$1:$J$1,),)</f>
        <v>87.914400000000001</v>
      </c>
      <c r="C1097" s="33">
        <f>(Table10[[#This Row],[Industrial Production ]]-B1085)/B1085</f>
        <v>-5.8182772602857133E-2</v>
      </c>
      <c r="D1097" s="34">
        <f t="shared" si="16"/>
        <v>-0.11952091100459956</v>
      </c>
    </row>
    <row r="1098" spans="1:4" x14ac:dyDescent="0.35">
      <c r="A1098" s="31">
        <v>40148</v>
      </c>
      <c r="B1098" s="32">
        <f>VLOOKUP(Table10[[#This Row],[Month]],database!A:J,MATCH('IP from start'!$A$1,database!$A$1:$J$1,),)</f>
        <v>88.231800000000007</v>
      </c>
      <c r="C1098" s="33">
        <f>(Table10[[#This Row],[Industrial Production ]]-B1086)/B1086</f>
        <v>-2.7409023317235798E-2</v>
      </c>
      <c r="D1098" s="34">
        <f t="shared" si="16"/>
        <v>-0.11236522620249483</v>
      </c>
    </row>
    <row r="1099" spans="1:4" x14ac:dyDescent="0.35">
      <c r="A1099" s="31">
        <v>40179</v>
      </c>
      <c r="B1099" s="32">
        <f>VLOOKUP(Table10[[#This Row],[Month]],database!A:J,MATCH('IP from start'!$A$1,database!$A$1:$J$1,),)</f>
        <v>89.193600000000004</v>
      </c>
      <c r="C1099" s="33">
        <f>(Table10[[#This Row],[Industrial Production ]]-B1087)/B1087</f>
        <v>8.1984168340524712E-3</v>
      </c>
      <c r="D1099" s="34">
        <f t="shared" si="16"/>
        <v>-0.10050744017515734</v>
      </c>
    </row>
    <row r="1100" spans="1:4" x14ac:dyDescent="0.35">
      <c r="A1100" s="31">
        <v>40210</v>
      </c>
      <c r="B1100" s="32">
        <f>VLOOKUP(Table10[[#This Row],[Month]],database!A:J,MATCH('IP from start'!$A$1,database!$A$1:$J$1,),)</f>
        <v>89.508899999999997</v>
      </c>
      <c r="C1100" s="33">
        <f>(Table10[[#This Row],[Industrial Production ]]-B1088)/B1088</f>
        <v>1.7886872270742243E-2</v>
      </c>
      <c r="D1100" s="34">
        <f t="shared" si="16"/>
        <v>-8.7690947142819275E-2</v>
      </c>
    </row>
    <row r="1101" spans="1:4" x14ac:dyDescent="0.35">
      <c r="A1101" s="31">
        <v>40238</v>
      </c>
      <c r="B1101" s="32">
        <f>VLOOKUP(Table10[[#This Row],[Month]],database!A:J,MATCH('IP from start'!$A$1,database!$A$1:$J$1,),)</f>
        <v>90.144900000000007</v>
      </c>
      <c r="C1101" s="33">
        <f>(Table10[[#This Row],[Industrial Production ]]-B1089)/B1089</f>
        <v>4.1531918433558454E-2</v>
      </c>
      <c r="D1101" s="34">
        <f t="shared" si="16"/>
        <v>-7.202704055331588E-2</v>
      </c>
    </row>
    <row r="1102" spans="1:4" x14ac:dyDescent="0.35">
      <c r="A1102" s="31">
        <v>40269</v>
      </c>
      <c r="B1102" s="32">
        <f>VLOOKUP(Table10[[#This Row],[Month]],database!A:J,MATCH('IP from start'!$A$1,database!$A$1:$J$1,),)</f>
        <v>90.474000000000004</v>
      </c>
      <c r="C1102" s="33">
        <f>(Table10[[#This Row],[Industrial Production ]]-B1090)/B1090</f>
        <v>5.3741098861166653E-2</v>
      </c>
      <c r="D1102" s="34">
        <f t="shared" si="16"/>
        <v>-5.5250959417351024E-2</v>
      </c>
    </row>
    <row r="1103" spans="1:4" x14ac:dyDescent="0.35">
      <c r="A1103" s="31">
        <v>40299</v>
      </c>
      <c r="B1103" s="32">
        <f>VLOOKUP(Table10[[#This Row],[Month]],database!A:J,MATCH('IP from start'!$A$1,database!$A$1:$J$1,),)</f>
        <v>91.713099999999997</v>
      </c>
      <c r="C1103" s="33">
        <f>(Table10[[#This Row],[Industrial Production ]]-B1091)/B1091</f>
        <v>7.8989071648993922E-2</v>
      </c>
      <c r="D1103" s="34">
        <f t="shared" si="16"/>
        <v>-3.6068830435777001E-2</v>
      </c>
    </row>
    <row r="1104" spans="1:4" x14ac:dyDescent="0.35">
      <c r="A1104" s="31">
        <v>40330</v>
      </c>
      <c r="B1104" s="32">
        <f>VLOOKUP(Table10[[#This Row],[Month]],database!A:J,MATCH('IP from start'!$A$1,database!$A$1:$J$1,),)</f>
        <v>91.928700000000006</v>
      </c>
      <c r="C1104" s="33">
        <f>(Table10[[#This Row],[Industrial Production ]]-B1092)/B1092</f>
        <v>8.4989914750429996E-2</v>
      </c>
      <c r="D1104" s="34">
        <f t="shared" si="16"/>
        <v>-1.6320123929082789E-2</v>
      </c>
    </row>
    <row r="1105" spans="1:4" x14ac:dyDescent="0.35">
      <c r="A1105" s="31">
        <v>40360</v>
      </c>
      <c r="B1105" s="32">
        <f>VLOOKUP(Table10[[#This Row],[Month]],database!A:J,MATCH('IP from start'!$A$1,database!$A$1:$J$1,),)</f>
        <v>92.273700000000005</v>
      </c>
      <c r="C1105" s="33">
        <f>(Table10[[#This Row],[Industrial Production ]]-B1093)/B1093</f>
        <v>7.659163379384451E-2</v>
      </c>
      <c r="D1105" s="34">
        <f t="shared" si="16"/>
        <v>1.608567287545444E-3</v>
      </c>
    </row>
    <row r="1106" spans="1:4" x14ac:dyDescent="0.35">
      <c r="A1106" s="31">
        <v>40391</v>
      </c>
      <c r="B1106" s="32">
        <f>VLOOKUP(Table10[[#This Row],[Month]],database!A:J,MATCH('IP from start'!$A$1,database!$A$1:$J$1,),)</f>
        <v>92.614999999999995</v>
      </c>
      <c r="C1106" s="33">
        <f>(Table10[[#This Row],[Industrial Production ]]-B1094)/B1094</f>
        <v>6.9046198170911052E-2</v>
      </c>
      <c r="D1106" s="34">
        <f t="shared" si="16"/>
        <v>1.6980364237688634E-2</v>
      </c>
    </row>
    <row r="1107" spans="1:4" x14ac:dyDescent="0.35">
      <c r="A1107" s="31">
        <v>40422</v>
      </c>
      <c r="B1107" s="32">
        <f>VLOOKUP(Table10[[#This Row],[Month]],database!A:J,MATCH('IP from start'!$A$1,database!$A$1:$J$1,),)</f>
        <v>92.866799999999998</v>
      </c>
      <c r="C1107" s="33">
        <f>(Table10[[#This Row],[Industrial Production ]]-B1095)/B1095</f>
        <v>6.3017461925447604E-2</v>
      </c>
      <c r="D1107" s="34">
        <f t="shared" si="16"/>
        <v>2.7834621065903661E-2</v>
      </c>
    </row>
    <row r="1108" spans="1:4" x14ac:dyDescent="0.35">
      <c r="A1108" s="31">
        <v>40452</v>
      </c>
      <c r="B1108" s="32">
        <f>VLOOKUP(Table10[[#This Row],[Month]],database!A:J,MATCH('IP from start'!$A$1,database!$A$1:$J$1,),)</f>
        <v>92.613799999999998</v>
      </c>
      <c r="C1108" s="33">
        <f>(Table10[[#This Row],[Industrial Production ]]-B1096)/B1096</f>
        <v>5.7853448590957243E-2</v>
      </c>
      <c r="D1108" s="34">
        <f t="shared" si="16"/>
        <v>3.8854519946667603E-2</v>
      </c>
    </row>
    <row r="1109" spans="1:4" x14ac:dyDescent="0.35">
      <c r="A1109" s="31">
        <v>40483</v>
      </c>
      <c r="B1109" s="32">
        <f>VLOOKUP(Table10[[#This Row],[Month]],database!A:J,MATCH('IP from start'!$A$1,database!$A$1:$J$1,),)</f>
        <v>92.677199999999999</v>
      </c>
      <c r="C1109" s="33">
        <f>(Table10[[#This Row],[Industrial Production ]]-B1097)/B1097</f>
        <v>5.4175425186317586E-2</v>
      </c>
      <c r="D1109" s="34">
        <f t="shared" si="16"/>
        <v>4.82177030957655E-2</v>
      </c>
    </row>
    <row r="1110" spans="1:4" x14ac:dyDescent="0.35">
      <c r="A1110" s="31">
        <v>40513</v>
      </c>
      <c r="B1110" s="32">
        <f>VLOOKUP(Table10[[#This Row],[Month]],database!A:J,MATCH('IP from start'!$A$1,database!$A$1:$J$1,),)</f>
        <v>93.574100000000001</v>
      </c>
      <c r="C1110" s="33">
        <f>(Table10[[#This Row],[Industrial Production ]]-B1098)/B1098</f>
        <v>6.0548464385856281E-2</v>
      </c>
      <c r="D1110" s="34">
        <f t="shared" si="16"/>
        <v>5.5547493737689829E-2</v>
      </c>
    </row>
    <row r="1111" spans="1:4" x14ac:dyDescent="0.35">
      <c r="A1111" s="31">
        <v>40544</v>
      </c>
      <c r="B1111" s="32">
        <f>VLOOKUP(Table10[[#This Row],[Month]],database!A:J,MATCH('IP from start'!$A$1,database!$A$1:$J$1,),)</f>
        <v>93.379300000000001</v>
      </c>
      <c r="C1111" s="33">
        <f>(Table10[[#This Row],[Industrial Production ]]-B1099)/B1099</f>
        <v>4.6928254942058586E-2</v>
      </c>
      <c r="D1111" s="34">
        <f t="shared" si="16"/>
        <v>5.8774980246690339E-2</v>
      </c>
    </row>
    <row r="1112" spans="1:4" x14ac:dyDescent="0.35">
      <c r="A1112" s="31">
        <v>40575</v>
      </c>
      <c r="B1112" s="32">
        <f>VLOOKUP(Table10[[#This Row],[Month]],database!A:J,MATCH('IP from start'!$A$1,database!$A$1:$J$1,),)</f>
        <v>93.005099999999999</v>
      </c>
      <c r="C1112" s="33">
        <f>(Table10[[#This Row],[Industrial Production ]]-B1100)/B1100</f>
        <v>3.9059802991657837E-2</v>
      </c>
      <c r="D1112" s="34">
        <f t="shared" si="16"/>
        <v>6.0539391140099964E-2</v>
      </c>
    </row>
    <row r="1113" spans="1:4" x14ac:dyDescent="0.35">
      <c r="A1113" s="31">
        <v>40603</v>
      </c>
      <c r="B1113" s="32">
        <f>VLOOKUP(Table10[[#This Row],[Month]],database!A:J,MATCH('IP from start'!$A$1,database!$A$1:$J$1,),)</f>
        <v>93.977999999999994</v>
      </c>
      <c r="C1113" s="33">
        <f>(Table10[[#This Row],[Industrial Production ]]-B1101)/B1101</f>
        <v>4.2521540320084525E-2</v>
      </c>
      <c r="D1113" s="34">
        <f t="shared" si="16"/>
        <v>6.0621859630643808E-2</v>
      </c>
    </row>
    <row r="1114" spans="1:4" x14ac:dyDescent="0.35">
      <c r="A1114" s="31">
        <v>40634</v>
      </c>
      <c r="B1114" s="32">
        <f>VLOOKUP(Table10[[#This Row],[Month]],database!A:J,MATCH('IP from start'!$A$1,database!$A$1:$J$1,),)</f>
        <v>93.652500000000003</v>
      </c>
      <c r="C1114" s="33">
        <f>(Table10[[#This Row],[Industrial Production ]]-B1102)/B1102</f>
        <v>3.513164002917965E-2</v>
      </c>
      <c r="D1114" s="34">
        <f t="shared" si="16"/>
        <v>5.9071071394644896E-2</v>
      </c>
    </row>
    <row r="1115" spans="1:4" x14ac:dyDescent="0.35">
      <c r="A1115" s="31">
        <v>40664</v>
      </c>
      <c r="B1115" s="32">
        <f>VLOOKUP(Table10[[#This Row],[Month]],database!A:J,MATCH('IP from start'!$A$1,database!$A$1:$J$1,),)</f>
        <v>93.787800000000004</v>
      </c>
      <c r="C1115" s="33">
        <f>(Table10[[#This Row],[Industrial Production ]]-B1103)/B1103</f>
        <v>2.262163202421472E-2</v>
      </c>
      <c r="D1115" s="34">
        <f t="shared" si="16"/>
        <v>5.4373784759246625E-2</v>
      </c>
    </row>
    <row r="1116" spans="1:4" x14ac:dyDescent="0.35">
      <c r="A1116" s="31">
        <v>40695</v>
      </c>
      <c r="B1116" s="32">
        <f>VLOOKUP(Table10[[#This Row],[Month]],database!A:J,MATCH('IP from start'!$A$1,database!$A$1:$J$1,),)</f>
        <v>94.037800000000004</v>
      </c>
      <c r="C1116" s="33">
        <f>(Table10[[#This Row],[Industrial Production ]]-B1104)/B1104</f>
        <v>2.2942780655007607E-2</v>
      </c>
      <c r="D1116" s="34">
        <f t="shared" si="16"/>
        <v>4.9203190251294771E-2</v>
      </c>
    </row>
    <row r="1117" spans="1:4" x14ac:dyDescent="0.35">
      <c r="A1117" s="31">
        <v>40725</v>
      </c>
      <c r="B1117" s="32">
        <f>VLOOKUP(Table10[[#This Row],[Month]],database!A:J,MATCH('IP from start'!$A$1,database!$A$1:$J$1,),)</f>
        <v>94.514600000000002</v>
      </c>
      <c r="C1117" s="33">
        <f>(Table10[[#This Row],[Industrial Production ]]-B1105)/B1105</f>
        <v>2.4285359750394708E-2</v>
      </c>
      <c r="D1117" s="34">
        <f t="shared" si="16"/>
        <v>4.4844334081007291E-2</v>
      </c>
    </row>
    <row r="1118" spans="1:4" x14ac:dyDescent="0.35">
      <c r="A1118" s="31">
        <v>40756</v>
      </c>
      <c r="B1118" s="32">
        <f>VLOOKUP(Table10[[#This Row],[Month]],database!A:J,MATCH('IP from start'!$A$1,database!$A$1:$J$1,),)</f>
        <v>95.126300000000001</v>
      </c>
      <c r="C1118" s="33">
        <f>(Table10[[#This Row],[Industrial Production ]]-B1106)/B1106</f>
        <v>2.7115478054310919E-2</v>
      </c>
      <c r="D1118" s="34">
        <f t="shared" ref="D1118:D1181" si="17">AVERAGE(C1107:C1118)</f>
        <v>4.1350107404623936E-2</v>
      </c>
    </row>
    <row r="1119" spans="1:4" x14ac:dyDescent="0.35">
      <c r="A1119" s="31">
        <v>40787</v>
      </c>
      <c r="B1119" s="32">
        <f>VLOOKUP(Table10[[#This Row],[Month]],database!A:J,MATCH('IP from start'!$A$1,database!$A$1:$J$1,),)</f>
        <v>95.0732</v>
      </c>
      <c r="C1119" s="33">
        <f>(Table10[[#This Row],[Industrial Production ]]-B1107)/B1107</f>
        <v>2.3758759858205539E-2</v>
      </c>
      <c r="D1119" s="34">
        <f t="shared" si="17"/>
        <v>3.8078548899020438E-2</v>
      </c>
    </row>
    <row r="1120" spans="1:4" x14ac:dyDescent="0.35">
      <c r="A1120" s="31">
        <v>40817</v>
      </c>
      <c r="B1120" s="32">
        <f>VLOOKUP(Table10[[#This Row],[Month]],database!A:J,MATCH('IP from start'!$A$1,database!$A$1:$J$1,),)</f>
        <v>95.729100000000003</v>
      </c>
      <c r="C1120" s="33">
        <f>(Table10[[#This Row],[Industrial Production ]]-B1108)/B1108</f>
        <v>3.3637535658832755E-2</v>
      </c>
      <c r="D1120" s="34">
        <f t="shared" si="17"/>
        <v>3.6060556154676723E-2</v>
      </c>
    </row>
    <row r="1121" spans="1:4" x14ac:dyDescent="0.35">
      <c r="A1121" s="31">
        <v>40848</v>
      </c>
      <c r="B1121" s="32">
        <f>VLOOKUP(Table10[[#This Row],[Month]],database!A:J,MATCH('IP from start'!$A$1,database!$A$1:$J$1,),)</f>
        <v>95.745500000000007</v>
      </c>
      <c r="C1121" s="33">
        <f>(Table10[[#This Row],[Industrial Production ]]-B1109)/B1109</f>
        <v>3.3107387793330049E-2</v>
      </c>
      <c r="D1121" s="34">
        <f t="shared" si="17"/>
        <v>3.4304886371927766E-2</v>
      </c>
    </row>
    <row r="1122" spans="1:4" x14ac:dyDescent="0.35">
      <c r="A1122" s="31">
        <v>40878</v>
      </c>
      <c r="B1122" s="32">
        <f>VLOOKUP(Table10[[#This Row],[Month]],database!A:J,MATCH('IP from start'!$A$1,database!$A$1:$J$1,),)</f>
        <v>96.214699999999993</v>
      </c>
      <c r="C1122" s="33">
        <f>(Table10[[#This Row],[Industrial Production ]]-B1110)/B1110</f>
        <v>2.8219347020168956E-2</v>
      </c>
      <c r="D1122" s="34">
        <f t="shared" si="17"/>
        <v>3.1610793258120488E-2</v>
      </c>
    </row>
    <row r="1123" spans="1:4" x14ac:dyDescent="0.35">
      <c r="A1123" s="31">
        <v>40909</v>
      </c>
      <c r="B1123" s="32">
        <f>VLOOKUP(Table10[[#This Row],[Month]],database!A:J,MATCH('IP from start'!$A$1,database!$A$1:$J$1,),)</f>
        <v>96.805099999999996</v>
      </c>
      <c r="C1123" s="33">
        <f>(Table10[[#This Row],[Industrial Production ]]-B1111)/B1111</f>
        <v>3.6686931686144522E-2</v>
      </c>
      <c r="D1123" s="34">
        <f t="shared" si="17"/>
        <v>3.0757349653460983E-2</v>
      </c>
    </row>
    <row r="1124" spans="1:4" x14ac:dyDescent="0.35">
      <c r="A1124" s="31">
        <v>40940</v>
      </c>
      <c r="B1124" s="32">
        <f>VLOOKUP(Table10[[#This Row],[Month]],database!A:J,MATCH('IP from start'!$A$1,database!$A$1:$J$1,),)</f>
        <v>97.103300000000004</v>
      </c>
      <c r="C1124" s="33">
        <f>(Table10[[#This Row],[Industrial Production ]]-B1112)/B1112</f>
        <v>4.406425024004066E-2</v>
      </c>
      <c r="D1124" s="34">
        <f t="shared" si="17"/>
        <v>3.1174386924159549E-2</v>
      </c>
    </row>
    <row r="1125" spans="1:4" x14ac:dyDescent="0.35">
      <c r="A1125" s="31">
        <v>40969</v>
      </c>
      <c r="B1125" s="32">
        <f>VLOOKUP(Table10[[#This Row],[Month]],database!A:J,MATCH('IP from start'!$A$1,database!$A$1:$J$1,),)</f>
        <v>96.597300000000004</v>
      </c>
      <c r="C1125" s="33">
        <f>(Table10[[#This Row],[Industrial Production ]]-B1113)/B1113</f>
        <v>2.7871416714550318E-2</v>
      </c>
      <c r="D1125" s="34">
        <f t="shared" si="17"/>
        <v>2.9953543290365037E-2</v>
      </c>
    </row>
    <row r="1126" spans="1:4" x14ac:dyDescent="0.35">
      <c r="A1126" s="31">
        <v>41000</v>
      </c>
      <c r="B1126" s="32">
        <f>VLOOKUP(Table10[[#This Row],[Month]],database!A:J,MATCH('IP from start'!$A$1,database!$A$1:$J$1,),)</f>
        <v>97.300600000000003</v>
      </c>
      <c r="C1126" s="33">
        <f>(Table10[[#This Row],[Industrial Production ]]-B1114)/B1114</f>
        <v>3.8953578388190378E-2</v>
      </c>
      <c r="D1126" s="34">
        <f t="shared" si="17"/>
        <v>3.0272038153615927E-2</v>
      </c>
    </row>
    <row r="1127" spans="1:4" x14ac:dyDescent="0.35">
      <c r="A1127" s="31">
        <v>41030</v>
      </c>
      <c r="B1127" s="32">
        <f>VLOOKUP(Table10[[#This Row],[Month]],database!A:J,MATCH('IP from start'!$A$1,database!$A$1:$J$1,),)</f>
        <v>97.504599999999996</v>
      </c>
      <c r="C1127" s="33">
        <f>(Table10[[#This Row],[Industrial Production ]]-B1115)/B1115</f>
        <v>3.9629887895866966E-2</v>
      </c>
      <c r="D1127" s="34">
        <f t="shared" si="17"/>
        <v>3.1689392809586943E-2</v>
      </c>
    </row>
    <row r="1128" spans="1:4" x14ac:dyDescent="0.35">
      <c r="A1128" s="31">
        <v>41061</v>
      </c>
      <c r="B1128" s="32">
        <f>VLOOKUP(Table10[[#This Row],[Month]],database!A:J,MATCH('IP from start'!$A$1,database!$A$1:$J$1,),)</f>
        <v>97.490300000000005</v>
      </c>
      <c r="C1128" s="33">
        <f>(Table10[[#This Row],[Industrial Production ]]-B1116)/B1116</f>
        <v>3.6713959705565215E-2</v>
      </c>
      <c r="D1128" s="34">
        <f t="shared" si="17"/>
        <v>3.2836991063800086E-2</v>
      </c>
    </row>
    <row r="1129" spans="1:4" x14ac:dyDescent="0.35">
      <c r="A1129" s="31">
        <v>41091</v>
      </c>
      <c r="B1129" s="32">
        <f>VLOOKUP(Table10[[#This Row],[Month]],database!A:J,MATCH('IP from start'!$A$1,database!$A$1:$J$1,),)</f>
        <v>97.723399999999998</v>
      </c>
      <c r="C1129" s="33">
        <f>(Table10[[#This Row],[Industrial Production ]]-B1117)/B1117</f>
        <v>3.395031032242634E-2</v>
      </c>
      <c r="D1129" s="34">
        <f t="shared" si="17"/>
        <v>3.3642403611469383E-2</v>
      </c>
    </row>
    <row r="1130" spans="1:4" x14ac:dyDescent="0.35">
      <c r="A1130" s="31">
        <v>41122</v>
      </c>
      <c r="B1130" s="32">
        <f>VLOOKUP(Table10[[#This Row],[Month]],database!A:J,MATCH('IP from start'!$A$1,database!$A$1:$J$1,),)</f>
        <v>97.313000000000002</v>
      </c>
      <c r="C1130" s="33">
        <f>(Table10[[#This Row],[Industrial Production ]]-B1118)/B1118</f>
        <v>2.2987333681642214E-2</v>
      </c>
      <c r="D1130" s="34">
        <f t="shared" si="17"/>
        <v>3.3298391580413665E-2</v>
      </c>
    </row>
    <row r="1131" spans="1:4" x14ac:dyDescent="0.35">
      <c r="A1131" s="31">
        <v>41153</v>
      </c>
      <c r="B1131" s="32">
        <f>VLOOKUP(Table10[[#This Row],[Month]],database!A:J,MATCH('IP from start'!$A$1,database!$A$1:$J$1,),)</f>
        <v>97.240499999999997</v>
      </c>
      <c r="C1131" s="33">
        <f>(Table10[[#This Row],[Industrial Production ]]-B1119)/B1119</f>
        <v>2.2796119200784209E-2</v>
      </c>
      <c r="D1131" s="34">
        <f t="shared" si="17"/>
        <v>3.3218171525628552E-2</v>
      </c>
    </row>
    <row r="1132" spans="1:4" x14ac:dyDescent="0.35">
      <c r="A1132" s="31">
        <v>41183</v>
      </c>
      <c r="B1132" s="32">
        <f>VLOOKUP(Table10[[#This Row],[Month]],database!A:J,MATCH('IP from start'!$A$1,database!$A$1:$J$1,),)</f>
        <v>97.561000000000007</v>
      </c>
      <c r="C1132" s="33">
        <f>(Table10[[#This Row],[Industrial Production ]]-B1120)/B1120</f>
        <v>1.913629189034478E-2</v>
      </c>
      <c r="D1132" s="34">
        <f t="shared" si="17"/>
        <v>3.2009734544921224E-2</v>
      </c>
    </row>
    <row r="1133" spans="1:4" x14ac:dyDescent="0.35">
      <c r="A1133" s="31">
        <v>41214</v>
      </c>
      <c r="B1133" s="32">
        <f>VLOOKUP(Table10[[#This Row],[Month]],database!A:J,MATCH('IP from start'!$A$1,database!$A$1:$J$1,),)</f>
        <v>97.9589</v>
      </c>
      <c r="C1133" s="33">
        <f>(Table10[[#This Row],[Industrial Production ]]-B1121)/B1121</f>
        <v>2.3117535549973551E-2</v>
      </c>
      <c r="D1133" s="34">
        <f t="shared" si="17"/>
        <v>3.1177246857974839E-2</v>
      </c>
    </row>
    <row r="1134" spans="1:4" x14ac:dyDescent="0.35">
      <c r="A1134" s="31">
        <v>41244</v>
      </c>
      <c r="B1134" s="32">
        <f>VLOOKUP(Table10[[#This Row],[Month]],database!A:J,MATCH('IP from start'!$A$1,database!$A$1:$J$1,),)</f>
        <v>98.206100000000006</v>
      </c>
      <c r="C1134" s="33">
        <f>(Table10[[#This Row],[Industrial Production ]]-B1122)/B1122</f>
        <v>2.0697460990888223E-2</v>
      </c>
      <c r="D1134" s="34">
        <f t="shared" si="17"/>
        <v>3.0550423022201446E-2</v>
      </c>
    </row>
    <row r="1135" spans="1:4" x14ac:dyDescent="0.35">
      <c r="A1135" s="31">
        <v>41275</v>
      </c>
      <c r="B1135" s="32">
        <f>VLOOKUP(Table10[[#This Row],[Month]],database!A:J,MATCH('IP from start'!$A$1,database!$A$1:$J$1,),)</f>
        <v>98.198999999999998</v>
      </c>
      <c r="C1135" s="33">
        <f>(Table10[[#This Row],[Industrial Production ]]-B1123)/B1123</f>
        <v>1.4399034761598328E-2</v>
      </c>
      <c r="D1135" s="34">
        <f t="shared" si="17"/>
        <v>2.869309827848926E-2</v>
      </c>
    </row>
    <row r="1136" spans="1:4" x14ac:dyDescent="0.35">
      <c r="A1136" s="31">
        <v>41306</v>
      </c>
      <c r="B1136" s="32">
        <f>VLOOKUP(Table10[[#This Row],[Month]],database!A:J,MATCH('IP from start'!$A$1,database!$A$1:$J$1,),)</f>
        <v>98.683499999999995</v>
      </c>
      <c r="C1136" s="33">
        <f>(Table10[[#This Row],[Industrial Production ]]-B1124)/B1124</f>
        <v>1.6273391326556263E-2</v>
      </c>
      <c r="D1136" s="34">
        <f t="shared" si="17"/>
        <v>2.6377193369032229E-2</v>
      </c>
    </row>
    <row r="1137" spans="1:4" x14ac:dyDescent="0.35">
      <c r="A1137" s="31">
        <v>41334</v>
      </c>
      <c r="B1137" s="32">
        <f>VLOOKUP(Table10[[#This Row],[Month]],database!A:J,MATCH('IP from start'!$A$1,database!$A$1:$J$1,),)</f>
        <v>99.099400000000003</v>
      </c>
      <c r="C1137" s="33">
        <f>(Table10[[#This Row],[Industrial Production ]]-B1125)/B1125</f>
        <v>2.590238029427322E-2</v>
      </c>
      <c r="D1137" s="34">
        <f t="shared" si="17"/>
        <v>2.6213107000675806E-2</v>
      </c>
    </row>
    <row r="1138" spans="1:4" x14ac:dyDescent="0.35">
      <c r="A1138" s="31">
        <v>41365</v>
      </c>
      <c r="B1138" s="32">
        <f>VLOOKUP(Table10[[#This Row],[Month]],database!A:J,MATCH('IP from start'!$A$1,database!$A$1:$J$1,),)</f>
        <v>98.989800000000002</v>
      </c>
      <c r="C1138" s="33">
        <f>(Table10[[#This Row],[Industrial Production ]]-B1126)/B1126</f>
        <v>1.7360632925182369E-2</v>
      </c>
      <c r="D1138" s="34">
        <f t="shared" si="17"/>
        <v>2.4413694878758472E-2</v>
      </c>
    </row>
    <row r="1139" spans="1:4" x14ac:dyDescent="0.35">
      <c r="A1139" s="31">
        <v>41395</v>
      </c>
      <c r="B1139" s="32">
        <f>VLOOKUP(Table10[[#This Row],[Month]],database!A:J,MATCH('IP from start'!$A$1,database!$A$1:$J$1,),)</f>
        <v>99.078199999999995</v>
      </c>
      <c r="C1139" s="33">
        <f>(Table10[[#This Row],[Industrial Production ]]-B1127)/B1127</f>
        <v>1.6138725762681955E-2</v>
      </c>
      <c r="D1139" s="34">
        <f t="shared" si="17"/>
        <v>2.2456098034326386E-2</v>
      </c>
    </row>
    <row r="1140" spans="1:4" x14ac:dyDescent="0.35">
      <c r="A1140" s="31">
        <v>41426</v>
      </c>
      <c r="B1140" s="32">
        <f>VLOOKUP(Table10[[#This Row],[Month]],database!A:J,MATCH('IP from start'!$A$1,database!$A$1:$J$1,),)</f>
        <v>99.214100000000002</v>
      </c>
      <c r="C1140" s="33">
        <f>(Table10[[#This Row],[Industrial Production ]]-B1128)/B1128</f>
        <v>1.7681759108342032E-2</v>
      </c>
      <c r="D1140" s="34">
        <f t="shared" si="17"/>
        <v>2.0870081317891125E-2</v>
      </c>
    </row>
    <row r="1141" spans="1:4" x14ac:dyDescent="0.35">
      <c r="A1141" s="31">
        <v>41456</v>
      </c>
      <c r="B1141" s="32">
        <f>VLOOKUP(Table10[[#This Row],[Month]],database!A:J,MATCH('IP from start'!$A$1,database!$A$1:$J$1,),)</f>
        <v>98.913200000000003</v>
      </c>
      <c r="C1141" s="33">
        <f>(Table10[[#This Row],[Industrial Production ]]-B1129)/B1129</f>
        <v>1.2175180151325122E-2</v>
      </c>
      <c r="D1141" s="34">
        <f t="shared" si="17"/>
        <v>1.9055487136966021E-2</v>
      </c>
    </row>
    <row r="1142" spans="1:4" x14ac:dyDescent="0.35">
      <c r="A1142" s="31">
        <v>41487</v>
      </c>
      <c r="B1142" s="32">
        <f>VLOOKUP(Table10[[#This Row],[Month]],database!A:J,MATCH('IP from start'!$A$1,database!$A$1:$J$1,),)</f>
        <v>99.489099999999993</v>
      </c>
      <c r="C1142" s="33">
        <f>(Table10[[#This Row],[Industrial Production ]]-B1130)/B1130</f>
        <v>2.2361863265956152E-2</v>
      </c>
      <c r="D1142" s="34">
        <f t="shared" si="17"/>
        <v>1.9003364602325518E-2</v>
      </c>
    </row>
    <row r="1143" spans="1:4" x14ac:dyDescent="0.35">
      <c r="A1143" s="31">
        <v>41518</v>
      </c>
      <c r="B1143" s="32">
        <f>VLOOKUP(Table10[[#This Row],[Month]],database!A:J,MATCH('IP from start'!$A$1,database!$A$1:$J$1,),)</f>
        <v>100.0172</v>
      </c>
      <c r="C1143" s="33">
        <f>(Table10[[#This Row],[Industrial Production ]]-B1131)/B1131</f>
        <v>2.8554974521932789E-2</v>
      </c>
      <c r="D1143" s="34">
        <f t="shared" si="17"/>
        <v>1.9483269212421234E-2</v>
      </c>
    </row>
    <row r="1144" spans="1:4" x14ac:dyDescent="0.35">
      <c r="A1144" s="31">
        <v>41548</v>
      </c>
      <c r="B1144" s="32">
        <f>VLOOKUP(Table10[[#This Row],[Month]],database!A:J,MATCH('IP from start'!$A$1,database!$A$1:$J$1,),)</f>
        <v>99.903800000000004</v>
      </c>
      <c r="C1144" s="33">
        <f>(Table10[[#This Row],[Industrial Production ]]-B1132)/B1132</f>
        <v>2.4013693996576466E-2</v>
      </c>
      <c r="D1144" s="34">
        <f t="shared" si="17"/>
        <v>1.9889719387940537E-2</v>
      </c>
    </row>
    <row r="1145" spans="1:4" x14ac:dyDescent="0.35">
      <c r="A1145" s="31">
        <v>41579</v>
      </c>
      <c r="B1145" s="32">
        <f>VLOOKUP(Table10[[#This Row],[Month]],database!A:J,MATCH('IP from start'!$A$1,database!$A$1:$J$1,),)</f>
        <v>100.14790000000001</v>
      </c>
      <c r="C1145" s="33">
        <f>(Table10[[#This Row],[Industrial Production ]]-B1133)/B1133</f>
        <v>2.2346106377266459E-2</v>
      </c>
      <c r="D1145" s="34">
        <f t="shared" si="17"/>
        <v>1.9825433623548282E-2</v>
      </c>
    </row>
    <row r="1146" spans="1:4" x14ac:dyDescent="0.35">
      <c r="A1146" s="31">
        <v>41609</v>
      </c>
      <c r="B1146" s="32">
        <f>VLOOKUP(Table10[[#This Row],[Month]],database!A:J,MATCH('IP from start'!$A$1,database!$A$1:$J$1,),)</f>
        <v>100.35760000000001</v>
      </c>
      <c r="C1146" s="33">
        <f>(Table10[[#This Row],[Industrial Production ]]-B1134)/B1134</f>
        <v>2.1908007751046E-2</v>
      </c>
      <c r="D1146" s="34">
        <f t="shared" si="17"/>
        <v>1.9926312520228098E-2</v>
      </c>
    </row>
    <row r="1147" spans="1:4" x14ac:dyDescent="0.35">
      <c r="A1147" s="31">
        <v>41640</v>
      </c>
      <c r="B1147" s="32">
        <f>VLOOKUP(Table10[[#This Row],[Month]],database!A:J,MATCH('IP from start'!$A$1,database!$A$1:$J$1,),)</f>
        <v>99.982799999999997</v>
      </c>
      <c r="C1147" s="33">
        <f>(Table10[[#This Row],[Industrial Production ]]-B1135)/B1135</f>
        <v>1.816515443130785E-2</v>
      </c>
      <c r="D1147" s="34">
        <f t="shared" si="17"/>
        <v>2.0240155826037224E-2</v>
      </c>
    </row>
    <row r="1148" spans="1:4" x14ac:dyDescent="0.35">
      <c r="A1148" s="31">
        <v>41671</v>
      </c>
      <c r="B1148" s="32">
        <f>VLOOKUP(Table10[[#This Row],[Month]],database!A:J,MATCH('IP from start'!$A$1,database!$A$1:$J$1,),)</f>
        <v>100.74850000000001</v>
      </c>
      <c r="C1148" s="33">
        <f>(Table10[[#This Row],[Industrial Production ]]-B1136)/B1136</f>
        <v>2.0925483996818234E-2</v>
      </c>
      <c r="D1148" s="34">
        <f t="shared" si="17"/>
        <v>2.0627830215225722E-2</v>
      </c>
    </row>
    <row r="1149" spans="1:4" x14ac:dyDescent="0.35">
      <c r="A1149" s="31">
        <v>41699</v>
      </c>
      <c r="B1149" s="32">
        <f>VLOOKUP(Table10[[#This Row],[Month]],database!A:J,MATCH('IP from start'!$A$1,database!$A$1:$J$1,),)</f>
        <v>101.73909999999999</v>
      </c>
      <c r="C1149" s="33">
        <f>(Table10[[#This Row],[Industrial Production ]]-B1137)/B1137</f>
        <v>2.663689184798284E-2</v>
      </c>
      <c r="D1149" s="34">
        <f t="shared" si="17"/>
        <v>2.0689039511368194E-2</v>
      </c>
    </row>
    <row r="1150" spans="1:4" x14ac:dyDescent="0.35">
      <c r="A1150" s="31">
        <v>41730</v>
      </c>
      <c r="B1150" s="32">
        <f>VLOOKUP(Table10[[#This Row],[Month]],database!A:J,MATCH('IP from start'!$A$1,database!$A$1:$J$1,),)</f>
        <v>101.8023</v>
      </c>
      <c r="C1150" s="33">
        <f>(Table10[[#This Row],[Industrial Production ]]-B1138)/B1138</f>
        <v>2.8412018207936575E-2</v>
      </c>
      <c r="D1150" s="34">
        <f t="shared" si="17"/>
        <v>2.1609988284931037E-2</v>
      </c>
    </row>
    <row r="1151" spans="1:4" x14ac:dyDescent="0.35">
      <c r="A1151" s="31">
        <v>41760</v>
      </c>
      <c r="B1151" s="32">
        <f>VLOOKUP(Table10[[#This Row],[Month]],database!A:J,MATCH('IP from start'!$A$1,database!$A$1:$J$1,),)</f>
        <v>102.2116</v>
      </c>
      <c r="C1151" s="33">
        <f>(Table10[[#This Row],[Industrial Production ]]-B1139)/B1139</f>
        <v>3.1625524080978552E-2</v>
      </c>
      <c r="D1151" s="34">
        <f t="shared" si="17"/>
        <v>2.2900554811455757E-2</v>
      </c>
    </row>
    <row r="1152" spans="1:4" x14ac:dyDescent="0.35">
      <c r="A1152" s="31">
        <v>41791</v>
      </c>
      <c r="B1152" s="32">
        <f>VLOOKUP(Table10[[#This Row],[Month]],database!A:J,MATCH('IP from start'!$A$1,database!$A$1:$J$1,),)</f>
        <v>102.5637</v>
      </c>
      <c r="C1152" s="33">
        <f>(Table10[[#This Row],[Industrial Production ]]-B1140)/B1140</f>
        <v>3.376133029478668E-2</v>
      </c>
      <c r="D1152" s="34">
        <f t="shared" si="17"/>
        <v>2.4240519076992807E-2</v>
      </c>
    </row>
    <row r="1153" spans="1:4" x14ac:dyDescent="0.35">
      <c r="A1153" s="31">
        <v>41821</v>
      </c>
      <c r="B1153" s="32">
        <f>VLOOKUP(Table10[[#This Row],[Month]],database!A:J,MATCH('IP from start'!$A$1,database!$A$1:$J$1,),)</f>
        <v>102.8425</v>
      </c>
      <c r="C1153" s="33">
        <f>(Table10[[#This Row],[Industrial Production ]]-B1141)/B1141</f>
        <v>3.9724728347682592E-2</v>
      </c>
      <c r="D1153" s="34">
        <f t="shared" si="17"/>
        <v>2.6536314760022595E-2</v>
      </c>
    </row>
    <row r="1154" spans="1:4" x14ac:dyDescent="0.35">
      <c r="A1154" s="31">
        <v>41852</v>
      </c>
      <c r="B1154" s="32">
        <f>VLOOKUP(Table10[[#This Row],[Month]],database!A:J,MATCH('IP from start'!$A$1,database!$A$1:$J$1,),)</f>
        <v>102.6499</v>
      </c>
      <c r="C1154" s="33">
        <f>(Table10[[#This Row],[Industrial Production ]]-B1142)/B1142</f>
        <v>3.177031453696947E-2</v>
      </c>
      <c r="D1154" s="34">
        <f t="shared" si="17"/>
        <v>2.7320352365940378E-2</v>
      </c>
    </row>
    <row r="1155" spans="1:4" x14ac:dyDescent="0.35">
      <c r="A1155" s="31">
        <v>41883</v>
      </c>
      <c r="B1155" s="32">
        <f>VLOOKUP(Table10[[#This Row],[Month]],database!A:J,MATCH('IP from start'!$A$1,database!$A$1:$J$1,),)</f>
        <v>102.96469999999999</v>
      </c>
      <c r="C1155" s="33">
        <f>(Table10[[#This Row],[Industrial Production ]]-B1143)/B1143</f>
        <v>2.946993117183835E-2</v>
      </c>
      <c r="D1155" s="34">
        <f t="shared" si="17"/>
        <v>2.7396598753432505E-2</v>
      </c>
    </row>
    <row r="1156" spans="1:4" x14ac:dyDescent="0.35">
      <c r="A1156" s="31">
        <v>41913</v>
      </c>
      <c r="B1156" s="32">
        <f>VLOOKUP(Table10[[#This Row],[Month]],database!A:J,MATCH('IP from start'!$A$1,database!$A$1:$J$1,),)</f>
        <v>102.9704</v>
      </c>
      <c r="C1156" s="33">
        <f>(Table10[[#This Row],[Industrial Production ]]-B1144)/B1144</f>
        <v>3.069552909899317E-2</v>
      </c>
      <c r="D1156" s="34">
        <f t="shared" si="17"/>
        <v>2.795341834530056E-2</v>
      </c>
    </row>
    <row r="1157" spans="1:4" x14ac:dyDescent="0.35">
      <c r="A1157" s="31">
        <v>41944</v>
      </c>
      <c r="B1157" s="32">
        <f>VLOOKUP(Table10[[#This Row],[Month]],database!A:J,MATCH('IP from start'!$A$1,database!$A$1:$J$1,),)</f>
        <v>103.60169999999999</v>
      </c>
      <c r="C1157" s="33">
        <f>(Table10[[#This Row],[Industrial Production ]]-B1145)/B1145</f>
        <v>3.4486993736263932E-2</v>
      </c>
      <c r="D1157" s="34">
        <f t="shared" si="17"/>
        <v>2.8965158958550351E-2</v>
      </c>
    </row>
    <row r="1158" spans="1:4" x14ac:dyDescent="0.35">
      <c r="A1158" s="31">
        <v>41974</v>
      </c>
      <c r="B1158" s="32">
        <f>VLOOKUP(Table10[[#This Row],[Month]],database!A:J,MATCH('IP from start'!$A$1,database!$A$1:$J$1,),)</f>
        <v>103.592</v>
      </c>
      <c r="C1158" s="33">
        <f>(Table10[[#This Row],[Industrial Production ]]-B1146)/B1146</f>
        <v>3.2228749990035568E-2</v>
      </c>
      <c r="D1158" s="34">
        <f t="shared" si="17"/>
        <v>2.9825220811799474E-2</v>
      </c>
    </row>
    <row r="1159" spans="1:4" x14ac:dyDescent="0.35">
      <c r="A1159" s="31">
        <v>42005</v>
      </c>
      <c r="B1159" s="32">
        <f>VLOOKUP(Table10[[#This Row],[Month]],database!A:J,MATCH('IP from start'!$A$1,database!$A$1:$J$1,),)</f>
        <v>102.798</v>
      </c>
      <c r="C1159" s="33">
        <f>(Table10[[#This Row],[Industrial Production ]]-B1147)/B1147</f>
        <v>2.8156842976992086E-2</v>
      </c>
      <c r="D1159" s="34">
        <f t="shared" si="17"/>
        <v>3.0657861523939834E-2</v>
      </c>
    </row>
    <row r="1160" spans="1:4" x14ac:dyDescent="0.35">
      <c r="A1160" s="31">
        <v>42036</v>
      </c>
      <c r="B1160" s="32">
        <f>VLOOKUP(Table10[[#This Row],[Month]],database!A:J,MATCH('IP from start'!$A$1,database!$A$1:$J$1,),)</f>
        <v>102.1554</v>
      </c>
      <c r="C1160" s="33">
        <f>(Table10[[#This Row],[Industrial Production ]]-B1148)/B1148</f>
        <v>1.3964475897904118E-2</v>
      </c>
      <c r="D1160" s="34">
        <f t="shared" si="17"/>
        <v>3.0077777515696989E-2</v>
      </c>
    </row>
    <row r="1161" spans="1:4" x14ac:dyDescent="0.35">
      <c r="A1161" s="31">
        <v>42064</v>
      </c>
      <c r="B1161" s="32">
        <f>VLOOKUP(Table10[[#This Row],[Month]],database!A:J,MATCH('IP from start'!$A$1,database!$A$1:$J$1,),)</f>
        <v>101.8077</v>
      </c>
      <c r="C1161" s="33">
        <f>(Table10[[#This Row],[Industrial Production ]]-B1149)/B1149</f>
        <v>6.7427370597934863E-4</v>
      </c>
      <c r="D1161" s="34">
        <f t="shared" si="17"/>
        <v>2.7914226003863368E-2</v>
      </c>
    </row>
    <row r="1162" spans="1:4" x14ac:dyDescent="0.35">
      <c r="A1162" s="31">
        <v>42095</v>
      </c>
      <c r="B1162" s="32">
        <f>VLOOKUP(Table10[[#This Row],[Month]],database!A:J,MATCH('IP from start'!$A$1,database!$A$1:$J$1,),)</f>
        <v>101.2285</v>
      </c>
      <c r="C1162" s="33">
        <f>(Table10[[#This Row],[Industrial Production ]]-B1150)/B1150</f>
        <v>-5.6364148943590237E-3</v>
      </c>
      <c r="D1162" s="34">
        <f t="shared" si="17"/>
        <v>2.5076856578672067E-2</v>
      </c>
    </row>
    <row r="1163" spans="1:4" x14ac:dyDescent="0.35">
      <c r="A1163" s="31">
        <v>42125</v>
      </c>
      <c r="B1163" s="32">
        <f>VLOOKUP(Table10[[#This Row],[Month]],database!A:J,MATCH('IP from start'!$A$1,database!$A$1:$J$1,),)</f>
        <v>100.75360000000001</v>
      </c>
      <c r="C1163" s="33">
        <f>(Table10[[#This Row],[Industrial Production ]]-B1151)/B1151</f>
        <v>-1.4264525748545158E-2</v>
      </c>
      <c r="D1163" s="34">
        <f t="shared" si="17"/>
        <v>2.1252685759545097E-2</v>
      </c>
    </row>
    <row r="1164" spans="1:4" x14ac:dyDescent="0.35">
      <c r="A1164" s="31">
        <v>42156</v>
      </c>
      <c r="B1164" s="32">
        <f>VLOOKUP(Table10[[#This Row],[Month]],database!A:J,MATCH('IP from start'!$A$1,database!$A$1:$J$1,),)</f>
        <v>100.4529</v>
      </c>
      <c r="C1164" s="33">
        <f>(Table10[[#This Row],[Industrial Production ]]-B1152)/B1152</f>
        <v>-2.0580380777994532E-2</v>
      </c>
      <c r="D1164" s="34">
        <f t="shared" si="17"/>
        <v>1.6724209836813327E-2</v>
      </c>
    </row>
    <row r="1165" spans="1:4" x14ac:dyDescent="0.35">
      <c r="A1165" s="31">
        <v>42186</v>
      </c>
      <c r="B1165" s="32">
        <f>VLOOKUP(Table10[[#This Row],[Month]],database!A:J,MATCH('IP from start'!$A$1,database!$A$1:$J$1,),)</f>
        <v>101.11</v>
      </c>
      <c r="C1165" s="33">
        <f>(Table10[[#This Row],[Industrial Production ]]-B1153)/B1153</f>
        <v>-1.6846148236380889E-2</v>
      </c>
      <c r="D1165" s="34">
        <f t="shared" si="17"/>
        <v>1.2009970121474702E-2</v>
      </c>
    </row>
    <row r="1166" spans="1:4" x14ac:dyDescent="0.35">
      <c r="A1166" s="31">
        <v>42217</v>
      </c>
      <c r="B1166" s="32">
        <f>VLOOKUP(Table10[[#This Row],[Month]],database!A:J,MATCH('IP from start'!$A$1,database!$A$1:$J$1,),)</f>
        <v>100.8802</v>
      </c>
      <c r="C1166" s="33">
        <f>(Table10[[#This Row],[Industrial Production ]]-B1154)/B1154</f>
        <v>-1.7240153180860383E-2</v>
      </c>
      <c r="D1166" s="34">
        <f t="shared" si="17"/>
        <v>7.925764478322217E-3</v>
      </c>
    </row>
    <row r="1167" spans="1:4" x14ac:dyDescent="0.35">
      <c r="A1167" s="31">
        <v>42248</v>
      </c>
      <c r="B1167" s="32">
        <f>VLOOKUP(Table10[[#This Row],[Month]],database!A:J,MATCH('IP from start'!$A$1,database!$A$1:$J$1,),)</f>
        <v>100.608</v>
      </c>
      <c r="C1167" s="33">
        <f>(Table10[[#This Row],[Industrial Production ]]-B1155)/B1155</f>
        <v>-2.288842681035335E-2</v>
      </c>
      <c r="D1167" s="34">
        <f t="shared" si="17"/>
        <v>3.5625679798062418E-3</v>
      </c>
    </row>
    <row r="1168" spans="1:4" x14ac:dyDescent="0.35">
      <c r="A1168" s="31">
        <v>42278</v>
      </c>
      <c r="B1168" s="32">
        <f>VLOOKUP(Table10[[#This Row],[Month]],database!A:J,MATCH('IP from start'!$A$1,database!$A$1:$J$1,),)</f>
        <v>100.151</v>
      </c>
      <c r="C1168" s="33">
        <f>(Table10[[#This Row],[Industrial Production ]]-B1156)/B1156</f>
        <v>-2.7380684157777398E-2</v>
      </c>
      <c r="D1168" s="34">
        <f t="shared" si="17"/>
        <v>-1.2771164582579743E-3</v>
      </c>
    </row>
    <row r="1169" spans="1:4" x14ac:dyDescent="0.35">
      <c r="A1169" s="31">
        <v>42309</v>
      </c>
      <c r="B1169" s="32">
        <f>VLOOKUP(Table10[[#This Row],[Month]],database!A:J,MATCH('IP from start'!$A$1,database!$A$1:$J$1,),)</f>
        <v>99.381699999999995</v>
      </c>
      <c r="C1169" s="33">
        <f>(Table10[[#This Row],[Industrial Production ]]-B1157)/B1157</f>
        <v>-4.0732922336216483E-2</v>
      </c>
      <c r="D1169" s="34">
        <f t="shared" si="17"/>
        <v>-7.5454427976313423E-3</v>
      </c>
    </row>
    <row r="1170" spans="1:4" x14ac:dyDescent="0.35">
      <c r="A1170" s="31">
        <v>42339</v>
      </c>
      <c r="B1170" s="32">
        <f>VLOOKUP(Table10[[#This Row],[Month]],database!A:J,MATCH('IP from start'!$A$1,database!$A$1:$J$1,),)</f>
        <v>98.857200000000006</v>
      </c>
      <c r="C1170" s="33">
        <f>(Table10[[#This Row],[Industrial Production ]]-B1158)/B1158</f>
        <v>-4.5706232141478037E-2</v>
      </c>
      <c r="D1170" s="34">
        <f t="shared" si="17"/>
        <v>-1.4040024641924142E-2</v>
      </c>
    </row>
    <row r="1171" spans="1:4" x14ac:dyDescent="0.35">
      <c r="A1171" s="31">
        <v>42370</v>
      </c>
      <c r="B1171" s="32">
        <f>VLOOKUP(Table10[[#This Row],[Month]],database!A:J,MATCH('IP from start'!$A$1,database!$A$1:$J$1,),)</f>
        <v>99.408600000000007</v>
      </c>
      <c r="C1171" s="33">
        <f>(Table10[[#This Row],[Industrial Production ]]-B1159)/B1159</f>
        <v>-3.2971458588688447E-2</v>
      </c>
      <c r="D1171" s="34">
        <f t="shared" si="17"/>
        <v>-1.9134049772397518E-2</v>
      </c>
    </row>
    <row r="1172" spans="1:4" x14ac:dyDescent="0.35">
      <c r="A1172" s="31">
        <v>42401</v>
      </c>
      <c r="B1172" s="32">
        <f>VLOOKUP(Table10[[#This Row],[Month]],database!A:J,MATCH('IP from start'!$A$1,database!$A$1:$J$1,),)</f>
        <v>98.894599999999997</v>
      </c>
      <c r="C1172" s="33">
        <f>(Table10[[#This Row],[Industrial Production ]]-B1160)/B1160</f>
        <v>-3.1919996397645187E-2</v>
      </c>
      <c r="D1172" s="34">
        <f t="shared" si="17"/>
        <v>-2.2957755797026625E-2</v>
      </c>
    </row>
    <row r="1173" spans="1:4" x14ac:dyDescent="0.35">
      <c r="A1173" s="31">
        <v>42430</v>
      </c>
      <c r="B1173" s="32">
        <f>VLOOKUP(Table10[[#This Row],[Month]],database!A:J,MATCH('IP from start'!$A$1,database!$A$1:$J$1,),)</f>
        <v>98.138499999999993</v>
      </c>
      <c r="C1173" s="33">
        <f>(Table10[[#This Row],[Industrial Production ]]-B1161)/B1161</f>
        <v>-3.6040495954628222E-2</v>
      </c>
      <c r="D1173" s="34">
        <f t="shared" si="17"/>
        <v>-2.601731993541059E-2</v>
      </c>
    </row>
    <row r="1174" spans="1:4" x14ac:dyDescent="0.35">
      <c r="A1174" s="31">
        <v>42461</v>
      </c>
      <c r="B1174" s="32">
        <f>VLOOKUP(Table10[[#This Row],[Month]],database!A:J,MATCH('IP from start'!$A$1,database!$A$1:$J$1,),)</f>
        <v>98.436400000000006</v>
      </c>
      <c r="C1174" s="33">
        <f>(Table10[[#This Row],[Industrial Production ]]-B1162)/B1162</f>
        <v>-2.7582153247356137E-2</v>
      </c>
      <c r="D1174" s="34">
        <f t="shared" si="17"/>
        <v>-2.7846131464827017E-2</v>
      </c>
    </row>
    <row r="1175" spans="1:4" x14ac:dyDescent="0.35">
      <c r="A1175" s="31">
        <v>42491</v>
      </c>
      <c r="B1175" s="32">
        <f>VLOOKUP(Table10[[#This Row],[Month]],database!A:J,MATCH('IP from start'!$A$1,database!$A$1:$J$1,),)</f>
        <v>98.209599999999995</v>
      </c>
      <c r="C1175" s="33">
        <f>(Table10[[#This Row],[Industrial Production ]]-B1163)/B1163</f>
        <v>-2.5249718124216017E-2</v>
      </c>
      <c r="D1175" s="34">
        <f t="shared" si="17"/>
        <v>-2.8761564162799586E-2</v>
      </c>
    </row>
    <row r="1176" spans="1:4" x14ac:dyDescent="0.35">
      <c r="A1176" s="31">
        <v>42522</v>
      </c>
      <c r="B1176" s="32">
        <f>VLOOKUP(Table10[[#This Row],[Month]],database!A:J,MATCH('IP from start'!$A$1,database!$A$1:$J$1,),)</f>
        <v>98.676599999999993</v>
      </c>
      <c r="C1176" s="33">
        <f>(Table10[[#This Row],[Industrial Production ]]-B1164)/B1164</f>
        <v>-1.768291408212213E-2</v>
      </c>
      <c r="D1176" s="34">
        <f t="shared" si="17"/>
        <v>-2.8520108604810222E-2</v>
      </c>
    </row>
    <row r="1177" spans="1:4" x14ac:dyDescent="0.35">
      <c r="A1177" s="31">
        <v>42552</v>
      </c>
      <c r="B1177" s="32">
        <f>VLOOKUP(Table10[[#This Row],[Month]],database!A:J,MATCH('IP from start'!$A$1,database!$A$1:$J$1,),)</f>
        <v>98.837100000000007</v>
      </c>
      <c r="C1177" s="33">
        <f>(Table10[[#This Row],[Industrial Production ]]-B1165)/B1165</f>
        <v>-2.247947779645923E-2</v>
      </c>
      <c r="D1177" s="34">
        <f t="shared" si="17"/>
        <v>-2.8989552734816747E-2</v>
      </c>
    </row>
    <row r="1178" spans="1:4" x14ac:dyDescent="0.35">
      <c r="A1178" s="31">
        <v>42583</v>
      </c>
      <c r="B1178" s="32">
        <f>VLOOKUP(Table10[[#This Row],[Month]],database!A:J,MATCH('IP from start'!$A$1,database!$A$1:$J$1,),)</f>
        <v>98.730199999999996</v>
      </c>
      <c r="C1178" s="33">
        <f>(Table10[[#This Row],[Industrial Production ]]-B1166)/B1166</f>
        <v>-2.1312408183171778E-2</v>
      </c>
      <c r="D1178" s="34">
        <f t="shared" si="17"/>
        <v>-2.9328907318342697E-2</v>
      </c>
    </row>
    <row r="1179" spans="1:4" x14ac:dyDescent="0.35">
      <c r="A1179" s="31">
        <v>42614</v>
      </c>
      <c r="B1179" s="32">
        <f>VLOOKUP(Table10[[#This Row],[Month]],database!A:J,MATCH('IP from start'!$A$1,database!$A$1:$J$1,),)</f>
        <v>98.628699999999995</v>
      </c>
      <c r="C1179" s="33">
        <f>(Table10[[#This Row],[Industrial Production ]]-B1167)/B1167</f>
        <v>-1.9673385814249454E-2</v>
      </c>
      <c r="D1179" s="34">
        <f t="shared" si="17"/>
        <v>-2.906098723533404E-2</v>
      </c>
    </row>
    <row r="1180" spans="1:4" x14ac:dyDescent="0.35">
      <c r="A1180" s="31">
        <v>42644</v>
      </c>
      <c r="B1180" s="32">
        <f>VLOOKUP(Table10[[#This Row],[Month]],database!A:J,MATCH('IP from start'!$A$1,database!$A$1:$J$1,),)</f>
        <v>98.712599999999995</v>
      </c>
      <c r="C1180" s="33">
        <f>(Table10[[#This Row],[Industrial Production ]]-B1168)/B1168</f>
        <v>-1.4362312907509675E-2</v>
      </c>
      <c r="D1180" s="34">
        <f t="shared" si="17"/>
        <v>-2.7976122964478396E-2</v>
      </c>
    </row>
    <row r="1181" spans="1:4" x14ac:dyDescent="0.35">
      <c r="A1181" s="31">
        <v>42675</v>
      </c>
      <c r="B1181" s="32">
        <f>VLOOKUP(Table10[[#This Row],[Month]],database!A:J,MATCH('IP from start'!$A$1,database!$A$1:$J$1,),)</f>
        <v>98.300399999999996</v>
      </c>
      <c r="C1181" s="33">
        <f>(Table10[[#This Row],[Industrial Production ]]-B1169)/B1169</f>
        <v>-1.0880272726266495E-2</v>
      </c>
      <c r="D1181" s="34">
        <f t="shared" si="17"/>
        <v>-2.5488402163649237E-2</v>
      </c>
    </row>
    <row r="1182" spans="1:4" x14ac:dyDescent="0.35">
      <c r="A1182" s="31">
        <v>42705</v>
      </c>
      <c r="B1182" s="32">
        <f>VLOOKUP(Table10[[#This Row],[Month]],database!A:J,MATCH('IP from start'!$A$1,database!$A$1:$J$1,),)</f>
        <v>98.906300000000002</v>
      </c>
      <c r="C1182" s="33">
        <f>(Table10[[#This Row],[Industrial Production ]]-B1170)/B1170</f>
        <v>4.9667601348202966E-4</v>
      </c>
      <c r="D1182" s="34">
        <f t="shared" ref="D1182:D1245" si="18">AVERAGE(C1171:C1182)</f>
        <v>-2.1638159817402563E-2</v>
      </c>
    </row>
    <row r="1183" spans="1:4" x14ac:dyDescent="0.35">
      <c r="A1183" s="31">
        <v>42736</v>
      </c>
      <c r="B1183" s="32">
        <f>VLOOKUP(Table10[[#This Row],[Month]],database!A:J,MATCH('IP from start'!$A$1,database!$A$1:$J$1,),)</f>
        <v>98.734899999999996</v>
      </c>
      <c r="C1183" s="33">
        <f>(Table10[[#This Row],[Industrial Production ]]-B1171)/B1171</f>
        <v>-6.7770796490445578E-3</v>
      </c>
      <c r="D1183" s="34">
        <f t="shared" si="18"/>
        <v>-1.9455294905765572E-2</v>
      </c>
    </row>
    <row r="1184" spans="1:4" x14ac:dyDescent="0.35">
      <c r="A1184" s="31">
        <v>42767</v>
      </c>
      <c r="B1184" s="32">
        <f>VLOOKUP(Table10[[#This Row],[Month]],database!A:J,MATCH('IP from start'!$A$1,database!$A$1:$J$1,),)</f>
        <v>98.4178</v>
      </c>
      <c r="C1184" s="33">
        <f>(Table10[[#This Row],[Industrial Production ]]-B1172)/B1172</f>
        <v>-4.8212945904022794E-3</v>
      </c>
      <c r="D1184" s="34">
        <f t="shared" si="18"/>
        <v>-1.7197069755161998E-2</v>
      </c>
    </row>
    <row r="1185" spans="1:34" x14ac:dyDescent="0.35">
      <c r="A1185" s="31">
        <v>42795</v>
      </c>
      <c r="B1185" s="32">
        <f>VLOOKUP(Table10[[#This Row],[Month]],database!A:J,MATCH('IP from start'!$A$1,database!$A$1:$J$1,),)</f>
        <v>99.072599999999994</v>
      </c>
      <c r="C1185" s="33">
        <f>(Table10[[#This Row],[Industrial Production ]]-B1173)/B1173</f>
        <v>9.5181809381639296E-3</v>
      </c>
      <c r="D1185" s="34">
        <f t="shared" si="18"/>
        <v>-1.3400513347429316E-2</v>
      </c>
    </row>
    <row r="1186" spans="1:34" x14ac:dyDescent="0.35">
      <c r="A1186" s="31">
        <v>42826</v>
      </c>
      <c r="B1186" s="32">
        <f>VLOOKUP(Table10[[#This Row],[Month]],database!A:J,MATCH('IP from start'!$A$1,database!$A$1:$J$1,),)</f>
        <v>100.0545</v>
      </c>
      <c r="C1186" s="33">
        <f>(Table10[[#This Row],[Industrial Production ]]-B1174)/B1174</f>
        <v>1.6438024958247133E-2</v>
      </c>
      <c r="D1186" s="34">
        <f t="shared" si="18"/>
        <v>-9.7321651636290453E-3</v>
      </c>
    </row>
    <row r="1187" spans="1:34" ht="16" customHeight="1" thickBot="1" x14ac:dyDescent="0.4">
      <c r="A1187" s="31">
        <v>42856</v>
      </c>
      <c r="B1187" s="32">
        <f>VLOOKUP(Table10[[#This Row],[Month]],database!A:J,MATCH('IP from start'!$A$1,database!$A$1:$J$1,),)</f>
        <v>100.139</v>
      </c>
      <c r="C1187" s="33">
        <f>(Table10[[#This Row],[Industrial Production ]]-B1175)/B1175</f>
        <v>1.9645737280265894E-2</v>
      </c>
      <c r="D1187" s="34">
        <f t="shared" si="18"/>
        <v>-5.9908772132555516E-3</v>
      </c>
    </row>
    <row r="1188" spans="1:34" x14ac:dyDescent="0.35">
      <c r="A1188" s="31">
        <v>42887</v>
      </c>
      <c r="B1188" s="32">
        <f>VLOOKUP(Table10[[#This Row],[Month]],database!A:J,MATCH('IP from start'!$A$1,database!$A$1:$J$1,),)</f>
        <v>100.31480000000001</v>
      </c>
      <c r="C1188" s="33">
        <f>(Table10[[#This Row],[Industrial Production ]]-B1176)/B1176</f>
        <v>1.660170699030988E-2</v>
      </c>
      <c r="D1188" s="34">
        <f t="shared" si="18"/>
        <v>-3.1338254572195502E-3</v>
      </c>
      <c r="R1188" s="3">
        <v>6941</v>
      </c>
      <c r="S1188" s="3" t="s">
        <v>51</v>
      </c>
      <c r="T1188" s="74">
        <f>YEAR(R1188)</f>
        <v>1919</v>
      </c>
      <c r="V1188" s="74">
        <f>VLOOKUP(R1188,A:B,2,)</f>
        <v>4.8773</v>
      </c>
      <c r="AA1188" s="8" t="str">
        <f>S1188</f>
        <v>From</v>
      </c>
      <c r="AB1188" s="5">
        <f>T1188</f>
        <v>1919</v>
      </c>
      <c r="AC1188" s="5">
        <f>T1192</f>
        <v>1939</v>
      </c>
      <c r="AD1188" s="5">
        <f>T1196</f>
        <v>1946</v>
      </c>
      <c r="AE1188" s="5">
        <f>T1200</f>
        <v>1991</v>
      </c>
      <c r="AF1188" s="5">
        <f>T1204</f>
        <v>2001</v>
      </c>
      <c r="AG1188" s="5">
        <f>T1208</f>
        <v>2008</v>
      </c>
      <c r="AH1188" s="6">
        <f>T1212</f>
        <v>2019</v>
      </c>
    </row>
    <row r="1189" spans="1:34" ht="16" customHeight="1" thickBot="1" x14ac:dyDescent="0.4">
      <c r="A1189" s="31">
        <v>42917</v>
      </c>
      <c r="B1189" s="32">
        <f>VLOOKUP(Table10[[#This Row],[Month]],database!A:J,MATCH('IP from start'!$A$1,database!$A$1:$J$1,),)</f>
        <v>100.1418</v>
      </c>
      <c r="C1189" s="33">
        <f>(Table10[[#This Row],[Industrial Production ]]-B1177)/B1177</f>
        <v>1.3200508715856665E-2</v>
      </c>
      <c r="D1189" s="34">
        <f t="shared" si="18"/>
        <v>-1.604932478598926E-4</v>
      </c>
      <c r="R1189" s="3">
        <v>14246</v>
      </c>
      <c r="S1189" s="3" t="s">
        <v>52</v>
      </c>
      <c r="T1189" s="74">
        <f>YEAR(R1189)</f>
        <v>1939</v>
      </c>
      <c r="U1189" s="74">
        <f>T1189-T1188</f>
        <v>20</v>
      </c>
      <c r="V1189" s="74">
        <f>VLOOKUP(R1189,A:B,2,)</f>
        <v>7.0598999999999998</v>
      </c>
      <c r="W1189" s="74">
        <f>(V1189-V1188)/V1188</f>
        <v>0.44750169150964669</v>
      </c>
      <c r="X1189" s="74">
        <f>(1+W1189)^(1/20)</f>
        <v>1.0186639899357868</v>
      </c>
      <c r="AA1189" s="9" t="str">
        <f>S1189</f>
        <v>To</v>
      </c>
      <c r="AB1189" s="13">
        <f>T1189</f>
        <v>1939</v>
      </c>
      <c r="AC1189" s="13">
        <f>T1193</f>
        <v>1946</v>
      </c>
      <c r="AD1189" s="13">
        <f>T1197</f>
        <v>1991</v>
      </c>
      <c r="AE1189" s="13">
        <f>T1201</f>
        <v>2001</v>
      </c>
      <c r="AF1189" s="13">
        <f>T1205</f>
        <v>2008</v>
      </c>
      <c r="AG1189" s="13">
        <f>T1209</f>
        <v>2019</v>
      </c>
      <c r="AH1189" s="7">
        <f>T1213</f>
        <v>2022</v>
      </c>
    </row>
    <row r="1190" spans="1:34" ht="16" customHeight="1" thickBot="1" x14ac:dyDescent="0.4">
      <c r="A1190" s="31">
        <v>42948</v>
      </c>
      <c r="B1190" s="32">
        <f>VLOOKUP(Table10[[#This Row],[Month]],database!A:J,MATCH('IP from start'!$A$1,database!$A$1:$J$1,),)</f>
        <v>99.687799999999996</v>
      </c>
      <c r="C1190" s="33">
        <f>(Table10[[#This Row],[Industrial Production ]]-B1178)/B1178</f>
        <v>9.6991599328270315E-3</v>
      </c>
      <c r="D1190" s="34">
        <f t="shared" si="18"/>
        <v>2.4238040951400086E-3</v>
      </c>
      <c r="T1190" s="60">
        <f>X1190</f>
        <v>1.8663989935786773E-2</v>
      </c>
      <c r="X1190" s="4">
        <f>X1189-1</f>
        <v>1.8663989935786773E-2</v>
      </c>
      <c r="AA1190" s="71" t="s">
        <v>53</v>
      </c>
      <c r="AB1190" s="72">
        <f>T1190</f>
        <v>1.8663989935786773E-2</v>
      </c>
      <c r="AC1190" s="72">
        <f>T1194</f>
        <v>2.4240811774992599E-2</v>
      </c>
      <c r="AD1190" s="72">
        <f>T1198</f>
        <v>8.768744687375718E-2</v>
      </c>
      <c r="AE1190" s="72">
        <f>T1202</f>
        <v>2.0587970332319294E-2</v>
      </c>
      <c r="AF1190" s="72">
        <f>T1206</f>
        <v>5.2389471712472879E-3</v>
      </c>
      <c r="AG1190" s="72">
        <f>T1210</f>
        <v>5.3549504327499164E-4</v>
      </c>
      <c r="AH1190" s="73">
        <f>T1214</f>
        <v>3.2725140872802427E-4</v>
      </c>
    </row>
    <row r="1191" spans="1:34" x14ac:dyDescent="0.35">
      <c r="A1191" s="31">
        <v>42979</v>
      </c>
      <c r="B1191" s="32">
        <f>VLOOKUP(Table10[[#This Row],[Month]],database!A:J,MATCH('IP from start'!$A$1,database!$A$1:$J$1,),)</f>
        <v>99.782899999999998</v>
      </c>
      <c r="C1191" s="33">
        <f>(Table10[[#This Row],[Industrial Production ]]-B1179)/B1179</f>
        <v>1.170247605413032E-2</v>
      </c>
      <c r="D1191" s="34">
        <f t="shared" si="18"/>
        <v>5.0384592508383235E-3</v>
      </c>
    </row>
    <row r="1192" spans="1:34" x14ac:dyDescent="0.35">
      <c r="A1192" s="31">
        <v>43009</v>
      </c>
      <c r="B1192" s="32">
        <f>VLOOKUP(Table10[[#This Row],[Month]],database!A:J,MATCH('IP from start'!$A$1,database!$A$1:$J$1,),)</f>
        <v>101.0401</v>
      </c>
      <c r="C1192" s="33">
        <f>(Table10[[#This Row],[Industrial Production ]]-B1180)/B1180</f>
        <v>2.3578550255995697E-2</v>
      </c>
      <c r="D1192" s="34">
        <f t="shared" si="18"/>
        <v>8.2001978477971044E-3</v>
      </c>
      <c r="R1192" s="3">
        <v>14246</v>
      </c>
      <c r="S1192" s="3" t="s">
        <v>51</v>
      </c>
      <c r="T1192" s="74">
        <f>YEAR(R1192)</f>
        <v>1939</v>
      </c>
      <c r="V1192" s="74">
        <f>VLOOKUP(R1192,A:B,2,)</f>
        <v>7.0598999999999998</v>
      </c>
    </row>
    <row r="1193" spans="1:34" x14ac:dyDescent="0.35">
      <c r="A1193" s="31">
        <v>43040</v>
      </c>
      <c r="B1193" s="32">
        <f>VLOOKUP(Table10[[#This Row],[Month]],database!A:J,MATCH('IP from start'!$A$1,database!$A$1:$J$1,),)</f>
        <v>101.226</v>
      </c>
      <c r="C1193" s="33">
        <f>(Table10[[#This Row],[Industrial Production ]]-B1181)/B1181</f>
        <v>2.9761832098343474E-2</v>
      </c>
      <c r="D1193" s="34">
        <f t="shared" si="18"/>
        <v>1.1587039916514602E-2</v>
      </c>
      <c r="R1193" s="3">
        <v>16803</v>
      </c>
      <c r="S1193" s="3" t="s">
        <v>52</v>
      </c>
      <c r="T1193" s="74">
        <f>YEAR(R1193)</f>
        <v>1946</v>
      </c>
      <c r="U1193" s="74">
        <f>T1193-T1192</f>
        <v>7</v>
      </c>
      <c r="V1193" s="74">
        <f>VLOOKUP(R1193,A:B,2,)</f>
        <v>11.398300000000001</v>
      </c>
      <c r="W1193" s="74">
        <f>(V1193-V1192)/V1192</f>
        <v>0.614512953441267</v>
      </c>
      <c r="X1193" s="74">
        <f>(1+W1193)^(1/20)</f>
        <v>1.0242408117749926</v>
      </c>
    </row>
    <row r="1194" spans="1:34" x14ac:dyDescent="0.35">
      <c r="A1194" s="31">
        <v>43070</v>
      </c>
      <c r="B1194" s="32">
        <f>VLOOKUP(Table10[[#This Row],[Month]],database!A:J,MATCH('IP from start'!$A$1,database!$A$1:$J$1,),)</f>
        <v>101.3878</v>
      </c>
      <c r="C1194" s="33">
        <f>(Table10[[#This Row],[Industrial Production ]]-B1182)/B1182</f>
        <v>2.5089402798406137E-2</v>
      </c>
      <c r="D1194" s="34">
        <f t="shared" si="18"/>
        <v>1.3636433815258276E-2</v>
      </c>
      <c r="T1194" s="60">
        <f>X1194</f>
        <v>2.4240811774992599E-2</v>
      </c>
      <c r="X1194" s="4">
        <f>X1193-1</f>
        <v>2.4240811774992599E-2</v>
      </c>
    </row>
    <row r="1195" spans="1:34" x14ac:dyDescent="0.35">
      <c r="A1195" s="31">
        <v>43101</v>
      </c>
      <c r="B1195" s="32">
        <f>VLOOKUP(Table10[[#This Row],[Month]],database!A:J,MATCH('IP from start'!$A$1,database!$A$1:$J$1,),)</f>
        <v>101.345</v>
      </c>
      <c r="C1195" s="33">
        <f>(Table10[[#This Row],[Industrial Production ]]-B1183)/B1183</f>
        <v>2.6435434684189713E-2</v>
      </c>
      <c r="D1195" s="34">
        <f t="shared" si="18"/>
        <v>1.64041433430278E-2</v>
      </c>
    </row>
    <row r="1196" spans="1:34" x14ac:dyDescent="0.35">
      <c r="A1196" s="31">
        <v>43132</v>
      </c>
      <c r="B1196" s="32">
        <f>VLOOKUP(Table10[[#This Row],[Month]],database!A:J,MATCH('IP from start'!$A$1,database!$A$1:$J$1,),)</f>
        <v>101.7068</v>
      </c>
      <c r="C1196" s="33">
        <f>(Table10[[#This Row],[Industrial Production ]]-B1184)/B1184</f>
        <v>3.3418751486011693E-2</v>
      </c>
      <c r="D1196" s="34">
        <f t="shared" si="18"/>
        <v>1.9590813849395632E-2</v>
      </c>
      <c r="R1196" s="3">
        <v>16803</v>
      </c>
      <c r="S1196" s="3" t="s">
        <v>51</v>
      </c>
      <c r="T1196" s="74">
        <f>YEAR(R1196)</f>
        <v>1946</v>
      </c>
      <c r="V1196" s="74">
        <f>VLOOKUP(R1196,A:B,2,)</f>
        <v>11.398300000000001</v>
      </c>
    </row>
    <row r="1197" spans="1:34" x14ac:dyDescent="0.35">
      <c r="A1197" s="31">
        <v>43160</v>
      </c>
      <c r="B1197" s="32">
        <f>VLOOKUP(Table10[[#This Row],[Month]],database!A:J,MATCH('IP from start'!$A$1,database!$A$1:$J$1,),)</f>
        <v>102.27849999999999</v>
      </c>
      <c r="C1197" s="33">
        <f>(Table10[[#This Row],[Industrial Production ]]-B1185)/B1185</f>
        <v>3.2359098277424836E-2</v>
      </c>
      <c r="D1197" s="34">
        <f t="shared" si="18"/>
        <v>2.1494223627667373E-2</v>
      </c>
      <c r="R1197" s="3">
        <v>33239</v>
      </c>
      <c r="S1197" s="3" t="s">
        <v>52</v>
      </c>
      <c r="T1197" s="74">
        <f>YEAR(R1197)</f>
        <v>1991</v>
      </c>
      <c r="U1197" s="74">
        <f>T1197-T1196</f>
        <v>45</v>
      </c>
      <c r="V1197" s="74">
        <f>VLOOKUP(R1197,A:B,2,)</f>
        <v>61.2241</v>
      </c>
      <c r="W1197" s="74">
        <f>(V1197-V1196)/V1196</f>
        <v>4.37133607643245</v>
      </c>
      <c r="X1197" s="74">
        <f>(1+W1197)^(1/20)</f>
        <v>1.0876874468737572</v>
      </c>
    </row>
    <row r="1198" spans="1:34" x14ac:dyDescent="0.35">
      <c r="A1198" s="31">
        <v>43191</v>
      </c>
      <c r="B1198" s="32">
        <f>VLOOKUP(Table10[[#This Row],[Month]],database!A:J,MATCH('IP from start'!$A$1,database!$A$1:$J$1,),)</f>
        <v>103.434</v>
      </c>
      <c r="C1198" s="33">
        <f>(Table10[[#This Row],[Industrial Production ]]-B1186)/B1186</f>
        <v>3.3776591757492098E-2</v>
      </c>
      <c r="D1198" s="34">
        <f t="shared" si="18"/>
        <v>2.2939104194271118E-2</v>
      </c>
      <c r="T1198" s="60">
        <f>X1198</f>
        <v>8.768744687375718E-2</v>
      </c>
      <c r="X1198" s="4">
        <f>X1197-1</f>
        <v>8.768744687375718E-2</v>
      </c>
    </row>
    <row r="1199" spans="1:34" x14ac:dyDescent="0.35">
      <c r="A1199" s="31">
        <v>43221</v>
      </c>
      <c r="B1199" s="32">
        <f>VLOOKUP(Table10[[#This Row],[Month]],database!A:J,MATCH('IP from start'!$A$1,database!$A$1:$J$1,),)</f>
        <v>102.4735</v>
      </c>
      <c r="C1199" s="33">
        <f>(Table10[[#This Row],[Industrial Production ]]-B1187)/B1187</f>
        <v>2.3312595492265806E-2</v>
      </c>
      <c r="D1199" s="34">
        <f t="shared" si="18"/>
        <v>2.3244675711937782E-2</v>
      </c>
    </row>
    <row r="1200" spans="1:34" x14ac:dyDescent="0.35">
      <c r="A1200" s="31">
        <v>43252</v>
      </c>
      <c r="B1200" s="32">
        <f>VLOOKUP(Table10[[#This Row],[Month]],database!A:J,MATCH('IP from start'!$A$1,database!$A$1:$J$1,),)</f>
        <v>103.2508</v>
      </c>
      <c r="C1200" s="33">
        <f>(Table10[[#This Row],[Industrial Production ]]-B1188)/B1188</f>
        <v>2.926786476173E-2</v>
      </c>
      <c r="D1200" s="34">
        <f t="shared" si="18"/>
        <v>2.4300188859556121E-2</v>
      </c>
      <c r="R1200" s="3">
        <v>33239</v>
      </c>
      <c r="S1200" s="3" t="s">
        <v>51</v>
      </c>
      <c r="T1200" s="74">
        <f>YEAR(R1200)</f>
        <v>1991</v>
      </c>
      <c r="V1200" s="74">
        <f>VLOOKUP(R1200,A:B,2,)</f>
        <v>61.2241</v>
      </c>
    </row>
    <row r="1201" spans="1:24" x14ac:dyDescent="0.35">
      <c r="A1201" s="31">
        <v>43282</v>
      </c>
      <c r="B1201" s="32">
        <f>VLOOKUP(Table10[[#This Row],[Month]],database!A:J,MATCH('IP from start'!$A$1,database!$A$1:$J$1,),)</f>
        <v>103.4588</v>
      </c>
      <c r="C1201" s="33">
        <f>(Table10[[#This Row],[Industrial Production ]]-B1189)/B1189</f>
        <v>3.3123031541274404E-2</v>
      </c>
      <c r="D1201" s="34">
        <f t="shared" si="18"/>
        <v>2.5960399095007598E-2</v>
      </c>
      <c r="R1201" s="3">
        <v>36892</v>
      </c>
      <c r="S1201" s="3" t="s">
        <v>52</v>
      </c>
      <c r="T1201" s="74">
        <f>YEAR(R1201)</f>
        <v>2001</v>
      </c>
      <c r="U1201" s="74">
        <f>T1201-T1200</f>
        <v>10</v>
      </c>
      <c r="V1201" s="74">
        <f>VLOOKUP(R1201,A:B,2,)</f>
        <v>92.0304</v>
      </c>
      <c r="W1201" s="74">
        <f>(V1201-V1200)/V1200</f>
        <v>0.50317277019997031</v>
      </c>
      <c r="X1201" s="74">
        <f>(1+W1201)^(1/20)</f>
        <v>1.0205879703323193</v>
      </c>
    </row>
    <row r="1202" spans="1:24" x14ac:dyDescent="0.35">
      <c r="A1202" s="31">
        <v>43313</v>
      </c>
      <c r="B1202" s="32">
        <f>VLOOKUP(Table10[[#This Row],[Month]],database!A:J,MATCH('IP from start'!$A$1,database!$A$1:$J$1,),)</f>
        <v>104.1802</v>
      </c>
      <c r="C1202" s="33">
        <f>(Table10[[#This Row],[Industrial Production ]]-B1190)/B1190</f>
        <v>4.5064691968325146E-2</v>
      </c>
      <c r="D1202" s="34">
        <f t="shared" si="18"/>
        <v>2.890752676463244E-2</v>
      </c>
      <c r="T1202" s="60">
        <f>X1202</f>
        <v>2.0587970332319294E-2</v>
      </c>
      <c r="X1202" s="4">
        <f>X1201-1</f>
        <v>2.0587970332319294E-2</v>
      </c>
    </row>
    <row r="1203" spans="1:24" x14ac:dyDescent="0.35">
      <c r="A1203" s="31">
        <v>43344</v>
      </c>
      <c r="B1203" s="32">
        <f>VLOOKUP(Table10[[#This Row],[Month]],database!A:J,MATCH('IP from start'!$A$1,database!$A$1:$J$1,),)</f>
        <v>104.1665</v>
      </c>
      <c r="C1203" s="33">
        <f>(Table10[[#This Row],[Industrial Production ]]-B1191)/B1191</f>
        <v>4.3931375015157918E-2</v>
      </c>
      <c r="D1203" s="34">
        <f t="shared" si="18"/>
        <v>3.1593268344718074E-2</v>
      </c>
    </row>
    <row r="1204" spans="1:24" x14ac:dyDescent="0.35">
      <c r="A1204" s="31">
        <v>43374</v>
      </c>
      <c r="B1204" s="32">
        <f>VLOOKUP(Table10[[#This Row],[Month]],database!A:J,MATCH('IP from start'!$A$1,database!$A$1:$J$1,),)</f>
        <v>104.0476</v>
      </c>
      <c r="C1204" s="33">
        <f>(Table10[[#This Row],[Industrial Production ]]-B1192)/B1192</f>
        <v>2.9765409970892821E-2</v>
      </c>
      <c r="D1204" s="34">
        <f t="shared" si="18"/>
        <v>3.2108839987626168E-2</v>
      </c>
      <c r="R1204" s="3">
        <v>36892</v>
      </c>
      <c r="S1204" s="3" t="s">
        <v>51</v>
      </c>
      <c r="T1204" s="74">
        <f>YEAR(R1204)</f>
        <v>2001</v>
      </c>
      <c r="V1204" s="74">
        <f>VLOOKUP(R1204,A:B,2,)</f>
        <v>92.0304</v>
      </c>
    </row>
    <row r="1205" spans="1:24" x14ac:dyDescent="0.35">
      <c r="A1205" s="31">
        <v>43405</v>
      </c>
      <c r="B1205" s="32">
        <f>VLOOKUP(Table10[[#This Row],[Month]],database!A:J,MATCH('IP from start'!$A$1,database!$A$1:$J$1,),)</f>
        <v>103.9603</v>
      </c>
      <c r="C1205" s="33">
        <f>(Table10[[#This Row],[Industrial Production ]]-B1193)/B1193</f>
        <v>2.7011834904076073E-2</v>
      </c>
      <c r="D1205" s="34">
        <f t="shared" si="18"/>
        <v>3.1879673554770553E-2</v>
      </c>
      <c r="R1205" s="3">
        <v>39448</v>
      </c>
      <c r="S1205" s="3" t="s">
        <v>52</v>
      </c>
      <c r="T1205" s="74">
        <f>YEAR(R1205)</f>
        <v>2008</v>
      </c>
      <c r="U1205" s="74">
        <f>T1205-T1204</f>
        <v>7</v>
      </c>
      <c r="V1205" s="74">
        <f>VLOOKUP(R1205,A:B,2,)</f>
        <v>102.1686</v>
      </c>
      <c r="W1205" s="74">
        <f>(V1205-V1204)/V1204</f>
        <v>0.11016142492046103</v>
      </c>
      <c r="X1205" s="74">
        <f>(1+W1205)^(1/20)</f>
        <v>1.0052389471712473</v>
      </c>
    </row>
    <row r="1206" spans="1:24" x14ac:dyDescent="0.35">
      <c r="A1206" s="31">
        <v>43435</v>
      </c>
      <c r="B1206" s="32">
        <f>VLOOKUP(Table10[[#This Row],[Month]],database!A:J,MATCH('IP from start'!$A$1,database!$A$1:$J$1,),)</f>
        <v>103.869</v>
      </c>
      <c r="C1206" s="33">
        <f>(Table10[[#This Row],[Industrial Production ]]-B1194)/B1194</f>
        <v>2.4472372415616093E-2</v>
      </c>
      <c r="D1206" s="34">
        <f t="shared" si="18"/>
        <v>3.1828254356204719E-2</v>
      </c>
      <c r="T1206" s="60">
        <f>X1206</f>
        <v>5.2389471712472879E-3</v>
      </c>
      <c r="X1206" s="4">
        <f>X1205-1</f>
        <v>5.2389471712472879E-3</v>
      </c>
    </row>
    <row r="1207" spans="1:24" x14ac:dyDescent="0.35">
      <c r="A1207" s="31">
        <v>43466</v>
      </c>
      <c r="B1207" s="32">
        <f>VLOOKUP(Table10[[#This Row],[Month]],database!A:J,MATCH('IP from start'!$A$1,database!$A$1:$J$1,),)</f>
        <v>103.2684</v>
      </c>
      <c r="C1207" s="33">
        <f>(Table10[[#This Row],[Industrial Production ]]-B1195)/B1195</f>
        <v>1.8978736000789392E-2</v>
      </c>
      <c r="D1207" s="34">
        <f t="shared" si="18"/>
        <v>3.1206862799254692E-2</v>
      </c>
    </row>
    <row r="1208" spans="1:24" x14ac:dyDescent="0.35">
      <c r="A1208" s="31">
        <v>43497</v>
      </c>
      <c r="B1208" s="32">
        <f>VLOOKUP(Table10[[#This Row],[Month]],database!A:J,MATCH('IP from start'!$A$1,database!$A$1:$J$1,),)</f>
        <v>102.81570000000001</v>
      </c>
      <c r="C1208" s="33">
        <f>(Table10[[#This Row],[Industrial Production ]]-B1196)/B1196</f>
        <v>1.0902909146684445E-2</v>
      </c>
      <c r="D1208" s="34">
        <f t="shared" si="18"/>
        <v>2.9330542604310755E-2</v>
      </c>
      <c r="R1208" s="3">
        <v>39448</v>
      </c>
      <c r="S1208" s="3" t="s">
        <v>51</v>
      </c>
      <c r="T1208" s="74">
        <f>YEAR(R1208)</f>
        <v>2008</v>
      </c>
      <c r="V1208" s="74">
        <f>VLOOKUP(R1208,A:B,2,)</f>
        <v>102.1686</v>
      </c>
    </row>
    <row r="1209" spans="1:24" x14ac:dyDescent="0.35">
      <c r="A1209" s="31">
        <v>43525</v>
      </c>
      <c r="B1209" s="32">
        <f>VLOOKUP(Table10[[#This Row],[Month]],database!A:J,MATCH('IP from start'!$A$1,database!$A$1:$J$1,),)</f>
        <v>102.9</v>
      </c>
      <c r="C1209" s="33">
        <f>(Table10[[#This Row],[Industrial Production ]]-B1197)/B1197</f>
        <v>6.0765459016314449E-3</v>
      </c>
      <c r="D1209" s="34">
        <f t="shared" si="18"/>
        <v>2.7140329906327976E-2</v>
      </c>
      <c r="R1209" s="3">
        <v>43466</v>
      </c>
      <c r="S1209" s="3" t="s">
        <v>52</v>
      </c>
      <c r="T1209" s="74">
        <f>YEAR(R1209)</f>
        <v>2019</v>
      </c>
      <c r="U1209" s="74">
        <f>T1209-T1208</f>
        <v>11</v>
      </c>
      <c r="V1209" s="74">
        <f>VLOOKUP(R1209,A:B,2,)</f>
        <v>103.2684</v>
      </c>
      <c r="W1209" s="74">
        <f>(V1209-V1208)/V1208</f>
        <v>1.0764559757107389E-2</v>
      </c>
      <c r="X1209" s="74">
        <f>(1+W1209)^(1/20)</f>
        <v>1.000535495043275</v>
      </c>
    </row>
    <row r="1210" spans="1:24" x14ac:dyDescent="0.35">
      <c r="A1210" s="31">
        <v>43556</v>
      </c>
      <c r="B1210" s="32">
        <f>VLOOKUP(Table10[[#This Row],[Month]],database!A:J,MATCH('IP from start'!$A$1,database!$A$1:$J$1,),)</f>
        <v>102.3826</v>
      </c>
      <c r="C1210" s="33">
        <f>(Table10[[#This Row],[Industrial Production ]]-B1198)/B1198</f>
        <v>-1.0164936094514387E-2</v>
      </c>
      <c r="D1210" s="34">
        <f t="shared" si="18"/>
        <v>2.3478535918660764E-2</v>
      </c>
      <c r="T1210" s="60">
        <f>X1210</f>
        <v>5.3549504327499164E-4</v>
      </c>
      <c r="X1210" s="4">
        <f>X1209-1</f>
        <v>5.3549504327499164E-4</v>
      </c>
    </row>
    <row r="1211" spans="1:24" x14ac:dyDescent="0.35">
      <c r="A1211" s="31">
        <v>43586</v>
      </c>
      <c r="B1211" s="32">
        <f>VLOOKUP(Table10[[#This Row],[Month]],database!A:J,MATCH('IP from start'!$A$1,database!$A$1:$J$1,),)</f>
        <v>102.57559999999999</v>
      </c>
      <c r="C1211" s="33">
        <f>(Table10[[#This Row],[Industrial Production ]]-B1199)/B1199</f>
        <v>9.9635515523518732E-4</v>
      </c>
      <c r="D1211" s="34">
        <f t="shared" si="18"/>
        <v>2.1618849223908207E-2</v>
      </c>
    </row>
    <row r="1212" spans="1:24" x14ac:dyDescent="0.35">
      <c r="A1212" s="31">
        <v>43617</v>
      </c>
      <c r="B1212" s="32">
        <f>VLOOKUP(Table10[[#This Row],[Month]],database!A:J,MATCH('IP from start'!$A$1,database!$A$1:$J$1,),)</f>
        <v>102.5928</v>
      </c>
      <c r="C1212" s="33">
        <f>(Table10[[#This Row],[Industrial Production ]]-B1200)/B1200</f>
        <v>-6.372831978057325E-3</v>
      </c>
      <c r="D1212" s="34">
        <f t="shared" si="18"/>
        <v>1.864879116225927E-2</v>
      </c>
      <c r="R1212" s="3">
        <v>43466</v>
      </c>
      <c r="S1212" s="3" t="s">
        <v>51</v>
      </c>
      <c r="T1212" s="74">
        <f>YEAR(R1212)</f>
        <v>2019</v>
      </c>
      <c r="V1212" s="74">
        <f>VLOOKUP(R1212,A:B,2,)</f>
        <v>103.2684</v>
      </c>
    </row>
    <row r="1213" spans="1:24" x14ac:dyDescent="0.35">
      <c r="A1213" s="31">
        <v>43647</v>
      </c>
      <c r="B1213" s="32">
        <f>VLOOKUP(Table10[[#This Row],[Month]],database!A:J,MATCH('IP from start'!$A$1,database!$A$1:$J$1,),)</f>
        <v>102.2012</v>
      </c>
      <c r="C1213" s="33">
        <f>(Table10[[#This Row],[Industrial Production ]]-B1201)/B1201</f>
        <v>-1.2155563374019383E-2</v>
      </c>
      <c r="D1213" s="34">
        <f t="shared" si="18"/>
        <v>1.4875574919318119E-2</v>
      </c>
      <c r="R1213" s="3">
        <v>44713</v>
      </c>
      <c r="S1213" s="3" t="s">
        <v>52</v>
      </c>
      <c r="T1213" s="74">
        <f>YEAR(R1213)</f>
        <v>2022</v>
      </c>
      <c r="U1213" s="74">
        <f>T1213-T1212</f>
        <v>3</v>
      </c>
      <c r="V1213" s="74">
        <f>VLOOKUP(R1213,A:B,2,)</f>
        <v>103.9464</v>
      </c>
      <c r="W1213" s="74">
        <f>(V1213-V1212)/V1212</f>
        <v>6.5654159452455665E-3</v>
      </c>
      <c r="X1213" s="74">
        <f>(1+W1213)^(1/20)</f>
        <v>1.000327251408728</v>
      </c>
    </row>
    <row r="1214" spans="1:24" x14ac:dyDescent="0.35">
      <c r="A1214" s="31">
        <v>43678</v>
      </c>
      <c r="B1214" s="32">
        <f>VLOOKUP(Table10[[#This Row],[Month]],database!A:J,MATCH('IP from start'!$A$1,database!$A$1:$J$1,),)</f>
        <v>102.90860000000001</v>
      </c>
      <c r="C1214" s="33">
        <f>(Table10[[#This Row],[Industrial Production ]]-B1202)/B1202</f>
        <v>-1.2205774225812508E-2</v>
      </c>
      <c r="D1214" s="34">
        <f t="shared" si="18"/>
        <v>1.0103036069806649E-2</v>
      </c>
      <c r="T1214" s="60">
        <f>X1214</f>
        <v>3.2725140872802427E-4</v>
      </c>
      <c r="X1214" s="4">
        <f>X1213-1</f>
        <v>3.2725140872802427E-4</v>
      </c>
    </row>
    <row r="1215" spans="1:24" x14ac:dyDescent="0.35">
      <c r="A1215" s="31">
        <v>43709</v>
      </c>
      <c r="B1215" s="32">
        <f>VLOOKUP(Table10[[#This Row],[Month]],database!A:J,MATCH('IP from start'!$A$1,database!$A$1:$J$1,),)</f>
        <v>102.57899999999999</v>
      </c>
      <c r="C1215" s="33">
        <f>(Table10[[#This Row],[Industrial Production ]]-B1203)/B1203</f>
        <v>-1.5240024384039069E-2</v>
      </c>
      <c r="D1215" s="34">
        <f t="shared" si="18"/>
        <v>5.1720861198735653E-3</v>
      </c>
    </row>
    <row r="1216" spans="1:24" x14ac:dyDescent="0.35">
      <c r="A1216" s="31">
        <v>43739</v>
      </c>
      <c r="B1216" s="32">
        <f>VLOOKUP(Table10[[#This Row],[Month]],database!A:J,MATCH('IP from start'!$A$1,database!$A$1:$J$1,),)</f>
        <v>101.7775</v>
      </c>
      <c r="C1216" s="33">
        <f>(Table10[[#This Row],[Industrial Production ]]-B1204)/B1204</f>
        <v>-2.1817898730965436E-2</v>
      </c>
      <c r="D1216" s="34">
        <f t="shared" si="18"/>
        <v>8.7347706138537747E-4</v>
      </c>
    </row>
    <row r="1217" spans="1:18" x14ac:dyDescent="0.35">
      <c r="A1217" s="31">
        <v>43770</v>
      </c>
      <c r="B1217" s="32">
        <f>VLOOKUP(Table10[[#This Row],[Month]],database!A:J,MATCH('IP from start'!$A$1,database!$A$1:$J$1,),)</f>
        <v>102.0979</v>
      </c>
      <c r="C1217" s="33">
        <f>(Table10[[#This Row],[Industrial Production ]]-B1205)/B1205</f>
        <v>-1.7914530835328561E-2</v>
      </c>
      <c r="D1217" s="34">
        <f t="shared" si="18"/>
        <v>-2.8703867502316758E-3</v>
      </c>
    </row>
    <row r="1218" spans="1:18" x14ac:dyDescent="0.35">
      <c r="A1218" s="31">
        <v>43800</v>
      </c>
      <c r="B1218" s="32">
        <f>VLOOKUP(Table10[[#This Row],[Month]],database!A:J,MATCH('IP from start'!$A$1,database!$A$1:$J$1,),)</f>
        <v>101.7632</v>
      </c>
      <c r="C1218" s="33">
        <f>(Table10[[#This Row],[Industrial Production ]]-B1206)/B1206</f>
        <v>-2.027361387902071E-2</v>
      </c>
      <c r="D1218" s="34">
        <f t="shared" si="18"/>
        <v>-6.5992189414514095E-3</v>
      </c>
    </row>
    <row r="1219" spans="1:18" x14ac:dyDescent="0.35">
      <c r="A1219" s="31">
        <v>43831</v>
      </c>
      <c r="B1219" s="32">
        <f>VLOOKUP(Table10[[#This Row],[Month]],database!A:J,MATCH('IP from start'!$A$1,database!$A$1:$J$1,),)</f>
        <v>101.303</v>
      </c>
      <c r="C1219" s="33">
        <f>(Table10[[#This Row],[Industrial Production ]]-B1207)/B1207</f>
        <v>-1.9031959437737028E-2</v>
      </c>
      <c r="D1219" s="34">
        <f t="shared" si="18"/>
        <v>-9.7667768946619448E-3</v>
      </c>
    </row>
    <row r="1220" spans="1:18" x14ac:dyDescent="0.35">
      <c r="A1220" s="31">
        <v>43862</v>
      </c>
      <c r="B1220" s="32">
        <f>VLOOKUP(Table10[[#This Row],[Month]],database!A:J,MATCH('IP from start'!$A$1,database!$A$1:$J$1,),)</f>
        <v>101.7038</v>
      </c>
      <c r="C1220" s="33">
        <f>(Table10[[#This Row],[Industrial Production ]]-B1208)/B1208</f>
        <v>-1.0814496229661477E-2</v>
      </c>
      <c r="D1220" s="34">
        <f t="shared" si="18"/>
        <v>-1.1576560676024106E-2</v>
      </c>
    </row>
    <row r="1221" spans="1:18" x14ac:dyDescent="0.35">
      <c r="A1221" s="31">
        <v>43891</v>
      </c>
      <c r="B1221" s="32">
        <f>VLOOKUP(Table10[[#This Row],[Month]],database!A:J,MATCH('IP from start'!$A$1,database!$A$1:$J$1,),)</f>
        <v>97.874600000000001</v>
      </c>
      <c r="C1221" s="33">
        <f>(Table10[[#This Row],[Industrial Production ]]-B1209)/B1209</f>
        <v>-4.8837706511175943E-2</v>
      </c>
      <c r="D1221" s="34">
        <f t="shared" si="18"/>
        <v>-1.6152748377091387E-2</v>
      </c>
    </row>
    <row r="1222" spans="1:18" x14ac:dyDescent="0.35">
      <c r="A1222" s="31">
        <v>43922</v>
      </c>
      <c r="B1222" s="32">
        <f>VLOOKUP(Table10[[#This Row],[Month]],database!A:J,MATCH('IP from start'!$A$1,database!$A$1:$J$1,),)</f>
        <v>84.959000000000003</v>
      </c>
      <c r="C1222" s="33">
        <f>(Table10[[#This Row],[Industrial Production ]]-B1210)/B1210</f>
        <v>-0.17018126126900462</v>
      </c>
      <c r="D1222" s="34">
        <f t="shared" si="18"/>
        <v>-2.9487442141632236E-2</v>
      </c>
    </row>
    <row r="1223" spans="1:18" x14ac:dyDescent="0.35">
      <c r="A1223" s="31">
        <v>43952</v>
      </c>
      <c r="B1223" s="32">
        <f>VLOOKUP(Table10[[#This Row],[Month]],database!A:J,MATCH('IP from start'!$A$1,database!$A$1:$J$1,),)</f>
        <v>86.334500000000006</v>
      </c>
      <c r="C1223" s="33">
        <f>(Table10[[#This Row],[Industrial Production ]]-B1211)/B1211</f>
        <v>-0.1583329758734045</v>
      </c>
      <c r="D1223" s="34">
        <f t="shared" si="18"/>
        <v>-4.2764886394018875E-2</v>
      </c>
    </row>
    <row r="1224" spans="1:18" x14ac:dyDescent="0.35">
      <c r="A1224" s="31">
        <v>43983</v>
      </c>
      <c r="B1224" s="32">
        <f>VLOOKUP(Table10[[#This Row],[Month]],database!A:J,MATCH('IP from start'!$A$1,database!$A$1:$J$1,),)</f>
        <v>91.752300000000005</v>
      </c>
      <c r="C1224" s="33">
        <f>(Table10[[#This Row],[Industrial Production ]]-B1212)/B1212</f>
        <v>-0.10566530984630493</v>
      </c>
      <c r="D1224" s="34">
        <f t="shared" si="18"/>
        <v>-5.1039259549706194E-2</v>
      </c>
    </row>
    <row r="1225" spans="1:18" x14ac:dyDescent="0.35">
      <c r="A1225" s="31">
        <v>44013</v>
      </c>
      <c r="B1225" s="32">
        <f>VLOOKUP(Table10[[#This Row],[Month]],database!A:J,MATCH('IP from start'!$A$1,database!$A$1:$J$1,),)</f>
        <v>95.243899999999996</v>
      </c>
      <c r="C1225" s="33">
        <f>(Table10[[#This Row],[Industrial Production ]]-B1213)/B1213</f>
        <v>-6.8074543156049078E-2</v>
      </c>
      <c r="D1225" s="34">
        <f t="shared" si="18"/>
        <v>-5.5699174531541995E-2</v>
      </c>
    </row>
    <row r="1226" spans="1:18" x14ac:dyDescent="0.35">
      <c r="A1226" s="31">
        <v>44044</v>
      </c>
      <c r="B1226" s="32">
        <f>VLOOKUP(Table10[[#This Row],[Month]],database!A:J,MATCH('IP from start'!$A$1,database!$A$1:$J$1,),)</f>
        <v>96.1173</v>
      </c>
      <c r="C1226" s="33">
        <f>(Table10[[#This Row],[Industrial Production ]]-B1214)/B1214</f>
        <v>-6.5993512689901584E-2</v>
      </c>
      <c r="D1226" s="34">
        <f t="shared" si="18"/>
        <v>-6.0181486070216082E-2</v>
      </c>
    </row>
    <row r="1227" spans="1:18" x14ac:dyDescent="0.35">
      <c r="A1227" s="31">
        <v>44075</v>
      </c>
      <c r="B1227" s="32">
        <f>VLOOKUP(Table10[[#This Row],[Month]],database!A:J,MATCH('IP from start'!$A$1,database!$A$1:$J$1,),)</f>
        <v>96.071100000000001</v>
      </c>
      <c r="C1227" s="33">
        <f>(Table10[[#This Row],[Industrial Production ]]-B1215)/B1215</f>
        <v>-6.344280993185733E-2</v>
      </c>
      <c r="D1227" s="34">
        <f t="shared" si="18"/>
        <v>-6.4198384865867611E-2</v>
      </c>
      <c r="R1227" s="10">
        <f>AVERAGE(C19:C1211)</f>
        <v>3.6986116154377885E-2</v>
      </c>
    </row>
    <row r="1228" spans="1:18" x14ac:dyDescent="0.35">
      <c r="A1228" s="31">
        <v>44105</v>
      </c>
      <c r="B1228" s="32">
        <f>VLOOKUP(Table10[[#This Row],[Month]],database!A:J,MATCH('IP from start'!$A$1,database!$A$1:$J$1,),)</f>
        <v>96.825000000000003</v>
      </c>
      <c r="C1228" s="33">
        <f>(Table10[[#This Row],[Industrial Production ]]-B1216)/B1216</f>
        <v>-4.866006730367714E-2</v>
      </c>
      <c r="D1228" s="34">
        <f t="shared" si="18"/>
        <v>-6.643523224692692E-2</v>
      </c>
      <c r="R1228" s="10">
        <f>AVERAGE(D20:D1256)</f>
        <v>3.5425672046673393E-2</v>
      </c>
    </row>
    <row r="1229" spans="1:18" x14ac:dyDescent="0.35">
      <c r="A1229" s="31">
        <v>44136</v>
      </c>
      <c r="B1229" s="32">
        <f>VLOOKUP(Table10[[#This Row],[Month]],database!A:J,MATCH('IP from start'!$A$1,database!$A$1:$J$1,),)</f>
        <v>97.118300000000005</v>
      </c>
      <c r="C1229" s="33">
        <f>(Table10[[#This Row],[Industrial Production ]]-B1217)/B1217</f>
        <v>-4.8772795522728583E-2</v>
      </c>
      <c r="D1229" s="34">
        <f t="shared" si="18"/>
        <v>-6.9006754304210258E-2</v>
      </c>
    </row>
    <row r="1230" spans="1:18" x14ac:dyDescent="0.35">
      <c r="A1230" s="31">
        <v>44166</v>
      </c>
      <c r="B1230" s="32">
        <f>VLOOKUP(Table10[[#This Row],[Month]],database!A:J,MATCH('IP from start'!$A$1,database!$A$1:$J$1,),)</f>
        <v>98.138000000000005</v>
      </c>
      <c r="C1230" s="33">
        <f>(Table10[[#This Row],[Industrial Production ]]-B1218)/B1218</f>
        <v>-3.562387975220898E-2</v>
      </c>
      <c r="D1230" s="34">
        <f t="shared" si="18"/>
        <v>-7.0285943126975933E-2</v>
      </c>
    </row>
    <row r="1231" spans="1:18" x14ac:dyDescent="0.35">
      <c r="A1231" s="31">
        <v>44197</v>
      </c>
      <c r="B1231" s="32">
        <f>VLOOKUP(Table10[[#This Row],[Month]],database!A:J,MATCH('IP from start'!$A$1,database!$A$1:$J$1,),)</f>
        <v>99.264499999999998</v>
      </c>
      <c r="C1231" s="33">
        <f>(Table10[[#This Row],[Industrial Production ]]-B1219)/B1219</f>
        <v>-2.0122799917080433E-2</v>
      </c>
      <c r="D1231" s="34">
        <f t="shared" si="18"/>
        <v>-7.0376846500254553E-2</v>
      </c>
    </row>
    <row r="1232" spans="1:18" x14ac:dyDescent="0.35">
      <c r="A1232" s="31">
        <v>44228</v>
      </c>
      <c r="B1232" s="32">
        <f>VLOOKUP(Table10[[#This Row],[Month]],database!A:J,MATCH('IP from start'!$A$1,database!$A$1:$J$1,),)</f>
        <v>96.223100000000002</v>
      </c>
      <c r="C1232" s="33">
        <f>(Table10[[#This Row],[Industrial Production ]]-B1220)/B1220</f>
        <v>-5.3888841911511651E-2</v>
      </c>
      <c r="D1232" s="34">
        <f t="shared" si="18"/>
        <v>-7.3966375307075408E-2</v>
      </c>
    </row>
    <row r="1233" spans="1:4" x14ac:dyDescent="0.35">
      <c r="A1233" s="31">
        <v>44256</v>
      </c>
      <c r="B1233" s="32">
        <f>VLOOKUP(Table10[[#This Row],[Month]],database!A:J,MATCH('IP from start'!$A$1,database!$A$1:$J$1,),)</f>
        <v>98.862099999999998</v>
      </c>
      <c r="C1233" s="33">
        <f>(Table10[[#This Row],[Industrial Production ]]-B1221)/B1221</f>
        <v>1.0089440978558248E-2</v>
      </c>
      <c r="D1233" s="34">
        <f t="shared" si="18"/>
        <v>-6.905577968293089E-2</v>
      </c>
    </row>
    <row r="1234" spans="1:4" x14ac:dyDescent="0.35">
      <c r="A1234" s="31">
        <v>44287</v>
      </c>
      <c r="B1234" s="32">
        <f>VLOOKUP(Table10[[#This Row],[Month]],database!A:J,MATCH('IP from start'!$A$1,database!$A$1:$J$1,),)</f>
        <v>99.024600000000007</v>
      </c>
      <c r="C1234" s="33">
        <f>(Table10[[#This Row],[Industrial Production ]]-B1222)/B1222</f>
        <v>0.1655575042079121</v>
      </c>
      <c r="D1234" s="34">
        <f t="shared" si="18"/>
        <v>-4.1077549226521161E-2</v>
      </c>
    </row>
    <row r="1235" spans="1:4" x14ac:dyDescent="0.35">
      <c r="A1235" s="31">
        <v>44317</v>
      </c>
      <c r="B1235" s="32">
        <f>VLOOKUP(Table10[[#This Row],[Month]],database!A:J,MATCH('IP from start'!$A$1,database!$A$1:$J$1,),)</f>
        <v>99.778499999999994</v>
      </c>
      <c r="C1235" s="33">
        <f>(Table10[[#This Row],[Industrial Production ]]-B1223)/B1223</f>
        <v>0.15571990339898867</v>
      </c>
      <c r="D1235" s="34">
        <f t="shared" si="18"/>
        <v>-1.4906475953821724E-2</v>
      </c>
    </row>
    <row r="1236" spans="1:4" x14ac:dyDescent="0.35">
      <c r="A1236" s="31">
        <v>44348</v>
      </c>
      <c r="B1236" s="32">
        <f>VLOOKUP(Table10[[#This Row],[Month]],database!A:J,MATCH('IP from start'!$A$1,database!$A$1:$J$1,),)</f>
        <v>100.1923</v>
      </c>
      <c r="C1236" s="33">
        <f>(Table10[[#This Row],[Industrial Production ]]-B1224)/B1224</f>
        <v>9.1986794881436185E-2</v>
      </c>
      <c r="D1236" s="34">
        <f t="shared" si="18"/>
        <v>1.5645327734900339E-3</v>
      </c>
    </row>
    <row r="1237" spans="1:4" x14ac:dyDescent="0.35">
      <c r="A1237" s="31">
        <v>44378</v>
      </c>
      <c r="B1237" s="32">
        <f>VLOOKUP(Table10[[#This Row],[Month]],database!A:J,MATCH('IP from start'!$A$1,database!$A$1:$J$1,),)</f>
        <v>100.8724</v>
      </c>
      <c r="C1237" s="33">
        <f>(Table10[[#This Row],[Industrial Production ]]-B1225)/B1225</f>
        <v>5.9095648120247098E-2</v>
      </c>
      <c r="D1237" s="34">
        <f t="shared" si="18"/>
        <v>1.2162048713181378E-2</v>
      </c>
    </row>
    <row r="1238" spans="1:4" x14ac:dyDescent="0.35">
      <c r="A1238" s="31">
        <v>44409</v>
      </c>
      <c r="B1238" s="32">
        <f>VLOOKUP(Table10[[#This Row],[Month]],database!A:J,MATCH('IP from start'!$A$1,database!$A$1:$J$1,),)</f>
        <v>100.837</v>
      </c>
      <c r="C1238" s="33">
        <f>(Table10[[#This Row],[Industrial Production ]]-B1226)/B1226</f>
        <v>4.9103543274727893E-2</v>
      </c>
      <c r="D1238" s="34">
        <f t="shared" si="18"/>
        <v>2.1753470043567171E-2</v>
      </c>
    </row>
    <row r="1239" spans="1:4" x14ac:dyDescent="0.35">
      <c r="A1239" s="31">
        <v>44440</v>
      </c>
      <c r="B1239" s="32">
        <f>VLOOKUP(Table10[[#This Row],[Month]],database!A:J,MATCH('IP from start'!$A$1,database!$A$1:$J$1,),)</f>
        <v>99.849800000000002</v>
      </c>
      <c r="C1239" s="33">
        <f>(Table10[[#This Row],[Industrial Production ]]-B1227)/B1227</f>
        <v>3.9332327828035703E-2</v>
      </c>
      <c r="D1239" s="34">
        <f t="shared" si="18"/>
        <v>3.0318064856891588E-2</v>
      </c>
    </row>
    <row r="1240" spans="1:4" x14ac:dyDescent="0.35">
      <c r="A1240" s="31">
        <v>44470</v>
      </c>
      <c r="B1240" s="32">
        <f>VLOOKUP(Table10[[#This Row],[Month]],database!A:J,MATCH('IP from start'!$A$1,database!$A$1:$J$1,),)</f>
        <v>101.36020000000001</v>
      </c>
      <c r="C1240" s="33">
        <f>(Table10[[#This Row],[Industrial Production ]]-B1228)/B1228</f>
        <v>4.6839142783372097E-2</v>
      </c>
      <c r="D1240" s="34">
        <f t="shared" si="18"/>
        <v>3.8276332364145689E-2</v>
      </c>
    </row>
    <row r="1241" spans="1:4" x14ac:dyDescent="0.35">
      <c r="A1241" s="31">
        <v>44501</v>
      </c>
      <c r="B1241" s="32">
        <f>VLOOKUP(Table10[[#This Row],[Month]],database!A:J,MATCH('IP from start'!$A$1,database!$A$1:$J$1,),)</f>
        <v>101.961</v>
      </c>
      <c r="C1241" s="33">
        <f>(Table10[[#This Row],[Industrial Production ]]-B1229)/B1229</f>
        <v>4.986392883730454E-2</v>
      </c>
      <c r="D1241" s="34">
        <f t="shared" si="18"/>
        <v>4.6496059394148449E-2</v>
      </c>
    </row>
    <row r="1242" spans="1:4" x14ac:dyDescent="0.35">
      <c r="A1242" s="31">
        <v>44531</v>
      </c>
      <c r="B1242" s="32">
        <f>VLOOKUP(Table10[[#This Row],[Month]],database!A:J,MATCH('IP from start'!$A$1,database!$A$1:$J$1,),)</f>
        <v>101.7587</v>
      </c>
      <c r="C1242" s="33">
        <f>(Table10[[#This Row],[Industrial Production ]]-B1230)/B1230</f>
        <v>3.6893965640220905E-2</v>
      </c>
      <c r="D1242" s="34">
        <f t="shared" si="18"/>
        <v>5.2539213176850952E-2</v>
      </c>
    </row>
    <row r="1243" spans="1:4" x14ac:dyDescent="0.35">
      <c r="A1243" s="31">
        <v>44562</v>
      </c>
      <c r="B1243" s="32">
        <f>VLOOKUP(Table10[[#This Row],[Month]],database!A:J,MATCH('IP from start'!$A$1,database!$A$1:$J$1,),)</f>
        <v>102.146</v>
      </c>
      <c r="C1243" s="33">
        <f>(Table10[[#This Row],[Industrial Production ]]-B1231)/B1231</f>
        <v>2.9028504651713378E-2</v>
      </c>
      <c r="D1243" s="34">
        <f t="shared" si="18"/>
        <v>5.6635155224250423E-2</v>
      </c>
    </row>
    <row r="1244" spans="1:4" x14ac:dyDescent="0.35">
      <c r="A1244" s="31">
        <v>44593</v>
      </c>
      <c r="B1244" s="32">
        <f>VLOOKUP(Table10[[#This Row],[Month]],database!A:J,MATCH('IP from start'!$A$1,database!$A$1:$J$1,),)</f>
        <v>102.89870000000001</v>
      </c>
      <c r="C1244" s="33">
        <f>(Table10[[#This Row],[Industrial Production ]]-B1232)/B1232</f>
        <v>6.9376272433542496E-2</v>
      </c>
      <c r="D1244" s="34">
        <f t="shared" si="18"/>
        <v>6.6907248086338286E-2</v>
      </c>
    </row>
    <row r="1245" spans="1:4" x14ac:dyDescent="0.35">
      <c r="A1245" s="31">
        <v>44621</v>
      </c>
      <c r="B1245" s="32">
        <f>VLOOKUP(Table10[[#This Row],[Month]],database!A:J,MATCH('IP from start'!$A$1,database!$A$1:$J$1,),)</f>
        <v>103.57170000000001</v>
      </c>
      <c r="C1245" s="33">
        <f>(Table10[[#This Row],[Industrial Production ]]-B1233)/B1233</f>
        <v>4.7638073639949069E-2</v>
      </c>
      <c r="D1245" s="34">
        <f t="shared" si="18"/>
        <v>7.0036300808120844E-2</v>
      </c>
    </row>
    <row r="1246" spans="1:4" x14ac:dyDescent="0.35">
      <c r="A1246" s="31">
        <v>44652</v>
      </c>
      <c r="B1246" s="32">
        <f>VLOOKUP(Table10[[#This Row],[Month]],database!A:J,MATCH('IP from start'!$A$1,database!$A$1:$J$1,),)</f>
        <v>104.2709</v>
      </c>
      <c r="C1246" s="33">
        <f>(Table10[[#This Row],[Industrial Production ]]-B1234)/B1234</f>
        <v>5.2979764624143805E-2</v>
      </c>
      <c r="D1246" s="34">
        <f t="shared" ref="D1246:D1309" si="19">AVERAGE(C1235:C1246)</f>
        <v>6.0654822509473488E-2</v>
      </c>
    </row>
    <row r="1247" spans="1:4" x14ac:dyDescent="0.35">
      <c r="A1247" s="31">
        <v>44682</v>
      </c>
      <c r="B1247" s="32">
        <f>VLOOKUP(Table10[[#This Row],[Month]],database!A:J,MATCH('IP from start'!$A$1,database!$A$1:$J$1,),)</f>
        <v>104.16459999999999</v>
      </c>
      <c r="C1247" s="33">
        <f>(Table10[[#This Row],[Industrial Production ]]-B1235)/B1235</f>
        <v>4.3958367784642974E-2</v>
      </c>
      <c r="D1247" s="34">
        <f t="shared" si="19"/>
        <v>5.1341361208278008E-2</v>
      </c>
    </row>
    <row r="1248" spans="1:4" x14ac:dyDescent="0.35">
      <c r="A1248" s="31">
        <v>44713</v>
      </c>
      <c r="B1248" s="32">
        <f>VLOOKUP(Table10[[#This Row],[Month]],database!A:J,MATCH('IP from start'!$A$1,database!$A$1:$J$1,),)</f>
        <v>103.9464</v>
      </c>
      <c r="C1248" s="33">
        <f>(Table10[[#This Row],[Industrial Production ]]-B1236)/B1236</f>
        <v>3.7468947214506443E-2</v>
      </c>
      <c r="D1248" s="34">
        <f t="shared" si="19"/>
        <v>4.6798207236033867E-2</v>
      </c>
    </row>
    <row r="1249" spans="1:4" x14ac:dyDescent="0.35">
      <c r="A1249" s="31">
        <v>44743</v>
      </c>
      <c r="B1249" s="32">
        <f>VLOOKUP(Table10[[#This Row],[Month]],database!A:J,MATCH('IP from start'!$A$1,database!$A$1:$J$1,),)</f>
        <v>104.4824</v>
      </c>
      <c r="C1249" s="33">
        <f>(Table10[[#This Row],[Industrial Production ]]-B1237)/B1237</f>
        <v>3.5787787343217761E-2</v>
      </c>
      <c r="D1249" s="34">
        <f t="shared" si="19"/>
        <v>4.4855885504614744E-2</v>
      </c>
    </row>
    <row r="1250" spans="1:4" x14ac:dyDescent="0.35">
      <c r="A1250" s="31">
        <v>44774</v>
      </c>
      <c r="B1250" s="32">
        <f>VLOOKUP(Table10[[#This Row],[Month]],database!A:J,MATCH('IP from start'!$A$1,database!$A$1:$J$1,),)</f>
        <v>104.36969999999999</v>
      </c>
      <c r="C1250" s="33">
        <f>(Table10[[#This Row],[Industrial Production ]]-B1238)/B1238</f>
        <v>3.5033767367136974E-2</v>
      </c>
      <c r="D1250" s="34">
        <f t="shared" si="19"/>
        <v>4.3683404178982178E-2</v>
      </c>
    </row>
    <row r="1251" spans="1:4" x14ac:dyDescent="0.35">
      <c r="A1251" s="31">
        <v>44805</v>
      </c>
      <c r="B1251" s="32">
        <f>VLOOKUP(Table10[[#This Row],[Month]],database!A:J,MATCH('IP from start'!$A$1,database!$A$1:$J$1,),)</f>
        <v>104.574</v>
      </c>
      <c r="C1251" s="33">
        <f>(Table10[[#This Row],[Industrial Production ]]-B1239)/B1239</f>
        <v>4.7313064222462099E-2</v>
      </c>
      <c r="D1251" s="34">
        <f t="shared" si="19"/>
        <v>4.4348465545184373E-2</v>
      </c>
    </row>
    <row r="1252" spans="1:4" x14ac:dyDescent="0.35">
      <c r="A1252" s="31">
        <v>44835</v>
      </c>
      <c r="B1252" s="32">
        <f>VLOOKUP(Table10[[#This Row],[Month]],database!A:J,MATCH('IP from start'!$A$1,database!$A$1:$J$1,),)</f>
        <v>104.59269999999999</v>
      </c>
      <c r="C1252" s="33">
        <f>(Table10[[#This Row],[Industrial Production ]]-B1240)/B1240</f>
        <v>3.1891215684262536E-2</v>
      </c>
      <c r="D1252" s="34">
        <f t="shared" si="19"/>
        <v>4.3102804953591915E-2</v>
      </c>
    </row>
    <row r="1253" spans="1:4" x14ac:dyDescent="0.35">
      <c r="A1253" s="31">
        <v>44866</v>
      </c>
      <c r="B1253" s="32">
        <f>VLOOKUP(Table10[[#This Row],[Month]],database!A:J,MATCH('IP from start'!$A$1,database!$A$1:$J$1,),)</f>
        <v>103.9846</v>
      </c>
      <c r="C1253" s="33">
        <f>(Table10[[#This Row],[Industrial Production ]]-B1241)/B1241</f>
        <v>1.9846804170221968E-2</v>
      </c>
      <c r="D1253" s="34">
        <f t="shared" si="19"/>
        <v>4.0601377898001702E-2</v>
      </c>
    </row>
    <row r="1254" spans="1:4" x14ac:dyDescent="0.35">
      <c r="A1254" s="31">
        <v>44896</v>
      </c>
      <c r="B1254" s="32">
        <f>VLOOKUP(Table10[[#This Row],[Month]],database!A:J,MATCH('IP from start'!$A$1,database!$A$1:$J$1,),)</f>
        <v>102.9256</v>
      </c>
      <c r="C1254" s="33">
        <f>(Table10[[#This Row],[Industrial Production ]]-B1242)/B1242</f>
        <v>1.1467324169825266E-2</v>
      </c>
      <c r="D1254" s="34">
        <f t="shared" si="19"/>
        <v>3.8482491108802065E-2</v>
      </c>
    </row>
    <row r="1255" spans="1:4" x14ac:dyDescent="0.35">
      <c r="A1255" s="31">
        <v>44927</v>
      </c>
      <c r="B1255" s="32">
        <f>VLOOKUP(Table10[[#This Row],[Month]],database!A:J,MATCH('IP from start'!$A$1,database!$A$1:$J$1,),)</f>
        <v>102.9525</v>
      </c>
      <c r="C1255" s="33">
        <f>(Table10[[#This Row],[Industrial Production ]]-B1243)/B1243</f>
        <v>7.8955612554578725E-3</v>
      </c>
      <c r="D1255" s="34">
        <f t="shared" si="19"/>
        <v>3.6721412492447432E-2</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19"/>
  <sheetViews>
    <sheetView zoomScale="70" zoomScaleNormal="70" workbookViewId="0">
      <pane ySplit="6" topLeftCell="A580" activePane="bottomLeft" state="frozen"/>
      <selection pane="bottomLeft" activeCell="L621" sqref="L621"/>
    </sheetView>
  </sheetViews>
  <sheetFormatPr defaultColWidth="9.1796875" defaultRowHeight="14.5" x14ac:dyDescent="0.35"/>
  <cols>
    <col min="1" max="1" width="20.6328125" style="18" customWidth="1"/>
    <col min="2" max="2" width="9.6328125" style="54" customWidth="1"/>
    <col min="3" max="3" width="14" style="61" customWidth="1"/>
    <col min="4" max="4" width="14.6328125" style="74" customWidth="1"/>
    <col min="5" max="31" width="9.1796875" style="74" customWidth="1"/>
    <col min="32" max="16384" width="9.1796875" style="74"/>
  </cols>
  <sheetData>
    <row r="1" spans="1:28" x14ac:dyDescent="0.35">
      <c r="A1" s="15" t="s">
        <v>16</v>
      </c>
      <c r="B1" s="74"/>
      <c r="C1" s="74"/>
      <c r="V1" s="54" t="s">
        <v>54</v>
      </c>
      <c r="X1" s="74" t="str">
        <f>V1&amp;V2</f>
        <v xml:space="preserve">Industrial Production Index  since 2000 - </v>
      </c>
      <c r="AB1" s="60" t="str">
        <f>X2&amp; V2</f>
        <v xml:space="preserve">Industrial Production Index yoy since 2000 - </v>
      </c>
    </row>
    <row r="2" spans="1:28" x14ac:dyDescent="0.35">
      <c r="A2" s="16"/>
      <c r="B2" s="74"/>
      <c r="C2" s="62"/>
      <c r="K2" s="75" t="s">
        <v>55</v>
      </c>
      <c r="V2" s="62" t="s">
        <v>56</v>
      </c>
      <c r="X2" s="74" t="str">
        <f>V1&amp;Table1[[#Headers],[yoy]]</f>
        <v>Industrial Production Index yoy</v>
      </c>
    </row>
    <row r="3" spans="1:28" x14ac:dyDescent="0.35">
      <c r="A3" s="16"/>
      <c r="B3" s="55"/>
      <c r="C3" s="62"/>
      <c r="K3" s="75"/>
    </row>
    <row r="4" spans="1:28" x14ac:dyDescent="0.35">
      <c r="A4" s="16"/>
      <c r="B4" s="55"/>
      <c r="C4" s="62"/>
      <c r="K4" s="75"/>
    </row>
    <row r="5" spans="1:28" ht="16" customHeight="1" thickBot="1" x14ac:dyDescent="0.4">
      <c r="A5" s="16"/>
      <c r="B5" s="55" t="s">
        <v>16</v>
      </c>
      <c r="C5" s="62"/>
    </row>
    <row r="6" spans="1:28" ht="16" customHeight="1" thickBot="1" x14ac:dyDescent="0.4">
      <c r="A6" s="36" t="s">
        <v>57</v>
      </c>
      <c r="B6" s="56" t="s">
        <v>58</v>
      </c>
      <c r="C6" s="63" t="s">
        <v>11</v>
      </c>
      <c r="D6" s="64" t="s">
        <v>12</v>
      </c>
    </row>
    <row r="7" spans="1:28" x14ac:dyDescent="0.35">
      <c r="A7" s="35">
        <v>26299</v>
      </c>
      <c r="B7" s="57">
        <f>VLOOKUP(Table1[[#This Row],[Date]],database!A:B,2,)</f>
        <v>40.168799999999997</v>
      </c>
      <c r="C7" s="65"/>
      <c r="D7" s="65"/>
    </row>
    <row r="8" spans="1:28" x14ac:dyDescent="0.35">
      <c r="A8" s="17">
        <v>26330</v>
      </c>
      <c r="B8" s="58">
        <f>VLOOKUP(Table1[[#This Row],[Date]],database!A:B,2,)</f>
        <v>40.5837</v>
      </c>
      <c r="C8" s="66">
        <f t="shared" ref="C8:C71" si="0">B8/B7-1</f>
        <v>1.0328911991396295E-2</v>
      </c>
      <c r="D8" s="66"/>
    </row>
    <row r="9" spans="1:28" x14ac:dyDescent="0.35">
      <c r="A9" s="17">
        <v>26359</v>
      </c>
      <c r="B9" s="58">
        <f>VLOOKUP(Table1[[#This Row],[Date]],database!A:B,2,)</f>
        <v>40.865499999999997</v>
      </c>
      <c r="C9" s="66">
        <f t="shared" si="0"/>
        <v>6.9436744308675191E-3</v>
      </c>
      <c r="D9" s="66"/>
    </row>
    <row r="10" spans="1:28" x14ac:dyDescent="0.35">
      <c r="A10" s="17">
        <v>26390</v>
      </c>
      <c r="B10" s="58">
        <f>VLOOKUP(Table1[[#This Row],[Date]],database!A:B,2,)</f>
        <v>41.265599999999999</v>
      </c>
      <c r="C10" s="66">
        <f t="shared" si="0"/>
        <v>9.7906547087396323E-3</v>
      </c>
      <c r="D10" s="66"/>
    </row>
    <row r="11" spans="1:28" x14ac:dyDescent="0.35">
      <c r="A11" s="17">
        <v>26420</v>
      </c>
      <c r="B11" s="58">
        <f>VLOOKUP(Table1[[#This Row],[Date]],database!A:B,2,)</f>
        <v>41.270600000000002</v>
      </c>
      <c r="C11" s="66">
        <f t="shared" si="0"/>
        <v>1.2116629832115144E-4</v>
      </c>
      <c r="D11" s="66"/>
    </row>
    <row r="12" spans="1:28" x14ac:dyDescent="0.35">
      <c r="A12" s="17">
        <v>26451</v>
      </c>
      <c r="B12" s="58">
        <f>VLOOKUP(Table1[[#This Row],[Date]],database!A:B,2,)</f>
        <v>41.378599999999999</v>
      </c>
      <c r="C12" s="66">
        <f t="shared" si="0"/>
        <v>2.6168749666832802E-3</v>
      </c>
      <c r="D12" s="66"/>
    </row>
    <row r="13" spans="1:28" x14ac:dyDescent="0.35">
      <c r="A13" s="17">
        <v>26481</v>
      </c>
      <c r="B13" s="58">
        <f>VLOOKUP(Table1[[#This Row],[Date]],database!A:B,2,)</f>
        <v>41.334699999999998</v>
      </c>
      <c r="C13" s="66">
        <f t="shared" si="0"/>
        <v>-1.0609348793820805E-3</v>
      </c>
      <c r="D13" s="66"/>
    </row>
    <row r="14" spans="1:28" x14ac:dyDescent="0.35">
      <c r="A14" s="17">
        <v>26512</v>
      </c>
      <c r="B14" s="58">
        <f>VLOOKUP(Table1[[#This Row],[Date]],database!A:B,2,)</f>
        <v>41.904600000000002</v>
      </c>
      <c r="C14" s="66">
        <f t="shared" si="0"/>
        <v>1.3787447350531279E-2</v>
      </c>
      <c r="D14" s="66"/>
    </row>
    <row r="15" spans="1:28" x14ac:dyDescent="0.35">
      <c r="A15" s="17">
        <v>26543</v>
      </c>
      <c r="B15" s="58">
        <f>VLOOKUP(Table1[[#This Row],[Date]],database!A:B,2,)</f>
        <v>42.228400000000001</v>
      </c>
      <c r="C15" s="66">
        <f t="shared" si="0"/>
        <v>7.7270753091545075E-3</v>
      </c>
      <c r="D15" s="66"/>
    </row>
    <row r="16" spans="1:28" x14ac:dyDescent="0.35">
      <c r="A16" s="17">
        <v>26573</v>
      </c>
      <c r="B16" s="58">
        <f>VLOOKUP(Table1[[#This Row],[Date]],database!A:B,2,)</f>
        <v>42.774500000000003</v>
      </c>
      <c r="C16" s="66">
        <f t="shared" si="0"/>
        <v>1.2932055204554427E-2</v>
      </c>
      <c r="D16" s="66"/>
    </row>
    <row r="17" spans="1:4" x14ac:dyDescent="0.35">
      <c r="A17" s="17">
        <v>26604</v>
      </c>
      <c r="B17" s="58">
        <f>VLOOKUP(Table1[[#This Row],[Date]],database!A:B,2,)</f>
        <v>43.279499999999999</v>
      </c>
      <c r="C17" s="66">
        <f t="shared" si="0"/>
        <v>1.1806099428397721E-2</v>
      </c>
      <c r="D17" s="66"/>
    </row>
    <row r="18" spans="1:4" x14ac:dyDescent="0.35">
      <c r="A18" s="17">
        <v>26634</v>
      </c>
      <c r="B18" s="58">
        <f>VLOOKUP(Table1[[#This Row],[Date]],database!A:B,2,)</f>
        <v>43.769500000000001</v>
      </c>
      <c r="C18" s="66">
        <f t="shared" si="0"/>
        <v>1.1321757414018307E-2</v>
      </c>
      <c r="D18" s="66"/>
    </row>
    <row r="19" spans="1:4" x14ac:dyDescent="0.35">
      <c r="A19" s="17">
        <v>26665</v>
      </c>
      <c r="B19" s="58">
        <f>VLOOKUP(Table1[[#This Row],[Date]],database!A:B,2,)</f>
        <v>44.084699999999998</v>
      </c>
      <c r="C19" s="66">
        <f t="shared" si="0"/>
        <v>7.2013616787944823E-3</v>
      </c>
      <c r="D19" s="66"/>
    </row>
    <row r="20" spans="1:4" x14ac:dyDescent="0.35">
      <c r="A20" s="17">
        <v>26696</v>
      </c>
      <c r="B20" s="58">
        <f>VLOOKUP(Table1[[#This Row],[Date]],database!A:B,2,)</f>
        <v>44.724200000000003</v>
      </c>
      <c r="C20" s="66">
        <f t="shared" si="0"/>
        <v>1.450616653850445E-2</v>
      </c>
      <c r="D20" s="66">
        <f>(Table1[[#This Row],[Index]]-B8)/B8</f>
        <v>0.1020237188822114</v>
      </c>
    </row>
    <row r="21" spans="1:4" x14ac:dyDescent="0.35">
      <c r="A21" s="17">
        <v>26724</v>
      </c>
      <c r="B21" s="58">
        <f>VLOOKUP(Table1[[#This Row],[Date]],database!A:B,2,)</f>
        <v>44.743499999999997</v>
      </c>
      <c r="C21" s="66">
        <f t="shared" si="0"/>
        <v>4.3153371105564275E-4</v>
      </c>
      <c r="D21" s="66">
        <f>(Table1[[#This Row],[Index]]-B9)/B9</f>
        <v>9.489667323292264E-2</v>
      </c>
    </row>
    <row r="22" spans="1:4" x14ac:dyDescent="0.35">
      <c r="A22" s="17">
        <v>26755</v>
      </c>
      <c r="B22" s="58">
        <f>VLOOKUP(Table1[[#This Row],[Date]],database!A:B,2,)</f>
        <v>44.678199999999997</v>
      </c>
      <c r="C22" s="66">
        <f t="shared" si="0"/>
        <v>-1.459429861320638E-3</v>
      </c>
      <c r="D22" s="66">
        <f>(Table1[[#This Row],[Index]]-B10)/B10</f>
        <v>8.2698421930130606E-2</v>
      </c>
    </row>
    <row r="23" spans="1:4" x14ac:dyDescent="0.35">
      <c r="A23" s="17">
        <v>26785</v>
      </c>
      <c r="B23" s="58">
        <f>VLOOKUP(Table1[[#This Row],[Date]],database!A:B,2,)</f>
        <v>44.9741</v>
      </c>
      <c r="C23" s="66">
        <f t="shared" si="0"/>
        <v>6.6229167692521962E-3</v>
      </c>
      <c r="D23" s="66">
        <f>(Table1[[#This Row],[Index]]-B11)/B11</f>
        <v>8.973700406584828E-2</v>
      </c>
    </row>
    <row r="24" spans="1:4" x14ac:dyDescent="0.35">
      <c r="A24" s="17">
        <v>26816</v>
      </c>
      <c r="B24" s="58">
        <f>VLOOKUP(Table1[[#This Row],[Date]],database!A:B,2,)</f>
        <v>45.025700000000001</v>
      </c>
      <c r="C24" s="66">
        <f t="shared" si="0"/>
        <v>1.147327017105404E-3</v>
      </c>
      <c r="D24" s="66">
        <f>(Table1[[#This Row],[Index]]-B12)/B12</f>
        <v>8.8139763065932672E-2</v>
      </c>
    </row>
    <row r="25" spans="1:4" x14ac:dyDescent="0.35">
      <c r="A25" s="17">
        <v>26846</v>
      </c>
      <c r="B25" s="58">
        <f>VLOOKUP(Table1[[#This Row],[Date]],database!A:B,2,)</f>
        <v>45.1952</v>
      </c>
      <c r="C25" s="66">
        <f t="shared" si="0"/>
        <v>3.7645167093460774E-3</v>
      </c>
      <c r="D25" s="66">
        <f>(Table1[[#This Row],[Index]]-B13)/B13</f>
        <v>9.339610545135206E-2</v>
      </c>
    </row>
    <row r="26" spans="1:4" x14ac:dyDescent="0.35">
      <c r="A26" s="17">
        <v>26877</v>
      </c>
      <c r="B26" s="58">
        <f>VLOOKUP(Table1[[#This Row],[Date]],database!A:B,2,)</f>
        <v>45.130800000000001</v>
      </c>
      <c r="C26" s="66">
        <f t="shared" si="0"/>
        <v>-1.4249300810705856E-3</v>
      </c>
      <c r="D26" s="66">
        <f>(Table1[[#This Row],[Index]]-B14)/B14</f>
        <v>7.6989161094486017E-2</v>
      </c>
    </row>
    <row r="27" spans="1:4" x14ac:dyDescent="0.35">
      <c r="A27" s="17">
        <v>26908</v>
      </c>
      <c r="B27" s="58">
        <f>VLOOKUP(Table1[[#This Row],[Date]],database!A:B,2,)</f>
        <v>45.486199999999997</v>
      </c>
      <c r="C27" s="66">
        <f t="shared" si="0"/>
        <v>7.8748881030248352E-3</v>
      </c>
      <c r="D27" s="66">
        <f>(Table1[[#This Row],[Index]]-B15)/B15</f>
        <v>7.7147133208930393E-2</v>
      </c>
    </row>
    <row r="28" spans="1:4" x14ac:dyDescent="0.35">
      <c r="A28" s="17">
        <v>26938</v>
      </c>
      <c r="B28" s="58">
        <f>VLOOKUP(Table1[[#This Row],[Date]],database!A:B,2,)</f>
        <v>45.853099999999998</v>
      </c>
      <c r="C28" s="66">
        <f t="shared" si="0"/>
        <v>8.0661827103605255E-3</v>
      </c>
      <c r="D28" s="66">
        <f>(Table1[[#This Row],[Index]]-B16)/B16</f>
        <v>7.1972787525277776E-2</v>
      </c>
    </row>
    <row r="29" spans="1:4" x14ac:dyDescent="0.35">
      <c r="A29" s="17">
        <v>26969</v>
      </c>
      <c r="B29" s="58">
        <f>VLOOKUP(Table1[[#This Row],[Date]],database!A:B,2,)</f>
        <v>46.065399999999997</v>
      </c>
      <c r="C29" s="66">
        <f t="shared" si="0"/>
        <v>4.6300032058901319E-3</v>
      </c>
      <c r="D29" s="66">
        <f>(Table1[[#This Row],[Index]]-B17)/B17</f>
        <v>6.4369967305537221E-2</v>
      </c>
    </row>
    <row r="30" spans="1:4" x14ac:dyDescent="0.35">
      <c r="A30" s="17">
        <v>26999</v>
      </c>
      <c r="B30" s="58">
        <f>VLOOKUP(Table1[[#This Row],[Date]],database!A:B,2,)</f>
        <v>45.934399999999997</v>
      </c>
      <c r="C30" s="66">
        <f t="shared" si="0"/>
        <v>-2.8437829694304417E-3</v>
      </c>
      <c r="D30" s="66">
        <f>(Table1[[#This Row],[Index]]-B18)/B18</f>
        <v>4.9461382926466964E-2</v>
      </c>
    </row>
    <row r="31" spans="1:4" x14ac:dyDescent="0.35">
      <c r="A31" s="17">
        <v>27030</v>
      </c>
      <c r="B31" s="58">
        <f>VLOOKUP(Table1[[#This Row],[Date]],database!A:B,2,)</f>
        <v>45.629800000000003</v>
      </c>
      <c r="C31" s="66">
        <f t="shared" si="0"/>
        <v>-6.631195792260125E-3</v>
      </c>
      <c r="D31" s="66">
        <f>(Table1[[#This Row],[Index]]-B19)/B19</f>
        <v>3.5048440842287802E-2</v>
      </c>
    </row>
    <row r="32" spans="1:4" x14ac:dyDescent="0.35">
      <c r="A32" s="17">
        <v>27061</v>
      </c>
      <c r="B32" s="58">
        <f>VLOOKUP(Table1[[#This Row],[Date]],database!A:B,2,)</f>
        <v>45.495100000000001</v>
      </c>
      <c r="C32" s="66">
        <f t="shared" si="0"/>
        <v>-2.9520181986334437E-3</v>
      </c>
      <c r="D32" s="66">
        <f>(Table1[[#This Row],[Index]]-B20)/B20</f>
        <v>1.723675325662611E-2</v>
      </c>
    </row>
    <row r="33" spans="1:4" x14ac:dyDescent="0.35">
      <c r="A33" s="17">
        <v>27089</v>
      </c>
      <c r="B33" s="58">
        <f>VLOOKUP(Table1[[#This Row],[Date]],database!A:B,2,)</f>
        <v>45.495199999999997</v>
      </c>
      <c r="C33" s="66">
        <f t="shared" si="0"/>
        <v>2.1980389095510589E-6</v>
      </c>
      <c r="D33" s="66">
        <f>(Table1[[#This Row],[Index]]-B21)/B21</f>
        <v>1.6800205616458248E-2</v>
      </c>
    </row>
    <row r="34" spans="1:4" x14ac:dyDescent="0.35">
      <c r="A34" s="17">
        <v>27120</v>
      </c>
      <c r="B34" s="58">
        <f>VLOOKUP(Table1[[#This Row],[Date]],database!A:B,2,)</f>
        <v>45.362499999999997</v>
      </c>
      <c r="C34" s="66">
        <f t="shared" si="0"/>
        <v>-2.9167912219311143E-3</v>
      </c>
      <c r="D34" s="66">
        <f>(Table1[[#This Row],[Index]]-B22)/B22</f>
        <v>1.5316194475157916E-2</v>
      </c>
    </row>
    <row r="35" spans="1:4" x14ac:dyDescent="0.35">
      <c r="A35" s="17">
        <v>27150</v>
      </c>
      <c r="B35" s="58">
        <f>VLOOKUP(Table1[[#This Row],[Date]],database!A:B,2,)</f>
        <v>45.7241</v>
      </c>
      <c r="C35" s="66">
        <f t="shared" si="0"/>
        <v>7.97134196748428E-3</v>
      </c>
      <c r="D35" s="66">
        <f>(Table1[[#This Row],[Index]]-B23)/B23</f>
        <v>1.667626478350873E-2</v>
      </c>
    </row>
    <row r="36" spans="1:4" x14ac:dyDescent="0.35">
      <c r="A36" s="17">
        <v>27181</v>
      </c>
      <c r="B36" s="58">
        <f>VLOOKUP(Table1[[#This Row],[Date]],database!A:B,2,)</f>
        <v>45.639000000000003</v>
      </c>
      <c r="C36" s="66">
        <f t="shared" si="0"/>
        <v>-1.8611629315831157E-3</v>
      </c>
      <c r="D36" s="66">
        <f>(Table1[[#This Row],[Index]]-B24)/B24</f>
        <v>1.3621109721781169E-2</v>
      </c>
    </row>
    <row r="37" spans="1:4" x14ac:dyDescent="0.35">
      <c r="A37" s="17">
        <v>27211</v>
      </c>
      <c r="B37" s="58">
        <f>VLOOKUP(Table1[[#This Row],[Date]],database!A:B,2,)</f>
        <v>45.719299999999997</v>
      </c>
      <c r="C37" s="66">
        <f t="shared" si="0"/>
        <v>1.7594601108699148E-3</v>
      </c>
      <c r="D37" s="66">
        <f>(Table1[[#This Row],[Index]]-B25)/B25</f>
        <v>1.1596364215668857E-2</v>
      </c>
    </row>
    <row r="38" spans="1:4" x14ac:dyDescent="0.35">
      <c r="A38" s="17">
        <v>27242</v>
      </c>
      <c r="B38" s="58">
        <f>VLOOKUP(Table1[[#This Row],[Date]],database!A:B,2,)</f>
        <v>45.235700000000001</v>
      </c>
      <c r="C38" s="66">
        <f t="shared" si="0"/>
        <v>-1.0577589770621953E-2</v>
      </c>
      <c r="D38" s="66">
        <f>(Table1[[#This Row],[Index]]-B26)/B26</f>
        <v>2.3243549859519588E-3</v>
      </c>
    </row>
    <row r="39" spans="1:4" x14ac:dyDescent="0.35">
      <c r="A39" s="17">
        <v>27273</v>
      </c>
      <c r="B39" s="58">
        <f>VLOOKUP(Table1[[#This Row],[Date]],database!A:B,2,)</f>
        <v>45.242100000000001</v>
      </c>
      <c r="C39" s="66">
        <f t="shared" si="0"/>
        <v>1.4148117526646686E-4</v>
      </c>
      <c r="D39" s="66">
        <f>(Table1[[#This Row],[Index]]-B27)/B27</f>
        <v>-5.3664627953092583E-3</v>
      </c>
    </row>
    <row r="40" spans="1:4" x14ac:dyDescent="0.35">
      <c r="A40" s="17">
        <v>27303</v>
      </c>
      <c r="B40" s="58">
        <f>VLOOKUP(Table1[[#This Row],[Date]],database!A:B,2,)</f>
        <v>45.101100000000002</v>
      </c>
      <c r="C40" s="66">
        <f t="shared" si="0"/>
        <v>-3.1165662071388489E-3</v>
      </c>
      <c r="D40" s="66">
        <f>(Table1[[#This Row],[Index]]-B28)/B28</f>
        <v>-1.6400199768390696E-2</v>
      </c>
    </row>
    <row r="41" spans="1:4" x14ac:dyDescent="0.35">
      <c r="A41" s="17">
        <v>27334</v>
      </c>
      <c r="B41" s="58">
        <f>VLOOKUP(Table1[[#This Row],[Date]],database!A:B,2,)</f>
        <v>43.6158</v>
      </c>
      <c r="C41" s="66">
        <f t="shared" si="0"/>
        <v>-3.2932677916946651E-2</v>
      </c>
      <c r="D41" s="66">
        <f>(Table1[[#This Row],[Index]]-B29)/B29</f>
        <v>-5.3176570701654532E-2</v>
      </c>
    </row>
    <row r="42" spans="1:4" x14ac:dyDescent="0.35">
      <c r="A42" s="17">
        <v>27364</v>
      </c>
      <c r="B42" s="58">
        <f>VLOOKUP(Table1[[#This Row],[Date]],database!A:B,2,)</f>
        <v>42.055300000000003</v>
      </c>
      <c r="C42" s="66">
        <f t="shared" si="0"/>
        <v>-3.5778318866098946E-2</v>
      </c>
      <c r="D42" s="66">
        <f>(Table1[[#This Row],[Index]]-B30)/B30</f>
        <v>-8.4448692047789764E-2</v>
      </c>
    </row>
    <row r="43" spans="1:4" x14ac:dyDescent="0.35">
      <c r="A43" s="17">
        <v>27395</v>
      </c>
      <c r="B43" s="58">
        <f>VLOOKUP(Table1[[#This Row],[Date]],database!A:B,2,)</f>
        <v>41.475000000000001</v>
      </c>
      <c r="C43" s="66">
        <f t="shared" si="0"/>
        <v>-1.3798498643452839E-2</v>
      </c>
      <c r="D43" s="66">
        <f>(Table1[[#This Row],[Index]]-B31)/B31</f>
        <v>-9.1054530153540036E-2</v>
      </c>
    </row>
    <row r="44" spans="1:4" x14ac:dyDescent="0.35">
      <c r="A44" s="17">
        <v>27426</v>
      </c>
      <c r="B44" s="58">
        <f>VLOOKUP(Table1[[#This Row],[Date]],database!A:B,2,)</f>
        <v>40.529000000000003</v>
      </c>
      <c r="C44" s="66">
        <f t="shared" si="0"/>
        <v>-2.2808921036769125E-2</v>
      </c>
      <c r="D44" s="66">
        <f>(Table1[[#This Row],[Index]]-B32)/B32</f>
        <v>-0.10915681029385577</v>
      </c>
    </row>
    <row r="45" spans="1:4" x14ac:dyDescent="0.35">
      <c r="A45" s="17">
        <v>27454</v>
      </c>
      <c r="B45" s="58">
        <f>VLOOKUP(Table1[[#This Row],[Date]],database!A:B,2,)</f>
        <v>40.079599999999999</v>
      </c>
      <c r="C45" s="66">
        <f t="shared" si="0"/>
        <v>-1.1088356485479678E-2</v>
      </c>
      <c r="D45" s="66">
        <f>(Table1[[#This Row],[Index]]-B33)/B33</f>
        <v>-0.11903673354551685</v>
      </c>
    </row>
    <row r="46" spans="1:4" x14ac:dyDescent="0.35">
      <c r="A46" s="17">
        <v>27485</v>
      </c>
      <c r="B46" s="58">
        <f>VLOOKUP(Table1[[#This Row],[Date]],database!A:B,2,)</f>
        <v>40.152700000000003</v>
      </c>
      <c r="C46" s="66">
        <f t="shared" si="0"/>
        <v>1.823870497709601E-3</v>
      </c>
      <c r="D46" s="66">
        <f>(Table1[[#This Row],[Index]]-B34)/B34</f>
        <v>-0.1148481675392669</v>
      </c>
    </row>
    <row r="47" spans="1:4" x14ac:dyDescent="0.35">
      <c r="A47" s="17">
        <v>27515</v>
      </c>
      <c r="B47" s="58">
        <f>VLOOKUP(Table1[[#This Row],[Date]],database!A:B,2,)</f>
        <v>40.039900000000003</v>
      </c>
      <c r="C47" s="66">
        <f t="shared" si="0"/>
        <v>-2.8092755904335354E-3</v>
      </c>
      <c r="D47" s="66">
        <f>(Table1[[#This Row],[Index]]-B35)/B35</f>
        <v>-0.12431518608348764</v>
      </c>
    </row>
    <row r="48" spans="1:4" x14ac:dyDescent="0.35">
      <c r="A48" s="17">
        <v>27546</v>
      </c>
      <c r="B48" s="58">
        <f>VLOOKUP(Table1[[#This Row],[Date]],database!A:B,2,)</f>
        <v>40.298699999999997</v>
      </c>
      <c r="C48" s="66">
        <f t="shared" si="0"/>
        <v>6.4635526062750692E-3</v>
      </c>
      <c r="D48" s="66">
        <f>(Table1[[#This Row],[Index]]-B36)/B36</f>
        <v>-0.11701176625254729</v>
      </c>
    </row>
    <row r="49" spans="1:4" x14ac:dyDescent="0.35">
      <c r="A49" s="17">
        <v>27576</v>
      </c>
      <c r="B49" s="58">
        <f>VLOOKUP(Table1[[#This Row],[Date]],database!A:B,2,)</f>
        <v>40.709400000000002</v>
      </c>
      <c r="C49" s="66">
        <f t="shared" si="0"/>
        <v>1.0191395752220389E-2</v>
      </c>
      <c r="D49" s="66">
        <f>(Table1[[#This Row],[Index]]-B37)/B37</f>
        <v>-0.10957954299387775</v>
      </c>
    </row>
    <row r="50" spans="1:4" x14ac:dyDescent="0.35">
      <c r="A50" s="17">
        <v>27607</v>
      </c>
      <c r="B50" s="58">
        <f>VLOOKUP(Table1[[#This Row],[Date]],database!A:B,2,)</f>
        <v>41.1098</v>
      </c>
      <c r="C50" s="66">
        <f t="shared" si="0"/>
        <v>9.8355662328601934E-3</v>
      </c>
      <c r="D50" s="66">
        <f>(Table1[[#This Row],[Index]]-B38)/B38</f>
        <v>-9.1208934536218103E-2</v>
      </c>
    </row>
    <row r="51" spans="1:4" x14ac:dyDescent="0.35">
      <c r="A51" s="17">
        <v>27638</v>
      </c>
      <c r="B51" s="58">
        <f>VLOOKUP(Table1[[#This Row],[Date]],database!A:B,2,)</f>
        <v>41.637999999999998</v>
      </c>
      <c r="C51" s="66">
        <f t="shared" si="0"/>
        <v>1.2848517871651088E-2</v>
      </c>
      <c r="D51" s="66">
        <f>(Table1[[#This Row],[Index]]-B39)/B39</f>
        <v>-7.9662526717371701E-2</v>
      </c>
    </row>
    <row r="52" spans="1:4" x14ac:dyDescent="0.35">
      <c r="A52" s="17">
        <v>27668</v>
      </c>
      <c r="B52" s="58">
        <f>VLOOKUP(Table1[[#This Row],[Date]],database!A:B,2,)</f>
        <v>41.817100000000003</v>
      </c>
      <c r="C52" s="66">
        <f t="shared" si="0"/>
        <v>4.3013593352227986E-3</v>
      </c>
      <c r="D52" s="66">
        <f>(Table1[[#This Row],[Index]]-B40)/B40</f>
        <v>-7.2814188567462856E-2</v>
      </c>
    </row>
    <row r="53" spans="1:4" x14ac:dyDescent="0.35">
      <c r="A53" s="17">
        <v>27699</v>
      </c>
      <c r="B53" s="58">
        <f>VLOOKUP(Table1[[#This Row],[Date]],database!A:B,2,)</f>
        <v>41.876399999999997</v>
      </c>
      <c r="C53" s="66">
        <f t="shared" si="0"/>
        <v>1.4180801633780771E-3</v>
      </c>
      <c r="D53" s="66">
        <f>(Table1[[#This Row],[Index]]-B41)/B41</f>
        <v>-3.9880043470485543E-2</v>
      </c>
    </row>
    <row r="54" spans="1:4" x14ac:dyDescent="0.35">
      <c r="A54" s="17">
        <v>27729</v>
      </c>
      <c r="B54" s="58">
        <f>VLOOKUP(Table1[[#This Row],[Date]],database!A:B,2,)</f>
        <v>42.448399999999999</v>
      </c>
      <c r="C54" s="66">
        <f t="shared" si="0"/>
        <v>1.3659244825247718E-2</v>
      </c>
      <c r="D54" s="66">
        <f>(Table1[[#This Row],[Index]]-B42)/B42</f>
        <v>9.3472166409464888E-3</v>
      </c>
    </row>
    <row r="55" spans="1:4" x14ac:dyDescent="0.35">
      <c r="A55" s="17">
        <v>27760</v>
      </c>
      <c r="B55" s="58">
        <f>VLOOKUP(Table1[[#This Row],[Date]],database!A:B,2,)</f>
        <v>43.014899999999997</v>
      </c>
      <c r="C55" s="66">
        <f t="shared" si="0"/>
        <v>1.3345614911280501E-2</v>
      </c>
      <c r="D55" s="66">
        <f>(Table1[[#This Row],[Index]]-B43)/B43</f>
        <v>3.7128390596744928E-2</v>
      </c>
    </row>
    <row r="56" spans="1:4" x14ac:dyDescent="0.35">
      <c r="A56" s="17">
        <v>27791</v>
      </c>
      <c r="B56" s="58">
        <f>VLOOKUP(Table1[[#This Row],[Date]],database!A:B,2,)</f>
        <v>43.451500000000003</v>
      </c>
      <c r="C56" s="66">
        <f t="shared" si="0"/>
        <v>1.0149971289018511E-2</v>
      </c>
      <c r="D56" s="66">
        <f>(Table1[[#This Row],[Index]]-B44)/B44</f>
        <v>7.2108860322238372E-2</v>
      </c>
    </row>
    <row r="57" spans="1:4" x14ac:dyDescent="0.35">
      <c r="A57" s="17">
        <v>27820</v>
      </c>
      <c r="B57" s="58">
        <f>VLOOKUP(Table1[[#This Row],[Date]],database!A:B,2,)</f>
        <v>43.535899999999998</v>
      </c>
      <c r="C57" s="66">
        <f t="shared" si="0"/>
        <v>1.9423955444575203E-3</v>
      </c>
      <c r="D57" s="66">
        <f>(Table1[[#This Row],[Index]]-B45)/B45</f>
        <v>8.6235890577750246E-2</v>
      </c>
    </row>
    <row r="58" spans="1:4" x14ac:dyDescent="0.35">
      <c r="A58" s="17">
        <v>27851</v>
      </c>
      <c r="B58" s="58">
        <f>VLOOKUP(Table1[[#This Row],[Date]],database!A:B,2,)</f>
        <v>43.759300000000003</v>
      </c>
      <c r="C58" s="66">
        <f t="shared" si="0"/>
        <v>5.1313973065907348E-3</v>
      </c>
      <c r="D58" s="66">
        <f>(Table1[[#This Row],[Index]]-B46)/B46</f>
        <v>8.9822104117531318E-2</v>
      </c>
    </row>
    <row r="59" spans="1:4" x14ac:dyDescent="0.35">
      <c r="A59" s="17">
        <v>27881</v>
      </c>
      <c r="B59" s="58">
        <f>VLOOKUP(Table1[[#This Row],[Date]],database!A:B,2,)</f>
        <v>43.935899999999997</v>
      </c>
      <c r="C59" s="66">
        <f t="shared" si="0"/>
        <v>4.0357135511763786E-3</v>
      </c>
      <c r="D59" s="66">
        <f>(Table1[[#This Row],[Index]]-B47)/B47</f>
        <v>9.7302940317033598E-2</v>
      </c>
    </row>
    <row r="60" spans="1:4" x14ac:dyDescent="0.35">
      <c r="A60" s="17">
        <v>27912</v>
      </c>
      <c r="B60" s="58">
        <f>VLOOKUP(Table1[[#This Row],[Date]],database!A:B,2,)</f>
        <v>43.991799999999998</v>
      </c>
      <c r="C60" s="66">
        <f t="shared" si="0"/>
        <v>1.2723080669794218E-3</v>
      </c>
      <c r="D60" s="66">
        <f>(Table1[[#This Row],[Index]]-B48)/B48</f>
        <v>9.1643154741964411E-2</v>
      </c>
    </row>
    <row r="61" spans="1:4" x14ac:dyDescent="0.35">
      <c r="A61" s="17">
        <v>27942</v>
      </c>
      <c r="B61" s="58">
        <f>VLOOKUP(Table1[[#This Row],[Date]],database!A:B,2,)</f>
        <v>44.2254</v>
      </c>
      <c r="C61" s="66">
        <f t="shared" si="0"/>
        <v>5.3100805150050334E-3</v>
      </c>
      <c r="D61" s="66">
        <f>(Table1[[#This Row],[Index]]-B49)/B49</f>
        <v>8.6368258927913402E-2</v>
      </c>
    </row>
    <row r="62" spans="1:4" x14ac:dyDescent="0.35">
      <c r="A62" s="17">
        <v>27973</v>
      </c>
      <c r="B62" s="58">
        <f>VLOOKUP(Table1[[#This Row],[Date]],database!A:B,2,)</f>
        <v>44.536499999999997</v>
      </c>
      <c r="C62" s="66">
        <f t="shared" si="0"/>
        <v>7.0344191347053719E-3</v>
      </c>
      <c r="D62" s="66">
        <f>(Table1[[#This Row],[Index]]-B50)/B50</f>
        <v>8.3354820505086302E-2</v>
      </c>
    </row>
    <row r="63" spans="1:4" x14ac:dyDescent="0.35">
      <c r="A63" s="17">
        <v>28004</v>
      </c>
      <c r="B63" s="58">
        <f>VLOOKUP(Table1[[#This Row],[Date]],database!A:B,2,)</f>
        <v>44.677500000000002</v>
      </c>
      <c r="C63" s="66">
        <f t="shared" si="0"/>
        <v>3.1659425415109244E-3</v>
      </c>
      <c r="D63" s="66">
        <f>(Table1[[#This Row],[Index]]-B51)/B51</f>
        <v>7.299822277727086E-2</v>
      </c>
    </row>
    <row r="64" spans="1:4" x14ac:dyDescent="0.35">
      <c r="A64" s="17">
        <v>28034</v>
      </c>
      <c r="B64" s="58">
        <f>VLOOKUP(Table1[[#This Row],[Date]],database!A:B,2,)</f>
        <v>44.669499999999999</v>
      </c>
      <c r="C64" s="66">
        <f t="shared" si="0"/>
        <v>-1.7906104862630556E-4</v>
      </c>
      <c r="D64" s="66">
        <f>(Table1[[#This Row],[Index]]-B52)/B52</f>
        <v>6.8211329814836408E-2</v>
      </c>
    </row>
    <row r="65" spans="1:4" x14ac:dyDescent="0.35">
      <c r="A65" s="17">
        <v>28065</v>
      </c>
      <c r="B65" s="58">
        <f>VLOOKUP(Table1[[#This Row],[Date]],database!A:B,2,)</f>
        <v>45.353999999999999</v>
      </c>
      <c r="C65" s="66">
        <f t="shared" si="0"/>
        <v>1.5323654842789747E-2</v>
      </c>
      <c r="D65" s="66">
        <f>(Table1[[#This Row],[Index]]-B53)/B53</f>
        <v>8.3044387769722394E-2</v>
      </c>
    </row>
    <row r="66" spans="1:4" x14ac:dyDescent="0.35">
      <c r="A66" s="17">
        <v>28095</v>
      </c>
      <c r="B66" s="58">
        <f>VLOOKUP(Table1[[#This Row],[Date]],database!A:B,2,)</f>
        <v>45.835700000000003</v>
      </c>
      <c r="C66" s="66">
        <f t="shared" si="0"/>
        <v>1.0620893416236843E-2</v>
      </c>
      <c r="D66" s="66">
        <f>(Table1[[#This Row],[Index]]-B54)/B54</f>
        <v>7.9798060704290463E-2</v>
      </c>
    </row>
    <row r="67" spans="1:4" x14ac:dyDescent="0.35">
      <c r="A67" s="17">
        <v>28126</v>
      </c>
      <c r="B67" s="58">
        <f>VLOOKUP(Table1[[#This Row],[Date]],database!A:B,2,)</f>
        <v>45.5276</v>
      </c>
      <c r="C67" s="66">
        <f t="shared" si="0"/>
        <v>-6.7218347270796563E-3</v>
      </c>
      <c r="D67" s="66">
        <f>(Table1[[#This Row],[Index]]-B55)/B55</f>
        <v>5.8414642368109712E-2</v>
      </c>
    </row>
    <row r="68" spans="1:4" x14ac:dyDescent="0.35">
      <c r="A68" s="17">
        <v>28157</v>
      </c>
      <c r="B68" s="58">
        <f>VLOOKUP(Table1[[#This Row],[Date]],database!A:B,2,)</f>
        <v>46.256700000000002</v>
      </c>
      <c r="C68" s="66">
        <f t="shared" si="0"/>
        <v>1.6014461557384951E-2</v>
      </c>
      <c r="D68" s="66">
        <f>(Table1[[#This Row],[Index]]-B56)/B56</f>
        <v>6.4559336271475073E-2</v>
      </c>
    </row>
    <row r="69" spans="1:4" x14ac:dyDescent="0.35">
      <c r="A69" s="17">
        <v>28185</v>
      </c>
      <c r="B69" s="58">
        <f>VLOOKUP(Table1[[#This Row],[Date]],database!A:B,2,)</f>
        <v>46.835599999999999</v>
      </c>
      <c r="C69" s="66">
        <f t="shared" si="0"/>
        <v>1.2514943781116949E-2</v>
      </c>
      <c r="D69" s="66">
        <f>(Table1[[#This Row],[Index]]-B57)/B57</f>
        <v>7.5792621721383999E-2</v>
      </c>
    </row>
    <row r="70" spans="1:4" x14ac:dyDescent="0.35">
      <c r="A70" s="17">
        <v>28216</v>
      </c>
      <c r="B70" s="58">
        <f>VLOOKUP(Table1[[#This Row],[Date]],database!A:B,2,)</f>
        <v>47.2898</v>
      </c>
      <c r="C70" s="66">
        <f t="shared" si="0"/>
        <v>9.6977512832119306E-3</v>
      </c>
      <c r="D70" s="66">
        <f>(Table1[[#This Row],[Index]]-B58)/B58</f>
        <v>8.0679992595859534E-2</v>
      </c>
    </row>
    <row r="71" spans="1:4" x14ac:dyDescent="0.35">
      <c r="A71" s="17">
        <v>28246</v>
      </c>
      <c r="B71" s="58">
        <f>VLOOKUP(Table1[[#This Row],[Date]],database!A:B,2,)</f>
        <v>47.660699999999999</v>
      </c>
      <c r="C71" s="66">
        <f t="shared" si="0"/>
        <v>7.8431289622709066E-3</v>
      </c>
      <c r="D71" s="66">
        <f>(Table1[[#This Row],[Index]]-B59)/B59</f>
        <v>8.4778051661625276E-2</v>
      </c>
    </row>
    <row r="72" spans="1:4" x14ac:dyDescent="0.35">
      <c r="A72" s="17">
        <v>28277</v>
      </c>
      <c r="B72" s="58">
        <f>VLOOKUP(Table1[[#This Row],[Date]],database!A:B,2,)</f>
        <v>48.019599999999997</v>
      </c>
      <c r="C72" s="66">
        <f t="shared" ref="C72:C135" si="1">B72/B71-1</f>
        <v>7.5303132350132973E-3</v>
      </c>
      <c r="D72" s="66">
        <f>(Table1[[#This Row],[Index]]-B60)/B60</f>
        <v>9.1557972167540302E-2</v>
      </c>
    </row>
    <row r="73" spans="1:4" x14ac:dyDescent="0.35">
      <c r="A73" s="17">
        <v>28307</v>
      </c>
      <c r="B73" s="58">
        <f>VLOOKUP(Table1[[#This Row],[Date]],database!A:B,2,)</f>
        <v>48.081899999999997</v>
      </c>
      <c r="C73" s="66">
        <f t="shared" si="1"/>
        <v>1.2973869003489735E-3</v>
      </c>
      <c r="D73" s="66">
        <f>(Table1[[#This Row],[Index]]-B61)/B61</f>
        <v>8.7201020228194592E-2</v>
      </c>
    </row>
    <row r="74" spans="1:4" x14ac:dyDescent="0.35">
      <c r="A74" s="17">
        <v>28338</v>
      </c>
      <c r="B74" s="58">
        <f>VLOOKUP(Table1[[#This Row],[Date]],database!A:B,2,)</f>
        <v>48.131500000000003</v>
      </c>
      <c r="C74" s="66">
        <f t="shared" si="1"/>
        <v>1.0315732115413478E-3</v>
      </c>
      <c r="D74" s="66">
        <f>(Table1[[#This Row],[Index]]-B62)/B62</f>
        <v>8.0720308061926871E-2</v>
      </c>
    </row>
    <row r="75" spans="1:4" x14ac:dyDescent="0.35">
      <c r="A75" s="17">
        <v>28369</v>
      </c>
      <c r="B75" s="58">
        <f>VLOOKUP(Table1[[#This Row],[Date]],database!A:B,2,)</f>
        <v>48.330800000000004</v>
      </c>
      <c r="C75" s="66">
        <f t="shared" si="1"/>
        <v>4.1407394325960745E-3</v>
      </c>
      <c r="D75" s="66">
        <f>(Table1[[#This Row],[Index]]-B63)/B63</f>
        <v>8.1770466118292237E-2</v>
      </c>
    </row>
    <row r="76" spans="1:4" x14ac:dyDescent="0.35">
      <c r="A76" s="17">
        <v>28399</v>
      </c>
      <c r="B76" s="58">
        <f>VLOOKUP(Table1[[#This Row],[Date]],database!A:B,2,)</f>
        <v>48.401400000000002</v>
      </c>
      <c r="C76" s="66">
        <f t="shared" si="1"/>
        <v>1.4607662194707771E-3</v>
      </c>
      <c r="D76" s="66">
        <f>(Table1[[#This Row],[Index]]-B64)/B64</f>
        <v>8.354470052272811E-2</v>
      </c>
    </row>
    <row r="77" spans="1:4" x14ac:dyDescent="0.35">
      <c r="A77" s="17">
        <v>28430</v>
      </c>
      <c r="B77" s="58">
        <f>VLOOKUP(Table1[[#This Row],[Date]],database!A:B,2,)</f>
        <v>48.492400000000004</v>
      </c>
      <c r="C77" s="66">
        <f t="shared" si="1"/>
        <v>1.8801109058828036E-3</v>
      </c>
      <c r="D77" s="66">
        <f>(Table1[[#This Row],[Index]]-B65)/B65</f>
        <v>6.9197865678881781E-2</v>
      </c>
    </row>
    <row r="78" spans="1:4" x14ac:dyDescent="0.35">
      <c r="A78" s="17">
        <v>28460</v>
      </c>
      <c r="B78" s="58">
        <f>VLOOKUP(Table1[[#This Row],[Date]],database!A:B,2,)</f>
        <v>48.564</v>
      </c>
      <c r="C78" s="66">
        <f t="shared" si="1"/>
        <v>1.4765200320050464E-3</v>
      </c>
      <c r="D78" s="66">
        <f>(Table1[[#This Row],[Index]]-B66)/B66</f>
        <v>5.9523471878906553E-2</v>
      </c>
    </row>
    <row r="79" spans="1:4" x14ac:dyDescent="0.35">
      <c r="A79" s="17">
        <v>28491</v>
      </c>
      <c r="B79" s="58">
        <f>VLOOKUP(Table1[[#This Row],[Date]],database!A:B,2,)</f>
        <v>47.869300000000003</v>
      </c>
      <c r="C79" s="66">
        <f t="shared" si="1"/>
        <v>-1.4304834857095772E-2</v>
      </c>
      <c r="D79" s="66">
        <f>(Table1[[#This Row],[Index]]-B67)/B67</f>
        <v>5.1434734095361999E-2</v>
      </c>
    </row>
    <row r="80" spans="1:4" x14ac:dyDescent="0.35">
      <c r="A80" s="17">
        <v>28522</v>
      </c>
      <c r="B80" s="58">
        <f>VLOOKUP(Table1[[#This Row],[Date]],database!A:B,2,)</f>
        <v>48.128300000000003</v>
      </c>
      <c r="C80" s="66">
        <f t="shared" si="1"/>
        <v>5.4105658532712653E-3</v>
      </c>
      <c r="D80" s="66">
        <f>(Table1[[#This Row],[Index]]-B68)/B68</f>
        <v>4.0461165625736394E-2</v>
      </c>
    </row>
    <row r="81" spans="1:4" x14ac:dyDescent="0.35">
      <c r="A81" s="17">
        <v>28550</v>
      </c>
      <c r="B81" s="58">
        <f>VLOOKUP(Table1[[#This Row],[Date]],database!A:B,2,)</f>
        <v>49.055300000000003</v>
      </c>
      <c r="C81" s="66">
        <f t="shared" si="1"/>
        <v>1.9261016906892525E-2</v>
      </c>
      <c r="D81" s="66">
        <f>(Table1[[#This Row],[Index]]-B69)/B69</f>
        <v>4.7393435762539675E-2</v>
      </c>
    </row>
    <row r="82" spans="1:4" x14ac:dyDescent="0.35">
      <c r="A82" s="17">
        <v>28581</v>
      </c>
      <c r="B82" s="58">
        <f>VLOOKUP(Table1[[#This Row],[Date]],database!A:B,2,)</f>
        <v>50.026000000000003</v>
      </c>
      <c r="C82" s="66">
        <f t="shared" si="1"/>
        <v>1.9787872054599642E-2</v>
      </c>
      <c r="D82" s="66">
        <f>(Table1[[#This Row],[Index]]-B70)/B70</f>
        <v>5.7860257391657476E-2</v>
      </c>
    </row>
    <row r="83" spans="1:4" x14ac:dyDescent="0.35">
      <c r="A83" s="17">
        <v>28611</v>
      </c>
      <c r="B83" s="58">
        <f>VLOOKUP(Table1[[#This Row],[Date]],database!A:B,2,)</f>
        <v>50.271700000000003</v>
      </c>
      <c r="C83" s="66">
        <f t="shared" si="1"/>
        <v>4.9114460480550459E-3</v>
      </c>
      <c r="D83" s="66">
        <f>(Table1[[#This Row],[Index]]-B71)/B71</f>
        <v>5.4783081238840479E-2</v>
      </c>
    </row>
    <row r="84" spans="1:4" x14ac:dyDescent="0.35">
      <c r="A84" s="17">
        <v>28642</v>
      </c>
      <c r="B84" s="58">
        <f>VLOOKUP(Table1[[#This Row],[Date]],database!A:B,2,)</f>
        <v>50.593899999999998</v>
      </c>
      <c r="C84" s="66">
        <f t="shared" si="1"/>
        <v>6.4091725563288904E-3</v>
      </c>
      <c r="D84" s="66">
        <f>(Table1[[#This Row],[Index]]-B72)/B72</f>
        <v>5.3609359511532811E-2</v>
      </c>
    </row>
    <row r="85" spans="1:4" x14ac:dyDescent="0.35">
      <c r="A85" s="17">
        <v>28672</v>
      </c>
      <c r="B85" s="58">
        <f>VLOOKUP(Table1[[#This Row],[Date]],database!A:B,2,)</f>
        <v>50.549900000000001</v>
      </c>
      <c r="C85" s="66">
        <f t="shared" si="1"/>
        <v>-8.6967005903870742E-4</v>
      </c>
      <c r="D85" s="66">
        <f>(Table1[[#This Row],[Index]]-B73)/B73</f>
        <v>5.1329086412974602E-2</v>
      </c>
    </row>
    <row r="86" spans="1:4" x14ac:dyDescent="0.35">
      <c r="A86" s="17">
        <v>28703</v>
      </c>
      <c r="B86" s="58">
        <f>VLOOKUP(Table1[[#This Row],[Date]],database!A:B,2,)</f>
        <v>50.7622</v>
      </c>
      <c r="C86" s="66">
        <f t="shared" si="1"/>
        <v>4.1998104842937423E-3</v>
      </c>
      <c r="D86" s="66">
        <f>(Table1[[#This Row],[Index]]-B74)/B74</f>
        <v>5.4656513925391836E-2</v>
      </c>
    </row>
    <row r="87" spans="1:4" x14ac:dyDescent="0.35">
      <c r="A87" s="17">
        <v>28734</v>
      </c>
      <c r="B87" s="58">
        <f>VLOOKUP(Table1[[#This Row],[Date]],database!A:B,2,)</f>
        <v>50.885599999999997</v>
      </c>
      <c r="C87" s="66">
        <f t="shared" si="1"/>
        <v>2.4309427093387459E-3</v>
      </c>
      <c r="D87" s="66">
        <f>(Table1[[#This Row],[Index]]-B75)/B75</f>
        <v>5.286070166436295E-2</v>
      </c>
    </row>
    <row r="88" spans="1:4" x14ac:dyDescent="0.35">
      <c r="A88" s="17">
        <v>28764</v>
      </c>
      <c r="B88" s="58">
        <f>VLOOKUP(Table1[[#This Row],[Date]],database!A:B,2,)</f>
        <v>51.2821</v>
      </c>
      <c r="C88" s="66">
        <f t="shared" si="1"/>
        <v>7.7919883031742909E-3</v>
      </c>
      <c r="D88" s="66">
        <f>(Table1[[#This Row],[Index]]-B76)/B76</f>
        <v>5.9516873478866257E-2</v>
      </c>
    </row>
    <row r="89" spans="1:4" x14ac:dyDescent="0.35">
      <c r="A89" s="17">
        <v>28795</v>
      </c>
      <c r="B89" s="58">
        <f>VLOOKUP(Table1[[#This Row],[Date]],database!A:B,2,)</f>
        <v>51.673699999999997</v>
      </c>
      <c r="C89" s="66">
        <f t="shared" si="1"/>
        <v>7.6361927456167766E-3</v>
      </c>
      <c r="D89" s="66">
        <f>(Table1[[#This Row],[Index]]-B77)/B77</f>
        <v>6.560409466225621E-2</v>
      </c>
    </row>
    <row r="90" spans="1:4" x14ac:dyDescent="0.35">
      <c r="A90" s="17">
        <v>28825</v>
      </c>
      <c r="B90" s="58">
        <f>VLOOKUP(Table1[[#This Row],[Date]],database!A:B,2,)</f>
        <v>51.940399999999997</v>
      </c>
      <c r="C90" s="66">
        <f t="shared" si="1"/>
        <v>5.1612328902324034E-3</v>
      </c>
      <c r="D90" s="66">
        <f>(Table1[[#This Row],[Index]]-B78)/B78</f>
        <v>6.9524750844246697E-2</v>
      </c>
    </row>
    <row r="91" spans="1:4" x14ac:dyDescent="0.35">
      <c r="A91" s="17">
        <v>28856</v>
      </c>
      <c r="B91" s="58">
        <f>VLOOKUP(Table1[[#This Row],[Date]],database!A:B,2,)</f>
        <v>51.650700000000001</v>
      </c>
      <c r="C91" s="66">
        <f t="shared" si="1"/>
        <v>-5.5775465726101148E-3</v>
      </c>
      <c r="D91" s="66">
        <f>(Table1[[#This Row],[Index]]-B79)/B79</f>
        <v>7.8994261457760978E-2</v>
      </c>
    </row>
    <row r="92" spans="1:4" x14ac:dyDescent="0.35">
      <c r="A92" s="17">
        <v>28887</v>
      </c>
      <c r="B92" s="58">
        <f>VLOOKUP(Table1[[#This Row],[Date]],database!A:B,2,)</f>
        <v>51.909700000000001</v>
      </c>
      <c r="C92" s="66">
        <f t="shared" si="1"/>
        <v>5.0144528534947774E-3</v>
      </c>
      <c r="D92" s="66">
        <f>(Table1[[#This Row],[Index]]-B80)/B80</f>
        <v>7.8569157855149618E-2</v>
      </c>
    </row>
    <row r="93" spans="1:4" x14ac:dyDescent="0.35">
      <c r="A93" s="17">
        <v>28915</v>
      </c>
      <c r="B93" s="58">
        <f>VLOOKUP(Table1[[#This Row],[Date]],database!A:B,2,)</f>
        <v>52.066699999999997</v>
      </c>
      <c r="C93" s="66">
        <f t="shared" si="1"/>
        <v>3.0244829001129236E-3</v>
      </c>
      <c r="D93" s="66">
        <f>(Table1[[#This Row],[Index]]-B81)/B81</f>
        <v>6.1387862269724057E-2</v>
      </c>
    </row>
    <row r="94" spans="1:4" x14ac:dyDescent="0.35">
      <c r="A94" s="17">
        <v>28946</v>
      </c>
      <c r="B94" s="58">
        <f>VLOOKUP(Table1[[#This Row],[Date]],database!A:B,2,)</f>
        <v>51.454799999999999</v>
      </c>
      <c r="C94" s="66">
        <f t="shared" si="1"/>
        <v>-1.1752233193192518E-2</v>
      </c>
      <c r="D94" s="66">
        <f>(Table1[[#This Row],[Index]]-B82)/B82</f>
        <v>2.8561148202934379E-2</v>
      </c>
    </row>
    <row r="95" spans="1:4" x14ac:dyDescent="0.35">
      <c r="A95" s="17">
        <v>28976</v>
      </c>
      <c r="B95" s="58">
        <f>VLOOKUP(Table1[[#This Row],[Date]],database!A:B,2,)</f>
        <v>51.906100000000002</v>
      </c>
      <c r="C95" s="66">
        <f t="shared" si="1"/>
        <v>8.770804667397547E-3</v>
      </c>
      <c r="D95" s="66">
        <f>(Table1[[#This Row],[Index]]-B83)/B83</f>
        <v>3.251133341422708E-2</v>
      </c>
    </row>
    <row r="96" spans="1:4" x14ac:dyDescent="0.35">
      <c r="A96" s="17">
        <v>29007</v>
      </c>
      <c r="B96" s="58">
        <f>VLOOKUP(Table1[[#This Row],[Date]],database!A:B,2,)</f>
        <v>51.906700000000001</v>
      </c>
      <c r="C96" s="66">
        <f t="shared" si="1"/>
        <v>1.1559335030053575E-5</v>
      </c>
      <c r="D96" s="66">
        <f>(Table1[[#This Row],[Index]]-B84)/B84</f>
        <v>2.5947792125137672E-2</v>
      </c>
    </row>
    <row r="97" spans="1:4" x14ac:dyDescent="0.35">
      <c r="A97" s="17">
        <v>29037</v>
      </c>
      <c r="B97" s="58">
        <f>VLOOKUP(Table1[[#This Row],[Date]],database!A:B,2,)</f>
        <v>51.825800000000001</v>
      </c>
      <c r="C97" s="66">
        <f t="shared" si="1"/>
        <v>-1.5585656572273399E-3</v>
      </c>
      <c r="D97" s="66">
        <f>(Table1[[#This Row],[Index]]-B85)/B85</f>
        <v>2.5240406014650871E-2</v>
      </c>
    </row>
    <row r="98" spans="1:4" x14ac:dyDescent="0.35">
      <c r="A98" s="17">
        <v>29068</v>
      </c>
      <c r="B98" s="58">
        <f>VLOOKUP(Table1[[#This Row],[Date]],database!A:B,2,)</f>
        <v>51.49</v>
      </c>
      <c r="C98" s="66">
        <f t="shared" si="1"/>
        <v>-6.4793982919704174E-3</v>
      </c>
      <c r="D98" s="66">
        <f>(Table1[[#This Row],[Index]]-B86)/B86</f>
        <v>1.4337440063669462E-2</v>
      </c>
    </row>
    <row r="99" spans="1:4" x14ac:dyDescent="0.35">
      <c r="A99" s="17">
        <v>29099</v>
      </c>
      <c r="B99" s="58">
        <f>VLOOKUP(Table1[[#This Row],[Date]],database!A:B,2,)</f>
        <v>51.484699999999997</v>
      </c>
      <c r="C99" s="66">
        <f t="shared" si="1"/>
        <v>-1.0293260827354267E-4</v>
      </c>
      <c r="D99" s="66">
        <f>(Table1[[#This Row],[Index]]-B87)/B87</f>
        <v>1.1773468328957504E-2</v>
      </c>
    </row>
    <row r="100" spans="1:4" x14ac:dyDescent="0.35">
      <c r="A100" s="17">
        <v>29129</v>
      </c>
      <c r="B100" s="58">
        <f>VLOOKUP(Table1[[#This Row],[Date]],database!A:B,2,)</f>
        <v>51.842100000000002</v>
      </c>
      <c r="C100" s="66">
        <f t="shared" si="1"/>
        <v>6.9418681666593152E-3</v>
      </c>
      <c r="D100" s="66">
        <f>(Table1[[#This Row],[Index]]-B88)/B88</f>
        <v>1.09199896260099E-2</v>
      </c>
    </row>
    <row r="101" spans="1:4" x14ac:dyDescent="0.35">
      <c r="A101" s="17">
        <v>29160</v>
      </c>
      <c r="B101" s="58">
        <f>VLOOKUP(Table1[[#This Row],[Date]],database!A:B,2,)</f>
        <v>51.759099999999997</v>
      </c>
      <c r="C101" s="66">
        <f t="shared" si="1"/>
        <v>-1.6010153909661318E-3</v>
      </c>
      <c r="D101" s="66">
        <f>(Table1[[#This Row],[Index]]-B89)/B89</f>
        <v>1.6526782483158729E-3</v>
      </c>
    </row>
    <row r="102" spans="1:4" x14ac:dyDescent="0.35">
      <c r="A102" s="17">
        <v>29190</v>
      </c>
      <c r="B102" s="58">
        <f>VLOOKUP(Table1[[#This Row],[Date]],database!A:B,2,)</f>
        <v>51.797400000000003</v>
      </c>
      <c r="C102" s="66">
        <f t="shared" si="1"/>
        <v>7.3996649864471742E-4</v>
      </c>
      <c r="D102" s="66">
        <f>(Table1[[#This Row],[Index]]-B90)/B90</f>
        <v>-2.7531555398108906E-3</v>
      </c>
    </row>
    <row r="103" spans="1:4" x14ac:dyDescent="0.35">
      <c r="A103" s="17">
        <v>29221</v>
      </c>
      <c r="B103" s="58">
        <f>VLOOKUP(Table1[[#This Row],[Date]],database!A:B,2,)</f>
        <v>52.067700000000002</v>
      </c>
      <c r="C103" s="66">
        <f t="shared" si="1"/>
        <v>5.2184086459938772E-3</v>
      </c>
      <c r="D103" s="66">
        <f>(Table1[[#This Row],[Index]]-B91)/B91</f>
        <v>8.0734627023448195E-3</v>
      </c>
    </row>
    <row r="104" spans="1:4" x14ac:dyDescent="0.35">
      <c r="A104" s="17">
        <v>29252</v>
      </c>
      <c r="B104" s="58">
        <f>VLOOKUP(Table1[[#This Row],[Date]],database!A:B,2,)</f>
        <v>52.0899</v>
      </c>
      <c r="C104" s="66">
        <f t="shared" si="1"/>
        <v>4.2636797861250741E-4</v>
      </c>
      <c r="D104" s="66">
        <f>(Table1[[#This Row],[Index]]-B92)/B92</f>
        <v>3.4714128573272288E-3</v>
      </c>
    </row>
    <row r="105" spans="1:4" x14ac:dyDescent="0.35">
      <c r="A105" s="17">
        <v>29281</v>
      </c>
      <c r="B105" s="58">
        <f>VLOOKUP(Table1[[#This Row],[Date]],database!A:B,2,)</f>
        <v>51.868699999999997</v>
      </c>
      <c r="C105" s="66">
        <f t="shared" si="1"/>
        <v>-4.246504600699974E-3</v>
      </c>
      <c r="D105" s="66">
        <f>(Table1[[#This Row],[Index]]-B93)/B93</f>
        <v>-3.8028144668281342E-3</v>
      </c>
    </row>
    <row r="106" spans="1:4" x14ac:dyDescent="0.35">
      <c r="A106" s="17">
        <v>29312</v>
      </c>
      <c r="B106" s="58">
        <f>VLOOKUP(Table1[[#This Row],[Date]],database!A:B,2,)</f>
        <v>50.845399999999998</v>
      </c>
      <c r="C106" s="66">
        <f t="shared" si="1"/>
        <v>-1.9728661022929028E-2</v>
      </c>
      <c r="D106" s="66">
        <f>(Table1[[#This Row],[Index]]-B94)/B94</f>
        <v>-1.1843404308247254E-2</v>
      </c>
    </row>
    <row r="107" spans="1:4" x14ac:dyDescent="0.35">
      <c r="A107" s="17">
        <v>29342</v>
      </c>
      <c r="B107" s="58">
        <f>VLOOKUP(Table1[[#This Row],[Date]],database!A:B,2,)</f>
        <v>49.594700000000003</v>
      </c>
      <c r="C107" s="66">
        <f t="shared" si="1"/>
        <v>-2.4598095402927234E-2</v>
      </c>
      <c r="D107" s="66">
        <f>(Table1[[#This Row],[Index]]-B95)/B95</f>
        <v>-4.4530411647185957E-2</v>
      </c>
    </row>
    <row r="108" spans="1:4" x14ac:dyDescent="0.35">
      <c r="A108" s="17">
        <v>29373</v>
      </c>
      <c r="B108" s="58">
        <f>VLOOKUP(Table1[[#This Row],[Date]],database!A:B,2,)</f>
        <v>48.9621</v>
      </c>
      <c r="C108" s="66">
        <f t="shared" si="1"/>
        <v>-1.275539523376501E-2</v>
      </c>
      <c r="D108" s="66">
        <f>(Table1[[#This Row],[Index]]-B96)/B96</f>
        <v>-5.6728707469363322E-2</v>
      </c>
    </row>
    <row r="109" spans="1:4" x14ac:dyDescent="0.35">
      <c r="A109" s="17">
        <v>29403</v>
      </c>
      <c r="B109" s="58">
        <f>VLOOKUP(Table1[[#This Row],[Date]],database!A:B,2,)</f>
        <v>48.609000000000002</v>
      </c>
      <c r="C109" s="66">
        <f t="shared" si="1"/>
        <v>-7.2117004785333672E-3</v>
      </c>
      <c r="D109" s="66">
        <f>(Table1[[#This Row],[Index]]-B97)/B97</f>
        <v>-6.2069471190025031E-2</v>
      </c>
    </row>
    <row r="110" spans="1:4" x14ac:dyDescent="0.35">
      <c r="A110" s="17">
        <v>29434</v>
      </c>
      <c r="B110" s="58">
        <f>VLOOKUP(Table1[[#This Row],[Date]],database!A:B,2,)</f>
        <v>48.764600000000002</v>
      </c>
      <c r="C110" s="66">
        <f t="shared" si="1"/>
        <v>3.2010533028863364E-3</v>
      </c>
      <c r="D110" s="66">
        <f>(Table1[[#This Row],[Index]]-B98)/B98</f>
        <v>-5.2930666148766757E-2</v>
      </c>
    </row>
    <row r="111" spans="1:4" x14ac:dyDescent="0.35">
      <c r="A111" s="17">
        <v>29465</v>
      </c>
      <c r="B111" s="58">
        <f>VLOOKUP(Table1[[#This Row],[Date]],database!A:B,2,)</f>
        <v>49.5764</v>
      </c>
      <c r="C111" s="66">
        <f t="shared" si="1"/>
        <v>1.6647322032786072E-2</v>
      </c>
      <c r="D111" s="66">
        <f>(Table1[[#This Row],[Index]]-B99)/B99</f>
        <v>-3.7065380588796229E-2</v>
      </c>
    </row>
    <row r="112" spans="1:4" x14ac:dyDescent="0.35">
      <c r="A112" s="17">
        <v>29495</v>
      </c>
      <c r="B112" s="58">
        <f>VLOOKUP(Table1[[#This Row],[Date]],database!A:B,2,)</f>
        <v>50.205800000000004</v>
      </c>
      <c r="C112" s="66">
        <f t="shared" si="1"/>
        <v>1.2695556756844084E-2</v>
      </c>
      <c r="D112" s="66">
        <f>(Table1[[#This Row],[Index]]-B100)/B100</f>
        <v>-3.1563150412502551E-2</v>
      </c>
    </row>
    <row r="113" spans="1:4" x14ac:dyDescent="0.35">
      <c r="A113" s="17">
        <v>29526</v>
      </c>
      <c r="B113" s="58">
        <f>VLOOKUP(Table1[[#This Row],[Date]],database!A:B,2,)</f>
        <v>51.041800000000002</v>
      </c>
      <c r="C113" s="66">
        <f t="shared" si="1"/>
        <v>1.6651462580020704E-2</v>
      </c>
      <c r="D113" s="66">
        <f>(Table1[[#This Row],[Index]]-B101)/B101</f>
        <v>-1.3858432623441956E-2</v>
      </c>
    </row>
    <row r="114" spans="1:4" x14ac:dyDescent="0.35">
      <c r="A114" s="17">
        <v>29556</v>
      </c>
      <c r="B114" s="58">
        <f>VLOOKUP(Table1[[#This Row],[Date]],database!A:B,2,)</f>
        <v>51.390599999999999</v>
      </c>
      <c r="C114" s="66">
        <f t="shared" si="1"/>
        <v>6.8336148019858545E-3</v>
      </c>
      <c r="D114" s="66">
        <f>(Table1[[#This Row],[Index]]-B102)/B102</f>
        <v>-7.8536760532382718E-3</v>
      </c>
    </row>
    <row r="115" spans="1:4" x14ac:dyDescent="0.35">
      <c r="A115" s="17">
        <v>29587</v>
      </c>
      <c r="B115" s="58">
        <f>VLOOKUP(Table1[[#This Row],[Date]],database!A:B,2,)</f>
        <v>51.065600000000003</v>
      </c>
      <c r="C115" s="66">
        <f t="shared" si="1"/>
        <v>-6.3241137484286725E-3</v>
      </c>
      <c r="D115" s="66">
        <f>(Table1[[#This Row],[Index]]-B103)/B103</f>
        <v>-1.9246096908448012E-2</v>
      </c>
    </row>
    <row r="116" spans="1:4" x14ac:dyDescent="0.35">
      <c r="A116" s="17">
        <v>29618</v>
      </c>
      <c r="B116" s="58">
        <f>VLOOKUP(Table1[[#This Row],[Date]],database!A:B,2,)</f>
        <v>50.855400000000003</v>
      </c>
      <c r="C116" s="66">
        <f t="shared" si="1"/>
        <v>-4.1162739691690264E-3</v>
      </c>
      <c r="D116" s="66">
        <f>(Table1[[#This Row],[Index]]-B104)/B104</f>
        <v>-2.3699411978137741E-2</v>
      </c>
    </row>
    <row r="117" spans="1:4" x14ac:dyDescent="0.35">
      <c r="A117" s="17">
        <v>29646</v>
      </c>
      <c r="B117" s="58">
        <f>VLOOKUP(Table1[[#This Row],[Date]],database!A:B,2,)</f>
        <v>51.110700000000001</v>
      </c>
      <c r="C117" s="66">
        <f t="shared" si="1"/>
        <v>5.0201158579028515E-3</v>
      </c>
      <c r="D117" s="66">
        <f>(Table1[[#This Row],[Index]]-B105)/B105</f>
        <v>-1.461382297994736E-2</v>
      </c>
    </row>
    <row r="118" spans="1:4" x14ac:dyDescent="0.35">
      <c r="A118" s="17">
        <v>29677</v>
      </c>
      <c r="B118" s="58">
        <f>VLOOKUP(Table1[[#This Row],[Date]],database!A:B,2,)</f>
        <v>50.886400000000002</v>
      </c>
      <c r="C118" s="66">
        <f t="shared" si="1"/>
        <v>-4.3885135597829805E-3</v>
      </c>
      <c r="D118" s="66">
        <f>(Table1[[#This Row],[Index]]-B106)/B106</f>
        <v>8.0636596427609817E-4</v>
      </c>
    </row>
    <row r="119" spans="1:4" x14ac:dyDescent="0.35">
      <c r="A119" s="17">
        <v>29707</v>
      </c>
      <c r="B119" s="58">
        <f>VLOOKUP(Table1[[#This Row],[Date]],database!A:B,2,)</f>
        <v>51.178800000000003</v>
      </c>
      <c r="C119" s="66">
        <f t="shared" si="1"/>
        <v>5.7461325619418968E-3</v>
      </c>
      <c r="D119" s="66">
        <f>(Table1[[#This Row],[Index]]-B107)/B107</f>
        <v>3.1940913041111234E-2</v>
      </c>
    </row>
    <row r="120" spans="1:4" x14ac:dyDescent="0.35">
      <c r="A120" s="17">
        <v>29738</v>
      </c>
      <c r="B120" s="58">
        <f>VLOOKUP(Table1[[#This Row],[Date]],database!A:B,2,)</f>
        <v>51.449599999999997</v>
      </c>
      <c r="C120" s="66">
        <f t="shared" si="1"/>
        <v>5.2912534096147823E-3</v>
      </c>
      <c r="D120" s="66">
        <f>(Table1[[#This Row],[Index]]-B108)/B108</f>
        <v>5.0804601926796381E-2</v>
      </c>
    </row>
    <row r="121" spans="1:4" x14ac:dyDescent="0.35">
      <c r="A121" s="17">
        <v>29768</v>
      </c>
      <c r="B121" s="58">
        <f>VLOOKUP(Table1[[#This Row],[Date]],database!A:B,2,)</f>
        <v>51.776400000000002</v>
      </c>
      <c r="C121" s="66">
        <f t="shared" si="1"/>
        <v>6.351847244682185E-3</v>
      </c>
      <c r="D121" s="66">
        <f>(Table1[[#This Row],[Index]]-B109)/B109</f>
        <v>6.5160772696414251E-2</v>
      </c>
    </row>
    <row r="122" spans="1:4" x14ac:dyDescent="0.35">
      <c r="A122" s="17">
        <v>29799</v>
      </c>
      <c r="B122" s="58">
        <f>VLOOKUP(Table1[[#This Row],[Date]],database!A:B,2,)</f>
        <v>51.712899999999998</v>
      </c>
      <c r="C122" s="66">
        <f t="shared" si="1"/>
        <v>-1.2264274843365452E-3</v>
      </c>
      <c r="D122" s="66">
        <f>(Table1[[#This Row],[Index]]-B110)/B110</f>
        <v>6.045984177046456E-2</v>
      </c>
    </row>
    <row r="123" spans="1:4" x14ac:dyDescent="0.35">
      <c r="A123" s="17">
        <v>29830</v>
      </c>
      <c r="B123" s="58">
        <f>VLOOKUP(Table1[[#This Row],[Date]],database!A:B,2,)</f>
        <v>51.460500000000003</v>
      </c>
      <c r="C123" s="66">
        <f t="shared" si="1"/>
        <v>-4.8807937671256907E-3</v>
      </c>
      <c r="D123" s="66">
        <f>(Table1[[#This Row],[Index]]-B111)/B111</f>
        <v>3.8003969630711461E-2</v>
      </c>
    </row>
    <row r="124" spans="1:4" x14ac:dyDescent="0.35">
      <c r="A124" s="17">
        <v>29860</v>
      </c>
      <c r="B124" s="58">
        <f>VLOOKUP(Table1[[#This Row],[Date]],database!A:B,2,)</f>
        <v>51.0625</v>
      </c>
      <c r="C124" s="66">
        <f t="shared" si="1"/>
        <v>-7.7340873096841678E-3</v>
      </c>
      <c r="D124" s="66">
        <f>(Table1[[#This Row],[Index]]-B112)/B112</f>
        <v>1.7063765541033036E-2</v>
      </c>
    </row>
    <row r="125" spans="1:4" x14ac:dyDescent="0.35">
      <c r="A125" s="17">
        <v>29891</v>
      </c>
      <c r="B125" s="58">
        <f>VLOOKUP(Table1[[#This Row],[Date]],database!A:B,2,)</f>
        <v>50.472999999999999</v>
      </c>
      <c r="C125" s="66">
        <f t="shared" si="1"/>
        <v>-1.154467564259487E-2</v>
      </c>
      <c r="D125" s="66">
        <f>(Table1[[#This Row],[Index]]-B113)/B113</f>
        <v>-1.1143807624339327E-2</v>
      </c>
    </row>
    <row r="126" spans="1:4" x14ac:dyDescent="0.35">
      <c r="A126" s="17">
        <v>29921</v>
      </c>
      <c r="B126" s="58">
        <f>VLOOKUP(Table1[[#This Row],[Date]],database!A:B,2,)</f>
        <v>49.936399999999999</v>
      </c>
      <c r="C126" s="66">
        <f t="shared" si="1"/>
        <v>-1.0631426703386015E-2</v>
      </c>
      <c r="D126" s="66">
        <f>(Table1[[#This Row],[Index]]-B114)/B114</f>
        <v>-2.8297003732200055E-2</v>
      </c>
    </row>
    <row r="127" spans="1:4" x14ac:dyDescent="0.35">
      <c r="A127" s="17">
        <v>29952</v>
      </c>
      <c r="B127" s="58">
        <f>VLOOKUP(Table1[[#This Row],[Date]],database!A:B,2,)</f>
        <v>48.9114</v>
      </c>
      <c r="C127" s="66">
        <f t="shared" si="1"/>
        <v>-2.0526109210916244E-2</v>
      </c>
      <c r="D127" s="66">
        <f>(Table1[[#This Row],[Index]]-B115)/B115</f>
        <v>-4.2184954254919221E-2</v>
      </c>
    </row>
    <row r="128" spans="1:4" x14ac:dyDescent="0.35">
      <c r="A128" s="17">
        <v>29983</v>
      </c>
      <c r="B128" s="58">
        <f>VLOOKUP(Table1[[#This Row],[Date]],database!A:B,2,)</f>
        <v>49.910200000000003</v>
      </c>
      <c r="C128" s="66">
        <f t="shared" si="1"/>
        <v>2.0420597243178573E-2</v>
      </c>
      <c r="D128" s="66">
        <f>(Table1[[#This Row],[Index]]-B116)/B116</f>
        <v>-1.8586030195416804E-2</v>
      </c>
    </row>
    <row r="129" spans="1:4" x14ac:dyDescent="0.35">
      <c r="A129" s="17">
        <v>30011</v>
      </c>
      <c r="B129" s="58">
        <f>VLOOKUP(Table1[[#This Row],[Date]],database!A:B,2,)</f>
        <v>49.569099999999999</v>
      </c>
      <c r="C129" s="66">
        <f t="shared" si="1"/>
        <v>-6.8342743567447739E-3</v>
      </c>
      <c r="D129" s="66">
        <f>(Table1[[#This Row],[Index]]-B117)/B117</f>
        <v>-3.0161981737679242E-2</v>
      </c>
    </row>
    <row r="130" spans="1:4" x14ac:dyDescent="0.35">
      <c r="A130" s="17">
        <v>30042</v>
      </c>
      <c r="B130" s="58">
        <f>VLOOKUP(Table1[[#This Row],[Date]],database!A:B,2,)</f>
        <v>49.114600000000003</v>
      </c>
      <c r="C130" s="66">
        <f t="shared" si="1"/>
        <v>-9.1690186023146714E-3</v>
      </c>
      <c r="D130" s="66">
        <f>(Table1[[#This Row],[Index]]-B118)/B118</f>
        <v>-3.4818733492642411E-2</v>
      </c>
    </row>
    <row r="131" spans="1:4" x14ac:dyDescent="0.35">
      <c r="A131" s="17">
        <v>30072</v>
      </c>
      <c r="B131" s="58">
        <f>VLOOKUP(Table1[[#This Row],[Date]],database!A:B,2,)</f>
        <v>48.780500000000004</v>
      </c>
      <c r="C131" s="66">
        <f t="shared" si="1"/>
        <v>-6.8024579249347239E-3</v>
      </c>
      <c r="D131" s="66">
        <f>(Table1[[#This Row],[Index]]-B119)/B119</f>
        <v>-4.6861200340766074E-2</v>
      </c>
    </row>
    <row r="132" spans="1:4" x14ac:dyDescent="0.35">
      <c r="A132" s="17">
        <v>30103</v>
      </c>
      <c r="B132" s="58">
        <f>VLOOKUP(Table1[[#This Row],[Date]],database!A:B,2,)</f>
        <v>48.660600000000002</v>
      </c>
      <c r="C132" s="66">
        <f t="shared" si="1"/>
        <v>-2.4579493855126922E-3</v>
      </c>
      <c r="D132" s="66">
        <f>(Table1[[#This Row],[Index]]-B120)/B120</f>
        <v>-5.4208390347057989E-2</v>
      </c>
    </row>
    <row r="133" spans="1:4" x14ac:dyDescent="0.35">
      <c r="A133" s="17">
        <v>30133</v>
      </c>
      <c r="B133" s="58">
        <f>VLOOKUP(Table1[[#This Row],[Date]],database!A:B,2,)</f>
        <v>48.4863</v>
      </c>
      <c r="C133" s="66">
        <f t="shared" si="1"/>
        <v>-3.5819533667895698E-3</v>
      </c>
      <c r="D133" s="66">
        <f>(Table1[[#This Row],[Index]]-B121)/B121</f>
        <v>-6.3544394743551155E-2</v>
      </c>
    </row>
    <row r="134" spans="1:4" x14ac:dyDescent="0.35">
      <c r="A134" s="17">
        <v>30164</v>
      </c>
      <c r="B134" s="58">
        <f>VLOOKUP(Table1[[#This Row],[Date]],database!A:B,2,)</f>
        <v>48.056899999999999</v>
      </c>
      <c r="C134" s="66">
        <f t="shared" si="1"/>
        <v>-8.8561098702107932E-3</v>
      </c>
      <c r="D134" s="66">
        <f>(Table1[[#This Row],[Index]]-B122)/B122</f>
        <v>-7.0698026991330959E-2</v>
      </c>
    </row>
    <row r="135" spans="1:4" x14ac:dyDescent="0.35">
      <c r="A135" s="17">
        <v>30195</v>
      </c>
      <c r="B135" s="58">
        <f>VLOOKUP(Table1[[#This Row],[Date]],database!A:B,2,)</f>
        <v>47.930300000000003</v>
      </c>
      <c r="C135" s="66">
        <f t="shared" si="1"/>
        <v>-2.6343771654018244E-3</v>
      </c>
      <c r="D135" s="66">
        <f>(Table1[[#This Row],[Index]]-B123)/B123</f>
        <v>-6.8600188494087708E-2</v>
      </c>
    </row>
    <row r="136" spans="1:4" x14ac:dyDescent="0.35">
      <c r="A136" s="17">
        <v>30225</v>
      </c>
      <c r="B136" s="58">
        <f>VLOOKUP(Table1[[#This Row],[Date]],database!A:B,2,)</f>
        <v>47.473799999999997</v>
      </c>
      <c r="C136" s="66">
        <f t="shared" ref="C136:C199" si="2">B136/B135-1</f>
        <v>-9.5242466665137471E-3</v>
      </c>
      <c r="D136" s="66">
        <f>(Table1[[#This Row],[Index]]-B124)/B124</f>
        <v>-7.0280538555691607E-2</v>
      </c>
    </row>
    <row r="137" spans="1:4" x14ac:dyDescent="0.35">
      <c r="A137" s="17">
        <v>30256</v>
      </c>
      <c r="B137" s="58">
        <f>VLOOKUP(Table1[[#This Row],[Date]],database!A:B,2,)</f>
        <v>47.32</v>
      </c>
      <c r="C137" s="66">
        <f t="shared" si="2"/>
        <v>-3.2396816770512427E-3</v>
      </c>
      <c r="D137" s="66">
        <f>(Table1[[#This Row],[Index]]-B125)/B125</f>
        <v>-6.2469042854595501E-2</v>
      </c>
    </row>
    <row r="138" spans="1:4" x14ac:dyDescent="0.35">
      <c r="A138" s="17">
        <v>30286</v>
      </c>
      <c r="B138" s="58">
        <f>VLOOKUP(Table1[[#This Row],[Date]],database!A:B,2,)</f>
        <v>46.981299999999997</v>
      </c>
      <c r="C138" s="66">
        <f t="shared" si="2"/>
        <v>-7.1576500422655398E-3</v>
      </c>
      <c r="D138" s="66">
        <f>(Table1[[#This Row],[Index]]-B126)/B126</f>
        <v>-5.9177273491881704E-2</v>
      </c>
    </row>
    <row r="139" spans="1:4" x14ac:dyDescent="0.35">
      <c r="A139" s="17">
        <v>30317</v>
      </c>
      <c r="B139" s="58">
        <f>VLOOKUP(Table1[[#This Row],[Date]],database!A:B,2,)</f>
        <v>47.8523</v>
      </c>
      <c r="C139" s="66">
        <f t="shared" si="2"/>
        <v>1.853929116478259E-2</v>
      </c>
      <c r="D139" s="66">
        <f>(Table1[[#This Row],[Index]]-B127)/B127</f>
        <v>-2.1653438666650326E-2</v>
      </c>
    </row>
    <row r="140" spans="1:4" x14ac:dyDescent="0.35">
      <c r="A140" s="17">
        <v>30348</v>
      </c>
      <c r="B140" s="58">
        <f>VLOOKUP(Table1[[#This Row],[Date]],database!A:B,2,)</f>
        <v>47.566699999999997</v>
      </c>
      <c r="C140" s="66">
        <f t="shared" si="2"/>
        <v>-5.9683651569517604E-3</v>
      </c>
      <c r="D140" s="66">
        <f>(Table1[[#This Row],[Index]]-B128)/B128</f>
        <v>-4.6954329976638155E-2</v>
      </c>
    </row>
    <row r="141" spans="1:4" x14ac:dyDescent="0.35">
      <c r="A141" s="17">
        <v>30376</v>
      </c>
      <c r="B141" s="58">
        <f>VLOOKUP(Table1[[#This Row],[Date]],database!A:B,2,)</f>
        <v>47.959899999999998</v>
      </c>
      <c r="C141" s="66">
        <f t="shared" si="2"/>
        <v>8.2662871294414408E-3</v>
      </c>
      <c r="D141" s="66">
        <f>(Table1[[#This Row],[Index]]-B129)/B129</f>
        <v>-3.2463772793938188E-2</v>
      </c>
    </row>
    <row r="142" spans="1:4" x14ac:dyDescent="0.35">
      <c r="A142" s="17">
        <v>30407</v>
      </c>
      <c r="B142" s="58">
        <f>VLOOKUP(Table1[[#This Row],[Date]],database!A:B,2,)</f>
        <v>48.556399999999996</v>
      </c>
      <c r="C142" s="66">
        <f t="shared" si="2"/>
        <v>1.2437473806242272E-2</v>
      </c>
      <c r="D142" s="66">
        <f>(Table1[[#This Row],[Index]]-B130)/B130</f>
        <v>-1.1365255952405322E-2</v>
      </c>
    </row>
    <row r="143" spans="1:4" x14ac:dyDescent="0.35">
      <c r="A143" s="17">
        <v>30437</v>
      </c>
      <c r="B143" s="58">
        <f>VLOOKUP(Table1[[#This Row],[Date]],database!A:B,2,)</f>
        <v>48.864699999999999</v>
      </c>
      <c r="C143" s="66">
        <f t="shared" si="2"/>
        <v>6.3493174947073516E-3</v>
      </c>
      <c r="D143" s="66">
        <f>(Table1[[#This Row],[Index]]-B131)/B131</f>
        <v>1.7260995684750177E-3</v>
      </c>
    </row>
    <row r="144" spans="1:4" x14ac:dyDescent="0.35">
      <c r="A144" s="17">
        <v>30468</v>
      </c>
      <c r="B144" s="58">
        <f>VLOOKUP(Table1[[#This Row],[Date]],database!A:B,2,)</f>
        <v>49.155799999999999</v>
      </c>
      <c r="C144" s="66">
        <f t="shared" si="2"/>
        <v>5.9572656744029118E-3</v>
      </c>
      <c r="D144" s="66">
        <f>(Table1[[#This Row],[Index]]-B132)/B132</f>
        <v>1.0176611056994713E-2</v>
      </c>
    </row>
    <row r="145" spans="1:4" x14ac:dyDescent="0.35">
      <c r="A145" s="17">
        <v>30498</v>
      </c>
      <c r="B145" s="58">
        <f>VLOOKUP(Table1[[#This Row],[Date]],database!A:B,2,)</f>
        <v>49.887300000000003</v>
      </c>
      <c r="C145" s="66">
        <f t="shared" si="2"/>
        <v>1.4881255111299341E-2</v>
      </c>
      <c r="D145" s="66">
        <f>(Table1[[#This Row],[Index]]-B133)/B133</f>
        <v>2.8894759963123674E-2</v>
      </c>
    </row>
    <row r="146" spans="1:4" x14ac:dyDescent="0.35">
      <c r="A146" s="17">
        <v>30529</v>
      </c>
      <c r="B146" s="58">
        <f>VLOOKUP(Table1[[#This Row],[Date]],database!A:B,2,)</f>
        <v>50.484299999999998</v>
      </c>
      <c r="C146" s="66">
        <f t="shared" si="2"/>
        <v>1.1966973558400484E-2</v>
      </c>
      <c r="D146" s="66">
        <f>(Table1[[#This Row],[Index]]-B134)/B134</f>
        <v>5.051095680328941E-2</v>
      </c>
    </row>
    <row r="147" spans="1:4" x14ac:dyDescent="0.35">
      <c r="A147" s="17">
        <v>30560</v>
      </c>
      <c r="B147" s="58">
        <f>VLOOKUP(Table1[[#This Row],[Date]],database!A:B,2,)</f>
        <v>51.216000000000001</v>
      </c>
      <c r="C147" s="66">
        <f t="shared" si="2"/>
        <v>1.4493614846595948E-2</v>
      </c>
      <c r="D147" s="66">
        <f>(Table1[[#This Row],[Index]]-B135)/B135</f>
        <v>6.8551626006930863E-2</v>
      </c>
    </row>
    <row r="148" spans="1:4" x14ac:dyDescent="0.35">
      <c r="A148" s="17">
        <v>30590</v>
      </c>
      <c r="B148" s="58">
        <f>VLOOKUP(Table1[[#This Row],[Date]],database!A:B,2,)</f>
        <v>51.613900000000001</v>
      </c>
      <c r="C148" s="66">
        <f t="shared" si="2"/>
        <v>7.7690565448298443E-3</v>
      </c>
      <c r="D148" s="66">
        <f>(Table1[[#This Row],[Index]]-B136)/B136</f>
        <v>8.7208102153187736E-2</v>
      </c>
    </row>
    <row r="149" spans="1:4" x14ac:dyDescent="0.35">
      <c r="A149" s="17">
        <v>30621</v>
      </c>
      <c r="B149" s="58">
        <f>VLOOKUP(Table1[[#This Row],[Date]],database!A:B,2,)</f>
        <v>51.841999999999999</v>
      </c>
      <c r="C149" s="66">
        <f t="shared" si="2"/>
        <v>4.4193521512614353E-3</v>
      </c>
      <c r="D149" s="66">
        <f>(Table1[[#This Row],[Index]]-B137)/B137</f>
        <v>9.5562130177514762E-2</v>
      </c>
    </row>
    <row r="150" spans="1:4" x14ac:dyDescent="0.35">
      <c r="A150" s="17">
        <v>30651</v>
      </c>
      <c r="B150" s="58">
        <f>VLOOKUP(Table1[[#This Row],[Date]],database!A:B,2,)</f>
        <v>52.094799999999999</v>
      </c>
      <c r="C150" s="66">
        <f t="shared" si="2"/>
        <v>4.8763550788935017E-3</v>
      </c>
      <c r="D150" s="66">
        <f>(Table1[[#This Row],[Index]]-B138)/B138</f>
        <v>0.10884117723434648</v>
      </c>
    </row>
    <row r="151" spans="1:4" x14ac:dyDescent="0.35">
      <c r="A151" s="17">
        <v>30682</v>
      </c>
      <c r="B151" s="58">
        <f>VLOOKUP(Table1[[#This Row],[Date]],database!A:B,2,)</f>
        <v>53.134799999999998</v>
      </c>
      <c r="C151" s="66">
        <f t="shared" si="2"/>
        <v>1.9963604812764491E-2</v>
      </c>
      <c r="D151" s="66">
        <f>(Table1[[#This Row],[Index]]-B139)/B139</f>
        <v>0.11039176800279191</v>
      </c>
    </row>
    <row r="152" spans="1:4" x14ac:dyDescent="0.35">
      <c r="A152" s="17">
        <v>30713</v>
      </c>
      <c r="B152" s="58">
        <f>VLOOKUP(Table1[[#This Row],[Date]],database!A:B,2,)</f>
        <v>53.376300000000001</v>
      </c>
      <c r="C152" s="66">
        <f t="shared" si="2"/>
        <v>4.5450439260146247E-3</v>
      </c>
      <c r="D152" s="66">
        <f>(Table1[[#This Row],[Index]]-B140)/B140</f>
        <v>0.12213586395524607</v>
      </c>
    </row>
    <row r="153" spans="1:4" x14ac:dyDescent="0.35">
      <c r="A153" s="17">
        <v>30742</v>
      </c>
      <c r="B153" s="58">
        <f>VLOOKUP(Table1[[#This Row],[Date]],database!A:B,2,)</f>
        <v>53.631399999999999</v>
      </c>
      <c r="C153" s="66">
        <f t="shared" si="2"/>
        <v>4.7792746968222666E-3</v>
      </c>
      <c r="D153" s="66">
        <f>(Table1[[#This Row],[Index]]-B141)/B141</f>
        <v>0.11825504223319903</v>
      </c>
    </row>
    <row r="154" spans="1:4" x14ac:dyDescent="0.35">
      <c r="A154" s="17">
        <v>30773</v>
      </c>
      <c r="B154" s="58">
        <f>VLOOKUP(Table1[[#This Row],[Date]],database!A:B,2,)</f>
        <v>53.949100000000001</v>
      </c>
      <c r="C154" s="66">
        <f t="shared" si="2"/>
        <v>5.9237685385800098E-3</v>
      </c>
      <c r="D154" s="66">
        <f>(Table1[[#This Row],[Index]]-B142)/B142</f>
        <v>0.11106053990823053</v>
      </c>
    </row>
    <row r="155" spans="1:4" x14ac:dyDescent="0.35">
      <c r="A155" s="17">
        <v>30803</v>
      </c>
      <c r="B155" s="58">
        <f>VLOOKUP(Table1[[#This Row],[Date]],database!A:B,2,)</f>
        <v>54.239600000000003</v>
      </c>
      <c r="C155" s="66">
        <f t="shared" si="2"/>
        <v>5.3847052128765949E-3</v>
      </c>
      <c r="D155" s="66">
        <f>(Table1[[#This Row],[Index]]-B143)/B143</f>
        <v>0.10999555916643311</v>
      </c>
    </row>
    <row r="156" spans="1:4" x14ac:dyDescent="0.35">
      <c r="A156" s="17">
        <v>30834</v>
      </c>
      <c r="B156" s="58">
        <f>VLOOKUP(Table1[[#This Row],[Date]],database!A:B,2,)</f>
        <v>54.428800000000003</v>
      </c>
      <c r="C156" s="66">
        <f t="shared" si="2"/>
        <v>3.4882263143534153E-3</v>
      </c>
      <c r="D156" s="66">
        <f>(Table1[[#This Row],[Index]]-B144)/B144</f>
        <v>0.10727116637304251</v>
      </c>
    </row>
    <row r="157" spans="1:4" x14ac:dyDescent="0.35">
      <c r="A157" s="17">
        <v>30864</v>
      </c>
      <c r="B157" s="58">
        <f>VLOOKUP(Table1[[#This Row],[Date]],database!A:B,2,)</f>
        <v>54.586500000000001</v>
      </c>
      <c r="C157" s="66">
        <f t="shared" si="2"/>
        <v>2.8973631606796779E-3</v>
      </c>
      <c r="D157" s="66">
        <f>(Table1[[#This Row],[Index]]-B145)/B145</f>
        <v>9.4196318501903242E-2</v>
      </c>
    </row>
    <row r="158" spans="1:4" x14ac:dyDescent="0.35">
      <c r="A158" s="17">
        <v>30895</v>
      </c>
      <c r="B158" s="58">
        <f>VLOOKUP(Table1[[#This Row],[Date]],database!A:B,2,)</f>
        <v>54.652999999999999</v>
      </c>
      <c r="C158" s="66">
        <f t="shared" si="2"/>
        <v>1.218249933591542E-3</v>
      </c>
      <c r="D158" s="66">
        <f>(Table1[[#This Row],[Index]]-B146)/B146</f>
        <v>8.2574186430236757E-2</v>
      </c>
    </row>
    <row r="159" spans="1:4" x14ac:dyDescent="0.35">
      <c r="A159" s="17">
        <v>30926</v>
      </c>
      <c r="B159" s="58">
        <f>VLOOKUP(Table1[[#This Row],[Date]],database!A:B,2,)</f>
        <v>54.494900000000001</v>
      </c>
      <c r="C159" s="66">
        <f t="shared" si="2"/>
        <v>-2.8927963698240911E-3</v>
      </c>
      <c r="D159" s="66">
        <f>(Table1[[#This Row],[Index]]-B147)/B147</f>
        <v>6.4021009059668857E-2</v>
      </c>
    </row>
    <row r="160" spans="1:4" x14ac:dyDescent="0.35">
      <c r="A160" s="17">
        <v>30956</v>
      </c>
      <c r="B160" s="58">
        <f>VLOOKUP(Table1[[#This Row],[Date]],database!A:B,2,)</f>
        <v>54.477200000000003</v>
      </c>
      <c r="C160" s="66">
        <f t="shared" si="2"/>
        <v>-3.2480103642718028E-4</v>
      </c>
      <c r="D160" s="66">
        <f>(Table1[[#This Row],[Index]]-B148)/B148</f>
        <v>5.5475366131991624E-2</v>
      </c>
    </row>
    <row r="161" spans="1:4" x14ac:dyDescent="0.35">
      <c r="A161" s="17">
        <v>30987</v>
      </c>
      <c r="B161" s="58">
        <f>VLOOKUP(Table1[[#This Row],[Date]],database!A:B,2,)</f>
        <v>54.659399999999998</v>
      </c>
      <c r="C161" s="66">
        <f t="shared" si="2"/>
        <v>3.344518440742128E-3</v>
      </c>
      <c r="D161" s="66">
        <f>(Table1[[#This Row],[Index]]-B149)/B149</f>
        <v>5.434589714902973E-2</v>
      </c>
    </row>
    <row r="162" spans="1:4" x14ac:dyDescent="0.35">
      <c r="A162" s="17">
        <v>31017</v>
      </c>
      <c r="B162" s="58">
        <f>VLOOKUP(Table1[[#This Row],[Date]],database!A:B,2,)</f>
        <v>54.6892</v>
      </c>
      <c r="C162" s="66">
        <f t="shared" si="2"/>
        <v>5.4519442218547987E-4</v>
      </c>
      <c r="D162" s="66">
        <f>(Table1[[#This Row],[Index]]-B150)/B150</f>
        <v>4.9801515698303864E-2</v>
      </c>
    </row>
    <row r="163" spans="1:4" x14ac:dyDescent="0.35">
      <c r="A163" s="17">
        <v>31048</v>
      </c>
      <c r="B163" s="58">
        <f>VLOOKUP(Table1[[#This Row],[Date]],database!A:B,2,)</f>
        <v>54.650500000000001</v>
      </c>
      <c r="C163" s="66">
        <f t="shared" si="2"/>
        <v>-7.0763514551319684E-4</v>
      </c>
      <c r="D163" s="66">
        <f>(Table1[[#This Row],[Index]]-B151)/B151</f>
        <v>2.8525561402320185E-2</v>
      </c>
    </row>
    <row r="164" spans="1:4" x14ac:dyDescent="0.35">
      <c r="A164" s="17">
        <v>31079</v>
      </c>
      <c r="B164" s="58">
        <f>VLOOKUP(Table1[[#This Row],[Date]],database!A:B,2,)</f>
        <v>54.816899999999997</v>
      </c>
      <c r="C164" s="66">
        <f t="shared" si="2"/>
        <v>3.0448028837795071E-3</v>
      </c>
      <c r="D164" s="66">
        <f>(Table1[[#This Row],[Index]]-B152)/B152</f>
        <v>2.6989506578762416E-2</v>
      </c>
    </row>
    <row r="165" spans="1:4" x14ac:dyDescent="0.35">
      <c r="A165" s="17">
        <v>31107</v>
      </c>
      <c r="B165" s="58">
        <f>VLOOKUP(Table1[[#This Row],[Date]],database!A:B,2,)</f>
        <v>54.897799999999997</v>
      </c>
      <c r="C165" s="66">
        <f t="shared" si="2"/>
        <v>1.475822237302804E-3</v>
      </c>
      <c r="D165" s="66">
        <f>(Table1[[#This Row],[Index]]-B153)/B153</f>
        <v>2.3613032663700694E-2</v>
      </c>
    </row>
    <row r="166" spans="1:4" x14ac:dyDescent="0.35">
      <c r="A166" s="17">
        <v>31138</v>
      </c>
      <c r="B166" s="58">
        <f>VLOOKUP(Table1[[#This Row],[Date]],database!A:B,2,)</f>
        <v>54.783299999999997</v>
      </c>
      <c r="C166" s="66">
        <f t="shared" si="2"/>
        <v>-2.0856937800786124E-3</v>
      </c>
      <c r="D166" s="66">
        <f>(Table1[[#This Row],[Index]]-B154)/B154</f>
        <v>1.5462723196494391E-2</v>
      </c>
    </row>
    <row r="167" spans="1:4" x14ac:dyDescent="0.35">
      <c r="A167" s="17">
        <v>31168</v>
      </c>
      <c r="B167" s="58">
        <f>VLOOKUP(Table1[[#This Row],[Date]],database!A:B,2,)</f>
        <v>54.870399999999997</v>
      </c>
      <c r="C167" s="66">
        <f t="shared" si="2"/>
        <v>1.5899005718895687E-3</v>
      </c>
      <c r="D167" s="66">
        <f>(Table1[[#This Row],[Index]]-B155)/B155</f>
        <v>1.1629879276395725E-2</v>
      </c>
    </row>
    <row r="168" spans="1:4" x14ac:dyDescent="0.35">
      <c r="A168" s="17">
        <v>31199</v>
      </c>
      <c r="B168" s="58">
        <f>VLOOKUP(Table1[[#This Row],[Date]],database!A:B,2,)</f>
        <v>54.8401</v>
      </c>
      <c r="C168" s="66">
        <f t="shared" si="2"/>
        <v>-5.5221029917762454E-4</v>
      </c>
      <c r="D168" s="66">
        <f>(Table1[[#This Row],[Index]]-B156)/B156</f>
        <v>7.5566611793755709E-3</v>
      </c>
    </row>
    <row r="169" spans="1:4" x14ac:dyDescent="0.35">
      <c r="A169" s="17">
        <v>31229</v>
      </c>
      <c r="B169" s="58">
        <f>VLOOKUP(Table1[[#This Row],[Date]],database!A:B,2,)</f>
        <v>54.558199999999999</v>
      </c>
      <c r="C169" s="66">
        <f t="shared" si="2"/>
        <v>-5.1403990875290573E-3</v>
      </c>
      <c r="D169" s="66">
        <f>(Table1[[#This Row],[Index]]-B157)/B157</f>
        <v>-5.184432048217333E-4</v>
      </c>
    </row>
    <row r="170" spans="1:4" x14ac:dyDescent="0.35">
      <c r="A170" s="17">
        <v>31260</v>
      </c>
      <c r="B170" s="58">
        <f>VLOOKUP(Table1[[#This Row],[Date]],database!A:B,2,)</f>
        <v>54.738100000000003</v>
      </c>
      <c r="C170" s="66">
        <f t="shared" si="2"/>
        <v>3.2973961750937253E-3</v>
      </c>
      <c r="D170" s="66">
        <f>(Table1[[#This Row],[Index]]-B158)/B158</f>
        <v>1.5570965912210524E-3</v>
      </c>
    </row>
    <row r="171" spans="1:4" x14ac:dyDescent="0.35">
      <c r="A171" s="17">
        <v>31291</v>
      </c>
      <c r="B171" s="58">
        <f>VLOOKUP(Table1[[#This Row],[Date]],database!A:B,2,)</f>
        <v>54.941600000000001</v>
      </c>
      <c r="C171" s="66">
        <f t="shared" si="2"/>
        <v>3.7177030258630506E-3</v>
      </c>
      <c r="D171" s="66">
        <f>(Table1[[#This Row],[Index]]-B159)/B159</f>
        <v>8.1970973430541185E-3</v>
      </c>
    </row>
    <row r="172" spans="1:4" x14ac:dyDescent="0.35">
      <c r="A172" s="17">
        <v>31321</v>
      </c>
      <c r="B172" s="58">
        <f>VLOOKUP(Table1[[#This Row],[Date]],database!A:B,2,)</f>
        <v>54.753799999999998</v>
      </c>
      <c r="C172" s="66">
        <f t="shared" si="2"/>
        <v>-3.4181749348399793E-3</v>
      </c>
      <c r="D172" s="66">
        <f>(Table1[[#This Row],[Index]]-B160)/B160</f>
        <v>5.07735346163156E-3</v>
      </c>
    </row>
    <row r="173" spans="1:4" x14ac:dyDescent="0.35">
      <c r="A173" s="17">
        <v>31352</v>
      </c>
      <c r="B173" s="58">
        <f>VLOOKUP(Table1[[#This Row],[Date]],database!A:B,2,)</f>
        <v>54.939</v>
      </c>
      <c r="C173" s="66">
        <f t="shared" si="2"/>
        <v>3.382413640697024E-3</v>
      </c>
      <c r="D173" s="66">
        <f>(Table1[[#This Row],[Index]]-B161)/B161</f>
        <v>5.1153141088266995E-3</v>
      </c>
    </row>
    <row r="174" spans="1:4" x14ac:dyDescent="0.35">
      <c r="A174" s="17">
        <v>31382</v>
      </c>
      <c r="B174" s="58">
        <f>VLOOKUP(Table1[[#This Row],[Date]],database!A:B,2,)</f>
        <v>55.494500000000002</v>
      </c>
      <c r="C174" s="66">
        <f t="shared" si="2"/>
        <v>1.0111214255811074E-2</v>
      </c>
      <c r="D174" s="66">
        <f>(Table1[[#This Row],[Index]]-B162)/B162</f>
        <v>1.4725027976273241E-2</v>
      </c>
    </row>
    <row r="175" spans="1:4" x14ac:dyDescent="0.35">
      <c r="A175" s="17">
        <v>31413</v>
      </c>
      <c r="B175" s="58">
        <f>VLOOKUP(Table1[[#This Row],[Date]],database!A:B,2,)</f>
        <v>55.780200000000001</v>
      </c>
      <c r="C175" s="66">
        <f t="shared" si="2"/>
        <v>5.1482579354711344E-3</v>
      </c>
      <c r="D175" s="66">
        <f>(Table1[[#This Row],[Index]]-B163)/B163</f>
        <v>2.0671357078160302E-2</v>
      </c>
    </row>
    <row r="176" spans="1:4" x14ac:dyDescent="0.35">
      <c r="A176" s="17">
        <v>31444</v>
      </c>
      <c r="B176" s="58">
        <f>VLOOKUP(Table1[[#This Row],[Date]],database!A:B,2,)</f>
        <v>55.3994</v>
      </c>
      <c r="C176" s="66">
        <f t="shared" si="2"/>
        <v>-6.8267951710463404E-3</v>
      </c>
      <c r="D176" s="66">
        <f>(Table1[[#This Row],[Index]]-B164)/B164</f>
        <v>1.0626284959565448E-2</v>
      </c>
    </row>
    <row r="177" spans="1:4" x14ac:dyDescent="0.35">
      <c r="A177" s="17">
        <v>31472</v>
      </c>
      <c r="B177" s="58">
        <f>VLOOKUP(Table1[[#This Row],[Date]],database!A:B,2,)</f>
        <v>55.000100000000003</v>
      </c>
      <c r="C177" s="66">
        <f t="shared" si="2"/>
        <v>-7.207659288728685E-3</v>
      </c>
      <c r="D177" s="66">
        <f>(Table1[[#This Row],[Index]]-B165)/B165</f>
        <v>1.8634626524197094E-3</v>
      </c>
    </row>
    <row r="178" spans="1:4" x14ac:dyDescent="0.35">
      <c r="A178" s="17">
        <v>31503</v>
      </c>
      <c r="B178" s="58">
        <f>VLOOKUP(Table1[[#This Row],[Date]],database!A:B,2,)</f>
        <v>55.064100000000003</v>
      </c>
      <c r="C178" s="66">
        <f t="shared" si="2"/>
        <v>1.1636342479377504E-3</v>
      </c>
      <c r="D178" s="66">
        <f>(Table1[[#This Row],[Index]]-B166)/B166</f>
        <v>5.1256496048979593E-3</v>
      </c>
    </row>
    <row r="179" spans="1:4" x14ac:dyDescent="0.35">
      <c r="A179" s="17">
        <v>31533</v>
      </c>
      <c r="B179" s="58">
        <f>VLOOKUP(Table1[[#This Row],[Date]],database!A:B,2,)</f>
        <v>55.170499999999997</v>
      </c>
      <c r="C179" s="66">
        <f t="shared" si="2"/>
        <v>1.9322934543557491E-3</v>
      </c>
      <c r="D179" s="66">
        <f>(Table1[[#This Row],[Index]]-B167)/B167</f>
        <v>5.4692511809646092E-3</v>
      </c>
    </row>
    <row r="180" spans="1:4" x14ac:dyDescent="0.35">
      <c r="A180" s="17">
        <v>31564</v>
      </c>
      <c r="B180" s="58">
        <f>VLOOKUP(Table1[[#This Row],[Date]],database!A:B,2,)</f>
        <v>54.958799999999997</v>
      </c>
      <c r="C180" s="66">
        <f t="shared" si="2"/>
        <v>-3.837195602722443E-3</v>
      </c>
      <c r="D180" s="66">
        <f>(Table1[[#This Row],[Index]]-B168)/B168</f>
        <v>2.1644745359690612E-3</v>
      </c>
    </row>
    <row r="181" spans="1:4" x14ac:dyDescent="0.35">
      <c r="A181" s="17">
        <v>31594</v>
      </c>
      <c r="B181" s="58">
        <f>VLOOKUP(Table1[[#This Row],[Date]],database!A:B,2,)</f>
        <v>55.294400000000003</v>
      </c>
      <c r="C181" s="66">
        <f t="shared" si="2"/>
        <v>6.1063924248712098E-3</v>
      </c>
      <c r="D181" s="66">
        <f>(Table1[[#This Row],[Index]]-B169)/B169</f>
        <v>1.349384693776561E-2</v>
      </c>
    </row>
    <row r="182" spans="1:4" x14ac:dyDescent="0.35">
      <c r="A182" s="17">
        <v>31625</v>
      </c>
      <c r="B182" s="58">
        <f>VLOOKUP(Table1[[#This Row],[Date]],database!A:B,2,)</f>
        <v>55.2029</v>
      </c>
      <c r="C182" s="66">
        <f t="shared" si="2"/>
        <v>-1.6547787841083572E-3</v>
      </c>
      <c r="D182" s="66">
        <f>(Table1[[#This Row],[Index]]-B170)/B170</f>
        <v>8.4913433239370163E-3</v>
      </c>
    </row>
    <row r="183" spans="1:4" x14ac:dyDescent="0.35">
      <c r="A183" s="17">
        <v>31656</v>
      </c>
      <c r="B183" s="58">
        <f>VLOOKUP(Table1[[#This Row],[Date]],database!A:B,2,)</f>
        <v>55.351100000000002</v>
      </c>
      <c r="C183" s="66">
        <f t="shared" si="2"/>
        <v>2.6846415677437285E-3</v>
      </c>
      <c r="D183" s="66">
        <f>(Table1[[#This Row],[Index]]-B171)/B171</f>
        <v>7.4533686678218561E-3</v>
      </c>
    </row>
    <row r="184" spans="1:4" x14ac:dyDescent="0.35">
      <c r="A184" s="17">
        <v>31686</v>
      </c>
      <c r="B184" s="58">
        <f>VLOOKUP(Table1[[#This Row],[Date]],database!A:B,2,)</f>
        <v>55.585700000000003</v>
      </c>
      <c r="C184" s="66">
        <f t="shared" si="2"/>
        <v>4.2383981528821835E-3</v>
      </c>
      <c r="D184" s="66">
        <f>(Table1[[#This Row],[Index]]-B172)/B172</f>
        <v>1.5193466024276023E-2</v>
      </c>
    </row>
    <row r="185" spans="1:4" x14ac:dyDescent="0.35">
      <c r="A185" s="17">
        <v>31717</v>
      </c>
      <c r="B185" s="58">
        <f>VLOOKUP(Table1[[#This Row],[Date]],database!A:B,2,)</f>
        <v>55.802999999999997</v>
      </c>
      <c r="C185" s="66">
        <f t="shared" si="2"/>
        <v>3.9092788253092259E-3</v>
      </c>
      <c r="D185" s="66">
        <f>(Table1[[#This Row],[Index]]-B173)/B173</f>
        <v>1.5726533063943594E-2</v>
      </c>
    </row>
    <row r="186" spans="1:4" x14ac:dyDescent="0.35">
      <c r="A186" s="17">
        <v>31747</v>
      </c>
      <c r="B186" s="58">
        <f>VLOOKUP(Table1[[#This Row],[Date]],database!A:B,2,)</f>
        <v>56.344099999999997</v>
      </c>
      <c r="C186" s="66">
        <f t="shared" si="2"/>
        <v>9.696611293299684E-3</v>
      </c>
      <c r="D186" s="66">
        <f>(Table1[[#This Row],[Index]]-B174)/B174</f>
        <v>1.5309625278180635E-2</v>
      </c>
    </row>
    <row r="187" spans="1:4" x14ac:dyDescent="0.35">
      <c r="A187" s="17">
        <v>31778</v>
      </c>
      <c r="B187" s="58">
        <f>VLOOKUP(Table1[[#This Row],[Date]],database!A:B,2,)</f>
        <v>56.125900000000001</v>
      </c>
      <c r="C187" s="66">
        <f t="shared" si="2"/>
        <v>-3.8726326270185352E-3</v>
      </c>
      <c r="D187" s="66">
        <f>(Table1[[#This Row],[Index]]-B175)/B175</f>
        <v>6.1975396287571715E-3</v>
      </c>
    </row>
    <row r="188" spans="1:4" x14ac:dyDescent="0.35">
      <c r="A188" s="17">
        <v>31809</v>
      </c>
      <c r="B188" s="58">
        <f>VLOOKUP(Table1[[#This Row],[Date]],database!A:B,2,)</f>
        <v>56.877899999999997</v>
      </c>
      <c r="C188" s="66">
        <f t="shared" si="2"/>
        <v>1.3398448844472721E-2</v>
      </c>
      <c r="D188" s="66">
        <f>(Table1[[#This Row],[Index]]-B176)/B176</f>
        <v>2.6688014671638987E-2</v>
      </c>
    </row>
    <row r="189" spans="1:4" x14ac:dyDescent="0.35">
      <c r="A189" s="17">
        <v>31837</v>
      </c>
      <c r="B189" s="58">
        <f>VLOOKUP(Table1[[#This Row],[Date]],database!A:B,2,)</f>
        <v>56.951599999999999</v>
      </c>
      <c r="C189" s="66">
        <f t="shared" si="2"/>
        <v>1.2957581063999246E-3</v>
      </c>
      <c r="D189" s="66">
        <f>(Table1[[#This Row],[Index]]-B177)/B177</f>
        <v>3.5481753669538707E-2</v>
      </c>
    </row>
    <row r="190" spans="1:4" x14ac:dyDescent="0.35">
      <c r="A190" s="17">
        <v>31868</v>
      </c>
      <c r="B190" s="58">
        <f>VLOOKUP(Table1[[#This Row],[Date]],database!A:B,2,)</f>
        <v>57.317700000000002</v>
      </c>
      <c r="C190" s="66">
        <f t="shared" si="2"/>
        <v>6.4282654043081866E-3</v>
      </c>
      <c r="D190" s="66">
        <f>(Table1[[#This Row],[Index]]-B178)/B178</f>
        <v>4.0926847074591224E-2</v>
      </c>
    </row>
    <row r="191" spans="1:4" x14ac:dyDescent="0.35">
      <c r="A191" s="17">
        <v>31898</v>
      </c>
      <c r="B191" s="58">
        <f>VLOOKUP(Table1[[#This Row],[Date]],database!A:B,2,)</f>
        <v>57.677399999999999</v>
      </c>
      <c r="C191" s="66">
        <f t="shared" si="2"/>
        <v>6.2755483908112364E-3</v>
      </c>
      <c r="D191" s="66">
        <f>(Table1[[#This Row],[Index]]-B179)/B179</f>
        <v>4.5439138670122656E-2</v>
      </c>
    </row>
    <row r="192" spans="1:4" x14ac:dyDescent="0.35">
      <c r="A192" s="17">
        <v>31929</v>
      </c>
      <c r="B192" s="58">
        <f>VLOOKUP(Table1[[#This Row],[Date]],database!A:B,2,)</f>
        <v>57.987499999999997</v>
      </c>
      <c r="C192" s="66">
        <f t="shared" si="2"/>
        <v>5.3764559428823855E-3</v>
      </c>
      <c r="D192" s="66">
        <f>(Table1[[#This Row],[Index]]-B180)/B180</f>
        <v>5.5108554044120336E-2</v>
      </c>
    </row>
    <row r="193" spans="1:4" x14ac:dyDescent="0.35">
      <c r="A193" s="17">
        <v>31959</v>
      </c>
      <c r="B193" s="58">
        <f>VLOOKUP(Table1[[#This Row],[Date]],database!A:B,2,)</f>
        <v>58.378999999999998</v>
      </c>
      <c r="C193" s="66">
        <f t="shared" si="2"/>
        <v>6.7514550549687691E-3</v>
      </c>
      <c r="D193" s="66">
        <f>(Table1[[#This Row],[Index]]-B181)/B181</f>
        <v>5.5785034289186512E-2</v>
      </c>
    </row>
    <row r="194" spans="1:4" x14ac:dyDescent="0.35">
      <c r="A194" s="17">
        <v>31990</v>
      </c>
      <c r="B194" s="58">
        <f>VLOOKUP(Table1[[#This Row],[Date]],database!A:B,2,)</f>
        <v>58.817100000000003</v>
      </c>
      <c r="C194" s="66">
        <f t="shared" si="2"/>
        <v>7.5044108326625114E-3</v>
      </c>
      <c r="D194" s="66">
        <f>(Table1[[#This Row],[Index]]-B182)/B182</f>
        <v>6.5471198071115899E-2</v>
      </c>
    </row>
    <row r="195" spans="1:4" x14ac:dyDescent="0.35">
      <c r="A195" s="17">
        <v>32021</v>
      </c>
      <c r="B195" s="58">
        <f>VLOOKUP(Table1[[#This Row],[Date]],database!A:B,2,)</f>
        <v>59.039099999999998</v>
      </c>
      <c r="C195" s="66">
        <f t="shared" si="2"/>
        <v>3.774412543290806E-3</v>
      </c>
      <c r="D195" s="66">
        <f>(Table1[[#This Row],[Index]]-B183)/B183</f>
        <v>6.6629208814278224E-2</v>
      </c>
    </row>
    <row r="196" spans="1:4" x14ac:dyDescent="0.35">
      <c r="A196" s="17">
        <v>32051</v>
      </c>
      <c r="B196" s="58">
        <f>VLOOKUP(Table1[[#This Row],[Date]],database!A:B,2,)</f>
        <v>59.834000000000003</v>
      </c>
      <c r="C196" s="66">
        <f t="shared" si="2"/>
        <v>1.346395863080585E-2</v>
      </c>
      <c r="D196" s="66">
        <f>(Table1[[#This Row],[Index]]-B184)/B184</f>
        <v>7.6427930205070729E-2</v>
      </c>
    </row>
    <row r="197" spans="1:4" x14ac:dyDescent="0.35">
      <c r="A197" s="17">
        <v>32082</v>
      </c>
      <c r="B197" s="58">
        <f>VLOOKUP(Table1[[#This Row],[Date]],database!A:B,2,)</f>
        <v>60.136699999999998</v>
      </c>
      <c r="C197" s="66">
        <f t="shared" si="2"/>
        <v>5.0589965571412598E-3</v>
      </c>
      <c r="D197" s="66">
        <f>(Table1[[#This Row],[Index]]-B185)/B185</f>
        <v>7.766069924556028E-2</v>
      </c>
    </row>
    <row r="198" spans="1:4" x14ac:dyDescent="0.35">
      <c r="A198" s="17">
        <v>32112</v>
      </c>
      <c r="B198" s="58">
        <f>VLOOKUP(Table1[[#This Row],[Date]],database!A:B,2,)</f>
        <v>60.4739</v>
      </c>
      <c r="C198" s="66">
        <f t="shared" si="2"/>
        <v>5.6072248726650731E-3</v>
      </c>
      <c r="D198" s="66">
        <f>(Table1[[#This Row],[Index]]-B186)/B186</f>
        <v>7.3296050518155464E-2</v>
      </c>
    </row>
    <row r="199" spans="1:4" x14ac:dyDescent="0.35">
      <c r="A199" s="17">
        <v>32143</v>
      </c>
      <c r="B199" s="58">
        <f>VLOOKUP(Table1[[#This Row],[Date]],database!A:B,2,)</f>
        <v>60.459400000000002</v>
      </c>
      <c r="C199" s="66">
        <f t="shared" si="2"/>
        <v>-2.3977286068865844E-4</v>
      </c>
      <c r="D199" s="66">
        <f>(Table1[[#This Row],[Index]]-B187)/B187</f>
        <v>7.7210343174897875E-2</v>
      </c>
    </row>
    <row r="200" spans="1:4" x14ac:dyDescent="0.35">
      <c r="A200" s="17">
        <v>32174</v>
      </c>
      <c r="B200" s="58">
        <f>VLOOKUP(Table1[[#This Row],[Date]],database!A:B,2,)</f>
        <v>60.764299999999999</v>
      </c>
      <c r="C200" s="66">
        <f t="shared" ref="C200:C263" si="3">B200/B199-1</f>
        <v>5.043053685613863E-3</v>
      </c>
      <c r="D200" s="66">
        <f>(Table1[[#This Row],[Index]]-B188)/B188</f>
        <v>6.8328823673166589E-2</v>
      </c>
    </row>
    <row r="201" spans="1:4" x14ac:dyDescent="0.35">
      <c r="A201" s="17">
        <v>32203</v>
      </c>
      <c r="B201" s="58">
        <f>VLOOKUP(Table1[[#This Row],[Date]],database!A:B,2,)</f>
        <v>60.894799999999996</v>
      </c>
      <c r="C201" s="66">
        <f t="shared" si="3"/>
        <v>2.1476426125208725E-3</v>
      </c>
      <c r="D201" s="66">
        <f>(Table1[[#This Row],[Index]]-B189)/B189</f>
        <v>6.9237738711467239E-2</v>
      </c>
    </row>
    <row r="202" spans="1:4" x14ac:dyDescent="0.35">
      <c r="A202" s="17">
        <v>32234</v>
      </c>
      <c r="B202" s="58">
        <f>VLOOKUP(Table1[[#This Row],[Date]],database!A:B,2,)</f>
        <v>61.247500000000002</v>
      </c>
      <c r="C202" s="66">
        <f t="shared" si="3"/>
        <v>5.791955963399209E-3</v>
      </c>
      <c r="D202" s="66">
        <f>(Table1[[#This Row],[Index]]-B190)/B190</f>
        <v>6.8561718282485168E-2</v>
      </c>
    </row>
    <row r="203" spans="1:4" x14ac:dyDescent="0.35">
      <c r="A203" s="17">
        <v>32264</v>
      </c>
      <c r="B203" s="58">
        <f>VLOOKUP(Table1[[#This Row],[Date]],database!A:B,2,)</f>
        <v>61.135300000000001</v>
      </c>
      <c r="C203" s="66">
        <f t="shared" si="3"/>
        <v>-1.831911506592121E-3</v>
      </c>
      <c r="D203" s="66">
        <f>(Table1[[#This Row],[Index]]-B191)/B191</f>
        <v>5.9952425039963703E-2</v>
      </c>
    </row>
    <row r="204" spans="1:4" x14ac:dyDescent="0.35">
      <c r="A204" s="17">
        <v>32295</v>
      </c>
      <c r="B204" s="58">
        <f>VLOOKUP(Table1[[#This Row],[Date]],database!A:B,2,)</f>
        <v>61.299500000000002</v>
      </c>
      <c r="C204" s="66">
        <f t="shared" si="3"/>
        <v>2.6858459842349358E-3</v>
      </c>
      <c r="D204" s="66">
        <f>(Table1[[#This Row],[Index]]-B192)/B192</f>
        <v>5.7115757706402329E-2</v>
      </c>
    </row>
    <row r="205" spans="1:4" x14ac:dyDescent="0.35">
      <c r="A205" s="17">
        <v>32325</v>
      </c>
      <c r="B205" s="58">
        <f>VLOOKUP(Table1[[#This Row],[Date]],database!A:B,2,)</f>
        <v>61.311</v>
      </c>
      <c r="C205" s="66">
        <f t="shared" si="3"/>
        <v>1.8760348779345293E-4</v>
      </c>
      <c r="D205" s="66">
        <f>(Table1[[#This Row],[Index]]-B193)/B193</f>
        <v>5.0223539286387266E-2</v>
      </c>
    </row>
    <row r="206" spans="1:4" x14ac:dyDescent="0.35">
      <c r="A206" s="17">
        <v>32356</v>
      </c>
      <c r="B206" s="58">
        <f>VLOOKUP(Table1[[#This Row],[Date]],database!A:B,2,)</f>
        <v>61.623399999999997</v>
      </c>
      <c r="C206" s="66">
        <f t="shared" si="3"/>
        <v>5.0953336269183858E-3</v>
      </c>
      <c r="D206" s="66">
        <f>(Table1[[#This Row],[Index]]-B194)/B194</f>
        <v>4.7712314956024571E-2</v>
      </c>
    </row>
    <row r="207" spans="1:4" x14ac:dyDescent="0.35">
      <c r="A207" s="17">
        <v>32387</v>
      </c>
      <c r="B207" s="58">
        <f>VLOOKUP(Table1[[#This Row],[Date]],database!A:B,2,)</f>
        <v>61.4255</v>
      </c>
      <c r="C207" s="66">
        <f t="shared" si="3"/>
        <v>-3.2114424066181924E-3</v>
      </c>
      <c r="D207" s="66">
        <f>(Table1[[#This Row],[Index]]-B195)/B195</f>
        <v>4.0420670369297668E-2</v>
      </c>
    </row>
    <row r="208" spans="1:4" x14ac:dyDescent="0.35">
      <c r="A208" s="17">
        <v>32417</v>
      </c>
      <c r="B208" s="58">
        <f>VLOOKUP(Table1[[#This Row],[Date]],database!A:B,2,)</f>
        <v>61.694000000000003</v>
      </c>
      <c r="C208" s="66">
        <f t="shared" si="3"/>
        <v>4.3711487899977808E-3</v>
      </c>
      <c r="D208" s="66">
        <f>(Table1[[#This Row],[Index]]-B196)/B196</f>
        <v>3.1086004612761963E-2</v>
      </c>
    </row>
    <row r="209" spans="1:4" x14ac:dyDescent="0.35">
      <c r="A209" s="17">
        <v>32448</v>
      </c>
      <c r="B209" s="58">
        <f>VLOOKUP(Table1[[#This Row],[Date]],database!A:B,2,)</f>
        <v>61.849400000000003</v>
      </c>
      <c r="C209" s="66">
        <f t="shared" si="3"/>
        <v>2.5188835218983296E-3</v>
      </c>
      <c r="D209" s="66">
        <f>(Table1[[#This Row],[Index]]-B197)/B197</f>
        <v>2.848011280964877E-2</v>
      </c>
    </row>
    <row r="210" spans="1:4" x14ac:dyDescent="0.35">
      <c r="A210" s="17">
        <v>32478</v>
      </c>
      <c r="B210" s="58">
        <f>VLOOKUP(Table1[[#This Row],[Date]],database!A:B,2,)</f>
        <v>62.117100000000001</v>
      </c>
      <c r="C210" s="66">
        <f t="shared" si="3"/>
        <v>4.3282554074897117E-3</v>
      </c>
      <c r="D210" s="66">
        <f>(Table1[[#This Row],[Index]]-B198)/B198</f>
        <v>2.7172052736800508E-2</v>
      </c>
    </row>
    <row r="211" spans="1:4" x14ac:dyDescent="0.35">
      <c r="A211" s="17">
        <v>32509</v>
      </c>
      <c r="B211" s="58">
        <f>VLOOKUP(Table1[[#This Row],[Date]],database!A:B,2,)</f>
        <v>62.310299999999998</v>
      </c>
      <c r="C211" s="66">
        <f t="shared" si="3"/>
        <v>3.1102546641745832E-3</v>
      </c>
      <c r="D211" s="66">
        <f>(Table1[[#This Row],[Index]]-B199)/B199</f>
        <v>3.0613932655633298E-2</v>
      </c>
    </row>
    <row r="212" spans="1:4" x14ac:dyDescent="0.35">
      <c r="A212" s="17">
        <v>32540</v>
      </c>
      <c r="B212" s="58">
        <f>VLOOKUP(Table1[[#This Row],[Date]],database!A:B,2,)</f>
        <v>62.035299999999999</v>
      </c>
      <c r="C212" s="66">
        <f t="shared" si="3"/>
        <v>-4.4133955381373546E-3</v>
      </c>
      <c r="D212" s="66">
        <f>(Table1[[#This Row],[Index]]-B200)/B200</f>
        <v>2.0916887053747033E-2</v>
      </c>
    </row>
    <row r="213" spans="1:4" x14ac:dyDescent="0.35">
      <c r="A213" s="17">
        <v>32568</v>
      </c>
      <c r="B213" s="58">
        <f>VLOOKUP(Table1[[#This Row],[Date]],database!A:B,2,)</f>
        <v>62.195</v>
      </c>
      <c r="C213" s="66">
        <f t="shared" si="3"/>
        <v>2.5743407382570194E-3</v>
      </c>
      <c r="D213" s="66">
        <f>(Table1[[#This Row],[Index]]-B201)/B201</f>
        <v>2.1351576817725058E-2</v>
      </c>
    </row>
    <row r="214" spans="1:4" x14ac:dyDescent="0.35">
      <c r="A214" s="17">
        <v>32599</v>
      </c>
      <c r="B214" s="58">
        <f>VLOOKUP(Table1[[#This Row],[Date]],database!A:B,2,)</f>
        <v>62.1753</v>
      </c>
      <c r="C214" s="66">
        <f t="shared" si="3"/>
        <v>-3.1674571910922378E-4</v>
      </c>
      <c r="D214" s="66">
        <f>(Table1[[#This Row],[Index]]-B202)/B202</f>
        <v>1.5148373402996003E-2</v>
      </c>
    </row>
    <row r="215" spans="1:4" x14ac:dyDescent="0.35">
      <c r="A215" s="17">
        <v>32629</v>
      </c>
      <c r="B215" s="58">
        <f>VLOOKUP(Table1[[#This Row],[Date]],database!A:B,2,)</f>
        <v>61.832099999999997</v>
      </c>
      <c r="C215" s="66">
        <f t="shared" si="3"/>
        <v>-5.5198768642853446E-3</v>
      </c>
      <c r="D215" s="66">
        <f>(Table1[[#This Row],[Index]]-B203)/B203</f>
        <v>1.1397670413001916E-2</v>
      </c>
    </row>
    <row r="216" spans="1:4" x14ac:dyDescent="0.35">
      <c r="A216" s="17">
        <v>32660</v>
      </c>
      <c r="B216" s="58">
        <f>VLOOKUP(Table1[[#This Row],[Date]],database!A:B,2,)</f>
        <v>61.824599999999997</v>
      </c>
      <c r="C216" s="66">
        <f t="shared" si="3"/>
        <v>-1.2129621992462702E-4</v>
      </c>
      <c r="D216" s="66">
        <f>(Table1[[#This Row],[Index]]-B204)/B204</f>
        <v>8.5661383861205202E-3</v>
      </c>
    </row>
    <row r="217" spans="1:4" x14ac:dyDescent="0.35">
      <c r="A217" s="17">
        <v>32690</v>
      </c>
      <c r="B217" s="58">
        <f>VLOOKUP(Table1[[#This Row],[Date]],database!A:B,2,)</f>
        <v>61.228499999999997</v>
      </c>
      <c r="C217" s="66">
        <f t="shared" si="3"/>
        <v>-9.6417930726604428E-3</v>
      </c>
      <c r="D217" s="66">
        <f>(Table1[[#This Row],[Index]]-B205)/B205</f>
        <v>-1.3455986690806402E-3</v>
      </c>
    </row>
    <row r="218" spans="1:4" x14ac:dyDescent="0.35">
      <c r="A218" s="17">
        <v>32721</v>
      </c>
      <c r="B218" s="58">
        <f>VLOOKUP(Table1[[#This Row],[Date]],database!A:B,2,)</f>
        <v>61.833399999999997</v>
      </c>
      <c r="C218" s="66">
        <f t="shared" si="3"/>
        <v>9.8793862335351257E-3</v>
      </c>
      <c r="D218" s="66">
        <f>(Table1[[#This Row],[Index]]-B206)/B206</f>
        <v>3.4077963890340496E-3</v>
      </c>
    </row>
    <row r="219" spans="1:4" x14ac:dyDescent="0.35">
      <c r="A219" s="17">
        <v>32752</v>
      </c>
      <c r="B219" s="58">
        <f>VLOOKUP(Table1[[#This Row],[Date]],database!A:B,2,)</f>
        <v>61.622100000000003</v>
      </c>
      <c r="C219" s="66">
        <f t="shared" si="3"/>
        <v>-3.4172469894909741E-3</v>
      </c>
      <c r="D219" s="66">
        <f>(Table1[[#This Row],[Index]]-B207)/B207</f>
        <v>3.2006251475365064E-3</v>
      </c>
    </row>
    <row r="220" spans="1:4" x14ac:dyDescent="0.35">
      <c r="A220" s="17">
        <v>32782</v>
      </c>
      <c r="B220" s="58">
        <f>VLOOKUP(Table1[[#This Row],[Date]],database!A:B,2,)</f>
        <v>61.553699999999999</v>
      </c>
      <c r="C220" s="66">
        <f t="shared" si="3"/>
        <v>-1.1099913829617503E-3</v>
      </c>
      <c r="D220" s="66">
        <f>(Table1[[#This Row],[Index]]-B208)/B208</f>
        <v>-2.2741271436444942E-3</v>
      </c>
    </row>
    <row r="221" spans="1:4" x14ac:dyDescent="0.35">
      <c r="A221" s="17">
        <v>32813</v>
      </c>
      <c r="B221" s="58">
        <f>VLOOKUP(Table1[[#This Row],[Date]],database!A:B,2,)</f>
        <v>61.7575</v>
      </c>
      <c r="C221" s="66">
        <f t="shared" si="3"/>
        <v>3.3109301309264261E-3</v>
      </c>
      <c r="D221" s="66">
        <f>(Table1[[#This Row],[Index]]-B209)/B209</f>
        <v>-1.4858672840804038E-3</v>
      </c>
    </row>
    <row r="222" spans="1:4" x14ac:dyDescent="0.35">
      <c r="A222" s="17">
        <v>32843</v>
      </c>
      <c r="B222" s="58">
        <f>VLOOKUP(Table1[[#This Row],[Date]],database!A:B,2,)</f>
        <v>62.1111</v>
      </c>
      <c r="C222" s="66">
        <f t="shared" si="3"/>
        <v>5.7256203699955766E-3</v>
      </c>
      <c r="D222" s="66">
        <f>(Table1[[#This Row],[Index]]-B210)/B210</f>
        <v>-9.659175975697879E-5</v>
      </c>
    </row>
    <row r="223" spans="1:4" x14ac:dyDescent="0.35">
      <c r="A223" s="17">
        <v>32874</v>
      </c>
      <c r="B223" s="58">
        <f>VLOOKUP(Table1[[#This Row],[Date]],database!A:B,2,)</f>
        <v>61.778100000000002</v>
      </c>
      <c r="C223" s="66">
        <f t="shared" si="3"/>
        <v>-5.3613605297603284E-3</v>
      </c>
      <c r="D223" s="66">
        <f>(Table1[[#This Row],[Index]]-B211)/B211</f>
        <v>-8.5411240196242993E-3</v>
      </c>
    </row>
    <row r="224" spans="1:4" x14ac:dyDescent="0.35">
      <c r="A224" s="17">
        <v>32905</v>
      </c>
      <c r="B224" s="58">
        <f>VLOOKUP(Table1[[#This Row],[Date]],database!A:B,2,)</f>
        <v>62.342599999999997</v>
      </c>
      <c r="C224" s="66">
        <f t="shared" si="3"/>
        <v>9.1375422682147267E-3</v>
      </c>
      <c r="D224" s="66">
        <f>(Table1[[#This Row],[Index]]-B212)/B212</f>
        <v>4.9536312389880906E-3</v>
      </c>
    </row>
    <row r="225" spans="1:4" x14ac:dyDescent="0.35">
      <c r="A225" s="17">
        <v>32933</v>
      </c>
      <c r="B225" s="58">
        <f>VLOOKUP(Table1[[#This Row],[Date]],database!A:B,2,)</f>
        <v>62.644599999999997</v>
      </c>
      <c r="C225" s="66">
        <f t="shared" si="3"/>
        <v>4.8441996323540515E-3</v>
      </c>
      <c r="D225" s="66">
        <f>(Table1[[#This Row],[Index]]-B213)/B213</f>
        <v>7.2288769193664549E-3</v>
      </c>
    </row>
    <row r="226" spans="1:4" x14ac:dyDescent="0.35">
      <c r="A226" s="17">
        <v>32964</v>
      </c>
      <c r="B226" s="58">
        <f>VLOOKUP(Table1[[#This Row],[Date]],database!A:B,2,)</f>
        <v>62.510399999999997</v>
      </c>
      <c r="C226" s="66">
        <f t="shared" si="3"/>
        <v>-2.1422437049641863E-3</v>
      </c>
      <c r="D226" s="66">
        <f>(Table1[[#This Row],[Index]]-B214)/B214</f>
        <v>5.3896000501806518E-3</v>
      </c>
    </row>
    <row r="227" spans="1:4" x14ac:dyDescent="0.35">
      <c r="A227" s="17">
        <v>32994</v>
      </c>
      <c r="B227" s="58">
        <f>VLOOKUP(Table1[[#This Row],[Date]],database!A:B,2,)</f>
        <v>62.689799999999998</v>
      </c>
      <c r="C227" s="66">
        <f t="shared" si="3"/>
        <v>2.8699224449051375E-3</v>
      </c>
      <c r="D227" s="66">
        <f>(Table1[[#This Row],[Index]]-B215)/B215</f>
        <v>1.3871435710577536E-2</v>
      </c>
    </row>
    <row r="228" spans="1:4" x14ac:dyDescent="0.35">
      <c r="A228" s="17">
        <v>33025</v>
      </c>
      <c r="B228" s="58">
        <f>VLOOKUP(Table1[[#This Row],[Date]],database!A:B,2,)</f>
        <v>62.892299999999999</v>
      </c>
      <c r="C228" s="66">
        <f t="shared" si="3"/>
        <v>3.2301905573155487E-3</v>
      </c>
      <c r="D228" s="66">
        <f>(Table1[[#This Row],[Index]]-B216)/B216</f>
        <v>1.7269824632913149E-2</v>
      </c>
    </row>
    <row r="229" spans="1:4" x14ac:dyDescent="0.35">
      <c r="A229" s="17">
        <v>33055</v>
      </c>
      <c r="B229" s="58">
        <f>VLOOKUP(Table1[[#This Row],[Date]],database!A:B,2,)</f>
        <v>62.793300000000002</v>
      </c>
      <c r="C229" s="66">
        <f t="shared" si="3"/>
        <v>-1.5741195663061536E-3</v>
      </c>
      <c r="D229" s="66">
        <f>(Table1[[#This Row],[Index]]-B217)/B217</f>
        <v>2.5556726034444831E-2</v>
      </c>
    </row>
    <row r="230" spans="1:4" x14ac:dyDescent="0.35">
      <c r="A230" s="17">
        <v>33086</v>
      </c>
      <c r="B230" s="58">
        <f>VLOOKUP(Table1[[#This Row],[Date]],database!A:B,2,)</f>
        <v>63.024099999999997</v>
      </c>
      <c r="C230" s="66">
        <f t="shared" si="3"/>
        <v>3.6755513725190703E-3</v>
      </c>
      <c r="D230" s="66">
        <f>(Table1[[#This Row],[Index]]-B218)/B218</f>
        <v>1.9256583011770332E-2</v>
      </c>
    </row>
    <row r="231" spans="1:4" x14ac:dyDescent="0.35">
      <c r="A231" s="17">
        <v>33117</v>
      </c>
      <c r="B231" s="58">
        <f>VLOOKUP(Table1[[#This Row],[Date]],database!A:B,2,)</f>
        <v>63.032800000000002</v>
      </c>
      <c r="C231" s="66">
        <f t="shared" si="3"/>
        <v>1.3804243138748618E-4</v>
      </c>
      <c r="D231" s="66">
        <f>(Table1[[#This Row],[Index]]-B219)/B219</f>
        <v>2.2892760876373874E-2</v>
      </c>
    </row>
    <row r="232" spans="1:4" x14ac:dyDescent="0.35">
      <c r="A232" s="17">
        <v>33147</v>
      </c>
      <c r="B232" s="58">
        <f>VLOOKUP(Table1[[#This Row],[Date]],database!A:B,2,)</f>
        <v>62.646599999999999</v>
      </c>
      <c r="C232" s="66">
        <f t="shared" si="3"/>
        <v>-6.126968816235423E-3</v>
      </c>
      <c r="D232" s="66">
        <f>(Table1[[#This Row],[Index]]-B220)/B220</f>
        <v>1.7755228361576968E-2</v>
      </c>
    </row>
    <row r="233" spans="1:4" x14ac:dyDescent="0.35">
      <c r="A233" s="17">
        <v>33178</v>
      </c>
      <c r="B233" s="58">
        <f>VLOOKUP(Table1[[#This Row],[Date]],database!A:B,2,)</f>
        <v>61.868099999999998</v>
      </c>
      <c r="C233" s="66">
        <f t="shared" si="3"/>
        <v>-1.2426851576941123E-2</v>
      </c>
      <c r="D233" s="66">
        <f>(Table1[[#This Row],[Index]]-B221)/B221</f>
        <v>1.7908756021535526E-3</v>
      </c>
    </row>
    <row r="234" spans="1:4" x14ac:dyDescent="0.35">
      <c r="A234" s="17">
        <v>33208</v>
      </c>
      <c r="B234" s="58">
        <f>VLOOKUP(Table1[[#This Row],[Date]],database!A:B,2,)</f>
        <v>61.4345</v>
      </c>
      <c r="C234" s="66">
        <f t="shared" si="3"/>
        <v>-7.0084583169678361E-3</v>
      </c>
      <c r="D234" s="66">
        <f>(Table1[[#This Row],[Index]]-B222)/B222</f>
        <v>-1.0893382986293923E-2</v>
      </c>
    </row>
    <row r="235" spans="1:4" x14ac:dyDescent="0.35">
      <c r="A235" s="17">
        <v>33239</v>
      </c>
      <c r="B235" s="58">
        <f>VLOOKUP(Table1[[#This Row],[Date]],database!A:B,2,)</f>
        <v>61.2241</v>
      </c>
      <c r="C235" s="66">
        <f t="shared" si="3"/>
        <v>-3.4247857474219989E-3</v>
      </c>
      <c r="D235" s="66">
        <f>(Table1[[#This Row],[Index]]-B223)/B223</f>
        <v>-8.9675791259362456E-3</v>
      </c>
    </row>
    <row r="236" spans="1:4" x14ac:dyDescent="0.35">
      <c r="A236" s="17">
        <v>33270</v>
      </c>
      <c r="B236" s="58">
        <f>VLOOKUP(Table1[[#This Row],[Date]],database!A:B,2,)</f>
        <v>60.779000000000003</v>
      </c>
      <c r="C236" s="66">
        <f t="shared" si="3"/>
        <v>-7.2700129524156942E-3</v>
      </c>
      <c r="D236" s="66">
        <f>(Table1[[#This Row],[Index]]-B224)/B224</f>
        <v>-2.5080763394532694E-2</v>
      </c>
    </row>
    <row r="237" spans="1:4" x14ac:dyDescent="0.35">
      <c r="A237" s="17">
        <v>33298</v>
      </c>
      <c r="B237" s="58">
        <f>VLOOKUP(Table1[[#This Row],[Date]],database!A:B,2,)</f>
        <v>60.4377</v>
      </c>
      <c r="C237" s="66">
        <f t="shared" si="3"/>
        <v>-5.6154263808223526E-3</v>
      </c>
      <c r="D237" s="66">
        <f>(Table1[[#This Row],[Index]]-B225)/B225</f>
        <v>-3.5228894429847064E-2</v>
      </c>
    </row>
    <row r="238" spans="1:4" x14ac:dyDescent="0.35">
      <c r="A238" s="17">
        <v>33329</v>
      </c>
      <c r="B238" s="58">
        <f>VLOOKUP(Table1[[#This Row],[Date]],database!A:B,2,)</f>
        <v>60.598199999999999</v>
      </c>
      <c r="C238" s="66">
        <f t="shared" si="3"/>
        <v>2.6556271995790137E-3</v>
      </c>
      <c r="D238" s="66">
        <f>(Table1[[#This Row],[Index]]-B226)/B226</f>
        <v>-3.0590109805728304E-2</v>
      </c>
    </row>
    <row r="239" spans="1:4" x14ac:dyDescent="0.35">
      <c r="A239" s="17">
        <v>33359</v>
      </c>
      <c r="B239" s="58">
        <f>VLOOKUP(Table1[[#This Row],[Date]],database!A:B,2,)</f>
        <v>61.204099999999997</v>
      </c>
      <c r="C239" s="66">
        <f t="shared" si="3"/>
        <v>9.9986468244930293E-3</v>
      </c>
      <c r="D239" s="66">
        <f>(Table1[[#This Row],[Index]]-B227)/B227</f>
        <v>-2.3699230177796092E-2</v>
      </c>
    </row>
    <row r="240" spans="1:4" x14ac:dyDescent="0.35">
      <c r="A240" s="17">
        <v>33390</v>
      </c>
      <c r="B240" s="58">
        <f>VLOOKUP(Table1[[#This Row],[Date]],database!A:B,2,)</f>
        <v>61.692300000000003</v>
      </c>
      <c r="C240" s="66">
        <f t="shared" si="3"/>
        <v>7.9765898036243676E-3</v>
      </c>
      <c r="D240" s="66">
        <f>(Table1[[#This Row],[Index]]-B228)/B228</f>
        <v>-1.9080237167347924E-2</v>
      </c>
    </row>
    <row r="241" spans="1:4" x14ac:dyDescent="0.35">
      <c r="A241" s="17">
        <v>33420</v>
      </c>
      <c r="B241" s="58">
        <f>VLOOKUP(Table1[[#This Row],[Date]],database!A:B,2,)</f>
        <v>61.856900000000003</v>
      </c>
      <c r="C241" s="66">
        <f t="shared" si="3"/>
        <v>2.6680801331770976E-3</v>
      </c>
      <c r="D241" s="66">
        <f>(Table1[[#This Row],[Index]]-B229)/B229</f>
        <v>-1.4912419000116238E-2</v>
      </c>
    </row>
    <row r="242" spans="1:4" x14ac:dyDescent="0.35">
      <c r="A242" s="17">
        <v>33451</v>
      </c>
      <c r="B242" s="58">
        <f>VLOOKUP(Table1[[#This Row],[Date]],database!A:B,2,)</f>
        <v>61.868099999999998</v>
      </c>
      <c r="C242" s="66">
        <f t="shared" si="3"/>
        <v>1.8106306652931892E-4</v>
      </c>
      <c r="D242" s="66">
        <f>(Table1[[#This Row],[Index]]-B230)/B230</f>
        <v>-1.8342189733768492E-2</v>
      </c>
    </row>
    <row r="243" spans="1:4" x14ac:dyDescent="0.35">
      <c r="A243" s="17">
        <v>33482</v>
      </c>
      <c r="B243" s="58">
        <f>VLOOKUP(Table1[[#This Row],[Date]],database!A:B,2,)</f>
        <v>62.3855</v>
      </c>
      <c r="C243" s="66">
        <f t="shared" si="3"/>
        <v>8.3629527979687257E-3</v>
      </c>
      <c r="D243" s="66">
        <f>(Table1[[#This Row],[Index]]-B231)/B231</f>
        <v>-1.0269256640986935E-2</v>
      </c>
    </row>
    <row r="244" spans="1:4" x14ac:dyDescent="0.35">
      <c r="A244" s="17">
        <v>33512</v>
      </c>
      <c r="B244" s="58">
        <f>VLOOKUP(Table1[[#This Row],[Date]],database!A:B,2,)</f>
        <v>62.322899999999997</v>
      </c>
      <c r="C244" s="66">
        <f t="shared" si="3"/>
        <v>-1.0034382989637658E-3</v>
      </c>
      <c r="D244" s="66">
        <f>(Table1[[#This Row],[Index]]-B232)/B232</f>
        <v>-5.1670800969246906E-3</v>
      </c>
    </row>
    <row r="245" spans="1:4" x14ac:dyDescent="0.35">
      <c r="A245" s="17">
        <v>33543</v>
      </c>
      <c r="B245" s="58">
        <f>VLOOKUP(Table1[[#This Row],[Date]],database!A:B,2,)</f>
        <v>62.242699999999999</v>
      </c>
      <c r="C245" s="66">
        <f t="shared" si="3"/>
        <v>-1.2868464079816011E-3</v>
      </c>
      <c r="D245" s="66">
        <f>(Table1[[#This Row],[Index]]-B233)/B233</f>
        <v>6.054816617933975E-3</v>
      </c>
    </row>
    <row r="246" spans="1:4" x14ac:dyDescent="0.35">
      <c r="A246" s="17">
        <v>33573</v>
      </c>
      <c r="B246" s="58">
        <f>VLOOKUP(Table1[[#This Row],[Date]],database!A:B,2,)</f>
        <v>61.970500000000001</v>
      </c>
      <c r="C246" s="66">
        <f t="shared" si="3"/>
        <v>-4.3732036045993627E-3</v>
      </c>
      <c r="D246" s="66">
        <f>(Table1[[#This Row],[Index]]-B234)/B234</f>
        <v>8.7247393565504944E-3</v>
      </c>
    </row>
    <row r="247" spans="1:4" x14ac:dyDescent="0.35">
      <c r="A247" s="17">
        <v>33604</v>
      </c>
      <c r="B247" s="58">
        <f>VLOOKUP(Table1[[#This Row],[Date]],database!A:B,2,)</f>
        <v>61.647100000000002</v>
      </c>
      <c r="C247" s="66">
        <f t="shared" si="3"/>
        <v>-5.2186120815549408E-3</v>
      </c>
      <c r="D247" s="66">
        <f>(Table1[[#This Row],[Index]]-B235)/B235</f>
        <v>6.9090439875800838E-3</v>
      </c>
    </row>
    <row r="248" spans="1:4" x14ac:dyDescent="0.35">
      <c r="A248" s="17">
        <v>33635</v>
      </c>
      <c r="B248" s="58">
        <f>VLOOKUP(Table1[[#This Row],[Date]],database!A:B,2,)</f>
        <v>62.0794</v>
      </c>
      <c r="C248" s="66">
        <f t="shared" si="3"/>
        <v>7.0124953160812797E-3</v>
      </c>
      <c r="D248" s="66">
        <f>(Table1[[#This Row],[Index]]-B236)/B236</f>
        <v>2.1395547804340252E-2</v>
      </c>
    </row>
    <row r="249" spans="1:4" x14ac:dyDescent="0.35">
      <c r="A249" s="17">
        <v>33664</v>
      </c>
      <c r="B249" s="58">
        <f>VLOOKUP(Table1[[#This Row],[Date]],database!A:B,2,)</f>
        <v>62.595500000000001</v>
      </c>
      <c r="C249" s="66">
        <f t="shared" si="3"/>
        <v>8.3135468448471972E-3</v>
      </c>
      <c r="D249" s="66">
        <f>(Table1[[#This Row],[Index]]-B237)/B237</f>
        <v>3.5702880817767749E-2</v>
      </c>
    </row>
    <row r="250" spans="1:4" x14ac:dyDescent="0.35">
      <c r="A250" s="17">
        <v>33695</v>
      </c>
      <c r="B250" s="58">
        <f>VLOOKUP(Table1[[#This Row],[Date]],database!A:B,2,)</f>
        <v>63.072600000000001</v>
      </c>
      <c r="C250" s="66">
        <f t="shared" si="3"/>
        <v>7.6219536548154387E-3</v>
      </c>
      <c r="D250" s="66">
        <f>(Table1[[#This Row],[Index]]-B238)/B238</f>
        <v>4.0832896026614697E-2</v>
      </c>
    </row>
    <row r="251" spans="1:4" x14ac:dyDescent="0.35">
      <c r="A251" s="17">
        <v>33725</v>
      </c>
      <c r="B251" s="58">
        <f>VLOOKUP(Table1[[#This Row],[Date]],database!A:B,2,)</f>
        <v>63.2761</v>
      </c>
      <c r="C251" s="66">
        <f t="shared" si="3"/>
        <v>3.2264406414195257E-3</v>
      </c>
      <c r="D251" s="66">
        <f>(Table1[[#This Row],[Index]]-B239)/B239</f>
        <v>3.3853941157536878E-2</v>
      </c>
    </row>
    <row r="252" spans="1:4" x14ac:dyDescent="0.35">
      <c r="A252" s="17">
        <v>33756</v>
      </c>
      <c r="B252" s="58">
        <f>VLOOKUP(Table1[[#This Row],[Date]],database!A:B,2,)</f>
        <v>63.310200000000002</v>
      </c>
      <c r="C252" s="66">
        <f t="shared" si="3"/>
        <v>5.3890805533218789E-4</v>
      </c>
      <c r="D252" s="66">
        <f>(Table1[[#This Row],[Index]]-B240)/B240</f>
        <v>2.6225314990687632E-2</v>
      </c>
    </row>
    <row r="253" spans="1:4" x14ac:dyDescent="0.35">
      <c r="A253" s="17">
        <v>33786</v>
      </c>
      <c r="B253" s="58">
        <f>VLOOKUP(Table1[[#This Row],[Date]],database!A:B,2,)</f>
        <v>63.876899999999999</v>
      </c>
      <c r="C253" s="66">
        <f t="shared" si="3"/>
        <v>8.9511642673691938E-3</v>
      </c>
      <c r="D253" s="66">
        <f>(Table1[[#This Row],[Index]]-B241)/B241</f>
        <v>3.2656017356188172E-2</v>
      </c>
    </row>
    <row r="254" spans="1:4" x14ac:dyDescent="0.35">
      <c r="A254" s="17">
        <v>33817</v>
      </c>
      <c r="B254" s="58">
        <f>VLOOKUP(Table1[[#This Row],[Date]],database!A:B,2,)</f>
        <v>63.522100000000002</v>
      </c>
      <c r="C254" s="66">
        <f t="shared" si="3"/>
        <v>-5.5544336058888089E-3</v>
      </c>
      <c r="D254" s="66">
        <f>(Table1[[#This Row],[Index]]-B242)/B242</f>
        <v>2.6734294410204994E-2</v>
      </c>
    </row>
    <row r="255" spans="1:4" x14ac:dyDescent="0.35">
      <c r="A255" s="17">
        <v>33848</v>
      </c>
      <c r="B255" s="58">
        <f>VLOOKUP(Table1[[#This Row],[Date]],database!A:B,2,)</f>
        <v>63.721699999999998</v>
      </c>
      <c r="C255" s="66">
        <f t="shared" si="3"/>
        <v>3.1422134973497773E-3</v>
      </c>
      <c r="D255" s="66">
        <f>(Table1[[#This Row],[Index]]-B243)/B243</f>
        <v>2.1418438579477572E-2</v>
      </c>
    </row>
    <row r="256" spans="1:4" x14ac:dyDescent="0.35">
      <c r="A256" s="17">
        <v>33878</v>
      </c>
      <c r="B256" s="58">
        <f>VLOOKUP(Table1[[#This Row],[Date]],database!A:B,2,)</f>
        <v>64.155600000000007</v>
      </c>
      <c r="C256" s="66">
        <f t="shared" si="3"/>
        <v>6.8092973037443549E-3</v>
      </c>
      <c r="D256" s="66">
        <f>(Table1[[#This Row],[Index]]-B244)/B244</f>
        <v>2.9406526333017397E-2</v>
      </c>
    </row>
    <row r="257" spans="1:4" x14ac:dyDescent="0.35">
      <c r="A257" s="17">
        <v>33909</v>
      </c>
      <c r="B257" s="58">
        <f>VLOOKUP(Table1[[#This Row],[Date]],database!A:B,2,)</f>
        <v>64.414400000000001</v>
      </c>
      <c r="C257" s="66">
        <f t="shared" si="3"/>
        <v>4.0339424773518928E-3</v>
      </c>
      <c r="D257" s="66">
        <f>(Table1[[#This Row],[Index]]-B245)/B245</f>
        <v>3.4890838604366474E-2</v>
      </c>
    </row>
    <row r="258" spans="1:4" x14ac:dyDescent="0.35">
      <c r="A258" s="17">
        <v>33939</v>
      </c>
      <c r="B258" s="58">
        <f>VLOOKUP(Table1[[#This Row],[Date]],database!A:B,2,)</f>
        <v>64.516099999999994</v>
      </c>
      <c r="C258" s="66">
        <f t="shared" si="3"/>
        <v>1.5788395141458356E-3</v>
      </c>
      <c r="D258" s="66">
        <f>(Table1[[#This Row],[Index]]-B246)/B246</f>
        <v>4.1077609507749545E-2</v>
      </c>
    </row>
    <row r="259" spans="1:4" x14ac:dyDescent="0.35">
      <c r="A259" s="17">
        <v>33970</v>
      </c>
      <c r="B259" s="58">
        <f>VLOOKUP(Table1[[#This Row],[Date]],database!A:B,2,)</f>
        <v>64.773799999999994</v>
      </c>
      <c r="C259" s="66">
        <f t="shared" si="3"/>
        <v>3.9943517974583287E-3</v>
      </c>
      <c r="D259" s="66">
        <f>(Table1[[#This Row],[Index]]-B247)/B247</f>
        <v>5.0719336351588193E-2</v>
      </c>
    </row>
    <row r="260" spans="1:4" x14ac:dyDescent="0.35">
      <c r="A260" s="17">
        <v>34001</v>
      </c>
      <c r="B260" s="58">
        <f>VLOOKUP(Table1[[#This Row],[Date]],database!A:B,2,)</f>
        <v>65.080500000000001</v>
      </c>
      <c r="C260" s="66">
        <f t="shared" si="3"/>
        <v>4.7349391266222618E-3</v>
      </c>
      <c r="D260" s="66">
        <f>(Table1[[#This Row],[Index]]-B248)/B248</f>
        <v>4.834292857211895E-2</v>
      </c>
    </row>
    <row r="261" spans="1:4" x14ac:dyDescent="0.35">
      <c r="A261" s="17">
        <v>34029</v>
      </c>
      <c r="B261" s="58">
        <f>VLOOKUP(Table1[[#This Row],[Date]],database!A:B,2,)</f>
        <v>65.017600000000002</v>
      </c>
      <c r="C261" s="66">
        <f t="shared" si="3"/>
        <v>-9.6649534038617535E-4</v>
      </c>
      <c r="D261" s="66">
        <f>(Table1[[#This Row],[Index]]-B249)/B249</f>
        <v>3.8694474842440756E-2</v>
      </c>
    </row>
    <row r="262" spans="1:4" x14ac:dyDescent="0.35">
      <c r="A262" s="17">
        <v>34060</v>
      </c>
      <c r="B262" s="58">
        <f>VLOOKUP(Table1[[#This Row],[Date]],database!A:B,2,)</f>
        <v>65.204099999999997</v>
      </c>
      <c r="C262" s="66">
        <f t="shared" si="3"/>
        <v>2.8684540801258152E-3</v>
      </c>
      <c r="D262" s="66">
        <f>(Table1[[#This Row],[Index]]-B250)/B250</f>
        <v>3.3794389322780345E-2</v>
      </c>
    </row>
    <row r="263" spans="1:4" x14ac:dyDescent="0.35">
      <c r="A263" s="17">
        <v>34090</v>
      </c>
      <c r="B263" s="58">
        <f>VLOOKUP(Table1[[#This Row],[Date]],database!A:B,2,)</f>
        <v>64.943299999999994</v>
      </c>
      <c r="C263" s="66">
        <f t="shared" si="3"/>
        <v>-3.9997484820740725E-3</v>
      </c>
      <c r="D263" s="66">
        <f>(Table1[[#This Row],[Index]]-B251)/B251</f>
        <v>2.6348020816706372E-2</v>
      </c>
    </row>
    <row r="264" spans="1:4" x14ac:dyDescent="0.35">
      <c r="A264" s="17">
        <v>34121</v>
      </c>
      <c r="B264" s="58">
        <f>VLOOKUP(Table1[[#This Row],[Date]],database!A:B,2,)</f>
        <v>65.098399999999998</v>
      </c>
      <c r="C264" s="66">
        <f t="shared" ref="C264:C327" si="4">B264/B263-1</f>
        <v>2.3882371237680111E-3</v>
      </c>
      <c r="D264" s="66">
        <f>(Table1[[#This Row],[Index]]-B252)/B252</f>
        <v>2.824505371962174E-2</v>
      </c>
    </row>
    <row r="265" spans="1:4" x14ac:dyDescent="0.35">
      <c r="A265" s="17">
        <v>34151</v>
      </c>
      <c r="B265" s="58">
        <f>VLOOKUP(Table1[[#This Row],[Date]],database!A:B,2,)</f>
        <v>65.255399999999995</v>
      </c>
      <c r="C265" s="66">
        <f t="shared" si="4"/>
        <v>2.4117336217173158E-3</v>
      </c>
      <c r="D265" s="66">
        <f>(Table1[[#This Row],[Index]]-B253)/B253</f>
        <v>2.1580571380264157E-2</v>
      </c>
    </row>
    <row r="266" spans="1:4" x14ac:dyDescent="0.35">
      <c r="A266" s="17">
        <v>34182</v>
      </c>
      <c r="B266" s="58">
        <f>VLOOKUP(Table1[[#This Row],[Date]],database!A:B,2,)</f>
        <v>65.194599999999994</v>
      </c>
      <c r="C266" s="66">
        <f t="shared" si="4"/>
        <v>-9.3172365811866609E-4</v>
      </c>
      <c r="D266" s="66">
        <f>(Table1[[#This Row],[Index]]-B254)/B254</f>
        <v>2.6329419210007105E-2</v>
      </c>
    </row>
    <row r="267" spans="1:4" x14ac:dyDescent="0.35">
      <c r="A267" s="17">
        <v>34213</v>
      </c>
      <c r="B267" s="58">
        <f>VLOOKUP(Table1[[#This Row],[Date]],database!A:B,2,)</f>
        <v>65.528199999999998</v>
      </c>
      <c r="C267" s="66">
        <f t="shared" si="4"/>
        <v>5.11698821681561E-3</v>
      </c>
      <c r="D267" s="66">
        <f>(Table1[[#This Row],[Index]]-B255)/B255</f>
        <v>2.8349840007407208E-2</v>
      </c>
    </row>
    <row r="268" spans="1:4" x14ac:dyDescent="0.35">
      <c r="A268" s="17">
        <v>34243</v>
      </c>
      <c r="B268" s="58">
        <f>VLOOKUP(Table1[[#This Row],[Date]],database!A:B,2,)</f>
        <v>66.015199999999993</v>
      </c>
      <c r="C268" s="66">
        <f t="shared" si="4"/>
        <v>7.4319148091965825E-3</v>
      </c>
      <c r="D268" s="66">
        <f>(Table1[[#This Row],[Index]]-B256)/B256</f>
        <v>2.8985778326443615E-2</v>
      </c>
    </row>
    <row r="269" spans="1:4" x14ac:dyDescent="0.35">
      <c r="A269" s="17">
        <v>34274</v>
      </c>
      <c r="B269" s="58">
        <f>VLOOKUP(Table1[[#This Row],[Date]],database!A:B,2,)</f>
        <v>66.3292</v>
      </c>
      <c r="C269" s="66">
        <f t="shared" si="4"/>
        <v>4.756480325743162E-3</v>
      </c>
      <c r="D269" s="66">
        <f>(Table1[[#This Row],[Index]]-B257)/B257</f>
        <v>2.972627238629871E-2</v>
      </c>
    </row>
    <row r="270" spans="1:4" x14ac:dyDescent="0.35">
      <c r="A270" s="17">
        <v>34304</v>
      </c>
      <c r="B270" s="58">
        <f>VLOOKUP(Table1[[#This Row],[Date]],database!A:B,2,)</f>
        <v>66.703800000000001</v>
      </c>
      <c r="C270" s="66">
        <f t="shared" si="4"/>
        <v>5.6475880909161447E-3</v>
      </c>
      <c r="D270" s="66">
        <f>(Table1[[#This Row],[Index]]-B258)/B258</f>
        <v>3.3909365259214473E-2</v>
      </c>
    </row>
    <row r="271" spans="1:4" x14ac:dyDescent="0.35">
      <c r="A271" s="17">
        <v>34335</v>
      </c>
      <c r="B271" s="58">
        <f>VLOOKUP(Table1[[#This Row],[Date]],database!A:B,2,)</f>
        <v>66.916399999999996</v>
      </c>
      <c r="C271" s="66">
        <f t="shared" si="4"/>
        <v>3.1872247158331035E-3</v>
      </c>
      <c r="D271" s="66">
        <f>(Table1[[#This Row],[Index]]-B259)/B259</f>
        <v>3.3078189020869578E-2</v>
      </c>
    </row>
    <row r="272" spans="1:4" x14ac:dyDescent="0.35">
      <c r="A272" s="17">
        <v>34366</v>
      </c>
      <c r="B272" s="58">
        <f>VLOOKUP(Table1[[#This Row],[Date]],database!A:B,2,)</f>
        <v>66.964200000000005</v>
      </c>
      <c r="C272" s="66">
        <f t="shared" si="4"/>
        <v>7.1432414176508807E-4</v>
      </c>
      <c r="D272" s="66">
        <f>(Table1[[#This Row],[Index]]-B260)/B260</f>
        <v>2.8944153778781734E-2</v>
      </c>
    </row>
    <row r="273" spans="1:4" x14ac:dyDescent="0.35">
      <c r="A273" s="17">
        <v>34394</v>
      </c>
      <c r="B273" s="58">
        <f>VLOOKUP(Table1[[#This Row],[Date]],database!A:B,2,)</f>
        <v>67.633499999999998</v>
      </c>
      <c r="C273" s="66">
        <f t="shared" si="4"/>
        <v>9.9948927934627729E-3</v>
      </c>
      <c r="D273" s="66">
        <f>(Table1[[#This Row],[Index]]-B261)/B261</f>
        <v>4.0233721330839592E-2</v>
      </c>
    </row>
    <row r="274" spans="1:4" x14ac:dyDescent="0.35">
      <c r="A274" s="17">
        <v>34425</v>
      </c>
      <c r="B274" s="58">
        <f>VLOOKUP(Table1[[#This Row],[Date]],database!A:B,2,)</f>
        <v>68.0334</v>
      </c>
      <c r="C274" s="66">
        <f t="shared" si="4"/>
        <v>5.9127503382199187E-3</v>
      </c>
      <c r="D274" s="66">
        <f>(Table1[[#This Row],[Index]]-B262)/B262</f>
        <v>4.339144317611935E-2</v>
      </c>
    </row>
    <row r="275" spans="1:4" x14ac:dyDescent="0.35">
      <c r="A275" s="17">
        <v>34455</v>
      </c>
      <c r="B275" s="58">
        <f>VLOOKUP(Table1[[#This Row],[Date]],database!A:B,2,)</f>
        <v>68.353099999999998</v>
      </c>
      <c r="C275" s="66">
        <f t="shared" si="4"/>
        <v>4.6991624701984147E-3</v>
      </c>
      <c r="D275" s="66">
        <f>(Table1[[#This Row],[Index]]-B263)/B263</f>
        <v>5.2504261409568105E-2</v>
      </c>
    </row>
    <row r="276" spans="1:4" x14ac:dyDescent="0.35">
      <c r="A276" s="17">
        <v>34486</v>
      </c>
      <c r="B276" s="58">
        <f>VLOOKUP(Table1[[#This Row],[Date]],database!A:B,2,)</f>
        <v>68.800200000000004</v>
      </c>
      <c r="C276" s="66">
        <f t="shared" si="4"/>
        <v>6.5410347153238568E-3</v>
      </c>
      <c r="D276" s="66">
        <f>(Table1[[#This Row],[Index]]-B264)/B264</f>
        <v>5.6864684846325037E-2</v>
      </c>
    </row>
    <row r="277" spans="1:4" x14ac:dyDescent="0.35">
      <c r="A277" s="17">
        <v>34516</v>
      </c>
      <c r="B277" s="58">
        <f>VLOOKUP(Table1[[#This Row],[Date]],database!A:B,2,)</f>
        <v>68.886300000000006</v>
      </c>
      <c r="C277" s="66">
        <f t="shared" si="4"/>
        <v>1.2514498504365701E-3</v>
      </c>
      <c r="D277" s="66">
        <f>(Table1[[#This Row],[Index]]-B265)/B265</f>
        <v>5.5641372208277189E-2</v>
      </c>
    </row>
    <row r="278" spans="1:4" x14ac:dyDescent="0.35">
      <c r="A278" s="17">
        <v>34547</v>
      </c>
      <c r="B278" s="58">
        <f>VLOOKUP(Table1[[#This Row],[Date]],database!A:B,2,)</f>
        <v>69.341200000000001</v>
      </c>
      <c r="C278" s="66">
        <f t="shared" si="4"/>
        <v>6.6036352656477781E-3</v>
      </c>
      <c r="D278" s="66">
        <f>(Table1[[#This Row],[Index]]-B266)/B266</f>
        <v>6.3603427277719421E-2</v>
      </c>
    </row>
    <row r="279" spans="1:4" x14ac:dyDescent="0.35">
      <c r="A279" s="17">
        <v>34578</v>
      </c>
      <c r="B279" s="58">
        <f>VLOOKUP(Table1[[#This Row],[Date]],database!A:B,2,)</f>
        <v>69.557400000000001</v>
      </c>
      <c r="C279" s="66">
        <f t="shared" si="4"/>
        <v>3.1179154672835718E-3</v>
      </c>
      <c r="D279" s="66">
        <f>(Table1[[#This Row],[Index]]-B267)/B267</f>
        <v>6.1488031107218011E-2</v>
      </c>
    </row>
    <row r="280" spans="1:4" x14ac:dyDescent="0.35">
      <c r="A280" s="17">
        <v>34608</v>
      </c>
      <c r="B280" s="58">
        <f>VLOOKUP(Table1[[#This Row],[Date]],database!A:B,2,)</f>
        <v>70.119</v>
      </c>
      <c r="C280" s="66">
        <f t="shared" si="4"/>
        <v>8.0739073053333055E-3</v>
      </c>
      <c r="D280" s="66">
        <f>(Table1[[#This Row],[Index]]-B268)/B268</f>
        <v>6.2164471212690517E-2</v>
      </c>
    </row>
    <row r="281" spans="1:4" x14ac:dyDescent="0.35">
      <c r="A281" s="17">
        <v>34639</v>
      </c>
      <c r="B281" s="58">
        <f>VLOOKUP(Table1[[#This Row],[Date]],database!A:B,2,)</f>
        <v>70.594200000000001</v>
      </c>
      <c r="C281" s="66">
        <f t="shared" si="4"/>
        <v>6.7770504428186218E-3</v>
      </c>
      <c r="D281" s="66">
        <f>(Table1[[#This Row],[Index]]-B269)/B269</f>
        <v>6.4300489075701212E-2</v>
      </c>
    </row>
    <row r="282" spans="1:4" x14ac:dyDescent="0.35">
      <c r="A282" s="17">
        <v>34669</v>
      </c>
      <c r="B282" s="58">
        <f>VLOOKUP(Table1[[#This Row],[Date]],database!A:B,2,)</f>
        <v>71.281400000000005</v>
      </c>
      <c r="C282" s="66">
        <f t="shared" si="4"/>
        <v>9.7345107671735764E-3</v>
      </c>
      <c r="D282" s="66">
        <f>(Table1[[#This Row],[Index]]-B270)/B270</f>
        <v>6.8625775443078268E-2</v>
      </c>
    </row>
    <row r="283" spans="1:4" x14ac:dyDescent="0.35">
      <c r="A283" s="17">
        <v>34700</v>
      </c>
      <c r="B283" s="58">
        <f>VLOOKUP(Table1[[#This Row],[Date]],database!A:B,2,)</f>
        <v>71.430300000000003</v>
      </c>
      <c r="C283" s="66">
        <f t="shared" si="4"/>
        <v>2.0889039777556295E-3</v>
      </c>
      <c r="D283" s="66">
        <f>(Table1[[#This Row],[Index]]-B271)/B271</f>
        <v>6.7455810533740709E-2</v>
      </c>
    </row>
    <row r="284" spans="1:4" x14ac:dyDescent="0.35">
      <c r="A284" s="17">
        <v>34731</v>
      </c>
      <c r="B284" s="58">
        <f>VLOOKUP(Table1[[#This Row],[Date]],database!A:B,2,)</f>
        <v>71.334299999999999</v>
      </c>
      <c r="C284" s="66">
        <f t="shared" si="4"/>
        <v>-1.3439674759870845E-3</v>
      </c>
      <c r="D284" s="66">
        <f>(Table1[[#This Row],[Index]]-B272)/B272</f>
        <v>6.526024353311162E-2</v>
      </c>
    </row>
    <row r="285" spans="1:4" x14ac:dyDescent="0.35">
      <c r="A285" s="17">
        <v>34759</v>
      </c>
      <c r="B285" s="58">
        <f>VLOOKUP(Table1[[#This Row],[Date]],database!A:B,2,)</f>
        <v>71.445099999999996</v>
      </c>
      <c r="C285" s="66">
        <f t="shared" si="4"/>
        <v>1.5532499793227128E-3</v>
      </c>
      <c r="D285" s="66">
        <f>(Table1[[#This Row],[Index]]-B273)/B273</f>
        <v>5.6356687144684198E-2</v>
      </c>
    </row>
    <row r="286" spans="1:4" x14ac:dyDescent="0.35">
      <c r="A286" s="17">
        <v>34790</v>
      </c>
      <c r="B286" s="58">
        <f>VLOOKUP(Table1[[#This Row],[Date]],database!A:B,2,)</f>
        <v>71.328900000000004</v>
      </c>
      <c r="C286" s="66">
        <f t="shared" si="4"/>
        <v>-1.626423645568309E-3</v>
      </c>
      <c r="D286" s="66">
        <f>(Table1[[#This Row],[Index]]-B274)/B274</f>
        <v>4.843944297947779E-2</v>
      </c>
    </row>
    <row r="287" spans="1:4" x14ac:dyDescent="0.35">
      <c r="A287" s="17">
        <v>34820</v>
      </c>
      <c r="B287" s="58">
        <f>VLOOKUP(Table1[[#This Row],[Date]],database!A:B,2,)</f>
        <v>71.66</v>
      </c>
      <c r="C287" s="66">
        <f t="shared" si="4"/>
        <v>4.6418772755500992E-3</v>
      </c>
      <c r="D287" s="66">
        <f>(Table1[[#This Row],[Index]]-B275)/B275</f>
        <v>4.8379663833827566E-2</v>
      </c>
    </row>
    <row r="288" spans="1:4" x14ac:dyDescent="0.35">
      <c r="A288" s="17">
        <v>34851</v>
      </c>
      <c r="B288" s="58">
        <f>VLOOKUP(Table1[[#This Row],[Date]],database!A:B,2,)</f>
        <v>71.896699999999996</v>
      </c>
      <c r="C288" s="66">
        <f t="shared" si="4"/>
        <v>3.303097962601198E-3</v>
      </c>
      <c r="D288" s="66">
        <f>(Table1[[#This Row],[Index]]-B276)/B276</f>
        <v>4.5007136607160901E-2</v>
      </c>
    </row>
    <row r="289" spans="1:4" x14ac:dyDescent="0.35">
      <c r="A289" s="17">
        <v>34881</v>
      </c>
      <c r="B289" s="58">
        <f>VLOOKUP(Table1[[#This Row],[Date]],database!A:B,2,)</f>
        <v>71.592399999999998</v>
      </c>
      <c r="C289" s="66">
        <f t="shared" si="4"/>
        <v>-4.2324612951637475E-3</v>
      </c>
      <c r="D289" s="66">
        <f>(Table1[[#This Row],[Index]]-B277)/B277</f>
        <v>3.9283573076213878E-2</v>
      </c>
    </row>
    <row r="290" spans="1:4" x14ac:dyDescent="0.35">
      <c r="A290" s="17">
        <v>34912</v>
      </c>
      <c r="B290" s="58">
        <f>VLOOKUP(Table1[[#This Row],[Date]],database!A:B,2,)</f>
        <v>72.533900000000003</v>
      </c>
      <c r="C290" s="66">
        <f t="shared" si="4"/>
        <v>1.3150837239707114E-2</v>
      </c>
      <c r="D290" s="66">
        <f>(Table1[[#This Row],[Index]]-B278)/B278</f>
        <v>4.6043333544847825E-2</v>
      </c>
    </row>
    <row r="291" spans="1:4" x14ac:dyDescent="0.35">
      <c r="A291" s="17">
        <v>34943</v>
      </c>
      <c r="B291" s="58">
        <f>VLOOKUP(Table1[[#This Row],[Date]],database!A:B,2,)</f>
        <v>72.824700000000007</v>
      </c>
      <c r="C291" s="66">
        <f t="shared" si="4"/>
        <v>4.0091598549092389E-3</v>
      </c>
      <c r="D291" s="66">
        <f>(Table1[[#This Row],[Index]]-B279)/B279</f>
        <v>4.6972716058967211E-2</v>
      </c>
    </row>
    <row r="292" spans="1:4" x14ac:dyDescent="0.35">
      <c r="A292" s="17">
        <v>34973</v>
      </c>
      <c r="B292" s="58">
        <f>VLOOKUP(Table1[[#This Row],[Date]],database!A:B,2,)</f>
        <v>72.712999999999994</v>
      </c>
      <c r="C292" s="66">
        <f t="shared" si="4"/>
        <v>-1.533820256039653E-3</v>
      </c>
      <c r="D292" s="66">
        <f>(Table1[[#This Row],[Index]]-B280)/B280</f>
        <v>3.6994252627675722E-2</v>
      </c>
    </row>
    <row r="293" spans="1:4" x14ac:dyDescent="0.35">
      <c r="A293" s="17">
        <v>35004</v>
      </c>
      <c r="B293" s="58">
        <f>VLOOKUP(Table1[[#This Row],[Date]],database!A:B,2,)</f>
        <v>72.888400000000004</v>
      </c>
      <c r="C293" s="66">
        <f t="shared" si="4"/>
        <v>2.4122233988421726E-3</v>
      </c>
      <c r="D293" s="66">
        <f>(Table1[[#This Row],[Index]]-B281)/B281</f>
        <v>3.2498420550130233E-2</v>
      </c>
    </row>
    <row r="294" spans="1:4" x14ac:dyDescent="0.35">
      <c r="A294" s="17">
        <v>35034</v>
      </c>
      <c r="B294" s="58">
        <f>VLOOKUP(Table1[[#This Row],[Date]],database!A:B,2,)</f>
        <v>73.142899999999997</v>
      </c>
      <c r="C294" s="66">
        <f t="shared" si="4"/>
        <v>3.4916392731900725E-3</v>
      </c>
      <c r="D294" s="66">
        <f>(Table1[[#This Row],[Index]]-B282)/B282</f>
        <v>2.6114806948236036E-2</v>
      </c>
    </row>
    <row r="295" spans="1:4" x14ac:dyDescent="0.35">
      <c r="A295" s="17">
        <v>35065</v>
      </c>
      <c r="B295" s="58">
        <f>VLOOKUP(Table1[[#This Row],[Date]],database!A:B,2,)</f>
        <v>72.747100000000003</v>
      </c>
      <c r="C295" s="66">
        <f t="shared" si="4"/>
        <v>-5.4113249543017439E-3</v>
      </c>
      <c r="D295" s="66">
        <f>(Table1[[#This Row],[Index]]-B283)/B283</f>
        <v>1.8434753878956139E-2</v>
      </c>
    </row>
    <row r="296" spans="1:4" x14ac:dyDescent="0.35">
      <c r="A296" s="17">
        <v>35096</v>
      </c>
      <c r="B296" s="58">
        <f>VLOOKUP(Table1[[#This Row],[Date]],database!A:B,2,)</f>
        <v>73.787099999999995</v>
      </c>
      <c r="C296" s="66">
        <f t="shared" si="4"/>
        <v>1.4296102525048981E-2</v>
      </c>
      <c r="D296" s="66">
        <f>(Table1[[#This Row],[Index]]-B284)/B284</f>
        <v>3.4384580769699802E-2</v>
      </c>
    </row>
    <row r="297" spans="1:4" x14ac:dyDescent="0.35">
      <c r="A297" s="17">
        <v>35125</v>
      </c>
      <c r="B297" s="58">
        <f>VLOOKUP(Table1[[#This Row],[Date]],database!A:B,2,)</f>
        <v>73.674899999999994</v>
      </c>
      <c r="C297" s="66">
        <f t="shared" si="4"/>
        <v>-1.5205909976133691E-3</v>
      </c>
      <c r="D297" s="66">
        <f>(Table1[[#This Row],[Index]]-B285)/B285</f>
        <v>3.1209978011088199E-2</v>
      </c>
    </row>
    <row r="298" spans="1:4" x14ac:dyDescent="0.35">
      <c r="A298" s="17">
        <v>35156</v>
      </c>
      <c r="B298" s="58">
        <f>VLOOKUP(Table1[[#This Row],[Date]],database!A:B,2,)</f>
        <v>74.415300000000002</v>
      </c>
      <c r="C298" s="66">
        <f t="shared" si="4"/>
        <v>1.0049555547411826E-2</v>
      </c>
      <c r="D298" s="66">
        <f>(Table1[[#This Row],[Index]]-B286)/B286</f>
        <v>4.3269978928596929E-2</v>
      </c>
    </row>
    <row r="299" spans="1:4" x14ac:dyDescent="0.35">
      <c r="A299" s="17">
        <v>35186</v>
      </c>
      <c r="B299" s="58">
        <f>VLOOKUP(Table1[[#This Row],[Date]],database!A:B,2,)</f>
        <v>74.971800000000002</v>
      </c>
      <c r="C299" s="66">
        <f t="shared" si="4"/>
        <v>7.4783008332963696E-3</v>
      </c>
      <c r="D299" s="66">
        <f>(Table1[[#This Row],[Index]]-B287)/B287</f>
        <v>4.6215461903432953E-2</v>
      </c>
    </row>
    <row r="300" spans="1:4" x14ac:dyDescent="0.35">
      <c r="A300" s="17">
        <v>35217</v>
      </c>
      <c r="B300" s="58">
        <f>VLOOKUP(Table1[[#This Row],[Date]],database!A:B,2,)</f>
        <v>75.531700000000001</v>
      </c>
      <c r="C300" s="66">
        <f t="shared" si="4"/>
        <v>7.4681413544825936E-3</v>
      </c>
      <c r="D300" s="66">
        <f>(Table1[[#This Row],[Index]]-B288)/B288</f>
        <v>5.0558648727966726E-2</v>
      </c>
    </row>
    <row r="301" spans="1:4" x14ac:dyDescent="0.35">
      <c r="A301" s="17">
        <v>35247</v>
      </c>
      <c r="B301" s="58">
        <f>VLOOKUP(Table1[[#This Row],[Date]],database!A:B,2,)</f>
        <v>75.532300000000006</v>
      </c>
      <c r="C301" s="66">
        <f t="shared" si="4"/>
        <v>7.9436845723535043E-6</v>
      </c>
      <c r="D301" s="66">
        <f>(Table1[[#This Row],[Index]]-B289)/B289</f>
        <v>5.5032377738419284E-2</v>
      </c>
    </row>
    <row r="302" spans="1:4" x14ac:dyDescent="0.35">
      <c r="A302" s="17">
        <v>35278</v>
      </c>
      <c r="B302" s="58">
        <f>VLOOKUP(Table1[[#This Row],[Date]],database!A:B,2,)</f>
        <v>75.912899999999993</v>
      </c>
      <c r="C302" s="66">
        <f t="shared" si="4"/>
        <v>5.0389038861518021E-3</v>
      </c>
      <c r="D302" s="66">
        <f>(Table1[[#This Row],[Index]]-B290)/B290</f>
        <v>4.6585113994973254E-2</v>
      </c>
    </row>
    <row r="303" spans="1:4" x14ac:dyDescent="0.35">
      <c r="A303" s="17">
        <v>35309</v>
      </c>
      <c r="B303" s="58">
        <f>VLOOKUP(Table1[[#This Row],[Date]],database!A:B,2,)</f>
        <v>76.403199999999998</v>
      </c>
      <c r="C303" s="66">
        <f t="shared" si="4"/>
        <v>6.4587178200279372E-3</v>
      </c>
      <c r="D303" s="66">
        <f>(Table1[[#This Row],[Index]]-B291)/B291</f>
        <v>4.913854777293955E-2</v>
      </c>
    </row>
    <row r="304" spans="1:4" x14ac:dyDescent="0.35">
      <c r="A304" s="17">
        <v>35339</v>
      </c>
      <c r="B304" s="58">
        <f>VLOOKUP(Table1[[#This Row],[Date]],database!A:B,2,)</f>
        <v>76.393100000000004</v>
      </c>
      <c r="C304" s="66">
        <f t="shared" si="4"/>
        <v>-1.3219341598247336E-4</v>
      </c>
      <c r="D304" s="66">
        <f>(Table1[[#This Row],[Index]]-B292)/B292</f>
        <v>5.0611307469090955E-2</v>
      </c>
    </row>
    <row r="305" spans="1:4" x14ac:dyDescent="0.35">
      <c r="A305" s="17">
        <v>35370</v>
      </c>
      <c r="B305" s="58">
        <f>VLOOKUP(Table1[[#This Row],[Date]],database!A:B,2,)</f>
        <v>77.0672</v>
      </c>
      <c r="C305" s="66">
        <f t="shared" si="4"/>
        <v>8.8240953698697222E-3</v>
      </c>
      <c r="D305" s="66">
        <f>(Table1[[#This Row],[Index]]-B293)/B293</f>
        <v>5.733148210140427E-2</v>
      </c>
    </row>
    <row r="306" spans="1:4" x14ac:dyDescent="0.35">
      <c r="A306" s="17">
        <v>35400</v>
      </c>
      <c r="B306" s="58">
        <f>VLOOKUP(Table1[[#This Row],[Date]],database!A:B,2,)</f>
        <v>77.554299999999998</v>
      </c>
      <c r="C306" s="66">
        <f t="shared" si="4"/>
        <v>6.3204579899100999E-3</v>
      </c>
      <c r="D306" s="66">
        <f>(Table1[[#This Row],[Index]]-B294)/B294</f>
        <v>6.0312074035894128E-2</v>
      </c>
    </row>
    <row r="307" spans="1:4" x14ac:dyDescent="0.35">
      <c r="A307" s="17">
        <v>35431</v>
      </c>
      <c r="B307" s="58">
        <f>VLOOKUP(Table1[[#This Row],[Date]],database!A:B,2,)</f>
        <v>77.694500000000005</v>
      </c>
      <c r="C307" s="66">
        <f t="shared" si="4"/>
        <v>1.8077656558050936E-3</v>
      </c>
      <c r="D307" s="66">
        <f>(Table1[[#This Row],[Index]]-B295)/B295</f>
        <v>6.8008209261949989E-2</v>
      </c>
    </row>
    <row r="308" spans="1:4" x14ac:dyDescent="0.35">
      <c r="A308" s="17">
        <v>35462</v>
      </c>
      <c r="B308" s="58">
        <f>VLOOKUP(Table1[[#This Row],[Date]],database!A:B,2,)</f>
        <v>78.611999999999995</v>
      </c>
      <c r="C308" s="66">
        <f t="shared" si="4"/>
        <v>1.1809072714284552E-2</v>
      </c>
      <c r="D308" s="66">
        <f>(Table1[[#This Row],[Index]]-B296)/B296</f>
        <v>6.5389478648706881E-2</v>
      </c>
    </row>
    <row r="309" spans="1:4" x14ac:dyDescent="0.35">
      <c r="A309" s="17">
        <v>35490</v>
      </c>
      <c r="B309" s="58">
        <f>VLOOKUP(Table1[[#This Row],[Date]],database!A:B,2,)</f>
        <v>79.102099999999993</v>
      </c>
      <c r="C309" s="66">
        <f t="shared" si="4"/>
        <v>6.2344171373327484E-3</v>
      </c>
      <c r="D309" s="66">
        <f>(Table1[[#This Row],[Index]]-B297)/B297</f>
        <v>7.3664165136294715E-2</v>
      </c>
    </row>
    <row r="310" spans="1:4" x14ac:dyDescent="0.35">
      <c r="A310" s="17">
        <v>35521</v>
      </c>
      <c r="B310" s="58">
        <f>VLOOKUP(Table1[[#This Row],[Date]],database!A:B,2,)</f>
        <v>79.168300000000002</v>
      </c>
      <c r="C310" s="66">
        <f t="shared" si="4"/>
        <v>8.3689307869216911E-4</v>
      </c>
      <c r="D310" s="66">
        <f>(Table1[[#This Row],[Index]]-B298)/B298</f>
        <v>6.3871273783751459E-2</v>
      </c>
    </row>
    <row r="311" spans="1:4" x14ac:dyDescent="0.35">
      <c r="A311" s="17">
        <v>35551</v>
      </c>
      <c r="B311" s="58">
        <f>VLOOKUP(Table1[[#This Row],[Date]],database!A:B,2,)</f>
        <v>79.608400000000003</v>
      </c>
      <c r="C311" s="66">
        <f t="shared" si="4"/>
        <v>5.5590432028982395E-3</v>
      </c>
      <c r="D311" s="66">
        <f>(Table1[[#This Row],[Index]]-B299)/B299</f>
        <v>6.1844586898007002E-2</v>
      </c>
    </row>
    <row r="312" spans="1:4" x14ac:dyDescent="0.35">
      <c r="A312" s="17">
        <v>35582</v>
      </c>
      <c r="B312" s="58">
        <f>VLOOKUP(Table1[[#This Row],[Date]],database!A:B,2,)</f>
        <v>79.980199999999996</v>
      </c>
      <c r="C312" s="66">
        <f t="shared" si="4"/>
        <v>4.6703614191465626E-3</v>
      </c>
      <c r="D312" s="66">
        <f>(Table1[[#This Row],[Index]]-B300)/B300</f>
        <v>5.8895801365519321E-2</v>
      </c>
    </row>
    <row r="313" spans="1:4" x14ac:dyDescent="0.35">
      <c r="A313" s="17">
        <v>35612</v>
      </c>
      <c r="B313" s="58">
        <f>VLOOKUP(Table1[[#This Row],[Date]],database!A:B,2,)</f>
        <v>80.649199999999993</v>
      </c>
      <c r="C313" s="66">
        <f t="shared" si="4"/>
        <v>8.3645702311321291E-3</v>
      </c>
      <c r="D313" s="66">
        <f>(Table1[[#This Row],[Index]]-B301)/B301</f>
        <v>6.7744527837759291E-2</v>
      </c>
    </row>
    <row r="314" spans="1:4" x14ac:dyDescent="0.35">
      <c r="A314" s="17">
        <v>35643</v>
      </c>
      <c r="B314" s="58">
        <f>VLOOKUP(Table1[[#This Row],[Date]],database!A:B,2,)</f>
        <v>81.454800000000006</v>
      </c>
      <c r="C314" s="66">
        <f t="shared" si="4"/>
        <v>9.9889397538972524E-3</v>
      </c>
      <c r="D314" s="66">
        <f>(Table1[[#This Row],[Index]]-B302)/B302</f>
        <v>7.3003402583750765E-2</v>
      </c>
    </row>
    <row r="315" spans="1:4" x14ac:dyDescent="0.35">
      <c r="A315" s="17">
        <v>35674</v>
      </c>
      <c r="B315" s="58">
        <f>VLOOKUP(Table1[[#This Row],[Date]],database!A:B,2,)</f>
        <v>82.212000000000003</v>
      </c>
      <c r="C315" s="66">
        <f t="shared" si="4"/>
        <v>9.2959530930036838E-3</v>
      </c>
      <c r="D315" s="66">
        <f>(Table1[[#This Row],[Index]]-B303)/B303</f>
        <v>7.6028229184118015E-2</v>
      </c>
    </row>
    <row r="316" spans="1:4" x14ac:dyDescent="0.35">
      <c r="A316" s="17">
        <v>35704</v>
      </c>
      <c r="B316" s="58">
        <f>VLOOKUP(Table1[[#This Row],[Date]],database!A:B,2,)</f>
        <v>82.930899999999994</v>
      </c>
      <c r="C316" s="66">
        <f t="shared" si="4"/>
        <v>8.7444655281465611E-3</v>
      </c>
      <c r="D316" s="66">
        <f>(Table1[[#This Row],[Index]]-B304)/B304</f>
        <v>8.5581027605896212E-2</v>
      </c>
    </row>
    <row r="317" spans="1:4" x14ac:dyDescent="0.35">
      <c r="A317" s="17">
        <v>35735</v>
      </c>
      <c r="B317" s="58">
        <f>VLOOKUP(Table1[[#This Row],[Date]],database!A:B,2,)</f>
        <v>83.591899999999995</v>
      </c>
      <c r="C317" s="66">
        <f t="shared" si="4"/>
        <v>7.9704910955988861E-3</v>
      </c>
      <c r="D317" s="66">
        <f>(Table1[[#This Row],[Index]]-B305)/B305</f>
        <v>8.4662476384246427E-2</v>
      </c>
    </row>
    <row r="318" spans="1:4" x14ac:dyDescent="0.35">
      <c r="A318" s="17">
        <v>35765</v>
      </c>
      <c r="B318" s="58">
        <f>VLOOKUP(Table1[[#This Row],[Date]],database!A:B,2,)</f>
        <v>83.9696</v>
      </c>
      <c r="C318" s="66">
        <f t="shared" si="4"/>
        <v>4.5183803693900071E-3</v>
      </c>
      <c r="D318" s="66">
        <f>(Table1[[#This Row],[Index]]-B306)/B306</f>
        <v>8.2720107073366689E-2</v>
      </c>
    </row>
    <row r="319" spans="1:4" x14ac:dyDescent="0.35">
      <c r="A319" s="17">
        <v>35796</v>
      </c>
      <c r="B319" s="58">
        <f>VLOOKUP(Table1[[#This Row],[Date]],database!A:B,2,)</f>
        <v>84.346699999999998</v>
      </c>
      <c r="C319" s="66">
        <f t="shared" si="4"/>
        <v>4.4909109963606753E-3</v>
      </c>
      <c r="D319" s="66">
        <f>(Table1[[#This Row],[Index]]-B307)/B307</f>
        <v>8.5619960228844938E-2</v>
      </c>
    </row>
    <row r="320" spans="1:4" x14ac:dyDescent="0.35">
      <c r="A320" s="17">
        <v>35827</v>
      </c>
      <c r="B320" s="58">
        <f>VLOOKUP(Table1[[#This Row],[Date]],database!A:B,2,)</f>
        <v>84.486500000000007</v>
      </c>
      <c r="C320" s="66">
        <f t="shared" si="4"/>
        <v>1.6574448081549953E-3</v>
      </c>
      <c r="D320" s="66">
        <f>(Table1[[#This Row],[Index]]-B308)/B308</f>
        <v>7.4727776929730982E-2</v>
      </c>
    </row>
    <row r="321" spans="1:4" x14ac:dyDescent="0.35">
      <c r="A321" s="17">
        <v>35855</v>
      </c>
      <c r="B321" s="58">
        <f>VLOOKUP(Table1[[#This Row],[Date]],database!A:B,2,)</f>
        <v>84.521199999999993</v>
      </c>
      <c r="C321" s="66">
        <f t="shared" si="4"/>
        <v>4.1071650500357215E-4</v>
      </c>
      <c r="D321" s="66">
        <f>(Table1[[#This Row],[Index]]-B309)/B309</f>
        <v>6.8507662881263587E-2</v>
      </c>
    </row>
    <row r="322" spans="1:4" x14ac:dyDescent="0.35">
      <c r="A322" s="17">
        <v>35886</v>
      </c>
      <c r="B322" s="58">
        <f>VLOOKUP(Table1[[#This Row],[Date]],database!A:B,2,)</f>
        <v>84.827500000000001</v>
      </c>
      <c r="C322" s="66">
        <f t="shared" si="4"/>
        <v>3.6239428687714348E-3</v>
      </c>
      <c r="D322" s="66">
        <f>(Table1[[#This Row],[Index]]-B310)/B310</f>
        <v>7.1483156768555073E-2</v>
      </c>
    </row>
    <row r="323" spans="1:4" x14ac:dyDescent="0.35">
      <c r="A323" s="17">
        <v>35916</v>
      </c>
      <c r="B323" s="58">
        <f>VLOOKUP(Table1[[#This Row],[Date]],database!A:B,2,)</f>
        <v>85.3596</v>
      </c>
      <c r="C323" s="66">
        <f t="shared" si="4"/>
        <v>6.2727299519613755E-3</v>
      </c>
      <c r="D323" s="66">
        <f>(Table1[[#This Row],[Index]]-B311)/B311</f>
        <v>7.2243632581486333E-2</v>
      </c>
    </row>
    <row r="324" spans="1:4" x14ac:dyDescent="0.35">
      <c r="A324" s="17">
        <v>35947</v>
      </c>
      <c r="B324" s="58">
        <f>VLOOKUP(Table1[[#This Row],[Date]],database!A:B,2,)</f>
        <v>84.846599999999995</v>
      </c>
      <c r="C324" s="66">
        <f t="shared" si="4"/>
        <v>-6.0098688372486331E-3</v>
      </c>
      <c r="D324" s="66">
        <f>(Table1[[#This Row],[Index]]-B312)/B312</f>
        <v>6.0845059152140141E-2</v>
      </c>
    </row>
    <row r="325" spans="1:4" x14ac:dyDescent="0.35">
      <c r="A325" s="17">
        <v>35977</v>
      </c>
      <c r="B325" s="58">
        <f>VLOOKUP(Table1[[#This Row],[Date]],database!A:B,2,)</f>
        <v>84.506100000000004</v>
      </c>
      <c r="C325" s="66">
        <f t="shared" si="4"/>
        <v>-4.0131248629878824E-3</v>
      </c>
      <c r="D325" s="66">
        <f>(Table1[[#This Row],[Index]]-B313)/B313</f>
        <v>4.7823165015896132E-2</v>
      </c>
    </row>
    <row r="326" spans="1:4" x14ac:dyDescent="0.35">
      <c r="A326" s="17">
        <v>36008</v>
      </c>
      <c r="B326" s="58">
        <f>VLOOKUP(Table1[[#This Row],[Date]],database!A:B,2,)</f>
        <v>86.246399999999994</v>
      </c>
      <c r="C326" s="66">
        <f t="shared" si="4"/>
        <v>2.0593779620642572E-2</v>
      </c>
      <c r="D326" s="66">
        <f>(Table1[[#This Row],[Index]]-B314)/B314</f>
        <v>5.8825262599625658E-2</v>
      </c>
    </row>
    <row r="327" spans="1:4" x14ac:dyDescent="0.35">
      <c r="A327" s="17">
        <v>36039</v>
      </c>
      <c r="B327" s="58">
        <f>VLOOKUP(Table1[[#This Row],[Date]],database!A:B,2,)</f>
        <v>86.170699999999997</v>
      </c>
      <c r="C327" s="66">
        <f t="shared" si="4"/>
        <v>-8.7771779459777655E-4</v>
      </c>
      <c r="D327" s="66">
        <f>(Table1[[#This Row],[Index]]-B315)/B315</f>
        <v>4.8152337858220123E-2</v>
      </c>
    </row>
    <row r="328" spans="1:4" x14ac:dyDescent="0.35">
      <c r="A328" s="17">
        <v>36069</v>
      </c>
      <c r="B328" s="58">
        <f>VLOOKUP(Table1[[#This Row],[Date]],database!A:B,2,)</f>
        <v>86.767099999999999</v>
      </c>
      <c r="C328" s="66">
        <f t="shared" ref="C328:C391" si="5">B328/B327-1</f>
        <v>6.9211460508038503E-3</v>
      </c>
      <c r="D328" s="66">
        <f>(Table1[[#This Row],[Index]]-B316)/B316</f>
        <v>4.6257788110342535E-2</v>
      </c>
    </row>
    <row r="329" spans="1:4" x14ac:dyDescent="0.35">
      <c r="A329" s="17">
        <v>36100</v>
      </c>
      <c r="B329" s="58">
        <f>VLOOKUP(Table1[[#This Row],[Date]],database!A:B,2,)</f>
        <v>86.692899999999995</v>
      </c>
      <c r="C329" s="66">
        <f t="shared" si="5"/>
        <v>-8.5516284398123865E-4</v>
      </c>
      <c r="D329" s="66">
        <f>(Table1[[#This Row],[Index]]-B317)/B317</f>
        <v>3.709689575186112E-2</v>
      </c>
    </row>
    <row r="330" spans="1:4" x14ac:dyDescent="0.35">
      <c r="A330" s="17">
        <v>36130</v>
      </c>
      <c r="B330" s="58">
        <f>VLOOKUP(Table1[[#This Row],[Date]],database!A:B,2,)</f>
        <v>87.063299999999998</v>
      </c>
      <c r="C330" s="66">
        <f t="shared" si="5"/>
        <v>4.2725528849536509E-3</v>
      </c>
      <c r="D330" s="66">
        <f>(Table1[[#This Row],[Index]]-B318)/B318</f>
        <v>3.684309559650157E-2</v>
      </c>
    </row>
    <row r="331" spans="1:4" x14ac:dyDescent="0.35">
      <c r="A331" s="17">
        <v>36161</v>
      </c>
      <c r="B331" s="58">
        <f>VLOOKUP(Table1[[#This Row],[Date]],database!A:B,2,)</f>
        <v>87.425200000000004</v>
      </c>
      <c r="C331" s="66">
        <f t="shared" si="5"/>
        <v>4.1567457240880845E-3</v>
      </c>
      <c r="D331" s="66">
        <f>(Table1[[#This Row],[Index]]-B319)/B319</f>
        <v>3.6498167681723238E-2</v>
      </c>
    </row>
    <row r="332" spans="1:4" x14ac:dyDescent="0.35">
      <c r="A332" s="17">
        <v>36192</v>
      </c>
      <c r="B332" s="58">
        <f>VLOOKUP(Table1[[#This Row],[Date]],database!A:B,2,)</f>
        <v>87.926000000000002</v>
      </c>
      <c r="C332" s="66">
        <f t="shared" si="5"/>
        <v>5.7283254713744736E-3</v>
      </c>
      <c r="D332" s="66">
        <f>(Table1[[#This Row],[Index]]-B320)/B320</f>
        <v>4.0710646079551112E-2</v>
      </c>
    </row>
    <row r="333" spans="1:4" x14ac:dyDescent="0.35">
      <c r="A333" s="17">
        <v>36220</v>
      </c>
      <c r="B333" s="58">
        <f>VLOOKUP(Table1[[#This Row],[Date]],database!A:B,2,)</f>
        <v>88.110100000000003</v>
      </c>
      <c r="C333" s="66">
        <f t="shared" si="5"/>
        <v>2.093806155175848E-3</v>
      </c>
      <c r="D333" s="66">
        <f>(Table1[[#This Row],[Index]]-B321)/B321</f>
        <v>4.246153627728913E-2</v>
      </c>
    </row>
    <row r="334" spans="1:4" x14ac:dyDescent="0.35">
      <c r="A334" s="17">
        <v>36251</v>
      </c>
      <c r="B334" s="58">
        <f>VLOOKUP(Table1[[#This Row],[Date]],database!A:B,2,)</f>
        <v>88.310599999999994</v>
      </c>
      <c r="C334" s="66">
        <f t="shared" si="5"/>
        <v>2.2755620524774756E-3</v>
      </c>
      <c r="D334" s="66">
        <f>(Table1[[#This Row],[Index]]-B322)/B322</f>
        <v>4.1060976687984356E-2</v>
      </c>
    </row>
    <row r="335" spans="1:4" x14ac:dyDescent="0.35">
      <c r="A335" s="17">
        <v>36281</v>
      </c>
      <c r="B335" s="58">
        <f>VLOOKUP(Table1[[#This Row],[Date]],database!A:B,2,)</f>
        <v>88.848699999999994</v>
      </c>
      <c r="C335" s="66">
        <f t="shared" si="5"/>
        <v>6.0932662670165616E-3</v>
      </c>
      <c r="D335" s="66">
        <f>(Table1[[#This Row],[Index]]-B323)/B323</f>
        <v>4.0875308694042538E-2</v>
      </c>
    </row>
    <row r="336" spans="1:4" x14ac:dyDescent="0.35">
      <c r="A336" s="17">
        <v>36312</v>
      </c>
      <c r="B336" s="58">
        <f>VLOOKUP(Table1[[#This Row],[Date]],database!A:B,2,)</f>
        <v>88.797799999999995</v>
      </c>
      <c r="C336" s="66">
        <f t="shared" si="5"/>
        <v>-5.7288401518540422E-4</v>
      </c>
      <c r="D336" s="66">
        <f>(Table1[[#This Row],[Index]]-B324)/B324</f>
        <v>4.6568748777204981E-2</v>
      </c>
    </row>
    <row r="337" spans="1:4" x14ac:dyDescent="0.35">
      <c r="A337" s="17">
        <v>36342</v>
      </c>
      <c r="B337" s="58">
        <f>VLOOKUP(Table1[[#This Row],[Date]],database!A:B,2,)</f>
        <v>89.311899999999994</v>
      </c>
      <c r="C337" s="66">
        <f t="shared" si="5"/>
        <v>5.7895578494062683E-3</v>
      </c>
      <c r="D337" s="66">
        <f>(Table1[[#This Row],[Index]]-B325)/B325</f>
        <v>5.6869267425665018E-2</v>
      </c>
    </row>
    <row r="338" spans="1:4" x14ac:dyDescent="0.35">
      <c r="A338" s="17">
        <v>36373</v>
      </c>
      <c r="B338" s="58">
        <f>VLOOKUP(Table1[[#This Row],[Date]],database!A:B,2,)</f>
        <v>89.710899999999995</v>
      </c>
      <c r="C338" s="66">
        <f t="shared" si="5"/>
        <v>4.4674897745988762E-3</v>
      </c>
      <c r="D338" s="66">
        <f>(Table1[[#This Row],[Index]]-B326)/B326</f>
        <v>4.0169792594241631E-2</v>
      </c>
    </row>
    <row r="339" spans="1:4" x14ac:dyDescent="0.35">
      <c r="A339" s="17">
        <v>36404</v>
      </c>
      <c r="B339" s="58">
        <f>VLOOKUP(Table1[[#This Row],[Date]],database!A:B,2,)</f>
        <v>89.333100000000002</v>
      </c>
      <c r="C339" s="66">
        <f t="shared" si="5"/>
        <v>-4.2113054266538219E-3</v>
      </c>
      <c r="D339" s="66">
        <f>(Table1[[#This Row],[Index]]-B327)/B327</f>
        <v>3.6699249280788077E-2</v>
      </c>
    </row>
    <row r="340" spans="1:4" x14ac:dyDescent="0.35">
      <c r="A340" s="17">
        <v>36434</v>
      </c>
      <c r="B340" s="58">
        <f>VLOOKUP(Table1[[#This Row],[Date]],database!A:B,2,)</f>
        <v>90.492400000000004</v>
      </c>
      <c r="C340" s="66">
        <f t="shared" si="5"/>
        <v>1.2977272701831799E-2</v>
      </c>
      <c r="D340" s="66">
        <f>(Table1[[#This Row],[Index]]-B328)/B328</f>
        <v>4.293447631648406E-2</v>
      </c>
    </row>
    <row r="341" spans="1:4" x14ac:dyDescent="0.35">
      <c r="A341" s="17">
        <v>36465</v>
      </c>
      <c r="B341" s="58">
        <f>VLOOKUP(Table1[[#This Row],[Date]],database!A:B,2,)</f>
        <v>90.965000000000003</v>
      </c>
      <c r="C341" s="66">
        <f t="shared" si="5"/>
        <v>5.2225380252928222E-3</v>
      </c>
      <c r="D341" s="66">
        <f>(Table1[[#This Row],[Index]]-B329)/B329</f>
        <v>4.9278545301864506E-2</v>
      </c>
    </row>
    <row r="342" spans="1:4" x14ac:dyDescent="0.35">
      <c r="A342" s="17">
        <v>36495</v>
      </c>
      <c r="B342" s="58">
        <f>VLOOKUP(Table1[[#This Row],[Date]],database!A:B,2,)</f>
        <v>91.680400000000006</v>
      </c>
      <c r="C342" s="66">
        <f t="shared" si="5"/>
        <v>7.8645632935745446E-3</v>
      </c>
      <c r="D342" s="66">
        <f>(Table1[[#This Row],[Index]]-B330)/B330</f>
        <v>5.3031529932819087E-2</v>
      </c>
    </row>
    <row r="343" spans="1:4" x14ac:dyDescent="0.35">
      <c r="A343" s="17">
        <v>36526</v>
      </c>
      <c r="B343" s="58">
        <f>VLOOKUP(Table1[[#This Row],[Date]],database!A:B,2,)</f>
        <v>91.626099999999994</v>
      </c>
      <c r="C343" s="66">
        <f t="shared" si="5"/>
        <v>-5.9227490281466011E-4</v>
      </c>
      <c r="D343" s="66">
        <f>(Table1[[#This Row],[Index]]-B331)/B331</f>
        <v>4.8051362764969255E-2</v>
      </c>
    </row>
    <row r="344" spans="1:4" x14ac:dyDescent="0.35">
      <c r="A344" s="17">
        <v>36557</v>
      </c>
      <c r="B344" s="58">
        <f>VLOOKUP(Table1[[#This Row],[Date]],database!A:B,2,)</f>
        <v>91.962599999999995</v>
      </c>
      <c r="C344" s="66">
        <f t="shared" si="5"/>
        <v>3.6725343542942657E-3</v>
      </c>
      <c r="D344" s="66">
        <f>(Table1[[#This Row],[Index]]-B332)/B332</f>
        <v>4.5909059891272121E-2</v>
      </c>
    </row>
    <row r="345" spans="1:4" x14ac:dyDescent="0.35">
      <c r="A345" s="17">
        <v>36586</v>
      </c>
      <c r="B345" s="58">
        <f>VLOOKUP(Table1[[#This Row],[Date]],database!A:B,2,)</f>
        <v>92.311800000000005</v>
      </c>
      <c r="C345" s="66">
        <f t="shared" si="5"/>
        <v>3.7971958165603503E-3</v>
      </c>
      <c r="D345" s="66">
        <f>(Table1[[#This Row],[Index]]-B333)/B333</f>
        <v>4.7686928059325805E-2</v>
      </c>
    </row>
    <row r="346" spans="1:4" x14ac:dyDescent="0.35">
      <c r="A346" s="17">
        <v>36617</v>
      </c>
      <c r="B346" s="58">
        <f>VLOOKUP(Table1[[#This Row],[Date]],database!A:B,2,)</f>
        <v>92.887200000000007</v>
      </c>
      <c r="C346" s="66">
        <f t="shared" si="5"/>
        <v>6.2332226215933151E-3</v>
      </c>
      <c r="D346" s="66">
        <f>(Table1[[#This Row],[Index]]-B334)/B334</f>
        <v>5.1823903359279791E-2</v>
      </c>
    </row>
    <row r="347" spans="1:4" x14ac:dyDescent="0.35">
      <c r="A347" s="17">
        <v>36647</v>
      </c>
      <c r="B347" s="58">
        <f>VLOOKUP(Table1[[#This Row],[Date]],database!A:B,2,)</f>
        <v>93.162000000000006</v>
      </c>
      <c r="C347" s="66">
        <f t="shared" si="5"/>
        <v>2.9584269953233377E-3</v>
      </c>
      <c r="D347" s="66">
        <f>(Table1[[#This Row],[Index]]-B335)/B335</f>
        <v>4.8546574119824069E-2</v>
      </c>
    </row>
    <row r="348" spans="1:4" x14ac:dyDescent="0.35">
      <c r="A348" s="17">
        <v>36678</v>
      </c>
      <c r="B348" s="58">
        <f>VLOOKUP(Table1[[#This Row],[Date]],database!A:B,2,)</f>
        <v>93.216800000000006</v>
      </c>
      <c r="C348" s="66">
        <f t="shared" si="5"/>
        <v>5.8822266589375616E-4</v>
      </c>
      <c r="D348" s="66">
        <f>(Table1[[#This Row],[Index]]-B336)/B336</f>
        <v>4.9764746423898019E-2</v>
      </c>
    </row>
    <row r="349" spans="1:4" x14ac:dyDescent="0.35">
      <c r="A349" s="17">
        <v>36708</v>
      </c>
      <c r="B349" s="58">
        <f>VLOOKUP(Table1[[#This Row],[Date]],database!A:B,2,)</f>
        <v>93.04</v>
      </c>
      <c r="C349" s="66">
        <f t="shared" si="5"/>
        <v>-1.8966538220578366E-3</v>
      </c>
      <c r="D349" s="66">
        <f>(Table1[[#This Row],[Index]]-B337)/B337</f>
        <v>4.1742477766120889E-2</v>
      </c>
    </row>
    <row r="350" spans="1:4" x14ac:dyDescent="0.35">
      <c r="A350" s="17">
        <v>36739</v>
      </c>
      <c r="B350" s="58">
        <f>VLOOKUP(Table1[[#This Row],[Date]],database!A:B,2,)</f>
        <v>92.79</v>
      </c>
      <c r="C350" s="66">
        <f t="shared" si="5"/>
        <v>-2.6870163370593669E-3</v>
      </c>
      <c r="D350" s="66">
        <f>(Table1[[#This Row],[Index]]-B338)/B338</f>
        <v>3.4322473634753541E-2</v>
      </c>
    </row>
    <row r="351" spans="1:4" x14ac:dyDescent="0.35">
      <c r="A351" s="17">
        <v>36770</v>
      </c>
      <c r="B351" s="58">
        <f>VLOOKUP(Table1[[#This Row],[Date]],database!A:B,2,)</f>
        <v>93.154700000000005</v>
      </c>
      <c r="C351" s="66">
        <f t="shared" si="5"/>
        <v>3.9303804289254618E-3</v>
      </c>
      <c r="D351" s="66">
        <f>(Table1[[#This Row],[Index]]-B339)/B339</f>
        <v>4.2779216214370752E-2</v>
      </c>
    </row>
    <row r="352" spans="1:4" x14ac:dyDescent="0.35">
      <c r="A352" s="17">
        <v>36800</v>
      </c>
      <c r="B352" s="58">
        <f>VLOOKUP(Table1[[#This Row],[Date]],database!A:B,2,)</f>
        <v>92.836100000000002</v>
      </c>
      <c r="C352" s="66">
        <f t="shared" si="5"/>
        <v>-3.4201172887681208E-3</v>
      </c>
      <c r="D352" s="66">
        <f>(Table1[[#This Row],[Index]]-B340)/B340</f>
        <v>2.5899412547352025E-2</v>
      </c>
    </row>
    <row r="353" spans="1:4" x14ac:dyDescent="0.35">
      <c r="A353" s="17">
        <v>36831</v>
      </c>
      <c r="B353" s="58">
        <f>VLOOKUP(Table1[[#This Row],[Date]],database!A:B,2,)</f>
        <v>92.839500000000001</v>
      </c>
      <c r="C353" s="66">
        <f t="shared" si="5"/>
        <v>3.6623684105618892E-5</v>
      </c>
      <c r="D353" s="66">
        <f>(Table1[[#This Row],[Index]]-B341)/B341</f>
        <v>2.0606826801517038E-2</v>
      </c>
    </row>
    <row r="354" spans="1:4" x14ac:dyDescent="0.35">
      <c r="A354" s="17">
        <v>36861</v>
      </c>
      <c r="B354" s="58">
        <f>VLOOKUP(Table1[[#This Row],[Date]],database!A:B,2,)</f>
        <v>92.5334</v>
      </c>
      <c r="C354" s="66">
        <f t="shared" si="5"/>
        <v>-3.2970879851786927E-3</v>
      </c>
      <c r="D354" s="66">
        <f>(Table1[[#This Row],[Index]]-B342)/B342</f>
        <v>9.3040606280076696E-3</v>
      </c>
    </row>
    <row r="355" spans="1:4" x14ac:dyDescent="0.35">
      <c r="A355" s="17">
        <v>36892</v>
      </c>
      <c r="B355" s="58">
        <f>VLOOKUP(Table1[[#This Row],[Date]],database!A:B,2,)</f>
        <v>92.0304</v>
      </c>
      <c r="C355" s="66">
        <f t="shared" si="5"/>
        <v>-5.4358750461995786E-3</v>
      </c>
      <c r="D355" s="66">
        <f>(Table1[[#This Row],[Index]]-B343)/B343</f>
        <v>4.4124981855607334E-3</v>
      </c>
    </row>
    <row r="356" spans="1:4" x14ac:dyDescent="0.35">
      <c r="A356" s="17">
        <v>36923</v>
      </c>
      <c r="B356" s="58">
        <f>VLOOKUP(Table1[[#This Row],[Date]],database!A:B,2,)</f>
        <v>91.407899999999998</v>
      </c>
      <c r="C356" s="66">
        <f t="shared" si="5"/>
        <v>-6.7640692640692501E-3</v>
      </c>
      <c r="D356" s="66">
        <f>(Table1[[#This Row],[Index]]-B344)/B344</f>
        <v>-6.0317998838657983E-3</v>
      </c>
    </row>
    <row r="357" spans="1:4" x14ac:dyDescent="0.35">
      <c r="A357" s="17">
        <v>36951</v>
      </c>
      <c r="B357" s="58">
        <f>VLOOKUP(Table1[[#This Row],[Date]],database!A:B,2,)</f>
        <v>91.1751</v>
      </c>
      <c r="C357" s="66">
        <f t="shared" si="5"/>
        <v>-2.5468258214005335E-3</v>
      </c>
      <c r="D357" s="66">
        <f>(Table1[[#This Row],[Index]]-B345)/B345</f>
        <v>-1.2313702040259259E-2</v>
      </c>
    </row>
    <row r="358" spans="1:4" x14ac:dyDescent="0.35">
      <c r="A358" s="17">
        <v>36982</v>
      </c>
      <c r="B358" s="58">
        <f>VLOOKUP(Table1[[#This Row],[Date]],database!A:B,2,)</f>
        <v>90.8767</v>
      </c>
      <c r="C358" s="66">
        <f t="shared" si="5"/>
        <v>-3.2728233914741667E-3</v>
      </c>
      <c r="D358" s="66">
        <f>(Table1[[#This Row],[Index]]-B346)/B346</f>
        <v>-2.1644532292931722E-2</v>
      </c>
    </row>
    <row r="359" spans="1:4" x14ac:dyDescent="0.35">
      <c r="A359" s="17">
        <v>37012</v>
      </c>
      <c r="B359" s="58">
        <f>VLOOKUP(Table1[[#This Row],[Date]],database!A:B,2,)</f>
        <v>90.375</v>
      </c>
      <c r="C359" s="66">
        <f t="shared" si="5"/>
        <v>-5.5206670136569436E-3</v>
      </c>
      <c r="D359" s="66">
        <f>(Table1[[#This Row],[Index]]-B347)/B347</f>
        <v>-2.9915630836607265E-2</v>
      </c>
    </row>
    <row r="360" spans="1:4" x14ac:dyDescent="0.35">
      <c r="A360" s="17">
        <v>37043</v>
      </c>
      <c r="B360" s="58">
        <f>VLOOKUP(Table1[[#This Row],[Date]],database!A:B,2,)</f>
        <v>89.8626</v>
      </c>
      <c r="C360" s="66">
        <f t="shared" si="5"/>
        <v>-5.6697095435684908E-3</v>
      </c>
      <c r="D360" s="66">
        <f>(Table1[[#This Row],[Index]]-B348)/B348</f>
        <v>-3.5982784219153692E-2</v>
      </c>
    </row>
    <row r="361" spans="1:4" x14ac:dyDescent="0.35">
      <c r="A361" s="17">
        <v>37073</v>
      </c>
      <c r="B361" s="58">
        <f>VLOOKUP(Table1[[#This Row],[Date]],database!A:B,2,)</f>
        <v>89.328800000000001</v>
      </c>
      <c r="C361" s="66">
        <f t="shared" si="5"/>
        <v>-5.9401797855838101E-3</v>
      </c>
      <c r="D361" s="66">
        <f>(Table1[[#This Row],[Index]]-B349)/B349</f>
        <v>-3.9888220120378383E-2</v>
      </c>
    </row>
    <row r="362" spans="1:4" x14ac:dyDescent="0.35">
      <c r="A362" s="17">
        <v>37104</v>
      </c>
      <c r="B362" s="58">
        <f>VLOOKUP(Table1[[#This Row],[Date]],database!A:B,2,)</f>
        <v>89.220100000000002</v>
      </c>
      <c r="C362" s="66">
        <f t="shared" si="5"/>
        <v>-1.2168527955149777E-3</v>
      </c>
      <c r="D362" s="66">
        <f>(Table1[[#This Row],[Index]]-B350)/B350</f>
        <v>-3.8472895786183896E-2</v>
      </c>
    </row>
    <row r="363" spans="1:4" x14ac:dyDescent="0.35">
      <c r="A363" s="17">
        <v>37135</v>
      </c>
      <c r="B363" s="58">
        <f>VLOOKUP(Table1[[#This Row],[Date]],database!A:B,2,)</f>
        <v>88.747799999999998</v>
      </c>
      <c r="C363" s="66">
        <f t="shared" si="5"/>
        <v>-5.2936501976572625E-3</v>
      </c>
      <c r="D363" s="66">
        <f>(Table1[[#This Row],[Index]]-B351)/B351</f>
        <v>-4.7307328562058673E-2</v>
      </c>
    </row>
    <row r="364" spans="1:4" x14ac:dyDescent="0.35">
      <c r="A364" s="17">
        <v>37165</v>
      </c>
      <c r="B364" s="58">
        <f>VLOOKUP(Table1[[#This Row],[Date]],database!A:B,2,)</f>
        <v>88.475499999999997</v>
      </c>
      <c r="C364" s="66">
        <f t="shared" si="5"/>
        <v>-3.0682450719905496E-3</v>
      </c>
      <c r="D364" s="66">
        <f>(Table1[[#This Row],[Index]]-B352)/B352</f>
        <v>-4.6970952032668378E-2</v>
      </c>
    </row>
    <row r="365" spans="1:4" x14ac:dyDescent="0.35">
      <c r="A365" s="17">
        <v>37196</v>
      </c>
      <c r="B365" s="58">
        <f>VLOOKUP(Table1[[#This Row],[Date]],database!A:B,2,)</f>
        <v>87.963099999999997</v>
      </c>
      <c r="C365" s="66">
        <f t="shared" si="5"/>
        <v>-5.7914337867545074E-3</v>
      </c>
      <c r="D365" s="66">
        <f>(Table1[[#This Row],[Index]]-B353)/B353</f>
        <v>-5.2525056683846896E-2</v>
      </c>
    </row>
    <row r="366" spans="1:4" x14ac:dyDescent="0.35">
      <c r="A366" s="17">
        <v>37226</v>
      </c>
      <c r="B366" s="58">
        <f>VLOOKUP(Table1[[#This Row],[Date]],database!A:B,2,)</f>
        <v>87.932900000000004</v>
      </c>
      <c r="C366" s="66">
        <f t="shared" si="5"/>
        <v>-3.4332578092399757E-4</v>
      </c>
      <c r="D366" s="66">
        <f>(Table1[[#This Row],[Index]]-B354)/B354</f>
        <v>-4.9717183200876619E-2</v>
      </c>
    </row>
    <row r="367" spans="1:4" x14ac:dyDescent="0.35">
      <c r="A367" s="17">
        <v>37257</v>
      </c>
      <c r="B367" s="58">
        <f>VLOOKUP(Table1[[#This Row],[Date]],database!A:B,2,)</f>
        <v>88.545199999999994</v>
      </c>
      <c r="C367" s="66">
        <f t="shared" si="5"/>
        <v>6.9632640342804919E-3</v>
      </c>
      <c r="D367" s="66">
        <f>(Table1[[#This Row],[Index]]-B355)/B355</f>
        <v>-3.7870095099010827E-2</v>
      </c>
    </row>
    <row r="368" spans="1:4" x14ac:dyDescent="0.35">
      <c r="A368" s="17">
        <v>37288</v>
      </c>
      <c r="B368" s="58">
        <f>VLOOKUP(Table1[[#This Row],[Date]],database!A:B,2,)</f>
        <v>88.536199999999994</v>
      </c>
      <c r="C368" s="66">
        <f t="shared" si="5"/>
        <v>-1.0164300266979343E-4</v>
      </c>
      <c r="D368" s="66">
        <f>(Table1[[#This Row],[Index]]-B356)/B356</f>
        <v>-3.1416321784003401E-2</v>
      </c>
    </row>
    <row r="369" spans="1:4" x14ac:dyDescent="0.35">
      <c r="A369" s="17">
        <v>37316</v>
      </c>
      <c r="B369" s="58">
        <f>VLOOKUP(Table1[[#This Row],[Date]],database!A:B,2,)</f>
        <v>89.209699999999998</v>
      </c>
      <c r="C369" s="66">
        <f t="shared" si="5"/>
        <v>7.6070579039986264E-3</v>
      </c>
      <c r="D369" s="66">
        <f>(Table1[[#This Row],[Index]]-B357)/B357</f>
        <v>-2.1556324040225922E-2</v>
      </c>
    </row>
    <row r="370" spans="1:4" x14ac:dyDescent="0.35">
      <c r="A370" s="17">
        <v>37347</v>
      </c>
      <c r="B370" s="58">
        <f>VLOOKUP(Table1[[#This Row],[Date]],database!A:B,2,)</f>
        <v>89.638900000000007</v>
      </c>
      <c r="C370" s="66">
        <f t="shared" si="5"/>
        <v>4.8111360087526034E-3</v>
      </c>
      <c r="D370" s="66">
        <f>(Table1[[#This Row],[Index]]-B358)/B358</f>
        <v>-1.3620653038677603E-2</v>
      </c>
    </row>
    <row r="371" spans="1:4" x14ac:dyDescent="0.35">
      <c r="A371" s="17">
        <v>37377</v>
      </c>
      <c r="B371" s="58">
        <f>VLOOKUP(Table1[[#This Row],[Date]],database!A:B,2,)</f>
        <v>90.027100000000004</v>
      </c>
      <c r="C371" s="66">
        <f t="shared" si="5"/>
        <v>4.3307091006248299E-3</v>
      </c>
      <c r="D371" s="66">
        <f>(Table1[[#This Row],[Index]]-B359)/B359</f>
        <v>-3.849515905947393E-3</v>
      </c>
    </row>
    <row r="372" spans="1:4" x14ac:dyDescent="0.35">
      <c r="A372" s="17">
        <v>37408</v>
      </c>
      <c r="B372" s="58">
        <f>VLOOKUP(Table1[[#This Row],[Date]],database!A:B,2,)</f>
        <v>90.764499999999998</v>
      </c>
      <c r="C372" s="66">
        <f t="shared" si="5"/>
        <v>8.1908669722783323E-3</v>
      </c>
      <c r="D372" s="66">
        <f>(Table1[[#This Row],[Index]]-B360)/B360</f>
        <v>1.0036433399434221E-2</v>
      </c>
    </row>
    <row r="373" spans="1:4" x14ac:dyDescent="0.35">
      <c r="A373" s="17">
        <v>37438</v>
      </c>
      <c r="B373" s="58">
        <f>VLOOKUP(Table1[[#This Row],[Date]],database!A:B,2,)</f>
        <v>90.743700000000004</v>
      </c>
      <c r="C373" s="66">
        <f t="shared" si="5"/>
        <v>-2.2916448611509654E-4</v>
      </c>
      <c r="D373" s="66">
        <f>(Table1[[#This Row],[Index]]-B361)/B361</f>
        <v>1.5839236617977662E-2</v>
      </c>
    </row>
    <row r="374" spans="1:4" x14ac:dyDescent="0.35">
      <c r="A374" s="17">
        <v>37469</v>
      </c>
      <c r="B374" s="58">
        <f>VLOOKUP(Table1[[#This Row],[Date]],database!A:B,2,)</f>
        <v>90.626800000000003</v>
      </c>
      <c r="C374" s="66">
        <f t="shared" si="5"/>
        <v>-1.2882437017666115E-3</v>
      </c>
      <c r="D374" s="66">
        <f>(Table1[[#This Row],[Index]]-B362)/B362</f>
        <v>1.5766626578540045E-2</v>
      </c>
    </row>
    <row r="375" spans="1:4" x14ac:dyDescent="0.35">
      <c r="A375" s="17">
        <v>37500</v>
      </c>
      <c r="B375" s="58">
        <f>VLOOKUP(Table1[[#This Row],[Date]],database!A:B,2,)</f>
        <v>90.724100000000007</v>
      </c>
      <c r="C375" s="66">
        <f t="shared" si="5"/>
        <v>1.073633847824329E-3</v>
      </c>
      <c r="D375" s="66">
        <f>(Table1[[#This Row],[Index]]-B363)/B363</f>
        <v>2.2268721027450925E-2</v>
      </c>
    </row>
    <row r="376" spans="1:4" x14ac:dyDescent="0.35">
      <c r="A376" s="17">
        <v>37530</v>
      </c>
      <c r="B376" s="58">
        <f>VLOOKUP(Table1[[#This Row],[Date]],database!A:B,2,)</f>
        <v>90.487899999999996</v>
      </c>
      <c r="C376" s="66">
        <f t="shared" si="5"/>
        <v>-2.603497857790904E-3</v>
      </c>
      <c r="D376" s="66">
        <f>(Table1[[#This Row],[Index]]-B364)/B364</f>
        <v>2.2745279766715074E-2</v>
      </c>
    </row>
    <row r="377" spans="1:4" x14ac:dyDescent="0.35">
      <c r="A377" s="17">
        <v>37561</v>
      </c>
      <c r="B377" s="58">
        <f>VLOOKUP(Table1[[#This Row],[Date]],database!A:B,2,)</f>
        <v>90.982299999999995</v>
      </c>
      <c r="C377" s="66">
        <f t="shared" si="5"/>
        <v>5.4637139330231399E-3</v>
      </c>
      <c r="D377" s="66">
        <f>(Table1[[#This Row],[Index]]-B365)/B365</f>
        <v>3.432348336973115E-2</v>
      </c>
    </row>
    <row r="378" spans="1:4" x14ac:dyDescent="0.35">
      <c r="A378" s="17">
        <v>37591</v>
      </c>
      <c r="B378" s="58">
        <f>VLOOKUP(Table1[[#This Row],[Date]],database!A:B,2,)</f>
        <v>90.491900000000001</v>
      </c>
      <c r="C378" s="66">
        <f t="shared" si="5"/>
        <v>-5.390059385177004E-3</v>
      </c>
      <c r="D378" s="66">
        <f>(Table1[[#This Row],[Index]]-B366)/B366</f>
        <v>2.9101735527885437E-2</v>
      </c>
    </row>
    <row r="379" spans="1:4" x14ac:dyDescent="0.35">
      <c r="A379" s="17">
        <v>37622</v>
      </c>
      <c r="B379" s="58">
        <f>VLOOKUP(Table1[[#This Row],[Date]],database!A:B,2,)</f>
        <v>91.239500000000007</v>
      </c>
      <c r="C379" s="66">
        <f t="shared" si="5"/>
        <v>8.2615129088903227E-3</v>
      </c>
      <c r="D379" s="66">
        <f>(Table1[[#This Row],[Index]]-B367)/B367</f>
        <v>3.0428526899256118E-2</v>
      </c>
    </row>
    <row r="380" spans="1:4" x14ac:dyDescent="0.35">
      <c r="A380" s="17">
        <v>37653</v>
      </c>
      <c r="B380" s="58">
        <f>VLOOKUP(Table1[[#This Row],[Date]],database!A:B,2,)</f>
        <v>91.338399999999993</v>
      </c>
      <c r="C380" s="66">
        <f t="shared" si="5"/>
        <v>1.0839603461219038E-3</v>
      </c>
      <c r="D380" s="66">
        <f>(Table1[[#This Row],[Index]]-B368)/B368</f>
        <v>3.165033059923511E-2</v>
      </c>
    </row>
    <row r="381" spans="1:4" x14ac:dyDescent="0.35">
      <c r="A381" s="17">
        <v>37681</v>
      </c>
      <c r="B381" s="58">
        <f>VLOOKUP(Table1[[#This Row],[Date]],database!A:B,2,)</f>
        <v>91.069000000000003</v>
      </c>
      <c r="C381" s="66">
        <f t="shared" si="5"/>
        <v>-2.9494714161840685E-3</v>
      </c>
      <c r="D381" s="66">
        <f>(Table1[[#This Row],[Index]]-B369)/B369</f>
        <v>2.0841903963358298E-2</v>
      </c>
    </row>
    <row r="382" spans="1:4" x14ac:dyDescent="0.35">
      <c r="A382" s="17">
        <v>37712</v>
      </c>
      <c r="B382" s="58">
        <f>VLOOKUP(Table1[[#This Row],[Date]],database!A:B,2,)</f>
        <v>90.491299999999995</v>
      </c>
      <c r="C382" s="66">
        <f t="shared" si="5"/>
        <v>-6.3435417101319613E-3</v>
      </c>
      <c r="D382" s="66">
        <f>(Table1[[#This Row],[Index]]-B370)/B370</f>
        <v>9.5092643930256692E-3</v>
      </c>
    </row>
    <row r="383" spans="1:4" x14ac:dyDescent="0.35">
      <c r="A383" s="17">
        <v>37742</v>
      </c>
      <c r="B383" s="58">
        <f>VLOOKUP(Table1[[#This Row],[Date]],database!A:B,2,)</f>
        <v>90.469700000000003</v>
      </c>
      <c r="C383" s="66">
        <f t="shared" si="5"/>
        <v>-2.3869697970957393E-4</v>
      </c>
      <c r="D383" s="66">
        <f>(Table1[[#This Row],[Index]]-B371)/B371</f>
        <v>4.9162974259972687E-3</v>
      </c>
    </row>
    <row r="384" spans="1:4" x14ac:dyDescent="0.35">
      <c r="A384" s="17">
        <v>37773</v>
      </c>
      <c r="B384" s="58">
        <f>VLOOKUP(Table1[[#This Row],[Date]],database!A:B,2,)</f>
        <v>90.5899</v>
      </c>
      <c r="C384" s="66">
        <f t="shared" si="5"/>
        <v>1.3286216269092765E-3</v>
      </c>
      <c r="D384" s="66">
        <f>(Table1[[#This Row],[Index]]-B372)/B372</f>
        <v>-1.9236595805628644E-3</v>
      </c>
    </row>
    <row r="385" spans="1:4" x14ac:dyDescent="0.35">
      <c r="A385" s="17">
        <v>37803</v>
      </c>
      <c r="B385" s="58">
        <f>VLOOKUP(Table1[[#This Row],[Date]],database!A:B,2,)</f>
        <v>91.061400000000006</v>
      </c>
      <c r="C385" s="66">
        <f t="shared" si="5"/>
        <v>5.2047744836898335E-3</v>
      </c>
      <c r="D385" s="66">
        <f>(Table1[[#This Row],[Index]]-B373)/B373</f>
        <v>3.5010694957336112E-3</v>
      </c>
    </row>
    <row r="386" spans="1:4" x14ac:dyDescent="0.35">
      <c r="A386" s="17">
        <v>37834</v>
      </c>
      <c r="B386" s="58">
        <f>VLOOKUP(Table1[[#This Row],[Date]],database!A:B,2,)</f>
        <v>90.845200000000006</v>
      </c>
      <c r="C386" s="66">
        <f t="shared" si="5"/>
        <v>-2.374222228079037E-3</v>
      </c>
      <c r="D386" s="66">
        <f>(Table1[[#This Row],[Index]]-B374)/B374</f>
        <v>2.4098831692170811E-3</v>
      </c>
    </row>
    <row r="387" spans="1:4" x14ac:dyDescent="0.35">
      <c r="A387" s="17">
        <v>37865</v>
      </c>
      <c r="B387" s="58">
        <f>VLOOKUP(Table1[[#This Row],[Date]],database!A:B,2,)</f>
        <v>91.445300000000003</v>
      </c>
      <c r="C387" s="66">
        <f t="shared" si="5"/>
        <v>6.6057425158401184E-3</v>
      </c>
      <c r="D387" s="66">
        <f>(Table1[[#This Row],[Index]]-B375)/B375</f>
        <v>7.9493761856000329E-3</v>
      </c>
    </row>
    <row r="388" spans="1:4" x14ac:dyDescent="0.35">
      <c r="A388" s="17">
        <v>37895</v>
      </c>
      <c r="B388" s="58">
        <f>VLOOKUP(Table1[[#This Row],[Date]],database!A:B,2,)</f>
        <v>91.5595</v>
      </c>
      <c r="C388" s="66">
        <f t="shared" si="5"/>
        <v>1.2488340024034983E-3</v>
      </c>
      <c r="D388" s="66">
        <f>(Table1[[#This Row],[Index]]-B376)/B376</f>
        <v>1.1842467335411737E-2</v>
      </c>
    </row>
    <row r="389" spans="1:4" x14ac:dyDescent="0.35">
      <c r="A389" s="17">
        <v>37926</v>
      </c>
      <c r="B389" s="58">
        <f>VLOOKUP(Table1[[#This Row],[Date]],database!A:B,2,)</f>
        <v>92.176299999999998</v>
      </c>
      <c r="C389" s="66">
        <f t="shared" si="5"/>
        <v>6.7366029740223432E-3</v>
      </c>
      <c r="D389" s="66">
        <f>(Table1[[#This Row],[Index]]-B377)/B377</f>
        <v>1.3123431700451656E-2</v>
      </c>
    </row>
    <row r="390" spans="1:4" x14ac:dyDescent="0.35">
      <c r="A390" s="17">
        <v>37956</v>
      </c>
      <c r="B390" s="58">
        <f>VLOOKUP(Table1[[#This Row],[Date]],database!A:B,2,)</f>
        <v>92.253200000000007</v>
      </c>
      <c r="C390" s="66">
        <f t="shared" si="5"/>
        <v>8.3427084836351639E-4</v>
      </c>
      <c r="D390" s="66">
        <f>(Table1[[#This Row],[Index]]-B378)/B378</f>
        <v>1.9463620500840467E-2</v>
      </c>
    </row>
    <row r="391" spans="1:4" x14ac:dyDescent="0.35">
      <c r="A391" s="17">
        <v>37987</v>
      </c>
      <c r="B391" s="58">
        <f>VLOOKUP(Table1[[#This Row],[Date]],database!A:B,2,)</f>
        <v>92.406700000000001</v>
      </c>
      <c r="C391" s="66">
        <f t="shared" si="5"/>
        <v>1.6638989216632982E-3</v>
      </c>
      <c r="D391" s="66">
        <f>(Table1[[#This Row],[Index]]-B379)/B379</f>
        <v>1.2792704913990037E-2</v>
      </c>
    </row>
    <row r="392" spans="1:4" x14ac:dyDescent="0.35">
      <c r="A392" s="17">
        <v>38018</v>
      </c>
      <c r="B392" s="58">
        <f>VLOOKUP(Table1[[#This Row],[Date]],database!A:B,2,)</f>
        <v>92.968699999999998</v>
      </c>
      <c r="C392" s="66">
        <f t="shared" ref="C392:C455" si="6">B392/B391-1</f>
        <v>6.0818100851993684E-3</v>
      </c>
      <c r="D392" s="66">
        <f>(Table1[[#This Row],[Index]]-B380)/B380</f>
        <v>1.7849009835950766E-2</v>
      </c>
    </row>
    <row r="393" spans="1:4" x14ac:dyDescent="0.35">
      <c r="A393" s="17">
        <v>38047</v>
      </c>
      <c r="B393" s="58">
        <f>VLOOKUP(Table1[[#This Row],[Date]],database!A:B,2,)</f>
        <v>92.6</v>
      </c>
      <c r="C393" s="66">
        <f t="shared" si="6"/>
        <v>-3.9658508723904307E-3</v>
      </c>
      <c r="D393" s="66">
        <f>(Table1[[#This Row],[Index]]-B381)/B381</f>
        <v>1.6811428696922023E-2</v>
      </c>
    </row>
    <row r="394" spans="1:4" x14ac:dyDescent="0.35">
      <c r="A394" s="17">
        <v>38078</v>
      </c>
      <c r="B394" s="58">
        <f>VLOOKUP(Table1[[#This Row],[Date]],database!A:B,2,)</f>
        <v>92.976100000000002</v>
      </c>
      <c r="C394" s="66">
        <f t="shared" si="6"/>
        <v>4.0615550755940255E-3</v>
      </c>
      <c r="D394" s="66">
        <f>(Table1[[#This Row],[Index]]-B382)/B382</f>
        <v>2.7458993295488152E-2</v>
      </c>
    </row>
    <row r="395" spans="1:4" x14ac:dyDescent="0.35">
      <c r="A395" s="17">
        <v>38108</v>
      </c>
      <c r="B395" s="58">
        <f>VLOOKUP(Table1[[#This Row],[Date]],database!A:B,2,)</f>
        <v>93.644599999999997</v>
      </c>
      <c r="C395" s="66">
        <f t="shared" si="6"/>
        <v>7.1900198007874838E-3</v>
      </c>
      <c r="D395" s="66">
        <f>(Table1[[#This Row],[Index]]-B383)/B383</f>
        <v>3.5093517498123609E-2</v>
      </c>
    </row>
    <row r="396" spans="1:4" x14ac:dyDescent="0.35">
      <c r="A396" s="17">
        <v>38139</v>
      </c>
      <c r="B396" s="58">
        <f>VLOOKUP(Table1[[#This Row],[Date]],database!A:B,2,)</f>
        <v>92.930300000000003</v>
      </c>
      <c r="C396" s="66">
        <f t="shared" si="6"/>
        <v>-7.6277756539084862E-3</v>
      </c>
      <c r="D396" s="66">
        <f>(Table1[[#This Row],[Index]]-B384)/B384</f>
        <v>2.5835109653504447E-2</v>
      </c>
    </row>
    <row r="397" spans="1:4" x14ac:dyDescent="0.35">
      <c r="A397" s="17">
        <v>38169</v>
      </c>
      <c r="B397" s="58">
        <f>VLOOKUP(Table1[[#This Row],[Date]],database!A:B,2,)</f>
        <v>93.610900000000001</v>
      </c>
      <c r="C397" s="66">
        <f t="shared" si="6"/>
        <v>7.3237684587266205E-3</v>
      </c>
      <c r="D397" s="66">
        <f>(Table1[[#This Row],[Index]]-B385)/B385</f>
        <v>2.7997592832967585E-2</v>
      </c>
    </row>
    <row r="398" spans="1:4" x14ac:dyDescent="0.35">
      <c r="A398" s="17">
        <v>38200</v>
      </c>
      <c r="B398" s="58">
        <f>VLOOKUP(Table1[[#This Row],[Date]],database!A:B,2,)</f>
        <v>93.695800000000006</v>
      </c>
      <c r="C398" s="66">
        <f t="shared" si="6"/>
        <v>9.0694566551552391E-4</v>
      </c>
      <c r="D398" s="66">
        <f>(Table1[[#This Row],[Index]]-B386)/B386</f>
        <v>3.1378652917270253E-2</v>
      </c>
    </row>
    <row r="399" spans="1:4" x14ac:dyDescent="0.35">
      <c r="A399" s="17">
        <v>38231</v>
      </c>
      <c r="B399" s="58">
        <f>VLOOKUP(Table1[[#This Row],[Date]],database!A:B,2,)</f>
        <v>93.7958</v>
      </c>
      <c r="C399" s="66">
        <f t="shared" si="6"/>
        <v>1.0672836989491508E-3</v>
      </c>
      <c r="D399" s="66">
        <f>(Table1[[#This Row],[Index]]-B387)/B387</f>
        <v>2.5703890741240902E-2</v>
      </c>
    </row>
    <row r="400" spans="1:4" x14ac:dyDescent="0.35">
      <c r="A400" s="17">
        <v>38261</v>
      </c>
      <c r="B400" s="58">
        <f>VLOOKUP(Table1[[#This Row],[Date]],database!A:B,2,)</f>
        <v>94.622600000000006</v>
      </c>
      <c r="C400" s="66">
        <f t="shared" si="6"/>
        <v>8.8148936306318149E-3</v>
      </c>
      <c r="D400" s="66">
        <f>(Table1[[#This Row],[Index]]-B388)/B388</f>
        <v>3.3454748005395461E-2</v>
      </c>
    </row>
    <row r="401" spans="1:4" x14ac:dyDescent="0.35">
      <c r="A401" s="17">
        <v>38292</v>
      </c>
      <c r="B401" s="58">
        <f>VLOOKUP(Table1[[#This Row],[Date]],database!A:B,2,)</f>
        <v>94.849100000000007</v>
      </c>
      <c r="C401" s="66">
        <f t="shared" si="6"/>
        <v>2.3937198935561899E-3</v>
      </c>
      <c r="D401" s="66">
        <f>(Table1[[#This Row],[Index]]-B389)/B389</f>
        <v>2.8996607587850776E-2</v>
      </c>
    </row>
    <row r="402" spans="1:4" x14ac:dyDescent="0.35">
      <c r="A402" s="17">
        <v>38322</v>
      </c>
      <c r="B402" s="58">
        <f>VLOOKUP(Table1[[#This Row],[Date]],database!A:B,2,)</f>
        <v>95.584100000000007</v>
      </c>
      <c r="C402" s="66">
        <f t="shared" si="6"/>
        <v>7.7491510198830493E-3</v>
      </c>
      <c r="D402" s="66">
        <f>(Table1[[#This Row],[Index]]-B390)/B390</f>
        <v>3.6106064613476818E-2</v>
      </c>
    </row>
    <row r="403" spans="1:4" x14ac:dyDescent="0.35">
      <c r="A403" s="17">
        <v>38353</v>
      </c>
      <c r="B403" s="58">
        <f>VLOOKUP(Table1[[#This Row],[Date]],database!A:B,2,)</f>
        <v>95.9285</v>
      </c>
      <c r="C403" s="66">
        <f t="shared" si="6"/>
        <v>3.603109722223552E-3</v>
      </c>
      <c r="D403" s="66">
        <f>(Table1[[#This Row],[Index]]-B391)/B391</f>
        <v>3.8111955085507854E-2</v>
      </c>
    </row>
    <row r="404" spans="1:4" x14ac:dyDescent="0.35">
      <c r="A404" s="17">
        <v>38384</v>
      </c>
      <c r="B404" s="58">
        <f>VLOOKUP(Table1[[#This Row],[Date]],database!A:B,2,)</f>
        <v>96.628699999999995</v>
      </c>
      <c r="C404" s="66">
        <f t="shared" si="6"/>
        <v>7.2991863731841633E-3</v>
      </c>
      <c r="D404" s="66">
        <f>(Table1[[#This Row],[Index]]-B392)/B392</f>
        <v>3.9368088399644147E-2</v>
      </c>
    </row>
    <row r="405" spans="1:4" x14ac:dyDescent="0.35">
      <c r="A405" s="17">
        <v>38412</v>
      </c>
      <c r="B405" s="58">
        <f>VLOOKUP(Table1[[#This Row],[Date]],database!A:B,2,)</f>
        <v>96.490700000000004</v>
      </c>
      <c r="C405" s="66">
        <f t="shared" si="6"/>
        <v>-1.4281471239909749E-3</v>
      </c>
      <c r="D405" s="66">
        <f>(Table1[[#This Row],[Index]]-B393)/B393</f>
        <v>4.201619870410378E-2</v>
      </c>
    </row>
    <row r="406" spans="1:4" x14ac:dyDescent="0.35">
      <c r="A406" s="17">
        <v>38443</v>
      </c>
      <c r="B406" s="58">
        <f>VLOOKUP(Table1[[#This Row],[Date]],database!A:B,2,)</f>
        <v>96.680899999999994</v>
      </c>
      <c r="C406" s="66">
        <f t="shared" si="6"/>
        <v>1.971174424063582E-3</v>
      </c>
      <c r="D406" s="66">
        <f>(Table1[[#This Row],[Index]]-B394)/B394</f>
        <v>3.9846799338754707E-2</v>
      </c>
    </row>
    <row r="407" spans="1:4" x14ac:dyDescent="0.35">
      <c r="A407" s="17">
        <v>38473</v>
      </c>
      <c r="B407" s="58">
        <f>VLOOKUP(Table1[[#This Row],[Date]],database!A:B,2,)</f>
        <v>96.792500000000004</v>
      </c>
      <c r="C407" s="66">
        <f t="shared" si="6"/>
        <v>1.1543127960125243E-3</v>
      </c>
      <c r="D407" s="66">
        <f>(Table1[[#This Row],[Index]]-B395)/B395</f>
        <v>3.3615392665460764E-2</v>
      </c>
    </row>
    <row r="408" spans="1:4" x14ac:dyDescent="0.35">
      <c r="A408" s="17">
        <v>38504</v>
      </c>
      <c r="B408" s="58">
        <f>VLOOKUP(Table1[[#This Row],[Date]],database!A:B,2,)</f>
        <v>97.19</v>
      </c>
      <c r="C408" s="66">
        <f t="shared" si="6"/>
        <v>4.1067231448717045E-3</v>
      </c>
      <c r="D408" s="66">
        <f>(Table1[[#This Row],[Index]]-B396)/B396</f>
        <v>4.5837579347102024E-2</v>
      </c>
    </row>
    <row r="409" spans="1:4" x14ac:dyDescent="0.35">
      <c r="A409" s="17">
        <v>38534</v>
      </c>
      <c r="B409" s="58">
        <f>VLOOKUP(Table1[[#This Row],[Date]],database!A:B,2,)</f>
        <v>96.898099999999999</v>
      </c>
      <c r="C409" s="66">
        <f t="shared" si="6"/>
        <v>-3.0033954110505467E-3</v>
      </c>
      <c r="D409" s="66">
        <f>(Table1[[#This Row],[Index]]-B397)/B397</f>
        <v>3.5115568806623997E-2</v>
      </c>
    </row>
    <row r="410" spans="1:4" x14ac:dyDescent="0.35">
      <c r="A410" s="17">
        <v>38565</v>
      </c>
      <c r="B410" s="58">
        <f>VLOOKUP(Table1[[#This Row],[Date]],database!A:B,2,)</f>
        <v>97.222300000000004</v>
      </c>
      <c r="C410" s="66">
        <f t="shared" si="6"/>
        <v>3.3457828378471444E-3</v>
      </c>
      <c r="D410" s="66">
        <f>(Table1[[#This Row],[Index]]-B398)/B398</f>
        <v>3.7637759643441848E-2</v>
      </c>
    </row>
    <row r="411" spans="1:4" x14ac:dyDescent="0.35">
      <c r="A411" s="17">
        <v>38596</v>
      </c>
      <c r="B411" s="58">
        <f>VLOOKUP(Table1[[#This Row],[Date]],database!A:B,2,)</f>
        <v>95.346299999999999</v>
      </c>
      <c r="C411" s="66">
        <f t="shared" si="6"/>
        <v>-1.9295984563212354E-2</v>
      </c>
      <c r="D411" s="66">
        <f>(Table1[[#This Row],[Index]]-B399)/B399</f>
        <v>1.6530590921981576E-2</v>
      </c>
    </row>
    <row r="412" spans="1:4" x14ac:dyDescent="0.35">
      <c r="A412" s="17">
        <v>38626</v>
      </c>
      <c r="B412" s="58">
        <f>VLOOKUP(Table1[[#This Row],[Date]],database!A:B,2,)</f>
        <v>96.498099999999994</v>
      </c>
      <c r="C412" s="66">
        <f t="shared" si="6"/>
        <v>1.2080175109049796E-2</v>
      </c>
      <c r="D412" s="66">
        <f>(Table1[[#This Row],[Index]]-B400)/B400</f>
        <v>1.9820846182624322E-2</v>
      </c>
    </row>
    <row r="413" spans="1:4" x14ac:dyDescent="0.35">
      <c r="A413" s="17">
        <v>38657</v>
      </c>
      <c r="B413" s="58">
        <f>VLOOKUP(Table1[[#This Row],[Date]],database!A:B,2,)</f>
        <v>97.564599999999999</v>
      </c>
      <c r="C413" s="66">
        <f t="shared" si="6"/>
        <v>1.1052031076259627E-2</v>
      </c>
      <c r="D413" s="66">
        <f>(Table1[[#This Row],[Index]]-B401)/B401</f>
        <v>2.8629686523119265E-2</v>
      </c>
    </row>
    <row r="414" spans="1:4" x14ac:dyDescent="0.35">
      <c r="A414" s="17">
        <v>38687</v>
      </c>
      <c r="B414" s="58">
        <f>VLOOKUP(Table1[[#This Row],[Date]],database!A:B,2,)</f>
        <v>98.022199999999998</v>
      </c>
      <c r="C414" s="66">
        <f t="shared" si="6"/>
        <v>4.6902257581131757E-3</v>
      </c>
      <c r="D414" s="66">
        <f>(Table1[[#This Row],[Index]]-B402)/B402</f>
        <v>2.5507380411595563E-2</v>
      </c>
    </row>
    <row r="415" spans="1:4" x14ac:dyDescent="0.35">
      <c r="A415" s="17">
        <v>38718</v>
      </c>
      <c r="B415" s="58">
        <f>VLOOKUP(Table1[[#This Row],[Date]],database!A:B,2,)</f>
        <v>98.204400000000007</v>
      </c>
      <c r="C415" s="66">
        <f t="shared" si="6"/>
        <v>1.8587626068380381E-3</v>
      </c>
      <c r="D415" s="66">
        <f>(Table1[[#This Row],[Index]]-B403)/B403</f>
        <v>2.3724961820522653E-2</v>
      </c>
    </row>
    <row r="416" spans="1:4" x14ac:dyDescent="0.35">
      <c r="A416" s="17">
        <v>38749</v>
      </c>
      <c r="B416" s="58">
        <f>VLOOKUP(Table1[[#This Row],[Date]],database!A:B,2,)</f>
        <v>98.240399999999994</v>
      </c>
      <c r="C416" s="66">
        <f t="shared" si="6"/>
        <v>3.6658235272546413E-4</v>
      </c>
      <c r="D416" s="66">
        <f>(Table1[[#This Row],[Index]]-B404)/B404</f>
        <v>1.6679309563307786E-2</v>
      </c>
    </row>
    <row r="417" spans="1:4" x14ac:dyDescent="0.35">
      <c r="A417" s="17">
        <v>38777</v>
      </c>
      <c r="B417" s="58">
        <f>VLOOKUP(Table1[[#This Row],[Date]],database!A:B,2,)</f>
        <v>98.474199999999996</v>
      </c>
      <c r="C417" s="66">
        <f t="shared" si="6"/>
        <v>2.3798763034352799E-3</v>
      </c>
      <c r="D417" s="66">
        <f>(Table1[[#This Row],[Index]]-B405)/B405</f>
        <v>2.0556385226762706E-2</v>
      </c>
    </row>
    <row r="418" spans="1:4" x14ac:dyDescent="0.35">
      <c r="A418" s="17">
        <v>38808</v>
      </c>
      <c r="B418" s="58">
        <f>VLOOKUP(Table1[[#This Row],[Date]],database!A:B,2,)</f>
        <v>98.776499999999999</v>
      </c>
      <c r="C418" s="66">
        <f t="shared" si="6"/>
        <v>3.0698396128123751E-3</v>
      </c>
      <c r="D418" s="66">
        <f>(Table1[[#This Row],[Index]]-B406)/B406</f>
        <v>2.1675429169567152E-2</v>
      </c>
    </row>
    <row r="419" spans="1:4" x14ac:dyDescent="0.35">
      <c r="A419" s="17">
        <v>38838</v>
      </c>
      <c r="B419" s="58">
        <f>VLOOKUP(Table1[[#This Row],[Date]],database!A:B,2,)</f>
        <v>98.788399999999996</v>
      </c>
      <c r="C419" s="66">
        <f t="shared" si="6"/>
        <v>1.2047399938230896E-4</v>
      </c>
      <c r="D419" s="66">
        <f>(Table1[[#This Row],[Index]]-B407)/B407</f>
        <v>2.0620399307797521E-2</v>
      </c>
    </row>
    <row r="420" spans="1:4" x14ac:dyDescent="0.35">
      <c r="A420" s="17">
        <v>38869</v>
      </c>
      <c r="B420" s="58">
        <f>VLOOKUP(Table1[[#This Row],[Date]],database!A:B,2,)</f>
        <v>99.106899999999996</v>
      </c>
      <c r="C420" s="66">
        <f t="shared" si="6"/>
        <v>3.2240627442088332E-3</v>
      </c>
      <c r="D420" s="66">
        <f>(Table1[[#This Row],[Index]]-B408)/B408</f>
        <v>1.9723222553760657E-2</v>
      </c>
    </row>
    <row r="421" spans="1:4" x14ac:dyDescent="0.35">
      <c r="A421" s="17">
        <v>38899</v>
      </c>
      <c r="B421" s="58">
        <f>VLOOKUP(Table1[[#This Row],[Date]],database!A:B,2,)</f>
        <v>99.035700000000006</v>
      </c>
      <c r="C421" s="66">
        <f t="shared" si="6"/>
        <v>-7.1841617485757236E-4</v>
      </c>
      <c r="D421" s="66">
        <f>(Table1[[#This Row],[Index]]-B409)/B409</f>
        <v>2.2060288075824049E-2</v>
      </c>
    </row>
    <row r="422" spans="1:4" x14ac:dyDescent="0.35">
      <c r="A422" s="17">
        <v>38930</v>
      </c>
      <c r="B422" s="58">
        <f>VLOOKUP(Table1[[#This Row],[Date]],database!A:B,2,)</f>
        <v>99.458299999999994</v>
      </c>
      <c r="C422" s="66">
        <f t="shared" si="6"/>
        <v>4.2671481092171337E-3</v>
      </c>
      <c r="D422" s="66">
        <f>(Table1[[#This Row],[Index]]-B410)/B410</f>
        <v>2.2998838743786044E-2</v>
      </c>
    </row>
    <row r="423" spans="1:4" x14ac:dyDescent="0.35">
      <c r="A423" s="17">
        <v>38961</v>
      </c>
      <c r="B423" s="58">
        <f>VLOOKUP(Table1[[#This Row],[Date]],database!A:B,2,)</f>
        <v>99.254400000000004</v>
      </c>
      <c r="C423" s="66">
        <f t="shared" si="6"/>
        <v>-2.0501054210657621E-3</v>
      </c>
      <c r="D423" s="66">
        <f>(Table1[[#This Row],[Index]]-B411)/B411</f>
        <v>4.098848093738304E-2</v>
      </c>
    </row>
    <row r="424" spans="1:4" x14ac:dyDescent="0.35">
      <c r="A424" s="17">
        <v>38991</v>
      </c>
      <c r="B424" s="58">
        <f>VLOOKUP(Table1[[#This Row],[Date]],database!A:B,2,)</f>
        <v>99.151399999999995</v>
      </c>
      <c r="C424" s="66">
        <f t="shared" si="6"/>
        <v>-1.0377373698294834E-3</v>
      </c>
      <c r="D424" s="66">
        <f>(Table1[[#This Row],[Index]]-B412)/B412</f>
        <v>2.7495878157186533E-2</v>
      </c>
    </row>
    <row r="425" spans="1:4" x14ac:dyDescent="0.35">
      <c r="A425" s="17">
        <v>39022</v>
      </c>
      <c r="B425" s="58">
        <f>VLOOKUP(Table1[[#This Row],[Date]],database!A:B,2,)</f>
        <v>99.097399999999993</v>
      </c>
      <c r="C425" s="66">
        <f t="shared" si="6"/>
        <v>-5.446216594017228E-4</v>
      </c>
      <c r="D425" s="66">
        <f>(Table1[[#This Row],[Index]]-B413)/B413</f>
        <v>1.5710616350602519E-2</v>
      </c>
    </row>
    <row r="426" spans="1:4" x14ac:dyDescent="0.35">
      <c r="A426" s="17">
        <v>39052</v>
      </c>
      <c r="B426" s="58">
        <f>VLOOKUP(Table1[[#This Row],[Date]],database!A:B,2,)</f>
        <v>100.1117</v>
      </c>
      <c r="C426" s="66">
        <f t="shared" si="6"/>
        <v>1.0235384581230189E-2</v>
      </c>
      <c r="D426" s="66">
        <f>(Table1[[#This Row],[Index]]-B414)/B414</f>
        <v>2.1316599709045512E-2</v>
      </c>
    </row>
    <row r="427" spans="1:4" x14ac:dyDescent="0.35">
      <c r="A427" s="17">
        <v>39083</v>
      </c>
      <c r="B427" s="58">
        <f>VLOOKUP(Table1[[#This Row],[Date]],database!A:B,2,)</f>
        <v>99.7226</v>
      </c>
      <c r="C427" s="66">
        <f t="shared" si="6"/>
        <v>-3.8866586023411642E-3</v>
      </c>
      <c r="D427" s="66">
        <f>(Table1[[#This Row],[Index]]-B415)/B415</f>
        <v>1.5459592441886444E-2</v>
      </c>
    </row>
    <row r="428" spans="1:4" x14ac:dyDescent="0.35">
      <c r="A428" s="17">
        <v>39114</v>
      </c>
      <c r="B428" s="58">
        <f>VLOOKUP(Table1[[#This Row],[Date]],database!A:B,2,)</f>
        <v>100.6919</v>
      </c>
      <c r="C428" s="66">
        <f t="shared" si="6"/>
        <v>9.7199631778555062E-3</v>
      </c>
      <c r="D428" s="66">
        <f>(Table1[[#This Row],[Index]]-B416)/B416</f>
        <v>2.4954092206465061E-2</v>
      </c>
    </row>
    <row r="429" spans="1:4" x14ac:dyDescent="0.35">
      <c r="A429" s="17">
        <v>39142</v>
      </c>
      <c r="B429" s="58">
        <f>VLOOKUP(Table1[[#This Row],[Date]],database!A:B,2,)</f>
        <v>100.8857</v>
      </c>
      <c r="C429" s="66">
        <f t="shared" si="6"/>
        <v>1.9246831175099288E-3</v>
      </c>
      <c r="D429" s="66">
        <f>(Table1[[#This Row],[Index]]-B417)/B417</f>
        <v>2.4488647787948556E-2</v>
      </c>
    </row>
    <row r="430" spans="1:4" x14ac:dyDescent="0.35">
      <c r="A430" s="17">
        <v>39173</v>
      </c>
      <c r="B430" s="58">
        <f>VLOOKUP(Table1[[#This Row],[Date]],database!A:B,2,)</f>
        <v>101.57769999999999</v>
      </c>
      <c r="C430" s="66">
        <f t="shared" si="6"/>
        <v>6.8592476436204475E-3</v>
      </c>
      <c r="D430" s="66">
        <f>(Table1[[#This Row],[Index]]-B418)/B418</f>
        <v>2.8358972022697649E-2</v>
      </c>
    </row>
    <row r="431" spans="1:4" x14ac:dyDescent="0.35">
      <c r="A431" s="17">
        <v>39203</v>
      </c>
      <c r="B431" s="58">
        <f>VLOOKUP(Table1[[#This Row],[Date]],database!A:B,2,)</f>
        <v>101.6481</v>
      </c>
      <c r="C431" s="66">
        <f t="shared" si="6"/>
        <v>6.9306550551950785E-4</v>
      </c>
      <c r="D431" s="66">
        <f>(Table1[[#This Row],[Index]]-B419)/B419</f>
        <v>2.894773070522454E-2</v>
      </c>
    </row>
    <row r="432" spans="1:4" x14ac:dyDescent="0.35">
      <c r="A432" s="17">
        <v>39234</v>
      </c>
      <c r="B432" s="58">
        <f>VLOOKUP(Table1[[#This Row],[Date]],database!A:B,2,)</f>
        <v>101.6741</v>
      </c>
      <c r="C432" s="66">
        <f t="shared" si="6"/>
        <v>2.5578441702300836E-4</v>
      </c>
      <c r="D432" s="66">
        <f>(Table1[[#This Row],[Index]]-B420)/B420</f>
        <v>2.5903342754137196E-2</v>
      </c>
    </row>
    <row r="433" spans="1:4" x14ac:dyDescent="0.35">
      <c r="A433" s="17">
        <v>39264</v>
      </c>
      <c r="B433" s="58">
        <f>VLOOKUP(Table1[[#This Row],[Date]],database!A:B,2,)</f>
        <v>101.56270000000001</v>
      </c>
      <c r="C433" s="66">
        <f t="shared" si="6"/>
        <v>-1.0956575961822423E-3</v>
      </c>
      <c r="D433" s="66">
        <f>(Table1[[#This Row],[Index]]-B421)/B421</f>
        <v>2.5516051282517323E-2</v>
      </c>
    </row>
    <row r="434" spans="1:4" x14ac:dyDescent="0.35">
      <c r="A434" s="17">
        <v>39295</v>
      </c>
      <c r="B434" s="58">
        <f>VLOOKUP(Table1[[#This Row],[Date]],database!A:B,2,)</f>
        <v>101.77509999999999</v>
      </c>
      <c r="C434" s="66">
        <f t="shared" si="6"/>
        <v>2.091318958633348E-3</v>
      </c>
      <c r="D434" s="66">
        <f>(Table1[[#This Row],[Index]]-B422)/B422</f>
        <v>2.3294184597967196E-2</v>
      </c>
    </row>
    <row r="435" spans="1:4" x14ac:dyDescent="0.35">
      <c r="A435" s="17">
        <v>39326</v>
      </c>
      <c r="B435" s="58">
        <f>VLOOKUP(Table1[[#This Row],[Date]],database!A:B,2,)</f>
        <v>102.0279</v>
      </c>
      <c r="C435" s="66">
        <f t="shared" si="6"/>
        <v>2.4839081464917978E-3</v>
      </c>
      <c r="D435" s="66">
        <f>(Table1[[#This Row],[Index]]-B423)/B423</f>
        <v>2.7943345584679355E-2</v>
      </c>
    </row>
    <row r="436" spans="1:4" x14ac:dyDescent="0.35">
      <c r="A436" s="17">
        <v>39356</v>
      </c>
      <c r="B436" s="58">
        <f>VLOOKUP(Table1[[#This Row],[Date]],database!A:B,2,)</f>
        <v>101.7289</v>
      </c>
      <c r="C436" s="66">
        <f t="shared" si="6"/>
        <v>-2.930570951671152E-3</v>
      </c>
      <c r="D436" s="66">
        <f>(Table1[[#This Row],[Index]]-B424)/B424</f>
        <v>2.5995598650145137E-2</v>
      </c>
    </row>
    <row r="437" spans="1:4" x14ac:dyDescent="0.35">
      <c r="A437" s="17">
        <v>39387</v>
      </c>
      <c r="B437" s="58">
        <f>VLOOKUP(Table1[[#This Row],[Date]],database!A:B,2,)</f>
        <v>102.3185</v>
      </c>
      <c r="C437" s="66">
        <f t="shared" si="6"/>
        <v>5.7957964747481494E-3</v>
      </c>
      <c r="D437" s="66">
        <f>(Table1[[#This Row],[Index]]-B425)/B425</f>
        <v>3.2504384575175606E-2</v>
      </c>
    </row>
    <row r="438" spans="1:4" x14ac:dyDescent="0.35">
      <c r="A438" s="17">
        <v>39417</v>
      </c>
      <c r="B438" s="58">
        <f>VLOOKUP(Table1[[#This Row],[Date]],database!A:B,2,)</f>
        <v>102.3074</v>
      </c>
      <c r="C438" s="66">
        <f t="shared" si="6"/>
        <v>-1.0848478036717957E-4</v>
      </c>
      <c r="D438" s="66">
        <f>(Table1[[#This Row],[Index]]-B426)/B426</f>
        <v>2.1932501395940756E-2</v>
      </c>
    </row>
    <row r="439" spans="1:4" x14ac:dyDescent="0.35">
      <c r="A439" s="17">
        <v>39448</v>
      </c>
      <c r="B439" s="58">
        <f>VLOOKUP(Table1[[#This Row],[Date]],database!A:B,2,)</f>
        <v>102.1686</v>
      </c>
      <c r="C439" s="66">
        <f t="shared" si="6"/>
        <v>-1.3566956055964807E-3</v>
      </c>
      <c r="D439" s="66">
        <f>(Table1[[#This Row],[Index]]-B427)/B427</f>
        <v>2.4528040785137952E-2</v>
      </c>
    </row>
    <row r="440" spans="1:4" x14ac:dyDescent="0.35">
      <c r="A440" s="17">
        <v>39479</v>
      </c>
      <c r="B440" s="58">
        <f>VLOOKUP(Table1[[#This Row],[Date]],database!A:B,2,)</f>
        <v>101.76730000000001</v>
      </c>
      <c r="C440" s="66">
        <f t="shared" si="6"/>
        <v>-3.927821267982412E-3</v>
      </c>
      <c r="D440" s="66">
        <f>(Table1[[#This Row],[Index]]-B428)/B428</f>
        <v>1.0680104357947381E-2</v>
      </c>
    </row>
    <row r="441" spans="1:4" x14ac:dyDescent="0.35">
      <c r="A441" s="17">
        <v>39508</v>
      </c>
      <c r="B441" s="58">
        <f>VLOOKUP(Table1[[#This Row],[Date]],database!A:B,2,)</f>
        <v>101.3986</v>
      </c>
      <c r="C441" s="66">
        <f t="shared" si="6"/>
        <v>-3.6229712294617578E-3</v>
      </c>
      <c r="D441" s="66">
        <f>(Table1[[#This Row],[Index]]-B429)/B429</f>
        <v>5.083971266492693E-3</v>
      </c>
    </row>
    <row r="442" spans="1:4" x14ac:dyDescent="0.35">
      <c r="A442" s="17">
        <v>39539</v>
      </c>
      <c r="B442" s="58">
        <f>VLOOKUP(Table1[[#This Row],[Date]],database!A:B,2,)</f>
        <v>100.7238</v>
      </c>
      <c r="C442" s="66">
        <f t="shared" si="6"/>
        <v>-6.6549242297231359E-3</v>
      </c>
      <c r="D442" s="66">
        <f>(Table1[[#This Row],[Index]]-B430)/B430</f>
        <v>-8.4063726585657667E-3</v>
      </c>
    </row>
    <row r="443" spans="1:4" x14ac:dyDescent="0.35">
      <c r="A443" s="17">
        <v>39569</v>
      </c>
      <c r="B443" s="58">
        <f>VLOOKUP(Table1[[#This Row],[Date]],database!A:B,2,)</f>
        <v>100.1399</v>
      </c>
      <c r="C443" s="66">
        <f t="shared" si="6"/>
        <v>-5.7970410171180875E-3</v>
      </c>
      <c r="D443" s="66">
        <f>(Table1[[#This Row],[Index]]-B431)/B431</f>
        <v>-1.4837463759775167E-2</v>
      </c>
    </row>
    <row r="444" spans="1:4" x14ac:dyDescent="0.35">
      <c r="A444" s="17">
        <v>39600</v>
      </c>
      <c r="B444" s="58">
        <f>VLOOKUP(Table1[[#This Row],[Date]],database!A:B,2,)</f>
        <v>99.914100000000005</v>
      </c>
      <c r="C444" s="66">
        <f t="shared" si="6"/>
        <v>-2.2548454711857069E-3</v>
      </c>
      <c r="D444" s="66">
        <f>(Table1[[#This Row],[Index]]-B432)/B432</f>
        <v>-1.7310209778104661E-2</v>
      </c>
    </row>
    <row r="445" spans="1:4" x14ac:dyDescent="0.35">
      <c r="A445" s="17">
        <v>39630</v>
      </c>
      <c r="B445" s="58">
        <f>VLOOKUP(Table1[[#This Row],[Date]],database!A:B,2,)</f>
        <v>99.494299999999996</v>
      </c>
      <c r="C445" s="66">
        <f t="shared" si="6"/>
        <v>-4.2016091822876245E-3</v>
      </c>
      <c r="D445" s="66">
        <f>(Table1[[#This Row],[Index]]-B433)/B433</f>
        <v>-2.0365744510533995E-2</v>
      </c>
    </row>
    <row r="446" spans="1:4" x14ac:dyDescent="0.35">
      <c r="A446" s="17">
        <v>39661</v>
      </c>
      <c r="B446" s="58">
        <f>VLOOKUP(Table1[[#This Row],[Date]],database!A:B,2,)</f>
        <v>97.936700000000002</v>
      </c>
      <c r="C446" s="66">
        <f t="shared" si="6"/>
        <v>-1.5655168185514046E-2</v>
      </c>
      <c r="D446" s="66">
        <f>(Table1[[#This Row],[Index]]-B434)/B434</f>
        <v>-3.7714529388819008E-2</v>
      </c>
    </row>
    <row r="447" spans="1:4" x14ac:dyDescent="0.35">
      <c r="A447" s="17">
        <v>39692</v>
      </c>
      <c r="B447" s="58">
        <f>VLOOKUP(Table1[[#This Row],[Date]],database!A:B,2,)</f>
        <v>93.658500000000004</v>
      </c>
      <c r="C447" s="66">
        <f t="shared" si="6"/>
        <v>-4.3683317898193352E-2</v>
      </c>
      <c r="D447" s="66">
        <f>(Table1[[#This Row],[Index]]-B435)/B435</f>
        <v>-8.203050342112303E-2</v>
      </c>
    </row>
    <row r="448" spans="1:4" x14ac:dyDescent="0.35">
      <c r="A448" s="17">
        <v>39722</v>
      </c>
      <c r="B448" s="58">
        <f>VLOOKUP(Table1[[#This Row],[Date]],database!A:B,2,)</f>
        <v>94.584500000000006</v>
      </c>
      <c r="C448" s="66">
        <f t="shared" si="6"/>
        <v>9.8869830287693361E-3</v>
      </c>
      <c r="D448" s="66">
        <f>(Table1[[#This Row],[Index]]-B436)/B436</f>
        <v>-7.0229797038992764E-2</v>
      </c>
    </row>
    <row r="449" spans="1:4" x14ac:dyDescent="0.35">
      <c r="A449" s="17">
        <v>39753</v>
      </c>
      <c r="B449" s="58">
        <f>VLOOKUP(Table1[[#This Row],[Date]],database!A:B,2,)</f>
        <v>93.345500000000001</v>
      </c>
      <c r="C449" s="66">
        <f t="shared" si="6"/>
        <v>-1.3099397892889497E-2</v>
      </c>
      <c r="D449" s="66">
        <f>(Table1[[#This Row],[Index]]-B437)/B437</f>
        <v>-8.7696750831960976E-2</v>
      </c>
    </row>
    <row r="450" spans="1:4" x14ac:dyDescent="0.35">
      <c r="A450" s="17">
        <v>39783</v>
      </c>
      <c r="B450" s="58">
        <f>VLOOKUP(Table1[[#This Row],[Date]],database!A:B,2,)</f>
        <v>90.718299999999999</v>
      </c>
      <c r="C450" s="66">
        <f t="shared" si="6"/>
        <v>-2.8144902539490424E-2</v>
      </c>
      <c r="D450" s="66">
        <f>(Table1[[#This Row],[Index]]-B438)/B438</f>
        <v>-0.11327724094249293</v>
      </c>
    </row>
    <row r="451" spans="1:4" x14ac:dyDescent="0.35">
      <c r="A451" s="17">
        <v>39814</v>
      </c>
      <c r="B451" s="58">
        <f>VLOOKUP(Table1[[#This Row],[Date]],database!A:B,2,)</f>
        <v>88.468299999999999</v>
      </c>
      <c r="C451" s="66">
        <f t="shared" si="6"/>
        <v>-2.4802052066672298E-2</v>
      </c>
      <c r="D451" s="66">
        <f>(Table1[[#This Row],[Index]]-B439)/B439</f>
        <v>-0.13409501549399716</v>
      </c>
    </row>
    <row r="452" spans="1:4" x14ac:dyDescent="0.35">
      <c r="A452" s="17">
        <v>39845</v>
      </c>
      <c r="B452" s="58">
        <f>VLOOKUP(Table1[[#This Row],[Date]],database!A:B,2,)</f>
        <v>87.936000000000007</v>
      </c>
      <c r="C452" s="66">
        <f t="shared" si="6"/>
        <v>-6.0168444516283115E-3</v>
      </c>
      <c r="D452" s="66">
        <f>(Table1[[#This Row],[Index]]-B440)/B440</f>
        <v>-0.13591104411731467</v>
      </c>
    </row>
    <row r="453" spans="1:4" x14ac:dyDescent="0.35">
      <c r="A453" s="17">
        <v>39873</v>
      </c>
      <c r="B453" s="58">
        <f>VLOOKUP(Table1[[#This Row],[Date]],database!A:B,2,)</f>
        <v>86.550299999999993</v>
      </c>
      <c r="C453" s="66">
        <f t="shared" si="6"/>
        <v>-1.5758051310043819E-2</v>
      </c>
      <c r="D453" s="66">
        <f>(Table1[[#This Row],[Index]]-B441)/B441</f>
        <v>-0.14643496064048231</v>
      </c>
    </row>
    <row r="454" spans="1:4" x14ac:dyDescent="0.35">
      <c r="A454" s="17">
        <v>39904</v>
      </c>
      <c r="B454" s="58">
        <f>VLOOKUP(Table1[[#This Row],[Date]],database!A:B,2,)</f>
        <v>85.859800000000007</v>
      </c>
      <c r="C454" s="66">
        <f t="shared" si="6"/>
        <v>-7.9780197180134849E-3</v>
      </c>
      <c r="D454" s="66">
        <f>(Table1[[#This Row],[Index]]-B442)/B442</f>
        <v>-0.14757187477041167</v>
      </c>
    </row>
    <row r="455" spans="1:4" x14ac:dyDescent="0.35">
      <c r="A455" s="17">
        <v>39934</v>
      </c>
      <c r="B455" s="58">
        <f>VLOOKUP(Table1[[#This Row],[Date]],database!A:B,2,)</f>
        <v>84.999099999999999</v>
      </c>
      <c r="C455" s="66">
        <f t="shared" si="6"/>
        <v>-1.0024481771446103E-2</v>
      </c>
      <c r="D455" s="66">
        <f>(Table1[[#This Row],[Index]]-B443)/B443</f>
        <v>-0.15119647612989426</v>
      </c>
    </row>
    <row r="456" spans="1:4" x14ac:dyDescent="0.35">
      <c r="A456" s="17">
        <v>39965</v>
      </c>
      <c r="B456" s="58">
        <f>VLOOKUP(Table1[[#This Row],[Date]],database!A:B,2,)</f>
        <v>84.727699999999999</v>
      </c>
      <c r="C456" s="66">
        <f t="shared" ref="C456:C519" si="7">B456/B455-1</f>
        <v>-3.1929749844410438E-3</v>
      </c>
      <c r="D456" s="66">
        <f>(Table1[[#This Row],[Index]]-B444)/B444</f>
        <v>-0.15199456332990044</v>
      </c>
    </row>
    <row r="457" spans="1:4" x14ac:dyDescent="0.35">
      <c r="A457" s="17">
        <v>39995</v>
      </c>
      <c r="B457" s="58">
        <f>VLOOKUP(Table1[[#This Row],[Date]],database!A:B,2,)</f>
        <v>85.709100000000007</v>
      </c>
      <c r="C457" s="66">
        <f t="shared" si="7"/>
        <v>1.1582988798232607E-2</v>
      </c>
      <c r="D457" s="66">
        <f>(Table1[[#This Row],[Index]]-B445)/B445</f>
        <v>-0.13855266080569428</v>
      </c>
    </row>
    <row r="458" spans="1:4" x14ac:dyDescent="0.35">
      <c r="A458" s="17">
        <v>40026</v>
      </c>
      <c r="B458" s="58">
        <f>VLOOKUP(Table1[[#This Row],[Date]],database!A:B,2,)</f>
        <v>86.633300000000006</v>
      </c>
      <c r="C458" s="66">
        <f t="shared" si="7"/>
        <v>1.0782985703968517E-2</v>
      </c>
      <c r="D458" s="66">
        <f>(Table1[[#This Row],[Index]]-B446)/B446</f>
        <v>-0.11541536523080721</v>
      </c>
    </row>
    <row r="459" spans="1:4" x14ac:dyDescent="0.35">
      <c r="A459" s="17">
        <v>40057</v>
      </c>
      <c r="B459" s="58">
        <f>VLOOKUP(Table1[[#This Row],[Date]],database!A:B,2,)</f>
        <v>87.361500000000007</v>
      </c>
      <c r="C459" s="66">
        <f t="shared" si="7"/>
        <v>8.4055438266810167E-3</v>
      </c>
      <c r="D459" s="66">
        <f>(Table1[[#This Row],[Index]]-B447)/B447</f>
        <v>-6.723362001313278E-2</v>
      </c>
    </row>
    <row r="460" spans="1:4" x14ac:dyDescent="0.35">
      <c r="A460" s="17">
        <v>40087</v>
      </c>
      <c r="B460" s="58">
        <f>VLOOKUP(Table1[[#This Row],[Date]],database!A:B,2,)</f>
        <v>87.5488</v>
      </c>
      <c r="C460" s="66">
        <f t="shared" si="7"/>
        <v>2.1439650189156723E-3</v>
      </c>
      <c r="D460" s="66">
        <f>(Table1[[#This Row],[Index]]-B448)/B448</f>
        <v>-7.4385337978210009E-2</v>
      </c>
    </row>
    <row r="461" spans="1:4" x14ac:dyDescent="0.35">
      <c r="A461" s="17">
        <v>40118</v>
      </c>
      <c r="B461" s="58">
        <f>VLOOKUP(Table1[[#This Row],[Date]],database!A:B,2,)</f>
        <v>87.914400000000001</v>
      </c>
      <c r="C461" s="66">
        <f t="shared" si="7"/>
        <v>4.1759567235644113E-3</v>
      </c>
      <c r="D461" s="66">
        <f>(Table1[[#This Row],[Index]]-B449)/B449</f>
        <v>-5.8182772602857133E-2</v>
      </c>
    </row>
    <row r="462" spans="1:4" x14ac:dyDescent="0.35">
      <c r="A462" s="17">
        <v>40148</v>
      </c>
      <c r="B462" s="58">
        <f>VLOOKUP(Table1[[#This Row],[Date]],database!A:B,2,)</f>
        <v>88.231800000000007</v>
      </c>
      <c r="C462" s="66">
        <f t="shared" si="7"/>
        <v>3.6103300483198986E-3</v>
      </c>
      <c r="D462" s="66">
        <f>(Table1[[#This Row],[Index]]-B450)/B450</f>
        <v>-2.7409023317235798E-2</v>
      </c>
    </row>
    <row r="463" spans="1:4" x14ac:dyDescent="0.35">
      <c r="A463" s="17">
        <v>40179</v>
      </c>
      <c r="B463" s="58">
        <f>VLOOKUP(Table1[[#This Row],[Date]],database!A:B,2,)</f>
        <v>89.193600000000004</v>
      </c>
      <c r="C463" s="66">
        <f t="shared" si="7"/>
        <v>1.0900831672934208E-2</v>
      </c>
      <c r="D463" s="66">
        <f>(Table1[[#This Row],[Index]]-B451)/B451</f>
        <v>8.1984168340524712E-3</v>
      </c>
    </row>
    <row r="464" spans="1:4" x14ac:dyDescent="0.35">
      <c r="A464" s="17">
        <v>40210</v>
      </c>
      <c r="B464" s="58">
        <f>VLOOKUP(Table1[[#This Row],[Date]],database!A:B,2,)</f>
        <v>89.508899999999997</v>
      </c>
      <c r="C464" s="66">
        <f t="shared" si="7"/>
        <v>3.5350069960176089E-3</v>
      </c>
      <c r="D464" s="66">
        <f>(Table1[[#This Row],[Index]]-B452)/B452</f>
        <v>1.7886872270742243E-2</v>
      </c>
    </row>
    <row r="465" spans="1:4" x14ac:dyDescent="0.35">
      <c r="A465" s="17">
        <v>40238</v>
      </c>
      <c r="B465" s="58">
        <f>VLOOKUP(Table1[[#This Row],[Date]],database!A:B,2,)</f>
        <v>90.144900000000007</v>
      </c>
      <c r="C465" s="66">
        <f t="shared" si="7"/>
        <v>7.1054386770479372E-3</v>
      </c>
      <c r="D465" s="66">
        <f>(Table1[[#This Row],[Index]]-B453)/B453</f>
        <v>4.1531918433558454E-2</v>
      </c>
    </row>
    <row r="466" spans="1:4" x14ac:dyDescent="0.35">
      <c r="A466" s="17">
        <v>40269</v>
      </c>
      <c r="B466" s="58">
        <f>VLOOKUP(Table1[[#This Row],[Date]],database!A:B,2,)</f>
        <v>90.474000000000004</v>
      </c>
      <c r="C466" s="66">
        <f t="shared" si="7"/>
        <v>3.6507888965431334E-3</v>
      </c>
      <c r="D466" s="66">
        <f>(Table1[[#This Row],[Index]]-B454)/B454</f>
        <v>5.3741098861166653E-2</v>
      </c>
    </row>
    <row r="467" spans="1:4" x14ac:dyDescent="0.35">
      <c r="A467" s="17">
        <v>40299</v>
      </c>
      <c r="B467" s="58">
        <f>VLOOKUP(Table1[[#This Row],[Date]],database!A:B,2,)</f>
        <v>91.713099999999997</v>
      </c>
      <c r="C467" s="66">
        <f t="shared" si="7"/>
        <v>1.3695647368304531E-2</v>
      </c>
      <c r="D467" s="66">
        <f>(Table1[[#This Row],[Index]]-B455)/B455</f>
        <v>7.8989071648993922E-2</v>
      </c>
    </row>
    <row r="468" spans="1:4" x14ac:dyDescent="0.35">
      <c r="A468" s="17">
        <v>40330</v>
      </c>
      <c r="B468" s="58">
        <f>VLOOKUP(Table1[[#This Row],[Date]],database!A:B,2,)</f>
        <v>91.928700000000006</v>
      </c>
      <c r="C468" s="66">
        <f t="shared" si="7"/>
        <v>2.3508092082811238E-3</v>
      </c>
      <c r="D468" s="66">
        <f>(Table1[[#This Row],[Index]]-B456)/B456</f>
        <v>8.4989914750429996E-2</v>
      </c>
    </row>
    <row r="469" spans="1:4" x14ac:dyDescent="0.35">
      <c r="A469" s="17">
        <v>40360</v>
      </c>
      <c r="B469" s="58">
        <f>VLOOKUP(Table1[[#This Row],[Date]],database!A:B,2,)</f>
        <v>92.273700000000005</v>
      </c>
      <c r="C469" s="66">
        <f t="shared" si="7"/>
        <v>3.7529085040906018E-3</v>
      </c>
      <c r="D469" s="66">
        <f>(Table1[[#This Row],[Index]]-B457)/B457</f>
        <v>7.659163379384451E-2</v>
      </c>
    </row>
    <row r="470" spans="1:4" x14ac:dyDescent="0.35">
      <c r="A470" s="17">
        <v>40391</v>
      </c>
      <c r="B470" s="58">
        <f>VLOOKUP(Table1[[#This Row],[Date]],database!A:B,2,)</f>
        <v>92.614999999999995</v>
      </c>
      <c r="C470" s="66">
        <f t="shared" si="7"/>
        <v>3.6987787419382467E-3</v>
      </c>
      <c r="D470" s="66">
        <f>(Table1[[#This Row],[Index]]-B458)/B458</f>
        <v>6.9046198170911052E-2</v>
      </c>
    </row>
    <row r="471" spans="1:4" x14ac:dyDescent="0.35">
      <c r="A471" s="17">
        <v>40422</v>
      </c>
      <c r="B471" s="58">
        <f>VLOOKUP(Table1[[#This Row],[Date]],database!A:B,2,)</f>
        <v>92.866799999999998</v>
      </c>
      <c r="C471" s="66">
        <f t="shared" si="7"/>
        <v>2.718782054742741E-3</v>
      </c>
      <c r="D471" s="66">
        <f>(Table1[[#This Row],[Index]]-B459)/B459</f>
        <v>6.3017461925447604E-2</v>
      </c>
    </row>
    <row r="472" spans="1:4" x14ac:dyDescent="0.35">
      <c r="A472" s="17">
        <v>40452</v>
      </c>
      <c r="B472" s="58">
        <f>VLOOKUP(Table1[[#This Row],[Date]],database!A:B,2,)</f>
        <v>92.613799999999998</v>
      </c>
      <c r="C472" s="66">
        <f t="shared" si="7"/>
        <v>-2.7243320540817351E-3</v>
      </c>
      <c r="D472" s="66">
        <f>(Table1[[#This Row],[Index]]-B460)/B460</f>
        <v>5.7853448590957243E-2</v>
      </c>
    </row>
    <row r="473" spans="1:4" x14ac:dyDescent="0.35">
      <c r="A473" s="17">
        <v>40483</v>
      </c>
      <c r="B473" s="58">
        <f>VLOOKUP(Table1[[#This Row],[Date]],database!A:B,2,)</f>
        <v>92.677199999999999</v>
      </c>
      <c r="C473" s="66">
        <f t="shared" si="7"/>
        <v>6.8456320764287426E-4</v>
      </c>
      <c r="D473" s="66">
        <f>(Table1[[#This Row],[Index]]-B461)/B461</f>
        <v>5.4175425186317586E-2</v>
      </c>
    </row>
    <row r="474" spans="1:4" x14ac:dyDescent="0.35">
      <c r="A474" s="17">
        <v>40513</v>
      </c>
      <c r="B474" s="58">
        <f>VLOOKUP(Table1[[#This Row],[Date]],database!A:B,2,)</f>
        <v>93.574100000000001</v>
      </c>
      <c r="C474" s="66">
        <f t="shared" si="7"/>
        <v>9.6776769259321327E-3</v>
      </c>
      <c r="D474" s="66">
        <f>(Table1[[#This Row],[Index]]-B462)/B462</f>
        <v>6.0548464385856281E-2</v>
      </c>
    </row>
    <row r="475" spans="1:4" x14ac:dyDescent="0.35">
      <c r="A475" s="17">
        <v>40544</v>
      </c>
      <c r="B475" s="58">
        <f>VLOOKUP(Table1[[#This Row],[Date]],database!A:B,2,)</f>
        <v>93.379300000000001</v>
      </c>
      <c r="C475" s="66">
        <f t="shared" si="7"/>
        <v>-2.0817726272547299E-3</v>
      </c>
      <c r="D475" s="66">
        <f>(Table1[[#This Row],[Index]]-B463)/B463</f>
        <v>4.6928254942058586E-2</v>
      </c>
    </row>
    <row r="476" spans="1:4" x14ac:dyDescent="0.35">
      <c r="A476" s="17">
        <v>40575</v>
      </c>
      <c r="B476" s="58">
        <f>VLOOKUP(Table1[[#This Row],[Date]],database!A:B,2,)</f>
        <v>93.005099999999999</v>
      </c>
      <c r="C476" s="66">
        <f t="shared" si="7"/>
        <v>-4.0073121130700384E-3</v>
      </c>
      <c r="D476" s="66">
        <f>(Table1[[#This Row],[Index]]-B464)/B464</f>
        <v>3.9059802991657837E-2</v>
      </c>
    </row>
    <row r="477" spans="1:4" x14ac:dyDescent="0.35">
      <c r="A477" s="17">
        <v>40603</v>
      </c>
      <c r="B477" s="58">
        <f>VLOOKUP(Table1[[#This Row],[Date]],database!A:B,2,)</f>
        <v>93.977999999999994</v>
      </c>
      <c r="C477" s="66">
        <f t="shared" si="7"/>
        <v>1.0460716670376069E-2</v>
      </c>
      <c r="D477" s="66">
        <f>(Table1[[#This Row],[Index]]-B465)/B465</f>
        <v>4.2521540320084525E-2</v>
      </c>
    </row>
    <row r="478" spans="1:4" x14ac:dyDescent="0.35">
      <c r="A478" s="17">
        <v>40634</v>
      </c>
      <c r="B478" s="58">
        <f>VLOOKUP(Table1[[#This Row],[Date]],database!A:B,2,)</f>
        <v>93.652500000000003</v>
      </c>
      <c r="C478" s="67">
        <f t="shared" si="7"/>
        <v>-3.4635765817531139E-3</v>
      </c>
      <c r="D478" s="66">
        <f>(Table1[[#This Row],[Index]]-B466)/B466</f>
        <v>3.513164002917965E-2</v>
      </c>
    </row>
    <row r="479" spans="1:4" x14ac:dyDescent="0.35">
      <c r="A479" s="17">
        <v>40664</v>
      </c>
      <c r="B479" s="58">
        <f>VLOOKUP(Table1[[#This Row],[Date]],database!A:B,2,)</f>
        <v>93.787800000000004</v>
      </c>
      <c r="C479" s="66">
        <f t="shared" si="7"/>
        <v>1.444702490590144E-3</v>
      </c>
      <c r="D479" s="66">
        <f>(Table1[[#This Row],[Index]]-B467)/B467</f>
        <v>2.262163202421472E-2</v>
      </c>
    </row>
    <row r="480" spans="1:4" x14ac:dyDescent="0.35">
      <c r="A480" s="17">
        <v>40695</v>
      </c>
      <c r="B480" s="58">
        <f>VLOOKUP(Table1[[#This Row],[Date]],database!A:B,2,)</f>
        <v>94.037800000000004</v>
      </c>
      <c r="C480" s="66">
        <f t="shared" si="7"/>
        <v>2.6655919000124761E-3</v>
      </c>
      <c r="D480" s="66">
        <f>(Table1[[#This Row],[Index]]-B468)/B468</f>
        <v>2.2942780655007607E-2</v>
      </c>
    </row>
    <row r="481" spans="1:4" x14ac:dyDescent="0.35">
      <c r="A481" s="17">
        <v>40725</v>
      </c>
      <c r="B481" s="58">
        <f>VLOOKUP(Table1[[#This Row],[Date]],database!A:B,2,)</f>
        <v>94.514600000000002</v>
      </c>
      <c r="C481" s="66">
        <f t="shared" si="7"/>
        <v>5.0703015170494581E-3</v>
      </c>
      <c r="D481" s="66">
        <f>(Table1[[#This Row],[Index]]-B469)/B469</f>
        <v>2.4285359750394708E-2</v>
      </c>
    </row>
    <row r="482" spans="1:4" x14ac:dyDescent="0.35">
      <c r="A482" s="17">
        <v>40756</v>
      </c>
      <c r="B482" s="58">
        <f>VLOOKUP(Table1[[#This Row],[Date]],database!A:B,2,)</f>
        <v>95.126300000000001</v>
      </c>
      <c r="C482" s="66">
        <f t="shared" si="7"/>
        <v>6.472015963671307E-3</v>
      </c>
      <c r="D482" s="66">
        <f>(Table1[[#This Row],[Index]]-B470)/B470</f>
        <v>2.7115478054310919E-2</v>
      </c>
    </row>
    <row r="483" spans="1:4" x14ac:dyDescent="0.35">
      <c r="A483" s="17">
        <v>40787</v>
      </c>
      <c r="B483" s="58">
        <f>VLOOKUP(Table1[[#This Row],[Date]],database!A:B,2,)</f>
        <v>95.0732</v>
      </c>
      <c r="C483" s="66">
        <f t="shared" si="7"/>
        <v>-5.5820524923178017E-4</v>
      </c>
      <c r="D483" s="66">
        <f>(Table1[[#This Row],[Index]]-B471)/B471</f>
        <v>2.3758759858205539E-2</v>
      </c>
    </row>
    <row r="484" spans="1:4" x14ac:dyDescent="0.35">
      <c r="A484" s="17">
        <v>40817</v>
      </c>
      <c r="B484" s="58">
        <f>VLOOKUP(Table1[[#This Row],[Date]],database!A:B,2,)</f>
        <v>95.729100000000003</v>
      </c>
      <c r="C484" s="66">
        <f t="shared" si="7"/>
        <v>6.8988947463639594E-3</v>
      </c>
      <c r="D484" s="66">
        <f>(Table1[[#This Row],[Index]]-B472)/B472</f>
        <v>3.3637535658832755E-2</v>
      </c>
    </row>
    <row r="485" spans="1:4" x14ac:dyDescent="0.35">
      <c r="A485" s="17">
        <v>40848</v>
      </c>
      <c r="B485" s="58">
        <f>VLOOKUP(Table1[[#This Row],[Date]],database!A:B,2,)</f>
        <v>95.745500000000007</v>
      </c>
      <c r="C485" s="66">
        <f t="shared" si="7"/>
        <v>1.7131676783765926E-4</v>
      </c>
      <c r="D485" s="66">
        <f>(Table1[[#This Row],[Index]]-B473)/B473</f>
        <v>3.3107387793330049E-2</v>
      </c>
    </row>
    <row r="486" spans="1:4" x14ac:dyDescent="0.35">
      <c r="A486" s="17">
        <v>40878</v>
      </c>
      <c r="B486" s="58">
        <f>VLOOKUP(Table1[[#This Row],[Date]],database!A:B,2,)</f>
        <v>96.214699999999993</v>
      </c>
      <c r="C486" s="66">
        <f t="shared" si="7"/>
        <v>4.9004914069066263E-3</v>
      </c>
      <c r="D486" s="66">
        <f>(Table1[[#This Row],[Index]]-B474)/B474</f>
        <v>2.8219347020168956E-2</v>
      </c>
    </row>
    <row r="487" spans="1:4" x14ac:dyDescent="0.35">
      <c r="A487" s="17">
        <v>40909</v>
      </c>
      <c r="B487" s="58">
        <f>VLOOKUP(Table1[[#This Row],[Date]],database!A:B,2,)</f>
        <v>96.805099999999996</v>
      </c>
      <c r="C487" s="66">
        <f t="shared" si="7"/>
        <v>6.13627647334547E-3</v>
      </c>
      <c r="D487" s="66">
        <f>(Table1[[#This Row],[Index]]-B475)/B475</f>
        <v>3.6686931686144522E-2</v>
      </c>
    </row>
    <row r="488" spans="1:4" x14ac:dyDescent="0.35">
      <c r="A488" s="17">
        <v>40940</v>
      </c>
      <c r="B488" s="58">
        <f>VLOOKUP(Table1[[#This Row],[Date]],database!A:B,2,)</f>
        <v>97.103300000000004</v>
      </c>
      <c r="C488" s="66">
        <f t="shared" si="7"/>
        <v>3.0804162177406891E-3</v>
      </c>
      <c r="D488" s="66">
        <f>(Table1[[#This Row],[Index]]-B476)/B476</f>
        <v>4.406425024004066E-2</v>
      </c>
    </row>
    <row r="489" spans="1:4" x14ac:dyDescent="0.35">
      <c r="A489" s="17">
        <v>40969</v>
      </c>
      <c r="B489" s="58">
        <f>VLOOKUP(Table1[[#This Row],[Date]],database!A:B,2,)</f>
        <v>96.597300000000004</v>
      </c>
      <c r="C489" s="66">
        <f t="shared" si="7"/>
        <v>-5.2109454570544722E-3</v>
      </c>
      <c r="D489" s="66">
        <f>(Table1[[#This Row],[Index]]-B477)/B477</f>
        <v>2.7871416714550318E-2</v>
      </c>
    </row>
    <row r="490" spans="1:4" x14ac:dyDescent="0.35">
      <c r="A490" s="17">
        <v>41000</v>
      </c>
      <c r="B490" s="58">
        <f>VLOOKUP(Table1[[#This Row],[Date]],database!A:B,2,)</f>
        <v>97.300600000000003</v>
      </c>
      <c r="C490" s="66">
        <f t="shared" si="7"/>
        <v>7.2807418012719172E-3</v>
      </c>
      <c r="D490" s="66">
        <f>(Table1[[#This Row],[Index]]-B478)/B478</f>
        <v>3.8953578388190378E-2</v>
      </c>
    </row>
    <row r="491" spans="1:4" x14ac:dyDescent="0.35">
      <c r="A491" s="17">
        <v>41030</v>
      </c>
      <c r="B491" s="58">
        <f>VLOOKUP(Table1[[#This Row],[Date]],database!A:B,2,)</f>
        <v>97.504599999999996</v>
      </c>
      <c r="C491" s="66">
        <f t="shared" si="7"/>
        <v>2.0965954988971802E-3</v>
      </c>
      <c r="D491" s="66">
        <f>(Table1[[#This Row],[Index]]-B479)/B479</f>
        <v>3.9629887895866966E-2</v>
      </c>
    </row>
    <row r="492" spans="1:4" x14ac:dyDescent="0.35">
      <c r="A492" s="17">
        <v>41061</v>
      </c>
      <c r="B492" s="58">
        <f>VLOOKUP(Table1[[#This Row],[Date]],database!A:B,2,)</f>
        <v>97.490300000000005</v>
      </c>
      <c r="C492" s="66">
        <f t="shared" si="7"/>
        <v>-1.4665974733496512E-4</v>
      </c>
      <c r="D492" s="66">
        <f>(Table1[[#This Row],[Index]]-B480)/B480</f>
        <v>3.6713959705565215E-2</v>
      </c>
    </row>
    <row r="493" spans="1:4" x14ac:dyDescent="0.35">
      <c r="A493" s="17">
        <v>41091</v>
      </c>
      <c r="B493" s="58">
        <f>VLOOKUP(Table1[[#This Row],[Date]],database!A:B,2,)</f>
        <v>97.723399999999998</v>
      </c>
      <c r="C493" s="66">
        <f t="shared" si="7"/>
        <v>2.3910071053221404E-3</v>
      </c>
      <c r="D493" s="66">
        <f>(Table1[[#This Row],[Index]]-B481)/B481</f>
        <v>3.395031032242634E-2</v>
      </c>
    </row>
    <row r="494" spans="1:4" x14ac:dyDescent="0.35">
      <c r="A494" s="17">
        <v>41122</v>
      </c>
      <c r="B494" s="58">
        <f>VLOOKUP(Table1[[#This Row],[Date]],database!A:B,2,)</f>
        <v>97.313000000000002</v>
      </c>
      <c r="C494" s="66">
        <f t="shared" si="7"/>
        <v>-4.1996082821513792E-3</v>
      </c>
      <c r="D494" s="66">
        <f>(Table1[[#This Row],[Index]]-B482)/B482</f>
        <v>2.2987333681642214E-2</v>
      </c>
    </row>
    <row r="495" spans="1:4" x14ac:dyDescent="0.35">
      <c r="A495" s="17">
        <v>41153</v>
      </c>
      <c r="B495" s="58">
        <f>VLOOKUP(Table1[[#This Row],[Date]],database!A:B,2,)</f>
        <v>97.240499999999997</v>
      </c>
      <c r="C495" s="66">
        <f t="shared" si="7"/>
        <v>-7.4501865115661481E-4</v>
      </c>
      <c r="D495" s="66">
        <f>(Table1[[#This Row],[Index]]-B483)/B483</f>
        <v>2.2796119200784209E-2</v>
      </c>
    </row>
    <row r="496" spans="1:4" x14ac:dyDescent="0.35">
      <c r="A496" s="17">
        <v>41183</v>
      </c>
      <c r="B496" s="58">
        <f>VLOOKUP(Table1[[#This Row],[Date]],database!A:B,2,)</f>
        <v>97.561000000000007</v>
      </c>
      <c r="C496" s="66">
        <f t="shared" si="7"/>
        <v>3.2959517896351542E-3</v>
      </c>
      <c r="D496" s="66">
        <f>(Table1[[#This Row],[Index]]-B484)/B484</f>
        <v>1.913629189034478E-2</v>
      </c>
    </row>
    <row r="497" spans="1:4" x14ac:dyDescent="0.35">
      <c r="A497" s="17">
        <v>41214</v>
      </c>
      <c r="B497" s="58">
        <f>VLOOKUP(Table1[[#This Row],[Date]],database!A:B,2,)</f>
        <v>97.9589</v>
      </c>
      <c r="C497" s="66">
        <f t="shared" si="7"/>
        <v>4.0784739803814141E-3</v>
      </c>
      <c r="D497" s="66">
        <f>(Table1[[#This Row],[Index]]-B485)/B485</f>
        <v>2.3117535549973551E-2</v>
      </c>
    </row>
    <row r="498" spans="1:4" x14ac:dyDescent="0.35">
      <c r="A498" s="17">
        <v>41244</v>
      </c>
      <c r="B498" s="58">
        <f>VLOOKUP(Table1[[#This Row],[Date]],database!A:B,2,)</f>
        <v>98.206100000000006</v>
      </c>
      <c r="C498" s="66">
        <f t="shared" si="7"/>
        <v>2.5235073076566028E-3</v>
      </c>
      <c r="D498" s="66">
        <f>(Table1[[#This Row],[Index]]-B486)/B486</f>
        <v>2.0697460990888223E-2</v>
      </c>
    </row>
    <row r="499" spans="1:4" x14ac:dyDescent="0.35">
      <c r="A499" s="17">
        <v>41275</v>
      </c>
      <c r="B499" s="58">
        <f>VLOOKUP(Table1[[#This Row],[Date]],database!A:B,2,)</f>
        <v>98.198999999999998</v>
      </c>
      <c r="C499" s="66">
        <f t="shared" si="7"/>
        <v>-7.2296934711890692E-5</v>
      </c>
      <c r="D499" s="66">
        <f>(Table1[[#This Row],[Index]]-B487)/B487</f>
        <v>1.4399034761598328E-2</v>
      </c>
    </row>
    <row r="500" spans="1:4" x14ac:dyDescent="0.35">
      <c r="A500" s="17">
        <v>41306</v>
      </c>
      <c r="B500" s="58">
        <f>VLOOKUP(Table1[[#This Row],[Date]],database!A:B,2,)</f>
        <v>98.683499999999995</v>
      </c>
      <c r="C500" s="66">
        <f t="shared" si="7"/>
        <v>4.9338587969327552E-3</v>
      </c>
      <c r="D500" s="66">
        <f>(Table1[[#This Row],[Index]]-B488)/B488</f>
        <v>1.6273391326556263E-2</v>
      </c>
    </row>
    <row r="501" spans="1:4" x14ac:dyDescent="0.35">
      <c r="A501" s="17">
        <v>41334</v>
      </c>
      <c r="B501" s="58">
        <f>VLOOKUP(Table1[[#This Row],[Date]],database!A:B,2,)</f>
        <v>99.099400000000003</v>
      </c>
      <c r="C501" s="66">
        <f t="shared" si="7"/>
        <v>4.2144836776158989E-3</v>
      </c>
      <c r="D501" s="66">
        <f>(Table1[[#This Row],[Index]]-B489)/B489</f>
        <v>2.590238029427322E-2</v>
      </c>
    </row>
    <row r="502" spans="1:4" x14ac:dyDescent="0.35">
      <c r="A502" s="17">
        <v>41365</v>
      </c>
      <c r="B502" s="58">
        <f>VLOOKUP(Table1[[#This Row],[Date]],database!A:B,2,)</f>
        <v>98.989800000000002</v>
      </c>
      <c r="C502" s="66">
        <f t="shared" si="7"/>
        <v>-1.1059602782660383E-3</v>
      </c>
      <c r="D502" s="66">
        <f>(Table1[[#This Row],[Index]]-B490)/B490</f>
        <v>1.7360632925182369E-2</v>
      </c>
    </row>
    <row r="503" spans="1:4" x14ac:dyDescent="0.35">
      <c r="A503" s="17">
        <v>41395</v>
      </c>
      <c r="B503" s="58">
        <f>VLOOKUP(Table1[[#This Row],[Date]],database!A:B,2,)</f>
        <v>99.078199999999995</v>
      </c>
      <c r="C503" s="66">
        <f t="shared" si="7"/>
        <v>8.9302130118440459E-4</v>
      </c>
      <c r="D503" s="66">
        <f>(Table1[[#This Row],[Index]]-B491)/B491</f>
        <v>1.6138725762681955E-2</v>
      </c>
    </row>
    <row r="504" spans="1:4" x14ac:dyDescent="0.35">
      <c r="A504" s="17">
        <v>41426</v>
      </c>
      <c r="B504" s="58">
        <f>VLOOKUP(Table1[[#This Row],[Date]],database!A:B,2,)</f>
        <v>99.214100000000002</v>
      </c>
      <c r="C504" s="66">
        <f t="shared" si="7"/>
        <v>1.3716438126651909E-3</v>
      </c>
      <c r="D504" s="66">
        <f>(Table1[[#This Row],[Index]]-B492)/B492</f>
        <v>1.7681759108342032E-2</v>
      </c>
    </row>
    <row r="505" spans="1:4" x14ac:dyDescent="0.35">
      <c r="A505" s="17">
        <v>41456</v>
      </c>
      <c r="B505" s="58">
        <f>VLOOKUP(Table1[[#This Row],[Date]],database!A:B,2,)</f>
        <v>98.913200000000003</v>
      </c>
      <c r="C505" s="66">
        <f t="shared" si="7"/>
        <v>-3.0328350506630963E-3</v>
      </c>
      <c r="D505" s="66">
        <f>(Table1[[#This Row],[Index]]-B493)/B493</f>
        <v>1.2175180151325122E-2</v>
      </c>
    </row>
    <row r="506" spans="1:4" x14ac:dyDescent="0.35">
      <c r="A506" s="17">
        <v>41487</v>
      </c>
      <c r="B506" s="58">
        <f>VLOOKUP(Table1[[#This Row],[Date]],database!A:B,2,)</f>
        <v>99.489099999999993</v>
      </c>
      <c r="C506" s="66">
        <f t="shared" si="7"/>
        <v>5.8222765010129685E-3</v>
      </c>
      <c r="D506" s="66">
        <f>(Table1[[#This Row],[Index]]-B494)/B494</f>
        <v>2.2361863265956152E-2</v>
      </c>
    </row>
    <row r="507" spans="1:4" x14ac:dyDescent="0.35">
      <c r="A507" s="17">
        <v>41518</v>
      </c>
      <c r="B507" s="58">
        <f>VLOOKUP(Table1[[#This Row],[Date]],database!A:B,2,)</f>
        <v>100.0172</v>
      </c>
      <c r="C507" s="66">
        <f t="shared" si="7"/>
        <v>5.3081191808952433E-3</v>
      </c>
      <c r="D507" s="66">
        <f>(Table1[[#This Row],[Index]]-B495)/B495</f>
        <v>2.8554974521932789E-2</v>
      </c>
    </row>
    <row r="508" spans="1:4" x14ac:dyDescent="0.35">
      <c r="A508" s="17">
        <v>41548</v>
      </c>
      <c r="B508" s="58">
        <f>VLOOKUP(Table1[[#This Row],[Date]],database!A:B,2,)</f>
        <v>99.903800000000004</v>
      </c>
      <c r="C508" s="66">
        <f t="shared" si="7"/>
        <v>-1.133804985542497E-3</v>
      </c>
      <c r="D508" s="66">
        <f>(Table1[[#This Row],[Index]]-B496)/B496</f>
        <v>2.4013693996576466E-2</v>
      </c>
    </row>
    <row r="509" spans="1:4" x14ac:dyDescent="0.35">
      <c r="A509" s="17">
        <v>41579</v>
      </c>
      <c r="B509" s="58">
        <f>VLOOKUP(Table1[[#This Row],[Date]],database!A:B,2,)</f>
        <v>100.14790000000001</v>
      </c>
      <c r="C509" s="66">
        <f t="shared" si="7"/>
        <v>2.4433505031840053E-3</v>
      </c>
      <c r="D509" s="66">
        <f>(Table1[[#This Row],[Index]]-B497)/B497</f>
        <v>2.2346106377266459E-2</v>
      </c>
    </row>
    <row r="510" spans="1:4" x14ac:dyDescent="0.35">
      <c r="A510" s="17">
        <v>41609</v>
      </c>
      <c r="B510" s="58">
        <f>VLOOKUP(Table1[[#This Row],[Date]],database!A:B,2,)</f>
        <v>100.35760000000001</v>
      </c>
      <c r="C510" s="66">
        <f t="shared" si="7"/>
        <v>2.0939031172895195E-3</v>
      </c>
      <c r="D510" s="66">
        <f>(Table1[[#This Row],[Index]]-B498)/B498</f>
        <v>2.1908007751046E-2</v>
      </c>
    </row>
    <row r="511" spans="1:4" x14ac:dyDescent="0.35">
      <c r="A511" s="17">
        <v>41640</v>
      </c>
      <c r="B511" s="58">
        <f>VLOOKUP(Table1[[#This Row],[Date]],database!A:B,2,)</f>
        <v>99.982799999999997</v>
      </c>
      <c r="C511" s="66">
        <f t="shared" si="7"/>
        <v>-3.7346449098025758E-3</v>
      </c>
      <c r="D511" s="66">
        <f>(Table1[[#This Row],[Index]]-B499)/B499</f>
        <v>1.816515443130785E-2</v>
      </c>
    </row>
    <row r="512" spans="1:4" x14ac:dyDescent="0.35">
      <c r="A512" s="17">
        <v>41671</v>
      </c>
      <c r="B512" s="58">
        <f>VLOOKUP(Table1[[#This Row],[Date]],database!A:B,2,)</f>
        <v>100.74850000000001</v>
      </c>
      <c r="C512" s="66">
        <f t="shared" si="7"/>
        <v>7.6583172305637603E-3</v>
      </c>
      <c r="D512" s="66">
        <f>(Table1[[#This Row],[Index]]-B500)/B500</f>
        <v>2.0925483996818234E-2</v>
      </c>
    </row>
    <row r="513" spans="1:4" x14ac:dyDescent="0.35">
      <c r="A513" s="17">
        <v>41699</v>
      </c>
      <c r="B513" s="58">
        <f>VLOOKUP(Table1[[#This Row],[Date]],database!A:B,2,)</f>
        <v>101.73909999999999</v>
      </c>
      <c r="C513" s="66">
        <f t="shared" si="7"/>
        <v>9.8324044526716392E-3</v>
      </c>
      <c r="D513" s="66">
        <f>(Table1[[#This Row],[Index]]-B501)/B501</f>
        <v>2.663689184798284E-2</v>
      </c>
    </row>
    <row r="514" spans="1:4" x14ac:dyDescent="0.35">
      <c r="A514" s="17">
        <v>41730</v>
      </c>
      <c r="B514" s="58">
        <f>VLOOKUP(Table1[[#This Row],[Date]],database!A:B,2,)</f>
        <v>101.8023</v>
      </c>
      <c r="C514" s="66">
        <f t="shared" si="7"/>
        <v>6.2119676702465654E-4</v>
      </c>
      <c r="D514" s="66">
        <f>(Table1[[#This Row],[Index]]-B502)/B502</f>
        <v>2.8412018207936575E-2</v>
      </c>
    </row>
    <row r="515" spans="1:4" x14ac:dyDescent="0.35">
      <c r="A515" s="17">
        <v>41760</v>
      </c>
      <c r="B515" s="58">
        <f>VLOOKUP(Table1[[#This Row],[Date]],database!A:B,2,)</f>
        <v>102.2116</v>
      </c>
      <c r="C515" s="66">
        <f t="shared" si="7"/>
        <v>4.0205378463944452E-3</v>
      </c>
      <c r="D515" s="66">
        <f>(Table1[[#This Row],[Index]]-B503)/B503</f>
        <v>3.1625524080978552E-2</v>
      </c>
    </row>
    <row r="516" spans="1:4" x14ac:dyDescent="0.35">
      <c r="A516" s="17">
        <v>41791</v>
      </c>
      <c r="B516" s="58">
        <f>VLOOKUP(Table1[[#This Row],[Date]],database!A:B,2,)</f>
        <v>102.5637</v>
      </c>
      <c r="C516" s="66">
        <f t="shared" si="7"/>
        <v>3.4448144828962413E-3</v>
      </c>
      <c r="D516" s="66">
        <f>(Table1[[#This Row],[Index]]-B504)/B504</f>
        <v>3.376133029478668E-2</v>
      </c>
    </row>
    <row r="517" spans="1:4" x14ac:dyDescent="0.35">
      <c r="A517" s="17">
        <v>41821</v>
      </c>
      <c r="B517" s="58">
        <f>VLOOKUP(Table1[[#This Row],[Date]],database!A:B,2,)</f>
        <v>102.8425</v>
      </c>
      <c r="C517" s="66">
        <f t="shared" si="7"/>
        <v>2.7183106693693393E-3</v>
      </c>
      <c r="D517" s="66">
        <f>(Table1[[#This Row],[Index]]-B505)/B505</f>
        <v>3.9724728347682592E-2</v>
      </c>
    </row>
    <row r="518" spans="1:4" x14ac:dyDescent="0.35">
      <c r="A518" s="17">
        <v>41852</v>
      </c>
      <c r="B518" s="58">
        <f>VLOOKUP(Table1[[#This Row],[Date]],database!A:B,2,)</f>
        <v>102.6499</v>
      </c>
      <c r="C518" s="66">
        <f t="shared" si="7"/>
        <v>-1.8727666091352679E-3</v>
      </c>
      <c r="D518" s="66">
        <f>(Table1[[#This Row],[Index]]-B506)/B506</f>
        <v>3.177031453696947E-2</v>
      </c>
    </row>
    <row r="519" spans="1:4" x14ac:dyDescent="0.35">
      <c r="A519" s="17">
        <v>41883</v>
      </c>
      <c r="B519" s="58">
        <f>VLOOKUP(Table1[[#This Row],[Date]],database!A:B,2,)</f>
        <v>102.96469999999999</v>
      </c>
      <c r="C519" s="66">
        <f t="shared" si="7"/>
        <v>3.0667345998387496E-3</v>
      </c>
      <c r="D519" s="66">
        <f>(Table1[[#This Row],[Index]]-B507)/B507</f>
        <v>2.946993117183835E-2</v>
      </c>
    </row>
    <row r="520" spans="1:4" x14ac:dyDescent="0.35">
      <c r="A520" s="17">
        <v>41913</v>
      </c>
      <c r="B520" s="58">
        <f>VLOOKUP(Table1[[#This Row],[Date]],database!A:B,2,)</f>
        <v>102.9704</v>
      </c>
      <c r="C520" s="66">
        <f t="shared" ref="C520:C583" si="8">B520/B519-1</f>
        <v>5.5358778299874345E-5</v>
      </c>
      <c r="D520" s="66">
        <f>(Table1[[#This Row],[Index]]-B508)/B508</f>
        <v>3.069552909899317E-2</v>
      </c>
    </row>
    <row r="521" spans="1:4" x14ac:dyDescent="0.35">
      <c r="A521" s="17">
        <v>41944</v>
      </c>
      <c r="B521" s="58">
        <f>VLOOKUP(Table1[[#This Row],[Date]],database!A:B,2,)</f>
        <v>103.60169999999999</v>
      </c>
      <c r="C521" s="67">
        <f t="shared" si="8"/>
        <v>6.1308880998811599E-3</v>
      </c>
      <c r="D521" s="66">
        <f>(Table1[[#This Row],[Index]]-B509)/B509</f>
        <v>3.4486993736263932E-2</v>
      </c>
    </row>
    <row r="522" spans="1:4" x14ac:dyDescent="0.35">
      <c r="A522" s="17">
        <v>41974</v>
      </c>
      <c r="B522" s="58">
        <f>VLOOKUP(Table1[[#This Row],[Date]],database!A:B,2,)</f>
        <v>103.592</v>
      </c>
      <c r="C522" s="66">
        <f t="shared" si="8"/>
        <v>-9.3627807265628249E-5</v>
      </c>
      <c r="D522" s="66">
        <f>(Table1[[#This Row],[Index]]-B510)/B510</f>
        <v>3.2228749990035568E-2</v>
      </c>
    </row>
    <row r="523" spans="1:4" x14ac:dyDescent="0.35">
      <c r="A523" s="17">
        <v>42005</v>
      </c>
      <c r="B523" s="58">
        <f>VLOOKUP(Table1[[#This Row],[Date]],database!A:B,2,)</f>
        <v>102.798</v>
      </c>
      <c r="C523" s="67">
        <f t="shared" si="8"/>
        <v>-7.6646845316240553E-3</v>
      </c>
      <c r="D523" s="66">
        <f>(Table1[[#This Row],[Index]]-B511)/B511</f>
        <v>2.8156842976992086E-2</v>
      </c>
    </row>
    <row r="524" spans="1:4" x14ac:dyDescent="0.35">
      <c r="A524" s="17">
        <v>42036</v>
      </c>
      <c r="B524" s="58">
        <f>VLOOKUP(Table1[[#This Row],[Date]],database!A:B,2,)</f>
        <v>102.1554</v>
      </c>
      <c r="C524" s="66">
        <f t="shared" si="8"/>
        <v>-6.251094379268074E-3</v>
      </c>
      <c r="D524" s="66">
        <f>(Table1[[#This Row],[Index]]-B512)/B512</f>
        <v>1.3964475897904118E-2</v>
      </c>
    </row>
    <row r="525" spans="1:4" x14ac:dyDescent="0.35">
      <c r="A525" s="17">
        <v>42064</v>
      </c>
      <c r="B525" s="58">
        <f>VLOOKUP(Table1[[#This Row],[Date]],database!A:B,2,)</f>
        <v>101.8077</v>
      </c>
      <c r="C525" s="67">
        <f t="shared" si="8"/>
        <v>-3.4036379868318534E-3</v>
      </c>
      <c r="D525" s="66">
        <f>(Table1[[#This Row],[Index]]-B513)/B513</f>
        <v>6.7427370597934863E-4</v>
      </c>
    </row>
    <row r="526" spans="1:4" x14ac:dyDescent="0.35">
      <c r="A526" s="17">
        <v>42095</v>
      </c>
      <c r="B526" s="58">
        <f>VLOOKUP(Table1[[#This Row],[Date]],database!A:B,2,)</f>
        <v>101.2285</v>
      </c>
      <c r="C526" s="66">
        <f t="shared" si="8"/>
        <v>-5.6891571069771496E-3</v>
      </c>
      <c r="D526" s="66">
        <f>(Table1[[#This Row],[Index]]-B514)/B514</f>
        <v>-5.6364148943590237E-3</v>
      </c>
    </row>
    <row r="527" spans="1:4" x14ac:dyDescent="0.35">
      <c r="A527" s="17">
        <v>42125</v>
      </c>
      <c r="B527" s="58">
        <f>VLOOKUP(Table1[[#This Row],[Date]],database!A:B,2,)</f>
        <v>100.75360000000001</v>
      </c>
      <c r="C527" s="66">
        <f t="shared" si="8"/>
        <v>-4.6913665617883682E-3</v>
      </c>
      <c r="D527" s="66">
        <f>(Table1[[#This Row],[Index]]-B515)/B515</f>
        <v>-1.4264525748545158E-2</v>
      </c>
    </row>
    <row r="528" spans="1:4" x14ac:dyDescent="0.35">
      <c r="A528" s="17">
        <v>42156</v>
      </c>
      <c r="B528" s="58">
        <f>VLOOKUP(Table1[[#This Row],[Date]],database!A:B,2,)</f>
        <v>100.4529</v>
      </c>
      <c r="C528" s="66">
        <f t="shared" si="8"/>
        <v>-2.9845087421194183E-3</v>
      </c>
      <c r="D528" s="66">
        <f>(Table1[[#This Row],[Index]]-B516)/B516</f>
        <v>-2.0580380777994532E-2</v>
      </c>
    </row>
    <row r="529" spans="1:4" x14ac:dyDescent="0.35">
      <c r="A529" s="17">
        <v>42186</v>
      </c>
      <c r="B529" s="58">
        <f>VLOOKUP(Table1[[#This Row],[Date]],database!A:B,2,)</f>
        <v>101.11</v>
      </c>
      <c r="C529" s="66">
        <f t="shared" si="8"/>
        <v>6.5413741166258088E-3</v>
      </c>
      <c r="D529" s="66">
        <f>(Table1[[#This Row],[Index]]-B517)/B517</f>
        <v>-1.6846148236380889E-2</v>
      </c>
    </row>
    <row r="530" spans="1:4" x14ac:dyDescent="0.35">
      <c r="A530" s="17">
        <v>42217</v>
      </c>
      <c r="B530" s="58">
        <f>VLOOKUP(Table1[[#This Row],[Date]],database!A:B,2,)</f>
        <v>100.8802</v>
      </c>
      <c r="C530" s="66">
        <f t="shared" si="8"/>
        <v>-2.2727722282662732E-3</v>
      </c>
      <c r="D530" s="66">
        <f>(Table1[[#This Row],[Index]]-B518)/B518</f>
        <v>-1.7240153180860383E-2</v>
      </c>
    </row>
    <row r="531" spans="1:4" x14ac:dyDescent="0.35">
      <c r="A531" s="17">
        <v>42248</v>
      </c>
      <c r="B531" s="58">
        <f>VLOOKUP(Table1[[#This Row],[Date]],database!A:B,2,)</f>
        <v>100.608</v>
      </c>
      <c r="C531" s="66">
        <f t="shared" si="8"/>
        <v>-2.6982500034694601E-3</v>
      </c>
      <c r="D531" s="66">
        <f>(Table1[[#This Row],[Index]]-B519)/B519</f>
        <v>-2.288842681035335E-2</v>
      </c>
    </row>
    <row r="532" spans="1:4" x14ac:dyDescent="0.35">
      <c r="A532" s="17">
        <v>42278</v>
      </c>
      <c r="B532" s="58">
        <f>VLOOKUP(Table1[[#This Row],[Date]],database!A:B,2,)</f>
        <v>100.151</v>
      </c>
      <c r="C532" s="66">
        <f t="shared" si="8"/>
        <v>-4.5423823155217313E-3</v>
      </c>
      <c r="D532" s="66">
        <f>(Table1[[#This Row],[Index]]-B520)/B520</f>
        <v>-2.7380684157777398E-2</v>
      </c>
    </row>
    <row r="533" spans="1:4" x14ac:dyDescent="0.35">
      <c r="A533" s="17">
        <v>42309</v>
      </c>
      <c r="B533" s="58">
        <f>VLOOKUP(Table1[[#This Row],[Date]],database!A:B,2,)</f>
        <v>99.381699999999995</v>
      </c>
      <c r="C533" s="66">
        <f t="shared" si="8"/>
        <v>-7.6814010843626601E-3</v>
      </c>
      <c r="D533" s="66">
        <f>(Table1[[#This Row],[Index]]-B521)/B521</f>
        <v>-4.0732922336216483E-2</v>
      </c>
    </row>
    <row r="534" spans="1:4" x14ac:dyDescent="0.35">
      <c r="A534" s="17">
        <v>42339</v>
      </c>
      <c r="B534" s="58">
        <f>VLOOKUP(Table1[[#This Row],[Date]],database!A:B,2,)</f>
        <v>98.857200000000006</v>
      </c>
      <c r="C534" s="66">
        <f t="shared" si="8"/>
        <v>-5.2776315961589049E-3</v>
      </c>
      <c r="D534" s="66">
        <f>(Table1[[#This Row],[Index]]-B522)/B522</f>
        <v>-4.5706232141478037E-2</v>
      </c>
    </row>
    <row r="535" spans="1:4" x14ac:dyDescent="0.35">
      <c r="A535" s="17">
        <v>42370</v>
      </c>
      <c r="B535" s="58">
        <f>VLOOKUP(Table1[[#This Row],[Date]],database!A:B,2,)</f>
        <v>99.408600000000007</v>
      </c>
      <c r="C535" s="66">
        <f t="shared" si="8"/>
        <v>5.5777424406113774E-3</v>
      </c>
      <c r="D535" s="66">
        <f>(Table1[[#This Row],[Index]]-B523)/B523</f>
        <v>-3.2971458588688447E-2</v>
      </c>
    </row>
    <row r="536" spans="1:4" x14ac:dyDescent="0.35">
      <c r="A536" s="17">
        <v>42401</v>
      </c>
      <c r="B536" s="58">
        <f>VLOOKUP(Table1[[#This Row],[Date]],database!A:B,2,)</f>
        <v>98.894599999999997</v>
      </c>
      <c r="C536" s="66">
        <f t="shared" si="8"/>
        <v>-5.1705788030412814E-3</v>
      </c>
      <c r="D536" s="66">
        <f>(Table1[[#This Row],[Index]]-B524)/B524</f>
        <v>-3.1919996397645187E-2</v>
      </c>
    </row>
    <row r="537" spans="1:4" x14ac:dyDescent="0.35">
      <c r="A537" s="17">
        <v>42430</v>
      </c>
      <c r="B537" s="58">
        <f>VLOOKUP(Table1[[#This Row],[Date]],database!A:B,2,)</f>
        <v>98.138499999999993</v>
      </c>
      <c r="C537" s="66">
        <f t="shared" si="8"/>
        <v>-7.6455135062986068E-3</v>
      </c>
      <c r="D537" s="66">
        <f>(Table1[[#This Row],[Index]]-B525)/B525</f>
        <v>-3.6040495954628222E-2</v>
      </c>
    </row>
    <row r="538" spans="1:4" x14ac:dyDescent="0.35">
      <c r="A538" s="17">
        <v>42461</v>
      </c>
      <c r="B538" s="58">
        <f>VLOOKUP(Table1[[#This Row],[Date]],database!A:B,2,)</f>
        <v>98.436400000000006</v>
      </c>
      <c r="C538" s="66">
        <f t="shared" si="8"/>
        <v>3.0355059431315112E-3</v>
      </c>
      <c r="D538" s="66">
        <f>(Table1[[#This Row],[Index]]-B526)/B526</f>
        <v>-2.7582153247356137E-2</v>
      </c>
    </row>
    <row r="539" spans="1:4" x14ac:dyDescent="0.35">
      <c r="A539" s="17">
        <v>42491</v>
      </c>
      <c r="B539" s="58">
        <f>VLOOKUP(Table1[[#This Row],[Date]],database!A:B,2,)</f>
        <v>98.209599999999995</v>
      </c>
      <c r="C539" s="66">
        <f t="shared" si="8"/>
        <v>-2.3040257465735126E-3</v>
      </c>
      <c r="D539" s="66">
        <f>(Table1[[#This Row],[Index]]-B527)/B527</f>
        <v>-2.5249718124216017E-2</v>
      </c>
    </row>
    <row r="540" spans="1:4" x14ac:dyDescent="0.35">
      <c r="A540" s="17">
        <v>42522</v>
      </c>
      <c r="B540" s="58">
        <f>VLOOKUP(Table1[[#This Row],[Date]],database!A:B,2,)</f>
        <v>98.676599999999993</v>
      </c>
      <c r="C540" s="66">
        <f t="shared" si="8"/>
        <v>4.7551359541226912E-3</v>
      </c>
      <c r="D540" s="66">
        <f>(Table1[[#This Row],[Index]]-B528)/B528</f>
        <v>-1.768291408212213E-2</v>
      </c>
    </row>
    <row r="541" spans="1:4" x14ac:dyDescent="0.35">
      <c r="A541" s="17">
        <v>42552</v>
      </c>
      <c r="B541" s="58">
        <f>VLOOKUP(Table1[[#This Row],[Date]],database!A:B,2,)</f>
        <v>98.837100000000007</v>
      </c>
      <c r="C541" s="66">
        <f t="shared" si="8"/>
        <v>1.626525437641968E-3</v>
      </c>
      <c r="D541" s="66">
        <f>(Table1[[#This Row],[Index]]-B529)/B529</f>
        <v>-2.247947779645923E-2</v>
      </c>
    </row>
    <row r="542" spans="1:4" x14ac:dyDescent="0.35">
      <c r="A542" s="17">
        <v>42583</v>
      </c>
      <c r="B542" s="58">
        <f>VLOOKUP(Table1[[#This Row],[Date]],database!A:B,2,)</f>
        <v>98.730199999999996</v>
      </c>
      <c r="C542" s="66">
        <f t="shared" si="8"/>
        <v>-1.0815776666860399E-3</v>
      </c>
      <c r="D542" s="66">
        <f>(Table1[[#This Row],[Index]]-B530)/B530</f>
        <v>-2.1312408183171778E-2</v>
      </c>
    </row>
    <row r="543" spans="1:4" x14ac:dyDescent="0.35">
      <c r="A543" s="17">
        <v>42614</v>
      </c>
      <c r="B543" s="58">
        <f>VLOOKUP(Table1[[#This Row],[Date]],database!A:B,2,)</f>
        <v>98.628699999999995</v>
      </c>
      <c r="C543" s="66">
        <f t="shared" si="8"/>
        <v>-1.0280542326461806E-3</v>
      </c>
      <c r="D543" s="66">
        <f>(Table1[[#This Row],[Index]]-B531)/B531</f>
        <v>-1.9673385814249454E-2</v>
      </c>
    </row>
    <row r="544" spans="1:4" x14ac:dyDescent="0.35">
      <c r="A544" s="17">
        <v>42644</v>
      </c>
      <c r="B544" s="58">
        <f>VLOOKUP(Table1[[#This Row],[Date]],database!A:B,2,)</f>
        <v>98.712599999999995</v>
      </c>
      <c r="C544" s="66">
        <f t="shared" si="8"/>
        <v>8.5066517149678944E-4</v>
      </c>
      <c r="D544" s="66">
        <f>(Table1[[#This Row],[Index]]-B532)/B532</f>
        <v>-1.4362312907509675E-2</v>
      </c>
    </row>
    <row r="545" spans="1:4" x14ac:dyDescent="0.35">
      <c r="A545" s="17">
        <v>42675</v>
      </c>
      <c r="B545" s="58">
        <f>VLOOKUP(Table1[[#This Row],[Date]],database!A:B,2,)</f>
        <v>98.300399999999996</v>
      </c>
      <c r="C545" s="66">
        <f t="shared" si="8"/>
        <v>-4.1757587177320143E-3</v>
      </c>
      <c r="D545" s="66">
        <f>(Table1[[#This Row],[Index]]-B533)/B533</f>
        <v>-1.0880272726266495E-2</v>
      </c>
    </row>
    <row r="546" spans="1:4" x14ac:dyDescent="0.35">
      <c r="A546" s="17">
        <v>42705</v>
      </c>
      <c r="B546" s="58">
        <f>VLOOKUP(Table1[[#This Row],[Date]],database!A:B,2,)</f>
        <v>98.906300000000002</v>
      </c>
      <c r="C546" s="66">
        <f t="shared" si="8"/>
        <v>6.1637592522512108E-3</v>
      </c>
      <c r="D546" s="66">
        <f>(Table1[[#This Row],[Index]]-B534)/B534</f>
        <v>4.9667601348202966E-4</v>
      </c>
    </row>
    <row r="547" spans="1:4" x14ac:dyDescent="0.35">
      <c r="A547" s="17">
        <v>42736</v>
      </c>
      <c r="B547" s="58">
        <f>VLOOKUP(Table1[[#This Row],[Date]],database!A:B,2,)</f>
        <v>98.734899999999996</v>
      </c>
      <c r="C547" s="66">
        <f t="shared" si="8"/>
        <v>-1.7329533103553896E-3</v>
      </c>
      <c r="D547" s="66">
        <f>(Table1[[#This Row],[Index]]-B535)/B535</f>
        <v>-6.7770796490445578E-3</v>
      </c>
    </row>
    <row r="548" spans="1:4" x14ac:dyDescent="0.35">
      <c r="A548" s="17">
        <v>42767</v>
      </c>
      <c r="B548" s="58">
        <f>VLOOKUP(Table1[[#This Row],[Date]],database!A:B,2,)</f>
        <v>98.4178</v>
      </c>
      <c r="C548" s="66">
        <f t="shared" si="8"/>
        <v>-3.2116303353727504E-3</v>
      </c>
      <c r="D548" s="66">
        <f>(Table1[[#This Row],[Index]]-B536)/B536</f>
        <v>-4.8212945904022794E-3</v>
      </c>
    </row>
    <row r="549" spans="1:4" x14ac:dyDescent="0.35">
      <c r="A549" s="17">
        <v>42795</v>
      </c>
      <c r="B549" s="58">
        <f>VLOOKUP(Table1[[#This Row],[Date]],database!A:B,2,)</f>
        <v>99.072599999999994</v>
      </c>
      <c r="C549" s="66">
        <f t="shared" si="8"/>
        <v>6.653268006397095E-3</v>
      </c>
      <c r="D549" s="66">
        <f>(Table1[[#This Row],[Index]]-B537)/B537</f>
        <v>9.5181809381639296E-3</v>
      </c>
    </row>
    <row r="550" spans="1:4" x14ac:dyDescent="0.35">
      <c r="A550" s="17">
        <v>42826</v>
      </c>
      <c r="B550" s="58">
        <f>VLOOKUP(Table1[[#This Row],[Date]],database!A:B,2,)</f>
        <v>100.0545</v>
      </c>
      <c r="C550" s="66">
        <f t="shared" si="8"/>
        <v>9.9109138147177589E-3</v>
      </c>
      <c r="D550" s="66">
        <f>(Table1[[#This Row],[Index]]-B538)/B538</f>
        <v>1.6438024958247133E-2</v>
      </c>
    </row>
    <row r="551" spans="1:4" x14ac:dyDescent="0.35">
      <c r="A551" s="17">
        <v>42856</v>
      </c>
      <c r="B551" s="58">
        <f>VLOOKUP(Table1[[#This Row],[Date]],database!A:B,2,)</f>
        <v>100.139</v>
      </c>
      <c r="C551" s="66">
        <f t="shared" si="8"/>
        <v>8.4453972584941361E-4</v>
      </c>
      <c r="D551" s="66">
        <f>(Table1[[#This Row],[Index]]-B539)/B539</f>
        <v>1.9645737280265894E-2</v>
      </c>
    </row>
    <row r="552" spans="1:4" x14ac:dyDescent="0.35">
      <c r="A552" s="17">
        <v>42887</v>
      </c>
      <c r="B552" s="58">
        <f>VLOOKUP(Table1[[#This Row],[Date]],database!A:B,2,)</f>
        <v>100.31480000000001</v>
      </c>
      <c r="C552" s="66">
        <f t="shared" si="8"/>
        <v>1.7555597719172145E-3</v>
      </c>
      <c r="D552" s="66">
        <f>(Table1[[#This Row],[Index]]-B540)/B540</f>
        <v>1.660170699030988E-2</v>
      </c>
    </row>
    <row r="553" spans="1:4" x14ac:dyDescent="0.35">
      <c r="A553" s="17">
        <v>42917</v>
      </c>
      <c r="B553" s="58">
        <f>VLOOKUP(Table1[[#This Row],[Date]],database!A:B,2,)</f>
        <v>100.1418</v>
      </c>
      <c r="C553" s="66">
        <f t="shared" si="8"/>
        <v>-1.7245710503335232E-3</v>
      </c>
      <c r="D553" s="66">
        <f>(Table1[[#This Row],[Index]]-B541)/B541</f>
        <v>1.3200508715856665E-2</v>
      </c>
    </row>
    <row r="554" spans="1:4" x14ac:dyDescent="0.35">
      <c r="A554" s="17">
        <v>42948</v>
      </c>
      <c r="B554" s="58">
        <f>VLOOKUP(Table1[[#This Row],[Date]],database!A:B,2,)</f>
        <v>99.687799999999996</v>
      </c>
      <c r="C554" s="66">
        <f t="shared" si="8"/>
        <v>-4.533571395760938E-3</v>
      </c>
      <c r="D554" s="66">
        <f>(Table1[[#This Row],[Index]]-B542)/B542</f>
        <v>9.6991599328270315E-3</v>
      </c>
    </row>
    <row r="555" spans="1:4" x14ac:dyDescent="0.35">
      <c r="A555" s="17">
        <v>42979</v>
      </c>
      <c r="B555" s="58">
        <f>VLOOKUP(Table1[[#This Row],[Date]],database!A:B,2,)</f>
        <v>99.782899999999998</v>
      </c>
      <c r="C555" s="66">
        <f t="shared" si="8"/>
        <v>9.5397832031607344E-4</v>
      </c>
      <c r="D555" s="66">
        <f>(Table1[[#This Row],[Index]]-B543)/B543</f>
        <v>1.170247605413032E-2</v>
      </c>
    </row>
    <row r="556" spans="1:4" x14ac:dyDescent="0.35">
      <c r="A556" s="17">
        <v>43009</v>
      </c>
      <c r="B556" s="58">
        <f>VLOOKUP(Table1[[#This Row],[Date]],database!A:B,2,)</f>
        <v>101.0401</v>
      </c>
      <c r="C556" s="66">
        <f t="shared" si="8"/>
        <v>1.2599353195787977E-2</v>
      </c>
      <c r="D556" s="66">
        <f>(Table1[[#This Row],[Index]]-B544)/B544</f>
        <v>2.3578550255995697E-2</v>
      </c>
    </row>
    <row r="557" spans="1:4" x14ac:dyDescent="0.35">
      <c r="A557" s="17">
        <v>43040</v>
      </c>
      <c r="B557" s="58">
        <f>VLOOKUP(Table1[[#This Row],[Date]],database!A:B,2,)</f>
        <v>101.226</v>
      </c>
      <c r="C557" s="66">
        <f t="shared" si="8"/>
        <v>1.8398635789156348E-3</v>
      </c>
      <c r="D557" s="66">
        <f>(Table1[[#This Row],[Index]]-B545)/B545</f>
        <v>2.9761832098343474E-2</v>
      </c>
    </row>
    <row r="558" spans="1:4" x14ac:dyDescent="0.35">
      <c r="A558" s="17">
        <v>43070</v>
      </c>
      <c r="B558" s="58">
        <f>VLOOKUP(Table1[[#This Row],[Date]],database!A:B,2,)</f>
        <v>101.3878</v>
      </c>
      <c r="C558" s="66">
        <f t="shared" si="8"/>
        <v>1.598403572204754E-3</v>
      </c>
      <c r="D558" s="66">
        <f>(Table1[[#This Row],[Index]]-B546)/B546</f>
        <v>2.5089402798406137E-2</v>
      </c>
    </row>
    <row r="559" spans="1:4" x14ac:dyDescent="0.35">
      <c r="A559" s="17">
        <v>43101</v>
      </c>
      <c r="B559" s="58">
        <f>VLOOKUP(Table1[[#This Row],[Date]],database!A:B,2,)</f>
        <v>101.345</v>
      </c>
      <c r="C559" s="66">
        <f t="shared" si="8"/>
        <v>-4.2214151998565264E-4</v>
      </c>
      <c r="D559" s="66">
        <f>(Table1[[#This Row],[Index]]-B547)/B547</f>
        <v>2.6435434684189713E-2</v>
      </c>
    </row>
    <row r="560" spans="1:4" x14ac:dyDescent="0.35">
      <c r="A560" s="17">
        <v>43132</v>
      </c>
      <c r="B560" s="58">
        <f>VLOOKUP(Table1[[#This Row],[Date]],database!A:B,2,)</f>
        <v>101.7068</v>
      </c>
      <c r="C560" s="66">
        <f t="shared" si="8"/>
        <v>3.5699837189797634E-3</v>
      </c>
      <c r="D560" s="66">
        <f>(Table1[[#This Row],[Index]]-B548)/B548</f>
        <v>3.3418751486011693E-2</v>
      </c>
    </row>
    <row r="561" spans="1:4" x14ac:dyDescent="0.35">
      <c r="A561" s="17">
        <v>43160</v>
      </c>
      <c r="B561" s="58">
        <f>VLOOKUP(Table1[[#This Row],[Date]],database!A:B,2,)</f>
        <v>102.27849999999999</v>
      </c>
      <c r="C561" s="66">
        <f t="shared" si="8"/>
        <v>5.6210597521502148E-3</v>
      </c>
      <c r="D561" s="66">
        <f>(Table1[[#This Row],[Index]]-B549)/B549</f>
        <v>3.2359098277424836E-2</v>
      </c>
    </row>
    <row r="562" spans="1:4" x14ac:dyDescent="0.35">
      <c r="A562" s="17">
        <v>43191</v>
      </c>
      <c r="B562" s="58">
        <f>VLOOKUP(Table1[[#This Row],[Date]],database!A:B,2,)</f>
        <v>103.434</v>
      </c>
      <c r="C562" s="66">
        <f t="shared" si="8"/>
        <v>1.1297584536339444E-2</v>
      </c>
      <c r="D562" s="66">
        <f>(Table1[[#This Row],[Index]]-B550)/B550</f>
        <v>3.3776591757492098E-2</v>
      </c>
    </row>
    <row r="563" spans="1:4" x14ac:dyDescent="0.35">
      <c r="A563" s="17">
        <v>43221</v>
      </c>
      <c r="B563" s="58">
        <f>VLOOKUP(Table1[[#This Row],[Date]],database!A:B,2,)</f>
        <v>102.4735</v>
      </c>
      <c r="C563" s="66">
        <f t="shared" si="8"/>
        <v>-9.2861148171781149E-3</v>
      </c>
      <c r="D563" s="66">
        <f>(Table1[[#This Row],[Index]]-B551)/B551</f>
        <v>2.3312595492265806E-2</v>
      </c>
    </row>
    <row r="564" spans="1:4" x14ac:dyDescent="0.35">
      <c r="A564" s="17">
        <v>43252</v>
      </c>
      <c r="B564" s="58">
        <f>VLOOKUP(Table1[[#This Row],[Date]],database!A:B,2,)</f>
        <v>103.2508</v>
      </c>
      <c r="C564" s="66">
        <f t="shared" si="8"/>
        <v>7.5853757312867032E-3</v>
      </c>
      <c r="D564" s="66">
        <f>(Table1[[#This Row],[Index]]-B552)/B552</f>
        <v>2.926786476173E-2</v>
      </c>
    </row>
    <row r="565" spans="1:4" x14ac:dyDescent="0.35">
      <c r="A565" s="17">
        <v>43282</v>
      </c>
      <c r="B565" s="58">
        <f>VLOOKUP(Table1[[#This Row],[Date]],database!A:B,2,)</f>
        <v>103.4588</v>
      </c>
      <c r="C565" s="66">
        <f t="shared" si="8"/>
        <v>2.0145122362247303E-3</v>
      </c>
      <c r="D565" s="66">
        <f>(Table1[[#This Row],[Index]]-B553)/B553</f>
        <v>3.3123031541274404E-2</v>
      </c>
    </row>
    <row r="566" spans="1:4" x14ac:dyDescent="0.35">
      <c r="A566" s="17">
        <v>43313</v>
      </c>
      <c r="B566" s="58">
        <f>VLOOKUP(Table1[[#This Row],[Date]],database!A:B,2,)</f>
        <v>104.1802</v>
      </c>
      <c r="C566" s="66">
        <f t="shared" si="8"/>
        <v>6.9728239647086632E-3</v>
      </c>
      <c r="D566" s="66">
        <f>(Table1[[#This Row],[Index]]-B554)/B554</f>
        <v>4.5064691968325146E-2</v>
      </c>
    </row>
    <row r="567" spans="1:4" x14ac:dyDescent="0.35">
      <c r="A567" s="17">
        <v>43344</v>
      </c>
      <c r="B567" s="58">
        <f>VLOOKUP(Table1[[#This Row],[Date]],database!A:B,2,)</f>
        <v>104.1665</v>
      </c>
      <c r="C567" s="66">
        <f t="shared" si="8"/>
        <v>-1.3150291514130164E-4</v>
      </c>
      <c r="D567" s="66">
        <f>(Table1[[#This Row],[Index]]-B555)/B555</f>
        <v>4.3931375015157918E-2</v>
      </c>
    </row>
    <row r="568" spans="1:4" x14ac:dyDescent="0.35">
      <c r="A568" s="17">
        <v>43374</v>
      </c>
      <c r="B568" s="58">
        <f>VLOOKUP(Table1[[#This Row],[Date]],database!A:B,2,)</f>
        <v>104.0476</v>
      </c>
      <c r="C568" s="66">
        <f t="shared" si="8"/>
        <v>-1.1414418263069326E-3</v>
      </c>
      <c r="D568" s="66">
        <f>(Table1[[#This Row],[Index]]-B556)/B556</f>
        <v>2.9765409970892821E-2</v>
      </c>
    </row>
    <row r="569" spans="1:4" x14ac:dyDescent="0.35">
      <c r="A569" s="17">
        <v>43405</v>
      </c>
      <c r="B569" s="58">
        <f>VLOOKUP(Table1[[#This Row],[Date]],database!A:B,2,)</f>
        <v>103.9603</v>
      </c>
      <c r="C569" s="66">
        <f t="shared" si="8"/>
        <v>-8.3903905520166244E-4</v>
      </c>
      <c r="D569" s="66">
        <f>(Table1[[#This Row],[Index]]-B557)/B557</f>
        <v>2.7011834904076073E-2</v>
      </c>
    </row>
    <row r="570" spans="1:4" x14ac:dyDescent="0.35">
      <c r="A570" s="17">
        <v>43435</v>
      </c>
      <c r="B570" s="58">
        <f>VLOOKUP(Table1[[#This Row],[Date]],database!A:B,2,)</f>
        <v>103.869</v>
      </c>
      <c r="C570" s="66">
        <f t="shared" si="8"/>
        <v>-8.782198589269985E-4</v>
      </c>
      <c r="D570" s="66">
        <f>(Table1[[#This Row],[Index]]-B558)/B558</f>
        <v>2.4472372415616093E-2</v>
      </c>
    </row>
    <row r="571" spans="1:4" x14ac:dyDescent="0.35">
      <c r="A571" s="17">
        <v>43466</v>
      </c>
      <c r="B571" s="58">
        <f>VLOOKUP(Table1[[#This Row],[Date]],database!A:B,2,)</f>
        <v>103.2684</v>
      </c>
      <c r="C571" s="66">
        <f t="shared" si="8"/>
        <v>-5.7822834531958689E-3</v>
      </c>
      <c r="D571" s="66">
        <f>(Table1[[#This Row],[Index]]-B559)/B559</f>
        <v>1.8978736000789392E-2</v>
      </c>
    </row>
    <row r="572" spans="1:4" x14ac:dyDescent="0.35">
      <c r="A572" s="17">
        <v>43497</v>
      </c>
      <c r="B572" s="58">
        <f>VLOOKUP(Table1[[#This Row],[Date]],database!A:B,2,)</f>
        <v>102.81570000000001</v>
      </c>
      <c r="C572" s="66">
        <f t="shared" si="8"/>
        <v>-4.3837224165378386E-3</v>
      </c>
      <c r="D572" s="66">
        <f>(Table1[[#This Row],[Index]]-B560)/B560</f>
        <v>1.0902909146684445E-2</v>
      </c>
    </row>
    <row r="573" spans="1:4" x14ac:dyDescent="0.35">
      <c r="A573" s="17">
        <v>43525</v>
      </c>
      <c r="B573" s="58">
        <f>VLOOKUP(Table1[[#This Row],[Date]],database!A:B,2,)</f>
        <v>102.9</v>
      </c>
      <c r="C573" s="66">
        <f t="shared" si="8"/>
        <v>8.1991369022427207E-4</v>
      </c>
      <c r="D573" s="66">
        <f>(Table1[[#This Row],[Index]]-B561)/B561</f>
        <v>6.0765459016314449E-3</v>
      </c>
    </row>
    <row r="574" spans="1:4" x14ac:dyDescent="0.35">
      <c r="A574" s="17">
        <v>43556</v>
      </c>
      <c r="B574" s="58">
        <f>VLOOKUP(Table1[[#This Row],[Date]],database!A:B,2,)</f>
        <v>102.3826</v>
      </c>
      <c r="C574" s="66">
        <f t="shared" si="8"/>
        <v>-5.028182701652173E-3</v>
      </c>
      <c r="D574" s="66">
        <f>(Table1[[#This Row],[Index]]-B562)/B562</f>
        <v>-1.0164936094514387E-2</v>
      </c>
    </row>
    <row r="575" spans="1:4" x14ac:dyDescent="0.35">
      <c r="A575" s="17">
        <v>43586</v>
      </c>
      <c r="B575" s="58">
        <f>VLOOKUP(Table1[[#This Row],[Date]],database!A:B,2,)</f>
        <v>102.57559999999999</v>
      </c>
      <c r="C575" s="66">
        <f t="shared" si="8"/>
        <v>1.8850859423378274E-3</v>
      </c>
      <c r="D575" s="66">
        <f>(Table1[[#This Row],[Index]]-B563)/B563</f>
        <v>9.9635515523518732E-4</v>
      </c>
    </row>
    <row r="576" spans="1:4" x14ac:dyDescent="0.35">
      <c r="A576" s="17">
        <v>43617</v>
      </c>
      <c r="B576" s="58">
        <f>VLOOKUP(Table1[[#This Row],[Date]],database!A:B,2,)</f>
        <v>102.5928</v>
      </c>
      <c r="C576" s="66">
        <f t="shared" si="8"/>
        <v>1.6768120293719768E-4</v>
      </c>
      <c r="D576" s="66">
        <f>(Table1[[#This Row],[Index]]-B564)/B564</f>
        <v>-6.372831978057325E-3</v>
      </c>
    </row>
    <row r="577" spans="1:4" x14ac:dyDescent="0.35">
      <c r="A577" s="17">
        <v>43647</v>
      </c>
      <c r="B577" s="58">
        <f>VLOOKUP(Table1[[#This Row],[Date]],database!A:B,2,)</f>
        <v>102.2012</v>
      </c>
      <c r="C577" s="66">
        <f t="shared" si="8"/>
        <v>-3.8170319944479392E-3</v>
      </c>
      <c r="D577" s="66">
        <f>(Table1[[#This Row],[Index]]-B565)/B565</f>
        <v>-1.2155563374019383E-2</v>
      </c>
    </row>
    <row r="578" spans="1:4" x14ac:dyDescent="0.35">
      <c r="A578" s="17">
        <v>43678</v>
      </c>
      <c r="B578" s="58">
        <f>VLOOKUP(Table1[[#This Row],[Date]],database!A:B,2,)</f>
        <v>102.90860000000001</v>
      </c>
      <c r="C578" s="66">
        <f t="shared" si="8"/>
        <v>6.9216408417904773E-3</v>
      </c>
      <c r="D578" s="66">
        <f>(Table1[[#This Row],[Index]]-B566)/B566</f>
        <v>-1.2205774225812508E-2</v>
      </c>
    </row>
    <row r="579" spans="1:4" x14ac:dyDescent="0.35">
      <c r="A579" s="17">
        <v>43709</v>
      </c>
      <c r="B579" s="58">
        <f>VLOOKUP(Table1[[#This Row],[Date]],database!A:B,2,)</f>
        <v>102.57899999999999</v>
      </c>
      <c r="C579" s="66">
        <f t="shared" si="8"/>
        <v>-3.2028421336993684E-3</v>
      </c>
      <c r="D579" s="66">
        <f>(Table1[[#This Row],[Index]]-B567)/B567</f>
        <v>-1.5240024384039069E-2</v>
      </c>
    </row>
    <row r="580" spans="1:4" x14ac:dyDescent="0.35">
      <c r="A580" s="17">
        <v>43739</v>
      </c>
      <c r="B580" s="58">
        <f>VLOOKUP(Table1[[#This Row],[Date]],database!A:B,2,)</f>
        <v>101.7775</v>
      </c>
      <c r="C580" s="66">
        <f t="shared" si="8"/>
        <v>-7.8134900905642013E-3</v>
      </c>
      <c r="D580" s="66">
        <f>(Table1[[#This Row],[Index]]-B568)/B568</f>
        <v>-2.1817898730965436E-2</v>
      </c>
    </row>
    <row r="581" spans="1:4" x14ac:dyDescent="0.35">
      <c r="A581" s="17">
        <v>43770</v>
      </c>
      <c r="B581" s="58">
        <f>VLOOKUP(Table1[[#This Row],[Date]],database!A:B,2,)</f>
        <v>102.0979</v>
      </c>
      <c r="C581" s="66">
        <f t="shared" si="8"/>
        <v>3.1480435263195883E-3</v>
      </c>
      <c r="D581" s="66">
        <f>(Table1[[#This Row],[Index]]-B569)/B569</f>
        <v>-1.7914530835328561E-2</v>
      </c>
    </row>
    <row r="582" spans="1:4" x14ac:dyDescent="0.35">
      <c r="A582" s="17">
        <v>43800</v>
      </c>
      <c r="B582" s="58">
        <f>VLOOKUP(Table1[[#This Row],[Date]],database!A:B,2,)</f>
        <v>101.7632</v>
      </c>
      <c r="C582" s="66">
        <f t="shared" si="8"/>
        <v>-3.27822609475803E-3</v>
      </c>
      <c r="D582" s="66">
        <f>(Table1[[#This Row],[Index]]-B570)/B570</f>
        <v>-2.027361387902071E-2</v>
      </c>
    </row>
    <row r="583" spans="1:4" x14ac:dyDescent="0.35">
      <c r="A583" s="17">
        <v>43831</v>
      </c>
      <c r="B583" s="58">
        <f>VLOOKUP(Table1[[#This Row],[Date]],database!A:B,2,)</f>
        <v>101.303</v>
      </c>
      <c r="C583" s="66">
        <f t="shared" si="8"/>
        <v>-4.5222634508348403E-3</v>
      </c>
      <c r="D583" s="66">
        <f>(Table1[[#This Row],[Index]]-B571)/B571</f>
        <v>-1.9031959437737028E-2</v>
      </c>
    </row>
    <row r="584" spans="1:4" x14ac:dyDescent="0.35">
      <c r="A584" s="17">
        <v>43862</v>
      </c>
      <c r="B584" s="58">
        <f>VLOOKUP(Table1[[#This Row],[Date]],database!A:B,2,)</f>
        <v>101.7038</v>
      </c>
      <c r="C584" s="66">
        <f t="shared" ref="C584:C647" si="9">B584/B583-1</f>
        <v>3.956447489215531E-3</v>
      </c>
      <c r="D584" s="66">
        <f>(Table1[[#This Row],[Index]]-B572)/B572</f>
        <v>-1.0814496229661477E-2</v>
      </c>
    </row>
    <row r="585" spans="1:4" x14ac:dyDescent="0.35">
      <c r="A585" s="17">
        <v>43891</v>
      </c>
      <c r="B585" s="58">
        <f>VLOOKUP(Table1[[#This Row],[Date]],database!A:B,2,)</f>
        <v>97.874600000000001</v>
      </c>
      <c r="C585" s="66">
        <f t="shared" si="9"/>
        <v>-3.7650510600390596E-2</v>
      </c>
      <c r="D585" s="66">
        <f>(Table1[[#This Row],[Index]]-B573)/B573</f>
        <v>-4.8837706511175943E-2</v>
      </c>
    </row>
    <row r="586" spans="1:4" x14ac:dyDescent="0.35">
      <c r="A586" s="17">
        <v>43922</v>
      </c>
      <c r="B586" s="58">
        <f>VLOOKUP(Table1[[#This Row],[Date]],database!A:B,2,)</f>
        <v>84.959000000000003</v>
      </c>
      <c r="C586" s="66">
        <f t="shared" si="9"/>
        <v>-0.13196069255966303</v>
      </c>
      <c r="D586" s="66">
        <f>(Table1[[#This Row],[Index]]-B574)/B574</f>
        <v>-0.17018126126900462</v>
      </c>
    </row>
    <row r="587" spans="1:4" x14ac:dyDescent="0.35">
      <c r="A587" s="17">
        <v>43952</v>
      </c>
      <c r="B587" s="58">
        <f>VLOOKUP(Table1[[#This Row],[Date]],database!A:B,2,)</f>
        <v>86.334500000000006</v>
      </c>
      <c r="C587" s="66">
        <f t="shared" si="9"/>
        <v>1.6190162313586498E-2</v>
      </c>
      <c r="D587" s="66">
        <f>(Table1[[#This Row],[Index]]-B575)/B575</f>
        <v>-0.1583329758734045</v>
      </c>
    </row>
    <row r="588" spans="1:4" x14ac:dyDescent="0.35">
      <c r="A588" s="17">
        <v>43983</v>
      </c>
      <c r="B588" s="58">
        <f>VLOOKUP(Table1[[#This Row],[Date]],database!A:B,2,)</f>
        <v>91.752300000000005</v>
      </c>
      <c r="C588" s="66">
        <f t="shared" si="9"/>
        <v>6.2753592132924751E-2</v>
      </c>
      <c r="D588" s="66">
        <f>(Table1[[#This Row],[Index]]-B576)/B576</f>
        <v>-0.10566530984630493</v>
      </c>
    </row>
    <row r="589" spans="1:4" x14ac:dyDescent="0.35">
      <c r="A589" s="17">
        <v>44013</v>
      </c>
      <c r="B589" s="58">
        <f>VLOOKUP(Table1[[#This Row],[Date]],database!A:B,2,)</f>
        <v>95.243899999999996</v>
      </c>
      <c r="C589" s="66">
        <f t="shared" si="9"/>
        <v>3.8054631872988409E-2</v>
      </c>
      <c r="D589" s="66">
        <f>(Table1[[#This Row],[Index]]-B577)/B577</f>
        <v>-6.8074543156049078E-2</v>
      </c>
    </row>
    <row r="590" spans="1:4" x14ac:dyDescent="0.35">
      <c r="A590" s="17">
        <v>44044</v>
      </c>
      <c r="B590" s="58">
        <f>VLOOKUP(Table1[[#This Row],[Date]],database!A:B,2,)</f>
        <v>96.1173</v>
      </c>
      <c r="C590" s="66">
        <f t="shared" si="9"/>
        <v>9.1701410799012173E-3</v>
      </c>
      <c r="D590" s="66">
        <f>(Table1[[#This Row],[Index]]-B578)/B578</f>
        <v>-6.5993512689901584E-2</v>
      </c>
    </row>
    <row r="591" spans="1:4" x14ac:dyDescent="0.35">
      <c r="A591" s="17">
        <v>44075</v>
      </c>
      <c r="B591" s="58">
        <f>VLOOKUP(Table1[[#This Row],[Date]],database!A:B,2,)</f>
        <v>96.071100000000001</v>
      </c>
      <c r="C591" s="66">
        <f t="shared" si="9"/>
        <v>-4.8066269027535746E-4</v>
      </c>
      <c r="D591" s="66">
        <f>(Table1[[#This Row],[Index]]-B579)/B579</f>
        <v>-6.344280993185733E-2</v>
      </c>
    </row>
    <row r="592" spans="1:4" x14ac:dyDescent="0.35">
      <c r="A592" s="17">
        <v>44105</v>
      </c>
      <c r="B592" s="58">
        <f>VLOOKUP(Table1[[#This Row],[Date]],database!A:B,2,)</f>
        <v>96.825000000000003</v>
      </c>
      <c r="C592" s="66">
        <f t="shared" si="9"/>
        <v>7.8473130837473093E-3</v>
      </c>
      <c r="D592" s="66">
        <f>(Table1[[#This Row],[Index]]-B580)/B580</f>
        <v>-4.866006730367714E-2</v>
      </c>
    </row>
    <row r="593" spans="1:4" x14ac:dyDescent="0.35">
      <c r="A593" s="17">
        <v>44136</v>
      </c>
      <c r="B593" s="58">
        <f>VLOOKUP(Table1[[#This Row],[Date]],database!A:B,2,)</f>
        <v>97.118300000000005</v>
      </c>
      <c r="C593" s="66">
        <f t="shared" si="9"/>
        <v>3.0291763490835066E-3</v>
      </c>
      <c r="D593" s="66">
        <f>(Table1[[#This Row],[Index]]-B581)/B581</f>
        <v>-4.8772795522728583E-2</v>
      </c>
    </row>
    <row r="594" spans="1:4" x14ac:dyDescent="0.35">
      <c r="A594" s="17">
        <v>44166</v>
      </c>
      <c r="B594" s="58">
        <f>VLOOKUP(Table1[[#This Row],[Date]],database!A:B,2,)</f>
        <v>98.138000000000005</v>
      </c>
      <c r="C594" s="66">
        <f t="shared" si="9"/>
        <v>1.0499565993226767E-2</v>
      </c>
      <c r="D594" s="66">
        <f>(Table1[[#This Row],[Index]]-B582)/B582</f>
        <v>-3.562387975220898E-2</v>
      </c>
    </row>
    <row r="595" spans="1:4" x14ac:dyDescent="0.35">
      <c r="A595" s="17">
        <v>44197</v>
      </c>
      <c r="B595" s="58">
        <f>VLOOKUP(Table1[[#This Row],[Date]],database!A:B,2,)</f>
        <v>99.264499999999998</v>
      </c>
      <c r="C595" s="66">
        <f t="shared" si="9"/>
        <v>1.1478734027593696E-2</v>
      </c>
      <c r="D595" s="66">
        <f>(Table1[[#This Row],[Index]]-B583)/B583</f>
        <v>-2.0122799917080433E-2</v>
      </c>
    </row>
    <row r="596" spans="1:4" x14ac:dyDescent="0.35">
      <c r="A596" s="17">
        <v>44228</v>
      </c>
      <c r="B596" s="58">
        <f>VLOOKUP(Table1[[#This Row],[Date]],database!A:B,2,)</f>
        <v>96.223100000000002</v>
      </c>
      <c r="C596" s="66">
        <f t="shared" si="9"/>
        <v>-3.0639352437175416E-2</v>
      </c>
      <c r="D596" s="66">
        <f>(Table1[[#This Row],[Index]]-B584)/B584</f>
        <v>-5.3888841911511651E-2</v>
      </c>
    </row>
    <row r="597" spans="1:4" x14ac:dyDescent="0.35">
      <c r="A597" s="17">
        <v>44256</v>
      </c>
      <c r="B597" s="58">
        <f>VLOOKUP(Table1[[#This Row],[Date]],database!A:B,2,)</f>
        <v>98.862099999999998</v>
      </c>
      <c r="C597" s="66">
        <f t="shared" si="9"/>
        <v>2.7425846808094789E-2</v>
      </c>
      <c r="D597" s="66">
        <f>(Table1[[#This Row],[Index]]-B585)/B585</f>
        <v>1.0089440978558248E-2</v>
      </c>
    </row>
    <row r="598" spans="1:4" x14ac:dyDescent="0.35">
      <c r="A598" s="17">
        <v>44287</v>
      </c>
      <c r="B598" s="58">
        <f>VLOOKUP(Table1[[#This Row],[Date]],database!A:B,2,)</f>
        <v>99.024600000000007</v>
      </c>
      <c r="C598" s="66">
        <f t="shared" si="9"/>
        <v>1.6437037044529923E-3</v>
      </c>
      <c r="D598" s="66">
        <f>(Table1[[#This Row],[Index]]-B586)/B586</f>
        <v>0.1655575042079121</v>
      </c>
    </row>
    <row r="599" spans="1:4" x14ac:dyDescent="0.35">
      <c r="A599" s="17">
        <v>44317</v>
      </c>
      <c r="B599" s="58">
        <f>VLOOKUP(Table1[[#This Row],[Date]],database!A:B,2,)</f>
        <v>99.778499999999994</v>
      </c>
      <c r="C599" s="66">
        <f t="shared" si="9"/>
        <v>7.6132597354594544E-3</v>
      </c>
      <c r="D599" s="66">
        <f>(Table1[[#This Row],[Index]]-B587)/B587</f>
        <v>0.15571990339898867</v>
      </c>
    </row>
    <row r="600" spans="1:4" x14ac:dyDescent="0.35">
      <c r="A600" s="17">
        <v>44348</v>
      </c>
      <c r="B600" s="58">
        <f>VLOOKUP(Table1[[#This Row],[Date]],database!A:B,2,)</f>
        <v>100.1923</v>
      </c>
      <c r="C600" s="66">
        <f t="shared" si="9"/>
        <v>4.147186017027904E-3</v>
      </c>
      <c r="D600" s="66">
        <f>(Table1[[#This Row],[Index]]-B588)/B588</f>
        <v>9.1986794881436185E-2</v>
      </c>
    </row>
    <row r="601" spans="1:4" x14ac:dyDescent="0.35">
      <c r="A601" s="17">
        <v>44378</v>
      </c>
      <c r="B601" s="58">
        <f>VLOOKUP(Table1[[#This Row],[Date]],database!A:B,2,)</f>
        <v>100.8724</v>
      </c>
      <c r="C601" s="66">
        <f t="shared" si="9"/>
        <v>6.7879467783451553E-3</v>
      </c>
      <c r="D601" s="66">
        <f>(Table1[[#This Row],[Index]]-B589)/B589</f>
        <v>5.9095648120247098E-2</v>
      </c>
    </row>
    <row r="602" spans="1:4" x14ac:dyDescent="0.35">
      <c r="A602" s="17">
        <v>44409</v>
      </c>
      <c r="B602" s="58">
        <f>VLOOKUP(Table1[[#This Row],[Date]],database!A:B,2,)</f>
        <v>100.837</v>
      </c>
      <c r="C602" s="66">
        <f t="shared" si="9"/>
        <v>-3.5093841328248665E-4</v>
      </c>
      <c r="D602" s="66">
        <f>(Table1[[#This Row],[Index]]-B590)/B590</f>
        <v>4.9103543274727893E-2</v>
      </c>
    </row>
    <row r="603" spans="1:4" x14ac:dyDescent="0.35">
      <c r="A603" s="17">
        <v>44440</v>
      </c>
      <c r="B603" s="58">
        <f>VLOOKUP(Table1[[#This Row],[Date]],database!A:B,2,)</f>
        <v>99.849800000000002</v>
      </c>
      <c r="C603" s="66">
        <f t="shared" si="9"/>
        <v>-9.7900572210597447E-3</v>
      </c>
      <c r="D603" s="66">
        <f>(Table1[[#This Row],[Index]]-B591)/B591</f>
        <v>3.9332327828035703E-2</v>
      </c>
    </row>
    <row r="604" spans="1:4" x14ac:dyDescent="0.35">
      <c r="A604" s="17">
        <v>44470</v>
      </c>
      <c r="B604" s="58">
        <f>VLOOKUP(Table1[[#This Row],[Date]],database!A:B,2,)</f>
        <v>101.36020000000001</v>
      </c>
      <c r="C604" s="66">
        <f t="shared" si="9"/>
        <v>1.5126720333941579E-2</v>
      </c>
      <c r="D604" s="66">
        <f>(Table1[[#This Row],[Index]]-B592)/B592</f>
        <v>4.6839142783372097E-2</v>
      </c>
    </row>
    <row r="605" spans="1:4" x14ac:dyDescent="0.35">
      <c r="A605" s="17">
        <v>44501</v>
      </c>
      <c r="B605" s="58">
        <f>VLOOKUP(Table1[[#This Row],[Date]],database!A:B,2,)</f>
        <v>101.961</v>
      </c>
      <c r="C605" s="66">
        <f t="shared" si="9"/>
        <v>5.9273758339071225E-3</v>
      </c>
      <c r="D605" s="66">
        <f>(Table1[[#This Row],[Index]]-B593)/B593</f>
        <v>4.986392883730454E-2</v>
      </c>
    </row>
    <row r="606" spans="1:4" x14ac:dyDescent="0.35">
      <c r="A606" s="17">
        <v>44531</v>
      </c>
      <c r="B606" s="58">
        <f>VLOOKUP(Table1[[#This Row],[Date]],database!A:B,2,)</f>
        <v>101.7587</v>
      </c>
      <c r="C606" s="66">
        <f t="shared" si="9"/>
        <v>-1.9840919567284399E-3</v>
      </c>
      <c r="D606" s="66">
        <f>(Table1[[#This Row],[Index]]-B594)/B594</f>
        <v>3.6893965640220905E-2</v>
      </c>
    </row>
    <row r="607" spans="1:4" x14ac:dyDescent="0.35">
      <c r="A607" s="17">
        <v>44562</v>
      </c>
      <c r="B607" s="58">
        <f>VLOOKUP(Table1[[#This Row],[Date]],database!A:B,2,)</f>
        <v>102.146</v>
      </c>
      <c r="C607" s="66">
        <f t="shared" si="9"/>
        <v>3.8060627739937569E-3</v>
      </c>
      <c r="D607" s="66">
        <f>(Table1[[#This Row],[Index]]-B595)/B595</f>
        <v>2.9028504651713378E-2</v>
      </c>
    </row>
    <row r="608" spans="1:4" x14ac:dyDescent="0.35">
      <c r="A608" s="17">
        <v>44593</v>
      </c>
      <c r="B608" s="58">
        <f>VLOOKUP(Table1[[#This Row],[Date]],database!A:B,2,)</f>
        <v>102.89870000000001</v>
      </c>
      <c r="C608" s="66">
        <f t="shared" si="9"/>
        <v>7.3688641748086425E-3</v>
      </c>
      <c r="D608" s="66">
        <f>(Table1[[#This Row],[Index]]-B596)/B596</f>
        <v>6.9376272433542496E-2</v>
      </c>
    </row>
    <row r="609" spans="1:4" x14ac:dyDescent="0.35">
      <c r="A609" s="17">
        <v>44621</v>
      </c>
      <c r="B609" s="58">
        <f>VLOOKUP(Table1[[#This Row],[Date]],database!A:B,2,)</f>
        <v>103.57170000000001</v>
      </c>
      <c r="C609" s="66">
        <f t="shared" si="9"/>
        <v>6.5404130470063659E-3</v>
      </c>
      <c r="D609" s="66">
        <f>(Table1[[#This Row],[Index]]-B597)/B597</f>
        <v>4.7638073639949069E-2</v>
      </c>
    </row>
    <row r="610" spans="1:4" x14ac:dyDescent="0.35">
      <c r="A610" s="17">
        <v>44652</v>
      </c>
      <c r="B610" s="58">
        <f>VLOOKUP(Table1[[#This Row],[Date]],database!A:B,2,)</f>
        <v>104.2709</v>
      </c>
      <c r="C610" s="66">
        <f t="shared" si="9"/>
        <v>6.7508788597656633E-3</v>
      </c>
      <c r="D610" s="66">
        <f>(Table1[[#This Row],[Index]]-B598)/B598</f>
        <v>5.2979764624143805E-2</v>
      </c>
    </row>
    <row r="611" spans="1:4" x14ac:dyDescent="0.35">
      <c r="A611" s="17">
        <v>44682</v>
      </c>
      <c r="B611" s="58">
        <f>VLOOKUP(Table1[[#This Row],[Date]],database!A:B,2,)</f>
        <v>104.16459999999999</v>
      </c>
      <c r="C611" s="66">
        <f t="shared" si="9"/>
        <v>-1.0194598876580585E-3</v>
      </c>
      <c r="D611" s="66">
        <f>(Table1[[#This Row],[Index]]-B599)/B599</f>
        <v>4.3958367784642974E-2</v>
      </c>
    </row>
    <row r="612" spans="1:4" x14ac:dyDescent="0.35">
      <c r="A612" s="17">
        <v>44713</v>
      </c>
      <c r="B612" s="58">
        <f>VLOOKUP(Table1[[#This Row],[Date]],database!A:B,2,)</f>
        <v>103.9464</v>
      </c>
      <c r="C612" s="66">
        <f t="shared" si="9"/>
        <v>-2.0947615600692693E-3</v>
      </c>
      <c r="D612" s="66">
        <f>(Table1[[#This Row],[Index]]-B600)/B600</f>
        <v>3.7468947214506443E-2</v>
      </c>
    </row>
    <row r="613" spans="1:4" x14ac:dyDescent="0.35">
      <c r="A613" s="17">
        <v>44743</v>
      </c>
      <c r="B613" s="58">
        <f>VLOOKUP(Table1[[#This Row],[Date]],database!A:B,2,)</f>
        <v>104.4824</v>
      </c>
      <c r="C613" s="66">
        <f t="shared" si="9"/>
        <v>5.1565037365410848E-3</v>
      </c>
      <c r="D613" s="66">
        <f>(Table1[[#This Row],[Index]]-B601)/B601</f>
        <v>3.5787787343217761E-2</v>
      </c>
    </row>
    <row r="614" spans="1:4" x14ac:dyDescent="0.35">
      <c r="A614" s="17">
        <v>44774</v>
      </c>
      <c r="B614" s="58">
        <f>VLOOKUP(Table1[[#This Row],[Date]],database!A:B,2,)</f>
        <v>104.36969999999999</v>
      </c>
      <c r="C614" s="66">
        <f t="shared" si="9"/>
        <v>-1.0786505669855284E-3</v>
      </c>
      <c r="D614" s="66">
        <f>(Table1[[#This Row],[Index]]-B602)/B602</f>
        <v>3.5033767367136974E-2</v>
      </c>
    </row>
    <row r="615" spans="1:4" x14ac:dyDescent="0.35">
      <c r="A615" s="17">
        <v>44805</v>
      </c>
      <c r="B615" s="58">
        <f>VLOOKUP(Table1[[#This Row],[Date]],database!A:B,2,)</f>
        <v>104.574</v>
      </c>
      <c r="C615" s="66">
        <f t="shared" si="9"/>
        <v>1.9574646664692885E-3</v>
      </c>
      <c r="D615" s="66">
        <f>(Table1[[#This Row],[Index]]-B603)/B603</f>
        <v>4.7313064222462099E-2</v>
      </c>
    </row>
    <row r="616" spans="1:4" x14ac:dyDescent="0.35">
      <c r="A616" s="17">
        <v>44835</v>
      </c>
      <c r="B616" s="58">
        <f>VLOOKUP(Table1[[#This Row],[Date]],database!A:B,2,)</f>
        <v>104.59269999999999</v>
      </c>
      <c r="C616" s="66">
        <f t="shared" si="9"/>
        <v>1.7882073938069176E-4</v>
      </c>
      <c r="D616" s="66">
        <f>(Table1[[#This Row],[Index]]-B604)/B604</f>
        <v>3.1891215684262536E-2</v>
      </c>
    </row>
    <row r="617" spans="1:4" x14ac:dyDescent="0.35">
      <c r="A617" s="17">
        <v>44866</v>
      </c>
      <c r="B617" s="58">
        <f>VLOOKUP(Table1[[#This Row],[Date]],database!A:B,2,)</f>
        <v>103.9846</v>
      </c>
      <c r="C617" s="66">
        <f t="shared" si="9"/>
        <v>-5.813981281676428E-3</v>
      </c>
      <c r="D617" s="66">
        <f>(Table1[[#This Row],[Index]]-B605)/B605</f>
        <v>1.9846804170221968E-2</v>
      </c>
    </row>
    <row r="618" spans="1:4" x14ac:dyDescent="0.35">
      <c r="A618" s="17">
        <v>44896</v>
      </c>
      <c r="B618" s="58">
        <f>VLOOKUP(Table1[[#This Row],[Date]],database!A:B,2,)</f>
        <v>102.9256</v>
      </c>
      <c r="C618" s="66">
        <f t="shared" si="9"/>
        <v>-1.0184200352744477E-2</v>
      </c>
      <c r="D618" s="66">
        <f>(Table1[[#This Row],[Index]]-B606)/B606</f>
        <v>1.1467324169825266E-2</v>
      </c>
    </row>
    <row r="619" spans="1:4" x14ac:dyDescent="0.35">
      <c r="A619" s="17">
        <v>44927</v>
      </c>
      <c r="B619" s="58">
        <f>VLOOKUP(Table1[[#This Row],[Date]],database!A:B,2,)</f>
        <v>102.9525</v>
      </c>
      <c r="C619" s="66">
        <f t="shared" si="9"/>
        <v>2.6135383228265141E-4</v>
      </c>
      <c r="D619" s="66">
        <f>(Table1[[#This Row],[Index]]-B607)/B607</f>
        <v>7.8955612554578725E-3</v>
      </c>
    </row>
  </sheetData>
  <conditionalFormatting sqref="D463:D619">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78"/>
  <sheetViews>
    <sheetView zoomScale="90" zoomScaleNormal="90" workbookViewId="0">
      <pane ySplit="5" topLeftCell="A652" activePane="bottomLeft" state="frozen"/>
      <selection activeCell="N1259" sqref="N1259"/>
      <selection pane="bottomLeft" activeCell="B678" sqref="B678"/>
    </sheetView>
  </sheetViews>
  <sheetFormatPr defaultColWidth="9.1796875" defaultRowHeight="14.5" x14ac:dyDescent="0.35"/>
  <cols>
    <col min="1" max="1" width="9.1796875" style="74" customWidth="1"/>
    <col min="2" max="2" width="18.36328125" style="12" customWidth="1"/>
    <col min="3" max="3" width="13.6328125" style="12" customWidth="1"/>
    <col min="4" max="29" width="9.1796875" style="74" customWidth="1"/>
    <col min="30" max="16384" width="9.1796875" style="74"/>
  </cols>
  <sheetData>
    <row r="1" spans="1:3" x14ac:dyDescent="0.35">
      <c r="A1" s="74" t="s">
        <v>46</v>
      </c>
      <c r="C1" t="s">
        <v>59</v>
      </c>
    </row>
    <row r="2" spans="1:3" x14ac:dyDescent="0.35">
      <c r="C2" t="s">
        <v>60</v>
      </c>
    </row>
    <row r="3" spans="1:3" x14ac:dyDescent="0.35">
      <c r="C3" t="s">
        <v>61</v>
      </c>
    </row>
    <row r="4" spans="1:3" ht="16" customHeight="1" thickBot="1" x14ac:dyDescent="0.4"/>
    <row r="5" spans="1:3" x14ac:dyDescent="0.35">
      <c r="A5" s="37" t="s">
        <v>48</v>
      </c>
      <c r="B5" s="29" t="s">
        <v>43</v>
      </c>
      <c r="C5" s="30" t="s">
        <v>62</v>
      </c>
    </row>
    <row r="6" spans="1:3" x14ac:dyDescent="0.35">
      <c r="A6" s="38">
        <v>24473</v>
      </c>
      <c r="B6" s="39">
        <f>VLOOKUP(Table8[[#This Row],[Month]],database!A:J,MATCH('Capacity Utilization'!$A$1,database!$A$1:$J$1,),)</f>
        <v>89.390199999999993</v>
      </c>
      <c r="C6" s="32"/>
    </row>
    <row r="7" spans="1:3" x14ac:dyDescent="0.35">
      <c r="A7" s="38">
        <v>24504</v>
      </c>
      <c r="B7" s="39">
        <f>VLOOKUP(Table8[[#This Row],[Month]],database!A:J,MATCH('Capacity Utilization'!$A$1,database!$A$1:$J$1,),)</f>
        <v>87.974999999999994</v>
      </c>
      <c r="C7" s="32"/>
    </row>
    <row r="8" spans="1:3" x14ac:dyDescent="0.35">
      <c r="A8" s="38">
        <v>24532</v>
      </c>
      <c r="B8" s="39">
        <f>VLOOKUP(Table8[[#This Row],[Month]],database!A:J,MATCH('Capacity Utilization'!$A$1,database!$A$1:$J$1,),)</f>
        <v>87.083500000000001</v>
      </c>
      <c r="C8" s="32"/>
    </row>
    <row r="9" spans="1:3" x14ac:dyDescent="0.35">
      <c r="A9" s="38">
        <v>24563</v>
      </c>
      <c r="B9" s="39">
        <f>VLOOKUP(Table8[[#This Row],[Month]],database!A:J,MATCH('Capacity Utilization'!$A$1,database!$A$1:$J$1,),)</f>
        <v>87.508899999999997</v>
      </c>
      <c r="C9" s="32"/>
    </row>
    <row r="10" spans="1:3" x14ac:dyDescent="0.35">
      <c r="A10" s="38">
        <v>24593</v>
      </c>
      <c r="B10" s="39">
        <f>VLOOKUP(Table8[[#This Row],[Month]],database!A:J,MATCH('Capacity Utilization'!$A$1,database!$A$1:$J$1,),)</f>
        <v>86.3566</v>
      </c>
      <c r="C10" s="32"/>
    </row>
    <row r="11" spans="1:3" x14ac:dyDescent="0.35">
      <c r="A11" s="38">
        <v>24624</v>
      </c>
      <c r="B11" s="39">
        <f>VLOOKUP(Table8[[#This Row],[Month]],database!A:J,MATCH('Capacity Utilization'!$A$1,database!$A$1:$J$1,),)</f>
        <v>85.960300000000004</v>
      </c>
      <c r="C11" s="32"/>
    </row>
    <row r="12" spans="1:3" x14ac:dyDescent="0.35">
      <c r="A12" s="38">
        <v>24654</v>
      </c>
      <c r="B12" s="39">
        <f>VLOOKUP(Table8[[#This Row],[Month]],database!A:J,MATCH('Capacity Utilization'!$A$1,database!$A$1:$J$1,),)</f>
        <v>85.383300000000006</v>
      </c>
      <c r="C12" s="32"/>
    </row>
    <row r="13" spans="1:3" x14ac:dyDescent="0.35">
      <c r="A13" s="38">
        <v>24685</v>
      </c>
      <c r="B13" s="39">
        <f>VLOOKUP(Table8[[#This Row],[Month]],database!A:J,MATCH('Capacity Utilization'!$A$1,database!$A$1:$J$1,),)</f>
        <v>86.633899999999997</v>
      </c>
      <c r="C13" s="32"/>
    </row>
    <row r="14" spans="1:3" x14ac:dyDescent="0.35">
      <c r="A14" s="38">
        <v>24716</v>
      </c>
      <c r="B14" s="39">
        <f>VLOOKUP(Table8[[#This Row],[Month]],database!A:J,MATCH('Capacity Utilization'!$A$1,database!$A$1:$J$1,),)</f>
        <v>86.112200000000001</v>
      </c>
      <c r="C14" s="32"/>
    </row>
    <row r="15" spans="1:3" x14ac:dyDescent="0.35">
      <c r="A15" s="38">
        <v>24746</v>
      </c>
      <c r="B15" s="39">
        <f>VLOOKUP(Table8[[#This Row],[Month]],database!A:J,MATCH('Capacity Utilization'!$A$1,database!$A$1:$J$1,),)</f>
        <v>86.432500000000005</v>
      </c>
      <c r="C15" s="32"/>
    </row>
    <row r="16" spans="1:3" x14ac:dyDescent="0.35">
      <c r="A16" s="38">
        <v>24777</v>
      </c>
      <c r="B16" s="39">
        <f>VLOOKUP(Table8[[#This Row],[Month]],database!A:J,MATCH('Capacity Utilization'!$A$1,database!$A$1:$J$1,),)</f>
        <v>87.285600000000002</v>
      </c>
      <c r="C16" s="32"/>
    </row>
    <row r="17" spans="1:3" x14ac:dyDescent="0.35">
      <c r="A17" s="38">
        <v>24807</v>
      </c>
      <c r="B17" s="39">
        <f>VLOOKUP(Table8[[#This Row],[Month]],database!A:J,MATCH('Capacity Utilization'!$A$1,database!$A$1:$J$1,),)</f>
        <v>87.841700000000003</v>
      </c>
      <c r="C17" s="32"/>
    </row>
    <row r="18" spans="1:3" x14ac:dyDescent="0.35">
      <c r="A18" s="38">
        <v>24838</v>
      </c>
      <c r="B18" s="39">
        <f>VLOOKUP(Table8[[#This Row],[Month]],database!A:J,MATCH('Capacity Utilization'!$A$1,database!$A$1:$J$1,),)</f>
        <v>87.384100000000004</v>
      </c>
      <c r="C18" s="32"/>
    </row>
    <row r="19" spans="1:3" x14ac:dyDescent="0.35">
      <c r="A19" s="38">
        <v>24869</v>
      </c>
      <c r="B19" s="39">
        <f>VLOOKUP(Table8[[#This Row],[Month]],database!A:J,MATCH('Capacity Utilization'!$A$1,database!$A$1:$J$1,),)</f>
        <v>87.349100000000007</v>
      </c>
      <c r="C19" s="32"/>
    </row>
    <row r="20" spans="1:3" x14ac:dyDescent="0.35">
      <c r="A20" s="38">
        <v>24898</v>
      </c>
      <c r="B20" s="39">
        <f>VLOOKUP(Table8[[#This Row],[Month]],database!A:J,MATCH('Capacity Utilization'!$A$1,database!$A$1:$J$1,),)</f>
        <v>87.275000000000006</v>
      </c>
      <c r="C20" s="32"/>
    </row>
    <row r="21" spans="1:3" x14ac:dyDescent="0.35">
      <c r="A21" s="38">
        <v>24929</v>
      </c>
      <c r="B21" s="39">
        <f>VLOOKUP(Table8[[#This Row],[Month]],database!A:J,MATCH('Capacity Utilization'!$A$1,database!$A$1:$J$1,),)</f>
        <v>87.056899999999999</v>
      </c>
      <c r="C21" s="32"/>
    </row>
    <row r="22" spans="1:3" x14ac:dyDescent="0.35">
      <c r="A22" s="38">
        <v>24959</v>
      </c>
      <c r="B22" s="39">
        <f>VLOOKUP(Table8[[#This Row],[Month]],database!A:J,MATCH('Capacity Utilization'!$A$1,database!$A$1:$J$1,),)</f>
        <v>87.687700000000007</v>
      </c>
      <c r="C22" s="32"/>
    </row>
    <row r="23" spans="1:3" x14ac:dyDescent="0.35">
      <c r="A23" s="38">
        <v>24990</v>
      </c>
      <c r="B23" s="39">
        <f>VLOOKUP(Table8[[#This Row],[Month]],database!A:J,MATCH('Capacity Utilization'!$A$1,database!$A$1:$J$1,),)</f>
        <v>87.665599999999998</v>
      </c>
      <c r="C23" s="32"/>
    </row>
    <row r="24" spans="1:3" x14ac:dyDescent="0.35">
      <c r="A24" s="38">
        <v>25020</v>
      </c>
      <c r="B24" s="39">
        <f>VLOOKUP(Table8[[#This Row],[Month]],database!A:J,MATCH('Capacity Utilization'!$A$1,database!$A$1:$J$1,),)</f>
        <v>87.19</v>
      </c>
      <c r="C24" s="32"/>
    </row>
    <row r="25" spans="1:3" x14ac:dyDescent="0.35">
      <c r="A25" s="38">
        <v>25051</v>
      </c>
      <c r="B25" s="39">
        <f>VLOOKUP(Table8[[#This Row],[Month]],database!A:J,MATCH('Capacity Utilization'!$A$1,database!$A$1:$J$1,),)</f>
        <v>87.093800000000002</v>
      </c>
      <c r="C25" s="32"/>
    </row>
    <row r="26" spans="1:3" x14ac:dyDescent="0.35">
      <c r="A26" s="38">
        <v>25082</v>
      </c>
      <c r="B26" s="39">
        <f>VLOOKUP(Table8[[#This Row],[Month]],database!A:J,MATCH('Capacity Utilization'!$A$1,database!$A$1:$J$1,),)</f>
        <v>87.085700000000003</v>
      </c>
      <c r="C26" s="32"/>
    </row>
    <row r="27" spans="1:3" x14ac:dyDescent="0.35">
      <c r="A27" s="38">
        <v>25112</v>
      </c>
      <c r="B27" s="39">
        <f>VLOOKUP(Table8[[#This Row],[Month]],database!A:J,MATCH('Capacity Utilization'!$A$1,database!$A$1:$J$1,),)</f>
        <v>86.922300000000007</v>
      </c>
      <c r="C27" s="32"/>
    </row>
    <row r="28" spans="1:3" x14ac:dyDescent="0.35">
      <c r="A28" s="38">
        <v>25143</v>
      </c>
      <c r="B28" s="39">
        <f>VLOOKUP(Table8[[#This Row],[Month]],database!A:J,MATCH('Capacity Utilization'!$A$1,database!$A$1:$J$1,),)</f>
        <v>87.708699999999993</v>
      </c>
      <c r="C28" s="32"/>
    </row>
    <row r="29" spans="1:3" x14ac:dyDescent="0.35">
      <c r="A29" s="38">
        <v>25173</v>
      </c>
      <c r="B29" s="39">
        <f>VLOOKUP(Table8[[#This Row],[Month]],database!A:J,MATCH('Capacity Utilization'!$A$1,database!$A$1:$J$1,),)</f>
        <v>87.649199999999993</v>
      </c>
      <c r="C29" s="32"/>
    </row>
    <row r="30" spans="1:3" x14ac:dyDescent="0.35">
      <c r="A30" s="38">
        <v>25204</v>
      </c>
      <c r="B30" s="39">
        <f>VLOOKUP(Table8[[#This Row],[Month]],database!A:J,MATCH('Capacity Utilization'!$A$1,database!$A$1:$J$1,),)</f>
        <v>87.852000000000004</v>
      </c>
      <c r="C30" s="32"/>
    </row>
    <row r="31" spans="1:3" x14ac:dyDescent="0.35">
      <c r="A31" s="38">
        <v>25235</v>
      </c>
      <c r="B31" s="39">
        <f>VLOOKUP(Table8[[#This Row],[Month]],database!A:J,MATCH('Capacity Utilization'!$A$1,database!$A$1:$J$1,),)</f>
        <v>88.096000000000004</v>
      </c>
      <c r="C31" s="32"/>
    </row>
    <row r="32" spans="1:3" x14ac:dyDescent="0.35">
      <c r="A32" s="38">
        <v>25263</v>
      </c>
      <c r="B32" s="39">
        <f>VLOOKUP(Table8[[#This Row],[Month]],database!A:J,MATCH('Capacity Utilization'!$A$1,database!$A$1:$J$1,),)</f>
        <v>88.468000000000004</v>
      </c>
      <c r="C32" s="32"/>
    </row>
    <row r="33" spans="1:3" x14ac:dyDescent="0.35">
      <c r="A33" s="38">
        <v>25294</v>
      </c>
      <c r="B33" s="39">
        <f>VLOOKUP(Table8[[#This Row],[Month]],database!A:J,MATCH('Capacity Utilization'!$A$1,database!$A$1:$J$1,),)</f>
        <v>87.827200000000005</v>
      </c>
      <c r="C33" s="32"/>
    </row>
    <row r="34" spans="1:3" x14ac:dyDescent="0.35">
      <c r="A34" s="38">
        <v>25324</v>
      </c>
      <c r="B34" s="39">
        <f>VLOOKUP(Table8[[#This Row],[Month]],database!A:J,MATCH('Capacity Utilization'!$A$1,database!$A$1:$J$1,),)</f>
        <v>87.183300000000003</v>
      </c>
      <c r="C34" s="32"/>
    </row>
    <row r="35" spans="1:3" x14ac:dyDescent="0.35">
      <c r="A35" s="38">
        <v>25355</v>
      </c>
      <c r="B35" s="39">
        <f>VLOOKUP(Table8[[#This Row],[Month]],database!A:J,MATCH('Capacity Utilization'!$A$1,database!$A$1:$J$1,),)</f>
        <v>87.722300000000004</v>
      </c>
      <c r="C35" s="32"/>
    </row>
    <row r="36" spans="1:3" x14ac:dyDescent="0.35">
      <c r="A36" s="38">
        <v>25385</v>
      </c>
      <c r="B36" s="39">
        <f>VLOOKUP(Table8[[#This Row],[Month]],database!A:J,MATCH('Capacity Utilization'!$A$1,database!$A$1:$J$1,),)</f>
        <v>87.873099999999994</v>
      </c>
      <c r="C36" s="32"/>
    </row>
    <row r="37" spans="1:3" x14ac:dyDescent="0.35">
      <c r="A37" s="38">
        <v>25416</v>
      </c>
      <c r="B37" s="39">
        <f>VLOOKUP(Table8[[#This Row],[Month]],database!A:J,MATCH('Capacity Utilization'!$A$1,database!$A$1:$J$1,),)</f>
        <v>87.764200000000002</v>
      </c>
      <c r="C37" s="32"/>
    </row>
    <row r="38" spans="1:3" x14ac:dyDescent="0.35">
      <c r="A38" s="38">
        <v>25447</v>
      </c>
      <c r="B38" s="39">
        <f>VLOOKUP(Table8[[#This Row],[Month]],database!A:J,MATCH('Capacity Utilization'!$A$1,database!$A$1:$J$1,),)</f>
        <v>87.436000000000007</v>
      </c>
      <c r="C38" s="32"/>
    </row>
    <row r="39" spans="1:3" x14ac:dyDescent="0.35">
      <c r="A39" s="38">
        <v>25477</v>
      </c>
      <c r="B39" s="39">
        <f>VLOOKUP(Table8[[#This Row],[Month]],database!A:J,MATCH('Capacity Utilization'!$A$1,database!$A$1:$J$1,),)</f>
        <v>87.155000000000001</v>
      </c>
      <c r="C39" s="32"/>
    </row>
    <row r="40" spans="1:3" x14ac:dyDescent="0.35">
      <c r="A40" s="38">
        <v>25508</v>
      </c>
      <c r="B40" s="39">
        <f>VLOOKUP(Table8[[#This Row],[Month]],database!A:J,MATCH('Capacity Utilization'!$A$1,database!$A$1:$J$1,),)</f>
        <v>86.031999999999996</v>
      </c>
      <c r="C40" s="32"/>
    </row>
    <row r="41" spans="1:3" x14ac:dyDescent="0.35">
      <c r="A41" s="38">
        <v>25538</v>
      </c>
      <c r="B41" s="39">
        <f>VLOOKUP(Table8[[#This Row],[Month]],database!A:J,MATCH('Capacity Utilization'!$A$1,database!$A$1:$J$1,),)</f>
        <v>85.502399999999994</v>
      </c>
      <c r="C41" s="32"/>
    </row>
    <row r="42" spans="1:3" x14ac:dyDescent="0.35">
      <c r="A42" s="38">
        <v>25569</v>
      </c>
      <c r="B42" s="39">
        <f>VLOOKUP(Table8[[#This Row],[Month]],database!A:J,MATCH('Capacity Utilization'!$A$1,database!$A$1:$J$1,),)</f>
        <v>83.641400000000004</v>
      </c>
      <c r="C42" s="32"/>
    </row>
    <row r="43" spans="1:3" x14ac:dyDescent="0.35">
      <c r="A43" s="38">
        <v>25600</v>
      </c>
      <c r="B43" s="39">
        <f>VLOOKUP(Table8[[#This Row],[Month]],database!A:J,MATCH('Capacity Utilization'!$A$1,database!$A$1:$J$1,),)</f>
        <v>83.3245</v>
      </c>
      <c r="C43" s="32"/>
    </row>
    <row r="44" spans="1:3" x14ac:dyDescent="0.35">
      <c r="A44" s="38">
        <v>25628</v>
      </c>
      <c r="B44" s="39">
        <f>VLOOKUP(Table8[[#This Row],[Month]],database!A:J,MATCH('Capacity Utilization'!$A$1,database!$A$1:$J$1,),)</f>
        <v>82.956000000000003</v>
      </c>
      <c r="C44" s="32"/>
    </row>
    <row r="45" spans="1:3" x14ac:dyDescent="0.35">
      <c r="A45" s="38">
        <v>25659</v>
      </c>
      <c r="B45" s="39">
        <f>VLOOKUP(Table8[[#This Row],[Month]],database!A:J,MATCH('Capacity Utilization'!$A$1,database!$A$1:$J$1,),)</f>
        <v>82.484800000000007</v>
      </c>
      <c r="C45" s="32"/>
    </row>
    <row r="46" spans="1:3" x14ac:dyDescent="0.35">
      <c r="A46" s="38">
        <v>25689</v>
      </c>
      <c r="B46" s="39">
        <f>VLOOKUP(Table8[[#This Row],[Month]],database!A:J,MATCH('Capacity Utilization'!$A$1,database!$A$1:$J$1,),)</f>
        <v>82.132499999999993</v>
      </c>
      <c r="C46" s="32"/>
    </row>
    <row r="47" spans="1:3" x14ac:dyDescent="0.35">
      <c r="A47" s="38">
        <v>25720</v>
      </c>
      <c r="B47" s="39">
        <f>VLOOKUP(Table8[[#This Row],[Month]],database!A:J,MATCH('Capacity Utilization'!$A$1,database!$A$1:$J$1,),)</f>
        <v>81.613200000000006</v>
      </c>
      <c r="C47" s="32"/>
    </row>
    <row r="48" spans="1:3" x14ac:dyDescent="0.35">
      <c r="A48" s="38">
        <v>25750</v>
      </c>
      <c r="B48" s="39">
        <f>VLOOKUP(Table8[[#This Row],[Month]],database!A:J,MATCH('Capacity Utilization'!$A$1,database!$A$1:$J$1,),)</f>
        <v>81.5608</v>
      </c>
      <c r="C48" s="32"/>
    </row>
    <row r="49" spans="1:3" x14ac:dyDescent="0.35">
      <c r="A49" s="38">
        <v>25781</v>
      </c>
      <c r="B49" s="39">
        <f>VLOOKUP(Table8[[#This Row],[Month]],database!A:J,MATCH('Capacity Utilization'!$A$1,database!$A$1:$J$1,),)</f>
        <v>81.164500000000004</v>
      </c>
      <c r="C49" s="32"/>
    </row>
    <row r="50" spans="1:3" x14ac:dyDescent="0.35">
      <c r="A50" s="38">
        <v>25812</v>
      </c>
      <c r="B50" s="39">
        <f>VLOOKUP(Table8[[#This Row],[Month]],database!A:J,MATCH('Capacity Utilization'!$A$1,database!$A$1:$J$1,),)</f>
        <v>80.357399999999998</v>
      </c>
      <c r="C50" s="32"/>
    </row>
    <row r="51" spans="1:3" x14ac:dyDescent="0.35">
      <c r="A51" s="38">
        <v>25842</v>
      </c>
      <c r="B51" s="39">
        <f>VLOOKUP(Table8[[#This Row],[Month]],database!A:J,MATCH('Capacity Utilization'!$A$1,database!$A$1:$J$1,),)</f>
        <v>78.508799999999994</v>
      </c>
      <c r="C51" s="32"/>
    </row>
    <row r="52" spans="1:3" x14ac:dyDescent="0.35">
      <c r="A52" s="38">
        <v>25873</v>
      </c>
      <c r="B52" s="39">
        <f>VLOOKUP(Table8[[#This Row],[Month]],database!A:J,MATCH('Capacity Utilization'!$A$1,database!$A$1:$J$1,),)</f>
        <v>77.795100000000005</v>
      </c>
      <c r="C52" s="32"/>
    </row>
    <row r="53" spans="1:3" x14ac:dyDescent="0.35">
      <c r="A53" s="38">
        <v>25903</v>
      </c>
      <c r="B53" s="39">
        <f>VLOOKUP(Table8[[#This Row],[Month]],database!A:J,MATCH('Capacity Utilization'!$A$1,database!$A$1:$J$1,),)</f>
        <v>79.339399999999998</v>
      </c>
      <c r="C53" s="32"/>
    </row>
    <row r="54" spans="1:3" x14ac:dyDescent="0.35">
      <c r="A54" s="38">
        <v>25934</v>
      </c>
      <c r="B54" s="39">
        <f>VLOOKUP(Table8[[#This Row],[Month]],database!A:J,MATCH('Capacity Utilization'!$A$1,database!$A$1:$J$1,),)</f>
        <v>79.725899999999996</v>
      </c>
      <c r="C54" s="32"/>
    </row>
    <row r="55" spans="1:3" x14ac:dyDescent="0.35">
      <c r="A55" s="38">
        <v>25965</v>
      </c>
      <c r="B55" s="39">
        <f>VLOOKUP(Table8[[#This Row],[Month]],database!A:J,MATCH('Capacity Utilization'!$A$1,database!$A$1:$J$1,),)</f>
        <v>79.371099999999998</v>
      </c>
      <c r="C55" s="32"/>
    </row>
    <row r="56" spans="1:3" x14ac:dyDescent="0.35">
      <c r="A56" s="38">
        <v>25993</v>
      </c>
      <c r="B56" s="39">
        <f>VLOOKUP(Table8[[#This Row],[Month]],database!A:J,MATCH('Capacity Utilization'!$A$1,database!$A$1:$J$1,),)</f>
        <v>79.083100000000002</v>
      </c>
      <c r="C56" s="32"/>
    </row>
    <row r="57" spans="1:3" x14ac:dyDescent="0.35">
      <c r="A57" s="38">
        <v>26024</v>
      </c>
      <c r="B57" s="39">
        <f>VLOOKUP(Table8[[#This Row],[Month]],database!A:J,MATCH('Capacity Utilization'!$A$1,database!$A$1:$J$1,),)</f>
        <v>79.325199999999995</v>
      </c>
      <c r="C57" s="32"/>
    </row>
    <row r="58" spans="1:3" x14ac:dyDescent="0.35">
      <c r="A58" s="38">
        <v>26054</v>
      </c>
      <c r="B58" s="39">
        <f>VLOOKUP(Table8[[#This Row],[Month]],database!A:J,MATCH('Capacity Utilization'!$A$1,database!$A$1:$J$1,),)</f>
        <v>79.525599999999997</v>
      </c>
      <c r="C58" s="32"/>
    </row>
    <row r="59" spans="1:3" x14ac:dyDescent="0.35">
      <c r="A59" s="38">
        <v>26085</v>
      </c>
      <c r="B59" s="39">
        <f>VLOOKUP(Table8[[#This Row],[Month]],database!A:J,MATCH('Capacity Utilization'!$A$1,database!$A$1:$J$1,),)</f>
        <v>79.657200000000003</v>
      </c>
      <c r="C59" s="32"/>
    </row>
    <row r="60" spans="1:3" x14ac:dyDescent="0.35">
      <c r="A60" s="38">
        <v>26115</v>
      </c>
      <c r="B60" s="39">
        <f>VLOOKUP(Table8[[#This Row],[Month]],database!A:J,MATCH('Capacity Utilization'!$A$1,database!$A$1:$J$1,),)</f>
        <v>79.2256</v>
      </c>
      <c r="C60" s="32"/>
    </row>
    <row r="61" spans="1:3" x14ac:dyDescent="0.35">
      <c r="A61" s="38">
        <v>26146</v>
      </c>
      <c r="B61" s="39">
        <f>VLOOKUP(Table8[[#This Row],[Month]],database!A:J,MATCH('Capacity Utilization'!$A$1,database!$A$1:$J$1,),)</f>
        <v>78.567499999999995</v>
      </c>
      <c r="C61" s="32"/>
    </row>
    <row r="62" spans="1:3" x14ac:dyDescent="0.35">
      <c r="A62" s="38">
        <v>26177</v>
      </c>
      <c r="B62" s="39">
        <f>VLOOKUP(Table8[[#This Row],[Month]],database!A:J,MATCH('Capacity Utilization'!$A$1,database!$A$1:$J$1,),)</f>
        <v>79.644000000000005</v>
      </c>
      <c r="C62" s="32"/>
    </row>
    <row r="63" spans="1:3" x14ac:dyDescent="0.35">
      <c r="A63" s="38">
        <v>26207</v>
      </c>
      <c r="B63" s="39">
        <f>VLOOKUP(Table8[[#This Row],[Month]],database!A:J,MATCH('Capacity Utilization'!$A$1,database!$A$1:$J$1,),)</f>
        <v>80.039199999999994</v>
      </c>
      <c r="C63" s="32"/>
    </row>
    <row r="64" spans="1:3" x14ac:dyDescent="0.35">
      <c r="A64" s="38">
        <v>26238</v>
      </c>
      <c r="B64" s="39">
        <f>VLOOKUP(Table8[[#This Row],[Month]],database!A:J,MATCH('Capacity Utilization'!$A$1,database!$A$1:$J$1,),)</f>
        <v>80.178100000000001</v>
      </c>
      <c r="C64" s="32"/>
    </row>
    <row r="65" spans="1:3" x14ac:dyDescent="0.35">
      <c r="A65" s="38">
        <v>26268</v>
      </c>
      <c r="B65" s="39">
        <f>VLOOKUP(Table8[[#This Row],[Month]],database!A:J,MATCH('Capacity Utilization'!$A$1,database!$A$1:$J$1,),)</f>
        <v>80.901499999999999</v>
      </c>
      <c r="C65" s="32"/>
    </row>
    <row r="66" spans="1:3" x14ac:dyDescent="0.35">
      <c r="A66" s="38">
        <v>26299</v>
      </c>
      <c r="B66" s="39">
        <f>VLOOKUP(Table8[[#This Row],[Month]],database!A:J,MATCH('Capacity Utilization'!$A$1,database!$A$1:$J$1,),)</f>
        <v>82.625799999999998</v>
      </c>
      <c r="C66" s="32"/>
    </row>
    <row r="67" spans="1:3" x14ac:dyDescent="0.35">
      <c r="A67" s="38">
        <v>26330</v>
      </c>
      <c r="B67" s="39">
        <f>VLOOKUP(Table8[[#This Row],[Month]],database!A:J,MATCH('Capacity Utilization'!$A$1,database!$A$1:$J$1,),)</f>
        <v>83.284999999999997</v>
      </c>
      <c r="C67" s="32"/>
    </row>
    <row r="68" spans="1:3" x14ac:dyDescent="0.35">
      <c r="A68" s="38">
        <v>26359</v>
      </c>
      <c r="B68" s="39">
        <f>VLOOKUP(Table8[[#This Row],[Month]],database!A:J,MATCH('Capacity Utilization'!$A$1,database!$A$1:$J$1,),)</f>
        <v>83.664299999999997</v>
      </c>
      <c r="C68" s="32"/>
    </row>
    <row r="69" spans="1:3" x14ac:dyDescent="0.35">
      <c r="A69" s="38">
        <v>26390</v>
      </c>
      <c r="B69" s="39">
        <f>VLOOKUP(Table8[[#This Row],[Month]],database!A:J,MATCH('Capacity Utilization'!$A$1,database!$A$1:$J$1,),)</f>
        <v>84.278300000000002</v>
      </c>
      <c r="C69" s="32"/>
    </row>
    <row r="70" spans="1:3" x14ac:dyDescent="0.35">
      <c r="A70" s="38">
        <v>26420</v>
      </c>
      <c r="B70" s="39">
        <f>VLOOKUP(Table8[[#This Row],[Month]],database!A:J,MATCH('Capacity Utilization'!$A$1,database!$A$1:$J$1,),)</f>
        <v>84.081199999999995</v>
      </c>
      <c r="C70" s="32"/>
    </row>
    <row r="71" spans="1:3" x14ac:dyDescent="0.35">
      <c r="A71" s="38">
        <v>26451</v>
      </c>
      <c r="B71" s="39">
        <f>VLOOKUP(Table8[[#This Row],[Month]],database!A:J,MATCH('Capacity Utilization'!$A$1,database!$A$1:$J$1,),)</f>
        <v>84.088999999999999</v>
      </c>
      <c r="C71" s="32"/>
    </row>
    <row r="72" spans="1:3" x14ac:dyDescent="0.35">
      <c r="A72" s="38">
        <v>26481</v>
      </c>
      <c r="B72" s="39">
        <f>VLOOKUP(Table8[[#This Row],[Month]],database!A:J,MATCH('Capacity Utilization'!$A$1,database!$A$1:$J$1,),)</f>
        <v>83.783699999999996</v>
      </c>
      <c r="C72" s="32"/>
    </row>
    <row r="73" spans="1:3" x14ac:dyDescent="0.35">
      <c r="A73" s="38">
        <v>26512</v>
      </c>
      <c r="B73" s="39">
        <f>VLOOKUP(Table8[[#This Row],[Month]],database!A:J,MATCH('Capacity Utilization'!$A$1,database!$A$1:$J$1,),)</f>
        <v>84.712699999999998</v>
      </c>
      <c r="C73" s="32"/>
    </row>
    <row r="74" spans="1:3" x14ac:dyDescent="0.35">
      <c r="A74" s="38">
        <v>26543</v>
      </c>
      <c r="B74" s="39">
        <f>VLOOKUP(Table8[[#This Row],[Month]],database!A:J,MATCH('Capacity Utilization'!$A$1,database!$A$1:$J$1,),)</f>
        <v>85.131</v>
      </c>
      <c r="C74" s="32"/>
    </row>
    <row r="75" spans="1:3" x14ac:dyDescent="0.35">
      <c r="A75" s="38">
        <v>26573</v>
      </c>
      <c r="B75" s="39">
        <f>VLOOKUP(Table8[[#This Row],[Month]],database!A:J,MATCH('Capacity Utilization'!$A$1,database!$A$1:$J$1,),)</f>
        <v>85.983400000000003</v>
      </c>
      <c r="C75" s="32"/>
    </row>
    <row r="76" spans="1:3" x14ac:dyDescent="0.35">
      <c r="A76" s="38">
        <v>26604</v>
      </c>
      <c r="B76" s="39">
        <f>VLOOKUP(Table8[[#This Row],[Month]],database!A:J,MATCH('Capacity Utilization'!$A$1,database!$A$1:$J$1,),)</f>
        <v>86.737499999999997</v>
      </c>
      <c r="C76" s="32"/>
    </row>
    <row r="77" spans="1:3" x14ac:dyDescent="0.35">
      <c r="A77" s="38">
        <v>26634</v>
      </c>
      <c r="B77" s="39">
        <f>VLOOKUP(Table8[[#This Row],[Month]],database!A:J,MATCH('Capacity Utilization'!$A$1,database!$A$1:$J$1,),)</f>
        <v>87.447800000000001</v>
      </c>
      <c r="C77" s="32"/>
    </row>
    <row r="78" spans="1:3" x14ac:dyDescent="0.35">
      <c r="A78" s="38">
        <v>26665</v>
      </c>
      <c r="B78" s="39">
        <f>VLOOKUP(Table8[[#This Row],[Month]],database!A:J,MATCH('Capacity Utilization'!$A$1,database!$A$1:$J$1,),)</f>
        <v>87.800200000000004</v>
      </c>
      <c r="C78" s="32"/>
    </row>
    <row r="79" spans="1:3" x14ac:dyDescent="0.35">
      <c r="A79" s="38">
        <v>26696</v>
      </c>
      <c r="B79" s="39">
        <f>VLOOKUP(Table8[[#This Row],[Month]],database!A:J,MATCH('Capacity Utilization'!$A$1,database!$A$1:$J$1,),)</f>
        <v>88.784899999999993</v>
      </c>
      <c r="C79" s="32"/>
    </row>
    <row r="80" spans="1:3" x14ac:dyDescent="0.35">
      <c r="A80" s="38">
        <v>26724</v>
      </c>
      <c r="B80" s="39">
        <f>VLOOKUP(Table8[[#This Row],[Month]],database!A:J,MATCH('Capacity Utilization'!$A$1,database!$A$1:$J$1,),)</f>
        <v>88.528300000000002</v>
      </c>
      <c r="C80" s="32"/>
    </row>
    <row r="81" spans="1:3" x14ac:dyDescent="0.35">
      <c r="A81" s="38">
        <v>26755</v>
      </c>
      <c r="B81" s="39">
        <f>VLOOKUP(Table8[[#This Row],[Month]],database!A:J,MATCH('Capacity Utilization'!$A$1,database!$A$1:$J$1,),)</f>
        <v>88.102099999999993</v>
      </c>
      <c r="C81" s="32"/>
    </row>
    <row r="82" spans="1:3" x14ac:dyDescent="0.35">
      <c r="A82" s="38">
        <v>26785</v>
      </c>
      <c r="B82" s="39">
        <f>VLOOKUP(Table8[[#This Row],[Month]],database!A:J,MATCH('Capacity Utilization'!$A$1,database!$A$1:$J$1,),)</f>
        <v>88.383099999999999</v>
      </c>
      <c r="C82" s="32"/>
    </row>
    <row r="83" spans="1:3" x14ac:dyDescent="0.35">
      <c r="A83" s="38">
        <v>26816</v>
      </c>
      <c r="B83" s="39">
        <f>VLOOKUP(Table8[[#This Row],[Month]],database!A:J,MATCH('Capacity Utilization'!$A$1,database!$A$1:$J$1,),)</f>
        <v>88.178899999999999</v>
      </c>
      <c r="C83" s="32"/>
    </row>
    <row r="84" spans="1:3" x14ac:dyDescent="0.35">
      <c r="A84" s="38">
        <v>26846</v>
      </c>
      <c r="B84" s="39">
        <f>VLOOKUP(Table8[[#This Row],[Month]],database!A:J,MATCH('Capacity Utilization'!$A$1,database!$A$1:$J$1,),)</f>
        <v>88.207300000000004</v>
      </c>
      <c r="C84" s="32"/>
    </row>
    <row r="85" spans="1:3" x14ac:dyDescent="0.35">
      <c r="A85" s="38">
        <v>26877</v>
      </c>
      <c r="B85" s="39">
        <f>VLOOKUP(Table8[[#This Row],[Month]],database!A:J,MATCH('Capacity Utilization'!$A$1,database!$A$1:$J$1,),)</f>
        <v>87.783299999999997</v>
      </c>
      <c r="C85" s="32"/>
    </row>
    <row r="86" spans="1:3" x14ac:dyDescent="0.35">
      <c r="A86" s="38">
        <v>26908</v>
      </c>
      <c r="B86" s="39">
        <f>VLOOKUP(Table8[[#This Row],[Month]],database!A:J,MATCH('Capacity Utilization'!$A$1,database!$A$1:$J$1,),)</f>
        <v>88.179599999999994</v>
      </c>
      <c r="C86" s="32"/>
    </row>
    <row r="87" spans="1:3" x14ac:dyDescent="0.35">
      <c r="A87" s="38">
        <v>26938</v>
      </c>
      <c r="B87" s="39">
        <f>VLOOKUP(Table8[[#This Row],[Month]],database!A:J,MATCH('Capacity Utilization'!$A$1,database!$A$1:$J$1,),)</f>
        <v>88.600300000000004</v>
      </c>
      <c r="C87" s="32"/>
    </row>
    <row r="88" spans="1:3" x14ac:dyDescent="0.35">
      <c r="A88" s="38">
        <v>26969</v>
      </c>
      <c r="B88" s="39">
        <f>VLOOKUP(Table8[[#This Row],[Month]],database!A:J,MATCH('Capacity Utilization'!$A$1,database!$A$1:$J$1,),)</f>
        <v>88.726799999999997</v>
      </c>
      <c r="C88" s="32"/>
    </row>
    <row r="89" spans="1:3" x14ac:dyDescent="0.35">
      <c r="A89" s="38">
        <v>26999</v>
      </c>
      <c r="B89" s="39">
        <f>VLOOKUP(Table8[[#This Row],[Month]],database!A:J,MATCH('Capacity Utilization'!$A$1,database!$A$1:$J$1,),)</f>
        <v>88.202200000000005</v>
      </c>
      <c r="C89" s="32"/>
    </row>
    <row r="90" spans="1:3" x14ac:dyDescent="0.35">
      <c r="A90" s="38">
        <v>27030</v>
      </c>
      <c r="B90" s="39">
        <f>VLOOKUP(Table8[[#This Row],[Month]],database!A:J,MATCH('Capacity Utilization'!$A$1,database!$A$1:$J$1,),)</f>
        <v>87.353499999999997</v>
      </c>
      <c r="C90" s="32"/>
    </row>
    <row r="91" spans="1:3" x14ac:dyDescent="0.35">
      <c r="A91" s="38">
        <v>27061</v>
      </c>
      <c r="B91" s="39">
        <f>VLOOKUP(Table8[[#This Row],[Month]],database!A:J,MATCH('Capacity Utilization'!$A$1,database!$A$1:$J$1,),)</f>
        <v>86.844099999999997</v>
      </c>
      <c r="C91" s="32"/>
    </row>
    <row r="92" spans="1:3" x14ac:dyDescent="0.35">
      <c r="A92" s="38">
        <v>27089</v>
      </c>
      <c r="B92" s="39">
        <f>VLOOKUP(Table8[[#This Row],[Month]],database!A:J,MATCH('Capacity Utilization'!$A$1,database!$A$1:$J$1,),)</f>
        <v>86.603300000000004</v>
      </c>
      <c r="C92" s="32"/>
    </row>
    <row r="93" spans="1:3" x14ac:dyDescent="0.35">
      <c r="A93" s="38">
        <v>27120</v>
      </c>
      <c r="B93" s="39">
        <f>VLOOKUP(Table8[[#This Row],[Month]],database!A:J,MATCH('Capacity Utilization'!$A$1,database!$A$1:$J$1,),)</f>
        <v>86.123800000000003</v>
      </c>
      <c r="C93" s="32"/>
    </row>
    <row r="94" spans="1:3" x14ac:dyDescent="0.35">
      <c r="A94" s="38">
        <v>27150</v>
      </c>
      <c r="B94" s="39">
        <f>VLOOKUP(Table8[[#This Row],[Month]],database!A:J,MATCH('Capacity Utilization'!$A$1,database!$A$1:$J$1,),)</f>
        <v>86.592500000000001</v>
      </c>
      <c r="C94" s="32"/>
    </row>
    <row r="95" spans="1:3" x14ac:dyDescent="0.35">
      <c r="A95" s="38">
        <v>27181</v>
      </c>
      <c r="B95" s="39">
        <f>VLOOKUP(Table8[[#This Row],[Month]],database!A:J,MATCH('Capacity Utilization'!$A$1,database!$A$1:$J$1,),)</f>
        <v>86.2239</v>
      </c>
      <c r="C95" s="32"/>
    </row>
    <row r="96" spans="1:3" x14ac:dyDescent="0.35">
      <c r="A96" s="38">
        <v>27211</v>
      </c>
      <c r="B96" s="39">
        <f>VLOOKUP(Table8[[#This Row],[Month]],database!A:J,MATCH('Capacity Utilization'!$A$1,database!$A$1:$J$1,),)</f>
        <v>86.180099999999996</v>
      </c>
      <c r="C96" s="32"/>
    </row>
    <row r="97" spans="1:3" x14ac:dyDescent="0.35">
      <c r="A97" s="38">
        <v>27242</v>
      </c>
      <c r="B97" s="39">
        <f>VLOOKUP(Table8[[#This Row],[Month]],database!A:J,MATCH('Capacity Utilization'!$A$1,database!$A$1:$J$1,),)</f>
        <v>85.085300000000004</v>
      </c>
      <c r="C97" s="32"/>
    </row>
    <row r="98" spans="1:3" x14ac:dyDescent="0.35">
      <c r="A98" s="38">
        <v>27273</v>
      </c>
      <c r="B98" s="39">
        <f>VLOOKUP(Table8[[#This Row],[Month]],database!A:J,MATCH('Capacity Utilization'!$A$1,database!$A$1:$J$1,),)</f>
        <v>84.922600000000003</v>
      </c>
      <c r="C98" s="32"/>
    </row>
    <row r="99" spans="1:3" x14ac:dyDescent="0.35">
      <c r="A99" s="38">
        <v>27303</v>
      </c>
      <c r="B99" s="39">
        <f>VLOOKUP(Table8[[#This Row],[Month]],database!A:J,MATCH('Capacity Utilization'!$A$1,database!$A$1:$J$1,),)</f>
        <v>84.490799999999993</v>
      </c>
      <c r="C99" s="32"/>
    </row>
    <row r="100" spans="1:3" x14ac:dyDescent="0.35">
      <c r="A100" s="38">
        <v>27334</v>
      </c>
      <c r="B100" s="39">
        <f>VLOOKUP(Table8[[#This Row],[Month]],database!A:J,MATCH('Capacity Utilization'!$A$1,database!$A$1:$J$1,),)</f>
        <v>81.5578</v>
      </c>
      <c r="C100" s="32"/>
    </row>
    <row r="101" spans="1:3" x14ac:dyDescent="0.35">
      <c r="A101" s="38">
        <v>27364</v>
      </c>
      <c r="B101" s="39">
        <f>VLOOKUP(Table8[[#This Row],[Month]],database!A:J,MATCH('Capacity Utilization'!$A$1,database!$A$1:$J$1,),)</f>
        <v>78.501199999999997</v>
      </c>
      <c r="C101" s="32"/>
    </row>
    <row r="102" spans="1:3" x14ac:dyDescent="0.35">
      <c r="A102" s="38">
        <v>27395</v>
      </c>
      <c r="B102" s="39">
        <f>VLOOKUP(Table8[[#This Row],[Month]],database!A:J,MATCH('Capacity Utilization'!$A$1,database!$A$1:$J$1,),)</f>
        <v>77.287099999999995</v>
      </c>
      <c r="C102" s="68">
        <f>(VLOOKUP(A102,database!A:K,11,) - VLOOKUP(A90,database!A:K,11,))/VLOOKUP(A90,database!A:K,11,)</f>
        <v>0.17303822937625743</v>
      </c>
    </row>
    <row r="103" spans="1:3" x14ac:dyDescent="0.35">
      <c r="A103" s="38">
        <v>27426</v>
      </c>
      <c r="B103" s="39">
        <f>VLOOKUP(Table8[[#This Row],[Month]],database!A:J,MATCH('Capacity Utilization'!$A$1,database!$A$1:$J$1,),)</f>
        <v>75.398899999999998</v>
      </c>
      <c r="C103" s="68">
        <f>(VLOOKUP(A103,database!A:K,11,) - VLOOKUP(A91,database!A:K,11,))/VLOOKUP(A91,database!A:K,11,)</f>
        <v>0.17400000000000004</v>
      </c>
    </row>
    <row r="104" spans="1:3" x14ac:dyDescent="0.35">
      <c r="A104" s="38">
        <v>27454</v>
      </c>
      <c r="B104" s="39">
        <f>VLOOKUP(Table8[[#This Row],[Month]],database!A:J,MATCH('Capacity Utilization'!$A$1,database!$A$1:$J$1,),)</f>
        <v>74.4422</v>
      </c>
      <c r="C104" s="68">
        <f>(VLOOKUP(A104,database!A:K,11,) - VLOOKUP(A92,database!A:K,11,))/VLOOKUP(A92,database!A:K,11,)</f>
        <v>0.16831683168316833</v>
      </c>
    </row>
    <row r="105" spans="1:3" x14ac:dyDescent="0.35">
      <c r="A105" s="38">
        <v>27485</v>
      </c>
      <c r="B105" s="39">
        <f>VLOOKUP(Table8[[#This Row],[Month]],database!A:J,MATCH('Capacity Utilization'!$A$1,database!$A$1:$J$1,),)</f>
        <v>74.460499999999996</v>
      </c>
      <c r="C105" s="68">
        <f>(VLOOKUP(A105,database!A:K,11,) - VLOOKUP(A93,database!A:K,11,))/VLOOKUP(A93,database!A:K,11,)</f>
        <v>0.15851272015655579</v>
      </c>
    </row>
    <row r="106" spans="1:3" x14ac:dyDescent="0.35">
      <c r="A106" s="38">
        <v>27515</v>
      </c>
      <c r="B106" s="39">
        <f>VLOOKUP(Table8[[#This Row],[Month]],database!A:J,MATCH('Capacity Utilization'!$A$1,database!$A$1:$J$1,),)</f>
        <v>74.134500000000003</v>
      </c>
      <c r="C106" s="68">
        <f>(VLOOKUP(A106,database!A:K,11,) - VLOOKUP(A94,database!A:K,11,))/VLOOKUP(A94,database!A:K,11,)</f>
        <v>0.13601532567049796</v>
      </c>
    </row>
    <row r="107" spans="1:3" x14ac:dyDescent="0.35">
      <c r="A107" s="38">
        <v>27546</v>
      </c>
      <c r="B107" s="39">
        <f>VLOOKUP(Table8[[#This Row],[Month]],database!A:J,MATCH('Capacity Utilization'!$A$1,database!$A$1:$J$1,),)</f>
        <v>74.494500000000002</v>
      </c>
      <c r="C107" s="68">
        <f>(VLOOKUP(A107,database!A:K,11,) - VLOOKUP(A95,database!A:K,11,))/VLOOKUP(A95,database!A:K,11,)</f>
        <v>0.1205273069679849</v>
      </c>
    </row>
    <row r="108" spans="1:3" x14ac:dyDescent="0.35">
      <c r="A108" s="38">
        <v>27576</v>
      </c>
      <c r="B108" s="39">
        <f>VLOOKUP(Table8[[#This Row],[Month]],database!A:J,MATCH('Capacity Utilization'!$A$1,database!$A$1:$J$1,),)</f>
        <v>75.132400000000004</v>
      </c>
      <c r="C108" s="68">
        <f>(VLOOKUP(A108,database!A:K,11,) - VLOOKUP(A96,database!A:K,11,))/VLOOKUP(A96,database!A:K,11,)</f>
        <v>0.10740740740740735</v>
      </c>
    </row>
    <row r="109" spans="1:3" x14ac:dyDescent="0.35">
      <c r="A109" s="38">
        <v>27607</v>
      </c>
      <c r="B109" s="39">
        <f>VLOOKUP(Table8[[#This Row],[Month]],database!A:J,MATCH('Capacity Utilization'!$A$1,database!$A$1:$J$1,),)</f>
        <v>75.745099999999994</v>
      </c>
      <c r="C109" s="68">
        <f>(VLOOKUP(A109,database!A:K,11,) - VLOOKUP(A97,database!A:K,11,))/VLOOKUP(A97,database!A:K,11,)</f>
        <v>8.9090909090909068E-2</v>
      </c>
    </row>
    <row r="110" spans="1:3" x14ac:dyDescent="0.35">
      <c r="A110" s="38">
        <v>27638</v>
      </c>
      <c r="B110" s="39">
        <f>VLOOKUP(Table8[[#This Row],[Month]],database!A:J,MATCH('Capacity Utilization'!$A$1,database!$A$1:$J$1,),)</f>
        <v>76.586299999999994</v>
      </c>
      <c r="C110" s="68">
        <f>(VLOOKUP(A110,database!A:K,11,) - VLOOKUP(A98,database!A:K,11,))/VLOOKUP(A98,database!A:K,11,)</f>
        <v>8.0789946140035901E-2</v>
      </c>
    </row>
    <row r="111" spans="1:3" x14ac:dyDescent="0.35">
      <c r="A111" s="38">
        <v>27668</v>
      </c>
      <c r="B111" s="39">
        <f>VLOOKUP(Table8[[#This Row],[Month]],database!A:J,MATCH('Capacity Utilization'!$A$1,database!$A$1:$J$1,),)</f>
        <v>76.778599999999997</v>
      </c>
      <c r="C111" s="68">
        <f>(VLOOKUP(A111,database!A:K,11,) - VLOOKUP(A99,database!A:K,11,))/VLOOKUP(A99,database!A:K,11,)</f>
        <v>6.8783068783068751E-2</v>
      </c>
    </row>
    <row r="112" spans="1:3" x14ac:dyDescent="0.35">
      <c r="A112" s="38">
        <v>27699</v>
      </c>
      <c r="B112" s="39">
        <f>VLOOKUP(Table8[[#This Row],[Month]],database!A:J,MATCH('Capacity Utilization'!$A$1,database!$A$1:$J$1,),)</f>
        <v>76.745500000000007</v>
      </c>
      <c r="C112" s="68">
        <f>(VLOOKUP(A112,database!A:K,11,) - VLOOKUP(A100,database!A:K,11,))/VLOOKUP(A100,database!A:K,11,)</f>
        <v>6.2717770034843232E-2</v>
      </c>
    </row>
    <row r="113" spans="1:3" x14ac:dyDescent="0.35">
      <c r="A113" s="38">
        <v>27729</v>
      </c>
      <c r="B113" s="39">
        <f>VLOOKUP(Table8[[#This Row],[Month]],database!A:J,MATCH('Capacity Utilization'!$A$1,database!$A$1:$J$1,),)</f>
        <v>77.645700000000005</v>
      </c>
      <c r="C113" s="68">
        <f>(VLOOKUP(A113,database!A:K,11,) - VLOOKUP(A101,database!A:K,11,))/VLOOKUP(A101,database!A:K,11,)</f>
        <v>6.0449050086355788E-2</v>
      </c>
    </row>
    <row r="114" spans="1:3" x14ac:dyDescent="0.35">
      <c r="A114" s="38">
        <v>27760</v>
      </c>
      <c r="B114" s="39">
        <f>VLOOKUP(Table8[[#This Row],[Month]],database!A:J,MATCH('Capacity Utilization'!$A$1,database!$A$1:$J$1,),)</f>
        <v>78.528099999999995</v>
      </c>
      <c r="C114" s="68">
        <f>(VLOOKUP(A114,database!A:K,11,) - VLOOKUP(A102,database!A:K,11,))/VLOOKUP(A102,database!A:K,11,)</f>
        <v>5.8319039451115023E-2</v>
      </c>
    </row>
    <row r="115" spans="1:3" x14ac:dyDescent="0.35">
      <c r="A115" s="38">
        <v>27791</v>
      </c>
      <c r="B115" s="39">
        <f>VLOOKUP(Table8[[#This Row],[Month]],database!A:J,MATCH('Capacity Utilization'!$A$1,database!$A$1:$J$1,),)</f>
        <v>79.162400000000005</v>
      </c>
      <c r="C115" s="68">
        <f>(VLOOKUP(A115,database!A:K,11,) - VLOOKUP(A103,database!A:K,11,))/VLOOKUP(A103,database!A:K,11,)</f>
        <v>5.4514480408858527E-2</v>
      </c>
    </row>
    <row r="116" spans="1:3" x14ac:dyDescent="0.35">
      <c r="A116" s="38">
        <v>27820</v>
      </c>
      <c r="B116" s="39">
        <f>VLOOKUP(Table8[[#This Row],[Month]],database!A:J,MATCH('Capacity Utilization'!$A$1,database!$A$1:$J$1,),)</f>
        <v>79.149199999999993</v>
      </c>
      <c r="C116" s="68">
        <f>(VLOOKUP(A116,database!A:K,11,) - VLOOKUP(A104,database!A:K,11,))/VLOOKUP(A104,database!A:K,11,)</f>
        <v>5.4237288135593267E-2</v>
      </c>
    </row>
    <row r="117" spans="1:3" x14ac:dyDescent="0.35">
      <c r="A117" s="38">
        <v>27851</v>
      </c>
      <c r="B117" s="39">
        <f>VLOOKUP(Table8[[#This Row],[Month]],database!A:J,MATCH('Capacity Utilization'!$A$1,database!$A$1:$J$1,),)</f>
        <v>79.384299999999996</v>
      </c>
      <c r="C117" s="68">
        <f>(VLOOKUP(A117,database!A:K,11,) - VLOOKUP(A105,database!A:K,11,))/VLOOKUP(A105,database!A:K,11,)</f>
        <v>5.2364864864864767E-2</v>
      </c>
    </row>
    <row r="118" spans="1:3" x14ac:dyDescent="0.35">
      <c r="A118" s="38">
        <v>27881</v>
      </c>
      <c r="B118" s="39">
        <f>VLOOKUP(Table8[[#This Row],[Month]],database!A:J,MATCH('Capacity Utilization'!$A$1,database!$A$1:$J$1,),)</f>
        <v>79.529799999999994</v>
      </c>
      <c r="C118" s="68">
        <f>(VLOOKUP(A118,database!A:K,11,) - VLOOKUP(A106,database!A:K,11,))/VLOOKUP(A106,database!A:K,11,)</f>
        <v>5.2276559865092775E-2</v>
      </c>
    </row>
    <row r="119" spans="1:3" x14ac:dyDescent="0.35">
      <c r="A119" s="38">
        <v>27912</v>
      </c>
      <c r="B119" s="39">
        <f>VLOOKUP(Table8[[#This Row],[Month]],database!A:J,MATCH('Capacity Utilization'!$A$1,database!$A$1:$J$1,),)</f>
        <v>79.452299999999994</v>
      </c>
      <c r="C119" s="68">
        <f>(VLOOKUP(A119,database!A:K,11,) - VLOOKUP(A107,database!A:K,11,))/VLOOKUP(A107,database!A:K,11,)</f>
        <v>5.5462184873949535E-2</v>
      </c>
    </row>
    <row r="120" spans="1:3" x14ac:dyDescent="0.35">
      <c r="A120" s="38">
        <v>27942</v>
      </c>
      <c r="B120" s="39">
        <f>VLOOKUP(Table8[[#This Row],[Month]],database!A:J,MATCH('Capacity Utilization'!$A$1,database!$A$1:$J$1,),)</f>
        <v>79.6935</v>
      </c>
      <c r="C120" s="68">
        <f>(VLOOKUP(A120,database!A:K,11,) - VLOOKUP(A108,database!A:K,11,))/VLOOKUP(A108,database!A:K,11,)</f>
        <v>5.5183946488294389E-2</v>
      </c>
    </row>
    <row r="121" spans="1:3" x14ac:dyDescent="0.35">
      <c r="A121" s="38">
        <v>27973</v>
      </c>
      <c r="B121" s="39">
        <f>VLOOKUP(Table8[[#This Row],[Month]],database!A:J,MATCH('Capacity Utilization'!$A$1,database!$A$1:$J$1,),)</f>
        <v>80.071100000000001</v>
      </c>
      <c r="C121" s="68">
        <f>(VLOOKUP(A121,database!A:K,11,) - VLOOKUP(A109,database!A:K,11,))/VLOOKUP(A109,database!A:K,11,)</f>
        <v>6.0100166944908204E-2</v>
      </c>
    </row>
    <row r="122" spans="1:3" x14ac:dyDescent="0.35">
      <c r="A122" s="38">
        <v>28004</v>
      </c>
      <c r="B122" s="39">
        <f>VLOOKUP(Table8[[#This Row],[Month]],database!A:J,MATCH('Capacity Utilization'!$A$1,database!$A$1:$J$1,),)</f>
        <v>80.139799999999994</v>
      </c>
      <c r="C122" s="68">
        <f>(VLOOKUP(A122,database!A:K,11,) - VLOOKUP(A110,database!A:K,11,))/VLOOKUP(A110,database!A:K,11,)</f>
        <v>6.1461794019933479E-2</v>
      </c>
    </row>
    <row r="123" spans="1:3" x14ac:dyDescent="0.35">
      <c r="A123" s="38">
        <v>28034</v>
      </c>
      <c r="B123" s="39">
        <f>VLOOKUP(Table8[[#This Row],[Month]],database!A:J,MATCH('Capacity Utilization'!$A$1,database!$A$1:$J$1,),)</f>
        <v>79.939300000000003</v>
      </c>
      <c r="C123" s="68">
        <f>(VLOOKUP(A123,database!A:K,11,) - VLOOKUP(A111,database!A:K,11,))/VLOOKUP(A111,database!A:K,11,)</f>
        <v>5.7755775577557636E-2</v>
      </c>
    </row>
    <row r="124" spans="1:3" x14ac:dyDescent="0.35">
      <c r="A124" s="38">
        <v>28065</v>
      </c>
      <c r="B124" s="39">
        <f>VLOOKUP(Table8[[#This Row],[Month]],database!A:J,MATCH('Capacity Utilization'!$A$1,database!$A$1:$J$1,),)</f>
        <v>80.972899999999996</v>
      </c>
      <c r="C124" s="68">
        <f>(VLOOKUP(A124,database!A:K,11,) - VLOOKUP(A112,database!A:K,11,))/VLOOKUP(A112,database!A:K,11,)</f>
        <v>5.9016393442622855E-2</v>
      </c>
    </row>
    <row r="125" spans="1:3" x14ac:dyDescent="0.35">
      <c r="A125" s="38">
        <v>28095</v>
      </c>
      <c r="B125" s="39">
        <f>VLOOKUP(Table8[[#This Row],[Month]],database!A:J,MATCH('Capacity Utilization'!$A$1,database!$A$1:$J$1,),)</f>
        <v>81.638400000000004</v>
      </c>
      <c r="C125" s="68">
        <f>(VLOOKUP(A125,database!A:K,11,) - VLOOKUP(A113,database!A:K,11,))/VLOOKUP(A113,database!A:K,11,)</f>
        <v>5.7003257328990344E-2</v>
      </c>
    </row>
    <row r="126" spans="1:3" x14ac:dyDescent="0.35">
      <c r="A126" s="38">
        <v>28126</v>
      </c>
      <c r="B126" s="39">
        <f>VLOOKUP(Table8[[#This Row],[Month]],database!A:J,MATCH('Capacity Utilization'!$A$1,database!$A$1:$J$1,),)</f>
        <v>80.897400000000005</v>
      </c>
      <c r="C126" s="68">
        <f>(VLOOKUP(A126,database!A:K,11,) - VLOOKUP(A114,database!A:K,11,))/VLOOKUP(A114,database!A:K,11,)</f>
        <v>5.5105348460291595E-2</v>
      </c>
    </row>
    <row r="127" spans="1:3" x14ac:dyDescent="0.35">
      <c r="A127" s="38">
        <v>28157</v>
      </c>
      <c r="B127" s="39">
        <f>VLOOKUP(Table8[[#This Row],[Month]],database!A:J,MATCH('Capacity Utilization'!$A$1,database!$A$1:$J$1,),)</f>
        <v>81.988900000000001</v>
      </c>
      <c r="C127" s="68">
        <f>(VLOOKUP(A127,database!A:K,11,) - VLOOKUP(A115,database!A:K,11,))/VLOOKUP(A115,database!A:K,11,)</f>
        <v>5.6542810985460538E-2</v>
      </c>
    </row>
    <row r="128" spans="1:3" x14ac:dyDescent="0.35">
      <c r="A128" s="38">
        <v>28185</v>
      </c>
      <c r="B128" s="39">
        <f>VLOOKUP(Table8[[#This Row],[Month]],database!A:J,MATCH('Capacity Utilization'!$A$1,database!$A$1:$J$1,),)</f>
        <v>82.805599999999998</v>
      </c>
      <c r="C128" s="68">
        <f>(VLOOKUP(A128,database!A:K,11,) - VLOOKUP(A116,database!A:K,11,))/VLOOKUP(A116,database!A:K,11,)</f>
        <v>5.6270096463022508E-2</v>
      </c>
    </row>
    <row r="129" spans="1:3" x14ac:dyDescent="0.35">
      <c r="A129" s="38">
        <v>28216</v>
      </c>
      <c r="B129" s="39">
        <f>VLOOKUP(Table8[[#This Row],[Month]],database!A:J,MATCH('Capacity Utilization'!$A$1,database!$A$1:$J$1,),)</f>
        <v>83.395700000000005</v>
      </c>
      <c r="C129" s="68">
        <f>(VLOOKUP(A129,database!A:K,11,) - VLOOKUP(A117,database!A:K,11,))/VLOOKUP(A117,database!A:K,11,)</f>
        <v>5.7784911717496126E-2</v>
      </c>
    </row>
    <row r="130" spans="1:3" x14ac:dyDescent="0.35">
      <c r="A130" s="38">
        <v>28246</v>
      </c>
      <c r="B130" s="39">
        <f>VLOOKUP(Table8[[#This Row],[Month]],database!A:J,MATCH('Capacity Utilization'!$A$1,database!$A$1:$J$1,),)</f>
        <v>83.831000000000003</v>
      </c>
      <c r="C130" s="68">
        <f>(VLOOKUP(A130,database!A:K,11,) - VLOOKUP(A118,database!A:K,11,))/VLOOKUP(A118,database!A:K,11,)</f>
        <v>5.929487179487173E-2</v>
      </c>
    </row>
    <row r="131" spans="1:3" x14ac:dyDescent="0.35">
      <c r="A131" s="38">
        <v>28277</v>
      </c>
      <c r="B131" s="39">
        <f>VLOOKUP(Table8[[#This Row],[Month]],database!A:J,MATCH('Capacity Utilization'!$A$1,database!$A$1:$J$1,),)</f>
        <v>84.237099999999998</v>
      </c>
      <c r="C131" s="68">
        <f>(VLOOKUP(A131,database!A:K,11,) - VLOOKUP(A119,database!A:K,11,))/VLOOKUP(A119,database!A:K,11,)</f>
        <v>5.8917197452229349E-2</v>
      </c>
    </row>
    <row r="132" spans="1:3" x14ac:dyDescent="0.35">
      <c r="A132" s="38">
        <v>28307</v>
      </c>
      <c r="B132" s="39">
        <f>VLOOKUP(Table8[[#This Row],[Month]],database!A:J,MATCH('Capacity Utilization'!$A$1,database!$A$1:$J$1,),)</f>
        <v>84.118600000000001</v>
      </c>
      <c r="C132" s="68">
        <f>(VLOOKUP(A132,database!A:K,11,) - VLOOKUP(A120,database!A:K,11,))/VLOOKUP(A120,database!A:K,11,)</f>
        <v>5.8637083993660785E-2</v>
      </c>
    </row>
    <row r="133" spans="1:3" x14ac:dyDescent="0.35">
      <c r="A133" s="38">
        <v>28338</v>
      </c>
      <c r="B133" s="39">
        <f>VLOOKUP(Table8[[#This Row],[Month]],database!A:J,MATCH('Capacity Utilization'!$A$1,database!$A$1:$J$1,),)</f>
        <v>83.974699999999999</v>
      </c>
      <c r="C133" s="68">
        <f>(VLOOKUP(A133,database!A:K,11,) - VLOOKUP(A121,database!A:K,11,))/VLOOKUP(A121,database!A:K,11,)</f>
        <v>5.9842519685039328E-2</v>
      </c>
    </row>
    <row r="134" spans="1:3" x14ac:dyDescent="0.35">
      <c r="A134" s="38">
        <v>28369</v>
      </c>
      <c r="B134" s="39">
        <f>VLOOKUP(Table8[[#This Row],[Month]],database!A:J,MATCH('Capacity Utilization'!$A$1,database!$A$1:$J$1,),)</f>
        <v>84.088099999999997</v>
      </c>
      <c r="C134" s="68">
        <f>(VLOOKUP(A134,database!A:K,11,) - VLOOKUP(A122,database!A:K,11,))/VLOOKUP(A122,database!A:K,11,)</f>
        <v>6.1032863849765237E-2</v>
      </c>
    </row>
    <row r="135" spans="1:3" x14ac:dyDescent="0.35">
      <c r="A135" s="38">
        <v>28399</v>
      </c>
      <c r="B135" s="39">
        <f>VLOOKUP(Table8[[#This Row],[Month]],database!A:J,MATCH('Capacity Utilization'!$A$1,database!$A$1:$J$1,),)</f>
        <v>83.974000000000004</v>
      </c>
      <c r="C135" s="68">
        <f>(VLOOKUP(A135,database!A:K,11,) - VLOOKUP(A123,database!A:K,11,))/VLOOKUP(A123,database!A:K,11,)</f>
        <v>6.3962558502340228E-2</v>
      </c>
    </row>
    <row r="136" spans="1:3" x14ac:dyDescent="0.35">
      <c r="A136" s="38">
        <v>28430</v>
      </c>
      <c r="B136" s="39">
        <f>VLOOKUP(Table8[[#This Row],[Month]],database!A:J,MATCH('Capacity Utilization'!$A$1,database!$A$1:$J$1,),)</f>
        <v>83.892399999999995</v>
      </c>
      <c r="C136" s="68">
        <f>(VLOOKUP(A136,database!A:K,11,) - VLOOKUP(A124,database!A:K,11,))/VLOOKUP(A124,database!A:K,11,)</f>
        <v>6.5015479876161034E-2</v>
      </c>
    </row>
    <row r="137" spans="1:3" x14ac:dyDescent="0.35">
      <c r="A137" s="38">
        <v>28460</v>
      </c>
      <c r="B137" s="39">
        <f>VLOOKUP(Table8[[#This Row],[Month]],database!A:J,MATCH('Capacity Utilization'!$A$1,database!$A$1:$J$1,),)</f>
        <v>83.776799999999994</v>
      </c>
      <c r="C137" s="68">
        <f>(VLOOKUP(A137,database!A:K,11,) - VLOOKUP(A125,database!A:K,11,))/VLOOKUP(A125,database!A:K,11,)</f>
        <v>6.3174114021571554E-2</v>
      </c>
    </row>
    <row r="138" spans="1:3" x14ac:dyDescent="0.35">
      <c r="A138" s="38">
        <v>28491</v>
      </c>
      <c r="B138" s="39">
        <f>VLOOKUP(Table8[[#This Row],[Month]],database!A:J,MATCH('Capacity Utilization'!$A$1,database!$A$1:$J$1,),)</f>
        <v>82.343999999999994</v>
      </c>
      <c r="C138" s="68">
        <f>(VLOOKUP(A138,database!A:K,11,) - VLOOKUP(A126,database!A:K,11,))/VLOOKUP(A126,database!A:K,11,)</f>
        <v>6.298003072196634E-2</v>
      </c>
    </row>
    <row r="139" spans="1:3" x14ac:dyDescent="0.35">
      <c r="A139" s="38">
        <v>28522</v>
      </c>
      <c r="B139" s="39">
        <f>VLOOKUP(Table8[[#This Row],[Month]],database!A:J,MATCH('Capacity Utilization'!$A$1,database!$A$1:$J$1,),)</f>
        <v>82.553399999999996</v>
      </c>
      <c r="C139" s="68">
        <f>(VLOOKUP(A139,database!A:K,11,) - VLOOKUP(A127,database!A:K,11,))/VLOOKUP(A127,database!A:K,11,)</f>
        <v>6.2691131498470859E-2</v>
      </c>
    </row>
    <row r="140" spans="1:3" x14ac:dyDescent="0.35">
      <c r="A140" s="38">
        <v>28550</v>
      </c>
      <c r="B140" s="39">
        <f>VLOOKUP(Table8[[#This Row],[Month]],database!A:J,MATCH('Capacity Utilization'!$A$1,database!$A$1:$J$1,),)</f>
        <v>83.903899999999993</v>
      </c>
      <c r="C140" s="68">
        <f>(VLOOKUP(A140,database!A:K,11,) - VLOOKUP(A128,database!A:K,11,))/VLOOKUP(A128,database!A:K,11,)</f>
        <v>6.3926940639269444E-2</v>
      </c>
    </row>
    <row r="141" spans="1:3" x14ac:dyDescent="0.35">
      <c r="A141" s="38">
        <v>28581</v>
      </c>
      <c r="B141" s="39">
        <f>VLOOKUP(Table8[[#This Row],[Month]],database!A:J,MATCH('Capacity Utilization'!$A$1,database!$A$1:$J$1,),)</f>
        <v>85.322900000000004</v>
      </c>
      <c r="C141" s="68">
        <f>(VLOOKUP(A141,database!A:K,11,) - VLOOKUP(A129,database!A:K,11,))/VLOOKUP(A129,database!A:K,11,)</f>
        <v>7.1320182094081766E-2</v>
      </c>
    </row>
    <row r="142" spans="1:3" x14ac:dyDescent="0.35">
      <c r="A142" s="38">
        <v>28611</v>
      </c>
      <c r="B142" s="39">
        <f>VLOOKUP(Table8[[#This Row],[Month]],database!A:J,MATCH('Capacity Utilization'!$A$1,database!$A$1:$J$1,),)</f>
        <v>85.500399999999999</v>
      </c>
      <c r="C142" s="68">
        <f>(VLOOKUP(A142,database!A:K,11,) - VLOOKUP(A130,database!A:K,11,))/VLOOKUP(A130,database!A:K,11,)</f>
        <v>7.564296520423601E-2</v>
      </c>
    </row>
    <row r="143" spans="1:3" x14ac:dyDescent="0.35">
      <c r="A143" s="38">
        <v>28642</v>
      </c>
      <c r="B143" s="39">
        <f>VLOOKUP(Table8[[#This Row],[Month]],database!A:J,MATCH('Capacity Utilization'!$A$1,database!$A$1:$J$1,),)</f>
        <v>85.805899999999994</v>
      </c>
      <c r="C143" s="68">
        <f>(VLOOKUP(A143,database!A:K,11,) - VLOOKUP(A131,database!A:K,11,))/VLOOKUP(A131,database!A:K,11,)</f>
        <v>7.8195488721804554E-2</v>
      </c>
    </row>
    <row r="144" spans="1:3" x14ac:dyDescent="0.35">
      <c r="A144" s="38">
        <v>28672</v>
      </c>
      <c r="B144" s="39">
        <f>VLOOKUP(Table8[[#This Row],[Month]],database!A:J,MATCH('Capacity Utilization'!$A$1,database!$A$1:$J$1,),)</f>
        <v>85.492000000000004</v>
      </c>
      <c r="C144" s="68">
        <f>(VLOOKUP(A144,database!A:K,11,) - VLOOKUP(A132,database!A:K,11,))/VLOOKUP(A132,database!A:K,11,)</f>
        <v>8.2335329341317362E-2</v>
      </c>
    </row>
    <row r="145" spans="1:3" x14ac:dyDescent="0.35">
      <c r="A145" s="38">
        <v>28703</v>
      </c>
      <c r="B145" s="39">
        <f>VLOOKUP(Table8[[#This Row],[Month]],database!A:J,MATCH('Capacity Utilization'!$A$1,database!$A$1:$J$1,),)</f>
        <v>85.612799999999993</v>
      </c>
      <c r="C145" s="68">
        <f>(VLOOKUP(A145,database!A:K,11,) - VLOOKUP(A133,database!A:K,11,))/VLOOKUP(A133,database!A:K,11,)</f>
        <v>8.1723625557206539E-2</v>
      </c>
    </row>
    <row r="146" spans="1:3" x14ac:dyDescent="0.35">
      <c r="A146" s="38">
        <v>28734</v>
      </c>
      <c r="B146" s="39">
        <f>VLOOKUP(Table8[[#This Row],[Month]],database!A:J,MATCH('Capacity Utilization'!$A$1,database!$A$1:$J$1,),)</f>
        <v>85.5839</v>
      </c>
      <c r="C146" s="68">
        <f>(VLOOKUP(A146,database!A:K,11,) - VLOOKUP(A134,database!A:K,11,))/VLOOKUP(A134,database!A:K,11,)</f>
        <v>8.4070796460177039E-2</v>
      </c>
    </row>
    <row r="147" spans="1:3" x14ac:dyDescent="0.35">
      <c r="A147" s="38">
        <v>28764</v>
      </c>
      <c r="B147" s="39">
        <f>VLOOKUP(Table8[[#This Row],[Month]],database!A:J,MATCH('Capacity Utilization'!$A$1,database!$A$1:$J$1,),)</f>
        <v>86.012799999999999</v>
      </c>
      <c r="C147" s="68">
        <f>(VLOOKUP(A147,database!A:K,11,) - VLOOKUP(A135,database!A:K,11,))/VLOOKUP(A135,database!A:K,11,)</f>
        <v>7.6246334310850483E-2</v>
      </c>
    </row>
    <row r="148" spans="1:3" x14ac:dyDescent="0.35">
      <c r="A148" s="38">
        <v>28795</v>
      </c>
      <c r="B148" s="39">
        <f>VLOOKUP(Table8[[#This Row],[Month]],database!A:J,MATCH('Capacity Utilization'!$A$1,database!$A$1:$J$1,),)</f>
        <v>86.432299999999998</v>
      </c>
      <c r="C148" s="68">
        <f>(VLOOKUP(A148,database!A:K,11,) - VLOOKUP(A136,database!A:K,11,))/VLOOKUP(A136,database!A:K,11,)</f>
        <v>7.7034883720930189E-2</v>
      </c>
    </row>
    <row r="149" spans="1:3" x14ac:dyDescent="0.35">
      <c r="A149" s="38">
        <v>28825</v>
      </c>
      <c r="B149" s="39">
        <f>VLOOKUP(Table8[[#This Row],[Month]],database!A:J,MATCH('Capacity Utilization'!$A$1,database!$A$1:$J$1,),)</f>
        <v>86.642399999999995</v>
      </c>
      <c r="C149" s="68">
        <f>(VLOOKUP(A149,database!A:K,11,) - VLOOKUP(A137,database!A:K,11,))/VLOOKUP(A137,database!A:K,11,)</f>
        <v>8.260869565217395E-2</v>
      </c>
    </row>
    <row r="150" spans="1:3" x14ac:dyDescent="0.35">
      <c r="A150" s="38">
        <v>28856</v>
      </c>
      <c r="B150" s="39">
        <f>VLOOKUP(Table8[[#This Row],[Month]],database!A:J,MATCH('Capacity Utilization'!$A$1,database!$A$1:$J$1,),)</f>
        <v>85.927899999999994</v>
      </c>
      <c r="C150" s="68">
        <f>(VLOOKUP(A150,database!A:K,11,) - VLOOKUP(A138,database!A:K,11,))/VLOOKUP(A138,database!A:K,11,)</f>
        <v>8.8150289017340955E-2</v>
      </c>
    </row>
    <row r="151" spans="1:3" x14ac:dyDescent="0.35">
      <c r="A151" s="38">
        <v>28887</v>
      </c>
      <c r="B151" s="39">
        <f>VLOOKUP(Table8[[#This Row],[Month]],database!A:J,MATCH('Capacity Utilization'!$A$1,database!$A$1:$J$1,),)</f>
        <v>86.129099999999994</v>
      </c>
      <c r="C151" s="68">
        <f>(VLOOKUP(A151,database!A:K,11,) - VLOOKUP(A139,database!A:K,11,))/VLOOKUP(A139,database!A:K,11,)</f>
        <v>9.2086330935251884E-2</v>
      </c>
    </row>
    <row r="152" spans="1:3" x14ac:dyDescent="0.35">
      <c r="A152" s="38">
        <v>28915</v>
      </c>
      <c r="B152" s="39">
        <f>VLOOKUP(Table8[[#This Row],[Month]],database!A:J,MATCH('Capacity Utilization'!$A$1,database!$A$1:$J$1,),)</f>
        <v>86.162199999999999</v>
      </c>
      <c r="C152" s="68">
        <f>(VLOOKUP(A152,database!A:K,11,) - VLOOKUP(A140,database!A:K,11,))/VLOOKUP(A140,database!A:K,11,)</f>
        <v>9.2989985693848351E-2</v>
      </c>
    </row>
    <row r="153" spans="1:3" x14ac:dyDescent="0.35">
      <c r="A153" s="38">
        <v>28946</v>
      </c>
      <c r="B153" s="39">
        <f>VLOOKUP(Table8[[#This Row],[Month]],database!A:J,MATCH('Capacity Utilization'!$A$1,database!$A$1:$J$1,),)</f>
        <v>84.93</v>
      </c>
      <c r="C153" s="68">
        <f>(VLOOKUP(A153,database!A:K,11,) - VLOOKUP(A141,database!A:K,11,))/VLOOKUP(A141,database!A:K,11,)</f>
        <v>9.0651558073654478E-2</v>
      </c>
    </row>
    <row r="154" spans="1:3" x14ac:dyDescent="0.35">
      <c r="A154" s="38">
        <v>28976</v>
      </c>
      <c r="B154" s="39">
        <f>VLOOKUP(Table8[[#This Row],[Month]],database!A:J,MATCH('Capacity Utilization'!$A$1,database!$A$1:$J$1,),)</f>
        <v>85.457099999999997</v>
      </c>
      <c r="C154" s="68">
        <f>(VLOOKUP(A154,database!A:K,11,) - VLOOKUP(A142,database!A:K,11,))/VLOOKUP(A142,database!A:K,11,)</f>
        <v>8.8607594936709028E-2</v>
      </c>
    </row>
    <row r="155" spans="1:3" x14ac:dyDescent="0.35">
      <c r="A155" s="38">
        <v>29007</v>
      </c>
      <c r="B155" s="39">
        <f>VLOOKUP(Table8[[#This Row],[Month]],database!A:J,MATCH('Capacity Utilization'!$A$1,database!$A$1:$J$1,),)</f>
        <v>85.244500000000002</v>
      </c>
      <c r="C155" s="68">
        <f>(VLOOKUP(A155,database!A:K,11,) - VLOOKUP(A143,database!A:K,11,))/VLOOKUP(A143,database!A:K,11,)</f>
        <v>8.786610878661083E-2</v>
      </c>
    </row>
    <row r="156" spans="1:3" x14ac:dyDescent="0.35">
      <c r="A156" s="38">
        <v>29037</v>
      </c>
      <c r="B156" s="39">
        <f>VLOOKUP(Table8[[#This Row],[Month]],database!A:J,MATCH('Capacity Utilization'!$A$1,database!$A$1:$J$1,),)</f>
        <v>84.906099999999995</v>
      </c>
      <c r="C156" s="68">
        <f>(VLOOKUP(A156,database!A:K,11,) - VLOOKUP(A144,database!A:K,11,))/VLOOKUP(A144,database!A:K,11,)</f>
        <v>8.575380359612729E-2</v>
      </c>
    </row>
    <row r="157" spans="1:3" x14ac:dyDescent="0.35">
      <c r="A157" s="38">
        <v>29068</v>
      </c>
      <c r="B157" s="39">
        <f>VLOOKUP(Table8[[#This Row],[Month]],database!A:J,MATCH('Capacity Utilization'!$A$1,database!$A$1:$J$1,),)</f>
        <v>84.159899999999993</v>
      </c>
      <c r="C157" s="68">
        <f>(VLOOKUP(A157,database!A:K,11,) - VLOOKUP(A145,database!A:K,11,))/VLOOKUP(A145,database!A:K,11,)</f>
        <v>8.2417582417582416E-2</v>
      </c>
    </row>
    <row r="158" spans="1:3" x14ac:dyDescent="0.35">
      <c r="A158" s="38">
        <v>29099</v>
      </c>
      <c r="B158" s="39">
        <f>VLOOKUP(Table8[[#This Row],[Month]],database!A:J,MATCH('Capacity Utilization'!$A$1,database!$A$1:$J$1,),)</f>
        <v>83.962299999999999</v>
      </c>
      <c r="C158" s="68">
        <f>(VLOOKUP(A158,database!A:K,11,) - VLOOKUP(A146,database!A:K,11,))/VLOOKUP(A146,database!A:K,11,)</f>
        <v>8.4353741496598675E-2</v>
      </c>
    </row>
    <row r="159" spans="1:3" x14ac:dyDescent="0.35">
      <c r="A159" s="38">
        <v>29129</v>
      </c>
      <c r="B159" s="39">
        <f>VLOOKUP(Table8[[#This Row],[Month]],database!A:J,MATCH('Capacity Utilization'!$A$1,database!$A$1:$J$1,),)</f>
        <v>84.361699999999999</v>
      </c>
      <c r="C159" s="68">
        <f>(VLOOKUP(A159,database!A:K,11,) - VLOOKUP(A147,database!A:K,11,))/VLOOKUP(A147,database!A:K,11,)</f>
        <v>9.5367847411444134E-2</v>
      </c>
    </row>
    <row r="160" spans="1:3" x14ac:dyDescent="0.35">
      <c r="A160" s="38">
        <v>29160</v>
      </c>
      <c r="B160" s="39">
        <f>VLOOKUP(Table8[[#This Row],[Month]],database!A:J,MATCH('Capacity Utilization'!$A$1,database!$A$1:$J$1,),)</f>
        <v>84.0501</v>
      </c>
      <c r="C160" s="68">
        <f>(VLOOKUP(A160,database!A:K,11,) - VLOOKUP(A148,database!A:K,11,))/VLOOKUP(A148,database!A:K,11,)</f>
        <v>9.3117408906882679E-2</v>
      </c>
    </row>
    <row r="161" spans="1:3" x14ac:dyDescent="0.35">
      <c r="A161" s="38">
        <v>29190</v>
      </c>
      <c r="B161" s="39">
        <f>VLOOKUP(Table8[[#This Row],[Month]],database!A:J,MATCH('Capacity Utilization'!$A$1,database!$A$1:$J$1,),)</f>
        <v>83.941999999999993</v>
      </c>
      <c r="C161" s="68">
        <f>(VLOOKUP(A161,database!A:K,11,) - VLOOKUP(A149,database!A:K,11,))/VLOOKUP(A149,database!A:K,11,)</f>
        <v>9.3708165997322623E-2</v>
      </c>
    </row>
    <row r="162" spans="1:3" x14ac:dyDescent="0.35">
      <c r="A162" s="38">
        <v>29221</v>
      </c>
      <c r="B162" s="39">
        <f>VLOOKUP(Table8[[#This Row],[Month]],database!A:J,MATCH('Capacity Utilization'!$A$1,database!$A$1:$J$1,),)</f>
        <v>84.214600000000004</v>
      </c>
      <c r="C162" s="68">
        <f>(VLOOKUP(A162,database!A:K,11,) - VLOOKUP(A150,database!A:K,11,))/VLOOKUP(A150,database!A:K,11,)</f>
        <v>0.10624169986719788</v>
      </c>
    </row>
    <row r="163" spans="1:3" x14ac:dyDescent="0.35">
      <c r="A163" s="38">
        <v>29252</v>
      </c>
      <c r="B163" s="39">
        <f>VLOOKUP(Table8[[#This Row],[Month]],database!A:J,MATCH('Capacity Utilization'!$A$1,database!$A$1:$J$1,),)</f>
        <v>84.087800000000001</v>
      </c>
      <c r="C163" s="68">
        <f>(VLOOKUP(A163,database!A:K,11,) - VLOOKUP(A151,database!A:K,11,))/VLOOKUP(A151,database!A:K,11,)</f>
        <v>0.10935441370223975</v>
      </c>
    </row>
    <row r="164" spans="1:3" x14ac:dyDescent="0.35">
      <c r="A164" s="38">
        <v>29281</v>
      </c>
      <c r="B164" s="39">
        <f>VLOOKUP(Table8[[#This Row],[Month]],database!A:J,MATCH('Capacity Utilization'!$A$1,database!$A$1:$J$1,),)</f>
        <v>83.5715</v>
      </c>
      <c r="C164" s="68">
        <f>(VLOOKUP(A164,database!A:K,11,) - VLOOKUP(A152,database!A:K,11,))/VLOOKUP(A152,database!A:K,11,)</f>
        <v>0.10863874345549733</v>
      </c>
    </row>
    <row r="165" spans="1:3" x14ac:dyDescent="0.35">
      <c r="A165" s="38">
        <v>29312</v>
      </c>
      <c r="B165" s="39">
        <f>VLOOKUP(Table8[[#This Row],[Month]],database!A:J,MATCH('Capacity Utilization'!$A$1,database!$A$1:$J$1,),)</f>
        <v>81.768799999999999</v>
      </c>
      <c r="C165" s="68">
        <f>(VLOOKUP(A165,database!A:K,11,) - VLOOKUP(A153,database!A:K,11,))/VLOOKUP(A153,database!A:K,11,)</f>
        <v>0.11038961038961038</v>
      </c>
    </row>
    <row r="166" spans="1:3" x14ac:dyDescent="0.35">
      <c r="A166" s="38">
        <v>29342</v>
      </c>
      <c r="B166" s="39">
        <f>VLOOKUP(Table8[[#This Row],[Month]],database!A:J,MATCH('Capacity Utilization'!$A$1,database!$A$1:$J$1,),)</f>
        <v>79.606399999999994</v>
      </c>
      <c r="C166" s="68">
        <f>(VLOOKUP(A166,database!A:K,11,) - VLOOKUP(A154,database!A:K,11,))/VLOOKUP(A154,database!A:K,11,)</f>
        <v>0.10723514211886301</v>
      </c>
    </row>
    <row r="167" spans="1:3" x14ac:dyDescent="0.35">
      <c r="A167" s="38">
        <v>29373</v>
      </c>
      <c r="B167" s="39">
        <f>VLOOKUP(Table8[[#This Row],[Month]],database!A:J,MATCH('Capacity Utilization'!$A$1,database!$A$1:$J$1,),)</f>
        <v>78.438800000000001</v>
      </c>
      <c r="C167" s="68">
        <f>(VLOOKUP(A167,database!A:K,11,) - VLOOKUP(A155,database!A:K,11,))/VLOOKUP(A155,database!A:K,11,)</f>
        <v>0.11025641025641018</v>
      </c>
    </row>
    <row r="168" spans="1:3" x14ac:dyDescent="0.35">
      <c r="A168" s="38">
        <v>29403</v>
      </c>
      <c r="B168" s="39">
        <f>VLOOKUP(Table8[[#This Row],[Month]],database!A:J,MATCH('Capacity Utilization'!$A$1,database!$A$1:$J$1,),)</f>
        <v>77.719700000000003</v>
      </c>
      <c r="C168" s="68">
        <f>(VLOOKUP(A168,database!A:K,11,) - VLOOKUP(A156,database!A:K,11,))/VLOOKUP(A156,database!A:K,11,)</f>
        <v>0.11719745222929939</v>
      </c>
    </row>
    <row r="169" spans="1:3" x14ac:dyDescent="0.35">
      <c r="A169" s="38">
        <v>29434</v>
      </c>
      <c r="B169" s="39">
        <f>VLOOKUP(Table8[[#This Row],[Month]],database!A:J,MATCH('Capacity Utilization'!$A$1,database!$A$1:$J$1,),)</f>
        <v>77.811000000000007</v>
      </c>
      <c r="C169" s="68">
        <f>(VLOOKUP(A169,database!A:K,11,) - VLOOKUP(A157,database!A:K,11,))/VLOOKUP(A157,database!A:K,11,)</f>
        <v>0.12182741116751281</v>
      </c>
    </row>
    <row r="170" spans="1:3" x14ac:dyDescent="0.35">
      <c r="A170" s="38">
        <v>29465</v>
      </c>
      <c r="B170" s="39">
        <f>VLOOKUP(Table8[[#This Row],[Month]],database!A:J,MATCH('Capacity Utilization'!$A$1,database!$A$1:$J$1,),)</f>
        <v>78.941000000000003</v>
      </c>
      <c r="C170" s="68">
        <f>(VLOOKUP(A170,database!A:K,11,) - VLOOKUP(A158,database!A:K,11,))/VLOOKUP(A158,database!A:K,11,)</f>
        <v>0.11417816813048925</v>
      </c>
    </row>
    <row r="171" spans="1:3" x14ac:dyDescent="0.35">
      <c r="A171" s="38">
        <v>29495</v>
      </c>
      <c r="B171" s="39">
        <f>VLOOKUP(Table8[[#This Row],[Month]],database!A:J,MATCH('Capacity Utilization'!$A$1,database!$A$1:$J$1,),)</f>
        <v>79.769900000000007</v>
      </c>
      <c r="C171" s="68">
        <f>(VLOOKUP(A171,database!A:K,11,) - VLOOKUP(A159,database!A:K,11,))/VLOOKUP(A159,database!A:K,11,)</f>
        <v>0.11442786069651727</v>
      </c>
    </row>
    <row r="172" spans="1:3" x14ac:dyDescent="0.35">
      <c r="A172" s="38">
        <v>29526</v>
      </c>
      <c r="B172" s="39">
        <f>VLOOKUP(Table8[[#This Row],[Month]],database!A:J,MATCH('Capacity Utilization'!$A$1,database!$A$1:$J$1,),)</f>
        <v>80.915899999999993</v>
      </c>
      <c r="C172" s="68">
        <f>(VLOOKUP(A172,database!A:K,11,) - VLOOKUP(A160,database!A:K,11,))/VLOOKUP(A160,database!A:K,11,)</f>
        <v>0.11234567901234561</v>
      </c>
    </row>
    <row r="173" spans="1:3" x14ac:dyDescent="0.35">
      <c r="A173" s="38">
        <v>29556</v>
      </c>
      <c r="B173" s="39">
        <f>VLOOKUP(Table8[[#This Row],[Month]],database!A:J,MATCH('Capacity Utilization'!$A$1,database!$A$1:$J$1,),)</f>
        <v>81.280299999999997</v>
      </c>
      <c r="C173" s="68">
        <f>(VLOOKUP(A173,database!A:K,11,) - VLOOKUP(A161,database!A:K,11,))/VLOOKUP(A161,database!A:K,11,)</f>
        <v>0.1064871481028152</v>
      </c>
    </row>
    <row r="174" spans="1:3" x14ac:dyDescent="0.35">
      <c r="A174" s="38">
        <v>29587</v>
      </c>
      <c r="B174" s="39">
        <f>VLOOKUP(Table8[[#This Row],[Month]],database!A:J,MATCH('Capacity Utilization'!$A$1,database!$A$1:$J$1,),)</f>
        <v>80.575199999999995</v>
      </c>
      <c r="C174" s="68">
        <f>(VLOOKUP(A174,database!A:K,11,) - VLOOKUP(A162,database!A:K,11,))/VLOOKUP(A162,database!A:K,11,)</f>
        <v>9.723889555822339E-2</v>
      </c>
    </row>
    <row r="175" spans="1:3" x14ac:dyDescent="0.35">
      <c r="A175" s="38">
        <v>29618</v>
      </c>
      <c r="B175" s="39">
        <f>VLOOKUP(Table8[[#This Row],[Month]],database!A:J,MATCH('Capacity Utilization'!$A$1,database!$A$1:$J$1,),)</f>
        <v>80.046899999999994</v>
      </c>
      <c r="C175" s="68">
        <f>(VLOOKUP(A175,database!A:K,11,) - VLOOKUP(A163,database!A:K,11,))/VLOOKUP(A163,database!A:K,11,)</f>
        <v>9.2636579572446517E-2</v>
      </c>
    </row>
    <row r="176" spans="1:3" x14ac:dyDescent="0.35">
      <c r="A176" s="38">
        <v>29646</v>
      </c>
      <c r="B176" s="39">
        <f>VLOOKUP(Table8[[#This Row],[Month]],database!A:J,MATCH('Capacity Utilization'!$A$1,database!$A$1:$J$1,),)</f>
        <v>80.247900000000001</v>
      </c>
      <c r="C176" s="68">
        <f>(VLOOKUP(A176,database!A:K,11,) - VLOOKUP(A164,database!A:K,11,))/VLOOKUP(A164,database!A:K,11,)</f>
        <v>9.3270365997638618E-2</v>
      </c>
    </row>
    <row r="177" spans="1:3" x14ac:dyDescent="0.35">
      <c r="A177" s="38">
        <v>29677</v>
      </c>
      <c r="B177" s="39">
        <f>VLOOKUP(Table8[[#This Row],[Month]],database!A:J,MATCH('Capacity Utilization'!$A$1,database!$A$1:$J$1,),)</f>
        <v>79.694800000000001</v>
      </c>
      <c r="C177" s="68">
        <f>(VLOOKUP(A177,database!A:K,11,) - VLOOKUP(A165,database!A:K,11,))/VLOOKUP(A165,database!A:K,11,)</f>
        <v>9.3567251461988299E-2</v>
      </c>
    </row>
    <row r="178" spans="1:3" x14ac:dyDescent="0.35">
      <c r="A178" s="38">
        <v>29707</v>
      </c>
      <c r="B178" s="39">
        <f>VLOOKUP(Table8[[#This Row],[Month]],database!A:J,MATCH('Capacity Utilization'!$A$1,database!$A$1:$J$1,),)</f>
        <v>79.948899999999995</v>
      </c>
      <c r="C178" s="68">
        <f>(VLOOKUP(A178,database!A:K,11,) - VLOOKUP(A166,database!A:K,11,))/VLOOKUP(A166,database!A:K,11,)</f>
        <v>9.6849474912485384E-2</v>
      </c>
    </row>
    <row r="179" spans="1:3" x14ac:dyDescent="0.35">
      <c r="A179" s="38">
        <v>29738</v>
      </c>
      <c r="B179" s="39">
        <f>VLOOKUP(Table8[[#This Row],[Month]],database!A:J,MATCH('Capacity Utilization'!$A$1,database!$A$1:$J$1,),)</f>
        <v>80.165999999999997</v>
      </c>
      <c r="C179" s="68">
        <f>(VLOOKUP(A179,database!A:K,11,) - VLOOKUP(A167,database!A:K,11,))/VLOOKUP(A167,database!A:K,11,)</f>
        <v>9.237875288683603E-2</v>
      </c>
    </row>
    <row r="180" spans="1:3" x14ac:dyDescent="0.35">
      <c r="A180" s="38">
        <v>29768</v>
      </c>
      <c r="B180" s="39">
        <f>VLOOKUP(Table8[[#This Row],[Month]],database!A:J,MATCH('Capacity Utilization'!$A$1,database!$A$1:$J$1,),)</f>
        <v>80.4696</v>
      </c>
      <c r="C180" s="68">
        <f>(VLOOKUP(A180,database!A:K,11,) - VLOOKUP(A168,database!A:K,11,))/VLOOKUP(A168,database!A:K,11,)</f>
        <v>8.0957810718357975E-2</v>
      </c>
    </row>
    <row r="181" spans="1:3" x14ac:dyDescent="0.35">
      <c r="A181" s="38">
        <v>29799</v>
      </c>
      <c r="B181" s="39">
        <f>VLOOKUP(Table8[[#This Row],[Month]],database!A:J,MATCH('Capacity Utilization'!$A$1,database!$A$1:$J$1,),)</f>
        <v>80.169200000000004</v>
      </c>
      <c r="C181" s="68">
        <f>(VLOOKUP(A181,database!A:K,11,) - VLOOKUP(A169,database!A:K,11,))/VLOOKUP(A169,database!A:K,11,)</f>
        <v>7.805429864253384E-2</v>
      </c>
    </row>
    <row r="182" spans="1:3" x14ac:dyDescent="0.35">
      <c r="A182" s="38">
        <v>29830</v>
      </c>
      <c r="B182" s="39">
        <f>VLOOKUP(Table8[[#This Row],[Month]],database!A:J,MATCH('Capacity Utilization'!$A$1,database!$A$1:$J$1,),)</f>
        <v>79.5809</v>
      </c>
      <c r="C182" s="68">
        <f>(VLOOKUP(A182,database!A:K,11,) - VLOOKUP(A170,database!A:K,11,))/VLOOKUP(A170,database!A:K,11,)</f>
        <v>7.9954954954955054E-2</v>
      </c>
    </row>
    <row r="183" spans="1:3" x14ac:dyDescent="0.35">
      <c r="A183" s="38">
        <v>29860</v>
      </c>
      <c r="B183" s="39">
        <f>VLOOKUP(Table8[[#This Row],[Month]],database!A:J,MATCH('Capacity Utilization'!$A$1,database!$A$1:$J$1,),)</f>
        <v>78.7744</v>
      </c>
      <c r="C183" s="68">
        <f>(VLOOKUP(A183,database!A:K,11,) - VLOOKUP(A171,database!A:K,11,))/VLOOKUP(A171,database!A:K,11,)</f>
        <v>7.7008928571428645E-2</v>
      </c>
    </row>
    <row r="184" spans="1:3" x14ac:dyDescent="0.35">
      <c r="A184" s="38">
        <v>29891</v>
      </c>
      <c r="B184" s="39">
        <f>VLOOKUP(Table8[[#This Row],[Month]],database!A:J,MATCH('Capacity Utilization'!$A$1,database!$A$1:$J$1,),)</f>
        <v>77.681600000000003</v>
      </c>
      <c r="C184" s="68">
        <f>(VLOOKUP(A184,database!A:K,11,) - VLOOKUP(A172,database!A:K,11,))/VLOOKUP(A172,database!A:K,11,)</f>
        <v>7.6581576026637135E-2</v>
      </c>
    </row>
    <row r="185" spans="1:3" x14ac:dyDescent="0.35">
      <c r="A185" s="38">
        <v>29921</v>
      </c>
      <c r="B185" s="39">
        <f>VLOOKUP(Table8[[#This Row],[Month]],database!A:J,MATCH('Capacity Utilization'!$A$1,database!$A$1:$J$1,),)</f>
        <v>76.681700000000006</v>
      </c>
      <c r="C185" s="68">
        <f>(VLOOKUP(A185,database!A:K,11,) - VLOOKUP(A173,database!A:K,11,))/VLOOKUP(A173,database!A:K,11,)</f>
        <v>7.9646017699114918E-2</v>
      </c>
    </row>
    <row r="186" spans="1:3" x14ac:dyDescent="0.35">
      <c r="A186" s="38">
        <v>29952</v>
      </c>
      <c r="B186" s="39">
        <f>VLOOKUP(Table8[[#This Row],[Month]],database!A:J,MATCH('Capacity Utilization'!$A$1,database!$A$1:$J$1,),)</f>
        <v>74.9452</v>
      </c>
      <c r="C186" s="68">
        <f>(VLOOKUP(A186,database!A:K,11,) - VLOOKUP(A174,database!A:K,11,))/VLOOKUP(A174,database!A:K,11,)</f>
        <v>7.3304157549234E-2</v>
      </c>
    </row>
    <row r="187" spans="1:3" x14ac:dyDescent="0.35">
      <c r="A187" s="38">
        <v>29983</v>
      </c>
      <c r="B187" s="39">
        <f>VLOOKUP(Table8[[#This Row],[Month]],database!A:J,MATCH('Capacity Utilization'!$A$1,database!$A$1:$J$1,),)</f>
        <v>76.315700000000007</v>
      </c>
      <c r="C187" s="68">
        <f>(VLOOKUP(A187,database!A:K,11,) - VLOOKUP(A175,database!A:K,11,))/VLOOKUP(A175,database!A:K,11,)</f>
        <v>6.6304347826086893E-2</v>
      </c>
    </row>
    <row r="188" spans="1:3" x14ac:dyDescent="0.35">
      <c r="A188" s="38">
        <v>30011</v>
      </c>
      <c r="B188" s="39">
        <f>VLOOKUP(Table8[[#This Row],[Month]],database!A:J,MATCH('Capacity Utilization'!$A$1,database!$A$1:$J$1,),)</f>
        <v>75.644400000000005</v>
      </c>
      <c r="C188" s="68">
        <f>(VLOOKUP(A188,database!A:K,11,) - VLOOKUP(A176,database!A:K,11,))/VLOOKUP(A176,database!A:K,11,)</f>
        <v>6.5874730021598368E-2</v>
      </c>
    </row>
    <row r="189" spans="1:3" x14ac:dyDescent="0.35">
      <c r="A189" s="38">
        <v>30042</v>
      </c>
      <c r="B189" s="39">
        <f>VLOOKUP(Table8[[#This Row],[Month]],database!A:J,MATCH('Capacity Utilization'!$A$1,database!$A$1:$J$1,),)</f>
        <v>74.813500000000005</v>
      </c>
      <c r="C189" s="68">
        <f>(VLOOKUP(A189,database!A:K,11,) - VLOOKUP(A177,database!A:K,11,))/VLOOKUP(A177,database!A:K,11,)</f>
        <v>5.8823529411764705E-2</v>
      </c>
    </row>
    <row r="190" spans="1:3" x14ac:dyDescent="0.35">
      <c r="A190" s="38">
        <v>30072</v>
      </c>
      <c r="B190" s="39">
        <f>VLOOKUP(Table8[[#This Row],[Month]],database!A:J,MATCH('Capacity Utilization'!$A$1,database!$A$1:$J$1,),)</f>
        <v>74.178299999999993</v>
      </c>
      <c r="C190" s="68">
        <f>(VLOOKUP(A190,database!A:K,11,) - VLOOKUP(A178,database!A:K,11,))/VLOOKUP(A178,database!A:K,11,)</f>
        <v>5.744680851063836E-2</v>
      </c>
    </row>
    <row r="191" spans="1:3" x14ac:dyDescent="0.35">
      <c r="A191" s="38">
        <v>30103</v>
      </c>
      <c r="B191" s="39">
        <f>VLOOKUP(Table8[[#This Row],[Month]],database!A:J,MATCH('Capacity Utilization'!$A$1,database!$A$1:$J$1,),)</f>
        <v>73.879900000000006</v>
      </c>
      <c r="C191" s="68">
        <f>(VLOOKUP(A191,database!A:K,11,) - VLOOKUP(A179,database!A:K,11,))/VLOOKUP(A179,database!A:K,11,)</f>
        <v>5.6025369978858472E-2</v>
      </c>
    </row>
    <row r="192" spans="1:3" x14ac:dyDescent="0.35">
      <c r="A192" s="38">
        <v>30133</v>
      </c>
      <c r="B192" s="39">
        <f>VLOOKUP(Table8[[#This Row],[Month]],database!A:J,MATCH('Capacity Utilization'!$A$1,database!$A$1:$J$1,),)</f>
        <v>73.511899999999997</v>
      </c>
      <c r="C192" s="68">
        <f>(VLOOKUP(A192,database!A:K,11,) - VLOOKUP(A180,database!A:K,11,))/VLOOKUP(A180,database!A:K,11,)</f>
        <v>5.590717299578056E-2</v>
      </c>
    </row>
    <row r="193" spans="1:3" x14ac:dyDescent="0.35">
      <c r="A193" s="38">
        <v>30164</v>
      </c>
      <c r="B193" s="39">
        <f>VLOOKUP(Table8[[#This Row],[Month]],database!A:J,MATCH('Capacity Utilization'!$A$1,database!$A$1:$J$1,),)</f>
        <v>72.770700000000005</v>
      </c>
      <c r="C193" s="68">
        <f>(VLOOKUP(A193,database!A:K,11,) - VLOOKUP(A181,database!A:K,11,))/VLOOKUP(A181,database!A:K,11,)</f>
        <v>5.5613850996852017E-2</v>
      </c>
    </row>
    <row r="194" spans="1:3" x14ac:dyDescent="0.35">
      <c r="A194" s="38">
        <v>30195</v>
      </c>
      <c r="B194" s="39">
        <f>VLOOKUP(Table8[[#This Row],[Month]],database!A:J,MATCH('Capacity Utilization'!$A$1,database!$A$1:$J$1,),)</f>
        <v>72.501300000000001</v>
      </c>
      <c r="C194" s="68">
        <f>(VLOOKUP(A194,database!A:K,11,) - VLOOKUP(A182,database!A:K,11,))/VLOOKUP(A182,database!A:K,11,)</f>
        <v>5.1094890510948815E-2</v>
      </c>
    </row>
    <row r="195" spans="1:3" x14ac:dyDescent="0.35">
      <c r="A195" s="38">
        <v>30225</v>
      </c>
      <c r="B195" s="39">
        <f>VLOOKUP(Table8[[#This Row],[Month]],database!A:J,MATCH('Capacity Utilization'!$A$1,database!$A$1:$J$1,),)</f>
        <v>71.745599999999996</v>
      </c>
      <c r="C195" s="68">
        <f>(VLOOKUP(A195,database!A:K,11,) - VLOOKUP(A183,database!A:K,11,))/VLOOKUP(A183,database!A:K,11,)</f>
        <v>4.9740932642487017E-2</v>
      </c>
    </row>
    <row r="196" spans="1:3" x14ac:dyDescent="0.35">
      <c r="A196" s="38">
        <v>30256</v>
      </c>
      <c r="B196" s="39">
        <f>VLOOKUP(Table8[[#This Row],[Month]],database!A:J,MATCH('Capacity Utilization'!$A$1,database!$A$1:$J$1,),)</f>
        <v>71.459299999999999</v>
      </c>
      <c r="C196" s="68">
        <f>(VLOOKUP(A196,database!A:K,11,) - VLOOKUP(A184,database!A:K,11,))/VLOOKUP(A184,database!A:K,11,)</f>
        <v>4.7422680412371077E-2</v>
      </c>
    </row>
    <row r="197" spans="1:3" x14ac:dyDescent="0.35">
      <c r="A197" s="38">
        <v>30286</v>
      </c>
      <c r="B197" s="39">
        <f>VLOOKUP(Table8[[#This Row],[Month]],database!A:J,MATCH('Capacity Utilization'!$A$1,database!$A$1:$J$1,),)</f>
        <v>70.904600000000002</v>
      </c>
      <c r="C197" s="68">
        <f>(VLOOKUP(A197,database!A:K,11,) - VLOOKUP(A185,database!A:K,11,))/VLOOKUP(A185,database!A:K,11,)</f>
        <v>4.7131147540983694E-2</v>
      </c>
    </row>
    <row r="198" spans="1:3" x14ac:dyDescent="0.35">
      <c r="A198" s="38">
        <v>30317</v>
      </c>
      <c r="B198" s="39">
        <f>VLOOKUP(Table8[[#This Row],[Month]],database!A:J,MATCH('Capacity Utilization'!$A$1,database!$A$1:$J$1,),)</f>
        <v>72.184200000000004</v>
      </c>
      <c r="C198" s="68">
        <f>(VLOOKUP(A198,database!A:K,11,) - VLOOKUP(A186,database!A:K,11,))/VLOOKUP(A186,database!A:K,11,)</f>
        <v>3.7716615698267106E-2</v>
      </c>
    </row>
    <row r="199" spans="1:3" x14ac:dyDescent="0.35">
      <c r="A199" s="38">
        <v>30348</v>
      </c>
      <c r="B199" s="39">
        <f>VLOOKUP(Table8[[#This Row],[Month]],database!A:J,MATCH('Capacity Utilization'!$A$1,database!$A$1:$J$1,),)</f>
        <v>71.725999999999999</v>
      </c>
      <c r="C199" s="68">
        <f>(VLOOKUP(A199,database!A:K,11,) - VLOOKUP(A187,database!A:K,11,))/VLOOKUP(A187,database!A:K,11,)</f>
        <v>4.1794087665647385E-2</v>
      </c>
    </row>
    <row r="200" spans="1:3" x14ac:dyDescent="0.35">
      <c r="A200" s="38">
        <v>30376</v>
      </c>
      <c r="B200" s="39">
        <f>VLOOKUP(Table8[[#This Row],[Month]],database!A:J,MATCH('Capacity Utilization'!$A$1,database!$A$1:$J$1,),)</f>
        <v>72.297300000000007</v>
      </c>
      <c r="C200" s="68">
        <f>(VLOOKUP(A200,database!A:K,11,) - VLOOKUP(A188,database!A:K,11,))/VLOOKUP(A188,database!A:K,11,)</f>
        <v>3.8500506585612937E-2</v>
      </c>
    </row>
    <row r="201" spans="1:3" x14ac:dyDescent="0.35">
      <c r="A201" s="38">
        <v>30407</v>
      </c>
      <c r="B201" s="39">
        <f>VLOOKUP(Table8[[#This Row],[Month]],database!A:J,MATCH('Capacity Utilization'!$A$1,database!$A$1:$J$1,),)</f>
        <v>73.178700000000006</v>
      </c>
      <c r="C201" s="68">
        <f>(VLOOKUP(A201,database!A:K,11,) - VLOOKUP(A189,database!A:K,11,))/VLOOKUP(A189,database!A:K,11,)</f>
        <v>3.4343434343434398E-2</v>
      </c>
    </row>
    <row r="202" spans="1:3" x14ac:dyDescent="0.35">
      <c r="A202" s="38">
        <v>30437</v>
      </c>
      <c r="B202" s="39">
        <f>VLOOKUP(Table8[[#This Row],[Month]],database!A:J,MATCH('Capacity Utilization'!$A$1,database!$A$1:$J$1,),)</f>
        <v>73.626900000000006</v>
      </c>
      <c r="C202" s="68">
        <f>(VLOOKUP(A202,database!A:K,11,) - VLOOKUP(A190,database!A:K,11,))/VLOOKUP(A190,database!A:K,11,)</f>
        <v>3.2193158953722219E-2</v>
      </c>
    </row>
    <row r="203" spans="1:3" x14ac:dyDescent="0.35">
      <c r="A203" s="38">
        <v>30468</v>
      </c>
      <c r="B203" s="39">
        <f>VLOOKUP(Table8[[#This Row],[Month]],database!A:J,MATCH('Capacity Utilization'!$A$1,database!$A$1:$J$1,),)</f>
        <v>74.048199999999994</v>
      </c>
      <c r="C203" s="68">
        <f>(VLOOKUP(A203,database!A:K,11,) - VLOOKUP(A191,database!A:K,11,))/VLOOKUP(A191,database!A:K,11,)</f>
        <v>2.902902902902894E-2</v>
      </c>
    </row>
    <row r="204" spans="1:3" x14ac:dyDescent="0.35">
      <c r="A204" s="38">
        <v>30498</v>
      </c>
      <c r="B204" s="39">
        <f>VLOOKUP(Table8[[#This Row],[Month]],database!A:J,MATCH('Capacity Utilization'!$A$1,database!$A$1:$J$1,),)</f>
        <v>75.128900000000002</v>
      </c>
      <c r="C204" s="68">
        <f>(VLOOKUP(A204,database!A:K,11,) - VLOOKUP(A192,database!A:K,11,))/VLOOKUP(A192,database!A:K,11,)</f>
        <v>2.9970029970029972E-2</v>
      </c>
    </row>
    <row r="205" spans="1:3" x14ac:dyDescent="0.35">
      <c r="A205" s="38">
        <v>30529</v>
      </c>
      <c r="B205" s="39">
        <f>VLOOKUP(Table8[[#This Row],[Month]],database!A:J,MATCH('Capacity Utilization'!$A$1,database!$A$1:$J$1,),)</f>
        <v>75.999799999999993</v>
      </c>
      <c r="C205" s="68">
        <f>(VLOOKUP(A205,database!A:K,11,) - VLOOKUP(A193,database!A:K,11,))/VLOOKUP(A193,database!A:K,11,)</f>
        <v>2.88270377733599E-2</v>
      </c>
    </row>
    <row r="206" spans="1:3" x14ac:dyDescent="0.35">
      <c r="A206" s="38">
        <v>30560</v>
      </c>
      <c r="B206" s="39">
        <f>VLOOKUP(Table8[[#This Row],[Month]],database!A:J,MATCH('Capacity Utilization'!$A$1,database!$A$1:$J$1,),)</f>
        <v>77.063800000000001</v>
      </c>
      <c r="C206" s="68">
        <f>(VLOOKUP(A206,database!A:K,11,) - VLOOKUP(A194,database!A:K,11,))/VLOOKUP(A194,database!A:K,11,)</f>
        <v>2.6785714285714315E-2</v>
      </c>
    </row>
    <row r="207" spans="1:3" x14ac:dyDescent="0.35">
      <c r="A207" s="38">
        <v>30590</v>
      </c>
      <c r="B207" s="39">
        <f>VLOOKUP(Table8[[#This Row],[Month]],database!A:J,MATCH('Capacity Utilization'!$A$1,database!$A$1:$J$1,),)</f>
        <v>77.613799999999998</v>
      </c>
      <c r="C207" s="68">
        <f>(VLOOKUP(A207,database!A:K,11,) - VLOOKUP(A195,database!A:K,11,))/VLOOKUP(A195,database!A:K,11,)</f>
        <v>2.2704837117472825E-2</v>
      </c>
    </row>
    <row r="208" spans="1:3" x14ac:dyDescent="0.35">
      <c r="A208" s="38">
        <v>30621</v>
      </c>
      <c r="B208" s="39">
        <f>VLOOKUP(Table8[[#This Row],[Month]],database!A:J,MATCH('Capacity Utilization'!$A$1,database!$A$1:$J$1,),)</f>
        <v>77.896000000000001</v>
      </c>
      <c r="C208" s="68">
        <f>(VLOOKUP(A208,database!A:K,11,) - VLOOKUP(A196,database!A:K,11,))/VLOOKUP(A196,database!A:K,11,)</f>
        <v>2.1653543307086642E-2</v>
      </c>
    </row>
    <row r="209" spans="1:3" x14ac:dyDescent="0.35">
      <c r="A209" s="38">
        <v>30651</v>
      </c>
      <c r="B209" s="39">
        <f>VLOOKUP(Table8[[#This Row],[Month]],database!A:J,MATCH('Capacity Utilization'!$A$1,database!$A$1:$J$1,),)</f>
        <v>78.202299999999994</v>
      </c>
      <c r="C209" s="68">
        <f>(VLOOKUP(A209,database!A:K,11,) - VLOOKUP(A197,database!A:K,11,))/VLOOKUP(A197,database!A:K,11,)</f>
        <v>1.8590998043052753E-2</v>
      </c>
    </row>
    <row r="210" spans="1:3" x14ac:dyDescent="0.35">
      <c r="A210" s="38">
        <v>30682</v>
      </c>
      <c r="B210" s="39">
        <f>VLOOKUP(Table8[[#This Row],[Month]],database!A:J,MATCH('Capacity Utilization'!$A$1,database!$A$1:$J$1,),)</f>
        <v>79.675399999999996</v>
      </c>
      <c r="C210" s="68">
        <f>(VLOOKUP(A210,database!A:K,11,) - VLOOKUP(A198,database!A:K,11,))/VLOOKUP(A198,database!A:K,11,)</f>
        <v>2.6522593320235786E-2</v>
      </c>
    </row>
    <row r="211" spans="1:3" x14ac:dyDescent="0.35">
      <c r="A211" s="38">
        <v>30713</v>
      </c>
      <c r="B211" s="39">
        <f>VLOOKUP(Table8[[#This Row],[Month]],database!A:J,MATCH('Capacity Utilization'!$A$1,database!$A$1:$J$1,),)</f>
        <v>79.935500000000005</v>
      </c>
      <c r="C211" s="68">
        <f>(VLOOKUP(A211,database!A:K,11,) - VLOOKUP(A199,database!A:K,11,))/VLOOKUP(A199,database!A:K,11,)</f>
        <v>2.446183953033268E-2</v>
      </c>
    </row>
    <row r="212" spans="1:3" x14ac:dyDescent="0.35">
      <c r="A212" s="38">
        <v>30742</v>
      </c>
      <c r="B212" s="39">
        <f>VLOOKUP(Table8[[#This Row],[Month]],database!A:J,MATCH('Capacity Utilization'!$A$1,database!$A$1:$J$1,),)</f>
        <v>80.201700000000002</v>
      </c>
      <c r="C212" s="68">
        <f>(VLOOKUP(A212,database!A:K,11,) - VLOOKUP(A200,database!A:K,11,))/VLOOKUP(A200,database!A:K,11,)</f>
        <v>2.6341463414634173E-2</v>
      </c>
    </row>
    <row r="213" spans="1:3" x14ac:dyDescent="0.35">
      <c r="A213" s="38">
        <v>30773</v>
      </c>
      <c r="B213" s="39">
        <f>VLOOKUP(Table8[[#This Row],[Month]],database!A:J,MATCH('Capacity Utilization'!$A$1,database!$A$1:$J$1,),)</f>
        <v>80.547300000000007</v>
      </c>
      <c r="C213" s="68">
        <f>(VLOOKUP(A213,database!A:K,11,) - VLOOKUP(A201,database!A:K,11,))/VLOOKUP(A201,database!A:K,11,)</f>
        <v>2.8320312499999917E-2</v>
      </c>
    </row>
    <row r="214" spans="1:3" x14ac:dyDescent="0.35">
      <c r="A214" s="38">
        <v>30803</v>
      </c>
      <c r="B214" s="39">
        <f>VLOOKUP(Table8[[#This Row],[Month]],database!A:J,MATCH('Capacity Utilization'!$A$1,database!$A$1:$J$1,),)</f>
        <v>80.838399999999993</v>
      </c>
      <c r="C214" s="68">
        <f>(VLOOKUP(A214,database!A:K,11,) - VLOOKUP(A202,database!A:K,11,))/VLOOKUP(A202,database!A:K,11,)</f>
        <v>2.631578947368424E-2</v>
      </c>
    </row>
    <row r="215" spans="1:3" x14ac:dyDescent="0.35">
      <c r="A215" s="38">
        <v>30834</v>
      </c>
      <c r="B215" s="39">
        <f>VLOOKUP(Table8[[#This Row],[Month]],database!A:J,MATCH('Capacity Utilization'!$A$1,database!$A$1:$J$1,),)</f>
        <v>80.964799999999997</v>
      </c>
      <c r="C215" s="68">
        <f>(VLOOKUP(A215,database!A:K,11,) - VLOOKUP(A203,database!A:K,11,))/VLOOKUP(A203,database!A:K,11,)</f>
        <v>2.6264591439688744E-2</v>
      </c>
    </row>
    <row r="216" spans="1:3" x14ac:dyDescent="0.35">
      <c r="A216" s="38">
        <v>30864</v>
      </c>
      <c r="B216" s="39">
        <f>VLOOKUP(Table8[[#This Row],[Month]],database!A:J,MATCH('Capacity Utilization'!$A$1,database!$A$1:$J$1,),)</f>
        <v>81.033900000000003</v>
      </c>
      <c r="C216" s="68">
        <f>(VLOOKUP(A216,database!A:K,11,) - VLOOKUP(A204,database!A:K,11,))/VLOOKUP(A204,database!A:K,11,)</f>
        <v>2.5218234723569433E-2</v>
      </c>
    </row>
    <row r="217" spans="1:3" x14ac:dyDescent="0.35">
      <c r="A217" s="38">
        <v>30895</v>
      </c>
      <c r="B217" s="39">
        <f>VLOOKUP(Table8[[#This Row],[Month]],database!A:J,MATCH('Capacity Utilization'!$A$1,database!$A$1:$J$1,),)</f>
        <v>80.958699999999993</v>
      </c>
      <c r="C217" s="68">
        <f>(VLOOKUP(A217,database!A:K,11,) - VLOOKUP(A205,database!A:K,11,))/VLOOKUP(A205,database!A:K,11,)</f>
        <v>2.3188405797101505E-2</v>
      </c>
    </row>
    <row r="218" spans="1:3" x14ac:dyDescent="0.35">
      <c r="A218" s="38">
        <v>30926</v>
      </c>
      <c r="B218" s="39">
        <f>VLOOKUP(Table8[[#This Row],[Month]],database!A:J,MATCH('Capacity Utilization'!$A$1,database!$A$1:$J$1,),)</f>
        <v>80.543899999999994</v>
      </c>
      <c r="C218" s="68">
        <f>(VLOOKUP(A218,database!A:K,11,) - VLOOKUP(A206,database!A:K,11,))/VLOOKUP(A206,database!A:K,11,)</f>
        <v>2.6086956521739157E-2</v>
      </c>
    </row>
    <row r="219" spans="1:3" x14ac:dyDescent="0.35">
      <c r="A219" s="38">
        <v>30956</v>
      </c>
      <c r="B219" s="39">
        <f>VLOOKUP(Table8[[#This Row],[Month]],database!A:J,MATCH('Capacity Utilization'!$A$1,database!$A$1:$J$1,),)</f>
        <v>80.330500000000001</v>
      </c>
      <c r="C219" s="68">
        <f>(VLOOKUP(A219,database!A:K,11,) - VLOOKUP(A207,database!A:K,11,))/VLOOKUP(A207,database!A:K,11,)</f>
        <v>2.2200772200772313E-2</v>
      </c>
    </row>
    <row r="220" spans="1:3" x14ac:dyDescent="0.35">
      <c r="A220" s="38">
        <v>30987</v>
      </c>
      <c r="B220" s="39">
        <f>VLOOKUP(Table8[[#This Row],[Month]],database!A:J,MATCH('Capacity Utilization'!$A$1,database!$A$1:$J$1,),)</f>
        <v>80.405500000000004</v>
      </c>
      <c r="C220" s="68">
        <f>(VLOOKUP(A220,database!A:K,11,) - VLOOKUP(A208,database!A:K,11,))/VLOOKUP(A208,database!A:K,11,)</f>
        <v>2.3121387283237049E-2</v>
      </c>
    </row>
    <row r="221" spans="1:3" x14ac:dyDescent="0.35">
      <c r="A221" s="38">
        <v>31017</v>
      </c>
      <c r="B221" s="39">
        <f>VLOOKUP(Table8[[#This Row],[Month]],database!A:J,MATCH('Capacity Utilization'!$A$1,database!$A$1:$J$1,),)</f>
        <v>80.252300000000005</v>
      </c>
      <c r="C221" s="68">
        <f>(VLOOKUP(A221,database!A:K,11,) - VLOOKUP(A209,database!A:K,11,))/VLOOKUP(A209,database!A:K,11,)</f>
        <v>2.1133525456292056E-2</v>
      </c>
    </row>
    <row r="222" spans="1:3" x14ac:dyDescent="0.35">
      <c r="A222" s="38">
        <v>31048</v>
      </c>
      <c r="B222" s="39">
        <f>VLOOKUP(Table8[[#This Row],[Month]],database!A:J,MATCH('Capacity Utilization'!$A$1,database!$A$1:$J$1,),)</f>
        <v>79.995000000000005</v>
      </c>
      <c r="C222" s="68">
        <f>(VLOOKUP(A222,database!A:K,11,) - VLOOKUP(A210,database!A:K,11,))/VLOOKUP(A210,database!A:K,11,)</f>
        <v>2.2966507177033548E-2</v>
      </c>
    </row>
    <row r="223" spans="1:3" x14ac:dyDescent="0.35">
      <c r="A223" s="38">
        <v>31079</v>
      </c>
      <c r="B223" s="39">
        <f>VLOOKUP(Table8[[#This Row],[Month]],database!A:J,MATCH('Capacity Utilization'!$A$1,database!$A$1:$J$1,),)</f>
        <v>80.0351</v>
      </c>
      <c r="C223" s="68">
        <f>(VLOOKUP(A223,database!A:K,11,) - VLOOKUP(A211,database!A:K,11,))/VLOOKUP(A211,database!A:K,11,)</f>
        <v>2.4832855778414462E-2</v>
      </c>
    </row>
    <row r="224" spans="1:3" x14ac:dyDescent="0.35">
      <c r="A224" s="38">
        <v>31107</v>
      </c>
      <c r="B224" s="39">
        <f>VLOOKUP(Table8[[#This Row],[Month]],database!A:J,MATCH('Capacity Utilization'!$A$1,database!$A$1:$J$1,),)</f>
        <v>79.9495</v>
      </c>
      <c r="C224" s="68">
        <f>(VLOOKUP(A224,database!A:K,11,) - VLOOKUP(A212,database!A:K,11,))/VLOOKUP(A212,database!A:K,11,)</f>
        <v>2.2813688212927674E-2</v>
      </c>
    </row>
    <row r="225" spans="1:3" x14ac:dyDescent="0.35">
      <c r="A225" s="38">
        <v>31138</v>
      </c>
      <c r="B225" s="39">
        <f>VLOOKUP(Table8[[#This Row],[Month]],database!A:J,MATCH('Capacity Utilization'!$A$1,database!$A$1:$J$1,),)</f>
        <v>79.582099999999997</v>
      </c>
      <c r="C225" s="68">
        <f>(VLOOKUP(A225,database!A:K,11,) - VLOOKUP(A213,database!A:K,11,))/VLOOKUP(A213,database!A:K,11,)</f>
        <v>2.1842355175688482E-2</v>
      </c>
    </row>
    <row r="226" spans="1:3" x14ac:dyDescent="0.35">
      <c r="A226" s="38">
        <v>31168</v>
      </c>
      <c r="B226" s="39">
        <f>VLOOKUP(Table8[[#This Row],[Month]],database!A:J,MATCH('Capacity Utilization'!$A$1,database!$A$1:$J$1,),)</f>
        <v>79.510900000000007</v>
      </c>
      <c r="C226" s="68">
        <f>(VLOOKUP(A226,database!A:K,11,) - VLOOKUP(A214,database!A:K,11,))/VLOOKUP(A214,database!A:K,11,)</f>
        <v>2.3741690408357077E-2</v>
      </c>
    </row>
    <row r="227" spans="1:3" x14ac:dyDescent="0.35">
      <c r="A227" s="38">
        <v>31199</v>
      </c>
      <c r="B227" s="39">
        <f>VLOOKUP(Table8[[#This Row],[Month]],database!A:J,MATCH('Capacity Utilization'!$A$1,database!$A$1:$J$1,),)</f>
        <v>79.274000000000001</v>
      </c>
      <c r="C227" s="68">
        <f>(VLOOKUP(A227,database!A:K,11,) - VLOOKUP(A215,database!A:K,11,))/VLOOKUP(A215,database!A:K,11,)</f>
        <v>2.5592417061611403E-2</v>
      </c>
    </row>
    <row r="228" spans="1:3" x14ac:dyDescent="0.35">
      <c r="A228" s="38">
        <v>31229</v>
      </c>
      <c r="B228" s="39">
        <f>VLOOKUP(Table8[[#This Row],[Month]],database!A:J,MATCH('Capacity Utilization'!$A$1,database!$A$1:$J$1,),)</f>
        <v>78.682400000000001</v>
      </c>
      <c r="C228" s="68">
        <f>(VLOOKUP(A228,database!A:K,11,) - VLOOKUP(A216,database!A:K,11,))/VLOOKUP(A216,database!A:K,11,)</f>
        <v>2.5543992431409677E-2</v>
      </c>
    </row>
    <row r="229" spans="1:3" x14ac:dyDescent="0.35">
      <c r="A229" s="38">
        <v>31260</v>
      </c>
      <c r="B229" s="39">
        <f>VLOOKUP(Table8[[#This Row],[Month]],database!A:J,MATCH('Capacity Utilization'!$A$1,database!$A$1:$J$1,),)</f>
        <v>78.765799999999999</v>
      </c>
      <c r="C229" s="68">
        <f>(VLOOKUP(A229,database!A:K,11,) - VLOOKUP(A217,database!A:K,11,))/VLOOKUP(A217,database!A:K,11,)</f>
        <v>2.4551463644948011E-2</v>
      </c>
    </row>
    <row r="230" spans="1:3" x14ac:dyDescent="0.35">
      <c r="A230" s="38">
        <v>31291</v>
      </c>
      <c r="B230" s="39">
        <f>VLOOKUP(Table8[[#This Row],[Month]],database!A:J,MATCH('Capacity Utilization'!$A$1,database!$A$1:$J$1,),)</f>
        <v>78.892799999999994</v>
      </c>
      <c r="C230" s="68">
        <f>(VLOOKUP(A230,database!A:K,11,) - VLOOKUP(A218,database!A:K,11,))/VLOOKUP(A218,database!A:K,11,)</f>
        <v>1.6007532956685524E-2</v>
      </c>
    </row>
    <row r="231" spans="1:3" x14ac:dyDescent="0.35">
      <c r="A231" s="38">
        <v>31321</v>
      </c>
      <c r="B231" s="39">
        <f>VLOOKUP(Table8[[#This Row],[Month]],database!A:J,MATCH('Capacity Utilization'!$A$1,database!$A$1:$J$1,),)</f>
        <v>78.469300000000004</v>
      </c>
      <c r="C231" s="68">
        <f>(VLOOKUP(A231,database!A:K,11,) - VLOOKUP(A219,database!A:K,11,))/VLOOKUP(A219,database!A:K,11,)</f>
        <v>2.8328611898016994E-2</v>
      </c>
    </row>
    <row r="232" spans="1:3" x14ac:dyDescent="0.35">
      <c r="A232" s="38">
        <v>31352</v>
      </c>
      <c r="B232" s="39">
        <f>VLOOKUP(Table8[[#This Row],[Month]],database!A:J,MATCH('Capacity Utilization'!$A$1,database!$A$1:$J$1,),)</f>
        <v>78.5929</v>
      </c>
      <c r="C232" s="68">
        <f>(VLOOKUP(A232,database!A:K,11,) - VLOOKUP(A220,database!A:K,11,))/VLOOKUP(A220,database!A:K,11,)</f>
        <v>2.7306967984934007E-2</v>
      </c>
    </row>
    <row r="233" spans="1:3" x14ac:dyDescent="0.35">
      <c r="A233" s="38">
        <v>31382</v>
      </c>
      <c r="B233" s="39">
        <f>VLOOKUP(Table8[[#This Row],[Month]],database!A:J,MATCH('Capacity Utilization'!$A$1,database!$A$1:$J$1,),)</f>
        <v>79.257499999999993</v>
      </c>
      <c r="C233" s="68">
        <f>(VLOOKUP(A233,database!A:K,11,) - VLOOKUP(A221,database!A:K,11,))/VLOOKUP(A221,database!A:K,11,)</f>
        <v>2.6340545625587932E-2</v>
      </c>
    </row>
    <row r="234" spans="1:3" x14ac:dyDescent="0.35">
      <c r="A234" s="38">
        <v>31413</v>
      </c>
      <c r="B234" s="39">
        <f>VLOOKUP(Table8[[#This Row],[Month]],database!A:J,MATCH('Capacity Utilization'!$A$1,database!$A$1:$J$1,),)</f>
        <v>79.5471</v>
      </c>
      <c r="C234" s="68">
        <f>(VLOOKUP(A234,database!A:K,11,) - VLOOKUP(A222,database!A:K,11,))/VLOOKUP(A222,database!A:K,11,)</f>
        <v>2.2450888681010209E-2</v>
      </c>
    </row>
    <row r="235" spans="1:3" x14ac:dyDescent="0.35">
      <c r="A235" s="38">
        <v>31444</v>
      </c>
      <c r="B235" s="39">
        <f>VLOOKUP(Table8[[#This Row],[Month]],database!A:J,MATCH('Capacity Utilization'!$A$1,database!$A$1:$J$1,),)</f>
        <v>78.899299999999997</v>
      </c>
      <c r="C235" s="68">
        <f>(VLOOKUP(A235,database!A:K,11,) - VLOOKUP(A223,database!A:K,11,))/VLOOKUP(A223,database!A:K,11,)</f>
        <v>2.0503261882572253E-2</v>
      </c>
    </row>
    <row r="236" spans="1:3" x14ac:dyDescent="0.35">
      <c r="A236" s="38">
        <v>31472</v>
      </c>
      <c r="B236" s="39">
        <f>VLOOKUP(Table8[[#This Row],[Month]],database!A:J,MATCH('Capacity Utilization'!$A$1,database!$A$1:$J$1,),)</f>
        <v>78.237099999999998</v>
      </c>
      <c r="C236" s="68">
        <f>(VLOOKUP(A236,database!A:K,11,) - VLOOKUP(A224,database!A:K,11,))/VLOOKUP(A224,database!A:K,11,)</f>
        <v>1.858736059479554E-2</v>
      </c>
    </row>
    <row r="237" spans="1:3" x14ac:dyDescent="0.35">
      <c r="A237" s="38">
        <v>31503</v>
      </c>
      <c r="B237" s="39">
        <f>VLOOKUP(Table8[[#This Row],[Month]],database!A:J,MATCH('Capacity Utilization'!$A$1,database!$A$1:$J$1,),)</f>
        <v>78.242699999999999</v>
      </c>
      <c r="C237" s="68">
        <f>(VLOOKUP(A237,database!A:K,11,) - VLOOKUP(A225,database!A:K,11,))/VLOOKUP(A225,database!A:K,11,)</f>
        <v>2.3234200743494426E-2</v>
      </c>
    </row>
    <row r="238" spans="1:3" x14ac:dyDescent="0.35">
      <c r="A238" s="38">
        <v>31533</v>
      </c>
      <c r="B238" s="39">
        <f>VLOOKUP(Table8[[#This Row],[Month]],database!A:J,MATCH('Capacity Utilization'!$A$1,database!$A$1:$J$1,),)</f>
        <v>78.313699999999997</v>
      </c>
      <c r="C238" s="68">
        <f>(VLOOKUP(A238,database!A:K,11,) - VLOOKUP(A226,database!A:K,11,))/VLOOKUP(A226,database!A:K,11,)</f>
        <v>2.2263450834879461E-2</v>
      </c>
    </row>
    <row r="239" spans="1:3" x14ac:dyDescent="0.35">
      <c r="A239" s="38">
        <v>31564</v>
      </c>
      <c r="B239" s="39">
        <f>VLOOKUP(Table8[[#This Row],[Month]],database!A:J,MATCH('Capacity Utilization'!$A$1,database!$A$1:$J$1,),)</f>
        <v>77.9358</v>
      </c>
      <c r="C239" s="68">
        <f>(VLOOKUP(A239,database!A:K,11,) - VLOOKUP(A227,database!A:K,11,))/VLOOKUP(A227,database!A:K,11,)</f>
        <v>2.1256931608133061E-2</v>
      </c>
    </row>
    <row r="240" spans="1:3" x14ac:dyDescent="0.35">
      <c r="A240" s="38">
        <v>31594</v>
      </c>
      <c r="B240" s="39">
        <f>VLOOKUP(Table8[[#This Row],[Month]],database!A:J,MATCH('Capacity Utilization'!$A$1,database!$A$1:$J$1,),)</f>
        <v>78.334900000000005</v>
      </c>
      <c r="C240" s="68">
        <f>(VLOOKUP(A240,database!A:K,11,) - VLOOKUP(A228,database!A:K,11,))/VLOOKUP(A228,database!A:K,11,)</f>
        <v>2.1217712177121744E-2</v>
      </c>
    </row>
    <row r="241" spans="1:3" x14ac:dyDescent="0.35">
      <c r="A241" s="38">
        <v>31625</v>
      </c>
      <c r="B241" s="39">
        <f>VLOOKUP(Table8[[#This Row],[Month]],database!A:J,MATCH('Capacity Utilization'!$A$1,database!$A$1:$J$1,),)</f>
        <v>78.126300000000001</v>
      </c>
      <c r="C241" s="68">
        <f>(VLOOKUP(A241,database!A:K,11,) - VLOOKUP(A229,database!A:K,11,))/VLOOKUP(A229,database!A:K,11,)</f>
        <v>2.1198156682027625E-2</v>
      </c>
    </row>
    <row r="242" spans="1:3" x14ac:dyDescent="0.35">
      <c r="A242" s="38">
        <v>31656</v>
      </c>
      <c r="B242" s="39">
        <f>VLOOKUP(Table8[[#This Row],[Month]],database!A:J,MATCH('Capacity Utilization'!$A$1,database!$A$1:$J$1,),)</f>
        <v>78.251599999999996</v>
      </c>
      <c r="C242" s="68">
        <f>(VLOOKUP(A242,database!A:K,11,) - VLOOKUP(A230,database!A:K,11,))/VLOOKUP(A230,database!A:K,11,)</f>
        <v>2.5949953660797005E-2</v>
      </c>
    </row>
    <row r="243" spans="1:3" x14ac:dyDescent="0.35">
      <c r="A243" s="38">
        <v>31686</v>
      </c>
      <c r="B243" s="39">
        <f>VLOOKUP(Table8[[#This Row],[Month]],database!A:J,MATCH('Capacity Utilization'!$A$1,database!$A$1:$J$1,),)</f>
        <v>78.490700000000004</v>
      </c>
      <c r="C243" s="68">
        <f>(VLOOKUP(A243,database!A:K,11,) - VLOOKUP(A231,database!A:K,11,))/VLOOKUP(A231,database!A:K,11,)</f>
        <v>2.6629935720844732E-2</v>
      </c>
    </row>
    <row r="244" spans="1:3" x14ac:dyDescent="0.35">
      <c r="A244" s="38">
        <v>31717</v>
      </c>
      <c r="B244" s="39">
        <f>VLOOKUP(Table8[[#This Row],[Month]],database!A:J,MATCH('Capacity Utilization'!$A$1,database!$A$1:$J$1,),)</f>
        <v>78.694999999999993</v>
      </c>
      <c r="C244" s="68">
        <f>(VLOOKUP(A244,database!A:K,11,) - VLOOKUP(A232,database!A:K,11,))/VLOOKUP(A232,database!A:K,11,)</f>
        <v>2.6581118240146709E-2</v>
      </c>
    </row>
    <row r="245" spans="1:3" x14ac:dyDescent="0.35">
      <c r="A245" s="38">
        <v>31747</v>
      </c>
      <c r="B245" s="39">
        <f>VLOOKUP(Table8[[#This Row],[Month]],database!A:J,MATCH('Capacity Utilization'!$A$1,database!$A$1:$J$1,),)</f>
        <v>79.345200000000006</v>
      </c>
      <c r="C245" s="68">
        <f>(VLOOKUP(A245,database!A:K,11,) - VLOOKUP(A233,database!A:K,11,))/VLOOKUP(A233,database!A:K,11,)</f>
        <v>2.7497708524289646E-2</v>
      </c>
    </row>
    <row r="246" spans="1:3" x14ac:dyDescent="0.35">
      <c r="A246" s="38">
        <v>31778</v>
      </c>
      <c r="B246" s="39">
        <f>VLOOKUP(Table8[[#This Row],[Month]],database!A:J,MATCH('Capacity Utilization'!$A$1,database!$A$1:$J$1,),)</f>
        <v>78.916899999999998</v>
      </c>
      <c r="C246" s="68">
        <f>(VLOOKUP(A246,database!A:K,11,) - VLOOKUP(A234,database!A:K,11,))/VLOOKUP(A234,database!A:K,11,)</f>
        <v>2.9277218664226924E-2</v>
      </c>
    </row>
    <row r="247" spans="1:3" x14ac:dyDescent="0.35">
      <c r="A247" s="38">
        <v>31809</v>
      </c>
      <c r="B247" s="39">
        <f>VLOOKUP(Table8[[#This Row],[Month]],database!A:J,MATCH('Capacity Utilization'!$A$1,database!$A$1:$J$1,),)</f>
        <v>79.839799999999997</v>
      </c>
      <c r="C247" s="68">
        <f>(VLOOKUP(A247,database!A:K,11,) - VLOOKUP(A235,database!A:K,11,))/VLOOKUP(A235,database!A:K,11,)</f>
        <v>2.5570776255707736E-2</v>
      </c>
    </row>
    <row r="248" spans="1:3" x14ac:dyDescent="0.35">
      <c r="A248" s="38">
        <v>31837</v>
      </c>
      <c r="B248" s="39">
        <f>VLOOKUP(Table8[[#This Row],[Month]],database!A:J,MATCH('Capacity Utilization'!$A$1,database!$A$1:$J$1,),)</f>
        <v>79.799300000000002</v>
      </c>
      <c r="C248" s="68">
        <f>(VLOOKUP(A248,database!A:K,11,) - VLOOKUP(A236,database!A:K,11,))/VLOOKUP(A236,database!A:K,11,)</f>
        <v>2.5547445255474557E-2</v>
      </c>
    </row>
    <row r="249" spans="1:3" x14ac:dyDescent="0.35">
      <c r="A249" s="38">
        <v>31868</v>
      </c>
      <c r="B249" s="39">
        <f>VLOOKUP(Table8[[#This Row],[Month]],database!A:J,MATCH('Capacity Utilization'!$A$1,database!$A$1:$J$1,),)</f>
        <v>80.1614</v>
      </c>
      <c r="C249" s="68">
        <f>(VLOOKUP(A249,database!A:K,11,) - VLOOKUP(A237,database!A:K,11,))/VLOOKUP(A237,database!A:K,11,)</f>
        <v>2.5431425976385209E-2</v>
      </c>
    </row>
    <row r="250" spans="1:3" x14ac:dyDescent="0.35">
      <c r="A250" s="38">
        <v>31898</v>
      </c>
      <c r="B250" s="39">
        <f>VLOOKUP(Table8[[#This Row],[Month]],database!A:J,MATCH('Capacity Utilization'!$A$1,database!$A$1:$J$1,),)</f>
        <v>80.508499999999998</v>
      </c>
      <c r="C250" s="68">
        <f>(VLOOKUP(A250,database!A:K,11,) - VLOOKUP(A238,database!A:K,11,))/VLOOKUP(A238,database!A:K,11,)</f>
        <v>2.5408348457350245E-2</v>
      </c>
    </row>
    <row r="251" spans="1:3" x14ac:dyDescent="0.35">
      <c r="A251" s="38">
        <v>31929</v>
      </c>
      <c r="B251" s="39">
        <f>VLOOKUP(Table8[[#This Row],[Month]],database!A:J,MATCH('Capacity Utilization'!$A$1,database!$A$1:$J$1,),)</f>
        <v>80.782799999999995</v>
      </c>
      <c r="C251" s="68">
        <f>(VLOOKUP(A251,database!A:K,11,) - VLOOKUP(A239,database!A:K,11,))/VLOOKUP(A239,database!A:K,11,)</f>
        <v>2.352941176470583E-2</v>
      </c>
    </row>
    <row r="252" spans="1:3" x14ac:dyDescent="0.35">
      <c r="A252" s="38">
        <v>31959</v>
      </c>
      <c r="B252" s="39">
        <f>VLOOKUP(Table8[[#This Row],[Month]],database!A:J,MATCH('Capacity Utilization'!$A$1,database!$A$1:$J$1,),)</f>
        <v>81.172200000000004</v>
      </c>
      <c r="C252" s="68">
        <f>(VLOOKUP(A252,database!A:K,11,) - VLOOKUP(A240,database!A:K,11,))/VLOOKUP(A240,database!A:K,11,)</f>
        <v>2.3486901535681972E-2</v>
      </c>
    </row>
    <row r="253" spans="1:3" x14ac:dyDescent="0.35">
      <c r="A253" s="38">
        <v>31990</v>
      </c>
      <c r="B253" s="39">
        <f>VLOOKUP(Table8[[#This Row],[Month]],database!A:J,MATCH('Capacity Utilization'!$A$1,database!$A$1:$J$1,),)</f>
        <v>81.631699999999995</v>
      </c>
      <c r="C253" s="68">
        <f>(VLOOKUP(A253,database!A:K,11,) - VLOOKUP(A241,database!A:K,11,))/VLOOKUP(A241,database!A:K,11,)</f>
        <v>2.5270758122743656E-2</v>
      </c>
    </row>
    <row r="254" spans="1:3" x14ac:dyDescent="0.35">
      <c r="A254" s="38">
        <v>32021</v>
      </c>
      <c r="B254" s="39">
        <f>VLOOKUP(Table8[[#This Row],[Month]],database!A:J,MATCH('Capacity Utilization'!$A$1,database!$A$1:$J$1,),)</f>
        <v>81.8</v>
      </c>
      <c r="C254" s="68">
        <f>(VLOOKUP(A254,database!A:K,11,) - VLOOKUP(A242,database!A:K,11,))/VLOOKUP(A242,database!A:K,11,)</f>
        <v>2.8906955736224055E-2</v>
      </c>
    </row>
    <row r="255" spans="1:3" x14ac:dyDescent="0.35">
      <c r="A255" s="38">
        <v>32051</v>
      </c>
      <c r="B255" s="39">
        <f>VLOOKUP(Table8[[#This Row],[Month]],database!A:J,MATCH('Capacity Utilization'!$A$1,database!$A$1:$J$1,),)</f>
        <v>82.772900000000007</v>
      </c>
      <c r="C255" s="68">
        <f>(VLOOKUP(A255,database!A:K,11,) - VLOOKUP(A243,database!A:K,11,))/VLOOKUP(A243,database!A:K,11,)</f>
        <v>1.9677996422182494E-2</v>
      </c>
    </row>
    <row r="256" spans="1:3" x14ac:dyDescent="0.35">
      <c r="A256" s="38">
        <v>32082</v>
      </c>
      <c r="B256" s="39">
        <f>VLOOKUP(Table8[[#This Row],[Month]],database!A:J,MATCH('Capacity Utilization'!$A$1,database!$A$1:$J$1,),)</f>
        <v>83.077699999999993</v>
      </c>
      <c r="C256" s="68">
        <f>(VLOOKUP(A256,database!A:K,11,) - VLOOKUP(A244,database!A:K,11,))/VLOOKUP(A244,database!A:K,11,)</f>
        <v>1.9642857142857167E-2</v>
      </c>
    </row>
    <row r="257" spans="1:3" x14ac:dyDescent="0.35">
      <c r="A257" s="38">
        <v>32112</v>
      </c>
      <c r="B257" s="39">
        <f>VLOOKUP(Table8[[#This Row],[Month]],database!A:J,MATCH('Capacity Utilization'!$A$1,database!$A$1:$J$1,),)</f>
        <v>83.444999999999993</v>
      </c>
      <c r="C257" s="68">
        <f>(VLOOKUP(A257,database!A:K,11,) - VLOOKUP(A245,database!A:K,11,))/VLOOKUP(A245,database!A:K,11,)</f>
        <v>1.9625334522747572E-2</v>
      </c>
    </row>
    <row r="258" spans="1:3" x14ac:dyDescent="0.35">
      <c r="A258" s="38">
        <v>32143</v>
      </c>
      <c r="B258" s="39">
        <f>VLOOKUP(Table8[[#This Row],[Month]],database!A:J,MATCH('Capacity Utilization'!$A$1,database!$A$1:$J$1,),)</f>
        <v>83.342399999999998</v>
      </c>
      <c r="C258" s="68">
        <f>(VLOOKUP(A258,database!A:K,11,) - VLOOKUP(A246,database!A:K,11,))/VLOOKUP(A246,database!A:K,11,)</f>
        <v>2.2222222222222223E-2</v>
      </c>
    </row>
    <row r="259" spans="1:3" x14ac:dyDescent="0.35">
      <c r="A259" s="38">
        <v>32174</v>
      </c>
      <c r="B259" s="39">
        <f>VLOOKUP(Table8[[#This Row],[Month]],database!A:J,MATCH('Capacity Utilization'!$A$1,database!$A$1:$J$1,),)</f>
        <v>83.695999999999998</v>
      </c>
      <c r="C259" s="68">
        <f>(VLOOKUP(A259,database!A:K,11,) - VLOOKUP(A247,database!A:K,11,))/VLOOKUP(A247,database!A:K,11,)</f>
        <v>2.6714158504007126E-2</v>
      </c>
    </row>
    <row r="260" spans="1:3" x14ac:dyDescent="0.35">
      <c r="A260" s="38">
        <v>32203</v>
      </c>
      <c r="B260" s="39">
        <f>VLOOKUP(Table8[[#This Row],[Month]],database!A:J,MATCH('Capacity Utilization'!$A$1,database!$A$1:$J$1,),)</f>
        <v>83.822900000000004</v>
      </c>
      <c r="C260" s="68">
        <f>(VLOOKUP(A260,database!A:K,11,) - VLOOKUP(A248,database!A:K,11,))/VLOOKUP(A248,database!A:K,11,)</f>
        <v>2.8469750889679613E-2</v>
      </c>
    </row>
    <row r="261" spans="1:3" x14ac:dyDescent="0.35">
      <c r="A261" s="38">
        <v>32234</v>
      </c>
      <c r="B261" s="39">
        <f>VLOOKUP(Table8[[#This Row],[Month]],database!A:J,MATCH('Capacity Utilization'!$A$1,database!$A$1:$J$1,),)</f>
        <v>84.267200000000003</v>
      </c>
      <c r="C261" s="68">
        <f>(VLOOKUP(A261,database!A:K,11,) - VLOOKUP(A249,database!A:K,11,))/VLOOKUP(A249,database!A:K,11,)</f>
        <v>2.6572187776793623E-2</v>
      </c>
    </row>
    <row r="262" spans="1:3" x14ac:dyDescent="0.35">
      <c r="A262" s="38">
        <v>32264</v>
      </c>
      <c r="B262" s="39">
        <f>VLOOKUP(Table8[[#This Row],[Month]],database!A:J,MATCH('Capacity Utilization'!$A$1,database!$A$1:$J$1,),)</f>
        <v>84.078400000000002</v>
      </c>
      <c r="C262" s="68">
        <f>(VLOOKUP(A262,database!A:K,11,) - VLOOKUP(A250,database!A:K,11,))/VLOOKUP(A250,database!A:K,11,)</f>
        <v>2.8318584070796484E-2</v>
      </c>
    </row>
    <row r="263" spans="1:3" x14ac:dyDescent="0.35">
      <c r="A263" s="38">
        <v>32295</v>
      </c>
      <c r="B263" s="39">
        <f>VLOOKUP(Table8[[#This Row],[Month]],database!A:J,MATCH('Capacity Utilization'!$A$1,database!$A$1:$J$1,),)</f>
        <v>84.272900000000007</v>
      </c>
      <c r="C263" s="68">
        <f>(VLOOKUP(A263,database!A:K,11,) - VLOOKUP(A251,database!A:K,11,))/VLOOKUP(A251,database!A:K,11,)</f>
        <v>3.0946065428824051E-2</v>
      </c>
    </row>
    <row r="264" spans="1:3" x14ac:dyDescent="0.35">
      <c r="A264" s="38">
        <v>32325</v>
      </c>
      <c r="B264" s="39">
        <f>VLOOKUP(Table8[[#This Row],[Month]],database!A:J,MATCH('Capacity Utilization'!$A$1,database!$A$1:$J$1,),)</f>
        <v>84.257000000000005</v>
      </c>
      <c r="C264" s="68">
        <f>(VLOOKUP(A264,database!A:K,11,) - VLOOKUP(A252,database!A:K,11,))/VLOOKUP(A252,database!A:K,11,)</f>
        <v>3.4421888790820879E-2</v>
      </c>
    </row>
    <row r="265" spans="1:3" x14ac:dyDescent="0.35">
      <c r="A265" s="38">
        <v>32356</v>
      </c>
      <c r="B265" s="39">
        <f>VLOOKUP(Table8[[#This Row],[Month]],database!A:J,MATCH('Capacity Utilization'!$A$1,database!$A$1:$J$1,),)</f>
        <v>84.6494</v>
      </c>
      <c r="C265" s="68">
        <f>(VLOOKUP(A265,database!A:K,11,) - VLOOKUP(A253,database!A:K,11,))/VLOOKUP(A253,database!A:K,11,)</f>
        <v>3.6091549295774725E-2</v>
      </c>
    </row>
    <row r="266" spans="1:3" x14ac:dyDescent="0.35">
      <c r="A266" s="38">
        <v>32387</v>
      </c>
      <c r="B266" s="39">
        <f>VLOOKUP(Table8[[#This Row],[Month]],database!A:J,MATCH('Capacity Utilization'!$A$1,database!$A$1:$J$1,),)</f>
        <v>84.331900000000005</v>
      </c>
      <c r="C266" s="68">
        <f>(VLOOKUP(A266,database!A:K,11,) - VLOOKUP(A254,database!A:K,11,))/VLOOKUP(A254,database!A:K,11,)</f>
        <v>3.6874451273046428E-2</v>
      </c>
    </row>
    <row r="267" spans="1:3" x14ac:dyDescent="0.35">
      <c r="A267" s="38">
        <v>32417</v>
      </c>
      <c r="B267" s="39">
        <f>VLOOKUP(Table8[[#This Row],[Month]],database!A:J,MATCH('Capacity Utilization'!$A$1,database!$A$1:$J$1,),)</f>
        <v>84.643000000000001</v>
      </c>
      <c r="C267" s="68">
        <f>(VLOOKUP(A267,database!A:K,11,) - VLOOKUP(A255,database!A:K,11,))/VLOOKUP(A255,database!A:K,11,)</f>
        <v>3.8596491228070226E-2</v>
      </c>
    </row>
    <row r="268" spans="1:3" x14ac:dyDescent="0.35">
      <c r="A268" s="38">
        <v>32448</v>
      </c>
      <c r="B268" s="39">
        <f>VLOOKUP(Table8[[#This Row],[Month]],database!A:J,MATCH('Capacity Utilization'!$A$1,database!$A$1:$J$1,),)</f>
        <v>84.784199999999998</v>
      </c>
      <c r="C268" s="68">
        <f>(VLOOKUP(A268,database!A:K,11,) - VLOOKUP(A256,database!A:K,11,))/VLOOKUP(A256,database!A:K,11,)</f>
        <v>3.9404553415061293E-2</v>
      </c>
    </row>
    <row r="269" spans="1:3" x14ac:dyDescent="0.35">
      <c r="A269" s="38">
        <v>32478</v>
      </c>
      <c r="B269" s="39">
        <f>VLOOKUP(Table8[[#This Row],[Month]],database!A:J,MATCH('Capacity Utilization'!$A$1,database!$A$1:$J$1,),)</f>
        <v>85.064099999999996</v>
      </c>
      <c r="C269" s="68">
        <f>(VLOOKUP(A269,database!A:K,11,) - VLOOKUP(A257,database!A:K,11,))/VLOOKUP(A257,database!A:K,11,)</f>
        <v>4.2869641294838196E-2</v>
      </c>
    </row>
    <row r="270" spans="1:3" x14ac:dyDescent="0.35">
      <c r="A270" s="38">
        <v>32509</v>
      </c>
      <c r="B270" s="39">
        <f>VLOOKUP(Table8[[#This Row],[Month]],database!A:J,MATCH('Capacity Utilization'!$A$1,database!$A$1:$J$1,),)</f>
        <v>85.2256</v>
      </c>
      <c r="C270" s="68">
        <f>(VLOOKUP(A270,database!A:K,11,) - VLOOKUP(A258,database!A:K,11,))/VLOOKUP(A258,database!A:K,11,)</f>
        <v>4.2608695652173963E-2</v>
      </c>
    </row>
    <row r="271" spans="1:3" x14ac:dyDescent="0.35">
      <c r="A271" s="38">
        <v>32540</v>
      </c>
      <c r="B271" s="39">
        <f>VLOOKUP(Table8[[#This Row],[Month]],database!A:J,MATCH('Capacity Utilization'!$A$1,database!$A$1:$J$1,),)</f>
        <v>84.731099999999998</v>
      </c>
      <c r="C271" s="68">
        <f>(VLOOKUP(A271,database!A:K,11,) - VLOOKUP(A259,database!A:K,11,))/VLOOKUP(A259,database!A:K,11,)</f>
        <v>4.5099739809193434E-2</v>
      </c>
    </row>
    <row r="272" spans="1:3" x14ac:dyDescent="0.35">
      <c r="A272" s="38">
        <v>32568</v>
      </c>
      <c r="B272" s="39">
        <f>VLOOKUP(Table8[[#This Row],[Month]],database!A:J,MATCH('Capacity Utilization'!$A$1,database!$A$1:$J$1,),)</f>
        <v>84.813900000000004</v>
      </c>
      <c r="C272" s="68">
        <f>(VLOOKUP(A272,database!A:K,11,) - VLOOKUP(A260,database!A:K,11,))/VLOOKUP(A260,database!A:K,11,)</f>
        <v>4.4117647058823609E-2</v>
      </c>
    </row>
    <row r="273" spans="1:3" x14ac:dyDescent="0.35">
      <c r="A273" s="38">
        <v>32599</v>
      </c>
      <c r="B273" s="39">
        <f>VLOOKUP(Table8[[#This Row],[Month]],database!A:J,MATCH('Capacity Utilization'!$A$1,database!$A$1:$J$1,),)</f>
        <v>84.637200000000007</v>
      </c>
      <c r="C273" s="68">
        <f>(VLOOKUP(A273,database!A:K,11,) - VLOOKUP(A261,database!A:K,11,))/VLOOKUP(A261,database!A:K,11,)</f>
        <v>4.2277825711820462E-2</v>
      </c>
    </row>
    <row r="274" spans="1:3" x14ac:dyDescent="0.35">
      <c r="A274" s="38">
        <v>32629</v>
      </c>
      <c r="B274" s="39">
        <f>VLOOKUP(Table8[[#This Row],[Month]],database!A:J,MATCH('Capacity Utilization'!$A$1,database!$A$1:$J$1,),)</f>
        <v>84.006699999999995</v>
      </c>
      <c r="C274" s="68">
        <f>(VLOOKUP(A274,database!A:K,11,) - VLOOKUP(A262,database!A:K,11,))/VLOOKUP(A262,database!A:K,11,)</f>
        <v>4.6471600688468083E-2</v>
      </c>
    </row>
    <row r="275" spans="1:3" x14ac:dyDescent="0.35">
      <c r="A275" s="38">
        <v>32660</v>
      </c>
      <c r="B275" s="39">
        <f>VLOOKUP(Table8[[#This Row],[Month]],database!A:J,MATCH('Capacity Utilization'!$A$1,database!$A$1:$J$1,),)</f>
        <v>83.820499999999996</v>
      </c>
      <c r="C275" s="68">
        <f>(VLOOKUP(A275,database!A:K,11,) - VLOOKUP(A263,database!A:K,11,))/VLOOKUP(A263,database!A:K,11,)</f>
        <v>4.8027444253859422E-2</v>
      </c>
    </row>
    <row r="276" spans="1:3" x14ac:dyDescent="0.35">
      <c r="A276" s="38">
        <v>32690</v>
      </c>
      <c r="B276" s="39">
        <f>VLOOKUP(Table8[[#This Row],[Month]],database!A:J,MATCH('Capacity Utilization'!$A$1,database!$A$1:$J$1,),)</f>
        <v>82.828999999999994</v>
      </c>
      <c r="C276" s="68">
        <f>(VLOOKUP(A276,database!A:K,11,) - VLOOKUP(A264,database!A:K,11,))/VLOOKUP(A264,database!A:K,11,)</f>
        <v>4.1808873720136447E-2</v>
      </c>
    </row>
    <row r="277" spans="1:3" x14ac:dyDescent="0.35">
      <c r="A277" s="38">
        <v>32721</v>
      </c>
      <c r="B277" s="39">
        <f>VLOOKUP(Table8[[#This Row],[Month]],database!A:J,MATCH('Capacity Utilization'!$A$1,database!$A$1:$J$1,),)</f>
        <v>83.455200000000005</v>
      </c>
      <c r="C277" s="68">
        <f>(VLOOKUP(A277,database!A:K,11,) - VLOOKUP(A265,database!A:K,11,))/VLOOKUP(A265,database!A:K,11,)</f>
        <v>4.2480883602378929E-2</v>
      </c>
    </row>
    <row r="278" spans="1:3" x14ac:dyDescent="0.35">
      <c r="A278" s="38">
        <v>32752</v>
      </c>
      <c r="B278" s="39">
        <f>VLOOKUP(Table8[[#This Row],[Month]],database!A:J,MATCH('Capacity Utilization'!$A$1,database!$A$1:$J$1,),)</f>
        <v>82.974000000000004</v>
      </c>
      <c r="C278" s="68">
        <f>(VLOOKUP(A278,database!A:K,11,) - VLOOKUP(A266,database!A:K,11,))/VLOOKUP(A266,database!A:K,11,)</f>
        <v>4.2337002540220152E-2</v>
      </c>
    </row>
    <row r="279" spans="1:3" x14ac:dyDescent="0.35">
      <c r="A279" s="38">
        <v>32782</v>
      </c>
      <c r="B279" s="39">
        <f>VLOOKUP(Table8[[#This Row],[Month]],database!A:J,MATCH('Capacity Utilization'!$A$1,database!$A$1:$J$1,),)</f>
        <v>82.683199999999999</v>
      </c>
      <c r="C279" s="68">
        <f>(VLOOKUP(A279,database!A:K,11,) - VLOOKUP(A267,database!A:K,11,))/VLOOKUP(A267,database!A:K,11,)</f>
        <v>4.3074324324324273E-2</v>
      </c>
    </row>
    <row r="280" spans="1:3" x14ac:dyDescent="0.35">
      <c r="A280" s="38">
        <v>32813</v>
      </c>
      <c r="B280" s="39">
        <f>VLOOKUP(Table8[[#This Row],[Month]],database!A:J,MATCH('Capacity Utilization'!$A$1,database!$A$1:$J$1,),)</f>
        <v>82.757000000000005</v>
      </c>
      <c r="C280" s="68">
        <f>(VLOOKUP(A280,database!A:K,11,) - VLOOKUP(A268,database!A:K,11,))/VLOOKUP(A268,database!A:K,11,)</f>
        <v>4.3807919123841639E-2</v>
      </c>
    </row>
    <row r="281" spans="1:3" x14ac:dyDescent="0.35">
      <c r="A281" s="38">
        <v>32843</v>
      </c>
      <c r="B281" s="39">
        <f>VLOOKUP(Table8[[#This Row],[Month]],database!A:J,MATCH('Capacity Utilization'!$A$1,database!$A$1:$J$1,),)</f>
        <v>83.031999999999996</v>
      </c>
      <c r="C281" s="68">
        <f>(VLOOKUP(A281,database!A:K,11,) - VLOOKUP(A269,database!A:K,11,))/VLOOKUP(A269,database!A:K,11,)</f>
        <v>4.1946308724832217E-2</v>
      </c>
    </row>
    <row r="282" spans="1:3" x14ac:dyDescent="0.35">
      <c r="A282" s="38">
        <v>32874</v>
      </c>
      <c r="B282" s="39">
        <f>VLOOKUP(Table8[[#This Row],[Month]],database!A:J,MATCH('Capacity Utilization'!$A$1,database!$A$1:$J$1,),)</f>
        <v>82.392700000000005</v>
      </c>
      <c r="C282" s="68">
        <f>(VLOOKUP(A282,database!A:K,11,) - VLOOKUP(A270,database!A:K,11,))/VLOOKUP(A270,database!A:K,11,)</f>
        <v>3.8365304420350244E-2</v>
      </c>
    </row>
    <row r="283" spans="1:3" x14ac:dyDescent="0.35">
      <c r="A283" s="38">
        <v>32905</v>
      </c>
      <c r="B283" s="39">
        <f>VLOOKUP(Table8[[#This Row],[Month]],database!A:J,MATCH('Capacity Utilization'!$A$1,database!$A$1:$J$1,),)</f>
        <v>82.954700000000003</v>
      </c>
      <c r="C283" s="68">
        <f>(VLOOKUP(A283,database!A:K,11,) - VLOOKUP(A271,database!A:K,11,))/VLOOKUP(A271,database!A:K,11,)</f>
        <v>3.6514522821576807E-2</v>
      </c>
    </row>
    <row r="284" spans="1:3" x14ac:dyDescent="0.35">
      <c r="A284" s="38">
        <v>32933</v>
      </c>
      <c r="B284" s="39">
        <f>VLOOKUP(Table8[[#This Row],[Month]],database!A:J,MATCH('Capacity Utilization'!$A$1,database!$A$1:$J$1,),)</f>
        <v>83.171300000000002</v>
      </c>
      <c r="C284" s="68">
        <f>(VLOOKUP(A284,database!A:K,11,) - VLOOKUP(A272,database!A:K,11,))/VLOOKUP(A272,database!A:K,11,)</f>
        <v>3.8111019055509482E-2</v>
      </c>
    </row>
    <row r="285" spans="1:3" x14ac:dyDescent="0.35">
      <c r="A285" s="38">
        <v>32964</v>
      </c>
      <c r="B285" s="39">
        <f>VLOOKUP(Table8[[#This Row],[Month]],database!A:J,MATCH('Capacity Utilization'!$A$1,database!$A$1:$J$1,),)</f>
        <v>82.8172</v>
      </c>
      <c r="C285" s="68">
        <f>(VLOOKUP(A285,database!A:K,11,) - VLOOKUP(A273,database!A:K,11,))/VLOOKUP(A273,database!A:K,11,)</f>
        <v>3.8907284768211946E-2</v>
      </c>
    </row>
    <row r="286" spans="1:3" x14ac:dyDescent="0.35">
      <c r="A286" s="38">
        <v>32994</v>
      </c>
      <c r="B286" s="39">
        <f>VLOOKUP(Table8[[#This Row],[Month]],database!A:J,MATCH('Capacity Utilization'!$A$1,database!$A$1:$J$1,),)</f>
        <v>82.887299999999996</v>
      </c>
      <c r="C286" s="68">
        <f>(VLOOKUP(A286,database!A:K,11,) - VLOOKUP(A274,database!A:K,11,))/VLOOKUP(A274,database!A:K,11,)</f>
        <v>3.618421052631584E-2</v>
      </c>
    </row>
    <row r="287" spans="1:3" x14ac:dyDescent="0.35">
      <c r="A287" s="38">
        <v>33025</v>
      </c>
      <c r="B287" s="39">
        <f>VLOOKUP(Table8[[#This Row],[Month]],database!A:J,MATCH('Capacity Utilization'!$A$1,database!$A$1:$J$1,),)</f>
        <v>82.996499999999997</v>
      </c>
      <c r="C287" s="68">
        <f>(VLOOKUP(A287,database!A:K,11,) - VLOOKUP(A275,database!A:K,11,))/VLOOKUP(A275,database!A:K,11,)</f>
        <v>3.436988543371524E-2</v>
      </c>
    </row>
    <row r="288" spans="1:3" x14ac:dyDescent="0.35">
      <c r="A288" s="38">
        <v>33055</v>
      </c>
      <c r="B288" s="39">
        <f>VLOOKUP(Table8[[#This Row],[Month]],database!A:J,MATCH('Capacity Utilization'!$A$1,database!$A$1:$J$1,),)</f>
        <v>82.719200000000001</v>
      </c>
      <c r="C288" s="68">
        <f>(VLOOKUP(A288,database!A:K,11,) - VLOOKUP(A276,database!A:K,11,))/VLOOKUP(A276,database!A:K,11,)</f>
        <v>3.6855036855036855E-2</v>
      </c>
    </row>
    <row r="289" spans="1:3" x14ac:dyDescent="0.35">
      <c r="A289" s="38">
        <v>33086</v>
      </c>
      <c r="B289" s="39">
        <f>VLOOKUP(Table8[[#This Row],[Month]],database!A:J,MATCH('Capacity Utilization'!$A$1,database!$A$1:$J$1,),)</f>
        <v>82.887</v>
      </c>
      <c r="C289" s="68">
        <f>(VLOOKUP(A289,database!A:K,11,) - VLOOKUP(A277,database!A:K,11,))/VLOOKUP(A277,database!A:K,11,)</f>
        <v>3.5859820700896425E-2</v>
      </c>
    </row>
    <row r="290" spans="1:3" x14ac:dyDescent="0.35">
      <c r="A290" s="38">
        <v>33117</v>
      </c>
      <c r="B290" s="39">
        <f>VLOOKUP(Table8[[#This Row],[Month]],database!A:J,MATCH('Capacity Utilization'!$A$1,database!$A$1:$J$1,),)</f>
        <v>82.772999999999996</v>
      </c>
      <c r="C290" s="68">
        <f>(VLOOKUP(A290,database!A:K,11,) - VLOOKUP(A278,database!A:K,11,))/VLOOKUP(A278,database!A:K,11,)</f>
        <v>3.736799350121859E-2</v>
      </c>
    </row>
    <row r="291" spans="1:3" x14ac:dyDescent="0.35">
      <c r="A291" s="38">
        <v>33147</v>
      </c>
      <c r="B291" s="39">
        <f>VLOOKUP(Table8[[#This Row],[Month]],database!A:J,MATCH('Capacity Utilization'!$A$1,database!$A$1:$J$1,),)</f>
        <v>82.150999999999996</v>
      </c>
      <c r="C291" s="68">
        <f>(VLOOKUP(A291,database!A:K,11,) - VLOOKUP(A279,database!A:K,11,))/VLOOKUP(A279,database!A:K,11,)</f>
        <v>3.643724696356275E-2</v>
      </c>
    </row>
    <row r="292" spans="1:3" x14ac:dyDescent="0.35">
      <c r="A292" s="38">
        <v>33178</v>
      </c>
      <c r="B292" s="39">
        <f>VLOOKUP(Table8[[#This Row],[Month]],database!A:J,MATCH('Capacity Utilization'!$A$1,database!$A$1:$J$1,),)</f>
        <v>81.0261</v>
      </c>
      <c r="C292" s="68">
        <f>(VLOOKUP(A292,database!A:K,11,) - VLOOKUP(A280,database!A:K,11,))/VLOOKUP(A280,database!A:K,11,)</f>
        <v>3.6319612590799029E-2</v>
      </c>
    </row>
    <row r="293" spans="1:3" x14ac:dyDescent="0.35">
      <c r="A293" s="38">
        <v>33208</v>
      </c>
      <c r="B293" s="39">
        <f>VLOOKUP(Table8[[#This Row],[Month]],database!A:J,MATCH('Capacity Utilization'!$A$1,database!$A$1:$J$1,),)</f>
        <v>80.363699999999994</v>
      </c>
      <c r="C293" s="68">
        <f>(VLOOKUP(A293,database!A:K,11,) - VLOOKUP(A281,database!A:K,11,))/VLOOKUP(A281,database!A:K,11,)</f>
        <v>3.542673107890492E-2</v>
      </c>
    </row>
    <row r="294" spans="1:3" x14ac:dyDescent="0.35">
      <c r="A294" s="38">
        <v>33239</v>
      </c>
      <c r="B294" s="39">
        <f>VLOOKUP(Table8[[#This Row],[Month]],database!A:J,MATCH('Capacity Utilization'!$A$1,database!$A$1:$J$1,),)</f>
        <v>80.001499999999993</v>
      </c>
      <c r="C294" s="68">
        <f>(VLOOKUP(A294,database!A:K,11,) - VLOOKUP(A282,database!A:K,11,))/VLOOKUP(A282,database!A:K,11,)</f>
        <v>4.0160642570281124E-2</v>
      </c>
    </row>
    <row r="295" spans="1:3" x14ac:dyDescent="0.35">
      <c r="A295" s="38">
        <v>33270</v>
      </c>
      <c r="B295" s="39">
        <f>VLOOKUP(Table8[[#This Row],[Month]],database!A:J,MATCH('Capacity Utilization'!$A$1,database!$A$1:$J$1,),)</f>
        <v>79.339600000000004</v>
      </c>
      <c r="C295" s="68">
        <f>(VLOOKUP(A295,database!A:K,11,) - VLOOKUP(A283,database!A:K,11,))/VLOOKUP(A283,database!A:K,11,)</f>
        <v>3.9231385108086513E-2</v>
      </c>
    </row>
    <row r="296" spans="1:3" x14ac:dyDescent="0.35">
      <c r="A296" s="38">
        <v>33298</v>
      </c>
      <c r="B296" s="39">
        <f>VLOOKUP(Table8[[#This Row],[Month]],database!A:J,MATCH('Capacity Utilization'!$A$1,database!$A$1:$J$1,),)</f>
        <v>78.818700000000007</v>
      </c>
      <c r="C296" s="68">
        <f>(VLOOKUP(A296,database!A:K,11,) - VLOOKUP(A284,database!A:K,11,))/VLOOKUP(A284,database!A:K,11,)</f>
        <v>3.8308060654429349E-2</v>
      </c>
    </row>
    <row r="297" spans="1:3" x14ac:dyDescent="0.35">
      <c r="A297" s="38">
        <v>33329</v>
      </c>
      <c r="B297" s="39">
        <f>VLOOKUP(Table8[[#This Row],[Month]],database!A:J,MATCH('Capacity Utilization'!$A$1,database!$A$1:$J$1,),)</f>
        <v>78.954999999999998</v>
      </c>
      <c r="C297" s="68">
        <f>(VLOOKUP(A297,database!A:K,11,) - VLOOKUP(A285,database!A:K,11,))/VLOOKUP(A285,database!A:K,11,)</f>
        <v>3.9043824701195266E-2</v>
      </c>
    </row>
    <row r="298" spans="1:3" x14ac:dyDescent="0.35">
      <c r="A298" s="38">
        <v>33359</v>
      </c>
      <c r="B298" s="39">
        <f>VLOOKUP(Table8[[#This Row],[Month]],database!A:J,MATCH('Capacity Utilization'!$A$1,database!$A$1:$J$1,),)</f>
        <v>79.670500000000004</v>
      </c>
      <c r="C298" s="68">
        <f>(VLOOKUP(A298,database!A:K,11,) - VLOOKUP(A286,database!A:K,11,))/VLOOKUP(A286,database!A:K,11,)</f>
        <v>3.6507936507936462E-2</v>
      </c>
    </row>
    <row r="299" spans="1:3" x14ac:dyDescent="0.35">
      <c r="A299" s="38">
        <v>33390</v>
      </c>
      <c r="B299" s="39">
        <f>VLOOKUP(Table8[[#This Row],[Month]],database!A:J,MATCH('Capacity Utilization'!$A$1,database!$A$1:$J$1,),)</f>
        <v>80.229100000000003</v>
      </c>
      <c r="C299" s="68">
        <f>(VLOOKUP(A299,database!A:K,11,) - VLOOKUP(A287,database!A:K,11,))/VLOOKUP(A287,database!A:K,11,)</f>
        <v>3.4018987341772014E-2</v>
      </c>
    </row>
    <row r="300" spans="1:3" x14ac:dyDescent="0.35">
      <c r="A300" s="38">
        <v>33420</v>
      </c>
      <c r="B300" s="39">
        <f>VLOOKUP(Table8[[#This Row],[Month]],database!A:J,MATCH('Capacity Utilization'!$A$1,database!$A$1:$J$1,),)</f>
        <v>80.362700000000004</v>
      </c>
      <c r="C300" s="68">
        <f>(VLOOKUP(A300,database!A:K,11,) - VLOOKUP(A288,database!A:K,11,))/VLOOKUP(A288,database!A:K,11,)</f>
        <v>3.4755134281200681E-2</v>
      </c>
    </row>
    <row r="301" spans="1:3" x14ac:dyDescent="0.35">
      <c r="A301" s="38">
        <v>33451</v>
      </c>
      <c r="B301" s="39">
        <f>VLOOKUP(Table8[[#This Row],[Month]],database!A:J,MATCH('Capacity Utilization'!$A$1,database!$A$1:$J$1,),)</f>
        <v>80.290700000000001</v>
      </c>
      <c r="C301" s="68">
        <f>(VLOOKUP(A301,database!A:K,11,) - VLOOKUP(A289,database!A:K,11,))/VLOOKUP(A289,database!A:K,11,)</f>
        <v>3.304484657749817E-2</v>
      </c>
    </row>
    <row r="302" spans="1:3" x14ac:dyDescent="0.35">
      <c r="A302" s="38">
        <v>33482</v>
      </c>
      <c r="B302" s="39">
        <f>VLOOKUP(Table8[[#This Row],[Month]],database!A:J,MATCH('Capacity Utilization'!$A$1,database!$A$1:$J$1,),)</f>
        <v>80.8673</v>
      </c>
      <c r="C302" s="68">
        <f>(VLOOKUP(A302,database!A:K,11,) - VLOOKUP(A290,database!A:K,11,))/VLOOKUP(A290,database!A:K,11,)</f>
        <v>3.2106499608457385E-2</v>
      </c>
    </row>
    <row r="303" spans="1:3" x14ac:dyDescent="0.35">
      <c r="A303" s="38">
        <v>33512</v>
      </c>
      <c r="B303" s="39">
        <f>VLOOKUP(Table8[[#This Row],[Month]],database!A:J,MATCH('Capacity Utilization'!$A$1,database!$A$1:$J$1,),)</f>
        <v>80.6828</v>
      </c>
      <c r="C303" s="68">
        <f>(VLOOKUP(A303,database!A:K,11,) - VLOOKUP(A291,database!A:K,11,))/VLOOKUP(A291,database!A:K,11,)</f>
        <v>3.3593750000000089E-2</v>
      </c>
    </row>
    <row r="304" spans="1:3" x14ac:dyDescent="0.35">
      <c r="A304" s="38">
        <v>33543</v>
      </c>
      <c r="B304" s="39">
        <f>VLOOKUP(Table8[[#This Row],[Month]],database!A:J,MATCH('Capacity Utilization'!$A$1,database!$A$1:$J$1,),)</f>
        <v>80.4666</v>
      </c>
      <c r="C304" s="68">
        <f>(VLOOKUP(A304,database!A:K,11,) - VLOOKUP(A292,database!A:K,11,))/VLOOKUP(A292,database!A:K,11,)</f>
        <v>3.1931464174454784E-2</v>
      </c>
    </row>
    <row r="305" spans="1:3" x14ac:dyDescent="0.35">
      <c r="A305" s="38">
        <v>33573</v>
      </c>
      <c r="B305" s="39">
        <f>VLOOKUP(Table8[[#This Row],[Month]],database!A:J,MATCH('Capacity Utilization'!$A$1,database!$A$1:$J$1,),)</f>
        <v>79.994100000000003</v>
      </c>
      <c r="C305" s="68">
        <f>(VLOOKUP(A305,database!A:K,11,) - VLOOKUP(A293,database!A:K,11,))/VLOOKUP(A293,database!A:K,11,)</f>
        <v>3.110419906687403E-2</v>
      </c>
    </row>
    <row r="306" spans="1:3" x14ac:dyDescent="0.35">
      <c r="A306" s="38">
        <v>33604</v>
      </c>
      <c r="B306" s="39">
        <f>VLOOKUP(Table8[[#This Row],[Month]],database!A:J,MATCH('Capacity Utilization'!$A$1,database!$A$1:$J$1,),)</f>
        <v>79.430400000000006</v>
      </c>
      <c r="C306" s="68">
        <f>(VLOOKUP(A306,database!A:K,11,) - VLOOKUP(A294,database!A:K,11,))/VLOOKUP(A294,database!A:K,11,)</f>
        <v>2.7027027027027029E-2</v>
      </c>
    </row>
    <row r="307" spans="1:3" x14ac:dyDescent="0.35">
      <c r="A307" s="38">
        <v>33635</v>
      </c>
      <c r="B307" s="39">
        <f>VLOOKUP(Table8[[#This Row],[Month]],database!A:J,MATCH('Capacity Utilization'!$A$1,database!$A$1:$J$1,),)</f>
        <v>79.836200000000005</v>
      </c>
      <c r="C307" s="68">
        <f>(VLOOKUP(A307,database!A:K,11,) - VLOOKUP(A295,database!A:K,11,))/VLOOKUP(A295,database!A:K,11,)</f>
        <v>2.5423728813559188E-2</v>
      </c>
    </row>
    <row r="308" spans="1:3" x14ac:dyDescent="0.35">
      <c r="A308" s="38">
        <v>33664</v>
      </c>
      <c r="B308" s="39">
        <f>VLOOKUP(Table8[[#This Row],[Month]],database!A:J,MATCH('Capacity Utilization'!$A$1,database!$A$1:$J$1,),)</f>
        <v>80.338800000000006</v>
      </c>
      <c r="C308" s="68">
        <f>(VLOOKUP(A308,database!A:K,11,) - VLOOKUP(A296,database!A:K,11,))/VLOOKUP(A296,database!A:K,11,)</f>
        <v>2.5365103766333677E-2</v>
      </c>
    </row>
    <row r="309" spans="1:3" x14ac:dyDescent="0.35">
      <c r="A309" s="38">
        <v>33695</v>
      </c>
      <c r="B309" s="39">
        <f>VLOOKUP(Table8[[#This Row],[Month]],database!A:J,MATCH('Capacity Utilization'!$A$1,database!$A$1:$J$1,),)</f>
        <v>80.782300000000006</v>
      </c>
      <c r="C309" s="68">
        <f>(VLOOKUP(A309,database!A:K,11,) - VLOOKUP(A297,database!A:K,11,))/VLOOKUP(A297,database!A:K,11,)</f>
        <v>2.6073619631901884E-2</v>
      </c>
    </row>
    <row r="310" spans="1:3" x14ac:dyDescent="0.35">
      <c r="A310" s="38">
        <v>33725</v>
      </c>
      <c r="B310" s="39">
        <f>VLOOKUP(Table8[[#This Row],[Month]],database!A:J,MATCH('Capacity Utilization'!$A$1,database!$A$1:$J$1,),)</f>
        <v>80.868600000000001</v>
      </c>
      <c r="C310" s="68">
        <f>(VLOOKUP(A310,database!A:K,11,) - VLOOKUP(A298,database!A:K,11,))/VLOOKUP(A298,database!A:K,11,)</f>
        <v>2.8330781010719886E-2</v>
      </c>
    </row>
    <row r="311" spans="1:3" x14ac:dyDescent="0.35">
      <c r="A311" s="38">
        <v>33756</v>
      </c>
      <c r="B311" s="39">
        <f>VLOOKUP(Table8[[#This Row],[Month]],database!A:J,MATCH('Capacity Utilization'!$A$1,database!$A$1:$J$1,),)</f>
        <v>80.734700000000004</v>
      </c>
      <c r="C311" s="68">
        <f>(VLOOKUP(A311,database!A:K,11,) - VLOOKUP(A299,database!A:K,11,))/VLOOKUP(A299,database!A:K,11,)</f>
        <v>2.6013771996939602E-2</v>
      </c>
    </row>
    <row r="312" spans="1:3" x14ac:dyDescent="0.35">
      <c r="A312" s="38">
        <v>33786</v>
      </c>
      <c r="B312" s="39">
        <f>VLOOKUP(Table8[[#This Row],[Month]],database!A:J,MATCH('Capacity Utilization'!$A$1,database!$A$1:$J$1,),)</f>
        <v>81.278800000000004</v>
      </c>
      <c r="C312" s="68">
        <f>(VLOOKUP(A312,database!A:K,11,) - VLOOKUP(A300,database!A:K,11,))/VLOOKUP(A300,database!A:K,11,)</f>
        <v>2.5190839694656575E-2</v>
      </c>
    </row>
    <row r="313" spans="1:3" x14ac:dyDescent="0.35">
      <c r="A313" s="38">
        <v>33817</v>
      </c>
      <c r="B313" s="39">
        <f>VLOOKUP(Table8[[#This Row],[Month]],database!A:J,MATCH('Capacity Utilization'!$A$1,database!$A$1:$J$1,),)</f>
        <v>80.653499999999994</v>
      </c>
      <c r="C313" s="68">
        <f>(VLOOKUP(A313,database!A:K,11,) - VLOOKUP(A301,database!A:K,11,))/VLOOKUP(A301,database!A:K,11,)</f>
        <v>2.2848438690022847E-2</v>
      </c>
    </row>
    <row r="314" spans="1:3" x14ac:dyDescent="0.35">
      <c r="A314" s="38">
        <v>33848</v>
      </c>
      <c r="B314" s="39">
        <f>VLOOKUP(Table8[[#This Row],[Month]],database!A:J,MATCH('Capacity Utilization'!$A$1,database!$A$1:$J$1,),)</f>
        <v>80.738399999999999</v>
      </c>
      <c r="C314" s="68">
        <f>(VLOOKUP(A314,database!A:K,11,) - VLOOKUP(A302,database!A:K,11,))/VLOOKUP(A302,database!A:K,11,)</f>
        <v>2.1244309559939171E-2</v>
      </c>
    </row>
    <row r="315" spans="1:3" x14ac:dyDescent="0.35">
      <c r="A315" s="38">
        <v>33878</v>
      </c>
      <c r="B315" s="39">
        <f>VLOOKUP(Table8[[#This Row],[Month]],database!A:J,MATCH('Capacity Utilization'!$A$1,database!$A$1:$J$1,),)</f>
        <v>81.125600000000006</v>
      </c>
      <c r="C315" s="68">
        <f>(VLOOKUP(A315,database!A:K,11,) - VLOOKUP(A303,database!A:K,11,))/VLOOKUP(A303,database!A:K,11,)</f>
        <v>1.9652305366591037E-2</v>
      </c>
    </row>
    <row r="316" spans="1:3" x14ac:dyDescent="0.35">
      <c r="A316" s="38">
        <v>33909</v>
      </c>
      <c r="B316" s="39">
        <f>VLOOKUP(Table8[[#This Row],[Month]],database!A:J,MATCH('Capacity Utilization'!$A$1,database!$A$1:$J$1,),)</f>
        <v>81.297300000000007</v>
      </c>
      <c r="C316" s="68">
        <f>(VLOOKUP(A316,database!A:K,11,) - VLOOKUP(A304,database!A:K,11,))/VLOOKUP(A304,database!A:K,11,)</f>
        <v>1.9622641509433918E-2</v>
      </c>
    </row>
    <row r="317" spans="1:3" x14ac:dyDescent="0.35">
      <c r="A317" s="38">
        <v>33939</v>
      </c>
      <c r="B317" s="39">
        <f>VLOOKUP(Table8[[#This Row],[Month]],database!A:J,MATCH('Capacity Utilization'!$A$1,database!$A$1:$J$1,),)</f>
        <v>81.280100000000004</v>
      </c>
      <c r="C317" s="68">
        <f>(VLOOKUP(A317,database!A:K,11,) - VLOOKUP(A305,database!A:K,11,))/VLOOKUP(A305,database!A:K,11,)</f>
        <v>1.960784313725486E-2</v>
      </c>
    </row>
    <row r="318" spans="1:3" x14ac:dyDescent="0.35">
      <c r="A318" s="38">
        <v>33970</v>
      </c>
      <c r="B318" s="39">
        <f>VLOOKUP(Table8[[#This Row],[Month]],database!A:J,MATCH('Capacity Utilization'!$A$1,database!$A$1:$J$1,),)</f>
        <v>81.463200000000001</v>
      </c>
      <c r="C318" s="68">
        <f>(VLOOKUP(A318,database!A:K,11,) - VLOOKUP(A306,database!A:K,11,))/VLOOKUP(A306,database!A:K,11,)</f>
        <v>1.9548872180451086E-2</v>
      </c>
    </row>
    <row r="319" spans="1:3" x14ac:dyDescent="0.35">
      <c r="A319" s="38">
        <v>34001</v>
      </c>
      <c r="B319" s="39">
        <f>VLOOKUP(Table8[[#This Row],[Month]],database!A:J,MATCH('Capacity Utilization'!$A$1,database!$A$1:$J$1,),)</f>
        <v>81.715699999999998</v>
      </c>
      <c r="C319" s="68">
        <f>(VLOOKUP(A319,database!A:K,11,) - VLOOKUP(A307,database!A:K,11,))/VLOOKUP(A307,database!A:K,11,)</f>
        <v>2.1036814425244264E-2</v>
      </c>
    </row>
    <row r="320" spans="1:3" x14ac:dyDescent="0.35">
      <c r="A320" s="38">
        <v>34029</v>
      </c>
      <c r="B320" s="39">
        <f>VLOOKUP(Table8[[#This Row],[Month]],database!A:J,MATCH('Capacity Utilization'!$A$1,database!$A$1:$J$1,),)</f>
        <v>81.510499999999993</v>
      </c>
      <c r="C320" s="68">
        <f>(VLOOKUP(A320,database!A:K,11,) - VLOOKUP(A308,database!A:K,11,))/VLOOKUP(A308,database!A:K,11,)</f>
        <v>2.023988005996993E-2</v>
      </c>
    </row>
    <row r="321" spans="1:3" x14ac:dyDescent="0.35">
      <c r="A321" s="38">
        <v>34060</v>
      </c>
      <c r="B321" s="39">
        <f>VLOOKUP(Table8[[#This Row],[Month]],database!A:J,MATCH('Capacity Utilization'!$A$1,database!$A$1:$J$1,),)</f>
        <v>81.624300000000005</v>
      </c>
      <c r="C321" s="68">
        <f>(VLOOKUP(A321,database!A:K,11,) - VLOOKUP(A309,database!A:K,11,))/VLOOKUP(A309,database!A:K,11,)</f>
        <v>2.017937219730933E-2</v>
      </c>
    </row>
    <row r="322" spans="1:3" x14ac:dyDescent="0.35">
      <c r="A322" s="38">
        <v>34090</v>
      </c>
      <c r="B322" s="39">
        <f>VLOOKUP(Table8[[#This Row],[Month]],database!A:J,MATCH('Capacity Utilization'!$A$1,database!$A$1:$J$1,),)</f>
        <v>81.180499999999995</v>
      </c>
      <c r="C322" s="68">
        <f>(VLOOKUP(A322,database!A:K,11,) - VLOOKUP(A310,database!A:K,11,))/VLOOKUP(A310,database!A:K,11,)</f>
        <v>1.712583767684276E-2</v>
      </c>
    </row>
    <row r="323" spans="1:3" x14ac:dyDescent="0.35">
      <c r="A323" s="38">
        <v>34121</v>
      </c>
      <c r="B323" s="39">
        <f>VLOOKUP(Table8[[#This Row],[Month]],database!A:J,MATCH('Capacity Utilization'!$A$1,database!$A$1:$J$1,),)</f>
        <v>81.256399999999999</v>
      </c>
      <c r="C323" s="68">
        <f>(VLOOKUP(A323,database!A:K,11,) - VLOOKUP(A311,database!A:K,11,))/VLOOKUP(A311,database!A:K,11,)</f>
        <v>1.7151379567487034E-2</v>
      </c>
    </row>
    <row r="324" spans="1:3" x14ac:dyDescent="0.35">
      <c r="A324" s="38">
        <v>34151</v>
      </c>
      <c r="B324" s="39">
        <f>VLOOKUP(Table8[[#This Row],[Month]],database!A:J,MATCH('Capacity Utilization'!$A$1,database!$A$1:$J$1,),)</f>
        <v>81.332099999999997</v>
      </c>
      <c r="C324" s="68">
        <f>(VLOOKUP(A324,database!A:K,11,) - VLOOKUP(A312,database!A:K,11,))/VLOOKUP(A312,database!A:K,11,)</f>
        <v>1.712583767684276E-2</v>
      </c>
    </row>
    <row r="325" spans="1:3" x14ac:dyDescent="0.35">
      <c r="A325" s="38">
        <v>34182</v>
      </c>
      <c r="B325" s="39">
        <f>VLOOKUP(Table8[[#This Row],[Month]],database!A:J,MATCH('Capacity Utilization'!$A$1,database!$A$1:$J$1,),)</f>
        <v>81.130200000000002</v>
      </c>
      <c r="C325" s="68">
        <f>(VLOOKUP(A325,database!A:K,11,) - VLOOKUP(A313,database!A:K,11,))/VLOOKUP(A313,database!A:K,11,)</f>
        <v>4.4676098287415806E-3</v>
      </c>
    </row>
    <row r="326" spans="1:3" x14ac:dyDescent="0.35">
      <c r="A326" s="38">
        <v>34213</v>
      </c>
      <c r="B326" s="39">
        <f>VLOOKUP(Table8[[#This Row],[Month]],database!A:J,MATCH('Capacity Utilization'!$A$1,database!$A$1:$J$1,),)</f>
        <v>81.410600000000002</v>
      </c>
      <c r="C326" s="68">
        <f>(VLOOKUP(A326,database!A:K,11,) - VLOOKUP(A314,database!A:K,11,))/VLOOKUP(A314,database!A:K,11,)</f>
        <v>2.2288261515602628E-3</v>
      </c>
    </row>
    <row r="327" spans="1:3" x14ac:dyDescent="0.35">
      <c r="A327" s="38">
        <v>34243</v>
      </c>
      <c r="B327" s="39">
        <f>VLOOKUP(Table8[[#This Row],[Month]],database!A:J,MATCH('Capacity Utilization'!$A$1,database!$A$1:$J$1,),)</f>
        <v>81.869100000000003</v>
      </c>
      <c r="C327" s="68">
        <f>(VLOOKUP(A327,database!A:K,11,) - VLOOKUP(A315,database!A:K,11,))/VLOOKUP(A315,database!A:K,11,)</f>
        <v>7.4128984432909049E-4</v>
      </c>
    </row>
    <row r="328" spans="1:3" x14ac:dyDescent="0.35">
      <c r="A328" s="38">
        <v>34274</v>
      </c>
      <c r="B328" s="39">
        <f>VLOOKUP(Table8[[#This Row],[Month]],database!A:J,MATCH('Capacity Utilization'!$A$1,database!$A$1:$J$1,),)</f>
        <v>82.099900000000005</v>
      </c>
      <c r="C328" s="68">
        <f>(VLOOKUP(A328,database!A:K,11,) - VLOOKUP(A316,database!A:K,11,))/VLOOKUP(A316,database!A:K,11,)</f>
        <v>1.4803849000741456E-3</v>
      </c>
    </row>
    <row r="329" spans="1:3" x14ac:dyDescent="0.35">
      <c r="A329" s="38">
        <v>34304</v>
      </c>
      <c r="B329" s="39">
        <f>VLOOKUP(Table8[[#This Row],[Month]],database!A:J,MATCH('Capacity Utilization'!$A$1,database!$A$1:$J$1,),)</f>
        <v>82.392399999999995</v>
      </c>
      <c r="C329" s="68">
        <f>(VLOOKUP(A329,database!A:K,11,) - VLOOKUP(A317,database!A:K,11,))/VLOOKUP(A317,database!A:K,11,)</f>
        <v>3.6982248520710062E-3</v>
      </c>
    </row>
    <row r="330" spans="1:3" x14ac:dyDescent="0.35">
      <c r="A330" s="38">
        <v>34335</v>
      </c>
      <c r="B330" s="39">
        <f>VLOOKUP(Table8[[#This Row],[Month]],database!A:J,MATCH('Capacity Utilization'!$A$1,database!$A$1:$J$1,),)</f>
        <v>82.472099999999998</v>
      </c>
      <c r="C330" s="68">
        <f>(VLOOKUP(A330,database!A:K,11,) - VLOOKUP(A318,database!A:K,11,))/VLOOKUP(A318,database!A:K,11,)</f>
        <v>5.1622418879057304E-3</v>
      </c>
    </row>
    <row r="331" spans="1:3" x14ac:dyDescent="0.35">
      <c r="A331" s="38">
        <v>34366</v>
      </c>
      <c r="B331" s="39">
        <f>VLOOKUP(Table8[[#This Row],[Month]],database!A:J,MATCH('Capacity Utilization'!$A$1,database!$A$1:$J$1,),)</f>
        <v>82.335700000000003</v>
      </c>
      <c r="C331" s="68">
        <f>(VLOOKUP(A331,database!A:K,11,) - VLOOKUP(A319,database!A:K,11,))/VLOOKUP(A319,database!A:K,11,)</f>
        <v>2.9433406916851042E-3</v>
      </c>
    </row>
    <row r="332" spans="1:3" x14ac:dyDescent="0.35">
      <c r="A332" s="38">
        <v>34394</v>
      </c>
      <c r="B332" s="39">
        <f>VLOOKUP(Table8[[#This Row],[Month]],database!A:J,MATCH('Capacity Utilization'!$A$1,database!$A$1:$J$1,),)</f>
        <v>82.947199999999995</v>
      </c>
      <c r="C332" s="68">
        <f>(VLOOKUP(A332,database!A:K,11,) - VLOOKUP(A320,database!A:K,11,))/VLOOKUP(A320,database!A:K,11,)</f>
        <v>2.2042615723733387E-3</v>
      </c>
    </row>
    <row r="333" spans="1:3" x14ac:dyDescent="0.35">
      <c r="A333" s="38">
        <v>34425</v>
      </c>
      <c r="B333" s="39">
        <f>VLOOKUP(Table8[[#This Row],[Month]],database!A:J,MATCH('Capacity Utilization'!$A$1,database!$A$1:$J$1,),)</f>
        <v>83.213300000000004</v>
      </c>
      <c r="C333" s="68">
        <f>(VLOOKUP(A333,database!A:K,11,) - VLOOKUP(A321,database!A:K,11,))/VLOOKUP(A321,database!A:K,11,)</f>
        <v>7.3260073260069097E-4</v>
      </c>
    </row>
    <row r="334" spans="1:3" x14ac:dyDescent="0.35">
      <c r="A334" s="38">
        <v>34455</v>
      </c>
      <c r="B334" s="39">
        <f>VLOOKUP(Table8[[#This Row],[Month]],database!A:J,MATCH('Capacity Utilization'!$A$1,database!$A$1:$J$1,),)</f>
        <v>83.366399999999999</v>
      </c>
      <c r="C334" s="68">
        <f>(VLOOKUP(A334,database!A:K,11,) - VLOOKUP(A322,database!A:K,11,))/VLOOKUP(A322,database!A:K,11,)</f>
        <v>2.9282576866764692E-3</v>
      </c>
    </row>
    <row r="335" spans="1:3" x14ac:dyDescent="0.35">
      <c r="A335" s="38">
        <v>34486</v>
      </c>
      <c r="B335" s="39">
        <f>VLOOKUP(Table8[[#This Row],[Month]],database!A:J,MATCH('Capacity Utilization'!$A$1,database!$A$1:$J$1,),)</f>
        <v>83.660600000000002</v>
      </c>
      <c r="C335" s="68">
        <f>(VLOOKUP(A335,database!A:K,11,) - VLOOKUP(A323,database!A:K,11,))/VLOOKUP(A323,database!A:K,11,)</f>
        <v>5.8651026392960628E-3</v>
      </c>
    </row>
    <row r="336" spans="1:3" x14ac:dyDescent="0.35">
      <c r="A336" s="38">
        <v>34516</v>
      </c>
      <c r="B336" s="39">
        <f>VLOOKUP(Table8[[#This Row],[Month]],database!A:J,MATCH('Capacity Utilization'!$A$1,database!$A$1:$J$1,),)</f>
        <v>83.506500000000003</v>
      </c>
      <c r="C336" s="68">
        <f>(VLOOKUP(A336,database!A:K,11,) - VLOOKUP(A324,database!A:K,11,))/VLOOKUP(A324,database!A:K,11,)</f>
        <v>5.1244509516838732E-3</v>
      </c>
    </row>
    <row r="337" spans="1:3" x14ac:dyDescent="0.35">
      <c r="A337" s="38">
        <v>34547</v>
      </c>
      <c r="B337" s="39">
        <f>VLOOKUP(Table8[[#This Row],[Month]],database!A:J,MATCH('Capacity Utilization'!$A$1,database!$A$1:$J$1,),)</f>
        <v>83.791799999999995</v>
      </c>
      <c r="C337" s="68">
        <f>(VLOOKUP(A337,database!A:K,11,) - VLOOKUP(A325,database!A:K,11,))/VLOOKUP(A325,database!A:K,11,)</f>
        <v>2.0014825796886498E-2</v>
      </c>
    </row>
    <row r="338" spans="1:3" x14ac:dyDescent="0.35">
      <c r="A338" s="38">
        <v>34578</v>
      </c>
      <c r="B338" s="39">
        <f>VLOOKUP(Table8[[#This Row],[Month]],database!A:J,MATCH('Capacity Utilization'!$A$1,database!$A$1:$J$1,),)</f>
        <v>83.781599999999997</v>
      </c>
      <c r="C338" s="68">
        <f>(VLOOKUP(A338,database!A:K,11,) - VLOOKUP(A326,database!A:K,11,))/VLOOKUP(A326,database!A:K,11,)</f>
        <v>2.075611564121559E-2</v>
      </c>
    </row>
    <row r="339" spans="1:3" x14ac:dyDescent="0.35">
      <c r="A339" s="38">
        <v>34608</v>
      </c>
      <c r="B339" s="39">
        <f>VLOOKUP(Table8[[#This Row],[Month]],database!A:J,MATCH('Capacity Utilization'!$A$1,database!$A$1:$J$1,),)</f>
        <v>84.1798</v>
      </c>
      <c r="C339" s="68">
        <f>(VLOOKUP(A339,database!A:K,11,) - VLOOKUP(A327,database!A:K,11,))/VLOOKUP(A327,database!A:K,11,)</f>
        <v>1.7777777777777819E-2</v>
      </c>
    </row>
    <row r="340" spans="1:3" x14ac:dyDescent="0.35">
      <c r="A340" s="38">
        <v>34639</v>
      </c>
      <c r="B340" s="39">
        <f>VLOOKUP(Table8[[#This Row],[Month]],database!A:J,MATCH('Capacity Utilization'!$A$1,database!$A$1:$J$1,),)</f>
        <v>84.465999999999994</v>
      </c>
      <c r="C340" s="68">
        <f>(VLOOKUP(A340,database!A:K,11,) - VLOOKUP(A328,database!A:K,11,))/VLOOKUP(A328,database!A:K,11,)</f>
        <v>1.69992609016998E-2</v>
      </c>
    </row>
    <row r="341" spans="1:3" x14ac:dyDescent="0.35">
      <c r="A341" s="38">
        <v>34669</v>
      </c>
      <c r="B341" s="39">
        <f>VLOOKUP(Table8[[#This Row],[Month]],database!A:J,MATCH('Capacity Utilization'!$A$1,database!$A$1:$J$1,),)</f>
        <v>84.998900000000006</v>
      </c>
      <c r="C341" s="68">
        <f>(VLOOKUP(A341,database!A:K,11,) - VLOOKUP(A329,database!A:K,11,))/VLOOKUP(A329,database!A:K,11,)</f>
        <v>1.6212232866617667E-2</v>
      </c>
    </row>
    <row r="342" spans="1:3" x14ac:dyDescent="0.35">
      <c r="A342" s="38">
        <v>34700</v>
      </c>
      <c r="B342" s="39">
        <f>VLOOKUP(Table8[[#This Row],[Month]],database!A:J,MATCH('Capacity Utilization'!$A$1,database!$A$1:$J$1,),)</f>
        <v>84.886799999999994</v>
      </c>
      <c r="C342" s="68">
        <f>(VLOOKUP(A342,database!A:K,11,) - VLOOKUP(A330,database!A:K,11,))/VLOOKUP(A330,database!A:K,11,)</f>
        <v>1.5407190022010228E-2</v>
      </c>
    </row>
    <row r="343" spans="1:3" x14ac:dyDescent="0.35">
      <c r="A343" s="38">
        <v>34731</v>
      </c>
      <c r="B343" s="39">
        <f>VLOOKUP(Table8[[#This Row],[Month]],database!A:J,MATCH('Capacity Utilization'!$A$1,database!$A$1:$J$1,),)</f>
        <v>84.481099999999998</v>
      </c>
      <c r="C343" s="68">
        <f>(VLOOKUP(A343,database!A:K,11,) - VLOOKUP(A331,database!A:K,11,))/VLOOKUP(A331,database!A:K,11,)</f>
        <v>1.7608217168011569E-2</v>
      </c>
    </row>
    <row r="344" spans="1:3" x14ac:dyDescent="0.35">
      <c r="A344" s="38">
        <v>34759</v>
      </c>
      <c r="B344" s="39">
        <f>VLOOKUP(Table8[[#This Row],[Month]],database!A:J,MATCH('Capacity Utilization'!$A$1,database!$A$1:$J$1,),)</f>
        <v>84.3172</v>
      </c>
      <c r="C344" s="68">
        <f>(VLOOKUP(A344,database!A:K,11,) - VLOOKUP(A332,database!A:K,11,))/VLOOKUP(A332,database!A:K,11,)</f>
        <v>1.9061583577712569E-2</v>
      </c>
    </row>
    <row r="345" spans="1:3" x14ac:dyDescent="0.35">
      <c r="A345" s="38">
        <v>34790</v>
      </c>
      <c r="B345" s="39">
        <f>VLOOKUP(Table8[[#This Row],[Month]],database!A:J,MATCH('Capacity Utilization'!$A$1,database!$A$1:$J$1,),)</f>
        <v>83.884100000000004</v>
      </c>
      <c r="C345" s="68">
        <f>(VLOOKUP(A345,database!A:K,11,) - VLOOKUP(A333,database!A:K,11,))/VLOOKUP(A333,database!A:K,11,)</f>
        <v>1.9765739385066011E-2</v>
      </c>
    </row>
    <row r="346" spans="1:3" x14ac:dyDescent="0.35">
      <c r="A346" s="38">
        <v>34820</v>
      </c>
      <c r="B346" s="39">
        <f>VLOOKUP(Table8[[#This Row],[Month]],database!A:J,MATCH('Capacity Utilization'!$A$1,database!$A$1:$J$1,),)</f>
        <v>83.9709</v>
      </c>
      <c r="C346" s="68">
        <f>(VLOOKUP(A346,database!A:K,11,) - VLOOKUP(A334,database!A:K,11,))/VLOOKUP(A334,database!A:K,11,)</f>
        <v>1.9708029197080208E-2</v>
      </c>
    </row>
    <row r="347" spans="1:3" x14ac:dyDescent="0.35">
      <c r="A347" s="38">
        <v>34851</v>
      </c>
      <c r="B347" s="39">
        <f>VLOOKUP(Table8[[#This Row],[Month]],database!A:J,MATCH('Capacity Utilization'!$A$1,database!$A$1:$J$1,),)</f>
        <v>83.937600000000003</v>
      </c>
      <c r="C347" s="68">
        <f>(VLOOKUP(A347,database!A:K,11,) - VLOOKUP(A335,database!A:K,11,))/VLOOKUP(A335,database!A:K,11,)</f>
        <v>1.8950437317784424E-2</v>
      </c>
    </row>
    <row r="348" spans="1:3" x14ac:dyDescent="0.35">
      <c r="A348" s="38">
        <v>34881</v>
      </c>
      <c r="B348" s="39">
        <f>VLOOKUP(Table8[[#This Row],[Month]],database!A:J,MATCH('Capacity Utilization'!$A$1,database!$A$1:$J$1,),)</f>
        <v>83.267099999999999</v>
      </c>
      <c r="C348" s="68">
        <f>(VLOOKUP(A348,database!A:K,11,) - VLOOKUP(A336,database!A:K,11,))/VLOOKUP(A336,database!A:K,11,)</f>
        <v>2.1121631463947393E-2</v>
      </c>
    </row>
    <row r="349" spans="1:3" x14ac:dyDescent="0.35">
      <c r="A349" s="38">
        <v>34912</v>
      </c>
      <c r="B349" s="39">
        <f>VLOOKUP(Table8[[#This Row],[Month]],database!A:J,MATCH('Capacity Utilization'!$A$1,database!$A$1:$J$1,),)</f>
        <v>84.034199999999998</v>
      </c>
      <c r="C349" s="68">
        <f>(VLOOKUP(A349,database!A:K,11,) - VLOOKUP(A337,database!A:K,11,))/VLOOKUP(A337,database!A:K,11,)</f>
        <v>1.8895348837209263E-2</v>
      </c>
    </row>
    <row r="350" spans="1:3" x14ac:dyDescent="0.35">
      <c r="A350" s="38">
        <v>34943</v>
      </c>
      <c r="B350" s="39">
        <f>VLOOKUP(Table8[[#This Row],[Month]],database!A:J,MATCH('Capacity Utilization'!$A$1,database!$A$1:$J$1,),)</f>
        <v>84.033900000000003</v>
      </c>
      <c r="C350" s="68">
        <f>(VLOOKUP(A350,database!A:K,11,) - VLOOKUP(A338,database!A:K,11,))/VLOOKUP(A338,database!A:K,11,)</f>
        <v>1.8155410312273058E-2</v>
      </c>
    </row>
    <row r="351" spans="1:3" x14ac:dyDescent="0.35">
      <c r="A351" s="38">
        <v>34973</v>
      </c>
      <c r="B351" s="39">
        <f>VLOOKUP(Table8[[#This Row],[Month]],database!A:J,MATCH('Capacity Utilization'!$A$1,database!$A$1:$J$1,),)</f>
        <v>83.558300000000003</v>
      </c>
      <c r="C351" s="68">
        <f>(VLOOKUP(A351,database!A:K,11,) - VLOOKUP(A339,database!A:K,11,))/VLOOKUP(A339,database!A:K,11,)</f>
        <v>2.6200873362445372E-2</v>
      </c>
    </row>
    <row r="352" spans="1:3" x14ac:dyDescent="0.35">
      <c r="A352" s="38">
        <v>35004</v>
      </c>
      <c r="B352" s="39">
        <f>VLOOKUP(Table8[[#This Row],[Month]],database!A:J,MATCH('Capacity Utilization'!$A$1,database!$A$1:$J$1,),)</f>
        <v>83.403800000000004</v>
      </c>
      <c r="C352" s="68">
        <f>(VLOOKUP(A352,database!A:K,11,) - VLOOKUP(A340,database!A:K,11,))/VLOOKUP(A340,database!A:K,11,)</f>
        <v>2.6889534883721054E-2</v>
      </c>
    </row>
    <row r="353" spans="1:3" x14ac:dyDescent="0.35">
      <c r="A353" s="38">
        <v>35034</v>
      </c>
      <c r="B353" s="39">
        <f>VLOOKUP(Table8[[#This Row],[Month]],database!A:J,MATCH('Capacity Utilization'!$A$1,database!$A$1:$J$1,),)</f>
        <v>83.330100000000002</v>
      </c>
      <c r="C353" s="68">
        <f>(VLOOKUP(A353,database!A:K,11,) - VLOOKUP(A341,database!A:K,11,))/VLOOKUP(A341,database!A:K,11,)</f>
        <v>2.610587382160982E-2</v>
      </c>
    </row>
    <row r="354" spans="1:3" x14ac:dyDescent="0.35">
      <c r="A354" s="38">
        <v>35065</v>
      </c>
      <c r="B354" s="39">
        <f>VLOOKUP(Table8[[#This Row],[Month]],database!A:J,MATCH('Capacity Utilization'!$A$1,database!$A$1:$J$1,),)</f>
        <v>82.509600000000006</v>
      </c>
      <c r="C354" s="68">
        <f>(VLOOKUP(A354,database!A:K,11,) - VLOOKUP(A342,database!A:K,11,))/VLOOKUP(A342,database!A:K,11,)</f>
        <v>2.2398843930635796E-2</v>
      </c>
    </row>
    <row r="355" spans="1:3" x14ac:dyDescent="0.35">
      <c r="A355" s="38">
        <v>35096</v>
      </c>
      <c r="B355" s="39">
        <f>VLOOKUP(Table8[[#This Row],[Month]],database!A:J,MATCH('Capacity Utilization'!$A$1,database!$A$1:$J$1,),)</f>
        <v>83.314499999999995</v>
      </c>
      <c r="C355" s="68">
        <f>(VLOOKUP(A355,database!A:K,11,) - VLOOKUP(A343,database!A:K,11,))/VLOOKUP(A343,database!A:K,11,)</f>
        <v>2.0908435472242293E-2</v>
      </c>
    </row>
    <row r="356" spans="1:3" x14ac:dyDescent="0.35">
      <c r="A356" s="38">
        <v>35125</v>
      </c>
      <c r="B356" s="39">
        <f>VLOOKUP(Table8[[#This Row],[Month]],database!A:J,MATCH('Capacity Utilization'!$A$1,database!$A$1:$J$1,),)</f>
        <v>82.808099999999996</v>
      </c>
      <c r="C356" s="68">
        <f>(VLOOKUP(A356,database!A:K,11,) - VLOOKUP(A344,database!A:K,11,))/VLOOKUP(A344,database!A:K,11,)</f>
        <v>1.8705035971222982E-2</v>
      </c>
    </row>
    <row r="357" spans="1:3" x14ac:dyDescent="0.35">
      <c r="A357" s="38">
        <v>35156</v>
      </c>
      <c r="B357" s="39">
        <f>VLOOKUP(Table8[[#This Row],[Month]],database!A:J,MATCH('Capacity Utilization'!$A$1,database!$A$1:$J$1,),)</f>
        <v>83.254400000000004</v>
      </c>
      <c r="C357" s="68">
        <f>(VLOOKUP(A357,database!A:K,11,) - VLOOKUP(A345,database!A:K,11,))/VLOOKUP(A345,database!A:K,11,)</f>
        <v>1.6511127063890758E-2</v>
      </c>
    </row>
    <row r="358" spans="1:3" x14ac:dyDescent="0.35">
      <c r="A358" s="38">
        <v>35186</v>
      </c>
      <c r="B358" s="39">
        <f>VLOOKUP(Table8[[#This Row],[Month]],database!A:J,MATCH('Capacity Utilization'!$A$1,database!$A$1:$J$1,),)</f>
        <v>83.487200000000001</v>
      </c>
      <c r="C358" s="68">
        <f>(VLOOKUP(A358,database!A:K,11,) - VLOOKUP(A346,database!A:K,11,))/VLOOKUP(A346,database!A:K,11,)</f>
        <v>1.6463851109520485E-2</v>
      </c>
    </row>
    <row r="359" spans="1:3" x14ac:dyDescent="0.35">
      <c r="A359" s="38">
        <v>35217</v>
      </c>
      <c r="B359" s="39">
        <f>VLOOKUP(Table8[[#This Row],[Month]],database!A:J,MATCH('Capacity Utilization'!$A$1,database!$A$1:$J$1,),)</f>
        <v>83.719200000000001</v>
      </c>
      <c r="C359" s="68">
        <f>(VLOOKUP(A359,database!A:K,11,) - VLOOKUP(A347,database!A:K,11,))/VLOOKUP(A347,database!A:K,11,)</f>
        <v>1.7167381974248764E-2</v>
      </c>
    </row>
    <row r="360" spans="1:3" x14ac:dyDescent="0.35">
      <c r="A360" s="38">
        <v>35247</v>
      </c>
      <c r="B360" s="39">
        <f>VLOOKUP(Table8[[#This Row],[Month]],database!A:J,MATCH('Capacity Utilization'!$A$1,database!$A$1:$J$1,),)</f>
        <v>83.333200000000005</v>
      </c>
      <c r="C360" s="68">
        <f>(VLOOKUP(A360,database!A:K,11,) - VLOOKUP(A348,database!A:K,11,))/VLOOKUP(A348,database!A:K,11,)</f>
        <v>1.4265335235378032E-2</v>
      </c>
    </row>
    <row r="361" spans="1:3" x14ac:dyDescent="0.35">
      <c r="A361" s="38">
        <v>35278</v>
      </c>
      <c r="B361" s="39">
        <f>VLOOKUP(Table8[[#This Row],[Month]],database!A:J,MATCH('Capacity Utilization'!$A$1,database!$A$1:$J$1,),)</f>
        <v>83.366299999999995</v>
      </c>
      <c r="C361" s="68">
        <f>(VLOOKUP(A361,database!A:K,11,) - VLOOKUP(A349,database!A:K,11,))/VLOOKUP(A349,database!A:K,11,)</f>
        <v>1.4978601997147097E-2</v>
      </c>
    </row>
    <row r="362" spans="1:3" x14ac:dyDescent="0.35">
      <c r="A362" s="38">
        <v>35309</v>
      </c>
      <c r="B362" s="39">
        <f>VLOOKUP(Table8[[#This Row],[Month]],database!A:J,MATCH('Capacity Utilization'!$A$1,database!$A$1:$J$1,),)</f>
        <v>83.515000000000001</v>
      </c>
      <c r="C362" s="68">
        <f>(VLOOKUP(A362,database!A:K,11,) - VLOOKUP(A350,database!A:K,11,))/VLOOKUP(A350,database!A:K,11,)</f>
        <v>1.4265335235378032E-2</v>
      </c>
    </row>
    <row r="363" spans="1:3" x14ac:dyDescent="0.35">
      <c r="A363" s="38">
        <v>35339</v>
      </c>
      <c r="B363" s="39">
        <f>VLOOKUP(Table8[[#This Row],[Month]],database!A:J,MATCH('Capacity Utilization'!$A$1,database!$A$1:$J$1,),)</f>
        <v>83.112399999999994</v>
      </c>
      <c r="C363" s="68">
        <f>(VLOOKUP(A363,database!A:K,11,) - VLOOKUP(A351,database!A:K,11,))/VLOOKUP(A351,database!A:K,11,)</f>
        <v>9.2198581560284498E-3</v>
      </c>
    </row>
    <row r="364" spans="1:3" x14ac:dyDescent="0.35">
      <c r="A364" s="38">
        <v>35370</v>
      </c>
      <c r="B364" s="39">
        <f>VLOOKUP(Table8[[#This Row],[Month]],database!A:J,MATCH('Capacity Utilization'!$A$1,database!$A$1:$J$1,),)</f>
        <v>83.446200000000005</v>
      </c>
      <c r="C364" s="68">
        <f>(VLOOKUP(A364,database!A:K,11,) - VLOOKUP(A352,database!A:K,11,))/VLOOKUP(A352,database!A:K,11,)</f>
        <v>5.6617126680819736E-3</v>
      </c>
    </row>
    <row r="365" spans="1:3" x14ac:dyDescent="0.35">
      <c r="A365" s="38">
        <v>35400</v>
      </c>
      <c r="B365" s="39">
        <f>VLOOKUP(Table8[[#This Row],[Month]],database!A:J,MATCH('Capacity Utilization'!$A$1,database!$A$1:$J$1,),)</f>
        <v>83.568899999999999</v>
      </c>
      <c r="C365" s="68">
        <f>(VLOOKUP(A365,database!A:K,11,) - VLOOKUP(A353,database!A:K,11,))/VLOOKUP(A353,database!A:K,11,)</f>
        <v>5.6537102473499037E-3</v>
      </c>
    </row>
    <row r="366" spans="1:3" x14ac:dyDescent="0.35">
      <c r="A366" s="38">
        <v>35431</v>
      </c>
      <c r="B366" s="39">
        <f>VLOOKUP(Table8[[#This Row],[Month]],database!A:J,MATCH('Capacity Utilization'!$A$1,database!$A$1:$J$1,),)</f>
        <v>83.319900000000004</v>
      </c>
      <c r="C366" s="68">
        <f>(VLOOKUP(A366,database!A:K,11,) - VLOOKUP(A354,database!A:K,11,))/VLOOKUP(A354,database!A:K,11,)</f>
        <v>7.0671378091872791E-3</v>
      </c>
    </row>
    <row r="367" spans="1:3" x14ac:dyDescent="0.35">
      <c r="A367" s="38">
        <v>35462</v>
      </c>
      <c r="B367" s="39">
        <f>VLOOKUP(Table8[[#This Row],[Month]],database!A:J,MATCH('Capacity Utilization'!$A$1,database!$A$1:$J$1,),)</f>
        <v>83.889499999999998</v>
      </c>
      <c r="C367" s="68">
        <f>(VLOOKUP(A367,database!A:K,11,) - VLOOKUP(A355,database!A:K,11,))/VLOOKUP(A355,database!A:K,11,)</f>
        <v>5.6497175141243744E-3</v>
      </c>
    </row>
    <row r="368" spans="1:3" x14ac:dyDescent="0.35">
      <c r="A368" s="38">
        <v>35490</v>
      </c>
      <c r="B368" s="39">
        <f>VLOOKUP(Table8[[#This Row],[Month]],database!A:J,MATCH('Capacity Utilization'!$A$1,database!$A$1:$J$1,),)</f>
        <v>83.990300000000005</v>
      </c>
      <c r="C368" s="68">
        <f>(VLOOKUP(A368,database!A:K,11,) - VLOOKUP(A356,database!A:K,11,))/VLOOKUP(A356,database!A:K,11,)</f>
        <v>7.0621468926553672E-3</v>
      </c>
    </row>
    <row r="369" spans="1:3" x14ac:dyDescent="0.35">
      <c r="A369" s="38">
        <v>35521</v>
      </c>
      <c r="B369" s="39">
        <f>VLOOKUP(Table8[[#This Row],[Month]],database!A:J,MATCH('Capacity Utilization'!$A$1,database!$A$1:$J$1,),)</f>
        <v>83.633300000000006</v>
      </c>
      <c r="C369" s="68">
        <f>(VLOOKUP(A369,database!A:K,11,) - VLOOKUP(A357,database!A:K,11,))/VLOOKUP(A357,database!A:K,11,)</f>
        <v>7.0621468926553672E-3</v>
      </c>
    </row>
    <row r="370" spans="1:3" x14ac:dyDescent="0.35">
      <c r="A370" s="38">
        <v>35551</v>
      </c>
      <c r="B370" s="39">
        <f>VLOOKUP(Table8[[#This Row],[Month]],database!A:J,MATCH('Capacity Utilization'!$A$1,database!$A$1:$J$1,),)</f>
        <v>83.657300000000006</v>
      </c>
      <c r="C370" s="68">
        <f>(VLOOKUP(A370,database!A:K,11,) - VLOOKUP(A358,database!A:K,11,))/VLOOKUP(A358,database!A:K,11,)</f>
        <v>2.8169014084507443E-3</v>
      </c>
    </row>
    <row r="371" spans="1:3" x14ac:dyDescent="0.35">
      <c r="A371" s="38">
        <v>35582</v>
      </c>
      <c r="B371" s="39">
        <f>VLOOKUP(Table8[[#This Row],[Month]],database!A:J,MATCH('Capacity Utilization'!$A$1,database!$A$1:$J$1,),)</f>
        <v>83.590400000000002</v>
      </c>
      <c r="C371" s="68">
        <f>(VLOOKUP(A371,database!A:K,11,) - VLOOKUP(A359,database!A:K,11,))/VLOOKUP(A359,database!A:K,11,)</f>
        <v>1.4064697609002606E-3</v>
      </c>
    </row>
    <row r="372" spans="1:3" x14ac:dyDescent="0.35">
      <c r="A372" s="38">
        <v>35612</v>
      </c>
      <c r="B372" s="39">
        <f>VLOOKUP(Table8[[#This Row],[Month]],database!A:J,MATCH('Capacity Utilization'!$A$1,database!$A$1:$J$1,),)</f>
        <v>83.815700000000007</v>
      </c>
      <c r="C372" s="68">
        <f>(VLOOKUP(A372,database!A:K,11,) - VLOOKUP(A360,database!A:K,11,))/VLOOKUP(A360,database!A:K,11,)</f>
        <v>0</v>
      </c>
    </row>
    <row r="373" spans="1:3" x14ac:dyDescent="0.35">
      <c r="A373" s="38">
        <v>35643</v>
      </c>
      <c r="B373" s="39">
        <f>VLOOKUP(Table8[[#This Row],[Month]],database!A:J,MATCH('Capacity Utilization'!$A$1,database!$A$1:$J$1,),)</f>
        <v>84.158000000000001</v>
      </c>
      <c r="C373" s="68">
        <f>(VLOOKUP(A373,database!A:K,11,) - VLOOKUP(A361,database!A:K,11,))/VLOOKUP(A361,database!A:K,11,)</f>
        <v>0</v>
      </c>
    </row>
    <row r="374" spans="1:3" x14ac:dyDescent="0.35">
      <c r="A374" s="38">
        <v>35674</v>
      </c>
      <c r="B374" s="39">
        <f>VLOOKUP(Table8[[#This Row],[Month]],database!A:J,MATCH('Capacity Utilization'!$A$1,database!$A$1:$J$1,),)</f>
        <v>84.426900000000003</v>
      </c>
      <c r="C374" s="68">
        <f>(VLOOKUP(A374,database!A:K,11,) - VLOOKUP(A362,database!A:K,11,))/VLOOKUP(A362,database!A:K,11,)</f>
        <v>2.8129395218003217E-3</v>
      </c>
    </row>
    <row r="375" spans="1:3" x14ac:dyDescent="0.35">
      <c r="A375" s="38">
        <v>35704</v>
      </c>
      <c r="B375" s="39">
        <f>VLOOKUP(Table8[[#This Row],[Month]],database!A:J,MATCH('Capacity Utilization'!$A$1,database!$A$1:$J$1,),)</f>
        <v>84.633899999999997</v>
      </c>
      <c r="C375" s="68">
        <f>(VLOOKUP(A375,database!A:K,11,) - VLOOKUP(A363,database!A:K,11,))/VLOOKUP(A363,database!A:K,11,)</f>
        <v>2.1082220660575048E-3</v>
      </c>
    </row>
    <row r="376" spans="1:3" x14ac:dyDescent="0.35">
      <c r="A376" s="38">
        <v>35735</v>
      </c>
      <c r="B376" s="39">
        <f>VLOOKUP(Table8[[#This Row],[Month]],database!A:J,MATCH('Capacity Utilization'!$A$1,database!$A$1:$J$1,),)</f>
        <v>84.762900000000002</v>
      </c>
      <c r="C376" s="68">
        <f>(VLOOKUP(A376,database!A:K,11,) - VLOOKUP(A364,database!A:K,11,))/VLOOKUP(A364,database!A:K,11,)</f>
        <v>2.1111893033076098E-3</v>
      </c>
    </row>
    <row r="377" spans="1:3" x14ac:dyDescent="0.35">
      <c r="A377" s="38">
        <v>35765</v>
      </c>
      <c r="B377" s="39">
        <f>VLOOKUP(Table8[[#This Row],[Month]],database!A:J,MATCH('Capacity Utilization'!$A$1,database!$A$1:$J$1,),)</f>
        <v>84.594399999999993</v>
      </c>
      <c r="C377" s="68">
        <f>(VLOOKUP(A377,database!A:K,11,) - VLOOKUP(A365,database!A:K,11,))/VLOOKUP(A365,database!A:K,11,)</f>
        <v>0</v>
      </c>
    </row>
    <row r="378" spans="1:3" x14ac:dyDescent="0.35">
      <c r="A378" s="38">
        <v>35796</v>
      </c>
      <c r="B378" s="39">
        <f>VLOOKUP(Table8[[#This Row],[Month]],database!A:J,MATCH('Capacity Utilization'!$A$1,database!$A$1:$J$1,),)</f>
        <v>84.419399999999996</v>
      </c>
      <c r="C378" s="68">
        <f>(VLOOKUP(A378,database!A:K,11,) - VLOOKUP(A366,database!A:K,11,))/VLOOKUP(A366,database!A:K,11,)</f>
        <v>-7.0175438596487244E-4</v>
      </c>
    </row>
    <row r="379" spans="1:3" x14ac:dyDescent="0.35">
      <c r="A379" s="38">
        <v>35827</v>
      </c>
      <c r="B379" s="39">
        <f>VLOOKUP(Table8[[#This Row],[Month]],database!A:J,MATCH('Capacity Utilization'!$A$1,database!$A$1:$J$1,),)</f>
        <v>84.0077</v>
      </c>
      <c r="C379" s="68">
        <f>(VLOOKUP(A379,database!A:K,11,) - VLOOKUP(A367,database!A:K,11,))/VLOOKUP(A367,database!A:K,11,)</f>
        <v>1.4044943820223921E-3</v>
      </c>
    </row>
    <row r="380" spans="1:3" x14ac:dyDescent="0.35">
      <c r="A380" s="38">
        <v>35855</v>
      </c>
      <c r="B380" s="39">
        <f>VLOOKUP(Table8[[#This Row],[Month]],database!A:J,MATCH('Capacity Utilization'!$A$1,database!$A$1:$J$1,),)</f>
        <v>83.496300000000005</v>
      </c>
      <c r="C380" s="68">
        <f>(VLOOKUP(A380,database!A:K,11,) - VLOOKUP(A368,database!A:K,11,))/VLOOKUP(A368,database!A:K,11,)</f>
        <v>4.9088359046284506E-3</v>
      </c>
    </row>
    <row r="381" spans="1:3" x14ac:dyDescent="0.35">
      <c r="A381" s="38">
        <v>35886</v>
      </c>
      <c r="B381" s="39">
        <f>VLOOKUP(Table8[[#This Row],[Month]],database!A:J,MATCH('Capacity Utilization'!$A$1,database!$A$1:$J$1,),)</f>
        <v>83.263300000000001</v>
      </c>
      <c r="C381" s="68">
        <f>(VLOOKUP(A381,database!A:K,11,) - VLOOKUP(A369,database!A:K,11,))/VLOOKUP(A369,database!A:K,11,)</f>
        <v>5.6100981767181722E-3</v>
      </c>
    </row>
    <row r="382" spans="1:3" x14ac:dyDescent="0.35">
      <c r="A382" s="38">
        <v>35916</v>
      </c>
      <c r="B382" s="39">
        <f>VLOOKUP(Table8[[#This Row],[Month]],database!A:J,MATCH('Capacity Utilization'!$A$1,database!$A$1:$J$1,),)</f>
        <v>83.2637</v>
      </c>
      <c r="C382" s="68">
        <f>(VLOOKUP(A382,database!A:K,11,) - VLOOKUP(A370,database!A:K,11,))/VLOOKUP(A370,database!A:K,11,)</f>
        <v>7.7247191011235554E-3</v>
      </c>
    </row>
    <row r="383" spans="1:3" x14ac:dyDescent="0.35">
      <c r="A383" s="38">
        <v>35947</v>
      </c>
      <c r="B383" s="39">
        <f>VLOOKUP(Table8[[#This Row],[Month]],database!A:J,MATCH('Capacity Utilization'!$A$1,database!$A$1:$J$1,),)</f>
        <v>82.267399999999995</v>
      </c>
      <c r="C383" s="68">
        <f>(VLOOKUP(A383,database!A:K,11,) - VLOOKUP(A371,database!A:K,11,))/VLOOKUP(A371,database!A:K,11,)</f>
        <v>7.7247191011235554E-3</v>
      </c>
    </row>
    <row r="384" spans="1:3" x14ac:dyDescent="0.35">
      <c r="A384" s="38">
        <v>35977</v>
      </c>
      <c r="B384" s="39">
        <f>VLOOKUP(Table8[[#This Row],[Month]],database!A:J,MATCH('Capacity Utilization'!$A$1,database!$A$1:$J$1,),)</f>
        <v>81.478200000000001</v>
      </c>
      <c r="C384" s="68">
        <f>(VLOOKUP(A384,database!A:K,11,) - VLOOKUP(A372,database!A:K,11,))/VLOOKUP(A372,database!A:K,11,)</f>
        <v>1.1251758087201287E-2</v>
      </c>
    </row>
    <row r="385" spans="1:3" x14ac:dyDescent="0.35">
      <c r="A385" s="38">
        <v>36008</v>
      </c>
      <c r="B385" s="39">
        <f>VLOOKUP(Table8[[#This Row],[Month]],database!A:J,MATCH('Capacity Utilization'!$A$1,database!$A$1:$J$1,),)</f>
        <v>82.712999999999994</v>
      </c>
      <c r="C385" s="68">
        <f>(VLOOKUP(A385,database!A:K,11,) - VLOOKUP(A373,database!A:K,11,))/VLOOKUP(A373,database!A:K,11,)</f>
        <v>1.0541110330288123E-2</v>
      </c>
    </row>
    <row r="386" spans="1:3" x14ac:dyDescent="0.35">
      <c r="A386" s="38">
        <v>36039</v>
      </c>
      <c r="B386" s="39">
        <f>VLOOKUP(Table8[[#This Row],[Month]],database!A:J,MATCH('Capacity Utilization'!$A$1,database!$A$1:$J$1,),)</f>
        <v>82.218999999999994</v>
      </c>
      <c r="C386" s="68">
        <f>(VLOOKUP(A386,database!A:K,11,) - VLOOKUP(A374,database!A:K,11,))/VLOOKUP(A374,database!A:K,11,)</f>
        <v>9.8176718092567016E-3</v>
      </c>
    </row>
    <row r="387" spans="1:3" x14ac:dyDescent="0.35">
      <c r="A387" s="38">
        <v>36069</v>
      </c>
      <c r="B387" s="39">
        <f>VLOOKUP(Table8[[#This Row],[Month]],database!A:J,MATCH('Capacity Utilization'!$A$1,database!$A$1:$J$1,),)</f>
        <v>82.382999999999996</v>
      </c>
      <c r="C387" s="68">
        <f>(VLOOKUP(A387,database!A:K,11,) - VLOOKUP(A375,database!A:K,11,))/VLOOKUP(A375,database!A:K,11,)</f>
        <v>1.1220196353436145E-2</v>
      </c>
    </row>
    <row r="388" spans="1:3" x14ac:dyDescent="0.35">
      <c r="A388" s="38">
        <v>36100</v>
      </c>
      <c r="B388" s="39">
        <f>VLOOKUP(Table8[[#This Row],[Month]],database!A:J,MATCH('Capacity Utilization'!$A$1,database!$A$1:$J$1,),)</f>
        <v>81.9221</v>
      </c>
      <c r="C388" s="68">
        <f>(VLOOKUP(A388,database!A:K,11,) - VLOOKUP(A376,database!A:K,11,))/VLOOKUP(A376,database!A:K,11,)</f>
        <v>1.3342696629213523E-2</v>
      </c>
    </row>
    <row r="389" spans="1:3" x14ac:dyDescent="0.35">
      <c r="A389" s="38">
        <v>36130</v>
      </c>
      <c r="B389" s="39">
        <f>VLOOKUP(Table8[[#This Row],[Month]],database!A:J,MATCH('Capacity Utilization'!$A$1,database!$A$1:$J$1,),)</f>
        <v>81.8964</v>
      </c>
      <c r="C389" s="68">
        <f>(VLOOKUP(A389,database!A:K,11,) - VLOOKUP(A377,database!A:K,11,))/VLOOKUP(A377,database!A:K,11,)</f>
        <v>2.4595924104005618E-2</v>
      </c>
    </row>
    <row r="390" spans="1:3" x14ac:dyDescent="0.35">
      <c r="A390" s="38">
        <v>36161</v>
      </c>
      <c r="B390" s="39">
        <f>VLOOKUP(Table8[[#This Row],[Month]],database!A:J,MATCH('Capacity Utilization'!$A$1,database!$A$1:$J$1,),)</f>
        <v>81.874700000000004</v>
      </c>
      <c r="C390" s="68">
        <f>(VLOOKUP(A390,database!A:K,11,) - VLOOKUP(A378,database!A:K,11,))/VLOOKUP(A378,database!A:K,11,)</f>
        <v>2.247191011235947E-2</v>
      </c>
    </row>
    <row r="391" spans="1:3" x14ac:dyDescent="0.35">
      <c r="A391" s="38">
        <v>36192</v>
      </c>
      <c r="B391" s="39">
        <f>VLOOKUP(Table8[[#This Row],[Month]],database!A:J,MATCH('Capacity Utilization'!$A$1,database!$A$1:$J$1,),)</f>
        <v>81.992400000000004</v>
      </c>
      <c r="C391" s="68">
        <f>(VLOOKUP(A391,database!A:K,11,) - VLOOKUP(A379,database!A:K,11,))/VLOOKUP(A379,database!A:K,11,)</f>
        <v>2.173913043478257E-2</v>
      </c>
    </row>
    <row r="392" spans="1:3" x14ac:dyDescent="0.35">
      <c r="A392" s="38">
        <v>36220</v>
      </c>
      <c r="B392" s="39">
        <f>VLOOKUP(Table8[[#This Row],[Month]],database!A:J,MATCH('Capacity Utilization'!$A$1,database!$A$1:$J$1,),)</f>
        <v>81.826300000000003</v>
      </c>
      <c r="C392" s="68">
        <f>(VLOOKUP(A392,database!A:K,11,) - VLOOKUP(A380,database!A:K,11,))/VLOOKUP(A380,database!A:K,11,)</f>
        <v>1.6748080949057761E-2</v>
      </c>
    </row>
    <row r="393" spans="1:3" x14ac:dyDescent="0.35">
      <c r="A393" s="38">
        <v>36251</v>
      </c>
      <c r="B393" s="39">
        <f>VLOOKUP(Table8[[#This Row],[Month]],database!A:J,MATCH('Capacity Utilization'!$A$1,database!$A$1:$J$1,),)</f>
        <v>81.688800000000001</v>
      </c>
      <c r="C393" s="68">
        <f>(VLOOKUP(A393,database!A:K,11,) - VLOOKUP(A381,database!A:K,11,))/VLOOKUP(A381,database!A:K,11,)</f>
        <v>1.6039051603905039E-2</v>
      </c>
    </row>
    <row r="394" spans="1:3" x14ac:dyDescent="0.35">
      <c r="A394" s="38">
        <v>36281</v>
      </c>
      <c r="B394" s="39">
        <f>VLOOKUP(Table8[[#This Row],[Month]],database!A:J,MATCH('Capacity Utilization'!$A$1,database!$A$1:$J$1,),)</f>
        <v>81.871899999999997</v>
      </c>
      <c r="C394" s="68">
        <f>(VLOOKUP(A394,database!A:K,11,) - VLOOKUP(A382,database!A:K,11,))/VLOOKUP(A382,database!A:K,11,)</f>
        <v>1.5331010452961593E-2</v>
      </c>
    </row>
    <row r="395" spans="1:3" x14ac:dyDescent="0.35">
      <c r="A395" s="38">
        <v>36312</v>
      </c>
      <c r="B395" s="39">
        <f>VLOOKUP(Table8[[#This Row],[Month]],database!A:J,MATCH('Capacity Utilization'!$A$1,database!$A$1:$J$1,),)</f>
        <v>81.519099999999995</v>
      </c>
      <c r="C395" s="68">
        <f>(VLOOKUP(A395,database!A:K,11,) - VLOOKUP(A383,database!A:K,11,))/VLOOKUP(A383,database!A:K,11,)</f>
        <v>1.6027874564460011E-2</v>
      </c>
    </row>
    <row r="396" spans="1:3" x14ac:dyDescent="0.35">
      <c r="A396" s="38">
        <v>36342</v>
      </c>
      <c r="B396" s="39">
        <f>VLOOKUP(Table8[[#This Row],[Month]],database!A:J,MATCH('Capacity Utilization'!$A$1,database!$A$1:$J$1,),)</f>
        <v>81.693399999999997</v>
      </c>
      <c r="C396" s="68">
        <f>(VLOOKUP(A396,database!A:K,11,) - VLOOKUP(A384,database!A:K,11,))/VLOOKUP(A384,database!A:K,11,)</f>
        <v>1.3908205841446452E-2</v>
      </c>
    </row>
    <row r="397" spans="1:3" x14ac:dyDescent="0.35">
      <c r="A397" s="38">
        <v>36373</v>
      </c>
      <c r="B397" s="39">
        <f>VLOOKUP(Table8[[#This Row],[Month]],database!A:J,MATCH('Capacity Utilization'!$A$1,database!$A$1:$J$1,),)</f>
        <v>81.760900000000007</v>
      </c>
      <c r="C397" s="68">
        <f>(VLOOKUP(A397,database!A:K,11,) - VLOOKUP(A385,database!A:K,11,))/VLOOKUP(A385,database!A:K,11,)</f>
        <v>1.3212795549373971E-2</v>
      </c>
    </row>
    <row r="398" spans="1:3" x14ac:dyDescent="0.35">
      <c r="A398" s="38">
        <v>36404</v>
      </c>
      <c r="B398" s="39">
        <f>VLOOKUP(Table8[[#This Row],[Month]],database!A:J,MATCH('Capacity Utilization'!$A$1,database!$A$1:$J$1,),)</f>
        <v>81.125200000000007</v>
      </c>
      <c r="C398" s="68">
        <f>(VLOOKUP(A398,database!A:K,11,) - VLOOKUP(A386,database!A:K,11,))/VLOOKUP(A386,database!A:K,11,)</f>
        <v>1.7361111111111112E-2</v>
      </c>
    </row>
    <row r="399" spans="1:3" x14ac:dyDescent="0.35">
      <c r="A399" s="38">
        <v>36434</v>
      </c>
      <c r="B399" s="39">
        <f>VLOOKUP(Table8[[#This Row],[Month]],database!A:J,MATCH('Capacity Utilization'!$A$1,database!$A$1:$J$1,),)</f>
        <v>81.886399999999995</v>
      </c>
      <c r="C399" s="68">
        <f>(VLOOKUP(A399,database!A:K,11,) - VLOOKUP(A387,database!A:K,11,))/VLOOKUP(A387,database!A:K,11,)</f>
        <v>1.8723994452149912E-2</v>
      </c>
    </row>
    <row r="400" spans="1:3" x14ac:dyDescent="0.35">
      <c r="A400" s="38">
        <v>36465</v>
      </c>
      <c r="B400" s="39">
        <f>VLOOKUP(Table8[[#This Row],[Month]],database!A:J,MATCH('Capacity Utilization'!$A$1,database!$A$1:$J$1,),)</f>
        <v>82.025300000000001</v>
      </c>
      <c r="C400" s="68">
        <f>(VLOOKUP(A400,database!A:K,11,) - VLOOKUP(A388,database!A:K,11,))/VLOOKUP(A388,database!A:K,11,)</f>
        <v>1.8018018018017976E-2</v>
      </c>
    </row>
    <row r="401" spans="1:3" x14ac:dyDescent="0.35">
      <c r="A401" s="38">
        <v>36495</v>
      </c>
      <c r="B401" s="39">
        <f>VLOOKUP(Table8[[#This Row],[Month]],database!A:J,MATCH('Capacity Utilization'!$A$1,database!$A$1:$J$1,),)</f>
        <v>82.384</v>
      </c>
      <c r="C401" s="68">
        <f>(VLOOKUP(A401,database!A:K,11,) - VLOOKUP(A389,database!A:K,11,))/VLOOKUP(A389,database!A:K,11,)</f>
        <v>8.2304526748970402E-3</v>
      </c>
    </row>
    <row r="402" spans="1:3" x14ac:dyDescent="0.35">
      <c r="A402" s="38">
        <v>36526</v>
      </c>
      <c r="B402" s="39">
        <f>VLOOKUP(Table8[[#This Row],[Month]],database!A:J,MATCH('Capacity Utilization'!$A$1,database!$A$1:$J$1,),)</f>
        <v>82.052800000000005</v>
      </c>
      <c r="C402" s="68">
        <f>(VLOOKUP(A402,database!A:K,11,) - VLOOKUP(A390,database!A:K,11,))/VLOOKUP(A390,database!A:K,11,)</f>
        <v>8.2417582417583599E-3</v>
      </c>
    </row>
    <row r="403" spans="1:3" x14ac:dyDescent="0.35">
      <c r="A403" s="38">
        <v>36557</v>
      </c>
      <c r="B403" s="39">
        <f>VLOOKUP(Table8[[#This Row],[Month]],database!A:J,MATCH('Capacity Utilization'!$A$1,database!$A$1:$J$1,),)</f>
        <v>82.073300000000003</v>
      </c>
      <c r="C403" s="68">
        <f>(VLOOKUP(A403,database!A:K,11,) - VLOOKUP(A391,database!A:K,11,))/VLOOKUP(A391,database!A:K,11,)</f>
        <v>1.0981468771448339E-2</v>
      </c>
    </row>
    <row r="404" spans="1:3" x14ac:dyDescent="0.35">
      <c r="A404" s="38">
        <v>36586</v>
      </c>
      <c r="B404" s="39">
        <f>VLOOKUP(Table8[[#This Row],[Month]],database!A:J,MATCH('Capacity Utilization'!$A$1,database!$A$1:$J$1,),)</f>
        <v>82.1053</v>
      </c>
      <c r="C404" s="68">
        <f>(VLOOKUP(A404,database!A:K,11,) - VLOOKUP(A392,database!A:K,11,))/VLOOKUP(A392,database!A:K,11,)</f>
        <v>1.166781056966381E-2</v>
      </c>
    </row>
    <row r="405" spans="1:3" x14ac:dyDescent="0.35">
      <c r="A405" s="38">
        <v>36617</v>
      </c>
      <c r="B405" s="39">
        <f>VLOOKUP(Table8[[#This Row],[Month]],database!A:J,MATCH('Capacity Utilization'!$A$1,database!$A$1:$J$1,),)</f>
        <v>82.338700000000003</v>
      </c>
      <c r="C405" s="68">
        <f>(VLOOKUP(A405,database!A:K,11,) - VLOOKUP(A393,database!A:K,11,))/VLOOKUP(A393,database!A:K,11,)</f>
        <v>1.166781056966381E-2</v>
      </c>
    </row>
    <row r="406" spans="1:3" x14ac:dyDescent="0.35">
      <c r="A406" s="38">
        <v>36647</v>
      </c>
      <c r="B406" s="39">
        <f>VLOOKUP(Table8[[#This Row],[Month]],database!A:J,MATCH('Capacity Utilization'!$A$1,database!$A$1:$J$1,),)</f>
        <v>82.305499999999995</v>
      </c>
      <c r="C406" s="68">
        <f>(VLOOKUP(A406,database!A:K,11,) - VLOOKUP(A394,database!A:K,11,))/VLOOKUP(A394,database!A:K,11,)</f>
        <v>1.4413177762525896E-2</v>
      </c>
    </row>
    <row r="407" spans="1:3" x14ac:dyDescent="0.35">
      <c r="A407" s="38">
        <v>36678</v>
      </c>
      <c r="B407" s="39">
        <f>VLOOKUP(Table8[[#This Row],[Month]],database!A:J,MATCH('Capacity Utilization'!$A$1,database!$A$1:$J$1,),)</f>
        <v>82.079899999999995</v>
      </c>
      <c r="C407" s="68">
        <f>(VLOOKUP(A407,database!A:K,11,) - VLOOKUP(A395,database!A:K,11,))/VLOOKUP(A395,database!A:K,11,)</f>
        <v>1.3717421124828532E-2</v>
      </c>
    </row>
    <row r="408" spans="1:3" x14ac:dyDescent="0.35">
      <c r="A408" s="38">
        <v>36708</v>
      </c>
      <c r="B408" s="39">
        <f>VLOOKUP(Table8[[#This Row],[Month]],database!A:J,MATCH('Capacity Utilization'!$A$1,database!$A$1:$J$1,),)</f>
        <v>81.655199999999994</v>
      </c>
      <c r="C408" s="68">
        <f>(VLOOKUP(A408,database!A:K,11,) - VLOOKUP(A396,database!A:K,11,))/VLOOKUP(A396,database!A:K,11,)</f>
        <v>1.5775034293552693E-2</v>
      </c>
    </row>
    <row r="409" spans="1:3" x14ac:dyDescent="0.35">
      <c r="A409" s="38">
        <v>36739</v>
      </c>
      <c r="B409" s="39">
        <f>VLOOKUP(Table8[[#This Row],[Month]],database!A:J,MATCH('Capacity Utilization'!$A$1,database!$A$1:$J$1,),)</f>
        <v>81.169700000000006</v>
      </c>
      <c r="C409" s="68">
        <f>(VLOOKUP(A409,database!A:K,11,) - VLOOKUP(A397,database!A:K,11,))/VLOOKUP(A397,database!A:K,11,)</f>
        <v>1.7158544955387784E-2</v>
      </c>
    </row>
    <row r="410" spans="1:3" x14ac:dyDescent="0.35">
      <c r="A410" s="38">
        <v>36770</v>
      </c>
      <c r="B410" s="39">
        <f>VLOOKUP(Table8[[#This Row],[Month]],database!A:J,MATCH('Capacity Utilization'!$A$1,database!$A$1:$J$1,),)</f>
        <v>81.223399999999998</v>
      </c>
      <c r="C410" s="68">
        <f>(VLOOKUP(A410,database!A:K,11,) - VLOOKUP(A398,database!A:K,11,))/VLOOKUP(A398,database!A:K,11,)</f>
        <v>1.4334470989761053E-2</v>
      </c>
    </row>
    <row r="411" spans="1:3" x14ac:dyDescent="0.35">
      <c r="A411" s="38">
        <v>36800</v>
      </c>
      <c r="B411" s="39">
        <f>VLOOKUP(Table8[[#This Row],[Month]],database!A:J,MATCH('Capacity Utilization'!$A$1,database!$A$1:$J$1,),)</f>
        <v>80.682299999999998</v>
      </c>
      <c r="C411" s="68">
        <f>(VLOOKUP(A411,database!A:K,11,) - VLOOKUP(A399,database!A:K,11,))/VLOOKUP(A399,database!A:K,11,)</f>
        <v>1.0891763104152446E-2</v>
      </c>
    </row>
    <row r="412" spans="1:3" x14ac:dyDescent="0.35">
      <c r="A412" s="38">
        <v>36831</v>
      </c>
      <c r="B412" s="39">
        <f>VLOOKUP(Table8[[#This Row],[Month]],database!A:J,MATCH('Capacity Utilization'!$A$1,database!$A$1:$J$1,),)</f>
        <v>80.422799999999995</v>
      </c>
      <c r="C412" s="68">
        <f>(VLOOKUP(A412,database!A:K,11,) - VLOOKUP(A400,database!A:K,11,))/VLOOKUP(A400,database!A:K,11,)</f>
        <v>1.2253233492171429E-2</v>
      </c>
    </row>
    <row r="413" spans="1:3" x14ac:dyDescent="0.35">
      <c r="A413" s="38">
        <v>36861</v>
      </c>
      <c r="B413" s="39">
        <f>VLOOKUP(Table8[[#This Row],[Month]],database!A:J,MATCH('Capacity Utilization'!$A$1,database!$A$1:$J$1,),)</f>
        <v>79.898799999999994</v>
      </c>
      <c r="C413" s="68">
        <f>(VLOOKUP(A413,database!A:K,11,) - VLOOKUP(A401,database!A:K,11,))/VLOOKUP(A401,database!A:K,11,)</f>
        <v>1.292517006802725E-2</v>
      </c>
    </row>
    <row r="414" spans="1:3" x14ac:dyDescent="0.35">
      <c r="A414" s="38">
        <v>36892</v>
      </c>
      <c r="B414" s="39">
        <f>VLOOKUP(Table8[[#This Row],[Month]],database!A:J,MATCH('Capacity Utilization'!$A$1,database!$A$1:$J$1,),)</f>
        <v>79.210300000000004</v>
      </c>
      <c r="C414" s="68">
        <f>(VLOOKUP(A414,database!A:K,11,) - VLOOKUP(A402,database!A:K,11,))/VLOOKUP(A402,database!A:K,11,)</f>
        <v>1.8392370572207006E-2</v>
      </c>
    </row>
    <row r="415" spans="1:3" x14ac:dyDescent="0.35">
      <c r="A415" s="38">
        <v>36923</v>
      </c>
      <c r="B415" s="39">
        <f>VLOOKUP(Table8[[#This Row],[Month]],database!A:J,MATCH('Capacity Utilization'!$A$1,database!$A$1:$J$1,),)</f>
        <v>78.427700000000002</v>
      </c>
      <c r="C415" s="68">
        <f>(VLOOKUP(A415,database!A:K,11,) - VLOOKUP(A403,database!A:K,11,))/VLOOKUP(A403,database!A:K,11,)</f>
        <v>1.2898845892735758E-2</v>
      </c>
    </row>
    <row r="416" spans="1:3" x14ac:dyDescent="0.35">
      <c r="A416" s="38">
        <v>36951</v>
      </c>
      <c r="B416" s="39">
        <f>VLOOKUP(Table8[[#This Row],[Month]],database!A:J,MATCH('Capacity Utilization'!$A$1,database!$A$1:$J$1,),)</f>
        <v>77.987700000000004</v>
      </c>
      <c r="C416" s="68">
        <f>(VLOOKUP(A416,database!A:K,11,) - VLOOKUP(A404,database!A:K,11,))/VLOOKUP(A404,database!A:K,11,)</f>
        <v>1.4246947082767939E-2</v>
      </c>
    </row>
    <row r="417" spans="1:3" x14ac:dyDescent="0.35">
      <c r="A417" s="38">
        <v>36982</v>
      </c>
      <c r="B417" s="39">
        <f>VLOOKUP(Table8[[#This Row],[Month]],database!A:J,MATCH('Capacity Utilization'!$A$1,database!$A$1:$J$1,),)</f>
        <v>77.500799999999998</v>
      </c>
      <c r="C417" s="68">
        <f>(VLOOKUP(A417,database!A:K,11,) - VLOOKUP(A405,database!A:K,11,))/VLOOKUP(A405,database!A:K,11,)</f>
        <v>1.6282225237449155E-2</v>
      </c>
    </row>
    <row r="418" spans="1:3" x14ac:dyDescent="0.35">
      <c r="A418" s="38">
        <v>37012</v>
      </c>
      <c r="B418" s="39">
        <f>VLOOKUP(Table8[[#This Row],[Month]],database!A:J,MATCH('Capacity Utilization'!$A$1,database!$A$1:$J$1,),)</f>
        <v>76.8523</v>
      </c>
      <c r="C418" s="68">
        <f>(VLOOKUP(A418,database!A:K,11,) - VLOOKUP(A406,database!A:K,11,))/VLOOKUP(A406,database!A:K,11,)</f>
        <v>1.5561569688768489E-2</v>
      </c>
    </row>
    <row r="419" spans="1:3" x14ac:dyDescent="0.35">
      <c r="A419" s="38">
        <v>37043</v>
      </c>
      <c r="B419" s="39">
        <f>VLOOKUP(Table8[[#This Row],[Month]],database!A:J,MATCH('Capacity Utilization'!$A$1,database!$A$1:$J$1,),)</f>
        <v>76.2089</v>
      </c>
      <c r="C419" s="68">
        <f>(VLOOKUP(A419,database!A:K,11,) - VLOOKUP(A407,database!A:K,11,))/VLOOKUP(A407,database!A:K,11,)</f>
        <v>1.623815967523665E-2</v>
      </c>
    </row>
    <row r="420" spans="1:3" x14ac:dyDescent="0.35">
      <c r="A420" s="38">
        <v>37073</v>
      </c>
      <c r="B420" s="39">
        <f>VLOOKUP(Table8[[#This Row],[Month]],database!A:J,MATCH('Capacity Utilization'!$A$1,database!$A$1:$J$1,),)</f>
        <v>75.563299999999998</v>
      </c>
      <c r="C420" s="68">
        <f>(VLOOKUP(A420,database!A:K,11,) - VLOOKUP(A408,database!A:K,11,))/VLOOKUP(A408,database!A:K,11,)</f>
        <v>1.6205266711681335E-2</v>
      </c>
    </row>
    <row r="421" spans="1:3" x14ac:dyDescent="0.35">
      <c r="A421" s="38">
        <v>37104</v>
      </c>
      <c r="B421" s="39">
        <f>VLOOKUP(Table8[[#This Row],[Month]],database!A:J,MATCH('Capacity Utilization'!$A$1,database!$A$1:$J$1,),)</f>
        <v>75.289100000000005</v>
      </c>
      <c r="C421" s="68">
        <f>(VLOOKUP(A421,database!A:K,11,) - VLOOKUP(A409,database!A:K,11,))/VLOOKUP(A409,database!A:K,11,)</f>
        <v>1.5519568151147176E-2</v>
      </c>
    </row>
    <row r="422" spans="1:3" x14ac:dyDescent="0.35">
      <c r="A422" s="38">
        <v>37135</v>
      </c>
      <c r="B422" s="39">
        <f>VLOOKUP(Table8[[#This Row],[Month]],database!A:J,MATCH('Capacity Utilization'!$A$1,database!$A$1:$J$1,),)</f>
        <v>74.7196</v>
      </c>
      <c r="C422" s="68">
        <f>(VLOOKUP(A422,database!A:K,11,) - VLOOKUP(A410,database!A:K,11,))/VLOOKUP(A410,database!A:K,11,)</f>
        <v>1.4131897711978429E-2</v>
      </c>
    </row>
    <row r="423" spans="1:3" x14ac:dyDescent="0.35">
      <c r="A423" s="38">
        <v>37165</v>
      </c>
      <c r="B423" s="39">
        <f>VLOOKUP(Table8[[#This Row],[Month]],database!A:J,MATCH('Capacity Utilization'!$A$1,database!$A$1:$J$1,),)</f>
        <v>74.3309</v>
      </c>
      <c r="C423" s="68">
        <f>(VLOOKUP(A423,database!A:K,11,) - VLOOKUP(A411,database!A:K,11,))/VLOOKUP(A411,database!A:K,11,)</f>
        <v>8.7542087542088302E-3</v>
      </c>
    </row>
    <row r="424" spans="1:3" x14ac:dyDescent="0.35">
      <c r="A424" s="38">
        <v>37196</v>
      </c>
      <c r="B424" s="39">
        <f>VLOOKUP(Table8[[#This Row],[Month]],database!A:J,MATCH('Capacity Utilization'!$A$1,database!$A$1:$J$1,),)</f>
        <v>73.753500000000003</v>
      </c>
      <c r="C424" s="68">
        <f>(VLOOKUP(A424,database!A:K,11,) - VLOOKUP(A412,database!A:K,11,))/VLOOKUP(A412,database!A:K,11,)</f>
        <v>1.0087424344317418E-2</v>
      </c>
    </row>
    <row r="425" spans="1:3" x14ac:dyDescent="0.35">
      <c r="A425" s="38">
        <v>37226</v>
      </c>
      <c r="B425" s="39">
        <f>VLOOKUP(Table8[[#This Row],[Month]],database!A:J,MATCH('Capacity Utilization'!$A$1,database!$A$1:$J$1,),)</f>
        <v>73.594700000000003</v>
      </c>
      <c r="C425" s="68">
        <f>(VLOOKUP(A425,database!A:K,11,) - VLOOKUP(A413,database!A:K,11,))/VLOOKUP(A413,database!A:K,11,)</f>
        <v>1.0073875083948958E-2</v>
      </c>
    </row>
    <row r="426" spans="1:3" x14ac:dyDescent="0.35">
      <c r="A426" s="38">
        <v>37257</v>
      </c>
      <c r="B426" s="39">
        <f>VLOOKUP(Table8[[#This Row],[Month]],database!A:J,MATCH('Capacity Utilization'!$A$1,database!$A$1:$J$1,),)</f>
        <v>73.986199999999997</v>
      </c>
      <c r="C426" s="68">
        <f>(VLOOKUP(A426,database!A:K,11,) - VLOOKUP(A414,database!A:K,11,))/VLOOKUP(A414,database!A:K,11,)</f>
        <v>3.3444816053511705E-3</v>
      </c>
    </row>
    <row r="427" spans="1:3" x14ac:dyDescent="0.35">
      <c r="A427" s="38">
        <v>37288</v>
      </c>
      <c r="B427" s="39">
        <f>VLOOKUP(Table8[[#This Row],[Month]],database!A:J,MATCH('Capacity Utilization'!$A$1,database!$A$1:$J$1,),)</f>
        <v>73.873599999999996</v>
      </c>
      <c r="C427" s="68">
        <f>(VLOOKUP(A427,database!A:K,11,) - VLOOKUP(A415,database!A:K,11,))/VLOOKUP(A415,database!A:K,11,)</f>
        <v>6.0321715817694757E-3</v>
      </c>
    </row>
    <row r="428" spans="1:3" x14ac:dyDescent="0.35">
      <c r="A428" s="38">
        <v>37316</v>
      </c>
      <c r="B428" s="39">
        <f>VLOOKUP(Table8[[#This Row],[Month]],database!A:J,MATCH('Capacity Utilization'!$A$1,database!$A$1:$J$1,),)</f>
        <v>74.346100000000007</v>
      </c>
      <c r="C428" s="68">
        <f>(VLOOKUP(A428,database!A:K,11,) - VLOOKUP(A416,database!A:K,11,))/VLOOKUP(A416,database!A:K,11,)</f>
        <v>3.3444816053511705E-3</v>
      </c>
    </row>
    <row r="429" spans="1:3" x14ac:dyDescent="0.35">
      <c r="A429" s="38">
        <v>37347</v>
      </c>
      <c r="B429" s="39">
        <f>VLOOKUP(Table8[[#This Row],[Month]],database!A:J,MATCH('Capacity Utilization'!$A$1,database!$A$1:$J$1,),)</f>
        <v>74.630700000000004</v>
      </c>
      <c r="C429" s="68">
        <f>(VLOOKUP(A429,database!A:K,11,) - VLOOKUP(A417,database!A:K,11,))/VLOOKUP(A417,database!A:K,11,)</f>
        <v>3.337783711615487E-3</v>
      </c>
    </row>
    <row r="430" spans="1:3" x14ac:dyDescent="0.35">
      <c r="A430" s="38">
        <v>37377</v>
      </c>
      <c r="B430" s="39">
        <f>VLOOKUP(Table8[[#This Row],[Month]],database!A:J,MATCH('Capacity Utilization'!$A$1,database!$A$1:$J$1,),)</f>
        <v>74.897000000000006</v>
      </c>
      <c r="C430" s="68">
        <f>(VLOOKUP(A430,database!A:K,11,) - VLOOKUP(A418,database!A:K,11,))/VLOOKUP(A418,database!A:K,11,)</f>
        <v>6.6622251832108143E-4</v>
      </c>
    </row>
    <row r="431" spans="1:3" x14ac:dyDescent="0.35">
      <c r="A431" s="38">
        <v>37408</v>
      </c>
      <c r="B431" s="39">
        <f>VLOOKUP(Table8[[#This Row],[Month]],database!A:J,MATCH('Capacity Utilization'!$A$1,database!$A$1:$J$1,),)</f>
        <v>75.468999999999994</v>
      </c>
      <c r="C431" s="68">
        <f>(VLOOKUP(A431,database!A:K,11,) - VLOOKUP(A419,database!A:K,11,))/VLOOKUP(A419,database!A:K,11,)</f>
        <v>1.9973368841545366E-3</v>
      </c>
    </row>
    <row r="432" spans="1:3" x14ac:dyDescent="0.35">
      <c r="A432" s="38">
        <v>37438</v>
      </c>
      <c r="B432" s="39">
        <f>VLOOKUP(Table8[[#This Row],[Month]],database!A:J,MATCH('Capacity Utilization'!$A$1,database!$A$1:$J$1,),)</f>
        <v>75.426199999999994</v>
      </c>
      <c r="C432" s="68">
        <f>(VLOOKUP(A432,database!A:K,11,) - VLOOKUP(A420,database!A:K,11,))/VLOOKUP(A420,database!A:K,11,)</f>
        <v>-3.3222591362126247E-3</v>
      </c>
    </row>
    <row r="433" spans="1:3" x14ac:dyDescent="0.35">
      <c r="A433" s="38">
        <v>37469</v>
      </c>
      <c r="B433" s="39">
        <f>VLOOKUP(Table8[[#This Row],[Month]],database!A:J,MATCH('Capacity Utilization'!$A$1,database!$A$1:$J$1,),)</f>
        <v>75.317999999999998</v>
      </c>
      <c r="C433" s="68">
        <f>(VLOOKUP(A433,database!A:K,11,) - VLOOKUP(A421,database!A:K,11,))/VLOOKUP(A421,database!A:K,11,)</f>
        <v>-3.9867109634551118E-3</v>
      </c>
    </row>
    <row r="434" spans="1:3" x14ac:dyDescent="0.35">
      <c r="A434" s="38">
        <v>37500</v>
      </c>
      <c r="B434" s="39">
        <f>VLOOKUP(Table8[[#This Row],[Month]],database!A:J,MATCH('Capacity Utilization'!$A$1,database!$A$1:$J$1,),)</f>
        <v>75.398799999999994</v>
      </c>
      <c r="C434" s="68">
        <f>(VLOOKUP(A434,database!A:K,11,) - VLOOKUP(A422,database!A:K,11,))/VLOOKUP(A422,database!A:K,11,)</f>
        <v>-2.6542800265426498E-3</v>
      </c>
    </row>
    <row r="435" spans="1:3" x14ac:dyDescent="0.35">
      <c r="A435" s="38">
        <v>37530</v>
      </c>
      <c r="B435" s="39">
        <f>VLOOKUP(Table8[[#This Row],[Month]],database!A:J,MATCH('Capacity Utilization'!$A$1,database!$A$1:$J$1,),)</f>
        <v>75.212100000000007</v>
      </c>
      <c r="C435" s="68">
        <f>(VLOOKUP(A435,database!A:K,11,) - VLOOKUP(A423,database!A:K,11,))/VLOOKUP(A423,database!A:K,11,)</f>
        <v>4.6728971962616056E-3</v>
      </c>
    </row>
    <row r="436" spans="1:3" x14ac:dyDescent="0.35">
      <c r="A436" s="38">
        <v>37561</v>
      </c>
      <c r="B436" s="39">
        <f>VLOOKUP(Table8[[#This Row],[Month]],database!A:J,MATCH('Capacity Utilization'!$A$1,database!$A$1:$J$1,),)</f>
        <v>75.642700000000005</v>
      </c>
      <c r="C436" s="68">
        <f>(VLOOKUP(A436,database!A:K,11,) - VLOOKUP(A424,database!A:K,11,))/VLOOKUP(A424,database!A:K,11,)</f>
        <v>6.6577896138497164E-4</v>
      </c>
    </row>
    <row r="437" spans="1:3" x14ac:dyDescent="0.35">
      <c r="A437" s="38">
        <v>37591</v>
      </c>
      <c r="B437" s="39">
        <f>VLOOKUP(Table8[[#This Row],[Month]],database!A:J,MATCH('Capacity Utilization'!$A$1,database!$A$1:$J$1,),)</f>
        <v>75.261700000000005</v>
      </c>
      <c r="C437" s="68">
        <f>(VLOOKUP(A437,database!A:K,11,) - VLOOKUP(A425,database!A:K,11,))/VLOOKUP(A425,database!A:K,11,)</f>
        <v>-5.9840425531915266E-3</v>
      </c>
    </row>
    <row r="438" spans="1:3" x14ac:dyDescent="0.35">
      <c r="A438" s="38">
        <v>37622</v>
      </c>
      <c r="B438" s="39">
        <f>VLOOKUP(Table8[[#This Row],[Month]],database!A:J,MATCH('Capacity Utilization'!$A$1,database!$A$1:$J$1,),)</f>
        <v>75.915400000000005</v>
      </c>
      <c r="C438" s="68">
        <f>(VLOOKUP(A438,database!A:K,11,) - VLOOKUP(A426,database!A:K,11,))/VLOOKUP(A426,database!A:K,11,)</f>
        <v>-1.3333333333332576E-3</v>
      </c>
    </row>
    <row r="439" spans="1:3" x14ac:dyDescent="0.35">
      <c r="A439" s="38">
        <v>37653</v>
      </c>
      <c r="B439" s="39">
        <f>VLOOKUP(Table8[[#This Row],[Month]],database!A:J,MATCH('Capacity Utilization'!$A$1,database!$A$1:$J$1,),)</f>
        <v>76.025599999999997</v>
      </c>
      <c r="C439" s="68">
        <f>(VLOOKUP(A439,database!A:K,11,) - VLOOKUP(A427,database!A:K,11,))/VLOOKUP(A427,database!A:K,11,)</f>
        <v>-1.3324450366421629E-3</v>
      </c>
    </row>
    <row r="440" spans="1:3" x14ac:dyDescent="0.35">
      <c r="A440" s="38">
        <v>37681</v>
      </c>
      <c r="B440" s="39">
        <f>VLOOKUP(Table8[[#This Row],[Month]],database!A:J,MATCH('Capacity Utilization'!$A$1,database!$A$1:$J$1,),)</f>
        <v>75.829499999999996</v>
      </c>
      <c r="C440" s="68">
        <f>(VLOOKUP(A440,database!A:K,11,) - VLOOKUP(A428,database!A:K,11,))/VLOOKUP(A428,database!A:K,11,)</f>
        <v>4.6666666666665907E-3</v>
      </c>
    </row>
    <row r="441" spans="1:3" x14ac:dyDescent="0.35">
      <c r="A441" s="38">
        <v>37712</v>
      </c>
      <c r="B441" s="39">
        <f>VLOOKUP(Table8[[#This Row],[Month]],database!A:J,MATCH('Capacity Utilization'!$A$1,database!$A$1:$J$1,),)</f>
        <v>75.379499999999993</v>
      </c>
      <c r="C441" s="68">
        <f>(VLOOKUP(A441,database!A:K,11,) - VLOOKUP(A429,database!A:K,11,))/VLOOKUP(A429,database!A:K,11,)</f>
        <v>-2.661343978709286E-3</v>
      </c>
    </row>
    <row r="442" spans="1:3" x14ac:dyDescent="0.35">
      <c r="A442" s="38">
        <v>37742</v>
      </c>
      <c r="B442" s="39">
        <f>VLOOKUP(Table8[[#This Row],[Month]],database!A:J,MATCH('Capacity Utilization'!$A$1,database!$A$1:$J$1,),)</f>
        <v>75.392600000000002</v>
      </c>
      <c r="C442" s="68">
        <f>(VLOOKUP(A442,database!A:K,11,) - VLOOKUP(A430,database!A:K,11,))/VLOOKUP(A430,database!A:K,11,)</f>
        <v>-6.6577896138478245E-4</v>
      </c>
    </row>
    <row r="443" spans="1:3" x14ac:dyDescent="0.35">
      <c r="A443" s="38">
        <v>37773</v>
      </c>
      <c r="B443" s="39">
        <f>VLOOKUP(Table8[[#This Row],[Month]],database!A:J,MATCH('Capacity Utilization'!$A$1,database!$A$1:$J$1,),)</f>
        <v>75.521299999999997</v>
      </c>
      <c r="C443" s="68">
        <f>(VLOOKUP(A443,database!A:K,11,) - VLOOKUP(A431,database!A:K,11,))/VLOOKUP(A431,database!A:K,11,)</f>
        <v>-2.6578073089701375E-3</v>
      </c>
    </row>
    <row r="444" spans="1:3" x14ac:dyDescent="0.35">
      <c r="A444" s="38">
        <v>37803</v>
      </c>
      <c r="B444" s="39">
        <f>VLOOKUP(Table8[[#This Row],[Month]],database!A:J,MATCH('Capacity Utilization'!$A$1,database!$A$1:$J$1,),)</f>
        <v>75.935299999999998</v>
      </c>
      <c r="C444" s="68">
        <f>(VLOOKUP(A444,database!A:K,11,) - VLOOKUP(A432,database!A:K,11,))/VLOOKUP(A432,database!A:K,11,)</f>
        <v>2.0000000000000759E-3</v>
      </c>
    </row>
    <row r="445" spans="1:3" x14ac:dyDescent="0.35">
      <c r="A445" s="38">
        <v>37834</v>
      </c>
      <c r="B445" s="39">
        <f>VLOOKUP(Table8[[#This Row],[Month]],database!A:J,MATCH('Capacity Utilization'!$A$1,database!$A$1:$J$1,),)</f>
        <v>75.7714</v>
      </c>
      <c r="C445" s="68">
        <f>(VLOOKUP(A445,database!A:K,11,) - VLOOKUP(A433,database!A:K,11,))/VLOOKUP(A433,database!A:K,11,)</f>
        <v>4.0026684456303824E-3</v>
      </c>
    </row>
    <row r="446" spans="1:3" x14ac:dyDescent="0.35">
      <c r="A446" s="38">
        <v>37865</v>
      </c>
      <c r="B446" s="39">
        <f>VLOOKUP(Table8[[#This Row],[Month]],database!A:J,MATCH('Capacity Utilization'!$A$1,database!$A$1:$J$1,),)</f>
        <v>76.285399999999996</v>
      </c>
      <c r="C446" s="68">
        <f>(VLOOKUP(A446,database!A:K,11,) - VLOOKUP(A434,database!A:K,11,))/VLOOKUP(A434,database!A:K,11,)</f>
        <v>6.6533599467727422E-4</v>
      </c>
    </row>
    <row r="447" spans="1:3" x14ac:dyDescent="0.35">
      <c r="A447" s="38">
        <v>37895</v>
      </c>
      <c r="B447" s="39">
        <f>VLOOKUP(Table8[[#This Row],[Month]],database!A:J,MATCH('Capacity Utilization'!$A$1,database!$A$1:$J$1,),)</f>
        <v>76.394300000000001</v>
      </c>
      <c r="C447" s="68">
        <f>(VLOOKUP(A447,database!A:K,11,) - VLOOKUP(A435,database!A:K,11,))/VLOOKUP(A435,database!A:K,11,)</f>
        <v>3.9867109634551118E-3</v>
      </c>
    </row>
    <row r="448" spans="1:3" x14ac:dyDescent="0.35">
      <c r="A448" s="38">
        <v>37926</v>
      </c>
      <c r="B448" s="39">
        <f>VLOOKUP(Table8[[#This Row],[Month]],database!A:J,MATCH('Capacity Utilization'!$A$1,database!$A$1:$J$1,),)</f>
        <v>76.921800000000005</v>
      </c>
      <c r="C448" s="68">
        <f>(VLOOKUP(A448,database!A:K,11,) - VLOOKUP(A436,database!A:K,11,))/VLOOKUP(A436,database!A:K,11,)</f>
        <v>4.6573519627411087E-3</v>
      </c>
    </row>
    <row r="449" spans="1:3" x14ac:dyDescent="0.35">
      <c r="A449" s="38">
        <v>37956</v>
      </c>
      <c r="B449" s="39">
        <f>VLOOKUP(Table8[[#This Row],[Month]],database!A:J,MATCH('Capacity Utilization'!$A$1,database!$A$1:$J$1,),)</f>
        <v>76.998099999999994</v>
      </c>
      <c r="C449" s="68">
        <f>(VLOOKUP(A449,database!A:K,11,) - VLOOKUP(A437,database!A:K,11,))/VLOOKUP(A437,database!A:K,11,)</f>
        <v>1.0033444816053512E-2</v>
      </c>
    </row>
    <row r="450" spans="1:3" x14ac:dyDescent="0.35">
      <c r="A450" s="38">
        <v>37987</v>
      </c>
      <c r="B450" s="39">
        <f>VLOOKUP(Table8[[#This Row],[Month]],database!A:J,MATCH('Capacity Utilization'!$A$1,database!$A$1:$J$1,),)</f>
        <v>77.138499999999993</v>
      </c>
      <c r="C450" s="68">
        <f>(VLOOKUP(A450,database!A:K,11,) - VLOOKUP(A438,database!A:K,11,))/VLOOKUP(A438,database!A:K,11,)</f>
        <v>1.0680907877169521E-2</v>
      </c>
    </row>
    <row r="451" spans="1:3" x14ac:dyDescent="0.35">
      <c r="A451" s="38">
        <v>38018</v>
      </c>
      <c r="B451" s="39">
        <f>VLOOKUP(Table8[[#This Row],[Month]],database!A:J,MATCH('Capacity Utilization'!$A$1,database!$A$1:$J$1,),)</f>
        <v>77.621099999999998</v>
      </c>
      <c r="C451" s="68">
        <f>(VLOOKUP(A451,database!A:K,11,) - VLOOKUP(A439,database!A:K,11,))/VLOOKUP(A439,database!A:K,11,)</f>
        <v>9.3395597064710179E-3</v>
      </c>
    </row>
    <row r="452" spans="1:3" x14ac:dyDescent="0.35">
      <c r="A452" s="38">
        <v>38047</v>
      </c>
      <c r="B452" s="39">
        <f>VLOOKUP(Table8[[#This Row],[Month]],database!A:J,MATCH('Capacity Utilization'!$A$1,database!$A$1:$J$1,),)</f>
        <v>77.327799999999996</v>
      </c>
      <c r="C452" s="68">
        <f>(VLOOKUP(A452,database!A:K,11,) - VLOOKUP(A440,database!A:K,11,))/VLOOKUP(A440,database!A:K,11,)</f>
        <v>7.2992700729928523E-3</v>
      </c>
    </row>
    <row r="453" spans="1:3" x14ac:dyDescent="0.35">
      <c r="A453" s="38">
        <v>38078</v>
      </c>
      <c r="B453" s="39">
        <f>VLOOKUP(Table8[[#This Row],[Month]],database!A:J,MATCH('Capacity Utilization'!$A$1,database!$A$1:$J$1,),)</f>
        <v>77.656700000000001</v>
      </c>
      <c r="C453" s="68">
        <f>(VLOOKUP(A453,database!A:K,11,) - VLOOKUP(A441,database!A:K,11,))/VLOOKUP(A441,database!A:K,11,)</f>
        <v>1.33422281521014E-2</v>
      </c>
    </row>
    <row r="454" spans="1:3" x14ac:dyDescent="0.35">
      <c r="A454" s="38">
        <v>38108</v>
      </c>
      <c r="B454" s="39">
        <f>VLOOKUP(Table8[[#This Row],[Month]],database!A:J,MATCH('Capacity Utilization'!$A$1,database!$A$1:$J$1,),)</f>
        <v>78.228399999999993</v>
      </c>
      <c r="C454" s="68">
        <f>(VLOOKUP(A454,database!A:K,11,) - VLOOKUP(A442,database!A:K,11,))/VLOOKUP(A442,database!A:K,11,)</f>
        <v>1.4656895403064737E-2</v>
      </c>
    </row>
    <row r="455" spans="1:3" x14ac:dyDescent="0.35">
      <c r="A455" s="38">
        <v>38139</v>
      </c>
      <c r="B455" s="39">
        <f>VLOOKUP(Table8[[#This Row],[Month]],database!A:J,MATCH('Capacity Utilization'!$A$1,database!$A$1:$J$1,),)</f>
        <v>77.6417</v>
      </c>
      <c r="C455" s="68">
        <f>(VLOOKUP(A455,database!A:K,11,) - VLOOKUP(A443,database!A:K,11,))/VLOOKUP(A443,database!A:K,11,)</f>
        <v>1.7988007994670333E-2</v>
      </c>
    </row>
    <row r="456" spans="1:3" x14ac:dyDescent="0.35">
      <c r="A456" s="38">
        <v>38169</v>
      </c>
      <c r="B456" s="39">
        <f>VLOOKUP(Table8[[#This Row],[Month]],database!A:J,MATCH('Capacity Utilization'!$A$1,database!$A$1:$J$1,),)</f>
        <v>78.215999999999994</v>
      </c>
      <c r="C456" s="68">
        <f>(VLOOKUP(A456,database!A:K,11,) - VLOOKUP(A444,database!A:K,11,))/VLOOKUP(A444,database!A:K,11,)</f>
        <v>1.4637391882900789E-2</v>
      </c>
    </row>
    <row r="457" spans="1:3" x14ac:dyDescent="0.35">
      <c r="A457" s="38">
        <v>38200</v>
      </c>
      <c r="B457" s="39">
        <f>VLOOKUP(Table8[[#This Row],[Month]],database!A:J,MATCH('Capacity Utilization'!$A$1,database!$A$1:$J$1,),)</f>
        <v>78.287000000000006</v>
      </c>
      <c r="C457" s="68">
        <f>(VLOOKUP(A457,database!A:K,11,) - VLOOKUP(A445,database!A:K,11,))/VLOOKUP(A445,database!A:K,11,)</f>
        <v>1.5946843853820634E-2</v>
      </c>
    </row>
    <row r="458" spans="1:3" x14ac:dyDescent="0.35">
      <c r="A458" s="38">
        <v>38231</v>
      </c>
      <c r="B458" s="39">
        <f>VLOOKUP(Table8[[#This Row],[Month]],database!A:J,MATCH('Capacity Utilization'!$A$1,database!$A$1:$J$1,),)</f>
        <v>78.361599999999996</v>
      </c>
      <c r="C458" s="68">
        <f>(VLOOKUP(A458,database!A:K,11,) - VLOOKUP(A446,database!A:K,11,))/VLOOKUP(A446,database!A:K,11,)</f>
        <v>1.8617021276595629E-2</v>
      </c>
    </row>
    <row r="459" spans="1:3" x14ac:dyDescent="0.35">
      <c r="A459" s="38">
        <v>38261</v>
      </c>
      <c r="B459" s="39">
        <f>VLOOKUP(Table8[[#This Row],[Month]],database!A:J,MATCH('Capacity Utilization'!$A$1,database!$A$1:$J$1,),)</f>
        <v>79.033100000000005</v>
      </c>
      <c r="C459" s="68">
        <f>(VLOOKUP(A459,database!A:K,11,) - VLOOKUP(A447,database!A:K,11,))/VLOOKUP(A447,database!A:K,11,)</f>
        <v>1.7207147584381167E-2</v>
      </c>
    </row>
    <row r="460" spans="1:3" x14ac:dyDescent="0.35">
      <c r="A460" s="38">
        <v>38292</v>
      </c>
      <c r="B460" s="39">
        <f>VLOOKUP(Table8[[#This Row],[Month]],database!A:J,MATCH('Capacity Utilization'!$A$1,database!$A$1:$J$1,),)</f>
        <v>79.191500000000005</v>
      </c>
      <c r="C460" s="68">
        <f>(VLOOKUP(A460,database!A:K,11,) - VLOOKUP(A448,database!A:K,11,))/VLOOKUP(A448,database!A:K,11,)</f>
        <v>2.0529801324503275E-2</v>
      </c>
    </row>
    <row r="461" spans="1:3" x14ac:dyDescent="0.35">
      <c r="A461" s="38">
        <v>38322</v>
      </c>
      <c r="B461" s="39">
        <f>VLOOKUP(Table8[[#This Row],[Month]],database!A:J,MATCH('Capacity Utilization'!$A$1,database!$A$1:$J$1,),)</f>
        <v>79.763099999999994</v>
      </c>
      <c r="C461" s="68">
        <f>(VLOOKUP(A461,database!A:K,11,) - VLOOKUP(A449,database!A:K,11,))/VLOOKUP(A449,database!A:K,11,)</f>
        <v>2.3178807947019868E-2</v>
      </c>
    </row>
    <row r="462" spans="1:3" x14ac:dyDescent="0.35">
      <c r="A462" s="38">
        <v>38353</v>
      </c>
      <c r="B462" s="39">
        <f>VLOOKUP(Table8[[#This Row],[Month]],database!A:J,MATCH('Capacity Utilization'!$A$1,database!$A$1:$J$1,),)</f>
        <v>79.997799999999998</v>
      </c>
      <c r="C462" s="68">
        <f>(VLOOKUP(A462,database!A:K,11,) - VLOOKUP(A450,database!A:K,11,))/VLOOKUP(A450,database!A:K,11,)</f>
        <v>2.6420079260237778E-2</v>
      </c>
    </row>
    <row r="463" spans="1:3" x14ac:dyDescent="0.35">
      <c r="A463" s="38">
        <v>38384</v>
      </c>
      <c r="B463" s="39">
        <f>VLOOKUP(Table8[[#This Row],[Month]],database!A:J,MATCH('Capacity Utilization'!$A$1,database!$A$1:$J$1,),)</f>
        <v>80.5137</v>
      </c>
      <c r="C463" s="68">
        <f>(VLOOKUP(A463,database!A:K,11,) - VLOOKUP(A451,database!A:K,11,))/VLOOKUP(A451,database!A:K,11,)</f>
        <v>2.6437541308658292E-2</v>
      </c>
    </row>
    <row r="464" spans="1:3" x14ac:dyDescent="0.35">
      <c r="A464" s="38">
        <v>38412</v>
      </c>
      <c r="B464" s="39">
        <f>VLOOKUP(Table8[[#This Row],[Month]],database!A:J,MATCH('Capacity Utilization'!$A$1,database!$A$1:$J$1,),)</f>
        <v>80.319400000000002</v>
      </c>
      <c r="C464" s="68">
        <f>(VLOOKUP(A464,database!A:K,11,) - VLOOKUP(A452,database!A:K,11,))/VLOOKUP(A452,database!A:K,11,)</f>
        <v>2.5032938076416222E-2</v>
      </c>
    </row>
    <row r="465" spans="1:3" x14ac:dyDescent="0.35">
      <c r="A465" s="38">
        <v>38443</v>
      </c>
      <c r="B465" s="39">
        <f>VLOOKUP(Table8[[#This Row],[Month]],database!A:J,MATCH('Capacity Utilization'!$A$1,database!$A$1:$J$1,),)</f>
        <v>80.3904</v>
      </c>
      <c r="C465" s="68">
        <f>(VLOOKUP(A465,database!A:K,11,) - VLOOKUP(A453,database!A:K,11,))/VLOOKUP(A453,database!A:K,11,)</f>
        <v>2.699144173798548E-2</v>
      </c>
    </row>
    <row r="466" spans="1:3" x14ac:dyDescent="0.35">
      <c r="A466" s="38">
        <v>38473</v>
      </c>
      <c r="B466" s="39">
        <f>VLOOKUP(Table8[[#This Row],[Month]],database!A:J,MATCH('Capacity Utilization'!$A$1,database!$A$1:$J$1,),)</f>
        <v>80.387</v>
      </c>
      <c r="C466" s="68">
        <f>(VLOOKUP(A466,database!A:K,11,) - VLOOKUP(A454,database!A:K,11,))/VLOOKUP(A454,database!A:K,11,)</f>
        <v>2.6920551543007182E-2</v>
      </c>
    </row>
    <row r="467" spans="1:3" x14ac:dyDescent="0.35">
      <c r="A467" s="38">
        <v>38504</v>
      </c>
      <c r="B467" s="39">
        <f>VLOOKUP(Table8[[#This Row],[Month]],database!A:J,MATCH('Capacity Utilization'!$A$1,database!$A$1:$J$1,),)</f>
        <v>80.613</v>
      </c>
      <c r="C467" s="68">
        <f>(VLOOKUP(A467,database!A:K,11,) - VLOOKUP(A455,database!A:K,11,))/VLOOKUP(A455,database!A:K,11,)</f>
        <v>2.225130890052341E-2</v>
      </c>
    </row>
    <row r="468" spans="1:3" x14ac:dyDescent="0.35">
      <c r="A468" s="38">
        <v>38534</v>
      </c>
      <c r="B468" s="39">
        <f>VLOOKUP(Table8[[#This Row],[Month]],database!A:J,MATCH('Capacity Utilization'!$A$1,database!$A$1:$J$1,),)</f>
        <v>80.262500000000003</v>
      </c>
      <c r="C468" s="68">
        <f>(VLOOKUP(A468,database!A:K,11,) - VLOOKUP(A456,database!A:K,11,))/VLOOKUP(A456,database!A:K,11,)</f>
        <v>2.8196721311475485E-2</v>
      </c>
    </row>
    <row r="469" spans="1:3" x14ac:dyDescent="0.35">
      <c r="A469" s="38">
        <v>38565</v>
      </c>
      <c r="B469" s="39">
        <f>VLOOKUP(Table8[[#This Row],[Month]],database!A:J,MATCH('Capacity Utilization'!$A$1,database!$A$1:$J$1,),)</f>
        <v>80.42</v>
      </c>
      <c r="C469" s="68">
        <f>(VLOOKUP(A469,database!A:K,11,) - VLOOKUP(A457,database!A:K,11,))/VLOOKUP(A457,database!A:K,11,)</f>
        <v>2.6160889470241987E-2</v>
      </c>
    </row>
    <row r="470" spans="1:3" x14ac:dyDescent="0.35">
      <c r="A470" s="38">
        <v>38596</v>
      </c>
      <c r="B470" s="39">
        <f>VLOOKUP(Table8[[#This Row],[Month]],database!A:J,MATCH('Capacity Utilization'!$A$1,database!$A$1:$J$1,),)</f>
        <v>78.757800000000003</v>
      </c>
      <c r="C470" s="68">
        <f>(VLOOKUP(A470,database!A:K,11,) - VLOOKUP(A458,database!A:K,11,))/VLOOKUP(A458,database!A:K,11,)</f>
        <v>2.545691906005226E-2</v>
      </c>
    </row>
    <row r="471" spans="1:3" x14ac:dyDescent="0.35">
      <c r="A471" s="38">
        <v>38626</v>
      </c>
      <c r="B471" s="39">
        <f>VLOOKUP(Table8[[#This Row],[Month]],database!A:J,MATCH('Capacity Utilization'!$A$1,database!$A$1:$J$1,),)</f>
        <v>79.597499999999997</v>
      </c>
      <c r="C471" s="68">
        <f>(VLOOKUP(A471,database!A:K,11,) - VLOOKUP(A459,database!A:K,11,))/VLOOKUP(A459,database!A:K,11,)</f>
        <v>2.0169160702667683E-2</v>
      </c>
    </row>
    <row r="472" spans="1:3" x14ac:dyDescent="0.35">
      <c r="A472" s="38">
        <v>38657</v>
      </c>
      <c r="B472" s="39">
        <f>VLOOKUP(Table8[[#This Row],[Month]],database!A:J,MATCH('Capacity Utilization'!$A$1,database!$A$1:$J$1,),)</f>
        <v>80.364400000000003</v>
      </c>
      <c r="C472" s="68">
        <f>(VLOOKUP(A472,database!A:K,11,) - VLOOKUP(A460,database!A:K,11,))/VLOOKUP(A460,database!A:K,11,)</f>
        <v>1.7521090201168182E-2</v>
      </c>
    </row>
    <row r="473" spans="1:3" x14ac:dyDescent="0.35">
      <c r="A473" s="38">
        <v>38687</v>
      </c>
      <c r="B473" s="39">
        <f>VLOOKUP(Table8[[#This Row],[Month]],database!A:J,MATCH('Capacity Utilization'!$A$1,database!$A$1:$J$1,),)</f>
        <v>80.628399999999999</v>
      </c>
      <c r="C473" s="68">
        <f>(VLOOKUP(A473,database!A:K,11,) - VLOOKUP(A461,database!A:K,11,))/VLOOKUP(A461,database!A:K,11,)</f>
        <v>1.4886731391585833E-2</v>
      </c>
    </row>
    <row r="474" spans="1:3" x14ac:dyDescent="0.35">
      <c r="A474" s="38">
        <v>38718</v>
      </c>
      <c r="B474" s="39">
        <f>VLOOKUP(Table8[[#This Row],[Month]],database!A:J,MATCH('Capacity Utilization'!$A$1,database!$A$1:$J$1,),)</f>
        <v>80.664900000000003</v>
      </c>
      <c r="C474" s="68">
        <f>(VLOOKUP(A474,database!A:K,11,) - VLOOKUP(A462,database!A:K,11,))/VLOOKUP(A462,database!A:K,11,)</f>
        <v>1.3513513513513476E-2</v>
      </c>
    </row>
    <row r="475" spans="1:3" x14ac:dyDescent="0.35">
      <c r="A475" s="38">
        <v>38749</v>
      </c>
      <c r="B475" s="39">
        <f>VLOOKUP(Table8[[#This Row],[Month]],database!A:J,MATCH('Capacity Utilization'!$A$1,database!$A$1:$J$1,),)</f>
        <v>80.580299999999994</v>
      </c>
      <c r="C475" s="68">
        <f>(VLOOKUP(A475,database!A:K,11,) - VLOOKUP(A463,database!A:K,11,))/VLOOKUP(A463,database!A:K,11,)</f>
        <v>1.7385705086928452E-2</v>
      </c>
    </row>
    <row r="476" spans="1:3" x14ac:dyDescent="0.35">
      <c r="A476" s="38">
        <v>38777</v>
      </c>
      <c r="B476" s="39">
        <f>VLOOKUP(Table8[[#This Row],[Month]],database!A:J,MATCH('Capacity Utilization'!$A$1,database!$A$1:$J$1,),)</f>
        <v>80.6554</v>
      </c>
      <c r="C476" s="68">
        <f>(VLOOKUP(A476,database!A:K,11,) - VLOOKUP(A464,database!A:K,11,))/VLOOKUP(A464,database!A:K,11,)</f>
        <v>1.7994858611825267E-2</v>
      </c>
    </row>
    <row r="477" spans="1:3" x14ac:dyDescent="0.35">
      <c r="A477" s="38">
        <v>38808</v>
      </c>
      <c r="B477" s="39">
        <f>VLOOKUP(Table8[[#This Row],[Month]],database!A:J,MATCH('Capacity Utilization'!$A$1,database!$A$1:$J$1,),)</f>
        <v>80.781700000000001</v>
      </c>
      <c r="C477" s="68">
        <f>(VLOOKUP(A477,database!A:K,11,) - VLOOKUP(A465,database!A:K,11,))/VLOOKUP(A465,database!A:K,11,)</f>
        <v>1.6025641025641024E-2</v>
      </c>
    </row>
    <row r="478" spans="1:3" x14ac:dyDescent="0.35">
      <c r="A478" s="38">
        <v>38838</v>
      </c>
      <c r="B478" s="39">
        <f>VLOOKUP(Table8[[#This Row],[Month]],database!A:J,MATCH('Capacity Utilization'!$A$1,database!$A$1:$J$1,),)</f>
        <v>80.662199999999999</v>
      </c>
      <c r="C478" s="68">
        <f>(VLOOKUP(A478,database!A:K,11,) - VLOOKUP(A466,database!A:K,11,))/VLOOKUP(A466,database!A:K,11,)</f>
        <v>1.5984654731457801E-2</v>
      </c>
    </row>
    <row r="479" spans="1:3" x14ac:dyDescent="0.35">
      <c r="A479" s="38">
        <v>38869</v>
      </c>
      <c r="B479" s="39">
        <f>VLOOKUP(Table8[[#This Row],[Month]],database!A:J,MATCH('Capacity Utilization'!$A$1,database!$A$1:$J$1,),)</f>
        <v>80.782399999999996</v>
      </c>
      <c r="C479" s="68">
        <f>(VLOOKUP(A479,database!A:K,11,) - VLOOKUP(A467,database!A:K,11,))/VLOOKUP(A467,database!A:K,11,)</f>
        <v>1.7925736235595464E-2</v>
      </c>
    </row>
    <row r="480" spans="1:3" x14ac:dyDescent="0.35">
      <c r="A480" s="38">
        <v>38899</v>
      </c>
      <c r="B480" s="39">
        <f>VLOOKUP(Table8[[#This Row],[Month]],database!A:J,MATCH('Capacity Utilization'!$A$1,database!$A$1:$J$1,),)</f>
        <v>80.573499999999996</v>
      </c>
      <c r="C480" s="68">
        <f>(VLOOKUP(A480,database!A:K,11,) - VLOOKUP(A468,database!A:K,11,))/VLOOKUP(A468,database!A:K,11,)</f>
        <v>8.2908163265305035E-3</v>
      </c>
    </row>
    <row r="481" spans="1:3" x14ac:dyDescent="0.35">
      <c r="A481" s="38">
        <v>38930</v>
      </c>
      <c r="B481" s="39">
        <f>VLOOKUP(Table8[[#This Row],[Month]],database!A:J,MATCH('Capacity Utilization'!$A$1,database!$A$1:$J$1,),)</f>
        <v>80.753299999999996</v>
      </c>
      <c r="C481" s="68">
        <f>(VLOOKUP(A481,database!A:K,11,) - VLOOKUP(A469,database!A:K,11,))/VLOOKUP(A469,database!A:K,11,)</f>
        <v>1.1472275334607922E-2</v>
      </c>
    </row>
    <row r="482" spans="1:3" x14ac:dyDescent="0.35">
      <c r="A482" s="38">
        <v>38961</v>
      </c>
      <c r="B482" s="39">
        <f>VLOOKUP(Table8[[#This Row],[Month]],database!A:J,MATCH('Capacity Utilization'!$A$1,database!$A$1:$J$1,),)</f>
        <v>80.414000000000001</v>
      </c>
      <c r="C482" s="68">
        <f>(VLOOKUP(A482,database!A:K,11,) - VLOOKUP(A470,database!A:K,11,))/VLOOKUP(A470,database!A:K,11,)</f>
        <v>1.3367281985996146E-2</v>
      </c>
    </row>
    <row r="483" spans="1:3" x14ac:dyDescent="0.35">
      <c r="A483" s="38">
        <v>38991</v>
      </c>
      <c r="B483" s="39">
        <f>VLOOKUP(Table8[[#This Row],[Month]],database!A:J,MATCH('Capacity Utilization'!$A$1,database!$A$1:$J$1,),)</f>
        <v>80.148099999999999</v>
      </c>
      <c r="C483" s="68">
        <f>(VLOOKUP(A483,database!A:K,11,) - VLOOKUP(A471,database!A:K,11,))/VLOOKUP(A471,database!A:K,11,)</f>
        <v>1.0841836734693805E-2</v>
      </c>
    </row>
    <row r="484" spans="1:3" x14ac:dyDescent="0.35">
      <c r="A484" s="38">
        <v>39022</v>
      </c>
      <c r="B484" s="39">
        <f>VLOOKUP(Table8[[#This Row],[Month]],database!A:J,MATCH('Capacity Utilization'!$A$1,database!$A$1:$J$1,),)</f>
        <v>79.915899999999993</v>
      </c>
      <c r="C484" s="68">
        <f>(VLOOKUP(A484,database!A:K,11,) - VLOOKUP(A472,database!A:K,11,))/VLOOKUP(A472,database!A:K,11,)</f>
        <v>1.9770408163265269E-2</v>
      </c>
    </row>
    <row r="485" spans="1:3" x14ac:dyDescent="0.35">
      <c r="A485" s="38">
        <v>39052</v>
      </c>
      <c r="B485" s="39">
        <f>VLOOKUP(Table8[[#This Row],[Month]],database!A:J,MATCH('Capacity Utilization'!$A$1,database!$A$1:$J$1,),)</f>
        <v>80.541300000000007</v>
      </c>
      <c r="C485" s="68">
        <f>(VLOOKUP(A485,database!A:K,11,) - VLOOKUP(A473,database!A:K,11,))/VLOOKUP(A473,database!A:K,11,)</f>
        <v>2.0408163265306048E-2</v>
      </c>
    </row>
    <row r="486" spans="1:3" x14ac:dyDescent="0.35">
      <c r="A486" s="38">
        <v>39083</v>
      </c>
      <c r="B486" s="39">
        <f>VLOOKUP(Table8[[#This Row],[Month]],database!A:J,MATCH('Capacity Utilization'!$A$1,database!$A$1:$J$1,),)</f>
        <v>80.036699999999996</v>
      </c>
      <c r="C486" s="68">
        <f>(VLOOKUP(A486,database!A:K,11,) - VLOOKUP(A474,database!A:K,11,))/VLOOKUP(A474,database!A:K,11,)</f>
        <v>1.7142857142857071E-2</v>
      </c>
    </row>
    <row r="487" spans="1:3" x14ac:dyDescent="0.35">
      <c r="A487" s="38">
        <v>39114</v>
      </c>
      <c r="B487" s="39">
        <f>VLOOKUP(Table8[[#This Row],[Month]],database!A:J,MATCH('Capacity Utilization'!$A$1,database!$A$1:$J$1,),)</f>
        <v>80.624600000000001</v>
      </c>
      <c r="C487" s="68">
        <f>(VLOOKUP(A487,database!A:K,11,) - VLOOKUP(A475,database!A:K,11,))/VLOOKUP(A475,database!A:K,11,)</f>
        <v>1.8354430379746871E-2</v>
      </c>
    </row>
    <row r="488" spans="1:3" x14ac:dyDescent="0.35">
      <c r="A488" s="38">
        <v>39142</v>
      </c>
      <c r="B488" s="39">
        <f>VLOOKUP(Table8[[#This Row],[Month]],database!A:J,MATCH('Capacity Utilization'!$A$1,database!$A$1:$J$1,),)</f>
        <v>80.595399999999998</v>
      </c>
      <c r="C488" s="68">
        <f>(VLOOKUP(A488,database!A:K,11,) - VLOOKUP(A476,database!A:K,11,))/VLOOKUP(A476,database!A:K,11,)</f>
        <v>1.5782828282828284E-2</v>
      </c>
    </row>
    <row r="489" spans="1:3" x14ac:dyDescent="0.35">
      <c r="A489" s="38">
        <v>39173</v>
      </c>
      <c r="B489" s="39">
        <f>VLOOKUP(Table8[[#This Row],[Month]],database!A:J,MATCH('Capacity Utilization'!$A$1,database!$A$1:$J$1,),)</f>
        <v>80.973699999999994</v>
      </c>
      <c r="C489" s="68">
        <f>(VLOOKUP(A489,database!A:K,11,) - VLOOKUP(A477,database!A:K,11,))/VLOOKUP(A477,database!A:K,11,)</f>
        <v>1.5772870662460567E-2</v>
      </c>
    </row>
    <row r="490" spans="1:3" x14ac:dyDescent="0.35">
      <c r="A490" s="38">
        <v>39203</v>
      </c>
      <c r="B490" s="39">
        <f>VLOOKUP(Table8[[#This Row],[Month]],database!A:J,MATCH('Capacity Utilization'!$A$1,database!$A$1:$J$1,),)</f>
        <v>80.871300000000005</v>
      </c>
      <c r="C490" s="68">
        <f>(VLOOKUP(A490,database!A:K,11,) - VLOOKUP(A478,database!A:K,11,))/VLOOKUP(A478,database!A:K,11,)</f>
        <v>1.5733165512901194E-2</v>
      </c>
    </row>
    <row r="491" spans="1:3" x14ac:dyDescent="0.35">
      <c r="A491" s="38">
        <v>39234</v>
      </c>
      <c r="B491" s="39">
        <f>VLOOKUP(Table8[[#This Row],[Month]],database!A:J,MATCH('Capacity Utilization'!$A$1,database!$A$1:$J$1,),)</f>
        <v>80.754800000000003</v>
      </c>
      <c r="C491" s="68">
        <f>(VLOOKUP(A491,database!A:K,11,) - VLOOKUP(A479,database!A:K,11,))/VLOOKUP(A479,database!A:K,11,)</f>
        <v>1.6981132075471625E-2</v>
      </c>
    </row>
    <row r="492" spans="1:3" x14ac:dyDescent="0.35">
      <c r="A492" s="38">
        <v>39264</v>
      </c>
      <c r="B492" s="39">
        <f>VLOOKUP(Table8[[#This Row],[Month]],database!A:J,MATCH('Capacity Utilization'!$A$1,database!$A$1:$J$1,),)</f>
        <v>80.558199999999999</v>
      </c>
      <c r="C492" s="68">
        <f>(VLOOKUP(A492,database!A:K,11,) - VLOOKUP(A480,database!A:K,11,))/VLOOKUP(A480,database!A:K,11,)</f>
        <v>2.5300442757748263E-2</v>
      </c>
    </row>
    <row r="493" spans="1:3" x14ac:dyDescent="0.35">
      <c r="A493" s="38">
        <v>39295</v>
      </c>
      <c r="B493" s="39">
        <f>VLOOKUP(Table8[[#This Row],[Month]],database!A:J,MATCH('Capacity Utilization'!$A$1,database!$A$1:$J$1,),)</f>
        <v>80.650899999999993</v>
      </c>
      <c r="C493" s="68">
        <f>(VLOOKUP(A493,database!A:K,11,) - VLOOKUP(A481,database!A:K,11,))/VLOOKUP(A481,database!A:K,11,)</f>
        <v>2.2684310018903735E-2</v>
      </c>
    </row>
    <row r="494" spans="1:3" x14ac:dyDescent="0.35">
      <c r="A494" s="38">
        <v>39326</v>
      </c>
      <c r="B494" s="39">
        <f>VLOOKUP(Table8[[#This Row],[Month]],database!A:J,MATCH('Capacity Utilization'!$A$1,database!$A$1:$J$1,),)</f>
        <v>80.8035</v>
      </c>
      <c r="C494" s="68">
        <f>(VLOOKUP(A494,database!A:K,11,) - VLOOKUP(A482,database!A:K,11,))/VLOOKUP(A482,database!A:K,11,)</f>
        <v>1.9472361809045369E-2</v>
      </c>
    </row>
    <row r="495" spans="1:3" x14ac:dyDescent="0.35">
      <c r="A495" s="38">
        <v>39356</v>
      </c>
      <c r="B495" s="39">
        <f>VLOOKUP(Table8[[#This Row],[Month]],database!A:J,MATCH('Capacity Utilization'!$A$1,database!$A$1:$J$1,),)</f>
        <v>80.545900000000003</v>
      </c>
      <c r="C495" s="68">
        <f>(VLOOKUP(A495,database!A:K,11,) - VLOOKUP(A483,database!A:K,11,))/VLOOKUP(A483,database!A:K,11,)</f>
        <v>2.7760252365930636E-2</v>
      </c>
    </row>
    <row r="496" spans="1:3" x14ac:dyDescent="0.35">
      <c r="A496" s="38">
        <v>39387</v>
      </c>
      <c r="B496" s="39">
        <f>VLOOKUP(Table8[[#This Row],[Month]],database!A:J,MATCH('Capacity Utilization'!$A$1,database!$A$1:$J$1,),)</f>
        <v>81.016000000000005</v>
      </c>
      <c r="C496" s="68">
        <f>(VLOOKUP(A496,database!A:K,11,) - VLOOKUP(A484,database!A:K,11,))/VLOOKUP(A484,database!A:K,11,)</f>
        <v>2.1888680425265792E-2</v>
      </c>
    </row>
    <row r="497" spans="1:3" x14ac:dyDescent="0.35">
      <c r="A497" s="38">
        <v>39417</v>
      </c>
      <c r="B497" s="39">
        <f>VLOOKUP(Table8[[#This Row],[Month]],database!A:J,MATCH('Capacity Utilization'!$A$1,database!$A$1:$J$1,),)</f>
        <v>81.030600000000007</v>
      </c>
      <c r="C497" s="68">
        <f>(VLOOKUP(A497,database!A:K,11,) - VLOOKUP(A485,database!A:K,11,))/VLOOKUP(A485,database!A:K,11,)</f>
        <v>2.1250000000000036E-2</v>
      </c>
    </row>
    <row r="498" spans="1:3" x14ac:dyDescent="0.35">
      <c r="A498" s="38">
        <v>39448</v>
      </c>
      <c r="B498" s="39">
        <f>VLOOKUP(Table8[[#This Row],[Month]],database!A:J,MATCH('Capacity Utilization'!$A$1,database!$A$1:$J$1,),)</f>
        <v>80.960999999999999</v>
      </c>
      <c r="C498" s="68">
        <f>(VLOOKUP(A498,database!A:K,11,) - VLOOKUP(A486,database!A:K,11,))/VLOOKUP(A486,database!A:K,11,)</f>
        <v>2.4344569288389552E-2</v>
      </c>
    </row>
    <row r="499" spans="1:3" x14ac:dyDescent="0.35">
      <c r="A499" s="38">
        <v>39479</v>
      </c>
      <c r="B499" s="39">
        <f>VLOOKUP(Table8[[#This Row],[Month]],database!A:J,MATCH('Capacity Utilization'!$A$1,database!$A$1:$J$1,),)</f>
        <v>80.691299999999998</v>
      </c>
      <c r="C499" s="68">
        <f>(VLOOKUP(A499,database!A:K,11,) - VLOOKUP(A487,database!A:K,11,))/VLOOKUP(A487,database!A:K,11,)</f>
        <v>2.4238657551274117E-2</v>
      </c>
    </row>
    <row r="500" spans="1:3" x14ac:dyDescent="0.35">
      <c r="A500" s="38">
        <v>39508</v>
      </c>
      <c r="B500" s="39">
        <f>VLOOKUP(Table8[[#This Row],[Month]],database!A:J,MATCH('Capacity Utilization'!$A$1,database!$A$1:$J$1,),)</f>
        <v>80.451599999999999</v>
      </c>
      <c r="C500" s="68">
        <f>(VLOOKUP(A500,database!A:K,11,) - VLOOKUP(A488,database!A:K,11,))/VLOOKUP(A488,database!A:K,11,)</f>
        <v>2.6103169670602788E-2</v>
      </c>
    </row>
    <row r="501" spans="1:3" x14ac:dyDescent="0.35">
      <c r="A501" s="38">
        <v>39539</v>
      </c>
      <c r="B501" s="39">
        <f>VLOOKUP(Table8[[#This Row],[Month]],database!A:J,MATCH('Capacity Utilization'!$A$1,database!$A$1:$J$1,),)</f>
        <v>79.966700000000003</v>
      </c>
      <c r="C501" s="68">
        <f>(VLOOKUP(A501,database!A:K,11,) - VLOOKUP(A489,database!A:K,11,))/VLOOKUP(A489,database!A:K,11,)</f>
        <v>2.9813664596273364E-2</v>
      </c>
    </row>
    <row r="502" spans="1:3" x14ac:dyDescent="0.35">
      <c r="A502" s="38">
        <v>39569</v>
      </c>
      <c r="B502" s="39">
        <f>VLOOKUP(Table8[[#This Row],[Month]],database!A:J,MATCH('Capacity Utilization'!$A$1,database!$A$1:$J$1,),)</f>
        <v>79.539900000000003</v>
      </c>
      <c r="C502" s="68">
        <f>(VLOOKUP(A502,database!A:K,11,) - VLOOKUP(A490,database!A:K,11,))/VLOOKUP(A490,database!A:K,11,)</f>
        <v>3.035935563816608E-2</v>
      </c>
    </row>
    <row r="503" spans="1:3" x14ac:dyDescent="0.35">
      <c r="A503" s="38">
        <v>39600</v>
      </c>
      <c r="B503" s="39">
        <f>VLOOKUP(Table8[[#This Row],[Month]],database!A:J,MATCH('Capacity Utilization'!$A$1,database!$A$1:$J$1,),)</f>
        <v>79.375799999999998</v>
      </c>
      <c r="C503" s="68">
        <f>(VLOOKUP(A503,database!A:K,11,) - VLOOKUP(A491,database!A:K,11,))/VLOOKUP(A491,database!A:K,11,)</f>
        <v>3.0303030303030342E-2</v>
      </c>
    </row>
    <row r="504" spans="1:3" x14ac:dyDescent="0.35">
      <c r="A504" s="38">
        <v>39630</v>
      </c>
      <c r="B504" s="39">
        <f>VLOOKUP(Table8[[#This Row],[Month]],database!A:J,MATCH('Capacity Utilization'!$A$1,database!$A$1:$J$1,),)</f>
        <v>79.028099999999995</v>
      </c>
      <c r="C504" s="68">
        <f>(VLOOKUP(A504,database!A:K,11,) - VLOOKUP(A492,database!A:K,11,))/VLOOKUP(A492,database!A:K,11,)</f>
        <v>3.2695866748920492E-2</v>
      </c>
    </row>
    <row r="505" spans="1:3" x14ac:dyDescent="0.35">
      <c r="A505" s="38">
        <v>39661</v>
      </c>
      <c r="B505" s="39">
        <f>VLOOKUP(Table8[[#This Row],[Month]],database!A:J,MATCH('Capacity Utilization'!$A$1,database!$A$1:$J$1,),)</f>
        <v>77.745900000000006</v>
      </c>
      <c r="C505" s="68">
        <f>(VLOOKUP(A505,database!A:K,11,) - VLOOKUP(A493,database!A:K,11,))/VLOOKUP(A493,database!A:K,11,)</f>
        <v>3.573629081947001E-2</v>
      </c>
    </row>
    <row r="506" spans="1:3" x14ac:dyDescent="0.35">
      <c r="A506" s="38">
        <v>39692</v>
      </c>
      <c r="B506" s="39">
        <f>VLOOKUP(Table8[[#This Row],[Month]],database!A:J,MATCH('Capacity Utilization'!$A$1,database!$A$1:$J$1,),)</f>
        <v>74.2851</v>
      </c>
      <c r="C506" s="68">
        <f>(VLOOKUP(A506,database!A:K,11,) - VLOOKUP(A494,database!A:K,11,))/VLOOKUP(A494,database!A:K,11,)</f>
        <v>4.06654343807763E-2</v>
      </c>
    </row>
    <row r="507" spans="1:3" x14ac:dyDescent="0.35">
      <c r="A507" s="38">
        <v>39722</v>
      </c>
      <c r="B507" s="39">
        <f>VLOOKUP(Table8[[#This Row],[Month]],database!A:J,MATCH('Capacity Utilization'!$A$1,database!$A$1:$J$1,),)</f>
        <v>74.936599999999999</v>
      </c>
      <c r="C507" s="68">
        <f>(VLOOKUP(A507,database!A:K,11,) - VLOOKUP(A495,database!A:K,11,))/VLOOKUP(A495,database!A:K,11,)</f>
        <v>4.6654389195825624E-2</v>
      </c>
    </row>
    <row r="508" spans="1:3" x14ac:dyDescent="0.35">
      <c r="A508" s="38">
        <v>39753</v>
      </c>
      <c r="B508" s="39">
        <f>VLOOKUP(Table8[[#This Row],[Month]],database!A:J,MATCH('Capacity Utilization'!$A$1,database!$A$1:$J$1,),)</f>
        <v>73.861800000000002</v>
      </c>
      <c r="C508" s="68">
        <f>(VLOOKUP(A508,database!A:K,11,) - VLOOKUP(A496,database!A:K,11,))/VLOOKUP(A496,database!A:K,11,)</f>
        <v>4.2839657282741736E-2</v>
      </c>
    </row>
    <row r="509" spans="1:3" x14ac:dyDescent="0.35">
      <c r="A509" s="38">
        <v>39783</v>
      </c>
      <c r="B509" s="39">
        <f>VLOOKUP(Table8[[#This Row],[Month]],database!A:J,MATCH('Capacity Utilization'!$A$1,database!$A$1:$J$1,),)</f>
        <v>71.686599999999999</v>
      </c>
      <c r="C509" s="68">
        <f>(VLOOKUP(A509,database!A:K,11,) - VLOOKUP(A497,database!A:K,11,))/VLOOKUP(A497,database!A:K,11,)</f>
        <v>4.5287637698898445E-2</v>
      </c>
    </row>
    <row r="510" spans="1:3" x14ac:dyDescent="0.35">
      <c r="A510" s="38">
        <v>39814</v>
      </c>
      <c r="B510" s="39">
        <f>VLOOKUP(Table8[[#This Row],[Month]],database!A:J,MATCH('Capacity Utilization'!$A$1,database!$A$1:$J$1,),)</f>
        <v>69.811199999999999</v>
      </c>
      <c r="C510" s="68">
        <f>(VLOOKUP(A510,database!A:K,11,) - VLOOKUP(A498,database!A:K,11,))/VLOOKUP(A498,database!A:K,11,)</f>
        <v>4.0828762949421192E-2</v>
      </c>
    </row>
    <row r="511" spans="1:3" x14ac:dyDescent="0.35">
      <c r="A511" s="38">
        <v>39845</v>
      </c>
      <c r="B511" s="39">
        <f>VLOOKUP(Table8[[#This Row],[Month]],database!A:J,MATCH('Capacity Utilization'!$A$1,database!$A$1:$J$1,),)</f>
        <v>69.306299999999993</v>
      </c>
      <c r="C511" s="68">
        <f>(VLOOKUP(A511,database!A:K,11,) - VLOOKUP(A499,database!A:K,11,))/VLOOKUP(A499,database!A:K,11,)</f>
        <v>3.7014563106796079E-2</v>
      </c>
    </row>
    <row r="512" spans="1:3" x14ac:dyDescent="0.35">
      <c r="A512" s="38">
        <v>39873</v>
      </c>
      <c r="B512" s="39">
        <f>VLOOKUP(Table8[[#This Row],[Month]],database!A:J,MATCH('Capacity Utilization'!$A$1,database!$A$1:$J$1,),)</f>
        <v>68.139099999999999</v>
      </c>
      <c r="C512" s="68">
        <f>(VLOOKUP(A512,database!A:K,11,) - VLOOKUP(A500,database!A:K,11,))/VLOOKUP(A500,database!A:K,11,)</f>
        <v>3.6947304663840067E-2</v>
      </c>
    </row>
    <row r="513" spans="1:3" x14ac:dyDescent="0.35">
      <c r="A513" s="38">
        <v>39904</v>
      </c>
      <c r="B513" s="39">
        <f>VLOOKUP(Table8[[#This Row],[Month]],database!A:J,MATCH('Capacity Utilization'!$A$1,database!$A$1:$J$1,),)</f>
        <v>67.528700000000001</v>
      </c>
      <c r="C513" s="68">
        <f>(VLOOKUP(A513,database!A:K,11,) - VLOOKUP(A501,database!A:K,11,))/VLOOKUP(A501,database!A:K,11,)</f>
        <v>3.3172496984318456E-2</v>
      </c>
    </row>
    <row r="514" spans="1:3" x14ac:dyDescent="0.35">
      <c r="A514" s="38">
        <v>39934</v>
      </c>
      <c r="B514" s="39">
        <f>VLOOKUP(Table8[[#This Row],[Month]],database!A:J,MATCH('Capacity Utilization'!$A$1,database!$A$1:$J$1,),)</f>
        <v>66.804199999999994</v>
      </c>
      <c r="C514" s="68">
        <f>(VLOOKUP(A514,database!A:K,11,) - VLOOKUP(A502,database!A:K,11,))/VLOOKUP(A502,database!A:K,11,)</f>
        <v>2.9464822609741294E-2</v>
      </c>
    </row>
    <row r="515" spans="1:3" x14ac:dyDescent="0.35">
      <c r="A515" s="38">
        <v>39965</v>
      </c>
      <c r="B515" s="39">
        <f>VLOOKUP(Table8[[#This Row],[Month]],database!A:J,MATCH('Capacity Utilization'!$A$1,database!$A$1:$J$1,),)</f>
        <v>66.567099999999996</v>
      </c>
      <c r="C515" s="68">
        <f>(VLOOKUP(A515,database!A:K,11,) - VLOOKUP(A503,database!A:K,11,))/VLOOKUP(A503,database!A:K,11,)</f>
        <v>3.1212484993997702E-2</v>
      </c>
    </row>
    <row r="516" spans="1:3" x14ac:dyDescent="0.35">
      <c r="A516" s="38">
        <v>39995</v>
      </c>
      <c r="B516" s="39">
        <f>VLOOKUP(Table8[[#This Row],[Month]],database!A:J,MATCH('Capacity Utilization'!$A$1,database!$A$1:$J$1,),)</f>
        <v>67.341999999999999</v>
      </c>
      <c r="C516" s="68">
        <f>(VLOOKUP(A516,database!A:K,11,) - VLOOKUP(A504,database!A:K,11,))/VLOOKUP(A504,database!A:K,11,)</f>
        <v>2.3894862604540022E-2</v>
      </c>
    </row>
    <row r="517" spans="1:3" x14ac:dyDescent="0.35">
      <c r="A517" s="38">
        <v>40026</v>
      </c>
      <c r="B517" s="39">
        <f>VLOOKUP(Table8[[#This Row],[Month]],database!A:J,MATCH('Capacity Utilization'!$A$1,database!$A$1:$J$1,),)</f>
        <v>68.099699999999999</v>
      </c>
      <c r="C517" s="68">
        <f>(VLOOKUP(A517,database!A:K,11,) - VLOOKUP(A505,database!A:K,11,))/VLOOKUP(A505,database!A:K,11,)</f>
        <v>2.2010707911957271E-2</v>
      </c>
    </row>
    <row r="518" spans="1:3" x14ac:dyDescent="0.35">
      <c r="A518" s="38">
        <v>40057</v>
      </c>
      <c r="B518" s="39">
        <f>VLOOKUP(Table8[[#This Row],[Month]],database!A:J,MATCH('Capacity Utilization'!$A$1,database!$A$1:$J$1,),)</f>
        <v>68.730199999999996</v>
      </c>
      <c r="C518" s="68">
        <f>(VLOOKUP(A518,database!A:K,11,) - VLOOKUP(A506,database!A:K,11,))/VLOOKUP(A506,database!A:K,11,)</f>
        <v>1.5985790408525689E-2</v>
      </c>
    </row>
    <row r="519" spans="1:3" x14ac:dyDescent="0.35">
      <c r="A519" s="38">
        <v>40087</v>
      </c>
      <c r="B519" s="39">
        <f>VLOOKUP(Table8[[#This Row],[Month]],database!A:J,MATCH('Capacity Utilization'!$A$1,database!$A$1:$J$1,),)</f>
        <v>68.958600000000004</v>
      </c>
      <c r="C519" s="68">
        <f>(VLOOKUP(A519,database!A:K,11,) - VLOOKUP(A507,database!A:K,11,))/VLOOKUP(A507,database!A:K,11,)</f>
        <v>5.8651026392961877E-3</v>
      </c>
    </row>
    <row r="520" spans="1:3" x14ac:dyDescent="0.35">
      <c r="A520" s="38">
        <v>40118</v>
      </c>
      <c r="B520" s="39">
        <f>VLOOKUP(Table8[[#This Row],[Month]],database!A:J,MATCH('Capacity Utilization'!$A$1,database!$A$1:$J$1,),)</f>
        <v>69.347499999999997</v>
      </c>
      <c r="C520" s="68">
        <f>(VLOOKUP(A520,database!A:K,11,) - VLOOKUP(A508,database!A:K,11,))/VLOOKUP(A508,database!A:K,11,)</f>
        <v>9.9765258215961765E-3</v>
      </c>
    </row>
    <row r="521" spans="1:3" x14ac:dyDescent="0.35">
      <c r="A521" s="38">
        <v>40148</v>
      </c>
      <c r="B521" s="39">
        <f>VLOOKUP(Table8[[#This Row],[Month]],database!A:J,MATCH('Capacity Utilization'!$A$1,database!$A$1:$J$1,),)</f>
        <v>69.715900000000005</v>
      </c>
      <c r="C521" s="68">
        <f>(VLOOKUP(A521,database!A:K,11,) - VLOOKUP(A509,database!A:K,11,))/VLOOKUP(A509,database!A:K,11,)</f>
        <v>7.6112412177984949E-3</v>
      </c>
    </row>
    <row r="522" spans="1:3" x14ac:dyDescent="0.35">
      <c r="A522" s="38">
        <v>40179</v>
      </c>
      <c r="B522" s="39">
        <f>VLOOKUP(Table8[[#This Row],[Month]],database!A:J,MATCH('Capacity Utilization'!$A$1,database!$A$1:$J$1,),)</f>
        <v>70.61</v>
      </c>
      <c r="C522" s="68">
        <f>(VLOOKUP(A522,database!A:K,11,) - VLOOKUP(A510,database!A:K,11,))/VLOOKUP(A510,database!A:K,11,)</f>
        <v>9.9531615925057878E-3</v>
      </c>
    </row>
    <row r="523" spans="1:3" x14ac:dyDescent="0.35">
      <c r="A523" s="38">
        <v>40210</v>
      </c>
      <c r="B523" s="39">
        <f>VLOOKUP(Table8[[#This Row],[Month]],database!A:J,MATCH('Capacity Utilization'!$A$1,database!$A$1:$J$1,),)</f>
        <v>71.002099999999999</v>
      </c>
      <c r="C523" s="68">
        <f>(VLOOKUP(A523,database!A:K,11,) - VLOOKUP(A511,database!A:K,11,))/VLOOKUP(A511,database!A:K,11,)</f>
        <v>9.9473376243416536E-3</v>
      </c>
    </row>
    <row r="524" spans="1:3" x14ac:dyDescent="0.35">
      <c r="A524" s="38">
        <v>40238</v>
      </c>
      <c r="B524" s="39">
        <f>VLOOKUP(Table8[[#This Row],[Month]],database!A:J,MATCH('Capacity Utilization'!$A$1,database!$A$1:$J$1,),)</f>
        <v>71.657399999999996</v>
      </c>
      <c r="C524" s="68">
        <f>(VLOOKUP(A524,database!A:K,11,) - VLOOKUP(A512,database!A:K,11,))/VLOOKUP(A512,database!A:K,11,)</f>
        <v>9.9299065420561747E-3</v>
      </c>
    </row>
    <row r="525" spans="1:3" x14ac:dyDescent="0.35">
      <c r="A525" s="38">
        <v>40269</v>
      </c>
      <c r="B525" s="39">
        <f>VLOOKUP(Table8[[#This Row],[Month]],database!A:J,MATCH('Capacity Utilization'!$A$1,database!$A$1:$J$1,),)</f>
        <v>72.076599999999999</v>
      </c>
      <c r="C525" s="68">
        <f>(VLOOKUP(A525,database!A:K,11,) - VLOOKUP(A513,database!A:K,11,))/VLOOKUP(A513,database!A:K,11,)</f>
        <v>9.340338587273754E-3</v>
      </c>
    </row>
    <row r="526" spans="1:3" x14ac:dyDescent="0.35">
      <c r="A526" s="38">
        <v>40299</v>
      </c>
      <c r="B526" s="39">
        <f>VLOOKUP(Table8[[#This Row],[Month]],database!A:J,MATCH('Capacity Utilization'!$A$1,database!$A$1:$J$1,),)</f>
        <v>73.222300000000004</v>
      </c>
      <c r="C526" s="68">
        <f>(VLOOKUP(A526,database!A:K,11,) - VLOOKUP(A514,database!A:K,11,))/VLOOKUP(A514,database!A:K,11,)</f>
        <v>1.2850467289719726E-2</v>
      </c>
    </row>
    <row r="527" spans="1:3" x14ac:dyDescent="0.35">
      <c r="A527" s="38">
        <v>40330</v>
      </c>
      <c r="B527" s="39">
        <f>VLOOKUP(Table8[[#This Row],[Month]],database!A:J,MATCH('Capacity Utilization'!$A$1,database!$A$1:$J$1,),)</f>
        <v>73.547300000000007</v>
      </c>
      <c r="C527" s="68">
        <f>(VLOOKUP(A527,database!A:K,11,) - VLOOKUP(A515,database!A:K,11,))/VLOOKUP(A515,database!A:K,11,)</f>
        <v>1.0477299185098852E-2</v>
      </c>
    </row>
    <row r="528" spans="1:3" x14ac:dyDescent="0.35">
      <c r="A528" s="38">
        <v>40360</v>
      </c>
      <c r="B528" s="39">
        <f>VLOOKUP(Table8[[#This Row],[Month]],database!A:J,MATCH('Capacity Utilization'!$A$1,database!$A$1:$J$1,),)</f>
        <v>73.964500000000001</v>
      </c>
      <c r="C528" s="68">
        <f>(VLOOKUP(A528,database!A:K,11,) - VLOOKUP(A516,database!A:K,11,))/VLOOKUP(A516,database!A:K,11,)</f>
        <v>1.3418903150524988E-2</v>
      </c>
    </row>
    <row r="529" spans="1:3" x14ac:dyDescent="0.35">
      <c r="A529" s="38">
        <v>40391</v>
      </c>
      <c r="B529" s="39">
        <f>VLOOKUP(Table8[[#This Row],[Month]],database!A:J,MATCH('Capacity Utilization'!$A$1,database!$A$1:$J$1,),)</f>
        <v>74.365099999999998</v>
      </c>
      <c r="C529" s="68">
        <f>(VLOOKUP(A529,database!A:K,11,) - VLOOKUP(A517,database!A:K,11,))/VLOOKUP(A517,database!A:K,11,)</f>
        <v>1.2223515715948744E-2</v>
      </c>
    </row>
    <row r="530" spans="1:3" x14ac:dyDescent="0.35">
      <c r="A530" s="38">
        <v>40422</v>
      </c>
      <c r="B530" s="39">
        <f>VLOOKUP(Table8[[#This Row],[Month]],database!A:J,MATCH('Capacity Utilization'!$A$1,database!$A$1:$J$1,),)</f>
        <v>74.676199999999994</v>
      </c>
      <c r="C530" s="68">
        <f>(VLOOKUP(A530,database!A:K,11,) - VLOOKUP(A518,database!A:K,11,))/VLOOKUP(A518,database!A:K,11,)</f>
        <v>1.5734265734265833E-2</v>
      </c>
    </row>
    <row r="531" spans="1:3" x14ac:dyDescent="0.35">
      <c r="A531" s="38">
        <v>40452</v>
      </c>
      <c r="B531" s="39">
        <f>VLOOKUP(Table8[[#This Row],[Month]],database!A:J,MATCH('Capacity Utilization'!$A$1,database!$A$1:$J$1,),)</f>
        <v>74.563299999999998</v>
      </c>
      <c r="C531" s="68">
        <f>(VLOOKUP(A531,database!A:K,11,) - VLOOKUP(A519,database!A:K,11,))/VLOOKUP(A519,database!A:K,11,)</f>
        <v>1.6326530612244965E-2</v>
      </c>
    </row>
    <row r="532" spans="1:3" x14ac:dyDescent="0.35">
      <c r="A532" s="38">
        <v>40483</v>
      </c>
      <c r="B532" s="39">
        <f>VLOOKUP(Table8[[#This Row],[Month]],database!A:J,MATCH('Capacity Utilization'!$A$1,database!$A$1:$J$1,),)</f>
        <v>74.686099999999996</v>
      </c>
      <c r="C532" s="68">
        <f>(VLOOKUP(A532,database!A:K,11,) - VLOOKUP(A520,database!A:K,11,))/VLOOKUP(A520,database!A:K,11,)</f>
        <v>1.2783265543288885E-2</v>
      </c>
    </row>
    <row r="533" spans="1:3" x14ac:dyDescent="0.35">
      <c r="A533" s="38">
        <v>40513</v>
      </c>
      <c r="B533" s="39">
        <f>VLOOKUP(Table8[[#This Row],[Month]],database!A:J,MATCH('Capacity Utilization'!$A$1,database!$A$1:$J$1,),)</f>
        <v>75.461799999999997</v>
      </c>
      <c r="C533" s="68">
        <f>(VLOOKUP(A533,database!A:K,11,) - VLOOKUP(A521,database!A:K,11,))/VLOOKUP(A521,database!A:K,11,)</f>
        <v>1.452643811737362E-2</v>
      </c>
    </row>
    <row r="534" spans="1:3" x14ac:dyDescent="0.35">
      <c r="A534" s="38">
        <v>40544</v>
      </c>
      <c r="B534" s="39">
        <f>VLOOKUP(Table8[[#This Row],[Month]],database!A:J,MATCH('Capacity Utilization'!$A$1,database!$A$1:$J$1,),)</f>
        <v>75.338099999999997</v>
      </c>
      <c r="C534" s="68">
        <f>(VLOOKUP(A534,database!A:K,11,) - VLOOKUP(A522,database!A:K,11,))/VLOOKUP(A522,database!A:K,11,)</f>
        <v>1.6231884057971081E-2</v>
      </c>
    </row>
    <row r="535" spans="1:3" x14ac:dyDescent="0.35">
      <c r="A535" s="38">
        <v>40575</v>
      </c>
      <c r="B535" s="39">
        <f>VLOOKUP(Table8[[#This Row],[Month]],database!A:J,MATCH('Capacity Utilization'!$A$1,database!$A$1:$J$1,),)</f>
        <v>75.048199999999994</v>
      </c>
      <c r="C535" s="68">
        <f>(VLOOKUP(A535,database!A:K,11,) - VLOOKUP(A523,database!A:K,11,))/VLOOKUP(A523,database!A:K,11,)</f>
        <v>1.7960602549246783E-2</v>
      </c>
    </row>
    <row r="536" spans="1:3" x14ac:dyDescent="0.35">
      <c r="A536" s="38">
        <v>40603</v>
      </c>
      <c r="B536" s="39">
        <f>VLOOKUP(Table8[[#This Row],[Month]],database!A:J,MATCH('Capacity Utilization'!$A$1,database!$A$1:$J$1,),)</f>
        <v>75.825100000000006</v>
      </c>
      <c r="C536" s="68">
        <f>(VLOOKUP(A536,database!A:K,11,) - VLOOKUP(A524,database!A:K,11,))/VLOOKUP(A524,database!A:K,11,)</f>
        <v>1.9086176980913725E-2</v>
      </c>
    </row>
    <row r="537" spans="1:3" x14ac:dyDescent="0.35">
      <c r="A537" s="38">
        <v>40634</v>
      </c>
      <c r="B537" s="39">
        <f>VLOOKUP(Table8[[#This Row],[Month]],database!A:J,MATCH('Capacity Utilization'!$A$1,database!$A$1:$J$1,),)</f>
        <v>75.534700000000001</v>
      </c>
      <c r="C537" s="68">
        <f>(VLOOKUP(A537,database!A:K,11,) - VLOOKUP(A525,database!A:K,11,))/VLOOKUP(A525,database!A:K,11,)</f>
        <v>2.2556390977443642E-2</v>
      </c>
    </row>
    <row r="538" spans="1:3" x14ac:dyDescent="0.35">
      <c r="A538" s="38">
        <v>40664</v>
      </c>
      <c r="B538" s="39">
        <f>VLOOKUP(Table8[[#This Row],[Month]],database!A:J,MATCH('Capacity Utilization'!$A$1,database!$A$1:$J$1,),)</f>
        <v>75.5959</v>
      </c>
      <c r="C538" s="68">
        <f>(VLOOKUP(A538,database!A:K,11,) - VLOOKUP(A526,database!A:K,11,))/VLOOKUP(A526,database!A:K,11,)</f>
        <v>2.0761245674740452E-2</v>
      </c>
    </row>
    <row r="539" spans="1:3" x14ac:dyDescent="0.35">
      <c r="A539" s="38">
        <v>40695</v>
      </c>
      <c r="B539" s="39">
        <f>VLOOKUP(Table8[[#This Row],[Month]],database!A:J,MATCH('Capacity Utilization'!$A$1,database!$A$1:$J$1,),)</f>
        <v>75.729699999999994</v>
      </c>
      <c r="C539" s="68">
        <f>(VLOOKUP(A539,database!A:K,11,) - VLOOKUP(A527,database!A:K,11,))/VLOOKUP(A527,database!A:K,11,)</f>
        <v>2.3041474654377881E-2</v>
      </c>
    </row>
    <row r="540" spans="1:3" x14ac:dyDescent="0.35">
      <c r="A540" s="38">
        <v>40725</v>
      </c>
      <c r="B540" s="39">
        <f>VLOOKUP(Table8[[#This Row],[Month]],database!A:J,MATCH('Capacity Utilization'!$A$1,database!$A$1:$J$1,),)</f>
        <v>76.027600000000007</v>
      </c>
      <c r="C540" s="68">
        <f>(VLOOKUP(A540,database!A:K,11,) - VLOOKUP(A528,database!A:K,11,))/VLOOKUP(A528,database!A:K,11,)</f>
        <v>2.5906735751295339E-2</v>
      </c>
    </row>
    <row r="541" spans="1:3" x14ac:dyDescent="0.35">
      <c r="A541" s="38">
        <v>40756</v>
      </c>
      <c r="B541" s="39">
        <f>VLOOKUP(Table8[[#This Row],[Month]],database!A:J,MATCH('Capacity Utilization'!$A$1,database!$A$1:$J$1,),)</f>
        <v>76.417199999999994</v>
      </c>
      <c r="C541" s="68">
        <f>(VLOOKUP(A541,database!A:K,11,) - VLOOKUP(A529,database!A:K,11,))/VLOOKUP(A529,database!A:K,11,)</f>
        <v>2.6451983898792376E-2</v>
      </c>
    </row>
    <row r="542" spans="1:3" x14ac:dyDescent="0.35">
      <c r="A542" s="38">
        <v>40787</v>
      </c>
      <c r="B542" s="39">
        <f>VLOOKUP(Table8[[#This Row],[Month]],database!A:J,MATCH('Capacity Utilization'!$A$1,database!$A$1:$J$1,),)</f>
        <v>76.259900000000002</v>
      </c>
      <c r="C542" s="68">
        <f>(VLOOKUP(A542,database!A:K,11,) - VLOOKUP(A530,database!A:K,11,))/VLOOKUP(A530,database!A:K,11,)</f>
        <v>2.696500286861726E-2</v>
      </c>
    </row>
    <row r="543" spans="1:3" x14ac:dyDescent="0.35">
      <c r="A543" s="38">
        <v>40817</v>
      </c>
      <c r="B543" s="39">
        <f>VLOOKUP(Table8[[#This Row],[Month]],database!A:J,MATCH('Capacity Utilization'!$A$1,database!$A$1:$J$1,),)</f>
        <v>76.660399999999996</v>
      </c>
      <c r="C543" s="68">
        <f>(VLOOKUP(A543,database!A:K,11,) - VLOOKUP(A531,database!A:K,11,))/VLOOKUP(A531,database!A:K,11,)</f>
        <v>2.9259896729776212E-2</v>
      </c>
    </row>
    <row r="544" spans="1:3" x14ac:dyDescent="0.35">
      <c r="A544" s="38">
        <v>40848</v>
      </c>
      <c r="B544" s="39">
        <f>VLOOKUP(Table8[[#This Row],[Month]],database!A:J,MATCH('Capacity Utilization'!$A$1,database!$A$1:$J$1,),)</f>
        <v>76.539900000000003</v>
      </c>
      <c r="C544" s="68">
        <f>(VLOOKUP(A544,database!A:K,11,) - VLOOKUP(A532,database!A:K,11,))/VLOOKUP(A532,database!A:K,11,)</f>
        <v>3.040734366035561E-2</v>
      </c>
    </row>
    <row r="545" spans="1:3" x14ac:dyDescent="0.35">
      <c r="A545" s="38">
        <v>40878</v>
      </c>
      <c r="B545" s="39">
        <f>VLOOKUP(Table8[[#This Row],[Month]],database!A:J,MATCH('Capacity Utilization'!$A$1,database!$A$1:$J$1,),)</f>
        <v>76.775099999999995</v>
      </c>
      <c r="C545" s="68">
        <f>(VLOOKUP(A545,database!A:K,11,) - VLOOKUP(A533,database!A:K,11,))/VLOOKUP(A533,database!A:K,11,)</f>
        <v>3.0927835051546424E-2</v>
      </c>
    </row>
    <row r="546" spans="1:3" x14ac:dyDescent="0.35">
      <c r="A546" s="38">
        <v>40909</v>
      </c>
      <c r="B546" s="39">
        <f>VLOOKUP(Table8[[#This Row],[Month]],database!A:J,MATCH('Capacity Utilization'!$A$1,database!$A$1:$J$1,),)</f>
        <v>77.101500000000001</v>
      </c>
      <c r="C546" s="68">
        <f>(VLOOKUP(A546,database!A:K,11,) - VLOOKUP(A534,database!A:K,11,))/VLOOKUP(A534,database!A:K,11,)</f>
        <v>3.0804335424985608E-2</v>
      </c>
    </row>
    <row r="547" spans="1:3" x14ac:dyDescent="0.35">
      <c r="A547" s="38">
        <v>40940</v>
      </c>
      <c r="B547" s="39">
        <f>VLOOKUP(Table8[[#This Row],[Month]],database!A:J,MATCH('Capacity Utilization'!$A$1,database!$A$1:$J$1,),)</f>
        <v>77.193600000000004</v>
      </c>
      <c r="C547" s="68">
        <f>(VLOOKUP(A547,database!A:K,11,) - VLOOKUP(A535,database!A:K,11,))/VLOOKUP(A535,database!A:K,11,)</f>
        <v>3.0165054069436606E-2</v>
      </c>
    </row>
    <row r="548" spans="1:3" x14ac:dyDescent="0.35">
      <c r="A548" s="38">
        <v>40969</v>
      </c>
      <c r="B548" s="39">
        <f>VLOOKUP(Table8[[#This Row],[Month]],database!A:J,MATCH('Capacity Utilization'!$A$1,database!$A$1:$J$1,),)</f>
        <v>76.646600000000007</v>
      </c>
      <c r="C548" s="68">
        <f>(VLOOKUP(A548,database!A:K,11,) - VLOOKUP(A536,database!A:K,11,))/VLOOKUP(A536,database!A:K,11,)</f>
        <v>2.8944381384790142E-2</v>
      </c>
    </row>
    <row r="549" spans="1:3" x14ac:dyDescent="0.35">
      <c r="A549" s="38">
        <v>41000</v>
      </c>
      <c r="B549" s="39">
        <f>VLOOKUP(Table8[[#This Row],[Month]],database!A:J,MATCH('Capacity Utilization'!$A$1,database!$A$1:$J$1,),)</f>
        <v>77.060299999999998</v>
      </c>
      <c r="C549" s="68">
        <f>(VLOOKUP(A549,database!A:K,11,) - VLOOKUP(A537,database!A:K,11,))/VLOOKUP(A537,database!A:K,11,)</f>
        <v>2.7149321266968226E-2</v>
      </c>
    </row>
    <row r="550" spans="1:3" x14ac:dyDescent="0.35">
      <c r="A550" s="38">
        <v>41030</v>
      </c>
      <c r="B550" s="39">
        <f>VLOOKUP(Table8[[#This Row],[Month]],database!A:J,MATCH('Capacity Utilization'!$A$1,database!$A$1:$J$1,),)</f>
        <v>77.080299999999994</v>
      </c>
      <c r="C550" s="68">
        <f>(VLOOKUP(A550,database!A:K,11,) - VLOOKUP(A538,database!A:K,11,))/VLOOKUP(A538,database!A:K,11,)</f>
        <v>2.7118644067796675E-2</v>
      </c>
    </row>
    <row r="551" spans="1:3" x14ac:dyDescent="0.35">
      <c r="A551" s="38">
        <v>41061</v>
      </c>
      <c r="B551" s="39">
        <f>VLOOKUP(Table8[[#This Row],[Month]],database!A:J,MATCH('Capacity Utilization'!$A$1,database!$A$1:$J$1,),)</f>
        <v>76.9315</v>
      </c>
      <c r="C551" s="68">
        <f>(VLOOKUP(A551,database!A:K,11,) - VLOOKUP(A539,database!A:K,11,))/VLOOKUP(A539,database!A:K,11,)</f>
        <v>2.5337837837837839E-2</v>
      </c>
    </row>
    <row r="552" spans="1:3" x14ac:dyDescent="0.35">
      <c r="A552" s="38">
        <v>41091</v>
      </c>
      <c r="B552" s="39">
        <f>VLOOKUP(Table8[[#This Row],[Month]],database!A:J,MATCH('Capacity Utilization'!$A$1,database!$A$1:$J$1,),)</f>
        <v>76.983199999999997</v>
      </c>
      <c r="C552" s="68">
        <f>(VLOOKUP(A552,database!A:K,11,) - VLOOKUP(A540,database!A:K,11,))/VLOOKUP(A540,database!A:K,11,)</f>
        <v>2.637485970819314E-2</v>
      </c>
    </row>
    <row r="553" spans="1:3" x14ac:dyDescent="0.35">
      <c r="A553" s="38">
        <v>41122</v>
      </c>
      <c r="B553" s="39">
        <f>VLOOKUP(Table8[[#This Row],[Month]],database!A:J,MATCH('Capacity Utilization'!$A$1,database!$A$1:$J$1,),)</f>
        <v>76.532399999999996</v>
      </c>
      <c r="C553" s="68">
        <f>(VLOOKUP(A553,database!A:K,11,) - VLOOKUP(A541,database!A:K,11,))/VLOOKUP(A541,database!A:K,11,)</f>
        <v>2.6330532212885092E-2</v>
      </c>
    </row>
    <row r="554" spans="1:3" x14ac:dyDescent="0.35">
      <c r="A554" s="38">
        <v>41153</v>
      </c>
      <c r="B554" s="39">
        <f>VLOOKUP(Table8[[#This Row],[Month]],database!A:J,MATCH('Capacity Utilization'!$A$1,database!$A$1:$J$1,),)</f>
        <v>76.352099999999993</v>
      </c>
      <c r="C554" s="68">
        <f>(VLOOKUP(A554,database!A:K,11,) - VLOOKUP(A542,database!A:K,11,))/VLOOKUP(A542,database!A:K,11,)</f>
        <v>2.3463687150837926E-2</v>
      </c>
    </row>
    <row r="555" spans="1:3" x14ac:dyDescent="0.35">
      <c r="A555" s="38">
        <v>41183</v>
      </c>
      <c r="B555" s="39">
        <f>VLOOKUP(Table8[[#This Row],[Month]],database!A:J,MATCH('Capacity Utilization'!$A$1,database!$A$1:$J$1,),)</f>
        <v>76.484300000000005</v>
      </c>
      <c r="C555" s="68">
        <f>(VLOOKUP(A555,database!A:K,11,) - VLOOKUP(A543,database!A:K,11,))/VLOOKUP(A543,database!A:K,11,)</f>
        <v>2.1739130434782639E-2</v>
      </c>
    </row>
    <row r="556" spans="1:3" x14ac:dyDescent="0.35">
      <c r="A556" s="38">
        <v>41214</v>
      </c>
      <c r="B556" s="39">
        <f>VLOOKUP(Table8[[#This Row],[Month]],database!A:J,MATCH('Capacity Utilization'!$A$1,database!$A$1:$J$1,),)</f>
        <v>76.680599999999998</v>
      </c>
      <c r="C556" s="68">
        <f>(VLOOKUP(A556,database!A:K,11,) - VLOOKUP(A544,database!A:K,11,))/VLOOKUP(A544,database!A:K,11,)</f>
        <v>2.2828507795100192E-2</v>
      </c>
    </row>
    <row r="557" spans="1:3" x14ac:dyDescent="0.35">
      <c r="A557" s="38">
        <v>41244</v>
      </c>
      <c r="B557" s="39">
        <f>VLOOKUP(Table8[[#This Row],[Month]],database!A:J,MATCH('Capacity Utilization'!$A$1,database!$A$1:$J$1,),)</f>
        <v>76.763800000000003</v>
      </c>
      <c r="C557" s="68">
        <f>(VLOOKUP(A557,database!A:K,11,) - VLOOKUP(A545,database!A:K,11,))/VLOOKUP(A545,database!A:K,11,)</f>
        <v>2.0555555555555494E-2</v>
      </c>
    </row>
    <row r="558" spans="1:3" x14ac:dyDescent="0.35">
      <c r="A558" s="38">
        <v>41275</v>
      </c>
      <c r="B558" s="39">
        <f>VLOOKUP(Table8[[#This Row],[Month]],database!A:J,MATCH('Capacity Utilization'!$A$1,database!$A$1:$J$1,),)</f>
        <v>76.6541</v>
      </c>
      <c r="C558" s="68">
        <f>(VLOOKUP(A558,database!A:K,11,) - VLOOKUP(A546,database!A:K,11,))/VLOOKUP(A546,database!A:K,11,)</f>
        <v>1.7708909795240826E-2</v>
      </c>
    </row>
    <row r="559" spans="1:3" x14ac:dyDescent="0.35">
      <c r="A559" s="38">
        <v>41306</v>
      </c>
      <c r="B559" s="39">
        <f>VLOOKUP(Table8[[#This Row],[Month]],database!A:J,MATCH('Capacity Utilization'!$A$1,database!$A$1:$J$1,),)</f>
        <v>76.933899999999994</v>
      </c>
      <c r="C559" s="68">
        <f>(VLOOKUP(A559,database!A:K,11,) - VLOOKUP(A547,database!A:K,11,))/VLOOKUP(A547,database!A:K,11,)</f>
        <v>1.7679558011049663E-2</v>
      </c>
    </row>
    <row r="560" spans="1:3" x14ac:dyDescent="0.35">
      <c r="A560" s="38">
        <v>41334</v>
      </c>
      <c r="B560" s="39">
        <f>VLOOKUP(Table8[[#This Row],[Month]],database!A:J,MATCH('Capacity Utilization'!$A$1,database!$A$1:$J$1,),)</f>
        <v>77.166499999999999</v>
      </c>
      <c r="C560" s="68">
        <f>(VLOOKUP(A560,database!A:K,11,) - VLOOKUP(A548,database!A:K,11,))/VLOOKUP(A548,database!A:K,11,)</f>
        <v>1.7098731384445637E-2</v>
      </c>
    </row>
    <row r="561" spans="1:3" x14ac:dyDescent="0.35">
      <c r="A561" s="38">
        <v>41365</v>
      </c>
      <c r="B561" s="39">
        <f>VLOOKUP(Table8[[#This Row],[Month]],database!A:J,MATCH('Capacity Utilization'!$A$1,database!$A$1:$J$1,),)</f>
        <v>76.997699999999995</v>
      </c>
      <c r="C561" s="68">
        <f>(VLOOKUP(A561,database!A:K,11,) - VLOOKUP(A549,database!A:K,11,))/VLOOKUP(A549,database!A:K,11,)</f>
        <v>1.6519823788546256E-2</v>
      </c>
    </row>
    <row r="562" spans="1:3" x14ac:dyDescent="0.35">
      <c r="A562" s="38">
        <v>41395</v>
      </c>
      <c r="B562" s="39">
        <f>VLOOKUP(Table8[[#This Row],[Month]],database!A:J,MATCH('Capacity Utilization'!$A$1,database!$A$1:$J$1,),)</f>
        <v>76.990300000000005</v>
      </c>
      <c r="C562" s="68">
        <f>(VLOOKUP(A562,database!A:K,11,) - VLOOKUP(A550,database!A:K,11,))/VLOOKUP(A550,database!A:K,11,)</f>
        <v>1.65016501650165E-2</v>
      </c>
    </row>
    <row r="563" spans="1:3" x14ac:dyDescent="0.35">
      <c r="A563" s="38">
        <v>41426</v>
      </c>
      <c r="B563" s="39">
        <f>VLOOKUP(Table8[[#This Row],[Month]],database!A:J,MATCH('Capacity Utilization'!$A$1,database!$A$1:$J$1,),)</f>
        <v>77.026499999999999</v>
      </c>
      <c r="C563" s="68">
        <f>(VLOOKUP(A563,database!A:K,11,) - VLOOKUP(A551,database!A:K,11,))/VLOOKUP(A551,database!A:K,11,)</f>
        <v>1.5925315760571147E-2</v>
      </c>
    </row>
    <row r="564" spans="1:3" x14ac:dyDescent="0.35">
      <c r="A564" s="38">
        <v>41456</v>
      </c>
      <c r="B564" s="39">
        <f>VLOOKUP(Table8[[#This Row],[Month]],database!A:J,MATCH('Capacity Utilization'!$A$1,database!$A$1:$J$1,),)</f>
        <v>76.731200000000001</v>
      </c>
      <c r="C564" s="68">
        <f>(VLOOKUP(A564,database!A:K,11,) - VLOOKUP(A552,database!A:K,11,))/VLOOKUP(A552,database!A:K,11,)</f>
        <v>1.2575177692728173E-2</v>
      </c>
    </row>
    <row r="565" spans="1:3" x14ac:dyDescent="0.35">
      <c r="A565" s="38">
        <v>41487</v>
      </c>
      <c r="B565" s="39">
        <f>VLOOKUP(Table8[[#This Row],[Month]],database!A:J,MATCH('Capacity Utilization'!$A$1,database!$A$1:$J$1,),)</f>
        <v>77.121600000000001</v>
      </c>
      <c r="C565" s="68">
        <f>(VLOOKUP(A565,database!A:K,11,) - VLOOKUP(A553,database!A:K,11,))/VLOOKUP(A553,database!A:K,11,)</f>
        <v>1.1462882096069995E-2</v>
      </c>
    </row>
    <row r="566" spans="1:3" x14ac:dyDescent="0.35">
      <c r="A566" s="38">
        <v>41518</v>
      </c>
      <c r="B566" s="39">
        <f>VLOOKUP(Table8[[#This Row],[Month]],database!A:J,MATCH('Capacity Utilization'!$A$1,database!$A$1:$J$1,),)</f>
        <v>77.477999999999994</v>
      </c>
      <c r="C566" s="68">
        <f>(VLOOKUP(A566,database!A:K,11,) - VLOOKUP(A554,database!A:K,11,))/VLOOKUP(A554,database!A:K,11,)</f>
        <v>1.2008733624454242E-2</v>
      </c>
    </row>
    <row r="567" spans="1:3" x14ac:dyDescent="0.35">
      <c r="A567" s="38">
        <v>41548</v>
      </c>
      <c r="B567" s="39">
        <f>VLOOKUP(Table8[[#This Row],[Month]],database!A:J,MATCH('Capacity Utilization'!$A$1,database!$A$1:$J$1,),)</f>
        <v>77.339699999999993</v>
      </c>
      <c r="C567" s="68">
        <f>(VLOOKUP(A567,database!A:K,11,) - VLOOKUP(A555,database!A:K,11,))/VLOOKUP(A555,database!A:K,11,)</f>
        <v>1.2547735951991178E-2</v>
      </c>
    </row>
    <row r="568" spans="1:3" x14ac:dyDescent="0.35">
      <c r="A568" s="38">
        <v>41579</v>
      </c>
      <c r="B568" s="39">
        <f>VLOOKUP(Table8[[#This Row],[Month]],database!A:J,MATCH('Capacity Utilization'!$A$1,database!$A$1:$J$1,),)</f>
        <v>77.479699999999994</v>
      </c>
      <c r="C568" s="68">
        <f>(VLOOKUP(A568,database!A:K,11,) - VLOOKUP(A556,database!A:K,11,))/VLOOKUP(A556,database!A:K,11,)</f>
        <v>1.1976047904191711E-2</v>
      </c>
    </row>
    <row r="569" spans="1:3" x14ac:dyDescent="0.35">
      <c r="A569" s="38">
        <v>41609</v>
      </c>
      <c r="B569" s="39">
        <f>VLOOKUP(Table8[[#This Row],[Month]],database!A:J,MATCH('Capacity Utilization'!$A$1,database!$A$1:$J$1,),)</f>
        <v>77.593400000000003</v>
      </c>
      <c r="C569" s="68">
        <f>(VLOOKUP(A569,database!A:K,11,) - VLOOKUP(A557,database!A:K,11,))/VLOOKUP(A557,database!A:K,11,)</f>
        <v>1.633097441480675E-2</v>
      </c>
    </row>
    <row r="570" spans="1:3" x14ac:dyDescent="0.35">
      <c r="A570" s="38">
        <v>41640</v>
      </c>
      <c r="B570" s="39">
        <f>VLOOKUP(Table8[[#This Row],[Month]],database!A:J,MATCH('Capacity Utilization'!$A$1,database!$A$1:$J$1,),)</f>
        <v>77.254199999999997</v>
      </c>
      <c r="C570" s="68">
        <f>(VLOOKUP(A570,database!A:K,11,) - VLOOKUP(A558,database!A:K,11,))/VLOOKUP(A558,database!A:K,11,)</f>
        <v>1.957585644371938E-2</v>
      </c>
    </row>
    <row r="571" spans="1:3" x14ac:dyDescent="0.35">
      <c r="A571" s="38">
        <v>41671</v>
      </c>
      <c r="B571" s="39">
        <f>VLOOKUP(Table8[[#This Row],[Month]],database!A:J,MATCH('Capacity Utilization'!$A$1,database!$A$1:$J$1,),)</f>
        <v>77.795299999999997</v>
      </c>
      <c r="C571" s="68">
        <f>(VLOOKUP(A571,database!A:K,11,) - VLOOKUP(A559,database!A:K,11,))/VLOOKUP(A559,database!A:K,11,)</f>
        <v>1.9001085776330078E-2</v>
      </c>
    </row>
    <row r="572" spans="1:3" x14ac:dyDescent="0.35">
      <c r="A572" s="38">
        <v>41699</v>
      </c>
      <c r="B572" s="39">
        <f>VLOOKUP(Table8[[#This Row],[Month]],database!A:J,MATCH('Capacity Utilization'!$A$1,database!$A$1:$J$1,),)</f>
        <v>78.506600000000006</v>
      </c>
      <c r="C572" s="68">
        <f>(VLOOKUP(A572,database!A:K,11,) - VLOOKUP(A560,database!A:K,11,))/VLOOKUP(A560,database!A:K,11,)</f>
        <v>1.7895878524945678E-2</v>
      </c>
    </row>
    <row r="573" spans="1:3" x14ac:dyDescent="0.35">
      <c r="A573" s="38">
        <v>41730</v>
      </c>
      <c r="B573" s="39">
        <f>VLOOKUP(Table8[[#This Row],[Month]],database!A:J,MATCH('Capacity Utilization'!$A$1,database!$A$1:$J$1,),)</f>
        <v>78.497100000000003</v>
      </c>
      <c r="C573" s="68">
        <f>(VLOOKUP(A573,database!A:K,11,) - VLOOKUP(A561,database!A:K,11,))/VLOOKUP(A561,database!A:K,11,)</f>
        <v>1.7876489707475685E-2</v>
      </c>
    </row>
    <row r="574" spans="1:3" x14ac:dyDescent="0.35">
      <c r="A574" s="38">
        <v>41760</v>
      </c>
      <c r="B574" s="39">
        <f>VLOOKUP(Table8[[#This Row],[Month]],database!A:J,MATCH('Capacity Utilization'!$A$1,database!$A$1:$J$1,),)</f>
        <v>78.749099999999999</v>
      </c>
      <c r="C574" s="68">
        <f>(VLOOKUP(A574,database!A:K,11,) - VLOOKUP(A562,database!A:K,11,))/VLOOKUP(A562,database!A:K,11,)</f>
        <v>1.8398268398268275E-2</v>
      </c>
    </row>
    <row r="575" spans="1:3" x14ac:dyDescent="0.35">
      <c r="A575" s="38">
        <v>41791</v>
      </c>
      <c r="B575" s="39">
        <f>VLOOKUP(Table8[[#This Row],[Month]],database!A:J,MATCH('Capacity Utilization'!$A$1,database!$A$1:$J$1,),)</f>
        <v>78.950599999999994</v>
      </c>
      <c r="C575" s="68">
        <f>(VLOOKUP(A575,database!A:K,11,) - VLOOKUP(A563,database!A:K,11,))/VLOOKUP(A563,database!A:K,11,)</f>
        <v>1.891891891891892E-2</v>
      </c>
    </row>
    <row r="576" spans="1:3" x14ac:dyDescent="0.35">
      <c r="A576" s="38">
        <v>41821</v>
      </c>
      <c r="B576" s="39">
        <f>VLOOKUP(Table8[[#This Row],[Month]],database!A:J,MATCH('Capacity Utilization'!$A$1,database!$A$1:$J$1,),)</f>
        <v>79.089600000000004</v>
      </c>
      <c r="C576" s="68">
        <f>(VLOOKUP(A576,database!A:K,11,) - VLOOKUP(A564,database!A:K,11,))/VLOOKUP(A564,database!A:K,11,)</f>
        <v>1.8898488120950324E-2</v>
      </c>
    </row>
    <row r="577" spans="1:3" x14ac:dyDescent="0.35">
      <c r="A577" s="38">
        <v>41852</v>
      </c>
      <c r="B577" s="39">
        <f>VLOOKUP(Table8[[#This Row],[Month]],database!A:J,MATCH('Capacity Utilization'!$A$1,database!$A$1:$J$1,),)</f>
        <v>78.862099999999998</v>
      </c>
      <c r="C577" s="68">
        <f>(VLOOKUP(A577,database!A:K,11,) - VLOOKUP(A565,database!A:K,11,))/VLOOKUP(A565,database!A:K,11,)</f>
        <v>1.9967620075553093E-2</v>
      </c>
    </row>
    <row r="578" spans="1:3" x14ac:dyDescent="0.35">
      <c r="A578" s="38">
        <v>41883</v>
      </c>
      <c r="B578" s="39">
        <f>VLOOKUP(Table8[[#This Row],[Month]],database!A:J,MATCH('Capacity Utilization'!$A$1,database!$A$1:$J$1,),)</f>
        <v>79.027299999999997</v>
      </c>
      <c r="C578" s="68">
        <f>(VLOOKUP(A578,database!A:K,11,) - VLOOKUP(A566,database!A:K,11,))/VLOOKUP(A566,database!A:K,11,)</f>
        <v>2.0496224379719433E-2</v>
      </c>
    </row>
    <row r="579" spans="1:3" x14ac:dyDescent="0.35">
      <c r="A579" s="38">
        <v>41913</v>
      </c>
      <c r="B579" s="39">
        <f>VLOOKUP(Table8[[#This Row],[Month]],database!A:J,MATCH('Capacity Utilization'!$A$1,database!$A$1:$J$1,),)</f>
        <v>78.958299999999994</v>
      </c>
      <c r="C579" s="68">
        <f>(VLOOKUP(A579,database!A:K,11,) - VLOOKUP(A567,database!A:K,11,))/VLOOKUP(A567,database!A:K,11,)</f>
        <v>2.2090517241379282E-2</v>
      </c>
    </row>
    <row r="580" spans="1:3" x14ac:dyDescent="0.35">
      <c r="A580" s="38">
        <v>41944</v>
      </c>
      <c r="B580" s="39">
        <f>VLOOKUP(Table8[[#This Row],[Month]],database!A:J,MATCH('Capacity Utilization'!$A$1,database!$A$1:$J$1,),)</f>
        <v>79.374099999999999</v>
      </c>
      <c r="C580" s="68">
        <f>(VLOOKUP(A580,database!A:K,11,) - VLOOKUP(A568,database!A:K,11,))/VLOOKUP(A568,database!A:K,11,)</f>
        <v>2.0441097364174196E-2</v>
      </c>
    </row>
    <row r="581" spans="1:3" x14ac:dyDescent="0.35">
      <c r="A581" s="38">
        <v>41974</v>
      </c>
      <c r="B581" s="39">
        <f>VLOOKUP(Table8[[#This Row],[Month]],database!A:J,MATCH('Capacity Utilization'!$A$1,database!$A$1:$J$1,),)</f>
        <v>79.3048</v>
      </c>
      <c r="C581" s="68">
        <f>(VLOOKUP(A581,database!A:K,11,) - VLOOKUP(A569,database!A:K,11,))/VLOOKUP(A569,database!A:K,11,)</f>
        <v>1.6604177825388446E-2</v>
      </c>
    </row>
    <row r="582" spans="1:3" x14ac:dyDescent="0.35">
      <c r="A582" s="38">
        <v>42005</v>
      </c>
      <c r="B582" s="39">
        <f>VLOOKUP(Table8[[#This Row],[Month]],database!A:J,MATCH('Capacity Utilization'!$A$1,database!$A$1:$J$1,),)</f>
        <v>78.641000000000005</v>
      </c>
      <c r="C582" s="68">
        <f>(VLOOKUP(A582,database!A:K,11,) - VLOOKUP(A570,database!A:K,11,))/VLOOKUP(A570,database!A:K,11,)</f>
        <v>1.7066666666666605E-2</v>
      </c>
    </row>
    <row r="583" spans="1:3" x14ac:dyDescent="0.35">
      <c r="A583" s="38">
        <v>42036</v>
      </c>
      <c r="B583" s="39">
        <f>VLOOKUP(Table8[[#This Row],[Month]],database!A:J,MATCH('Capacity Utilization'!$A$1,database!$A$1:$J$1,),)</f>
        <v>78.108800000000002</v>
      </c>
      <c r="C583" s="68">
        <f>(VLOOKUP(A583,database!A:K,11,) - VLOOKUP(A571,database!A:K,11,))/VLOOKUP(A571,database!A:K,11,)</f>
        <v>1.8646776771443795E-2</v>
      </c>
    </row>
    <row r="584" spans="1:3" x14ac:dyDescent="0.35">
      <c r="A584" s="38">
        <v>42064</v>
      </c>
      <c r="B584" s="39">
        <f>VLOOKUP(Table8[[#This Row],[Month]],database!A:J,MATCH('Capacity Utilization'!$A$1,database!$A$1:$J$1,),)</f>
        <v>77.811300000000003</v>
      </c>
      <c r="C584" s="68">
        <f>(VLOOKUP(A584,database!A:K,11,) - VLOOKUP(A572,database!A:K,11,))/VLOOKUP(A572,database!A:K,11,)</f>
        <v>1.9712306872669245E-2</v>
      </c>
    </row>
    <row r="585" spans="1:3" x14ac:dyDescent="0.35">
      <c r="A585" s="38">
        <v>42095</v>
      </c>
      <c r="B585" s="39">
        <f>VLOOKUP(Table8[[#This Row],[Month]],database!A:J,MATCH('Capacity Utilization'!$A$1,database!$A$1:$J$1,),)</f>
        <v>77.341899999999995</v>
      </c>
      <c r="C585" s="68">
        <f>(VLOOKUP(A585,database!A:K,11,) - VLOOKUP(A573,database!A:K,11,))/VLOOKUP(A573,database!A:K,11,)</f>
        <v>1.9159127195316625E-2</v>
      </c>
    </row>
    <row r="586" spans="1:3" x14ac:dyDescent="0.35">
      <c r="A586" s="38">
        <v>42125</v>
      </c>
      <c r="B586" s="39">
        <f>VLOOKUP(Table8[[#This Row],[Month]],database!A:J,MATCH('Capacity Utilization'!$A$1,database!$A$1:$J$1,),)</f>
        <v>76.961299999999994</v>
      </c>
      <c r="C586" s="68">
        <f>(VLOOKUP(A586,database!A:K,11,) - VLOOKUP(A574,database!A:K,11,))/VLOOKUP(A574,database!A:K,11,)</f>
        <v>1.9128586609989496E-2</v>
      </c>
    </row>
    <row r="587" spans="1:3" x14ac:dyDescent="0.35">
      <c r="A587" s="38">
        <v>42156</v>
      </c>
      <c r="B587" s="39">
        <f>VLOOKUP(Table8[[#This Row],[Month]],database!A:J,MATCH('Capacity Utilization'!$A$1,database!$A$1:$J$1,),)</f>
        <v>76.722800000000007</v>
      </c>
      <c r="C587" s="68">
        <f>(VLOOKUP(A587,database!A:K,11,) - VLOOKUP(A575,database!A:K,11,))/VLOOKUP(A575,database!A:K,11,)</f>
        <v>2.2281167108753254E-2</v>
      </c>
    </row>
    <row r="588" spans="1:3" x14ac:dyDescent="0.35">
      <c r="A588" s="38">
        <v>42186</v>
      </c>
      <c r="B588" s="39">
        <f>VLOOKUP(Table8[[#This Row],[Month]],database!A:J,MATCH('Capacity Utilization'!$A$1,database!$A$1:$J$1,),)</f>
        <v>77.223699999999994</v>
      </c>
      <c r="C588" s="68">
        <f>(VLOOKUP(A588,database!A:K,11,) - VLOOKUP(A576,database!A:K,11,))/VLOOKUP(A576,database!A:K,11,)</f>
        <v>2.2787493375728732E-2</v>
      </c>
    </row>
    <row r="589" spans="1:3" x14ac:dyDescent="0.35">
      <c r="A589" s="38">
        <v>42217</v>
      </c>
      <c r="B589" s="39">
        <f>VLOOKUP(Table8[[#This Row],[Month]],database!A:J,MATCH('Capacity Utilization'!$A$1,database!$A$1:$J$1,),)</f>
        <v>77.052099999999996</v>
      </c>
      <c r="C589" s="68">
        <f>(VLOOKUP(A589,database!A:K,11,) - VLOOKUP(A577,database!A:K,11,))/VLOOKUP(A577,database!A:K,11,)</f>
        <v>2.1164021164021163E-2</v>
      </c>
    </row>
    <row r="590" spans="1:3" x14ac:dyDescent="0.35">
      <c r="A590" s="38">
        <v>42248</v>
      </c>
      <c r="B590" s="39">
        <f>VLOOKUP(Table8[[#This Row],[Month]],database!A:J,MATCH('Capacity Utilization'!$A$1,database!$A$1:$J$1,),)</f>
        <v>76.851900000000001</v>
      </c>
      <c r="C590" s="68">
        <f>(VLOOKUP(A590,database!A:K,11,) - VLOOKUP(A578,database!A:K,11,))/VLOOKUP(A578,database!A:K,11,)</f>
        <v>2.1141649048625793E-2</v>
      </c>
    </row>
    <row r="591" spans="1:3" x14ac:dyDescent="0.35">
      <c r="A591" s="38">
        <v>42278</v>
      </c>
      <c r="B591" s="39">
        <f>VLOOKUP(Table8[[#This Row],[Month]],database!A:J,MATCH('Capacity Utilization'!$A$1,database!$A$1:$J$1,),)</f>
        <v>76.511200000000002</v>
      </c>
      <c r="C591" s="68">
        <f>(VLOOKUP(A591,database!A:K,11,) - VLOOKUP(A579,database!A:K,11,))/VLOOKUP(A579,database!A:K,11,)</f>
        <v>1.7923036373220905E-2</v>
      </c>
    </row>
    <row r="592" spans="1:3" x14ac:dyDescent="0.35">
      <c r="A592" s="38">
        <v>42309</v>
      </c>
      <c r="B592" s="39">
        <f>VLOOKUP(Table8[[#This Row],[Month]],database!A:J,MATCH('Capacity Utilization'!$A$1,database!$A$1:$J$1,),)</f>
        <v>75.930300000000003</v>
      </c>
      <c r="C592" s="68">
        <f>(VLOOKUP(A592,database!A:K,11,) - VLOOKUP(A580,database!A:K,11,))/VLOOKUP(A580,database!A:K,11,)</f>
        <v>1.8450184501845018E-2</v>
      </c>
    </row>
    <row r="593" spans="1:3" x14ac:dyDescent="0.35">
      <c r="A593" s="38">
        <v>42339</v>
      </c>
      <c r="B593" s="39">
        <f>VLOOKUP(Table8[[#This Row],[Month]],database!A:J,MATCH('Capacity Utilization'!$A$1,database!$A$1:$J$1,),)</f>
        <v>75.533900000000003</v>
      </c>
      <c r="C593" s="68">
        <f>(VLOOKUP(A593,database!A:K,11,) - VLOOKUP(A581,database!A:K,11,))/VLOOKUP(A581,database!A:K,11,)</f>
        <v>1.8967334035827156E-2</v>
      </c>
    </row>
    <row r="594" spans="1:3" x14ac:dyDescent="0.35">
      <c r="A594" s="38">
        <v>42370</v>
      </c>
      <c r="B594" s="39">
        <f>VLOOKUP(Table8[[#This Row],[Month]],database!A:J,MATCH('Capacity Utilization'!$A$1,database!$A$1:$J$1,),)</f>
        <v>75.9559</v>
      </c>
      <c r="C594" s="68">
        <f>(VLOOKUP(A594,database!A:K,11,) - VLOOKUP(A582,database!A:K,11,))/VLOOKUP(A582,database!A:K,11,)</f>
        <v>1.6780283167278538E-2</v>
      </c>
    </row>
    <row r="595" spans="1:3" x14ac:dyDescent="0.35">
      <c r="A595" s="38">
        <v>42401</v>
      </c>
      <c r="B595" s="39">
        <f>VLOOKUP(Table8[[#This Row],[Month]],database!A:J,MATCH('Capacity Utilization'!$A$1,database!$A$1:$J$1,),)</f>
        <v>75.559299999999993</v>
      </c>
      <c r="C595" s="68">
        <f>(VLOOKUP(A595,database!A:K,11,) - VLOOKUP(A583,database!A:K,11,))/VLOOKUP(A583,database!A:K,11,)</f>
        <v>1.5167364016736433E-2</v>
      </c>
    </row>
    <row r="596" spans="1:3" x14ac:dyDescent="0.35">
      <c r="A596" s="38">
        <v>42430</v>
      </c>
      <c r="B596" s="39">
        <f>VLOOKUP(Table8[[#This Row],[Month]],database!A:J,MATCH('Capacity Utilization'!$A$1,database!$A$1:$J$1,),)</f>
        <v>74.972700000000003</v>
      </c>
      <c r="C596" s="68">
        <f>(VLOOKUP(A596,database!A:K,11,) - VLOOKUP(A584,database!A:K,11,))/VLOOKUP(A584,database!A:K,11,)</f>
        <v>1.5151515151515181E-2</v>
      </c>
    </row>
    <row r="597" spans="1:3" x14ac:dyDescent="0.35">
      <c r="A597" s="38">
        <v>42461</v>
      </c>
      <c r="B597" s="39">
        <f>VLOOKUP(Table8[[#This Row],[Month]],database!A:J,MATCH('Capacity Utilization'!$A$1,database!$A$1:$J$1,),)</f>
        <v>75.186599999999999</v>
      </c>
      <c r="C597" s="68">
        <f>(VLOOKUP(A597,database!A:K,11,) - VLOOKUP(A585,database!A:K,11,))/VLOOKUP(A585,database!A:K,11,)</f>
        <v>1.6187989556135741E-2</v>
      </c>
    </row>
    <row r="598" spans="1:3" x14ac:dyDescent="0.35">
      <c r="A598" s="38">
        <v>42491</v>
      </c>
      <c r="B598" s="39">
        <f>VLOOKUP(Table8[[#This Row],[Month]],database!A:J,MATCH('Capacity Utilization'!$A$1,database!$A$1:$J$1,),)</f>
        <v>74.995400000000004</v>
      </c>
      <c r="C598" s="68">
        <f>(VLOOKUP(A598,database!A:K,11,) - VLOOKUP(A586,database!A:K,11,))/VLOOKUP(A586,database!A:K,11,)</f>
        <v>1.5641293013555786E-2</v>
      </c>
    </row>
    <row r="599" spans="1:3" x14ac:dyDescent="0.35">
      <c r="A599" s="38">
        <v>42522</v>
      </c>
      <c r="B599" s="39">
        <f>VLOOKUP(Table8[[#This Row],[Month]],database!A:J,MATCH('Capacity Utilization'!$A$1,database!$A$1:$J$1,),)</f>
        <v>75.330100000000002</v>
      </c>
      <c r="C599" s="68">
        <f>(VLOOKUP(A599,database!A:K,11,) - VLOOKUP(A587,database!A:K,11,))/VLOOKUP(A587,database!A:K,11,)</f>
        <v>1.4011416709911869E-2</v>
      </c>
    </row>
    <row r="600" spans="1:3" x14ac:dyDescent="0.35">
      <c r="A600" s="38">
        <v>42552</v>
      </c>
      <c r="B600" s="39">
        <f>VLOOKUP(Table8[[#This Row],[Month]],database!A:J,MATCH('Capacity Utilization'!$A$1,database!$A$1:$J$1,),)</f>
        <v>75.427199999999999</v>
      </c>
      <c r="C600" s="68">
        <f>(VLOOKUP(A600,database!A:K,11,) - VLOOKUP(A588,database!A:K,11,))/VLOOKUP(A588,database!A:K,11,)</f>
        <v>1.2435233160621791E-2</v>
      </c>
    </row>
    <row r="601" spans="1:3" x14ac:dyDescent="0.35">
      <c r="A601" s="38">
        <v>42583</v>
      </c>
      <c r="B601" s="39">
        <f>VLOOKUP(Table8[[#This Row],[Month]],database!A:J,MATCH('Capacity Utilization'!$A$1,database!$A$1:$J$1,),)</f>
        <v>75.318399999999997</v>
      </c>
      <c r="C601" s="68">
        <f>(VLOOKUP(A601,database!A:K,11,) - VLOOKUP(A589,database!A:K,11,))/VLOOKUP(A589,database!A:K,11,)</f>
        <v>1.3471502590673546E-2</v>
      </c>
    </row>
    <row r="602" spans="1:3" x14ac:dyDescent="0.35">
      <c r="A602" s="38">
        <v>42614</v>
      </c>
      <c r="B602" s="39">
        <f>VLOOKUP(Table8[[#This Row],[Month]],database!A:J,MATCH('Capacity Utilization'!$A$1,database!$A$1:$J$1,),)</f>
        <v>75.215500000000006</v>
      </c>
      <c r="C602" s="68">
        <f>(VLOOKUP(A602,database!A:K,11,) - VLOOKUP(A590,database!A:K,11,))/VLOOKUP(A590,database!A:K,11,)</f>
        <v>1.3457556935817924E-2</v>
      </c>
    </row>
    <row r="603" spans="1:3" x14ac:dyDescent="0.35">
      <c r="A603" s="38">
        <v>42644</v>
      </c>
      <c r="B603" s="39">
        <f>VLOOKUP(Table8[[#This Row],[Month]],database!A:J,MATCH('Capacity Utilization'!$A$1,database!$A$1:$J$1,),)</f>
        <v>75.258600000000001</v>
      </c>
      <c r="C603" s="68">
        <f>(VLOOKUP(A603,database!A:K,11,) - VLOOKUP(A591,database!A:K,11,))/VLOOKUP(A591,database!A:K,11,)</f>
        <v>1.5535991714137753E-2</v>
      </c>
    </row>
    <row r="604" spans="1:3" x14ac:dyDescent="0.35">
      <c r="A604" s="38">
        <v>42675</v>
      </c>
      <c r="B604" s="39">
        <f>VLOOKUP(Table8[[#This Row],[Month]],database!A:J,MATCH('Capacity Utilization'!$A$1,database!$A$1:$J$1,),)</f>
        <v>74.930800000000005</v>
      </c>
      <c r="C604" s="68">
        <f>(VLOOKUP(A604,database!A:K,11,) - VLOOKUP(A592,database!A:K,11,))/VLOOKUP(A592,database!A:K,11,)</f>
        <v>1.6045548654244426E-2</v>
      </c>
    </row>
    <row r="605" spans="1:3" x14ac:dyDescent="0.35">
      <c r="A605" s="38">
        <v>42705</v>
      </c>
      <c r="B605" s="39">
        <f>VLOOKUP(Table8[[#This Row],[Month]],database!A:J,MATCH('Capacity Utilization'!$A$1,database!$A$1:$J$1,),)</f>
        <v>75.388000000000005</v>
      </c>
      <c r="C605" s="68">
        <f>(VLOOKUP(A605,database!A:K,11,) - VLOOKUP(A593,database!A:K,11,))/VLOOKUP(A593,database!A:K,11,)</f>
        <v>1.706308169596682E-2</v>
      </c>
    </row>
    <row r="606" spans="1:3" x14ac:dyDescent="0.35">
      <c r="A606" s="38">
        <v>42736</v>
      </c>
      <c r="B606" s="39">
        <f>VLOOKUP(Table8[[#This Row],[Month]],database!A:J,MATCH('Capacity Utilization'!$A$1,database!$A$1:$J$1,),)</f>
        <v>75.262299999999996</v>
      </c>
      <c r="C606" s="68">
        <f>(VLOOKUP(A606,database!A:K,11,) - VLOOKUP(A594,database!A:K,11,))/VLOOKUP(A594,database!A:K,11,)</f>
        <v>1.7019082001031371E-2</v>
      </c>
    </row>
    <row r="607" spans="1:3" x14ac:dyDescent="0.35">
      <c r="A607" s="38">
        <v>42767</v>
      </c>
      <c r="B607" s="39">
        <f>VLOOKUP(Table8[[#This Row],[Month]],database!A:J,MATCH('Capacity Utilization'!$A$1,database!$A$1:$J$1,),)</f>
        <v>75.0381</v>
      </c>
      <c r="C607" s="68">
        <f>(VLOOKUP(A607,database!A:K,11,) - VLOOKUP(A595,database!A:K,11,))/VLOOKUP(A595,database!A:K,11,)</f>
        <v>1.7001545595054155E-2</v>
      </c>
    </row>
    <row r="608" spans="1:3" x14ac:dyDescent="0.35">
      <c r="A608" s="38">
        <v>42795</v>
      </c>
      <c r="B608" s="39">
        <f>VLOOKUP(Table8[[#This Row],[Month]],database!A:J,MATCH('Capacity Utilization'!$A$1,database!$A$1:$J$1,),)</f>
        <v>75.566500000000005</v>
      </c>
      <c r="C608" s="68">
        <f>(VLOOKUP(A608,database!A:K,11,) - VLOOKUP(A596,database!A:K,11,))/VLOOKUP(A596,database!A:K,11,)</f>
        <v>1.8528049408131724E-2</v>
      </c>
    </row>
    <row r="609" spans="1:3" x14ac:dyDescent="0.35">
      <c r="A609" s="38">
        <v>42826</v>
      </c>
      <c r="B609" s="39">
        <f>VLOOKUP(Table8[[#This Row],[Month]],database!A:J,MATCH('Capacity Utilization'!$A$1,database!$A$1:$J$1,),)</f>
        <v>76.355900000000005</v>
      </c>
      <c r="C609" s="68">
        <f>(VLOOKUP(A609,database!A:K,11,) - VLOOKUP(A597,database!A:K,11,))/VLOOKUP(A597,database!A:K,11,)</f>
        <v>2.0041109969167553E-2</v>
      </c>
    </row>
    <row r="610" spans="1:3" x14ac:dyDescent="0.35">
      <c r="A610" s="38">
        <v>42856</v>
      </c>
      <c r="B610" s="39">
        <f>VLOOKUP(Table8[[#This Row],[Month]],database!A:J,MATCH('Capacity Utilization'!$A$1,database!$A$1:$J$1,),)</f>
        <v>76.472099999999998</v>
      </c>
      <c r="C610" s="68">
        <f>(VLOOKUP(A610,database!A:K,11,) - VLOOKUP(A598,database!A:K,11,))/VLOOKUP(A598,database!A:K,11,)</f>
        <v>1.8993839835728894E-2</v>
      </c>
    </row>
    <row r="611" spans="1:3" x14ac:dyDescent="0.35">
      <c r="A611" s="38">
        <v>42887</v>
      </c>
      <c r="B611" s="39">
        <f>VLOOKUP(Table8[[#This Row],[Month]],database!A:J,MATCH('Capacity Utilization'!$A$1,database!$A$1:$J$1,),)</f>
        <v>76.668499999999995</v>
      </c>
      <c r="C611" s="68">
        <f>(VLOOKUP(A611,database!A:K,11,) - VLOOKUP(A599,database!A:K,11,))/VLOOKUP(A599,database!A:K,11,)</f>
        <v>1.7400204708290713E-2</v>
      </c>
    </row>
    <row r="612" spans="1:3" x14ac:dyDescent="0.35">
      <c r="A612" s="38">
        <v>42917</v>
      </c>
      <c r="B612" s="39">
        <f>VLOOKUP(Table8[[#This Row],[Month]],database!A:J,MATCH('Capacity Utilization'!$A$1,database!$A$1:$J$1,),)</f>
        <v>76.607900000000001</v>
      </c>
      <c r="C612" s="68">
        <f>(VLOOKUP(A612,database!A:K,11,) - VLOOKUP(A600,database!A:K,11,))/VLOOKUP(A600,database!A:K,11,)</f>
        <v>1.7911975435005119E-2</v>
      </c>
    </row>
    <row r="613" spans="1:3" x14ac:dyDescent="0.35">
      <c r="A613" s="38">
        <v>42948</v>
      </c>
      <c r="B613" s="39">
        <f>VLOOKUP(Table8[[#This Row],[Month]],database!A:J,MATCH('Capacity Utilization'!$A$1,database!$A$1:$J$1,),)</f>
        <v>76.339200000000005</v>
      </c>
      <c r="C613" s="68">
        <f>(VLOOKUP(A613,database!A:K,11,) - VLOOKUP(A601,database!A:K,11,))/VLOOKUP(A601,database!A:K,11,)</f>
        <v>1.7893660531697341E-2</v>
      </c>
    </row>
    <row r="614" spans="1:3" x14ac:dyDescent="0.35">
      <c r="A614" s="38">
        <v>42979</v>
      </c>
      <c r="B614" s="39">
        <f>VLOOKUP(Table8[[#This Row],[Month]],database!A:J,MATCH('Capacity Utilization'!$A$1,database!$A$1:$J$1,),)</f>
        <v>76.493700000000004</v>
      </c>
      <c r="C614" s="68">
        <f>(VLOOKUP(A614,database!A:K,11,) - VLOOKUP(A602,database!A:K,11,))/VLOOKUP(A602,database!A:K,11,)</f>
        <v>1.6343207354443251E-2</v>
      </c>
    </row>
    <row r="615" spans="1:3" x14ac:dyDescent="0.35">
      <c r="A615" s="38">
        <v>43009</v>
      </c>
      <c r="B615" s="39">
        <f>VLOOKUP(Table8[[#This Row],[Month]],database!A:J,MATCH('Capacity Utilization'!$A$1,database!$A$1:$J$1,),)</f>
        <v>77.540199999999999</v>
      </c>
      <c r="C615" s="68">
        <f>(VLOOKUP(A615,database!A:K,11,) - VLOOKUP(A603,database!A:K,11,))/VLOOKUP(A603,database!A:K,11,)</f>
        <v>1.9887812340642561E-2</v>
      </c>
    </row>
    <row r="616" spans="1:3" x14ac:dyDescent="0.35">
      <c r="A616" s="38">
        <v>43040</v>
      </c>
      <c r="B616" s="39">
        <f>VLOOKUP(Table8[[#This Row],[Month]],database!A:J,MATCH('Capacity Utilization'!$A$1,database!$A$1:$J$1,),)</f>
        <v>77.762699999999995</v>
      </c>
      <c r="C616" s="68">
        <f>(VLOOKUP(A616,database!A:K,11,) - VLOOKUP(A604,database!A:K,11,))/VLOOKUP(A604,database!A:K,11,)</f>
        <v>2.1395822720325971E-2</v>
      </c>
    </row>
    <row r="617" spans="1:3" x14ac:dyDescent="0.35">
      <c r="A617" s="38">
        <v>43070</v>
      </c>
      <c r="B617" s="39">
        <f>VLOOKUP(Table8[[#This Row],[Month]],database!A:J,MATCH('Capacity Utilization'!$A$1,database!$A$1:$J$1,),)</f>
        <v>77.961699999999993</v>
      </c>
      <c r="C617" s="68">
        <f>(VLOOKUP(A617,database!A:K,11,) - VLOOKUP(A605,database!A:K,11,))/VLOOKUP(A605,database!A:K,11,)</f>
        <v>1.9827147941026975E-2</v>
      </c>
    </row>
    <row r="618" spans="1:3" x14ac:dyDescent="0.35">
      <c r="A618" s="38">
        <v>43101</v>
      </c>
      <c r="B618" s="39">
        <f>VLOOKUP(Table8[[#This Row],[Month]],database!A:J,MATCH('Capacity Utilization'!$A$1,database!$A$1:$J$1,),)</f>
        <v>77.996600000000001</v>
      </c>
      <c r="C618" s="68">
        <f>(VLOOKUP(A618,database!A:K,11,) - VLOOKUP(A606,database!A:K,11,))/VLOOKUP(A606,database!A:K,11,)</f>
        <v>1.9269776876267807E-2</v>
      </c>
    </row>
    <row r="619" spans="1:3" x14ac:dyDescent="0.35">
      <c r="A619" s="38">
        <v>43132</v>
      </c>
      <c r="B619" s="39">
        <f>VLOOKUP(Table8[[#This Row],[Month]],database!A:J,MATCH('Capacity Utilization'!$A$1,database!$A$1:$J$1,),)</f>
        <v>78.330399999999997</v>
      </c>
      <c r="C619" s="68">
        <f>(VLOOKUP(A619,database!A:K,11,) - VLOOKUP(A607,database!A:K,11,))/VLOOKUP(A607,database!A:K,11,)</f>
        <v>2.0263424518743668E-2</v>
      </c>
    </row>
    <row r="620" spans="1:3" x14ac:dyDescent="0.35">
      <c r="A620" s="38">
        <v>43160</v>
      </c>
      <c r="B620" s="39">
        <f>VLOOKUP(Table8[[#This Row],[Month]],database!A:J,MATCH('Capacity Utilization'!$A$1,database!$A$1:$J$1,),)</f>
        <v>78.814999999999998</v>
      </c>
      <c r="C620" s="68">
        <f>(VLOOKUP(A620,database!A:K,11,) - VLOOKUP(A608,database!A:K,11,))/VLOOKUP(A608,database!A:K,11,)</f>
        <v>2.02122283981809E-2</v>
      </c>
    </row>
    <row r="621" spans="1:3" x14ac:dyDescent="0.35">
      <c r="A621" s="38">
        <v>43191</v>
      </c>
      <c r="B621" s="39">
        <f>VLOOKUP(Table8[[#This Row],[Month]],database!A:J,MATCH('Capacity Utilization'!$A$1,database!$A$1:$J$1,),)</f>
        <v>79.739099999999993</v>
      </c>
      <c r="C621" s="68">
        <f>(VLOOKUP(A621,database!A:K,11,) - VLOOKUP(A609,database!A:K,11,))/VLOOKUP(A609,database!A:K,11,)</f>
        <v>1.914357682619653E-2</v>
      </c>
    </row>
    <row r="622" spans="1:3" x14ac:dyDescent="0.35">
      <c r="A622" s="38">
        <v>43221</v>
      </c>
      <c r="B622" s="39">
        <f>VLOOKUP(Table8[[#This Row],[Month]],database!A:J,MATCH('Capacity Utilization'!$A$1,database!$A$1:$J$1,),)</f>
        <v>79.018100000000004</v>
      </c>
      <c r="C622" s="68">
        <f>(VLOOKUP(A622,database!A:K,11,) - VLOOKUP(A610,database!A:K,11,))/VLOOKUP(A610,database!A:K,11,)</f>
        <v>2.0654911838790903E-2</v>
      </c>
    </row>
    <row r="623" spans="1:3" x14ac:dyDescent="0.35">
      <c r="A623" s="38">
        <v>43252</v>
      </c>
      <c r="B623" s="39">
        <f>VLOOKUP(Table8[[#This Row],[Month]],database!A:J,MATCH('Capacity Utilization'!$A$1,database!$A$1:$J$1,),)</f>
        <v>79.622399999999999</v>
      </c>
      <c r="C623" s="68">
        <f>(VLOOKUP(A623,database!A:K,11,) - VLOOKUP(A611,database!A:K,11,))/VLOOKUP(A611,database!A:K,11,)</f>
        <v>2.1126760563380222E-2</v>
      </c>
    </row>
    <row r="624" spans="1:3" x14ac:dyDescent="0.35">
      <c r="A624" s="38">
        <v>43282</v>
      </c>
      <c r="B624" s="39">
        <f>VLOOKUP(Table8[[#This Row],[Month]],database!A:J,MATCH('Capacity Utilization'!$A$1,database!$A$1:$J$1,),)</f>
        <v>79.773200000000003</v>
      </c>
      <c r="C624" s="68">
        <f>(VLOOKUP(A624,database!A:K,11,) - VLOOKUP(A612,database!A:K,11,))/VLOOKUP(A612,database!A:K,11,)</f>
        <v>2.3629964806435338E-2</v>
      </c>
    </row>
    <row r="625" spans="1:3" x14ac:dyDescent="0.35">
      <c r="A625" s="38">
        <v>43313</v>
      </c>
      <c r="B625" s="39">
        <f>VLOOKUP(Table8[[#This Row],[Month]],database!A:J,MATCH('Capacity Utilization'!$A$1,database!$A$1:$J$1,),)</f>
        <v>80.307299999999998</v>
      </c>
      <c r="C625" s="68">
        <f>(VLOOKUP(A625,database!A:K,11,) - VLOOKUP(A613,database!A:K,11,))/VLOOKUP(A613,database!A:K,11,)</f>
        <v>2.5113008538422903E-2</v>
      </c>
    </row>
    <row r="626" spans="1:3" x14ac:dyDescent="0.35">
      <c r="A626" s="38">
        <v>43344</v>
      </c>
      <c r="B626" s="39">
        <f>VLOOKUP(Table8[[#This Row],[Month]],database!A:J,MATCH('Capacity Utilization'!$A$1,database!$A$1:$J$1,),)</f>
        <v>80.2637</v>
      </c>
      <c r="C626" s="68">
        <f>(VLOOKUP(A626,database!A:K,11,) - VLOOKUP(A614,database!A:K,11,))/VLOOKUP(A614,database!A:K,11,)</f>
        <v>2.7135678391959829E-2</v>
      </c>
    </row>
    <row r="627" spans="1:3" x14ac:dyDescent="0.35">
      <c r="A627" s="38">
        <v>43374</v>
      </c>
      <c r="B627" s="39">
        <f>VLOOKUP(Table8[[#This Row],[Month]],database!A:J,MATCH('Capacity Utilization'!$A$1,database!$A$1:$J$1,),)</f>
        <v>80.1297</v>
      </c>
      <c r="C627" s="68">
        <f>(VLOOKUP(A627,database!A:K,11,) - VLOOKUP(A615,database!A:K,11,))/VLOOKUP(A615,database!A:K,11,)</f>
        <v>2.5499999999999971E-2</v>
      </c>
    </row>
    <row r="628" spans="1:3" x14ac:dyDescent="0.35">
      <c r="A628" s="38">
        <v>43405</v>
      </c>
      <c r="B628" s="39">
        <f>VLOOKUP(Table8[[#This Row],[Month]],database!A:J,MATCH('Capacity Utilization'!$A$1,database!$A$1:$J$1,),)</f>
        <v>80.012100000000004</v>
      </c>
      <c r="C628" s="68">
        <f>(VLOOKUP(A628,database!A:K,11,) - VLOOKUP(A616,database!A:K,11,))/VLOOKUP(A616,database!A:K,11,)</f>
        <v>2.5436408977556082E-2</v>
      </c>
    </row>
    <row r="629" spans="1:3" x14ac:dyDescent="0.35">
      <c r="A629" s="38">
        <v>43435</v>
      </c>
      <c r="B629" s="39">
        <f>VLOOKUP(Table8[[#This Row],[Month]],database!A:J,MATCH('Capacity Utilization'!$A$1,database!$A$1:$J$1,),)</f>
        <v>79.884600000000006</v>
      </c>
      <c r="C629" s="68">
        <f>(VLOOKUP(A629,database!A:K,11,) - VLOOKUP(A617,database!A:K,11,))/VLOOKUP(A617,database!A:K,11,)</f>
        <v>2.5922233300099788E-2</v>
      </c>
    </row>
    <row r="630" spans="1:3" x14ac:dyDescent="0.35">
      <c r="A630" s="38">
        <v>43466</v>
      </c>
      <c r="B630" s="39">
        <f>VLOOKUP(Table8[[#This Row],[Month]],database!A:J,MATCH('Capacity Utilization'!$A$1,database!$A$1:$J$1,),)</f>
        <v>79.359300000000005</v>
      </c>
      <c r="C630" s="68">
        <f>(VLOOKUP(A630,database!A:K,11,) - VLOOKUP(A618,database!A:K,11,))/VLOOKUP(A618,database!A:K,11,)</f>
        <v>2.8855721393034883E-2</v>
      </c>
    </row>
    <row r="631" spans="1:3" x14ac:dyDescent="0.35">
      <c r="A631" s="38">
        <v>43497</v>
      </c>
      <c r="B631" s="39">
        <f>VLOOKUP(Table8[[#This Row],[Month]],database!A:J,MATCH('Capacity Utilization'!$A$1,database!$A$1:$J$1,),)</f>
        <v>78.945300000000003</v>
      </c>
      <c r="C631" s="68">
        <f>(VLOOKUP(A631,database!A:K,11,) - VLOOKUP(A619,database!A:K,11,))/VLOOKUP(A619,database!A:K,11,)</f>
        <v>2.7805362462760646E-2</v>
      </c>
    </row>
    <row r="632" spans="1:3" x14ac:dyDescent="0.35">
      <c r="A632" s="38">
        <v>43525</v>
      </c>
      <c r="B632" s="39">
        <f>VLOOKUP(Table8[[#This Row],[Month]],database!A:J,MATCH('Capacity Utilization'!$A$1,database!$A$1:$J$1,),)</f>
        <v>78.940100000000001</v>
      </c>
      <c r="C632" s="68">
        <f>(VLOOKUP(A632,database!A:K,11,) - VLOOKUP(A620,database!A:K,11,))/VLOOKUP(A620,database!A:K,11,)</f>
        <v>2.6745913818722166E-2</v>
      </c>
    </row>
    <row r="633" spans="1:3" x14ac:dyDescent="0.35">
      <c r="A633" s="38">
        <v>43556</v>
      </c>
      <c r="B633" s="39">
        <f>VLOOKUP(Table8[[#This Row],[Month]],database!A:J,MATCH('Capacity Utilization'!$A$1,database!$A$1:$J$1,),)</f>
        <v>78.468500000000006</v>
      </c>
      <c r="C633" s="68">
        <f>(VLOOKUP(A633,database!A:K,11,) - VLOOKUP(A621,database!A:K,11,))/VLOOKUP(A621,database!A:K,11,)</f>
        <v>2.5210084033613415E-2</v>
      </c>
    </row>
    <row r="634" spans="1:3" x14ac:dyDescent="0.35">
      <c r="A634" s="38">
        <v>43586</v>
      </c>
      <c r="B634" s="39">
        <f>VLOOKUP(Table8[[#This Row],[Month]],database!A:J,MATCH('Capacity Utilization'!$A$1,database!$A$1:$J$1,),)</f>
        <v>78.537899999999993</v>
      </c>
      <c r="C634" s="68">
        <f>(VLOOKUP(A634,database!A:K,11,) - VLOOKUP(A622,database!A:K,11,))/VLOOKUP(A622,database!A:K,11,)</f>
        <v>2.4679170779861797E-2</v>
      </c>
    </row>
    <row r="635" spans="1:3" x14ac:dyDescent="0.35">
      <c r="A635" s="38">
        <v>43617</v>
      </c>
      <c r="B635" s="39">
        <f>VLOOKUP(Table8[[#This Row],[Month]],database!A:J,MATCH('Capacity Utilization'!$A$1,database!$A$1:$J$1,),)</f>
        <v>78.469399999999993</v>
      </c>
      <c r="C635" s="68">
        <f>(VLOOKUP(A635,database!A:K,11,) - VLOOKUP(A623,database!A:K,11,))/VLOOKUP(A623,database!A:K,11,)</f>
        <v>2.3152709359605856E-2</v>
      </c>
    </row>
    <row r="636" spans="1:3" x14ac:dyDescent="0.35">
      <c r="A636" s="38">
        <v>43647</v>
      </c>
      <c r="B636" s="39">
        <f>VLOOKUP(Table8[[#This Row],[Month]],database!A:J,MATCH('Capacity Utilization'!$A$1,database!$A$1:$J$1,),)</f>
        <v>78.085499999999996</v>
      </c>
      <c r="C636" s="68">
        <f>(VLOOKUP(A636,database!A:K,11,) - VLOOKUP(A624,database!A:K,11,))/VLOOKUP(A624,database!A:K,11,)</f>
        <v>2.161100196463657E-2</v>
      </c>
    </row>
    <row r="637" spans="1:3" x14ac:dyDescent="0.35">
      <c r="A637" s="38">
        <v>43678</v>
      </c>
      <c r="B637" s="39">
        <f>VLOOKUP(Table8[[#This Row],[Month]],database!A:J,MATCH('Capacity Utilization'!$A$1,database!$A$1:$J$1,),)</f>
        <v>78.538200000000003</v>
      </c>
      <c r="C637" s="68">
        <f>(VLOOKUP(A637,database!A:K,11,) - VLOOKUP(A625,database!A:K,11,))/VLOOKUP(A625,database!A:K,11,)</f>
        <v>1.9108280254777097E-2</v>
      </c>
    </row>
    <row r="638" spans="1:3" x14ac:dyDescent="0.35">
      <c r="A638" s="38">
        <v>43709</v>
      </c>
      <c r="B638" s="39">
        <f>VLOOKUP(Table8[[#This Row],[Month]],database!A:J,MATCH('Capacity Utilization'!$A$1,database!$A$1:$J$1,),)</f>
        <v>78.2029</v>
      </c>
      <c r="C638" s="68">
        <f>(VLOOKUP(A638,database!A:K,11,) - VLOOKUP(A626,database!A:K,11,))/VLOOKUP(A626,database!A:K,11,)</f>
        <v>1.8590998043052753E-2</v>
      </c>
    </row>
    <row r="639" spans="1:3" x14ac:dyDescent="0.35">
      <c r="A639" s="38">
        <v>43739</v>
      </c>
      <c r="B639" s="39">
        <f>VLOOKUP(Table8[[#This Row],[Month]],database!A:J,MATCH('Capacity Utilization'!$A$1,database!$A$1:$J$1,),)</f>
        <v>77.513800000000003</v>
      </c>
      <c r="C639" s="68">
        <f>(VLOOKUP(A639,database!A:K,11,) - VLOOKUP(A627,database!A:K,11,))/VLOOKUP(A627,database!A:K,11,)</f>
        <v>1.6577279375914217E-2</v>
      </c>
    </row>
    <row r="640" spans="1:3" x14ac:dyDescent="0.35">
      <c r="A640" s="38">
        <v>43770</v>
      </c>
      <c r="B640" s="39">
        <f>VLOOKUP(Table8[[#This Row],[Month]],database!A:J,MATCH('Capacity Utilization'!$A$1,database!$A$1:$J$1,),)</f>
        <v>77.687899999999999</v>
      </c>
      <c r="C640" s="68">
        <f>(VLOOKUP(A640,database!A:K,11,) - VLOOKUP(A628,database!A:K,11,))/VLOOKUP(A628,database!A:K,11,)</f>
        <v>1.5564202334630434E-2</v>
      </c>
    </row>
    <row r="641" spans="1:3" x14ac:dyDescent="0.35">
      <c r="A641" s="38">
        <v>43800</v>
      </c>
      <c r="B641" s="39">
        <f>VLOOKUP(Table8[[#This Row],[Month]],database!A:J,MATCH('Capacity Utilization'!$A$1,database!$A$1:$J$1,),)</f>
        <v>77.373999999999995</v>
      </c>
      <c r="C641" s="68">
        <f>(VLOOKUP(A641,database!A:K,11,) - VLOOKUP(A629,database!A:K,11,))/VLOOKUP(A629,database!A:K,11,)</f>
        <v>1.4577259475218658E-2</v>
      </c>
    </row>
    <row r="642" spans="1:3" x14ac:dyDescent="0.35">
      <c r="A642" s="38">
        <v>43831</v>
      </c>
      <c r="B642" s="39">
        <f>VLOOKUP(Table8[[#This Row],[Month]],database!A:J,MATCH('Capacity Utilization'!$A$1,database!$A$1:$J$1,),)</f>
        <v>76.976900000000001</v>
      </c>
      <c r="C642" s="68">
        <f>(VLOOKUP(A642,database!A:K,11,) - VLOOKUP(A630,database!A:K,11,))/VLOOKUP(A630,database!A:K,11,)</f>
        <v>1.063829787234037E-2</v>
      </c>
    </row>
    <row r="643" spans="1:3" x14ac:dyDescent="0.35">
      <c r="A643" s="38">
        <v>43862</v>
      </c>
      <c r="B643" s="39">
        <f>VLOOKUP(Table8[[#This Row],[Month]],database!A:J,MATCH('Capacity Utilization'!$A$1,database!$A$1:$J$1,),)</f>
        <v>77.252600000000001</v>
      </c>
      <c r="C643" s="68">
        <f>(VLOOKUP(A643,database!A:K,11,) - VLOOKUP(A631,database!A:K,11,))/VLOOKUP(A631,database!A:K,11,)</f>
        <v>1.2077294685990338E-2</v>
      </c>
    </row>
    <row r="644" spans="1:3" x14ac:dyDescent="0.35">
      <c r="A644" s="38">
        <v>43891</v>
      </c>
      <c r="B644" s="39">
        <f>VLOOKUP(Table8[[#This Row],[Month]],database!A:J,MATCH('Capacity Utilization'!$A$1,database!$A$1:$J$1,),)</f>
        <v>74.332999999999998</v>
      </c>
      <c r="C644" s="68">
        <f>(VLOOKUP(A644,database!A:K,11,) - VLOOKUP(A632,database!A:K,11,))/VLOOKUP(A632,database!A:K,11,)</f>
        <v>1.0612638687891888E-2</v>
      </c>
    </row>
    <row r="645" spans="1:3" x14ac:dyDescent="0.35">
      <c r="A645" s="38">
        <v>43922</v>
      </c>
      <c r="B645" s="39">
        <f>VLOOKUP(Table8[[#This Row],[Month]],database!A:J,MATCH('Capacity Utilization'!$A$1,database!$A$1:$J$1,),)</f>
        <v>64.529799999999994</v>
      </c>
      <c r="C645" s="68">
        <f>(VLOOKUP(A645,database!A:K,11,) - VLOOKUP(A633,database!A:K,11,))/VLOOKUP(A633,database!A:K,11,)</f>
        <v>1.2054001928640309E-2</v>
      </c>
    </row>
    <row r="646" spans="1:3" x14ac:dyDescent="0.35">
      <c r="A646" s="38">
        <v>43952</v>
      </c>
      <c r="B646" s="39">
        <f>VLOOKUP(Table8[[#This Row],[Month]],database!A:J,MATCH('Capacity Utilization'!$A$1,database!$A$1:$J$1,),)</f>
        <v>65.599199999999996</v>
      </c>
      <c r="C646" s="68">
        <f>(VLOOKUP(A646,database!A:K,11,) - VLOOKUP(A634,database!A:K,11,))/VLOOKUP(A634,database!A:K,11,)</f>
        <v>1.0597302504817038E-2</v>
      </c>
    </row>
    <row r="647" spans="1:3" x14ac:dyDescent="0.35">
      <c r="A647" s="38">
        <v>43983</v>
      </c>
      <c r="B647" s="39">
        <f>VLOOKUP(Table8[[#This Row],[Month]],database!A:J,MATCH('Capacity Utilization'!$A$1,database!$A$1:$J$1,),)</f>
        <v>69.7637</v>
      </c>
      <c r="C647" s="68">
        <f>(VLOOKUP(A647,database!A:K,11,) - VLOOKUP(A635,database!A:K,11,))/VLOOKUP(A635,database!A:K,11,)</f>
        <v>1.0110736639383836E-2</v>
      </c>
    </row>
    <row r="648" spans="1:3" x14ac:dyDescent="0.35">
      <c r="A648" s="38">
        <v>44013</v>
      </c>
      <c r="B648" s="39">
        <f>VLOOKUP(Table8[[#This Row],[Month]],database!A:J,MATCH('Capacity Utilization'!$A$1,database!$A$1:$J$1,),)</f>
        <v>72.492800000000003</v>
      </c>
      <c r="C648" s="68">
        <f>(VLOOKUP(A648,database!A:K,11,) - VLOOKUP(A636,database!A:K,11,))/VLOOKUP(A636,database!A:K,11,)</f>
        <v>1.0576923076923022E-2</v>
      </c>
    </row>
    <row r="649" spans="1:3" x14ac:dyDescent="0.35">
      <c r="A649" s="38">
        <v>44044</v>
      </c>
      <c r="B649" s="39">
        <f>VLOOKUP(Table8[[#This Row],[Month]],database!A:J,MATCH('Capacity Utilization'!$A$1,database!$A$1:$J$1,),)</f>
        <v>73.257000000000005</v>
      </c>
      <c r="C649" s="68">
        <f>(VLOOKUP(A649,database!A:K,11,) - VLOOKUP(A637,database!A:K,11,))/VLOOKUP(A637,database!A:K,11,)</f>
        <v>1.201923076923077E-2</v>
      </c>
    </row>
    <row r="650" spans="1:3" x14ac:dyDescent="0.35">
      <c r="A650" s="38">
        <v>44075</v>
      </c>
      <c r="B650" s="39">
        <f>VLOOKUP(Table8[[#This Row],[Month]],database!A:J,MATCH('Capacity Utilization'!$A$1,database!$A$1:$J$1,),)</f>
        <v>73.339500000000001</v>
      </c>
      <c r="C650" s="68">
        <f>(VLOOKUP(A650,database!A:K,11,) - VLOOKUP(A638,database!A:K,11,))/VLOOKUP(A638,database!A:K,11,)</f>
        <v>1.2007684918347743E-2</v>
      </c>
    </row>
    <row r="651" spans="1:3" x14ac:dyDescent="0.35">
      <c r="A651" s="38">
        <v>44105</v>
      </c>
      <c r="B651" s="39">
        <f>VLOOKUP(Table8[[#This Row],[Month]],database!A:J,MATCH('Capacity Utilization'!$A$1,database!$A$1:$J$1,),)</f>
        <v>74.048199999999994</v>
      </c>
      <c r="C651" s="68">
        <f>(VLOOKUP(A651,database!A:K,11,) - VLOOKUP(A639,database!A:K,11,))/VLOOKUP(A639,database!A:K,11,)</f>
        <v>1.1031175059952093E-2</v>
      </c>
    </row>
    <row r="652" spans="1:3" x14ac:dyDescent="0.35">
      <c r="A652" s="38">
        <v>44136</v>
      </c>
      <c r="B652" s="39">
        <f>VLOOKUP(Table8[[#This Row],[Month]],database!A:J,MATCH('Capacity Utilization'!$A$1,database!$A$1:$J$1,),)</f>
        <v>74.415599999999998</v>
      </c>
      <c r="C652" s="68">
        <f>(VLOOKUP(A652,database!A:K,11,) - VLOOKUP(A640,database!A:K,11,))/VLOOKUP(A640,database!A:K,11,)</f>
        <v>1.2931034482758565E-2</v>
      </c>
    </row>
    <row r="653" spans="1:3" x14ac:dyDescent="0.35">
      <c r="A653" s="38">
        <v>44166</v>
      </c>
      <c r="B653" s="39">
        <f>VLOOKUP(Table8[[#This Row],[Month]],database!A:J,MATCH('Capacity Utilization'!$A$1,database!$A$1:$J$1,),)</f>
        <v>75.346599999999995</v>
      </c>
      <c r="C653" s="68">
        <f>(VLOOKUP(A653,database!A:K,11,) - VLOOKUP(A641,database!A:K,11,))/VLOOKUP(A641,database!A:K,11,)</f>
        <v>1.3409961685823672E-2</v>
      </c>
    </row>
    <row r="654" spans="1:3" x14ac:dyDescent="0.35">
      <c r="A654" s="38">
        <v>44197</v>
      </c>
      <c r="B654" s="39">
        <f>VLOOKUP(Table8[[#This Row],[Month]],database!A:J,MATCH('Capacity Utilization'!$A$1,database!$A$1:$J$1,),)</f>
        <v>76.364999999999995</v>
      </c>
      <c r="C654" s="68">
        <f>(VLOOKUP(A654,database!A:K,11,) - VLOOKUP(A642,database!A:K,11,))/VLOOKUP(A642,database!A:K,11,)</f>
        <v>1.6267942583732084E-2</v>
      </c>
    </row>
    <row r="655" spans="1:3" x14ac:dyDescent="0.35">
      <c r="A655" s="38">
        <v>44228</v>
      </c>
      <c r="B655" s="39">
        <f>VLOOKUP(Table8[[#This Row],[Month]],database!A:J,MATCH('Capacity Utilization'!$A$1,database!$A$1:$J$1,),)</f>
        <v>74.163399999999996</v>
      </c>
      <c r="C655" s="68">
        <f>(VLOOKUP(A655,database!A:K,11,) - VLOOKUP(A643,database!A:K,11,))/VLOOKUP(A643,database!A:K,11,)</f>
        <v>1.6706443914081145E-2</v>
      </c>
    </row>
    <row r="656" spans="1:3" x14ac:dyDescent="0.35">
      <c r="A656" s="38">
        <v>44256</v>
      </c>
      <c r="B656" s="39">
        <f>VLOOKUP(Table8[[#This Row],[Month]],database!A:J,MATCH('Capacity Utilization'!$A$1,database!$A$1:$J$1,),)</f>
        <v>76.329899999999995</v>
      </c>
      <c r="C656" s="68">
        <f>(VLOOKUP(A656,database!A:K,11,) - VLOOKUP(A644,database!A:K,11,))/VLOOKUP(A644,database!A:K,11,)</f>
        <v>2.0525059665871176E-2</v>
      </c>
    </row>
    <row r="657" spans="1:3" x14ac:dyDescent="0.35">
      <c r="A657" s="38">
        <v>44287</v>
      </c>
      <c r="B657" s="39">
        <f>VLOOKUP(Table8[[#This Row],[Month]],database!A:J,MATCH('Capacity Utilization'!$A$1,database!$A$1:$J$1,),)</f>
        <v>76.577600000000004</v>
      </c>
      <c r="C657" s="68">
        <f>(VLOOKUP(A657,database!A:K,11,) - VLOOKUP(A645,database!A:K,11,))/VLOOKUP(A645,database!A:K,11,)</f>
        <v>2.3820867079561697E-2</v>
      </c>
    </row>
    <row r="658" spans="1:3" x14ac:dyDescent="0.35">
      <c r="A658" s="38">
        <v>44317</v>
      </c>
      <c r="B658" s="39">
        <f>VLOOKUP(Table8[[#This Row],[Month]],database!A:J,MATCH('Capacity Utilization'!$A$1,database!$A$1:$J$1,),)</f>
        <v>77.263499999999993</v>
      </c>
      <c r="C658" s="68">
        <f>(VLOOKUP(A658,database!A:K,11,) - VLOOKUP(A646,database!A:K,11,))/VLOOKUP(A646,database!A:K,11,)</f>
        <v>3.002859866539553E-2</v>
      </c>
    </row>
    <row r="659" spans="1:3" x14ac:dyDescent="0.35">
      <c r="A659" s="38">
        <v>44348</v>
      </c>
      <c r="B659" s="39">
        <f>VLOOKUP(Table8[[#This Row],[Month]],database!A:J,MATCH('Capacity Utilization'!$A$1,database!$A$1:$J$1,),)</f>
        <v>77.662199999999999</v>
      </c>
      <c r="C659" s="68">
        <f>(VLOOKUP(A659,database!A:K,11,) - VLOOKUP(A647,database!A:K,11,))/VLOOKUP(A647,database!A:K,11,)</f>
        <v>3.7178265014299251E-2</v>
      </c>
    </row>
    <row r="660" spans="1:3" x14ac:dyDescent="0.35">
      <c r="A660" s="38">
        <v>44378</v>
      </c>
      <c r="B660" s="39">
        <f>VLOOKUP(Table8[[#This Row],[Month]],database!A:J,MATCH('Capacity Utilization'!$A$1,database!$A$1:$J$1,),)</f>
        <v>78.237300000000005</v>
      </c>
      <c r="C660" s="68">
        <f>(VLOOKUP(A660,database!A:K,11,) - VLOOKUP(A648,database!A:K,11,))/VLOOKUP(A648,database!A:K,11,)</f>
        <v>4.2112274024738362E-2</v>
      </c>
    </row>
    <row r="661" spans="1:3" x14ac:dyDescent="0.35">
      <c r="A661" s="38">
        <v>44409</v>
      </c>
      <c r="B661" s="39">
        <f>VLOOKUP(Table8[[#This Row],[Month]],database!A:J,MATCH('Capacity Utilization'!$A$1,database!$A$1:$J$1,),)</f>
        <v>78.226200000000006</v>
      </c>
      <c r="C661" s="68">
        <f>(VLOOKUP(A661,database!A:K,11,) - VLOOKUP(A649,database!A:K,11,))/VLOOKUP(A649,database!A:K,11,)</f>
        <v>4.5453681710213835E-2</v>
      </c>
    </row>
    <row r="662" spans="1:3" x14ac:dyDescent="0.35">
      <c r="A662" s="38">
        <v>44440</v>
      </c>
      <c r="B662" s="39">
        <f>VLOOKUP(Table8[[#This Row],[Month]],database!A:J,MATCH('Capacity Utilization'!$A$1,database!$A$1:$J$1,),)</f>
        <v>77.446899999999999</v>
      </c>
      <c r="C662" s="68">
        <f>(VLOOKUP(A662,database!A:K,11,) - VLOOKUP(A650,database!A:K,11,))/VLOOKUP(A650,database!A:K,11,)</f>
        <v>5.1476032273374488E-2</v>
      </c>
    </row>
    <row r="663" spans="1:3" x14ac:dyDescent="0.35">
      <c r="A663" s="38">
        <v>44470</v>
      </c>
      <c r="B663" s="39">
        <f>VLOOKUP(Table8[[#This Row],[Month]],database!A:J,MATCH('Capacity Utilization'!$A$1,database!$A$1:$J$1,),)</f>
        <v>78.578400000000002</v>
      </c>
      <c r="C663" s="68">
        <f>(VLOOKUP(A663,database!A:K,11,) - VLOOKUP(A651,database!A:K,11,))/VLOOKUP(A651,database!A:K,11,)</f>
        <v>5.6883301707779811E-2</v>
      </c>
    </row>
    <row r="664" spans="1:3" x14ac:dyDescent="0.35">
      <c r="A664" s="38">
        <v>44501</v>
      </c>
      <c r="B664" s="39">
        <f>VLOOKUP(Table8[[#This Row],[Month]],database!A:J,MATCH('Capacity Utilization'!$A$1,database!$A$1:$J$1,),)</f>
        <v>78.980800000000002</v>
      </c>
      <c r="C664" s="68">
        <f>(VLOOKUP(A664,database!A:K,11,) - VLOOKUP(A652,database!A:K,11,))/VLOOKUP(A652,database!A:K,11,)</f>
        <v>5.9773049645390049E-2</v>
      </c>
    </row>
    <row r="665" spans="1:3" x14ac:dyDescent="0.35">
      <c r="A665" s="38">
        <v>44531</v>
      </c>
      <c r="B665" s="39">
        <f>VLOOKUP(Table8[[#This Row],[Month]],database!A:J,MATCH('Capacity Utilization'!$A$1,database!$A$1:$J$1,),)</f>
        <v>78.741600000000005</v>
      </c>
      <c r="C665" s="68">
        <f>(VLOOKUP(A665,database!A:K,11,) - VLOOKUP(A653,database!A:K,11,))/VLOOKUP(A653,database!A:K,11,)</f>
        <v>6.5231568998109626E-2</v>
      </c>
    </row>
    <row r="666" spans="1:3" x14ac:dyDescent="0.35">
      <c r="A666" s="38">
        <v>44562</v>
      </c>
      <c r="B666" s="39">
        <f>VLOOKUP(Table8[[#This Row],[Month]],database!A:J,MATCH('Capacity Utilization'!$A$1,database!$A$1:$J$1,),)</f>
        <v>78.942099999999996</v>
      </c>
      <c r="C666" s="68">
        <f>(VLOOKUP(A666,database!A:K,11,) - VLOOKUP(A654,database!A:K,11,))/VLOOKUP(A654,database!A:K,11,)</f>
        <v>7.1016949152542391E-2</v>
      </c>
    </row>
    <row r="667" spans="1:3" x14ac:dyDescent="0.35">
      <c r="A667" s="38">
        <v>44593</v>
      </c>
      <c r="B667" s="39">
        <f>VLOOKUP(Table8[[#This Row],[Month]],database!A:J,MATCH('Capacity Utilization'!$A$1,database!$A$1:$J$1,),)</f>
        <v>79.414500000000004</v>
      </c>
      <c r="C667" s="68">
        <f>(VLOOKUP(A667,database!A:K,11,) - VLOOKUP(A655,database!A:K,11,))/VLOOKUP(A655,database!A:K,11,)</f>
        <v>7.8093896713614955E-2</v>
      </c>
    </row>
    <row r="668" spans="1:3" x14ac:dyDescent="0.35">
      <c r="A668" s="38">
        <v>44621</v>
      </c>
      <c r="B668" s="39">
        <f>VLOOKUP(Table8[[#This Row],[Month]],database!A:J,MATCH('Capacity Utilization'!$A$1,database!$A$1:$J$1,),)</f>
        <v>79.815399999999997</v>
      </c>
      <c r="C668" s="68">
        <f>(VLOOKUP(A668,database!A:K,11,) - VLOOKUP(A656,database!A:K,11,))/VLOOKUP(A656,database!A:K,11,)</f>
        <v>8.1085126286248754E-2</v>
      </c>
    </row>
    <row r="669" spans="1:3" x14ac:dyDescent="0.35">
      <c r="A669" s="38">
        <v>44652</v>
      </c>
      <c r="B669" s="39">
        <f>VLOOKUP(Table8[[#This Row],[Month]],database!A:J,MATCH('Capacity Utilization'!$A$1,database!$A$1:$J$1,),)</f>
        <v>80.228399999999993</v>
      </c>
      <c r="C669" s="68">
        <f>(VLOOKUP(A669,database!A:K,11,) - VLOOKUP(A657,database!A:K,11,))/VLOOKUP(A657,database!A:K,11,)</f>
        <v>8.6254071661237788E-2</v>
      </c>
    </row>
    <row r="670" spans="1:3" x14ac:dyDescent="0.35">
      <c r="A670" s="38">
        <v>44682</v>
      </c>
      <c r="B670" s="39">
        <f>VLOOKUP(Table8[[#This Row],[Month]],database!A:J,MATCH('Capacity Utilization'!$A$1,database!$A$1:$J$1,),)</f>
        <v>80.019800000000004</v>
      </c>
      <c r="C670" s="68">
        <f>(VLOOKUP(A670,database!A:K,11,) - VLOOKUP(A658,database!A:K,11,))/VLOOKUP(A658,database!A:K,11,)</f>
        <v>8.9083757519666851E-2</v>
      </c>
    </row>
    <row r="671" spans="1:3" x14ac:dyDescent="0.35">
      <c r="A671" s="38">
        <v>44713</v>
      </c>
      <c r="B671" s="39">
        <f>VLOOKUP(Table8[[#This Row],[Month]],database!A:J,MATCH('Capacity Utilization'!$A$1,database!$A$1:$J$1,),)</f>
        <v>79.728099999999998</v>
      </c>
      <c r="C671" s="68">
        <f>(VLOOKUP(A671,database!A:K,11,) - VLOOKUP(A659,database!A:K,11,))/VLOOKUP(A659,database!A:K,11,)</f>
        <v>8.9113051470588331E-2</v>
      </c>
    </row>
    <row r="672" spans="1:3" x14ac:dyDescent="0.35">
      <c r="A672" s="38">
        <v>44743</v>
      </c>
      <c r="B672" s="39">
        <f>VLOOKUP(Table8[[#This Row],[Month]],database!A:J,MATCH('Capacity Utilization'!$A$1,database!$A$1:$J$1,),)</f>
        <v>80.021299999999997</v>
      </c>
      <c r="C672" s="68">
        <f>(VLOOKUP(A672,database!A:K,11,) - VLOOKUP(A660,database!A:K,11,))/VLOOKUP(A660,database!A:K,11,)</f>
        <v>8.7855851578620622E-2</v>
      </c>
    </row>
    <row r="673" spans="1:3" x14ac:dyDescent="0.35">
      <c r="A673" s="38">
        <v>44774</v>
      </c>
      <c r="B673" s="39">
        <f>VLOOKUP(Table8[[#This Row],[Month]],database!A:J,MATCH('Capacity Utilization'!$A$1,database!$A$1:$J$1,),)</f>
        <v>79.825299999999999</v>
      </c>
      <c r="C673" s="68">
        <f>(VLOOKUP(A673,database!A:K,11,) - VLOOKUP(A661,database!A:K,11,))/VLOOKUP(A661,database!A:K,11,)</f>
        <v>8.8409037206681515E-2</v>
      </c>
    </row>
    <row r="674" spans="1:3" x14ac:dyDescent="0.35">
      <c r="A674" s="38">
        <v>44805</v>
      </c>
      <c r="B674" s="39">
        <f>VLOOKUP(Table8[[#This Row],[Month]],database!A:J,MATCH('Capacity Utilization'!$A$1,database!$A$1:$J$1,),)</f>
        <v>79.880799999999994</v>
      </c>
      <c r="C674" s="68">
        <f>(VLOOKUP(A674,database!A:K,11,) - VLOOKUP(A662,database!A:K,11,))/VLOOKUP(A662,database!A:K,11,)</f>
        <v>8.4447473662354569E-2</v>
      </c>
    </row>
    <row r="675" spans="1:3" x14ac:dyDescent="0.35">
      <c r="A675" s="38">
        <v>44835</v>
      </c>
      <c r="B675" s="39">
        <f>VLOOKUP(Table8[[#This Row],[Month]],database!A:J,MATCH('Capacity Utilization'!$A$1,database!$A$1:$J$1,),)</f>
        <v>79.802099999999996</v>
      </c>
      <c r="C675" s="68">
        <f>(VLOOKUP(A675,database!A:K,11,) - VLOOKUP(A663,database!A:K,11,))/VLOOKUP(A663,database!A:K,11,)</f>
        <v>8.1722331692034217E-2</v>
      </c>
    </row>
    <row r="676" spans="1:3" x14ac:dyDescent="0.35">
      <c r="A676" s="38">
        <v>44866</v>
      </c>
      <c r="B676" s="39">
        <f>VLOOKUP(Table8[[#This Row],[Month]],database!A:J,MATCH('Capacity Utilization'!$A$1,database!$A$1:$J$1,),)</f>
        <v>79.252499999999998</v>
      </c>
      <c r="C676" s="68">
        <f>(VLOOKUP(A676,database!A:K,11,) - VLOOKUP(A664,database!A:K,11,))/VLOOKUP(A664,database!A:K,11,)</f>
        <v>8.0422232334859206E-2</v>
      </c>
    </row>
    <row r="677" spans="1:3" x14ac:dyDescent="0.35">
      <c r="A677" s="38">
        <v>44896</v>
      </c>
      <c r="B677" s="39">
        <f>VLOOKUP(Table8[[#This Row],[Month]],database!A:J,MATCH('Capacity Utilization'!$A$1,database!$A$1:$J$1,),)</f>
        <v>78.367400000000004</v>
      </c>
      <c r="C677" s="68">
        <f>(VLOOKUP(A677,database!A:K,11,) - VLOOKUP(A665,database!A:K,11,))/VLOOKUP(A665,database!A:K,11,)</f>
        <v>7.6707053588461652E-2</v>
      </c>
    </row>
    <row r="678" spans="1:3" x14ac:dyDescent="0.35">
      <c r="A678" s="38">
        <v>44927</v>
      </c>
      <c r="B678" s="39">
        <f>VLOOKUP(Table8[[#This Row],[Month]],database!A:J,MATCH('Capacity Utilization'!$A$1,database!$A$1:$J$1,),)</f>
        <v>78.282799999999995</v>
      </c>
      <c r="C678" s="68">
        <f>(VLOOKUP(A678,database!A:K,11,) - VLOOKUP(A666,database!A:K,11,))/VLOOKUP(A666,database!A:K,11,)</f>
        <v>7.4172249476886248E-2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19"/>
  <sheetViews>
    <sheetView zoomScale="70" zoomScaleNormal="70" workbookViewId="0">
      <pane ySplit="6" topLeftCell="A584" activePane="bottomLeft" state="frozen"/>
      <selection activeCell="A572" sqref="A572:D575"/>
      <selection pane="bottomLeft" activeCell="X623" sqref="X623"/>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31" width="9.1796875" style="74" customWidth="1"/>
    <col min="32" max="16384" width="9.1796875" style="74"/>
  </cols>
  <sheetData>
    <row r="1" spans="1:25" x14ac:dyDescent="0.35">
      <c r="A1" s="15" t="s">
        <v>28</v>
      </c>
      <c r="B1" s="74"/>
      <c r="C1" s="74"/>
      <c r="S1" s="54" t="s">
        <v>63</v>
      </c>
      <c r="T1" s="62" t="s">
        <v>64</v>
      </c>
      <c r="U1" s="74" t="str">
        <f>S1&amp;T1</f>
        <v>Industrial Production: Materials since 2010</v>
      </c>
      <c r="Y1" s="60" t="str">
        <f>U2&amp; T1</f>
        <v>Industrial Production: Materials yoy since 2010</v>
      </c>
    </row>
    <row r="2" spans="1:25" x14ac:dyDescent="0.35">
      <c r="A2" s="16"/>
      <c r="B2" s="74"/>
      <c r="C2" s="74"/>
      <c r="S2" s="55"/>
      <c r="T2" s="62"/>
      <c r="U2" s="74" t="str">
        <f>S1&amp;Table17[[#Headers],[ yoy]]</f>
        <v>Industrial Production: Materials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VLOOKUP(Table17[[#This Row],[Date]],database!A:H,7,)</f>
        <v>37.318899999999999</v>
      </c>
      <c r="C7" s="65"/>
      <c r="D7" s="65"/>
    </row>
    <row r="8" spans="1:25" x14ac:dyDescent="0.35">
      <c r="A8" s="17">
        <v>26330</v>
      </c>
      <c r="B8" s="58">
        <f>VLOOKUP(Table17[[#This Row],[Date]],database!A:H,7,)</f>
        <v>37.7376</v>
      </c>
      <c r="C8" s="66">
        <f t="shared" ref="C8:C71" si="0">B8/B7-1</f>
        <v>1.121951611649874E-2</v>
      </c>
      <c r="D8" s="66"/>
    </row>
    <row r="9" spans="1:25" x14ac:dyDescent="0.35">
      <c r="A9" s="17">
        <v>26359</v>
      </c>
      <c r="B9" s="58">
        <f>VLOOKUP(Table17[[#This Row],[Date]],database!A:H,7,)</f>
        <v>38.1111</v>
      </c>
      <c r="C9" s="66">
        <f t="shared" si="0"/>
        <v>9.8972907657084441E-3</v>
      </c>
      <c r="D9" s="66"/>
    </row>
    <row r="10" spans="1:25" x14ac:dyDescent="0.35">
      <c r="A10" s="17">
        <v>26390</v>
      </c>
      <c r="B10" s="58">
        <f>VLOOKUP(Table17[[#This Row],[Date]],database!A:H,7,)</f>
        <v>38.456899999999997</v>
      </c>
      <c r="C10" s="66">
        <f t="shared" si="0"/>
        <v>9.073472033082064E-3</v>
      </c>
      <c r="D10" s="66"/>
    </row>
    <row r="11" spans="1:25" x14ac:dyDescent="0.35">
      <c r="A11" s="17">
        <v>26420</v>
      </c>
      <c r="B11" s="58">
        <f>VLOOKUP(Table17[[#This Row],[Date]],database!A:H,7,)</f>
        <v>38.545099999999998</v>
      </c>
      <c r="C11" s="66">
        <f t="shared" si="0"/>
        <v>2.2934765932771661E-3</v>
      </c>
      <c r="D11" s="66"/>
    </row>
    <row r="12" spans="1:25" x14ac:dyDescent="0.35">
      <c r="A12" s="17">
        <v>26451</v>
      </c>
      <c r="B12" s="58">
        <f>VLOOKUP(Table17[[#This Row],[Date]],database!A:H,7,)</f>
        <v>38.608600000000003</v>
      </c>
      <c r="C12" s="66">
        <f t="shared" si="0"/>
        <v>1.6474208135406343E-3</v>
      </c>
      <c r="D12" s="66"/>
    </row>
    <row r="13" spans="1:25" x14ac:dyDescent="0.35">
      <c r="A13" s="17">
        <v>26481</v>
      </c>
      <c r="B13" s="58">
        <f>VLOOKUP(Table17[[#This Row],[Date]],database!A:H,7,)</f>
        <v>38.2971</v>
      </c>
      <c r="C13" s="66">
        <f t="shared" si="0"/>
        <v>-8.0681506192921137E-3</v>
      </c>
      <c r="D13" s="66"/>
    </row>
    <row r="14" spans="1:25" x14ac:dyDescent="0.35">
      <c r="A14" s="17">
        <v>26512</v>
      </c>
      <c r="B14" s="58">
        <f>VLOOKUP(Table17[[#This Row],[Date]],database!A:H,7,)</f>
        <v>38.906500000000001</v>
      </c>
      <c r="C14" s="66">
        <f t="shared" si="0"/>
        <v>1.5912432011823352E-2</v>
      </c>
      <c r="D14" s="66"/>
    </row>
    <row r="15" spans="1:25" x14ac:dyDescent="0.35">
      <c r="A15" s="17">
        <v>26543</v>
      </c>
      <c r="B15" s="58">
        <f>VLOOKUP(Table17[[#This Row],[Date]],database!A:H,7,)</f>
        <v>39.295099999999998</v>
      </c>
      <c r="C15" s="66">
        <f t="shared" si="0"/>
        <v>9.9880482695693384E-3</v>
      </c>
      <c r="D15" s="66"/>
    </row>
    <row r="16" spans="1:25" x14ac:dyDescent="0.35">
      <c r="A16" s="17">
        <v>26573</v>
      </c>
      <c r="B16" s="58">
        <f>VLOOKUP(Table17[[#This Row],[Date]],database!A:H,7,)</f>
        <v>39.68</v>
      </c>
      <c r="C16" s="66">
        <f t="shared" si="0"/>
        <v>9.7951144035770543E-3</v>
      </c>
      <c r="D16" s="66"/>
    </row>
    <row r="17" spans="1:4" x14ac:dyDescent="0.35">
      <c r="A17" s="17">
        <v>26604</v>
      </c>
      <c r="B17" s="58">
        <f>VLOOKUP(Table17[[#This Row],[Date]],database!A:H,7,)</f>
        <v>40.264000000000003</v>
      </c>
      <c r="C17" s="66">
        <f t="shared" si="0"/>
        <v>1.471774193548403E-2</v>
      </c>
      <c r="D17" s="66"/>
    </row>
    <row r="18" spans="1:4" x14ac:dyDescent="0.35">
      <c r="A18" s="17">
        <v>26634</v>
      </c>
      <c r="B18" s="58">
        <f>VLOOKUP(Table17[[#This Row],[Date]],database!A:H,7,)</f>
        <v>40.906500000000001</v>
      </c>
      <c r="C18" s="66">
        <f t="shared" si="0"/>
        <v>1.5957182594873887E-2</v>
      </c>
      <c r="D18" s="66"/>
    </row>
    <row r="19" spans="1:4" x14ac:dyDescent="0.35">
      <c r="A19" s="17">
        <v>26665</v>
      </c>
      <c r="B19" s="58">
        <f>VLOOKUP(Table17[[#This Row],[Date]],database!A:H,7,)</f>
        <v>41.278399999999998</v>
      </c>
      <c r="C19" s="66">
        <f t="shared" si="0"/>
        <v>9.0914646816520062E-3</v>
      </c>
      <c r="D19" s="66"/>
    </row>
    <row r="20" spans="1:4" x14ac:dyDescent="0.35">
      <c r="A20" s="17">
        <v>26696</v>
      </c>
      <c r="B20" s="58">
        <f>VLOOKUP(Table17[[#This Row],[Date]],database!A:H,7,)</f>
        <v>41.895499999999998</v>
      </c>
      <c r="C20" s="66">
        <f t="shared" si="0"/>
        <v>1.4949707352998276E-2</v>
      </c>
      <c r="D20" s="66">
        <f>(Table17[[#This Row],[Index]]-B8)/B8</f>
        <v>0.11017923768337144</v>
      </c>
    </row>
    <row r="21" spans="1:4" x14ac:dyDescent="0.35">
      <c r="A21" s="17">
        <v>26724</v>
      </c>
      <c r="B21" s="58">
        <f>VLOOKUP(Table17[[#This Row],[Date]],database!A:H,7,)</f>
        <v>41.7652</v>
      </c>
      <c r="C21" s="66">
        <f t="shared" si="0"/>
        <v>-3.1101192252150911E-3</v>
      </c>
      <c r="D21" s="66">
        <f>(Table17[[#This Row],[Index]]-B9)/B9</f>
        <v>9.5880202880525608E-2</v>
      </c>
    </row>
    <row r="22" spans="1:4" x14ac:dyDescent="0.35">
      <c r="A22" s="17">
        <v>26755</v>
      </c>
      <c r="B22" s="58">
        <f>VLOOKUP(Table17[[#This Row],[Date]],database!A:H,7,)</f>
        <v>41.838299999999997</v>
      </c>
      <c r="C22" s="66">
        <f t="shared" si="0"/>
        <v>1.7502609828277116E-3</v>
      </c>
      <c r="D22" s="66">
        <f>(Table17[[#This Row],[Index]]-B10)/B10</f>
        <v>8.7927003996681991E-2</v>
      </c>
    </row>
    <row r="23" spans="1:4" x14ac:dyDescent="0.35">
      <c r="A23" s="17">
        <v>26785</v>
      </c>
      <c r="B23" s="58">
        <f>VLOOKUP(Table17[[#This Row],[Date]],database!A:H,7,)</f>
        <v>42.122900000000001</v>
      </c>
      <c r="C23" s="66">
        <f t="shared" si="0"/>
        <v>6.8023796377960632E-3</v>
      </c>
      <c r="D23" s="66">
        <f>(Table17[[#This Row],[Index]]-B11)/B11</f>
        <v>9.2821136798192344E-2</v>
      </c>
    </row>
    <row r="24" spans="1:4" x14ac:dyDescent="0.35">
      <c r="A24" s="17">
        <v>26816</v>
      </c>
      <c r="B24" s="58">
        <f>VLOOKUP(Table17[[#This Row],[Date]],database!A:H,7,)</f>
        <v>42.214199999999998</v>
      </c>
      <c r="C24" s="66">
        <f t="shared" si="0"/>
        <v>2.1674671022173797E-3</v>
      </c>
      <c r="D24" s="66">
        <f>(Table17[[#This Row],[Index]]-B12)/B12</f>
        <v>9.3388519656242272E-2</v>
      </c>
    </row>
    <row r="25" spans="1:4" x14ac:dyDescent="0.35">
      <c r="A25" s="17">
        <v>26846</v>
      </c>
      <c r="B25" s="58">
        <f>VLOOKUP(Table17[[#This Row],[Date]],database!A:H,7,)</f>
        <v>42.38</v>
      </c>
      <c r="C25" s="66">
        <f t="shared" si="0"/>
        <v>3.9275883470490935E-3</v>
      </c>
      <c r="D25" s="66">
        <f>(Table17[[#This Row],[Index]]-B13)/B13</f>
        <v>0.10661120554820083</v>
      </c>
    </row>
    <row r="26" spans="1:4" x14ac:dyDescent="0.35">
      <c r="A26" s="17">
        <v>26877</v>
      </c>
      <c r="B26" s="58">
        <f>VLOOKUP(Table17[[#This Row],[Date]],database!A:H,7,)</f>
        <v>42.433599999999998</v>
      </c>
      <c r="C26" s="66">
        <f t="shared" si="0"/>
        <v>1.2647475224161209E-3</v>
      </c>
      <c r="D26" s="66">
        <f>(Table17[[#This Row],[Index]]-B14)/B14</f>
        <v>9.0655803014920308E-2</v>
      </c>
    </row>
    <row r="27" spans="1:4" x14ac:dyDescent="0.35">
      <c r="A27" s="17">
        <v>26908</v>
      </c>
      <c r="B27" s="58">
        <f>VLOOKUP(Table17[[#This Row],[Date]],database!A:H,7,)</f>
        <v>42.616399999999999</v>
      </c>
      <c r="C27" s="66">
        <f t="shared" si="0"/>
        <v>4.3079069416689375E-3</v>
      </c>
      <c r="D27" s="66">
        <f>(Table17[[#This Row],[Index]]-B15)/B15</f>
        <v>8.4521988746688537E-2</v>
      </c>
    </row>
    <row r="28" spans="1:4" x14ac:dyDescent="0.35">
      <c r="A28" s="17">
        <v>26938</v>
      </c>
      <c r="B28" s="58">
        <f>VLOOKUP(Table17[[#This Row],[Date]],database!A:H,7,)</f>
        <v>42.965699999999998</v>
      </c>
      <c r="C28" s="66">
        <f t="shared" si="0"/>
        <v>8.1963751044198396E-3</v>
      </c>
      <c r="D28" s="66">
        <f>(Table17[[#This Row],[Index]]-B16)/B16</f>
        <v>8.2804939516128995E-2</v>
      </c>
    </row>
    <row r="29" spans="1:4" x14ac:dyDescent="0.35">
      <c r="A29" s="17">
        <v>26969</v>
      </c>
      <c r="B29" s="58">
        <f>VLOOKUP(Table17[[#This Row],[Date]],database!A:H,7,)</f>
        <v>43.2241</v>
      </c>
      <c r="C29" s="66">
        <f t="shared" si="0"/>
        <v>6.0140996189983476E-3</v>
      </c>
      <c r="D29" s="66">
        <f>(Table17[[#This Row],[Index]]-B17)/B17</f>
        <v>7.3517285912974295E-2</v>
      </c>
    </row>
    <row r="30" spans="1:4" x14ac:dyDescent="0.35">
      <c r="A30" s="17">
        <v>26999</v>
      </c>
      <c r="B30" s="58">
        <f>VLOOKUP(Table17[[#This Row],[Date]],database!A:H,7,)</f>
        <v>43.3735</v>
      </c>
      <c r="C30" s="66">
        <f t="shared" si="0"/>
        <v>3.4564051073360247E-3</v>
      </c>
      <c r="D30" s="66">
        <f>(Table17[[#This Row],[Index]]-B18)/B18</f>
        <v>6.030826396782904E-2</v>
      </c>
    </row>
    <row r="31" spans="1:4" x14ac:dyDescent="0.35">
      <c r="A31" s="17">
        <v>27030</v>
      </c>
      <c r="B31" s="58">
        <f>VLOOKUP(Table17[[#This Row],[Date]],database!A:H,7,)</f>
        <v>43.054200000000002</v>
      </c>
      <c r="C31" s="66">
        <f t="shared" si="0"/>
        <v>-7.3616378664391746E-3</v>
      </c>
      <c r="D31" s="66">
        <f>(Table17[[#This Row],[Index]]-B19)/B19</f>
        <v>4.3020078297608531E-2</v>
      </c>
    </row>
    <row r="32" spans="1:4" x14ac:dyDescent="0.35">
      <c r="A32" s="17">
        <v>27061</v>
      </c>
      <c r="B32" s="58">
        <f>VLOOKUP(Table17[[#This Row],[Date]],database!A:H,7,)</f>
        <v>42.973199999999999</v>
      </c>
      <c r="C32" s="66">
        <f t="shared" si="0"/>
        <v>-1.8813495547473913E-3</v>
      </c>
      <c r="D32" s="66">
        <f>(Table17[[#This Row],[Index]]-B20)/B20</f>
        <v>2.5723526393049378E-2</v>
      </c>
    </row>
    <row r="33" spans="1:4" x14ac:dyDescent="0.35">
      <c r="A33" s="17">
        <v>27089</v>
      </c>
      <c r="B33" s="58">
        <f>VLOOKUP(Table17[[#This Row],[Date]],database!A:H,7,)</f>
        <v>42.827199999999998</v>
      </c>
      <c r="C33" s="66">
        <f t="shared" si="0"/>
        <v>-3.3974663278508732E-3</v>
      </c>
      <c r="D33" s="66">
        <f>(Table17[[#This Row],[Index]]-B21)/B21</f>
        <v>2.5427868177334181E-2</v>
      </c>
    </row>
    <row r="34" spans="1:4" x14ac:dyDescent="0.35">
      <c r="A34" s="17">
        <v>27120</v>
      </c>
      <c r="B34" s="58">
        <f>VLOOKUP(Table17[[#This Row],[Date]],database!A:H,7,)</f>
        <v>42.770800000000001</v>
      </c>
      <c r="C34" s="66">
        <f t="shared" si="0"/>
        <v>-1.3169200881681942E-3</v>
      </c>
      <c r="D34" s="66">
        <f>(Table17[[#This Row],[Index]]-B22)/B22</f>
        <v>2.2288190485751206E-2</v>
      </c>
    </row>
    <row r="35" spans="1:4" x14ac:dyDescent="0.35">
      <c r="A35" s="17">
        <v>27150</v>
      </c>
      <c r="B35" s="58">
        <f>VLOOKUP(Table17[[#This Row],[Date]],database!A:H,7,)</f>
        <v>43.050600000000003</v>
      </c>
      <c r="C35" s="66">
        <f t="shared" si="0"/>
        <v>6.5418463063586785E-3</v>
      </c>
      <c r="D35" s="66">
        <f>(Table17[[#This Row],[Index]]-B23)/B23</f>
        <v>2.2023649843671767E-2</v>
      </c>
    </row>
    <row r="36" spans="1:4" x14ac:dyDescent="0.35">
      <c r="A36" s="17">
        <v>27181</v>
      </c>
      <c r="B36" s="58">
        <f>VLOOKUP(Table17[[#This Row],[Date]],database!A:H,7,)</f>
        <v>42.837800000000001</v>
      </c>
      <c r="C36" s="66">
        <f t="shared" si="0"/>
        <v>-4.943020538622056E-3</v>
      </c>
      <c r="D36" s="66">
        <f>(Table17[[#This Row],[Index]]-B24)/B24</f>
        <v>1.4772280417489927E-2</v>
      </c>
    </row>
    <row r="37" spans="1:4" x14ac:dyDescent="0.35">
      <c r="A37" s="17">
        <v>27211</v>
      </c>
      <c r="B37" s="58">
        <f>VLOOKUP(Table17[[#This Row],[Date]],database!A:H,7,)</f>
        <v>43.078600000000002</v>
      </c>
      <c r="C37" s="66">
        <f t="shared" si="0"/>
        <v>5.6212037032714601E-3</v>
      </c>
      <c r="D37" s="66">
        <f>(Table17[[#This Row],[Index]]-B25)/B25</f>
        <v>1.6484190655969771E-2</v>
      </c>
    </row>
    <row r="38" spans="1:4" x14ac:dyDescent="0.35">
      <c r="A38" s="17">
        <v>27242</v>
      </c>
      <c r="B38" s="58">
        <f>VLOOKUP(Table17[[#This Row],[Date]],database!A:H,7,)</f>
        <v>42.302700000000002</v>
      </c>
      <c r="C38" s="66">
        <f t="shared" si="0"/>
        <v>-1.8011263132970856E-2</v>
      </c>
      <c r="D38" s="66">
        <f>(Table17[[#This Row],[Index]]-B26)/B26</f>
        <v>-3.0848195769389566E-3</v>
      </c>
    </row>
    <row r="39" spans="1:4" x14ac:dyDescent="0.35">
      <c r="A39" s="17">
        <v>27273</v>
      </c>
      <c r="B39" s="58">
        <f>VLOOKUP(Table17[[#This Row],[Date]],database!A:H,7,)</f>
        <v>42.389200000000002</v>
      </c>
      <c r="C39" s="66">
        <f t="shared" si="0"/>
        <v>2.0447867393806884E-3</v>
      </c>
      <c r="D39" s="66">
        <f>(Table17[[#This Row],[Index]]-B27)/B27</f>
        <v>-5.3312809153282844E-3</v>
      </c>
    </row>
    <row r="40" spans="1:4" x14ac:dyDescent="0.35">
      <c r="A40" s="17">
        <v>27303</v>
      </c>
      <c r="B40" s="58">
        <f>VLOOKUP(Table17[[#This Row],[Date]],database!A:H,7,)</f>
        <v>42.183799999999998</v>
      </c>
      <c r="C40" s="66">
        <f t="shared" si="0"/>
        <v>-4.8455738725903252E-3</v>
      </c>
      <c r="D40" s="66">
        <f>(Table17[[#This Row],[Index]]-B28)/B28</f>
        <v>-1.8198237198509517E-2</v>
      </c>
    </row>
    <row r="41" spans="1:4" x14ac:dyDescent="0.35">
      <c r="A41" s="17">
        <v>27334</v>
      </c>
      <c r="B41" s="58">
        <f>VLOOKUP(Table17[[#This Row],[Date]],database!A:H,7,)</f>
        <v>40.3917</v>
      </c>
      <c r="C41" s="66">
        <f t="shared" si="0"/>
        <v>-4.2483133335545875E-2</v>
      </c>
      <c r="D41" s="66">
        <f>(Table17[[#This Row],[Index]]-B29)/B29</f>
        <v>-6.5528258540952844E-2</v>
      </c>
    </row>
    <row r="42" spans="1:4" x14ac:dyDescent="0.35">
      <c r="A42" s="17">
        <v>27364</v>
      </c>
      <c r="B42" s="58">
        <f>VLOOKUP(Table17[[#This Row],[Date]],database!A:H,7,)</f>
        <v>38.797800000000002</v>
      </c>
      <c r="C42" s="66">
        <f t="shared" si="0"/>
        <v>-3.9461077399564726E-2</v>
      </c>
      <c r="D42" s="66">
        <f>(Table17[[#This Row],[Index]]-B30)/B30</f>
        <v>-0.10549529090343177</v>
      </c>
    </row>
    <row r="43" spans="1:4" x14ac:dyDescent="0.35">
      <c r="A43" s="17">
        <v>27395</v>
      </c>
      <c r="B43" s="58">
        <f>VLOOKUP(Table17[[#This Row],[Date]],database!A:H,7,)</f>
        <v>38.473799999999997</v>
      </c>
      <c r="C43" s="66">
        <f t="shared" si="0"/>
        <v>-8.3509889736017584E-3</v>
      </c>
      <c r="D43" s="66">
        <f>(Table17[[#This Row],[Index]]-B31)/B31</f>
        <v>-0.1063868333403014</v>
      </c>
    </row>
    <row r="44" spans="1:4" x14ac:dyDescent="0.35">
      <c r="A44" s="17">
        <v>27426</v>
      </c>
      <c r="B44" s="58">
        <f>VLOOKUP(Table17[[#This Row],[Date]],database!A:H,7,)</f>
        <v>37.549999999999997</v>
      </c>
      <c r="C44" s="66">
        <f t="shared" si="0"/>
        <v>-2.4011145246895294E-2</v>
      </c>
      <c r="D44" s="66">
        <f>(Table17[[#This Row],[Index]]-B32)/B32</f>
        <v>-0.12619958485753915</v>
      </c>
    </row>
    <row r="45" spans="1:4" x14ac:dyDescent="0.35">
      <c r="A45" s="17">
        <v>27454</v>
      </c>
      <c r="B45" s="58">
        <f>VLOOKUP(Table17[[#This Row],[Date]],database!A:H,7,)</f>
        <v>37.014600000000002</v>
      </c>
      <c r="C45" s="66">
        <f t="shared" si="0"/>
        <v>-1.4258322237017174E-2</v>
      </c>
      <c r="D45" s="66">
        <f>(Table17[[#This Row],[Index]]-B33)/B33</f>
        <v>-0.13572215788097275</v>
      </c>
    </row>
    <row r="46" spans="1:4" x14ac:dyDescent="0.35">
      <c r="A46" s="17">
        <v>27485</v>
      </c>
      <c r="B46" s="58">
        <f>VLOOKUP(Table17[[#This Row],[Date]],database!A:H,7,)</f>
        <v>36.811599999999999</v>
      </c>
      <c r="C46" s="66">
        <f t="shared" si="0"/>
        <v>-5.48432240251151E-3</v>
      </c>
      <c r="D46" s="66">
        <f>(Table17[[#This Row],[Index]]-B34)/B34</f>
        <v>-0.13932870088939189</v>
      </c>
    </row>
    <row r="47" spans="1:4" x14ac:dyDescent="0.35">
      <c r="A47" s="17">
        <v>27515</v>
      </c>
      <c r="B47" s="58">
        <f>VLOOKUP(Table17[[#This Row],[Date]],database!A:H,7,)</f>
        <v>36.5672</v>
      </c>
      <c r="C47" s="66">
        <f t="shared" si="0"/>
        <v>-6.6392115528800533E-3</v>
      </c>
      <c r="D47" s="66">
        <f>(Table17[[#This Row],[Index]]-B35)/B35</f>
        <v>-0.15059952706814778</v>
      </c>
    </row>
    <row r="48" spans="1:4" x14ac:dyDescent="0.35">
      <c r="A48" s="17">
        <v>27546</v>
      </c>
      <c r="B48" s="58">
        <f>VLOOKUP(Table17[[#This Row],[Date]],database!A:H,7,)</f>
        <v>36.830300000000001</v>
      </c>
      <c r="C48" s="66">
        <f t="shared" si="0"/>
        <v>7.1949725437003842E-3</v>
      </c>
      <c r="D48" s="66">
        <f>(Table17[[#This Row],[Index]]-B36)/B36</f>
        <v>-0.14023829421678985</v>
      </c>
    </row>
    <row r="49" spans="1:4" x14ac:dyDescent="0.35">
      <c r="A49" s="17">
        <v>27576</v>
      </c>
      <c r="B49" s="58">
        <f>VLOOKUP(Table17[[#This Row],[Date]],database!A:H,7,)</f>
        <v>36.972000000000001</v>
      </c>
      <c r="C49" s="66">
        <f t="shared" si="0"/>
        <v>3.8473756662313896E-3</v>
      </c>
      <c r="D49" s="66">
        <f>(Table17[[#This Row],[Index]]-B37)/B37</f>
        <v>-0.14175483882948842</v>
      </c>
    </row>
    <row r="50" spans="1:4" x14ac:dyDescent="0.35">
      <c r="A50" s="17">
        <v>27607</v>
      </c>
      <c r="B50" s="58">
        <f>VLOOKUP(Table17[[#This Row],[Date]],database!A:H,7,)</f>
        <v>37.590800000000002</v>
      </c>
      <c r="C50" s="66">
        <f t="shared" si="0"/>
        <v>1.673699015471164E-2</v>
      </c>
      <c r="D50" s="66">
        <f>(Table17[[#This Row],[Index]]-B38)/B38</f>
        <v>-0.11138532528656563</v>
      </c>
    </row>
    <row r="51" spans="1:4" x14ac:dyDescent="0.35">
      <c r="A51" s="17">
        <v>27638</v>
      </c>
      <c r="B51" s="58">
        <f>VLOOKUP(Table17[[#This Row],[Date]],database!A:H,7,)</f>
        <v>38.067900000000002</v>
      </c>
      <c r="C51" s="66">
        <f t="shared" si="0"/>
        <v>1.2691935260755294E-2</v>
      </c>
      <c r="D51" s="66">
        <f>(Table17[[#This Row],[Index]]-B39)/B39</f>
        <v>-0.10194341955026281</v>
      </c>
    </row>
    <row r="52" spans="1:4" x14ac:dyDescent="0.35">
      <c r="A52" s="17">
        <v>27668</v>
      </c>
      <c r="B52" s="58">
        <f>VLOOKUP(Table17[[#This Row],[Date]],database!A:H,7,)</f>
        <v>38.289299999999997</v>
      </c>
      <c r="C52" s="66">
        <f t="shared" si="0"/>
        <v>5.8159236522108415E-3</v>
      </c>
      <c r="D52" s="66">
        <f>(Table17[[#This Row],[Index]]-B40)/B40</f>
        <v>-9.2322171070410936E-2</v>
      </c>
    </row>
    <row r="53" spans="1:4" x14ac:dyDescent="0.35">
      <c r="A53" s="17">
        <v>27699</v>
      </c>
      <c r="B53" s="58">
        <f>VLOOKUP(Table17[[#This Row],[Date]],database!A:H,7,)</f>
        <v>38.399500000000003</v>
      </c>
      <c r="C53" s="66">
        <f t="shared" si="0"/>
        <v>2.8780886566222019E-3</v>
      </c>
      <c r="D53" s="66">
        <f>(Table17[[#This Row],[Index]]-B41)/B41</f>
        <v>-4.9322014176179679E-2</v>
      </c>
    </row>
    <row r="54" spans="1:4" x14ac:dyDescent="0.35">
      <c r="A54" s="17">
        <v>27729</v>
      </c>
      <c r="B54" s="58">
        <f>VLOOKUP(Table17[[#This Row],[Date]],database!A:H,7,)</f>
        <v>39.0092</v>
      </c>
      <c r="C54" s="66">
        <f t="shared" si="0"/>
        <v>1.5877810908996093E-2</v>
      </c>
      <c r="D54" s="66">
        <f>(Table17[[#This Row],[Index]]-B42)/B42</f>
        <v>5.4487625587017197E-3</v>
      </c>
    </row>
    <row r="55" spans="1:4" x14ac:dyDescent="0.35">
      <c r="A55" s="17">
        <v>27760</v>
      </c>
      <c r="B55" s="58">
        <f>VLOOKUP(Table17[[#This Row],[Date]],database!A:H,7,)</f>
        <v>39.604100000000003</v>
      </c>
      <c r="C55" s="66">
        <f t="shared" si="0"/>
        <v>1.5250248659290699E-2</v>
      </c>
      <c r="D55" s="66">
        <f>(Table17[[#This Row],[Index]]-B43)/B43</f>
        <v>2.9378434155191469E-2</v>
      </c>
    </row>
    <row r="56" spans="1:4" x14ac:dyDescent="0.35">
      <c r="A56" s="17">
        <v>27791</v>
      </c>
      <c r="B56" s="58">
        <f>VLOOKUP(Table17[[#This Row],[Date]],database!A:H,7,)</f>
        <v>40.178800000000003</v>
      </c>
      <c r="C56" s="66">
        <f t="shared" si="0"/>
        <v>1.4511123848288454E-2</v>
      </c>
      <c r="D56" s="66">
        <f>(Table17[[#This Row],[Index]]-B44)/B44</f>
        <v>7.000798934753677E-2</v>
      </c>
    </row>
    <row r="57" spans="1:4" x14ac:dyDescent="0.35">
      <c r="A57" s="17">
        <v>27820</v>
      </c>
      <c r="B57" s="58">
        <f>VLOOKUP(Table17[[#This Row],[Date]],database!A:H,7,)</f>
        <v>40.341500000000003</v>
      </c>
      <c r="C57" s="66">
        <f t="shared" si="0"/>
        <v>4.04939918564029E-3</v>
      </c>
      <c r="D57" s="66">
        <f>(Table17[[#This Row],[Index]]-B45)/B45</f>
        <v>8.9880749758203565E-2</v>
      </c>
    </row>
    <row r="58" spans="1:4" x14ac:dyDescent="0.35">
      <c r="A58" s="17">
        <v>27851</v>
      </c>
      <c r="B58" s="58">
        <f>VLOOKUP(Table17[[#This Row],[Date]],database!A:H,7,)</f>
        <v>40.6203</v>
      </c>
      <c r="C58" s="66">
        <f t="shared" si="0"/>
        <v>6.9109973600385288E-3</v>
      </c>
      <c r="D58" s="66">
        <f>(Table17[[#This Row],[Index]]-B46)/B46</f>
        <v>0.10346466874572151</v>
      </c>
    </row>
    <row r="59" spans="1:4" x14ac:dyDescent="0.35">
      <c r="A59" s="17">
        <v>27881</v>
      </c>
      <c r="B59" s="58">
        <f>VLOOKUP(Table17[[#This Row],[Date]],database!A:H,7,)</f>
        <v>40.669600000000003</v>
      </c>
      <c r="C59" s="66">
        <f t="shared" si="0"/>
        <v>1.2136788748482452E-3</v>
      </c>
      <c r="D59" s="66">
        <f>(Table17[[#This Row],[Index]]-B47)/B47</f>
        <v>0.11218797173423185</v>
      </c>
    </row>
    <row r="60" spans="1:4" x14ac:dyDescent="0.35">
      <c r="A60" s="17">
        <v>27912</v>
      </c>
      <c r="B60" s="58">
        <f>VLOOKUP(Table17[[#This Row],[Date]],database!A:H,7,)</f>
        <v>40.838200000000001</v>
      </c>
      <c r="C60" s="66">
        <f t="shared" si="0"/>
        <v>4.1456026122705936E-3</v>
      </c>
      <c r="D60" s="66">
        <f>(Table17[[#This Row],[Index]]-B48)/B48</f>
        <v>0.10882072641276339</v>
      </c>
    </row>
    <row r="61" spans="1:4" x14ac:dyDescent="0.35">
      <c r="A61" s="17">
        <v>27942</v>
      </c>
      <c r="B61" s="58">
        <f>VLOOKUP(Table17[[#This Row],[Date]],database!A:H,7,)</f>
        <v>40.9375</v>
      </c>
      <c r="C61" s="66">
        <f t="shared" si="0"/>
        <v>2.4315469339981632E-3</v>
      </c>
      <c r="D61" s="66">
        <f>(Table17[[#This Row],[Index]]-B49)/B49</f>
        <v>0.10725684301633664</v>
      </c>
    </row>
    <row r="62" spans="1:4" x14ac:dyDescent="0.35">
      <c r="A62" s="17">
        <v>27973</v>
      </c>
      <c r="B62" s="58">
        <f>VLOOKUP(Table17[[#This Row],[Date]],database!A:H,7,)</f>
        <v>41.369900000000001</v>
      </c>
      <c r="C62" s="66">
        <f t="shared" si="0"/>
        <v>1.0562442748091705E-2</v>
      </c>
      <c r="D62" s="66">
        <f>(Table17[[#This Row],[Index]]-B50)/B50</f>
        <v>0.10053257711993359</v>
      </c>
    </row>
    <row r="63" spans="1:4" x14ac:dyDescent="0.35">
      <c r="A63" s="17">
        <v>28004</v>
      </c>
      <c r="B63" s="58">
        <f>VLOOKUP(Table17[[#This Row],[Date]],database!A:H,7,)</f>
        <v>41.463999999999999</v>
      </c>
      <c r="C63" s="66">
        <f t="shared" si="0"/>
        <v>2.2746006154232834E-3</v>
      </c>
      <c r="D63" s="66">
        <f>(Table17[[#This Row],[Index]]-B51)/B51</f>
        <v>8.921164550710696E-2</v>
      </c>
    </row>
    <row r="64" spans="1:4" x14ac:dyDescent="0.35">
      <c r="A64" s="17">
        <v>28034</v>
      </c>
      <c r="B64" s="58">
        <f>VLOOKUP(Table17[[#This Row],[Date]],database!A:H,7,)</f>
        <v>41.225000000000001</v>
      </c>
      <c r="C64" s="66">
        <f t="shared" si="0"/>
        <v>-5.7640362724290517E-3</v>
      </c>
      <c r="D64" s="66">
        <f>(Table17[[#This Row],[Index]]-B52)/B52</f>
        <v>7.6671550537617678E-2</v>
      </c>
    </row>
    <row r="65" spans="1:4" x14ac:dyDescent="0.35">
      <c r="A65" s="17">
        <v>28065</v>
      </c>
      <c r="B65" s="58">
        <f>VLOOKUP(Table17[[#This Row],[Date]],database!A:H,7,)</f>
        <v>41.795099999999998</v>
      </c>
      <c r="C65" s="66">
        <f t="shared" si="0"/>
        <v>1.382898726500903E-2</v>
      </c>
      <c r="D65" s="66">
        <f>(Table17[[#This Row],[Index]]-B53)/B53</f>
        <v>8.8428234742639736E-2</v>
      </c>
    </row>
    <row r="66" spans="1:4" x14ac:dyDescent="0.35">
      <c r="A66" s="17">
        <v>28095</v>
      </c>
      <c r="B66" s="58">
        <f>VLOOKUP(Table17[[#This Row],[Date]],database!A:H,7,)</f>
        <v>42.252499999999998</v>
      </c>
      <c r="C66" s="66">
        <f t="shared" si="0"/>
        <v>1.0943866625513499E-2</v>
      </c>
      <c r="D66" s="66">
        <f>(Table17[[#This Row],[Index]]-B54)/B54</f>
        <v>8.3141925494498684E-2</v>
      </c>
    </row>
    <row r="67" spans="1:4" x14ac:dyDescent="0.35">
      <c r="A67" s="17">
        <v>28126</v>
      </c>
      <c r="B67" s="58">
        <f>VLOOKUP(Table17[[#This Row],[Date]],database!A:H,7,)</f>
        <v>41.857900000000001</v>
      </c>
      <c r="C67" s="66">
        <f t="shared" si="0"/>
        <v>-9.3390923613986265E-3</v>
      </c>
      <c r="D67" s="66">
        <f>(Table17[[#This Row],[Index]]-B55)/B55</f>
        <v>5.6908249398420825E-2</v>
      </c>
    </row>
    <row r="68" spans="1:4" x14ac:dyDescent="0.35">
      <c r="A68" s="17">
        <v>28157</v>
      </c>
      <c r="B68" s="58">
        <f>VLOOKUP(Table17[[#This Row],[Date]],database!A:H,7,)</f>
        <v>42.482900000000001</v>
      </c>
      <c r="C68" s="66">
        <f t="shared" si="0"/>
        <v>1.4931470522888235E-2</v>
      </c>
      <c r="D68" s="66">
        <f>(Table17[[#This Row],[Index]]-B56)/B56</f>
        <v>5.7346162652941304E-2</v>
      </c>
    </row>
    <row r="69" spans="1:4" x14ac:dyDescent="0.35">
      <c r="A69" s="17">
        <v>28185</v>
      </c>
      <c r="B69" s="58">
        <f>VLOOKUP(Table17[[#This Row],[Date]],database!A:H,7,)</f>
        <v>43.3001</v>
      </c>
      <c r="C69" s="66">
        <f t="shared" si="0"/>
        <v>1.9235974945213341E-2</v>
      </c>
      <c r="D69" s="66">
        <f>(Table17[[#This Row],[Index]]-B57)/B57</f>
        <v>7.3338869402476276E-2</v>
      </c>
    </row>
    <row r="70" spans="1:4" x14ac:dyDescent="0.35">
      <c r="A70" s="17">
        <v>28216</v>
      </c>
      <c r="B70" s="58">
        <f>VLOOKUP(Table17[[#This Row],[Date]],database!A:H,7,)</f>
        <v>43.6646</v>
      </c>
      <c r="C70" s="66">
        <f t="shared" si="0"/>
        <v>8.4179944157172226E-3</v>
      </c>
      <c r="D70" s="66">
        <f>(Table17[[#This Row],[Index]]-B58)/B58</f>
        <v>7.4945285977700796E-2</v>
      </c>
    </row>
    <row r="71" spans="1:4" x14ac:dyDescent="0.35">
      <c r="A71" s="17">
        <v>28246</v>
      </c>
      <c r="B71" s="58">
        <f>VLOOKUP(Table17[[#This Row],[Date]],database!A:H,7,)</f>
        <v>44.021700000000003</v>
      </c>
      <c r="C71" s="66">
        <f t="shared" si="0"/>
        <v>8.1782496576174868E-3</v>
      </c>
      <c r="D71" s="66">
        <f>(Table17[[#This Row],[Index]]-B59)/B59</f>
        <v>8.2422743277534072E-2</v>
      </c>
    </row>
    <row r="72" spans="1:4" x14ac:dyDescent="0.35">
      <c r="A72" s="17">
        <v>28277</v>
      </c>
      <c r="B72" s="58">
        <f>VLOOKUP(Table17[[#This Row],[Date]],database!A:H,7,)</f>
        <v>44.206699999999998</v>
      </c>
      <c r="C72" s="66">
        <f t="shared" ref="C72:C135" si="1">B72/B71-1</f>
        <v>4.2024728713339066E-3</v>
      </c>
      <c r="D72" s="66">
        <f>(Table17[[#This Row],[Index]]-B60)/B60</f>
        <v>8.2484046799320185E-2</v>
      </c>
    </row>
    <row r="73" spans="1:4" x14ac:dyDescent="0.35">
      <c r="A73" s="17">
        <v>28307</v>
      </c>
      <c r="B73" s="58">
        <f>VLOOKUP(Table17[[#This Row],[Date]],database!A:H,7,)</f>
        <v>44.195500000000003</v>
      </c>
      <c r="C73" s="66">
        <f t="shared" si="1"/>
        <v>-2.5335526062775227E-4</v>
      </c>
      <c r="D73" s="66">
        <f>(Table17[[#This Row],[Index]]-B61)/B61</f>
        <v>7.9584732824427545E-2</v>
      </c>
    </row>
    <row r="74" spans="1:4" x14ac:dyDescent="0.35">
      <c r="A74" s="17">
        <v>28338</v>
      </c>
      <c r="B74" s="58">
        <f>VLOOKUP(Table17[[#This Row],[Date]],database!A:H,7,)</f>
        <v>44.130200000000002</v>
      </c>
      <c r="C74" s="66">
        <f t="shared" si="1"/>
        <v>-1.4775259924653117E-3</v>
      </c>
      <c r="D74" s="66">
        <f>(Table17[[#This Row],[Index]]-B62)/B62</f>
        <v>6.6722423791210531E-2</v>
      </c>
    </row>
    <row r="75" spans="1:4" x14ac:dyDescent="0.35">
      <c r="A75" s="17">
        <v>28369</v>
      </c>
      <c r="B75" s="58">
        <f>VLOOKUP(Table17[[#This Row],[Date]],database!A:H,7,)</f>
        <v>44.408499999999997</v>
      </c>
      <c r="C75" s="66">
        <f t="shared" si="1"/>
        <v>6.3063389696851324E-3</v>
      </c>
      <c r="D75" s="66">
        <f>(Table17[[#This Row],[Index]]-B63)/B63</f>
        <v>7.1013409222457982E-2</v>
      </c>
    </row>
    <row r="76" spans="1:4" x14ac:dyDescent="0.35">
      <c r="A76" s="17">
        <v>28399</v>
      </c>
      <c r="B76" s="58">
        <f>VLOOKUP(Table17[[#This Row],[Date]],database!A:H,7,)</f>
        <v>44.567500000000003</v>
      </c>
      <c r="C76" s="66">
        <f t="shared" si="1"/>
        <v>3.5803956449780294E-3</v>
      </c>
      <c r="D76" s="66">
        <f>(Table17[[#This Row],[Index]]-B64)/B64</f>
        <v>8.1079442086112827E-2</v>
      </c>
    </row>
    <row r="77" spans="1:4" x14ac:dyDescent="0.35">
      <c r="A77" s="17">
        <v>28430</v>
      </c>
      <c r="B77" s="58">
        <f>VLOOKUP(Table17[[#This Row],[Date]],database!A:H,7,)</f>
        <v>44.668799999999997</v>
      </c>
      <c r="C77" s="66">
        <f t="shared" si="1"/>
        <v>2.2729567509955917E-3</v>
      </c>
      <c r="D77" s="66">
        <f>(Table17[[#This Row],[Index]]-B65)/B65</f>
        <v>6.8756863842890661E-2</v>
      </c>
    </row>
    <row r="78" spans="1:4" x14ac:dyDescent="0.35">
      <c r="A78" s="17">
        <v>28460</v>
      </c>
      <c r="B78" s="58">
        <f>VLOOKUP(Table17[[#This Row],[Date]],database!A:H,7,)</f>
        <v>44.313400000000001</v>
      </c>
      <c r="C78" s="66">
        <f t="shared" si="1"/>
        <v>-7.9563364137831272E-3</v>
      </c>
      <c r="D78" s="66">
        <f>(Table17[[#This Row],[Index]]-B66)/B66</f>
        <v>4.8775812082125412E-2</v>
      </c>
    </row>
    <row r="79" spans="1:4" x14ac:dyDescent="0.35">
      <c r="A79" s="17">
        <v>28491</v>
      </c>
      <c r="B79" s="58">
        <f>VLOOKUP(Table17[[#This Row],[Date]],database!A:H,7,)</f>
        <v>43.898299999999999</v>
      </c>
      <c r="C79" s="66">
        <f t="shared" si="1"/>
        <v>-9.3673696895296699E-3</v>
      </c>
      <c r="D79" s="66">
        <f>(Table17[[#This Row],[Index]]-B67)/B67</f>
        <v>4.8745875927841534E-2</v>
      </c>
    </row>
    <row r="80" spans="1:4" x14ac:dyDescent="0.35">
      <c r="A80" s="17">
        <v>28522</v>
      </c>
      <c r="B80" s="58">
        <f>VLOOKUP(Table17[[#This Row],[Date]],database!A:H,7,)</f>
        <v>43.822000000000003</v>
      </c>
      <c r="C80" s="66">
        <f t="shared" si="1"/>
        <v>-1.7381083094333283E-3</v>
      </c>
      <c r="D80" s="66">
        <f>(Table17[[#This Row],[Index]]-B68)/B68</f>
        <v>3.1520917828114413E-2</v>
      </c>
    </row>
    <row r="81" spans="1:4" x14ac:dyDescent="0.35">
      <c r="A81" s="17">
        <v>28550</v>
      </c>
      <c r="B81" s="58">
        <f>VLOOKUP(Table17[[#This Row],[Date]],database!A:H,7,)</f>
        <v>44.4512</v>
      </c>
      <c r="C81" s="66">
        <f t="shared" si="1"/>
        <v>1.435808498014679E-2</v>
      </c>
      <c r="D81" s="66">
        <f>(Table17[[#This Row],[Index]]-B69)/B69</f>
        <v>2.6584234216549145E-2</v>
      </c>
    </row>
    <row r="82" spans="1:4" x14ac:dyDescent="0.35">
      <c r="A82" s="17">
        <v>28581</v>
      </c>
      <c r="B82" s="58">
        <f>VLOOKUP(Table17[[#This Row],[Date]],database!A:H,7,)</f>
        <v>45.743499999999997</v>
      </c>
      <c r="C82" s="66">
        <f t="shared" si="1"/>
        <v>2.9072331005687069E-2</v>
      </c>
      <c r="D82" s="66">
        <f>(Table17[[#This Row],[Index]]-B70)/B70</f>
        <v>4.7610650275051125E-2</v>
      </c>
    </row>
    <row r="83" spans="1:4" x14ac:dyDescent="0.35">
      <c r="A83" s="17">
        <v>28611</v>
      </c>
      <c r="B83" s="58">
        <f>VLOOKUP(Table17[[#This Row],[Date]],database!A:H,7,)</f>
        <v>46.193399999999997</v>
      </c>
      <c r="C83" s="66">
        <f t="shared" si="1"/>
        <v>9.8352771432006492E-3</v>
      </c>
      <c r="D83" s="66">
        <f>(Table17[[#This Row],[Index]]-B71)/B71</f>
        <v>4.933248829554502E-2</v>
      </c>
    </row>
    <row r="84" spans="1:4" x14ac:dyDescent="0.35">
      <c r="A84" s="17">
        <v>28642</v>
      </c>
      <c r="B84" s="58">
        <f>VLOOKUP(Table17[[#This Row],[Date]],database!A:H,7,)</f>
        <v>46.389899999999997</v>
      </c>
      <c r="C84" s="66">
        <f t="shared" si="1"/>
        <v>4.2538544467392025E-3</v>
      </c>
      <c r="D84" s="66">
        <f>(Table17[[#This Row],[Index]]-B72)/B72</f>
        <v>4.9386179018112625E-2</v>
      </c>
    </row>
    <row r="85" spans="1:4" x14ac:dyDescent="0.35">
      <c r="A85" s="17">
        <v>28672</v>
      </c>
      <c r="B85" s="58">
        <f>VLOOKUP(Table17[[#This Row],[Date]],database!A:H,7,)</f>
        <v>46.371000000000002</v>
      </c>
      <c r="C85" s="66">
        <f t="shared" si="1"/>
        <v>-4.0741626948959109E-4</v>
      </c>
      <c r="D85" s="66">
        <f>(Table17[[#This Row],[Index]]-B73)/B73</f>
        <v>4.9224468554490829E-2</v>
      </c>
    </row>
    <row r="86" spans="1:4" x14ac:dyDescent="0.35">
      <c r="A86" s="17">
        <v>28703</v>
      </c>
      <c r="B86" s="58">
        <f>VLOOKUP(Table17[[#This Row],[Date]],database!A:H,7,)</f>
        <v>46.540399999999998</v>
      </c>
      <c r="C86" s="66">
        <f t="shared" si="1"/>
        <v>3.6531452847683443E-3</v>
      </c>
      <c r="D86" s="66">
        <f>(Table17[[#This Row],[Index]]-B74)/B74</f>
        <v>5.4615660024201027E-2</v>
      </c>
    </row>
    <row r="87" spans="1:4" x14ac:dyDescent="0.35">
      <c r="A87" s="17">
        <v>28734</v>
      </c>
      <c r="B87" s="58">
        <f>VLOOKUP(Table17[[#This Row],[Date]],database!A:H,7,)</f>
        <v>46.6023</v>
      </c>
      <c r="C87" s="66">
        <f t="shared" si="1"/>
        <v>1.3300272451461925E-3</v>
      </c>
      <c r="D87" s="66">
        <f>(Table17[[#This Row],[Index]]-B75)/B75</f>
        <v>4.9400452616053303E-2</v>
      </c>
    </row>
    <row r="88" spans="1:4" x14ac:dyDescent="0.35">
      <c r="A88" s="17">
        <v>28764</v>
      </c>
      <c r="B88" s="58">
        <f>VLOOKUP(Table17[[#This Row],[Date]],database!A:H,7,)</f>
        <v>47.054699999999997</v>
      </c>
      <c r="C88" s="66">
        <f t="shared" si="1"/>
        <v>9.7076753722455944E-3</v>
      </c>
      <c r="D88" s="66">
        <f>(Table17[[#This Row],[Index]]-B76)/B76</f>
        <v>5.5807483031356797E-2</v>
      </c>
    </row>
    <row r="89" spans="1:4" x14ac:dyDescent="0.35">
      <c r="A89" s="17">
        <v>28795</v>
      </c>
      <c r="B89" s="58">
        <f>VLOOKUP(Table17[[#This Row],[Date]],database!A:H,7,)</f>
        <v>47.456499999999998</v>
      </c>
      <c r="C89" s="66">
        <f t="shared" si="1"/>
        <v>8.5389982297199296E-3</v>
      </c>
      <c r="D89" s="66">
        <f>(Table17[[#This Row],[Index]]-B77)/B77</f>
        <v>6.2408213339064426E-2</v>
      </c>
    </row>
    <row r="90" spans="1:4" x14ac:dyDescent="0.35">
      <c r="A90" s="17">
        <v>28825</v>
      </c>
      <c r="B90" s="58">
        <f>VLOOKUP(Table17[[#This Row],[Date]],database!A:H,7,)</f>
        <v>47.654899999999998</v>
      </c>
      <c r="C90" s="66">
        <f t="shared" si="1"/>
        <v>4.1806707195009007E-3</v>
      </c>
      <c r="D90" s="66">
        <f>(Table17[[#This Row],[Index]]-B78)/B78</f>
        <v>7.5406084841154061E-2</v>
      </c>
    </row>
    <row r="91" spans="1:4" x14ac:dyDescent="0.35">
      <c r="A91" s="17">
        <v>28856</v>
      </c>
      <c r="B91" s="58">
        <f>VLOOKUP(Table17[[#This Row],[Date]],database!A:H,7,)</f>
        <v>47.086300000000001</v>
      </c>
      <c r="C91" s="66">
        <f t="shared" si="1"/>
        <v>-1.1931616685797231E-2</v>
      </c>
      <c r="D91" s="66">
        <f>(Table17[[#This Row],[Index]]-B79)/B79</f>
        <v>7.2622402234255146E-2</v>
      </c>
    </row>
    <row r="92" spans="1:4" x14ac:dyDescent="0.35">
      <c r="A92" s="17">
        <v>28887</v>
      </c>
      <c r="B92" s="58">
        <f>VLOOKUP(Table17[[#This Row],[Date]],database!A:H,7,)</f>
        <v>47.4848</v>
      </c>
      <c r="C92" s="66">
        <f t="shared" si="1"/>
        <v>8.4631835586996829E-3</v>
      </c>
      <c r="D92" s="66">
        <f>(Table17[[#This Row],[Index]]-B80)/B80</f>
        <v>8.3583588152069663E-2</v>
      </c>
    </row>
    <row r="93" spans="1:4" x14ac:dyDescent="0.35">
      <c r="A93" s="17">
        <v>28915</v>
      </c>
      <c r="B93" s="58">
        <f>VLOOKUP(Table17[[#This Row],[Date]],database!A:H,7,)</f>
        <v>47.528399999999998</v>
      </c>
      <c r="C93" s="66">
        <f t="shared" si="1"/>
        <v>9.1818855718028836E-4</v>
      </c>
      <c r="D93" s="66">
        <f>(Table17[[#This Row],[Index]]-B81)/B81</f>
        <v>6.9226477575408493E-2</v>
      </c>
    </row>
    <row r="94" spans="1:4" x14ac:dyDescent="0.35">
      <c r="A94" s="17">
        <v>28946</v>
      </c>
      <c r="B94" s="58">
        <f>VLOOKUP(Table17[[#This Row],[Date]],database!A:H,7,)</f>
        <v>47.206499999999998</v>
      </c>
      <c r="C94" s="66">
        <f t="shared" si="1"/>
        <v>-6.7727926881612222E-3</v>
      </c>
      <c r="D94" s="66">
        <f>(Table17[[#This Row],[Index]]-B82)/B82</f>
        <v>3.1982686064686808E-2</v>
      </c>
    </row>
    <row r="95" spans="1:4" x14ac:dyDescent="0.35">
      <c r="A95" s="17">
        <v>28976</v>
      </c>
      <c r="B95" s="58">
        <f>VLOOKUP(Table17[[#This Row],[Date]],database!A:H,7,)</f>
        <v>47.466099999999997</v>
      </c>
      <c r="C95" s="66">
        <f t="shared" si="1"/>
        <v>5.4992426890363433E-3</v>
      </c>
      <c r="D95" s="66">
        <f>(Table17[[#This Row],[Index]]-B83)/B83</f>
        <v>2.7551554984045351E-2</v>
      </c>
    </row>
    <row r="96" spans="1:4" x14ac:dyDescent="0.35">
      <c r="A96" s="17">
        <v>29007</v>
      </c>
      <c r="B96" s="58">
        <f>VLOOKUP(Table17[[#This Row],[Date]],database!A:H,7,)</f>
        <v>47.488300000000002</v>
      </c>
      <c r="C96" s="66">
        <f t="shared" si="1"/>
        <v>4.6770221273728652E-4</v>
      </c>
      <c r="D96" s="66">
        <f>(Table17[[#This Row],[Index]]-B84)/B84</f>
        <v>2.3677567746427677E-2</v>
      </c>
    </row>
    <row r="97" spans="1:4" x14ac:dyDescent="0.35">
      <c r="A97" s="17">
        <v>29037</v>
      </c>
      <c r="B97" s="58">
        <f>VLOOKUP(Table17[[#This Row],[Date]],database!A:H,7,)</f>
        <v>47.354399999999998</v>
      </c>
      <c r="C97" s="66">
        <f t="shared" si="1"/>
        <v>-2.819641890739466E-3</v>
      </c>
      <c r="D97" s="66">
        <f>(Table17[[#This Row],[Index]]-B85)/B85</f>
        <v>2.1207220029759895E-2</v>
      </c>
    </row>
    <row r="98" spans="1:4" x14ac:dyDescent="0.35">
      <c r="A98" s="17">
        <v>29068</v>
      </c>
      <c r="B98" s="58">
        <f>VLOOKUP(Table17[[#This Row],[Date]],database!A:H,7,)</f>
        <v>47.092100000000002</v>
      </c>
      <c r="C98" s="66">
        <f t="shared" si="1"/>
        <v>-5.5390840133122676E-3</v>
      </c>
      <c r="D98" s="66">
        <f>(Table17[[#This Row],[Index]]-B86)/B86</f>
        <v>1.1854216981375405E-2</v>
      </c>
    </row>
    <row r="99" spans="1:4" x14ac:dyDescent="0.35">
      <c r="A99" s="17">
        <v>29099</v>
      </c>
      <c r="B99" s="58">
        <f>VLOOKUP(Table17[[#This Row],[Date]],database!A:H,7,)</f>
        <v>46.761299999999999</v>
      </c>
      <c r="C99" s="66">
        <f t="shared" si="1"/>
        <v>-7.0245327772600064E-3</v>
      </c>
      <c r="D99" s="66">
        <f>(Table17[[#This Row],[Index]]-B87)/B87</f>
        <v>3.4118487714125466E-3</v>
      </c>
    </row>
    <row r="100" spans="1:4" x14ac:dyDescent="0.35">
      <c r="A100" s="17">
        <v>29129</v>
      </c>
      <c r="B100" s="58">
        <f>VLOOKUP(Table17[[#This Row],[Date]],database!A:H,7,)</f>
        <v>47.256999999999998</v>
      </c>
      <c r="C100" s="66">
        <f t="shared" si="1"/>
        <v>1.0600646260903845E-2</v>
      </c>
      <c r="D100" s="66">
        <f>(Table17[[#This Row],[Index]]-B88)/B88</f>
        <v>4.2992517219321569E-3</v>
      </c>
    </row>
    <row r="101" spans="1:4" x14ac:dyDescent="0.35">
      <c r="A101" s="17">
        <v>29160</v>
      </c>
      <c r="B101" s="58">
        <f>VLOOKUP(Table17[[#This Row],[Date]],database!A:H,7,)</f>
        <v>47.141300000000001</v>
      </c>
      <c r="C101" s="66">
        <f t="shared" si="1"/>
        <v>-2.4483145354127211E-3</v>
      </c>
      <c r="D101" s="66">
        <f>(Table17[[#This Row],[Index]]-B89)/B89</f>
        <v>-6.6418720301749451E-3</v>
      </c>
    </row>
    <row r="102" spans="1:4" x14ac:dyDescent="0.35">
      <c r="A102" s="17">
        <v>29190</v>
      </c>
      <c r="B102" s="58">
        <f>VLOOKUP(Table17[[#This Row],[Date]],database!A:H,7,)</f>
        <v>47.051299999999998</v>
      </c>
      <c r="C102" s="66">
        <f t="shared" si="1"/>
        <v>-1.9091539690251347E-3</v>
      </c>
      <c r="D102" s="66">
        <f>(Table17[[#This Row],[Index]]-B90)/B90</f>
        <v>-1.2666063720624746E-2</v>
      </c>
    </row>
    <row r="103" spans="1:4" x14ac:dyDescent="0.35">
      <c r="A103" s="17">
        <v>29221</v>
      </c>
      <c r="B103" s="58">
        <f>VLOOKUP(Table17[[#This Row],[Date]],database!A:H,7,)</f>
        <v>47.4223</v>
      </c>
      <c r="C103" s="66">
        <f t="shared" si="1"/>
        <v>7.8850106160723854E-3</v>
      </c>
      <c r="D103" s="66">
        <f>(Table17[[#This Row],[Index]]-B91)/B91</f>
        <v>7.1358335651771007E-3</v>
      </c>
    </row>
    <row r="104" spans="1:4" x14ac:dyDescent="0.35">
      <c r="A104" s="17">
        <v>29252</v>
      </c>
      <c r="B104" s="58">
        <f>VLOOKUP(Table17[[#This Row],[Date]],database!A:H,7,)</f>
        <v>47.33</v>
      </c>
      <c r="C104" s="66">
        <f t="shared" si="1"/>
        <v>-1.9463417000019634E-3</v>
      </c>
      <c r="D104" s="66">
        <f>(Table17[[#This Row],[Index]]-B92)/B92</f>
        <v>-3.2599905654020151E-3</v>
      </c>
    </row>
    <row r="105" spans="1:4" x14ac:dyDescent="0.35">
      <c r="A105" s="17">
        <v>29281</v>
      </c>
      <c r="B105" s="58">
        <f>VLOOKUP(Table17[[#This Row],[Date]],database!A:H,7,)</f>
        <v>47.256599999999999</v>
      </c>
      <c r="C105" s="66">
        <f t="shared" si="1"/>
        <v>-1.5508134375660232E-3</v>
      </c>
      <c r="D105" s="66">
        <f>(Table17[[#This Row],[Index]]-B93)/B93</f>
        <v>-5.718686090842506E-3</v>
      </c>
    </row>
    <row r="106" spans="1:4" x14ac:dyDescent="0.35">
      <c r="A106" s="17">
        <v>29312</v>
      </c>
      <c r="B106" s="58">
        <f>VLOOKUP(Table17[[#This Row],[Date]],database!A:H,7,)</f>
        <v>46.121000000000002</v>
      </c>
      <c r="C106" s="66">
        <f t="shared" si="1"/>
        <v>-2.4030505791783563E-2</v>
      </c>
      <c r="D106" s="66">
        <f>(Table17[[#This Row],[Index]]-B94)/B94</f>
        <v>-2.2994714710897781E-2</v>
      </c>
    </row>
    <row r="107" spans="1:4" x14ac:dyDescent="0.35">
      <c r="A107" s="17">
        <v>29342</v>
      </c>
      <c r="B107" s="58">
        <f>VLOOKUP(Table17[[#This Row],[Date]],database!A:H,7,)</f>
        <v>44.761899999999997</v>
      </c>
      <c r="C107" s="66">
        <f t="shared" si="1"/>
        <v>-2.9468138158322832E-2</v>
      </c>
      <c r="D107" s="66">
        <f>(Table17[[#This Row],[Index]]-B95)/B95</f>
        <v>-5.6971185751515302E-2</v>
      </c>
    </row>
    <row r="108" spans="1:4" x14ac:dyDescent="0.35">
      <c r="A108" s="17">
        <v>29373</v>
      </c>
      <c r="B108" s="58">
        <f>VLOOKUP(Table17[[#This Row],[Date]],database!A:H,7,)</f>
        <v>43.993200000000002</v>
      </c>
      <c r="C108" s="66">
        <f t="shared" si="1"/>
        <v>-1.7173086933306991E-2</v>
      </c>
      <c r="D108" s="66">
        <f>(Table17[[#This Row],[Index]]-B96)/B96</f>
        <v>-7.3599181272018588E-2</v>
      </c>
    </row>
    <row r="109" spans="1:4" x14ac:dyDescent="0.35">
      <c r="A109" s="17">
        <v>29403</v>
      </c>
      <c r="B109" s="58">
        <f>VLOOKUP(Table17[[#This Row],[Date]],database!A:H,7,)</f>
        <v>43.314599999999999</v>
      </c>
      <c r="C109" s="66">
        <f t="shared" si="1"/>
        <v>-1.5425111153541948E-2</v>
      </c>
      <c r="D109" s="66">
        <f>(Table17[[#This Row],[Index]]-B97)/B97</f>
        <v>-8.5309918402513812E-2</v>
      </c>
    </row>
    <row r="110" spans="1:4" x14ac:dyDescent="0.35">
      <c r="A110" s="17">
        <v>29434</v>
      </c>
      <c r="B110" s="58">
        <f>VLOOKUP(Table17[[#This Row],[Date]],database!A:H,7,)</f>
        <v>43.457099999999997</v>
      </c>
      <c r="C110" s="66">
        <f t="shared" si="1"/>
        <v>3.2898837805266368E-3</v>
      </c>
      <c r="D110" s="66">
        <f>(Table17[[#This Row],[Index]]-B98)/B98</f>
        <v>-7.718916760985399E-2</v>
      </c>
    </row>
    <row r="111" spans="1:4" x14ac:dyDescent="0.35">
      <c r="A111" s="17">
        <v>29465</v>
      </c>
      <c r="B111" s="58">
        <f>VLOOKUP(Table17[[#This Row],[Date]],database!A:H,7,)</f>
        <v>44.3155</v>
      </c>
      <c r="C111" s="66">
        <f t="shared" si="1"/>
        <v>1.9752813694425164E-2</v>
      </c>
      <c r="D111" s="66">
        <f>(Table17[[#This Row],[Index]]-B99)/B99</f>
        <v>-5.2303935091624877E-2</v>
      </c>
    </row>
    <row r="112" spans="1:4" x14ac:dyDescent="0.35">
      <c r="A112" s="17">
        <v>29495</v>
      </c>
      <c r="B112" s="58">
        <f>VLOOKUP(Table17[[#This Row],[Date]],database!A:H,7,)</f>
        <v>44.9529</v>
      </c>
      <c r="C112" s="66">
        <f t="shared" si="1"/>
        <v>1.4383229344134607E-2</v>
      </c>
      <c r="D112" s="66">
        <f>(Table17[[#This Row],[Index]]-B100)/B100</f>
        <v>-4.875679793469747E-2</v>
      </c>
    </row>
    <row r="113" spans="1:4" x14ac:dyDescent="0.35">
      <c r="A113" s="17">
        <v>29526</v>
      </c>
      <c r="B113" s="58">
        <f>VLOOKUP(Table17[[#This Row],[Date]],database!A:H,7,)</f>
        <v>45.955599999999997</v>
      </c>
      <c r="C113" s="66">
        <f t="shared" si="1"/>
        <v>2.2305568717479796E-2</v>
      </c>
      <c r="D113" s="66">
        <f>(Table17[[#This Row],[Index]]-B101)/B101</f>
        <v>-2.5152042900811054E-2</v>
      </c>
    </row>
    <row r="114" spans="1:4" x14ac:dyDescent="0.35">
      <c r="A114" s="17">
        <v>29556</v>
      </c>
      <c r="B114" s="58">
        <f>VLOOKUP(Table17[[#This Row],[Date]],database!A:H,7,)</f>
        <v>46.430199999999999</v>
      </c>
      <c r="C114" s="66">
        <f t="shared" si="1"/>
        <v>1.0327359451296481E-2</v>
      </c>
      <c r="D114" s="66">
        <f>(Table17[[#This Row],[Index]]-B102)/B102</f>
        <v>-1.3200485427607706E-2</v>
      </c>
    </row>
    <row r="115" spans="1:4" x14ac:dyDescent="0.35">
      <c r="A115" s="17">
        <v>29587</v>
      </c>
      <c r="B115" s="58">
        <f>VLOOKUP(Table17[[#This Row],[Date]],database!A:H,7,)</f>
        <v>45.876300000000001</v>
      </c>
      <c r="C115" s="66">
        <f t="shared" si="1"/>
        <v>-1.1929735387743334E-2</v>
      </c>
      <c r="D115" s="66">
        <f>(Table17[[#This Row],[Index]]-B103)/B103</f>
        <v>-3.2600696296889844E-2</v>
      </c>
    </row>
    <row r="116" spans="1:4" x14ac:dyDescent="0.35">
      <c r="A116" s="17">
        <v>29618</v>
      </c>
      <c r="B116" s="58">
        <f>VLOOKUP(Table17[[#This Row],[Date]],database!A:H,7,)</f>
        <v>45.759300000000003</v>
      </c>
      <c r="C116" s="66">
        <f t="shared" si="1"/>
        <v>-2.5503364482313273E-3</v>
      </c>
      <c r="D116" s="66">
        <f>(Table17[[#This Row],[Index]]-B104)/B104</f>
        <v>-3.318613986900476E-2</v>
      </c>
    </row>
    <row r="117" spans="1:4" x14ac:dyDescent="0.35">
      <c r="A117" s="17">
        <v>29646</v>
      </c>
      <c r="B117" s="58">
        <f>VLOOKUP(Table17[[#This Row],[Date]],database!A:H,7,)</f>
        <v>46.039099999999998</v>
      </c>
      <c r="C117" s="66">
        <f t="shared" si="1"/>
        <v>6.1146040258481804E-3</v>
      </c>
      <c r="D117" s="66">
        <f>(Table17[[#This Row],[Index]]-B105)/B105</f>
        <v>-2.5763597042529535E-2</v>
      </c>
    </row>
    <row r="118" spans="1:4" x14ac:dyDescent="0.35">
      <c r="A118" s="17">
        <v>29677</v>
      </c>
      <c r="B118" s="58">
        <f>VLOOKUP(Table17[[#This Row],[Date]],database!A:H,7,)</f>
        <v>45.443600000000004</v>
      </c>
      <c r="C118" s="66">
        <f t="shared" si="1"/>
        <v>-1.2934657714855247E-2</v>
      </c>
      <c r="D118" s="66">
        <f>(Table17[[#This Row],[Index]]-B106)/B106</f>
        <v>-1.468745257041258E-2</v>
      </c>
    </row>
    <row r="119" spans="1:4" x14ac:dyDescent="0.35">
      <c r="A119" s="17">
        <v>29707</v>
      </c>
      <c r="B119" s="58">
        <f>VLOOKUP(Table17[[#This Row],[Date]],database!A:H,7,)</f>
        <v>45.665700000000001</v>
      </c>
      <c r="C119" s="66">
        <f t="shared" si="1"/>
        <v>4.8873768803527895E-3</v>
      </c>
      <c r="D119" s="66">
        <f>(Table17[[#This Row],[Index]]-B107)/B107</f>
        <v>2.0191278743753146E-2</v>
      </c>
    </row>
    <row r="120" spans="1:4" x14ac:dyDescent="0.35">
      <c r="A120" s="17">
        <v>29738</v>
      </c>
      <c r="B120" s="58">
        <f>VLOOKUP(Table17[[#This Row],[Date]],database!A:H,7,)</f>
        <v>46.313600000000001</v>
      </c>
      <c r="C120" s="66">
        <f t="shared" si="1"/>
        <v>1.4187891568507638E-2</v>
      </c>
      <c r="D120" s="66">
        <f>(Table17[[#This Row],[Index]]-B108)/B108</f>
        <v>5.2744515061418563E-2</v>
      </c>
    </row>
    <row r="121" spans="1:4" x14ac:dyDescent="0.35">
      <c r="A121" s="17">
        <v>29768</v>
      </c>
      <c r="B121" s="58">
        <f>VLOOKUP(Table17[[#This Row],[Date]],database!A:H,7,)</f>
        <v>46.583199999999998</v>
      </c>
      <c r="C121" s="66">
        <f t="shared" si="1"/>
        <v>5.8211842741655584E-3</v>
      </c>
      <c r="D121" s="66">
        <f>(Table17[[#This Row],[Index]]-B109)/B109</f>
        <v>7.546185350897848E-2</v>
      </c>
    </row>
    <row r="122" spans="1:4" x14ac:dyDescent="0.35">
      <c r="A122" s="17">
        <v>29799</v>
      </c>
      <c r="B122" s="58">
        <f>VLOOKUP(Table17[[#This Row],[Date]],database!A:H,7,)</f>
        <v>46.520099999999999</v>
      </c>
      <c r="C122" s="66">
        <f t="shared" si="1"/>
        <v>-1.3545655944632307E-3</v>
      </c>
      <c r="D122" s="66">
        <f>(Table17[[#This Row],[Index]]-B110)/B110</f>
        <v>7.048330422416596E-2</v>
      </c>
    </row>
    <row r="123" spans="1:4" x14ac:dyDescent="0.35">
      <c r="A123" s="17">
        <v>29830</v>
      </c>
      <c r="B123" s="58">
        <f>VLOOKUP(Table17[[#This Row],[Date]],database!A:H,7,)</f>
        <v>46.151899999999998</v>
      </c>
      <c r="C123" s="66">
        <f t="shared" si="1"/>
        <v>-7.9148583085590918E-3</v>
      </c>
      <c r="D123" s="66">
        <f>(Table17[[#This Row],[Index]]-B111)/B111</f>
        <v>4.1439225553135985E-2</v>
      </c>
    </row>
    <row r="124" spans="1:4" x14ac:dyDescent="0.35">
      <c r="A124" s="17">
        <v>29860</v>
      </c>
      <c r="B124" s="58">
        <f>VLOOKUP(Table17[[#This Row],[Date]],database!A:H,7,)</f>
        <v>45.513500000000001</v>
      </c>
      <c r="C124" s="66">
        <f t="shared" si="1"/>
        <v>-1.3832583273928001E-2</v>
      </c>
      <c r="D124" s="66">
        <f>(Table17[[#This Row],[Index]]-B112)/B112</f>
        <v>1.2470830580452005E-2</v>
      </c>
    </row>
    <row r="125" spans="1:4" x14ac:dyDescent="0.35">
      <c r="A125" s="17">
        <v>29891</v>
      </c>
      <c r="B125" s="58">
        <f>VLOOKUP(Table17[[#This Row],[Date]],database!A:H,7,)</f>
        <v>44.709800000000001</v>
      </c>
      <c r="C125" s="66">
        <f t="shared" si="1"/>
        <v>-1.7658496929482403E-2</v>
      </c>
      <c r="D125" s="66">
        <f>(Table17[[#This Row],[Index]]-B113)/B113</f>
        <v>-2.7108774556310781E-2</v>
      </c>
    </row>
    <row r="126" spans="1:4" x14ac:dyDescent="0.35">
      <c r="A126" s="17">
        <v>29921</v>
      </c>
      <c r="B126" s="58">
        <f>VLOOKUP(Table17[[#This Row],[Date]],database!A:H,7,)</f>
        <v>44.124200000000002</v>
      </c>
      <c r="C126" s="66">
        <f t="shared" si="1"/>
        <v>-1.3097799587562409E-2</v>
      </c>
      <c r="D126" s="66">
        <f>(Table17[[#This Row],[Index]]-B114)/B114</f>
        <v>-4.9665950178978284E-2</v>
      </c>
    </row>
    <row r="127" spans="1:4" x14ac:dyDescent="0.35">
      <c r="A127" s="17">
        <v>29952</v>
      </c>
      <c r="B127" s="58">
        <f>VLOOKUP(Table17[[#This Row],[Date]],database!A:H,7,)</f>
        <v>43.374299999999998</v>
      </c>
      <c r="C127" s="66">
        <f t="shared" si="1"/>
        <v>-1.6995208978293208E-2</v>
      </c>
      <c r="D127" s="66">
        <f>(Table17[[#This Row],[Index]]-B115)/B115</f>
        <v>-5.4537964046795458E-2</v>
      </c>
    </row>
    <row r="128" spans="1:4" x14ac:dyDescent="0.35">
      <c r="A128" s="17">
        <v>29983</v>
      </c>
      <c r="B128" s="58">
        <f>VLOOKUP(Table17[[#This Row],[Date]],database!A:H,7,)</f>
        <v>43.856499999999997</v>
      </c>
      <c r="C128" s="66">
        <f t="shared" si="1"/>
        <v>1.1117182294584582E-2</v>
      </c>
      <c r="D128" s="66">
        <f>(Table17[[#This Row],[Index]]-B116)/B116</f>
        <v>-4.1582803932752599E-2</v>
      </c>
    </row>
    <row r="129" spans="1:4" x14ac:dyDescent="0.35">
      <c r="A129" s="17">
        <v>30011</v>
      </c>
      <c r="B129" s="58">
        <f>VLOOKUP(Table17[[#This Row],[Date]],database!A:H,7,)</f>
        <v>43.5824</v>
      </c>
      <c r="C129" s="66">
        <f t="shared" si="1"/>
        <v>-6.249928744883837E-3</v>
      </c>
      <c r="D129" s="66">
        <f>(Table17[[#This Row],[Index]]-B117)/B117</f>
        <v>-5.3361164749093665E-2</v>
      </c>
    </row>
    <row r="130" spans="1:4" x14ac:dyDescent="0.35">
      <c r="A130" s="17">
        <v>30042</v>
      </c>
      <c r="B130" s="58">
        <f>VLOOKUP(Table17[[#This Row],[Date]],database!A:H,7,)</f>
        <v>43.047499999999999</v>
      </c>
      <c r="C130" s="66">
        <f t="shared" si="1"/>
        <v>-1.2273302984691092E-2</v>
      </c>
      <c r="D130" s="66">
        <f>(Table17[[#This Row],[Index]]-B118)/B118</f>
        <v>-5.2726896636710208E-2</v>
      </c>
    </row>
    <row r="131" spans="1:4" x14ac:dyDescent="0.35">
      <c r="A131" s="17">
        <v>30072</v>
      </c>
      <c r="B131" s="58">
        <f>VLOOKUP(Table17[[#This Row],[Date]],database!A:H,7,)</f>
        <v>42.5379</v>
      </c>
      <c r="C131" s="66">
        <f t="shared" si="1"/>
        <v>-1.1838085835414347E-2</v>
      </c>
      <c r="D131" s="66">
        <f>(Table17[[#This Row],[Index]]-B119)/B119</f>
        <v>-6.8493420663649093E-2</v>
      </c>
    </row>
    <row r="132" spans="1:4" x14ac:dyDescent="0.35">
      <c r="A132" s="17">
        <v>30103</v>
      </c>
      <c r="B132" s="58">
        <f>VLOOKUP(Table17[[#This Row],[Date]],database!A:H,7,)</f>
        <v>42.424100000000003</v>
      </c>
      <c r="C132" s="66">
        <f t="shared" si="1"/>
        <v>-2.675261355167935E-3</v>
      </c>
      <c r="D132" s="66">
        <f>(Table17[[#This Row],[Index]]-B120)/B120</f>
        <v>-8.3981810958336164E-2</v>
      </c>
    </row>
    <row r="133" spans="1:4" x14ac:dyDescent="0.35">
      <c r="A133" s="17">
        <v>30133</v>
      </c>
      <c r="B133" s="58">
        <f>VLOOKUP(Table17[[#This Row],[Date]],database!A:H,7,)</f>
        <v>42.108899999999998</v>
      </c>
      <c r="C133" s="66">
        <f t="shared" si="1"/>
        <v>-7.4297392284103925E-3</v>
      </c>
      <c r="D133" s="66">
        <f>(Table17[[#This Row],[Index]]-B121)/B121</f>
        <v>-9.6049648800425894E-2</v>
      </c>
    </row>
    <row r="134" spans="1:4" x14ac:dyDescent="0.35">
      <c r="A134" s="17">
        <v>30164</v>
      </c>
      <c r="B134" s="58">
        <f>VLOOKUP(Table17[[#This Row],[Date]],database!A:H,7,)</f>
        <v>41.692100000000003</v>
      </c>
      <c r="C134" s="66">
        <f t="shared" si="1"/>
        <v>-9.8981450477213517E-3</v>
      </c>
      <c r="D134" s="66">
        <f>(Table17[[#This Row],[Index]]-B122)/B122</f>
        <v>-0.10378309590908007</v>
      </c>
    </row>
    <row r="135" spans="1:4" x14ac:dyDescent="0.35">
      <c r="A135" s="17">
        <v>30195</v>
      </c>
      <c r="B135" s="58">
        <f>VLOOKUP(Table17[[#This Row],[Date]],database!A:H,7,)</f>
        <v>41.487499999999997</v>
      </c>
      <c r="C135" s="66">
        <f t="shared" si="1"/>
        <v>-4.9074045202809335E-3</v>
      </c>
      <c r="D135" s="66">
        <f>(Table17[[#This Row],[Index]]-B123)/B123</f>
        <v>-0.1010662616273653</v>
      </c>
    </row>
    <row r="136" spans="1:4" x14ac:dyDescent="0.35">
      <c r="A136" s="17">
        <v>30225</v>
      </c>
      <c r="B136" s="58">
        <f>VLOOKUP(Table17[[#This Row],[Date]],database!A:H,7,)</f>
        <v>40.994900000000001</v>
      </c>
      <c r="C136" s="66">
        <f t="shared" ref="C136:C199" si="2">B136/B135-1</f>
        <v>-1.1873455860198723E-2</v>
      </c>
      <c r="D136" s="66">
        <f>(Table17[[#This Row],[Index]]-B124)/B124</f>
        <v>-9.9280433278038371E-2</v>
      </c>
    </row>
    <row r="137" spans="1:4" x14ac:dyDescent="0.35">
      <c r="A137" s="17">
        <v>30256</v>
      </c>
      <c r="B137" s="58">
        <f>VLOOKUP(Table17[[#This Row],[Date]],database!A:H,7,)</f>
        <v>40.835099999999997</v>
      </c>
      <c r="C137" s="66">
        <f t="shared" si="2"/>
        <v>-3.8980458544843888E-3</v>
      </c>
      <c r="D137" s="66">
        <f>(Table17[[#This Row],[Index]]-B125)/B125</f>
        <v>-8.6663326608484137E-2</v>
      </c>
    </row>
    <row r="138" spans="1:4" x14ac:dyDescent="0.35">
      <c r="A138" s="17">
        <v>30286</v>
      </c>
      <c r="B138" s="58">
        <f>VLOOKUP(Table17[[#This Row],[Date]],database!A:H,7,)</f>
        <v>40.470799999999997</v>
      </c>
      <c r="C138" s="66">
        <f t="shared" si="2"/>
        <v>-8.9212466725929751E-3</v>
      </c>
      <c r="D138" s="66">
        <f>(Table17[[#This Row],[Index]]-B126)/B126</f>
        <v>-8.2798101721957673E-2</v>
      </c>
    </row>
    <row r="139" spans="1:4" x14ac:dyDescent="0.35">
      <c r="A139" s="17">
        <v>30317</v>
      </c>
      <c r="B139" s="58">
        <f>VLOOKUP(Table17[[#This Row],[Date]],database!A:H,7,)</f>
        <v>41.3767</v>
      </c>
      <c r="C139" s="66">
        <f t="shared" si="2"/>
        <v>2.2384039850954274E-2</v>
      </c>
      <c r="D139" s="66">
        <f>(Table17[[#This Row],[Index]]-B127)/B127</f>
        <v>-4.6054921923811991E-2</v>
      </c>
    </row>
    <row r="140" spans="1:4" x14ac:dyDescent="0.35">
      <c r="A140" s="17">
        <v>30348</v>
      </c>
      <c r="B140" s="58">
        <f>VLOOKUP(Table17[[#This Row],[Date]],database!A:H,7,)</f>
        <v>41.240400000000001</v>
      </c>
      <c r="C140" s="66">
        <f t="shared" si="2"/>
        <v>-3.2941244710187334E-3</v>
      </c>
      <c r="D140" s="66">
        <f>(Table17[[#This Row],[Index]]-B128)/B128</f>
        <v>-5.9651362967860999E-2</v>
      </c>
    </row>
    <row r="141" spans="1:4" x14ac:dyDescent="0.35">
      <c r="A141" s="17">
        <v>30376</v>
      </c>
      <c r="B141" s="58">
        <f>VLOOKUP(Table17[[#This Row],[Date]],database!A:H,7,)</f>
        <v>41.616199999999999</v>
      </c>
      <c r="C141" s="66">
        <f t="shared" si="2"/>
        <v>9.1124237398279018E-3</v>
      </c>
      <c r="D141" s="66">
        <f>(Table17[[#This Row],[Index]]-B129)/B129</f>
        <v>-4.5114541649840315E-2</v>
      </c>
    </row>
    <row r="142" spans="1:4" x14ac:dyDescent="0.35">
      <c r="A142" s="17">
        <v>30407</v>
      </c>
      <c r="B142" s="58">
        <f>VLOOKUP(Table17[[#This Row],[Date]],database!A:H,7,)</f>
        <v>42.128999999999998</v>
      </c>
      <c r="C142" s="66">
        <f t="shared" si="2"/>
        <v>1.2322124557263781E-2</v>
      </c>
      <c r="D142" s="66">
        <f>(Table17[[#This Row],[Index]]-B130)/B130</f>
        <v>-2.1336895290086571E-2</v>
      </c>
    </row>
    <row r="143" spans="1:4" x14ac:dyDescent="0.35">
      <c r="A143" s="17">
        <v>30437</v>
      </c>
      <c r="B143" s="58">
        <f>VLOOKUP(Table17[[#This Row],[Date]],database!A:H,7,)</f>
        <v>42.417700000000004</v>
      </c>
      <c r="C143" s="66">
        <f t="shared" si="2"/>
        <v>6.8527617555604881E-3</v>
      </c>
      <c r="D143" s="66">
        <f>(Table17[[#This Row],[Index]]-B131)/B131</f>
        <v>-2.8257154208364064E-3</v>
      </c>
    </row>
    <row r="144" spans="1:4" x14ac:dyDescent="0.35">
      <c r="A144" s="17">
        <v>30468</v>
      </c>
      <c r="B144" s="58">
        <f>VLOOKUP(Table17[[#This Row],[Date]],database!A:H,7,)</f>
        <v>42.719499999999996</v>
      </c>
      <c r="C144" s="66">
        <f t="shared" si="2"/>
        <v>7.1149543704631668E-3</v>
      </c>
      <c r="D144" s="66">
        <f>(Table17[[#This Row],[Index]]-B132)/B132</f>
        <v>6.9630233758640409E-3</v>
      </c>
    </row>
    <row r="145" spans="1:4" x14ac:dyDescent="0.35">
      <c r="A145" s="17">
        <v>30498</v>
      </c>
      <c r="B145" s="58">
        <f>VLOOKUP(Table17[[#This Row],[Date]],database!A:H,7,)</f>
        <v>43.404200000000003</v>
      </c>
      <c r="C145" s="66">
        <f t="shared" si="2"/>
        <v>1.6027809314247854E-2</v>
      </c>
      <c r="D145" s="66">
        <f>(Table17[[#This Row],[Index]]-B133)/B133</f>
        <v>3.0760718042979147E-2</v>
      </c>
    </row>
    <row r="146" spans="1:4" x14ac:dyDescent="0.35">
      <c r="A146" s="17">
        <v>30529</v>
      </c>
      <c r="B146" s="58">
        <f>VLOOKUP(Table17[[#This Row],[Date]],database!A:H,7,)</f>
        <v>44.044499999999999</v>
      </c>
      <c r="C146" s="66">
        <f t="shared" si="2"/>
        <v>1.475202860552649E-2</v>
      </c>
      <c r="D146" s="66">
        <f>(Table17[[#This Row],[Index]]-B134)/B134</f>
        <v>5.6423159303561003E-2</v>
      </c>
    </row>
    <row r="147" spans="1:4" x14ac:dyDescent="0.35">
      <c r="A147" s="17">
        <v>30560</v>
      </c>
      <c r="B147" s="58">
        <f>VLOOKUP(Table17[[#This Row],[Date]],database!A:H,7,)</f>
        <v>44.615499999999997</v>
      </c>
      <c r="C147" s="66">
        <f t="shared" si="2"/>
        <v>1.2964161246012518E-2</v>
      </c>
      <c r="D147" s="66">
        <f>(Table17[[#This Row],[Index]]-B135)/B135</f>
        <v>7.5396203675805976E-2</v>
      </c>
    </row>
    <row r="148" spans="1:4" x14ac:dyDescent="0.35">
      <c r="A148" s="17">
        <v>30590</v>
      </c>
      <c r="B148" s="58">
        <f>VLOOKUP(Table17[[#This Row],[Date]],database!A:H,7,)</f>
        <v>45.2027</v>
      </c>
      <c r="C148" s="66">
        <f t="shared" si="2"/>
        <v>1.3161345272382885E-2</v>
      </c>
      <c r="D148" s="66">
        <f>(Table17[[#This Row],[Index]]-B136)/B136</f>
        <v>0.10264203596057067</v>
      </c>
    </row>
    <row r="149" spans="1:4" x14ac:dyDescent="0.35">
      <c r="A149" s="17">
        <v>30621</v>
      </c>
      <c r="B149" s="58">
        <f>VLOOKUP(Table17[[#This Row],[Date]],database!A:H,7,)</f>
        <v>45.448700000000002</v>
      </c>
      <c r="C149" s="66">
        <f t="shared" si="2"/>
        <v>5.4421527917580814E-3</v>
      </c>
      <c r="D149" s="66">
        <f>(Table17[[#This Row],[Index]]-B137)/B137</f>
        <v>0.11298123428129246</v>
      </c>
    </row>
    <row r="150" spans="1:4" x14ac:dyDescent="0.35">
      <c r="A150" s="17">
        <v>30651</v>
      </c>
      <c r="B150" s="58">
        <f>VLOOKUP(Table17[[#This Row],[Date]],database!A:H,7,)</f>
        <v>45.639000000000003</v>
      </c>
      <c r="C150" s="66">
        <f t="shared" si="2"/>
        <v>4.1871384660068234E-3</v>
      </c>
      <c r="D150" s="66">
        <f>(Table17[[#This Row],[Index]]-B138)/B138</f>
        <v>0.12770194807120211</v>
      </c>
    </row>
    <row r="151" spans="1:4" x14ac:dyDescent="0.35">
      <c r="A151" s="17">
        <v>30682</v>
      </c>
      <c r="B151" s="58">
        <f>VLOOKUP(Table17[[#This Row],[Date]],database!A:H,7,)</f>
        <v>46.5809</v>
      </c>
      <c r="C151" s="66">
        <f t="shared" si="2"/>
        <v>2.0638050789894447E-2</v>
      </c>
      <c r="D151" s="66">
        <f>(Table17[[#This Row],[Index]]-B139)/B139</f>
        <v>0.12577610104237411</v>
      </c>
    </row>
    <row r="152" spans="1:4" x14ac:dyDescent="0.35">
      <c r="A152" s="17">
        <v>30713</v>
      </c>
      <c r="B152" s="58">
        <f>VLOOKUP(Table17[[#This Row],[Date]],database!A:H,7,)</f>
        <v>46.823</v>
      </c>
      <c r="C152" s="66">
        <f t="shared" si="2"/>
        <v>5.1974092385504989E-3</v>
      </c>
      <c r="D152" s="66">
        <f>(Table17[[#This Row],[Index]]-B140)/B140</f>
        <v>0.13536726122928</v>
      </c>
    </row>
    <row r="153" spans="1:4" x14ac:dyDescent="0.35">
      <c r="A153" s="17">
        <v>30742</v>
      </c>
      <c r="B153" s="58">
        <f>VLOOKUP(Table17[[#This Row],[Date]],database!A:H,7,)</f>
        <v>47.037500000000001</v>
      </c>
      <c r="C153" s="66">
        <f t="shared" si="2"/>
        <v>4.58108194690654E-3</v>
      </c>
      <c r="D153" s="66">
        <f>(Table17[[#This Row],[Index]]-B141)/B141</f>
        <v>0.130268981790745</v>
      </c>
    </row>
    <row r="154" spans="1:4" x14ac:dyDescent="0.35">
      <c r="A154" s="17">
        <v>30773</v>
      </c>
      <c r="B154" s="58">
        <f>VLOOKUP(Table17[[#This Row],[Date]],database!A:H,7,)</f>
        <v>47.346699999999998</v>
      </c>
      <c r="C154" s="66">
        <f t="shared" si="2"/>
        <v>6.573478607494021E-3</v>
      </c>
      <c r="D154" s="66">
        <f>(Table17[[#This Row],[Index]]-B142)/B142</f>
        <v>0.12385055425004156</v>
      </c>
    </row>
    <row r="155" spans="1:4" x14ac:dyDescent="0.35">
      <c r="A155" s="17">
        <v>30803</v>
      </c>
      <c r="B155" s="58">
        <f>VLOOKUP(Table17[[#This Row],[Date]],database!A:H,7,)</f>
        <v>47.698999999999998</v>
      </c>
      <c r="C155" s="66">
        <f t="shared" si="2"/>
        <v>7.4408564905261709E-3</v>
      </c>
      <c r="D155" s="66">
        <f>(Table17[[#This Row],[Index]]-B143)/B143</f>
        <v>0.12450698647027053</v>
      </c>
    </row>
    <row r="156" spans="1:4" x14ac:dyDescent="0.35">
      <c r="A156" s="17">
        <v>30834</v>
      </c>
      <c r="B156" s="58">
        <f>VLOOKUP(Table17[[#This Row],[Date]],database!A:H,7,)</f>
        <v>47.802300000000002</v>
      </c>
      <c r="C156" s="66">
        <f t="shared" si="2"/>
        <v>2.1656638503952941E-3</v>
      </c>
      <c r="D156" s="66">
        <f>(Table17[[#This Row],[Index]]-B144)/B144</f>
        <v>0.11898079331452864</v>
      </c>
    </row>
    <row r="157" spans="1:4" x14ac:dyDescent="0.35">
      <c r="A157" s="17">
        <v>30864</v>
      </c>
      <c r="B157" s="58">
        <f>VLOOKUP(Table17[[#This Row],[Date]],database!A:H,7,)</f>
        <v>47.9437</v>
      </c>
      <c r="C157" s="66">
        <f t="shared" si="2"/>
        <v>2.9580166644700423E-3</v>
      </c>
      <c r="D157" s="66">
        <f>(Table17[[#This Row],[Index]]-B145)/B145</f>
        <v>0.10458665290455754</v>
      </c>
    </row>
    <row r="158" spans="1:4" x14ac:dyDescent="0.35">
      <c r="A158" s="17">
        <v>30895</v>
      </c>
      <c r="B158" s="58">
        <f>VLOOKUP(Table17[[#This Row],[Date]],database!A:H,7,)</f>
        <v>47.919699999999999</v>
      </c>
      <c r="C158" s="66">
        <f t="shared" si="2"/>
        <v>-5.0058714700784712E-4</v>
      </c>
      <c r="D158" s="66">
        <f>(Table17[[#This Row],[Index]]-B146)/B146</f>
        <v>8.7983743713744039E-2</v>
      </c>
    </row>
    <row r="159" spans="1:4" x14ac:dyDescent="0.35">
      <c r="A159" s="17">
        <v>30926</v>
      </c>
      <c r="B159" s="58">
        <f>VLOOKUP(Table17[[#This Row],[Date]],database!A:H,7,)</f>
        <v>47.664200000000001</v>
      </c>
      <c r="C159" s="66">
        <f t="shared" si="2"/>
        <v>-5.3318363846184269E-3</v>
      </c>
      <c r="D159" s="66">
        <f>(Table17[[#This Row],[Index]]-B147)/B147</f>
        <v>6.8332754311842381E-2</v>
      </c>
    </row>
    <row r="160" spans="1:4" x14ac:dyDescent="0.35">
      <c r="A160" s="17">
        <v>30956</v>
      </c>
      <c r="B160" s="58">
        <f>VLOOKUP(Table17[[#This Row],[Date]],database!A:H,7,)</f>
        <v>47.278100000000002</v>
      </c>
      <c r="C160" s="66">
        <f t="shared" si="2"/>
        <v>-8.1004191825311267E-3</v>
      </c>
      <c r="D160" s="66">
        <f>(Table17[[#This Row],[Index]]-B148)/B148</f>
        <v>4.5913186601685342E-2</v>
      </c>
    </row>
    <row r="161" spans="1:4" x14ac:dyDescent="0.35">
      <c r="A161" s="17">
        <v>30987</v>
      </c>
      <c r="B161" s="58">
        <f>VLOOKUP(Table17[[#This Row],[Date]],database!A:H,7,)</f>
        <v>47.432499999999997</v>
      </c>
      <c r="C161" s="66">
        <f t="shared" si="2"/>
        <v>3.2657826773918597E-3</v>
      </c>
      <c r="D161" s="66">
        <f>(Table17[[#This Row],[Index]]-B149)/B149</f>
        <v>4.3649213288828835E-2</v>
      </c>
    </row>
    <row r="162" spans="1:4" x14ac:dyDescent="0.35">
      <c r="A162" s="17">
        <v>31017</v>
      </c>
      <c r="B162" s="58">
        <f>VLOOKUP(Table17[[#This Row],[Date]],database!A:H,7,)</f>
        <v>47.2911</v>
      </c>
      <c r="C162" s="66">
        <f t="shared" si="2"/>
        <v>-2.9810783745322089E-3</v>
      </c>
      <c r="D162" s="66">
        <f>(Table17[[#This Row],[Index]]-B150)/B150</f>
        <v>3.6199303227502734E-2</v>
      </c>
    </row>
    <row r="163" spans="1:4" x14ac:dyDescent="0.35">
      <c r="A163" s="17">
        <v>31048</v>
      </c>
      <c r="B163" s="58">
        <f>VLOOKUP(Table17[[#This Row],[Date]],database!A:H,7,)</f>
        <v>47.432400000000001</v>
      </c>
      <c r="C163" s="66">
        <f t="shared" si="2"/>
        <v>2.9878772115683461E-3</v>
      </c>
      <c r="D163" s="66">
        <f>(Table17[[#This Row],[Index]]-B151)/B151</f>
        <v>1.8280024645294563E-2</v>
      </c>
    </row>
    <row r="164" spans="1:4" x14ac:dyDescent="0.35">
      <c r="A164" s="17">
        <v>31079</v>
      </c>
      <c r="B164" s="58">
        <f>VLOOKUP(Table17[[#This Row],[Date]],database!A:H,7,)</f>
        <v>47.553800000000003</v>
      </c>
      <c r="C164" s="66">
        <f t="shared" si="2"/>
        <v>2.5594319494690598E-3</v>
      </c>
      <c r="D164" s="66">
        <f>(Table17[[#This Row],[Index]]-B152)/B152</f>
        <v>1.5607714157572179E-2</v>
      </c>
    </row>
    <row r="165" spans="1:4" x14ac:dyDescent="0.35">
      <c r="A165" s="17">
        <v>31107</v>
      </c>
      <c r="B165" s="58">
        <f>VLOOKUP(Table17[[#This Row],[Date]],database!A:H,7,)</f>
        <v>47.459099999999999</v>
      </c>
      <c r="C165" s="66">
        <f t="shared" si="2"/>
        <v>-1.9914286555439142E-3</v>
      </c>
      <c r="D165" s="66">
        <f>(Table17[[#This Row],[Index]]-B153)/B153</f>
        <v>8.9630613871910271E-3</v>
      </c>
    </row>
    <row r="166" spans="1:4" x14ac:dyDescent="0.35">
      <c r="A166" s="17">
        <v>31138</v>
      </c>
      <c r="B166" s="58">
        <f>VLOOKUP(Table17[[#This Row],[Date]],database!A:H,7,)</f>
        <v>47.439</v>
      </c>
      <c r="C166" s="66">
        <f t="shared" si="2"/>
        <v>-4.2352256996025517E-4</v>
      </c>
      <c r="D166" s="66">
        <f>(Table17[[#This Row],[Index]]-B154)/B154</f>
        <v>1.9494494864478751E-3</v>
      </c>
    </row>
    <row r="167" spans="1:4" x14ac:dyDescent="0.35">
      <c r="A167" s="17">
        <v>31168</v>
      </c>
      <c r="B167" s="58">
        <f>VLOOKUP(Table17[[#This Row],[Date]],database!A:H,7,)</f>
        <v>47.4801</v>
      </c>
      <c r="C167" s="66">
        <f t="shared" si="2"/>
        <v>8.6637576677417449E-4</v>
      </c>
      <c r="D167" s="66">
        <f>(Table17[[#This Row],[Index]]-B155)/B155</f>
        <v>-4.5891947420280904E-3</v>
      </c>
    </row>
    <row r="168" spans="1:4" x14ac:dyDescent="0.35">
      <c r="A168" s="17">
        <v>31199</v>
      </c>
      <c r="B168" s="58">
        <f>VLOOKUP(Table17[[#This Row],[Date]],database!A:H,7,)</f>
        <v>47.336799999999997</v>
      </c>
      <c r="C168" s="66">
        <f t="shared" si="2"/>
        <v>-3.0181065330529E-3</v>
      </c>
      <c r="D168" s="66">
        <f>(Table17[[#This Row],[Index]]-B156)/B156</f>
        <v>-9.7380251577854158E-3</v>
      </c>
    </row>
    <row r="169" spans="1:4" x14ac:dyDescent="0.35">
      <c r="A169" s="17">
        <v>31229</v>
      </c>
      <c r="B169" s="58">
        <f>VLOOKUP(Table17[[#This Row],[Date]],database!A:H,7,)</f>
        <v>47.055500000000002</v>
      </c>
      <c r="C169" s="66">
        <f t="shared" si="2"/>
        <v>-5.9425225194773557E-3</v>
      </c>
      <c r="D169" s="66">
        <f>(Table17[[#This Row],[Index]]-B157)/B157</f>
        <v>-1.8525895998848602E-2</v>
      </c>
    </row>
    <row r="170" spans="1:4" x14ac:dyDescent="0.35">
      <c r="A170" s="17">
        <v>31260</v>
      </c>
      <c r="B170" s="58">
        <f>VLOOKUP(Table17[[#This Row],[Date]],database!A:H,7,)</f>
        <v>47.124899999999997</v>
      </c>
      <c r="C170" s="66">
        <f t="shared" si="2"/>
        <v>1.474854161575001E-3</v>
      </c>
      <c r="D170" s="66">
        <f>(Table17[[#This Row],[Index]]-B158)/B158</f>
        <v>-1.6586080463775903E-2</v>
      </c>
    </row>
    <row r="171" spans="1:4" x14ac:dyDescent="0.35">
      <c r="A171" s="17">
        <v>31291</v>
      </c>
      <c r="B171" s="58">
        <f>VLOOKUP(Table17[[#This Row],[Date]],database!A:H,7,)</f>
        <v>47.3626</v>
      </c>
      <c r="C171" s="66">
        <f t="shared" si="2"/>
        <v>5.0440425337774375E-3</v>
      </c>
      <c r="D171" s="66">
        <f>(Table17[[#This Row],[Index]]-B159)/B159</f>
        <v>-6.3276001695192728E-3</v>
      </c>
    </row>
    <row r="172" spans="1:4" x14ac:dyDescent="0.35">
      <c r="A172" s="17">
        <v>31321</v>
      </c>
      <c r="B172" s="58">
        <f>VLOOKUP(Table17[[#This Row],[Date]],database!A:H,7,)</f>
        <v>47.086399999999998</v>
      </c>
      <c r="C172" s="66">
        <f t="shared" si="2"/>
        <v>-5.8316055284127755E-3</v>
      </c>
      <c r="D172" s="66">
        <f>(Table17[[#This Row],[Index]]-B160)/B160</f>
        <v>-4.0547314718655022E-3</v>
      </c>
    </row>
    <row r="173" spans="1:4" x14ac:dyDescent="0.35">
      <c r="A173" s="17">
        <v>31352</v>
      </c>
      <c r="B173" s="58">
        <f>VLOOKUP(Table17[[#This Row],[Date]],database!A:H,7,)</f>
        <v>47.144399999999997</v>
      </c>
      <c r="C173" s="66">
        <f t="shared" si="2"/>
        <v>1.2317781779875858E-3</v>
      </c>
      <c r="D173" s="66">
        <f>(Table17[[#This Row],[Index]]-B161)/B161</f>
        <v>-6.0738944816317933E-3</v>
      </c>
    </row>
    <row r="174" spans="1:4" x14ac:dyDescent="0.35">
      <c r="A174" s="17">
        <v>31382</v>
      </c>
      <c r="B174" s="58">
        <f>VLOOKUP(Table17[[#This Row],[Date]],database!A:H,7,)</f>
        <v>47.815199999999997</v>
      </c>
      <c r="C174" s="66">
        <f t="shared" si="2"/>
        <v>1.422862524499191E-2</v>
      </c>
      <c r="D174" s="66">
        <f>(Table17[[#This Row],[Index]]-B162)/B162</f>
        <v>1.1082423542696134E-2</v>
      </c>
    </row>
    <row r="175" spans="1:4" x14ac:dyDescent="0.35">
      <c r="A175" s="17">
        <v>31413</v>
      </c>
      <c r="B175" s="58">
        <f>VLOOKUP(Table17[[#This Row],[Date]],database!A:H,7,)</f>
        <v>47.884999999999998</v>
      </c>
      <c r="C175" s="66">
        <f t="shared" si="2"/>
        <v>1.4597868460237695E-3</v>
      </c>
      <c r="D175" s="66">
        <f>(Table17[[#This Row],[Index]]-B163)/B163</f>
        <v>9.5420008264392436E-3</v>
      </c>
    </row>
    <row r="176" spans="1:4" x14ac:dyDescent="0.35">
      <c r="A176" s="17">
        <v>31444</v>
      </c>
      <c r="B176" s="58">
        <f>VLOOKUP(Table17[[#This Row],[Date]],database!A:H,7,)</f>
        <v>47.702199999999998</v>
      </c>
      <c r="C176" s="66">
        <f t="shared" si="2"/>
        <v>-3.8174793776757365E-3</v>
      </c>
      <c r="D176" s="66">
        <f>(Table17[[#This Row],[Index]]-B164)/B164</f>
        <v>3.1206759501868453E-3</v>
      </c>
    </row>
    <row r="177" spans="1:4" x14ac:dyDescent="0.35">
      <c r="A177" s="17">
        <v>31472</v>
      </c>
      <c r="B177" s="58">
        <f>VLOOKUP(Table17[[#This Row],[Date]],database!A:H,7,)</f>
        <v>47.156399999999998</v>
      </c>
      <c r="C177" s="66">
        <f t="shared" si="2"/>
        <v>-1.1441820293403682E-2</v>
      </c>
      <c r="D177" s="66">
        <f>(Table17[[#This Row],[Index]]-B165)/B165</f>
        <v>-6.3781234789534891E-3</v>
      </c>
    </row>
    <row r="178" spans="1:4" x14ac:dyDescent="0.35">
      <c r="A178" s="17">
        <v>31503</v>
      </c>
      <c r="B178" s="58">
        <f>VLOOKUP(Table17[[#This Row],[Date]],database!A:H,7,)</f>
        <v>47.084800000000001</v>
      </c>
      <c r="C178" s="66">
        <f t="shared" si="2"/>
        <v>-1.5183516977546052E-3</v>
      </c>
      <c r="D178" s="66">
        <f>(Table17[[#This Row],[Index]]-B166)/B166</f>
        <v>-7.4664305740002688E-3</v>
      </c>
    </row>
    <row r="179" spans="1:4" x14ac:dyDescent="0.35">
      <c r="A179" s="17">
        <v>31533</v>
      </c>
      <c r="B179" s="58">
        <f>VLOOKUP(Table17[[#This Row],[Date]],database!A:H,7,)</f>
        <v>47.092799999999997</v>
      </c>
      <c r="C179" s="66">
        <f t="shared" si="2"/>
        <v>1.6990621177104259E-4</v>
      </c>
      <c r="D179" s="66">
        <f>(Table17[[#This Row],[Index]]-B167)/B167</f>
        <v>-8.1571016067784885E-3</v>
      </c>
    </row>
    <row r="180" spans="1:4" x14ac:dyDescent="0.35">
      <c r="A180" s="17">
        <v>31564</v>
      </c>
      <c r="B180" s="58">
        <f>VLOOKUP(Table17[[#This Row],[Date]],database!A:H,7,)</f>
        <v>46.843000000000004</v>
      </c>
      <c r="C180" s="66">
        <f t="shared" si="2"/>
        <v>-5.3044202086092174E-3</v>
      </c>
      <c r="D180" s="66">
        <f>(Table17[[#This Row],[Index]]-B168)/B168</f>
        <v>-1.0431630359466487E-2</v>
      </c>
    </row>
    <row r="181" spans="1:4" x14ac:dyDescent="0.35">
      <c r="A181" s="17">
        <v>31594</v>
      </c>
      <c r="B181" s="58">
        <f>VLOOKUP(Table17[[#This Row],[Date]],database!A:H,7,)</f>
        <v>47.1706</v>
      </c>
      <c r="C181" s="66">
        <f t="shared" si="2"/>
        <v>6.99357428004177E-3</v>
      </c>
      <c r="D181" s="66">
        <f>(Table17[[#This Row],[Index]]-B169)/B169</f>
        <v>2.4460477521224553E-3</v>
      </c>
    </row>
    <row r="182" spans="1:4" x14ac:dyDescent="0.35">
      <c r="A182" s="17">
        <v>31625</v>
      </c>
      <c r="B182" s="58">
        <f>VLOOKUP(Table17[[#This Row],[Date]],database!A:H,7,)</f>
        <v>46.974899999999998</v>
      </c>
      <c r="C182" s="66">
        <f t="shared" si="2"/>
        <v>-4.1487706325550322E-3</v>
      </c>
      <c r="D182" s="66">
        <f>(Table17[[#This Row],[Index]]-B170)/B170</f>
        <v>-3.1830306271206643E-3</v>
      </c>
    </row>
    <row r="183" spans="1:4" x14ac:dyDescent="0.35">
      <c r="A183" s="17">
        <v>31656</v>
      </c>
      <c r="B183" s="58">
        <f>VLOOKUP(Table17[[#This Row],[Date]],database!A:H,7,)</f>
        <v>47.156799999999997</v>
      </c>
      <c r="C183" s="66">
        <f t="shared" si="2"/>
        <v>3.8722807286444283E-3</v>
      </c>
      <c r="D183" s="66">
        <f>(Table17[[#This Row],[Index]]-B171)/B171</f>
        <v>-4.3452006435458256E-3</v>
      </c>
    </row>
    <row r="184" spans="1:4" x14ac:dyDescent="0.35">
      <c r="A184" s="17">
        <v>31686</v>
      </c>
      <c r="B184" s="58">
        <f>VLOOKUP(Table17[[#This Row],[Date]],database!A:H,7,)</f>
        <v>47.431399999999996</v>
      </c>
      <c r="C184" s="66">
        <f t="shared" si="2"/>
        <v>5.8231262511450055E-3</v>
      </c>
      <c r="D184" s="66">
        <f>(Table17[[#This Row],[Index]]-B172)/B172</f>
        <v>7.3269564035474974E-3</v>
      </c>
    </row>
    <row r="185" spans="1:4" x14ac:dyDescent="0.35">
      <c r="A185" s="17">
        <v>31717</v>
      </c>
      <c r="B185" s="58">
        <f>VLOOKUP(Table17[[#This Row],[Date]],database!A:H,7,)</f>
        <v>47.631799999999998</v>
      </c>
      <c r="C185" s="66">
        <f t="shared" si="2"/>
        <v>4.2250492289916952E-3</v>
      </c>
      <c r="D185" s="66">
        <f>(Table17[[#This Row],[Index]]-B173)/B173</f>
        <v>1.033844952953057E-2</v>
      </c>
    </row>
    <row r="186" spans="1:4" x14ac:dyDescent="0.35">
      <c r="A186" s="17">
        <v>31747</v>
      </c>
      <c r="B186" s="58">
        <f>VLOOKUP(Table17[[#This Row],[Date]],database!A:H,7,)</f>
        <v>48.039200000000001</v>
      </c>
      <c r="C186" s="66">
        <f t="shared" si="2"/>
        <v>8.5531094772819394E-3</v>
      </c>
      <c r="D186" s="66">
        <f>(Table17[[#This Row],[Index]]-B174)/B174</f>
        <v>4.6847027723402549E-3</v>
      </c>
    </row>
    <row r="187" spans="1:4" x14ac:dyDescent="0.35">
      <c r="A187" s="17">
        <v>31778</v>
      </c>
      <c r="B187" s="58">
        <f>VLOOKUP(Table17[[#This Row],[Date]],database!A:H,7,)</f>
        <v>47.943199999999997</v>
      </c>
      <c r="C187" s="66">
        <f t="shared" si="2"/>
        <v>-1.9983679994671766E-3</v>
      </c>
      <c r="D187" s="66">
        <f>(Table17[[#This Row],[Index]]-B175)/B175</f>
        <v>1.2154119244022004E-3</v>
      </c>
    </row>
    <row r="188" spans="1:4" x14ac:dyDescent="0.35">
      <c r="A188" s="17">
        <v>31809</v>
      </c>
      <c r="B188" s="58">
        <f>VLOOKUP(Table17[[#This Row],[Date]],database!A:H,7,)</f>
        <v>48.537100000000002</v>
      </c>
      <c r="C188" s="66">
        <f t="shared" si="2"/>
        <v>1.2387575297435394E-2</v>
      </c>
      <c r="D188" s="66">
        <f>(Table17[[#This Row],[Index]]-B176)/B176</f>
        <v>1.7502337418400089E-2</v>
      </c>
    </row>
    <row r="189" spans="1:4" x14ac:dyDescent="0.35">
      <c r="A189" s="17">
        <v>31837</v>
      </c>
      <c r="B189" s="58">
        <f>VLOOKUP(Table17[[#This Row],[Date]],database!A:H,7,)</f>
        <v>48.598799999999997</v>
      </c>
      <c r="C189" s="66">
        <f t="shared" si="2"/>
        <v>1.2711925516768474E-3</v>
      </c>
      <c r="D189" s="66">
        <f>(Table17[[#This Row],[Index]]-B177)/B177</f>
        <v>3.0587576659795897E-2</v>
      </c>
    </row>
    <row r="190" spans="1:4" x14ac:dyDescent="0.35">
      <c r="A190" s="17">
        <v>31868</v>
      </c>
      <c r="B190" s="58">
        <f>VLOOKUP(Table17[[#This Row],[Date]],database!A:H,7,)</f>
        <v>49.075800000000001</v>
      </c>
      <c r="C190" s="66">
        <f t="shared" si="2"/>
        <v>9.8150571619053384E-3</v>
      </c>
      <c r="D190" s="66">
        <f>(Table17[[#This Row],[Index]]-B178)/B178</f>
        <v>4.2285408454533088E-2</v>
      </c>
    </row>
    <row r="191" spans="1:4" x14ac:dyDescent="0.35">
      <c r="A191" s="17">
        <v>31898</v>
      </c>
      <c r="B191" s="58">
        <f>VLOOKUP(Table17[[#This Row],[Date]],database!A:H,7,)</f>
        <v>49.283700000000003</v>
      </c>
      <c r="C191" s="66">
        <f t="shared" si="2"/>
        <v>4.2363038401820319E-3</v>
      </c>
      <c r="D191" s="66">
        <f>(Table17[[#This Row],[Index]]-B179)/B179</f>
        <v>4.6523035368464104E-2</v>
      </c>
    </row>
    <row r="192" spans="1:4" x14ac:dyDescent="0.35">
      <c r="A192" s="17">
        <v>31929</v>
      </c>
      <c r="B192" s="58">
        <f>VLOOKUP(Table17[[#This Row],[Date]],database!A:H,7,)</f>
        <v>49.654200000000003</v>
      </c>
      <c r="C192" s="66">
        <f t="shared" si="2"/>
        <v>7.5176985494189719E-3</v>
      </c>
      <c r="D192" s="66">
        <f>(Table17[[#This Row],[Index]]-B180)/B180</f>
        <v>6.0013235702239383E-2</v>
      </c>
    </row>
    <row r="193" spans="1:4" x14ac:dyDescent="0.35">
      <c r="A193" s="17">
        <v>31959</v>
      </c>
      <c r="B193" s="58">
        <f>VLOOKUP(Table17[[#This Row],[Date]],database!A:H,7,)</f>
        <v>49.982999999999997</v>
      </c>
      <c r="C193" s="66">
        <f t="shared" si="2"/>
        <v>6.6217963435115657E-3</v>
      </c>
      <c r="D193" s="66">
        <f>(Table17[[#This Row],[Index]]-B181)/B181</f>
        <v>5.9621883122114125E-2</v>
      </c>
    </row>
    <row r="194" spans="1:4" x14ac:dyDescent="0.35">
      <c r="A194" s="17">
        <v>31990</v>
      </c>
      <c r="B194" s="58">
        <f>VLOOKUP(Table17[[#This Row],[Date]],database!A:H,7,)</f>
        <v>50.365699999999997</v>
      </c>
      <c r="C194" s="66">
        <f t="shared" si="2"/>
        <v>7.6566032451033106E-3</v>
      </c>
      <c r="D194" s="66">
        <f>(Table17[[#This Row],[Index]]-B182)/B182</f>
        <v>7.2183229767386392E-2</v>
      </c>
    </row>
    <row r="195" spans="1:4" x14ac:dyDescent="0.35">
      <c r="A195" s="17">
        <v>32021</v>
      </c>
      <c r="B195" s="58">
        <f>VLOOKUP(Table17[[#This Row],[Date]],database!A:H,7,)</f>
        <v>50.573799999999999</v>
      </c>
      <c r="C195" s="66">
        <f t="shared" si="2"/>
        <v>4.1317801599105586E-3</v>
      </c>
      <c r="D195" s="66">
        <f>(Table17[[#This Row],[Index]]-B183)/B183</f>
        <v>7.2460387473280666E-2</v>
      </c>
    </row>
    <row r="196" spans="1:4" x14ac:dyDescent="0.35">
      <c r="A196" s="17">
        <v>32051</v>
      </c>
      <c r="B196" s="58">
        <f>VLOOKUP(Table17[[#This Row],[Date]],database!A:H,7,)</f>
        <v>51.217799999999997</v>
      </c>
      <c r="C196" s="66">
        <f t="shared" si="2"/>
        <v>1.2733866152039086E-2</v>
      </c>
      <c r="D196" s="66">
        <f>(Table17[[#This Row],[Index]]-B184)/B184</f>
        <v>7.9828974055161789E-2</v>
      </c>
    </row>
    <row r="197" spans="1:4" x14ac:dyDescent="0.35">
      <c r="A197" s="17">
        <v>32082</v>
      </c>
      <c r="B197" s="58">
        <f>VLOOKUP(Table17[[#This Row],[Date]],database!A:H,7,)</f>
        <v>51.695</v>
      </c>
      <c r="C197" s="66">
        <f t="shared" si="2"/>
        <v>9.3170733612142342E-3</v>
      </c>
      <c r="D197" s="66">
        <f>(Table17[[#This Row],[Index]]-B185)/B185</f>
        <v>8.5304355493598855E-2</v>
      </c>
    </row>
    <row r="198" spans="1:4" x14ac:dyDescent="0.35">
      <c r="A198" s="17">
        <v>32112</v>
      </c>
      <c r="B198" s="58">
        <f>VLOOKUP(Table17[[#This Row],[Date]],database!A:H,7,)</f>
        <v>51.999099999999999</v>
      </c>
      <c r="C198" s="66">
        <f t="shared" si="2"/>
        <v>5.8825805203597259E-3</v>
      </c>
      <c r="D198" s="66">
        <f>(Table17[[#This Row],[Index]]-B186)/B186</f>
        <v>8.2430598344685121E-2</v>
      </c>
    </row>
    <row r="199" spans="1:4" x14ac:dyDescent="0.35">
      <c r="A199" s="17">
        <v>32143</v>
      </c>
      <c r="B199" s="58">
        <f>VLOOKUP(Table17[[#This Row],[Date]],database!A:H,7,)</f>
        <v>51.816400000000002</v>
      </c>
      <c r="C199" s="66">
        <f t="shared" si="2"/>
        <v>-3.5135223494252577E-3</v>
      </c>
      <c r="D199" s="66">
        <f>(Table17[[#This Row],[Index]]-B187)/B187</f>
        <v>8.0787264930167454E-2</v>
      </c>
    </row>
    <row r="200" spans="1:4" x14ac:dyDescent="0.35">
      <c r="A200" s="17">
        <v>32174</v>
      </c>
      <c r="B200" s="58">
        <f>VLOOKUP(Table17[[#This Row],[Date]],database!A:H,7,)</f>
        <v>52.065199999999997</v>
      </c>
      <c r="C200" s="66">
        <f t="shared" ref="C200:C263" si="3">B200/B199-1</f>
        <v>4.8015686153417558E-3</v>
      </c>
      <c r="D200" s="66">
        <f>(Table17[[#This Row],[Index]]-B188)/B188</f>
        <v>7.2688726767771356E-2</v>
      </c>
    </row>
    <row r="201" spans="1:4" x14ac:dyDescent="0.35">
      <c r="A201" s="17">
        <v>32203</v>
      </c>
      <c r="B201" s="58">
        <f>VLOOKUP(Table17[[#This Row],[Date]],database!A:H,7,)</f>
        <v>52.240299999999998</v>
      </c>
      <c r="C201" s="66">
        <f t="shared" si="3"/>
        <v>3.3630908937256621E-3</v>
      </c>
      <c r="D201" s="66">
        <f>(Table17[[#This Row],[Index]]-B189)/B189</f>
        <v>7.4929833658444259E-2</v>
      </c>
    </row>
    <row r="202" spans="1:4" x14ac:dyDescent="0.35">
      <c r="A202" s="17">
        <v>32234</v>
      </c>
      <c r="B202" s="58">
        <f>VLOOKUP(Table17[[#This Row],[Date]],database!A:H,7,)</f>
        <v>52.569200000000002</v>
      </c>
      <c r="C202" s="66">
        <f t="shared" si="3"/>
        <v>6.2959056513842704E-3</v>
      </c>
      <c r="D202" s="66">
        <f>(Table17[[#This Row],[Index]]-B190)/B190</f>
        <v>7.118376063151291E-2</v>
      </c>
    </row>
    <row r="203" spans="1:4" x14ac:dyDescent="0.35">
      <c r="A203" s="17">
        <v>32264</v>
      </c>
      <c r="B203" s="58">
        <f>VLOOKUP(Table17[[#This Row],[Date]],database!A:H,7,)</f>
        <v>52.547199999999997</v>
      </c>
      <c r="C203" s="66">
        <f t="shared" si="3"/>
        <v>-4.1849600146104393E-4</v>
      </c>
      <c r="D203" s="66">
        <f>(Table17[[#This Row],[Index]]-B191)/B191</f>
        <v>6.621864835635298E-2</v>
      </c>
    </row>
    <row r="204" spans="1:4" x14ac:dyDescent="0.35">
      <c r="A204" s="17">
        <v>32295</v>
      </c>
      <c r="B204" s="58">
        <f>VLOOKUP(Table17[[#This Row],[Date]],database!A:H,7,)</f>
        <v>52.775700000000001</v>
      </c>
      <c r="C204" s="66">
        <f t="shared" si="3"/>
        <v>4.3484714694599358E-3</v>
      </c>
      <c r="D204" s="66">
        <f>(Table17[[#This Row],[Index]]-B192)/B192</f>
        <v>6.2864772768466665E-2</v>
      </c>
    </row>
    <row r="205" spans="1:4" x14ac:dyDescent="0.35">
      <c r="A205" s="17">
        <v>32325</v>
      </c>
      <c r="B205" s="58">
        <f>VLOOKUP(Table17[[#This Row],[Date]],database!A:H,7,)</f>
        <v>52.843699999999998</v>
      </c>
      <c r="C205" s="66">
        <f t="shared" si="3"/>
        <v>1.2884717777310595E-3</v>
      </c>
      <c r="D205" s="66">
        <f>(Table17[[#This Row],[Index]]-B193)/B193</f>
        <v>5.7233459376187935E-2</v>
      </c>
    </row>
    <row r="206" spans="1:4" x14ac:dyDescent="0.35">
      <c r="A206" s="17">
        <v>32356</v>
      </c>
      <c r="B206" s="58">
        <f>VLOOKUP(Table17[[#This Row],[Date]],database!A:H,7,)</f>
        <v>53.127800000000001</v>
      </c>
      <c r="C206" s="66">
        <f t="shared" si="3"/>
        <v>5.3762321714794226E-3</v>
      </c>
      <c r="D206" s="66">
        <f>(Table17[[#This Row],[Index]]-B194)/B194</f>
        <v>5.4840893703453027E-2</v>
      </c>
    </row>
    <row r="207" spans="1:4" x14ac:dyDescent="0.35">
      <c r="A207" s="17">
        <v>32387</v>
      </c>
      <c r="B207" s="58">
        <f>VLOOKUP(Table17[[#This Row],[Date]],database!A:H,7,)</f>
        <v>52.8795</v>
      </c>
      <c r="C207" s="66">
        <f t="shared" si="3"/>
        <v>-4.6736360248307296E-3</v>
      </c>
      <c r="D207" s="66">
        <f>(Table17[[#This Row],[Index]]-B195)/B195</f>
        <v>4.5590799979436027E-2</v>
      </c>
    </row>
    <row r="208" spans="1:4" x14ac:dyDescent="0.35">
      <c r="A208" s="17">
        <v>32417</v>
      </c>
      <c r="B208" s="58">
        <f>VLOOKUP(Table17[[#This Row],[Date]],database!A:H,7,)</f>
        <v>52.9998</v>
      </c>
      <c r="C208" s="66">
        <f t="shared" si="3"/>
        <v>2.2749836893314335E-3</v>
      </c>
      <c r="D208" s="66">
        <f>(Table17[[#This Row],[Index]]-B196)/B196</f>
        <v>3.4792591638063398E-2</v>
      </c>
    </row>
    <row r="209" spans="1:4" x14ac:dyDescent="0.35">
      <c r="A209" s="17">
        <v>32448</v>
      </c>
      <c r="B209" s="58">
        <f>VLOOKUP(Table17[[#This Row],[Date]],database!A:H,7,)</f>
        <v>53.174199999999999</v>
      </c>
      <c r="C209" s="66">
        <f t="shared" si="3"/>
        <v>3.2905784550130157E-3</v>
      </c>
      <c r="D209" s="66">
        <f>(Table17[[#This Row],[Index]]-B197)/B197</f>
        <v>2.861398587871165E-2</v>
      </c>
    </row>
    <row r="210" spans="1:4" x14ac:dyDescent="0.35">
      <c r="A210" s="17">
        <v>32478</v>
      </c>
      <c r="B210" s="58">
        <f>VLOOKUP(Table17[[#This Row],[Date]],database!A:H,7,)</f>
        <v>53.428100000000001</v>
      </c>
      <c r="C210" s="66">
        <f t="shared" si="3"/>
        <v>4.7748720244027432E-3</v>
      </c>
      <c r="D210" s="66">
        <f>(Table17[[#This Row],[Index]]-B198)/B198</f>
        <v>2.7481244867699674E-2</v>
      </c>
    </row>
    <row r="211" spans="1:4" x14ac:dyDescent="0.35">
      <c r="A211" s="17">
        <v>32509</v>
      </c>
      <c r="B211" s="58">
        <f>VLOOKUP(Table17[[#This Row],[Date]],database!A:H,7,)</f>
        <v>53.578800000000001</v>
      </c>
      <c r="C211" s="66">
        <f t="shared" si="3"/>
        <v>2.8206131230570364E-3</v>
      </c>
      <c r="D211" s="66">
        <f>(Table17[[#This Row],[Index]]-B199)/B199</f>
        <v>3.4012397619286545E-2</v>
      </c>
    </row>
    <row r="212" spans="1:4" x14ac:dyDescent="0.35">
      <c r="A212" s="17">
        <v>32540</v>
      </c>
      <c r="B212" s="58">
        <f>VLOOKUP(Table17[[#This Row],[Date]],database!A:H,7,)</f>
        <v>53.207500000000003</v>
      </c>
      <c r="C212" s="66">
        <f t="shared" si="3"/>
        <v>-6.929979768117156E-3</v>
      </c>
      <c r="D212" s="66">
        <f>(Table17[[#This Row],[Index]]-B200)/B200</f>
        <v>2.1939798560266857E-2</v>
      </c>
    </row>
    <row r="213" spans="1:4" x14ac:dyDescent="0.35">
      <c r="A213" s="17">
        <v>32568</v>
      </c>
      <c r="B213" s="58">
        <f>VLOOKUP(Table17[[#This Row],[Date]],database!A:H,7,)</f>
        <v>53.418900000000001</v>
      </c>
      <c r="C213" s="66">
        <f t="shared" si="3"/>
        <v>3.973124089649005E-3</v>
      </c>
      <c r="D213" s="66">
        <f>(Table17[[#This Row],[Index]]-B201)/B201</f>
        <v>2.2561126180362729E-2</v>
      </c>
    </row>
    <row r="214" spans="1:4" x14ac:dyDescent="0.35">
      <c r="A214" s="17">
        <v>32599</v>
      </c>
      <c r="B214" s="58">
        <f>VLOOKUP(Table17[[#This Row],[Date]],database!A:H,7,)</f>
        <v>53.305199999999999</v>
      </c>
      <c r="C214" s="66">
        <f t="shared" si="3"/>
        <v>-2.1284601517440604E-3</v>
      </c>
      <c r="D214" s="66">
        <f>(Table17[[#This Row],[Index]]-B202)/B202</f>
        <v>1.4000593503420198E-2</v>
      </c>
    </row>
    <row r="215" spans="1:4" x14ac:dyDescent="0.35">
      <c r="A215" s="17">
        <v>32629</v>
      </c>
      <c r="B215" s="58">
        <f>VLOOKUP(Table17[[#This Row],[Date]],database!A:H,7,)</f>
        <v>53.155200000000001</v>
      </c>
      <c r="C215" s="66">
        <f t="shared" si="3"/>
        <v>-2.8139843767587269E-3</v>
      </c>
      <c r="D215" s="66">
        <f>(Table17[[#This Row],[Index]]-B203)/B203</f>
        <v>1.1570549905608751E-2</v>
      </c>
    </row>
    <row r="216" spans="1:4" x14ac:dyDescent="0.35">
      <c r="A216" s="17">
        <v>32660</v>
      </c>
      <c r="B216" s="58">
        <f>VLOOKUP(Table17[[#This Row],[Date]],database!A:H,7,)</f>
        <v>52.916499999999999</v>
      </c>
      <c r="C216" s="66">
        <f t="shared" si="3"/>
        <v>-4.4906236831016022E-3</v>
      </c>
      <c r="D216" s="66">
        <f>(Table17[[#This Row],[Index]]-B204)/B204</f>
        <v>2.6678945044783624E-3</v>
      </c>
    </row>
    <row r="217" spans="1:4" x14ac:dyDescent="0.35">
      <c r="A217" s="17">
        <v>32690</v>
      </c>
      <c r="B217" s="58">
        <f>VLOOKUP(Table17[[#This Row],[Date]],database!A:H,7,)</f>
        <v>52.7027</v>
      </c>
      <c r="C217" s="66">
        <f t="shared" si="3"/>
        <v>-4.0403276860714321E-3</v>
      </c>
      <c r="D217" s="66">
        <f>(Table17[[#This Row],[Index]]-B205)/B205</f>
        <v>-2.6682461674712075E-3</v>
      </c>
    </row>
    <row r="218" spans="1:4" x14ac:dyDescent="0.35">
      <c r="A218" s="17">
        <v>32721</v>
      </c>
      <c r="B218" s="58">
        <f>VLOOKUP(Table17[[#This Row],[Date]],database!A:H,7,)</f>
        <v>53.058900000000001</v>
      </c>
      <c r="C218" s="66">
        <f t="shared" si="3"/>
        <v>6.7586670132651072E-3</v>
      </c>
      <c r="D218" s="66">
        <f>(Table17[[#This Row],[Index]]-B206)/B206</f>
        <v>-1.2968728236441053E-3</v>
      </c>
    </row>
    <row r="219" spans="1:4" x14ac:dyDescent="0.35">
      <c r="A219" s="17">
        <v>32752</v>
      </c>
      <c r="B219" s="58">
        <f>VLOOKUP(Table17[[#This Row],[Date]],database!A:H,7,)</f>
        <v>52.822699999999998</v>
      </c>
      <c r="C219" s="66">
        <f t="shared" si="3"/>
        <v>-4.4516565552622511E-3</v>
      </c>
      <c r="D219" s="66">
        <f>(Table17[[#This Row],[Index]]-B207)/B207</f>
        <v>-1.0741402622945115E-3</v>
      </c>
    </row>
    <row r="220" spans="1:4" x14ac:dyDescent="0.35">
      <c r="A220" s="17">
        <v>32782</v>
      </c>
      <c r="B220" s="58">
        <f>VLOOKUP(Table17[[#This Row],[Date]],database!A:H,7,)</f>
        <v>52.920999999999999</v>
      </c>
      <c r="C220" s="66">
        <f t="shared" si="3"/>
        <v>1.860942360008222E-3</v>
      </c>
      <c r="D220" s="66">
        <f>(Table17[[#This Row],[Index]]-B208)/B208</f>
        <v>-1.486798063388939E-3</v>
      </c>
    </row>
    <row r="221" spans="1:4" x14ac:dyDescent="0.35">
      <c r="A221" s="17">
        <v>32813</v>
      </c>
      <c r="B221" s="58">
        <f>VLOOKUP(Table17[[#This Row],[Date]],database!A:H,7,)</f>
        <v>53.071300000000001</v>
      </c>
      <c r="C221" s="66">
        <f t="shared" si="3"/>
        <v>2.8400823869541014E-3</v>
      </c>
      <c r="D221" s="66">
        <f>(Table17[[#This Row],[Index]]-B209)/B209</f>
        <v>-1.9351490008311966E-3</v>
      </c>
    </row>
    <row r="222" spans="1:4" x14ac:dyDescent="0.35">
      <c r="A222" s="17">
        <v>32843</v>
      </c>
      <c r="B222" s="58">
        <f>VLOOKUP(Table17[[#This Row],[Date]],database!A:H,7,)</f>
        <v>53.005899999999997</v>
      </c>
      <c r="C222" s="66">
        <f t="shared" si="3"/>
        <v>-1.2323044658789639E-3</v>
      </c>
      <c r="D222" s="66">
        <f>(Table17[[#This Row],[Index]]-B210)/B210</f>
        <v>-7.9022087628046606E-3</v>
      </c>
    </row>
    <row r="223" spans="1:4" x14ac:dyDescent="0.35">
      <c r="A223" s="17">
        <v>32874</v>
      </c>
      <c r="B223" s="58">
        <f>VLOOKUP(Table17[[#This Row],[Date]],database!A:H,7,)</f>
        <v>52.902700000000003</v>
      </c>
      <c r="C223" s="66">
        <f t="shared" si="3"/>
        <v>-1.9469530750348962E-3</v>
      </c>
      <c r="D223" s="66">
        <f>(Table17[[#This Row],[Index]]-B211)/B211</f>
        <v>-1.2618796986867905E-2</v>
      </c>
    </row>
    <row r="224" spans="1:4" x14ac:dyDescent="0.35">
      <c r="A224" s="17">
        <v>32905</v>
      </c>
      <c r="B224" s="58">
        <f>VLOOKUP(Table17[[#This Row],[Date]],database!A:H,7,)</f>
        <v>53.391100000000002</v>
      </c>
      <c r="C224" s="66">
        <f t="shared" si="3"/>
        <v>9.2320429770125223E-3</v>
      </c>
      <c r="D224" s="66">
        <f>(Table17[[#This Row],[Index]]-B212)/B212</f>
        <v>3.4506413569515277E-3</v>
      </c>
    </row>
    <row r="225" spans="1:4" x14ac:dyDescent="0.35">
      <c r="A225" s="17">
        <v>32933</v>
      </c>
      <c r="B225" s="58">
        <f>VLOOKUP(Table17[[#This Row],[Date]],database!A:H,7,)</f>
        <v>53.4818</v>
      </c>
      <c r="C225" s="66">
        <f t="shared" si="3"/>
        <v>1.6987850034930752E-3</v>
      </c>
      <c r="D225" s="66">
        <f>(Table17[[#This Row],[Index]]-B213)/B213</f>
        <v>1.1774858711055276E-3</v>
      </c>
    </row>
    <row r="226" spans="1:4" x14ac:dyDescent="0.35">
      <c r="A226" s="17">
        <v>32964</v>
      </c>
      <c r="B226" s="58">
        <f>VLOOKUP(Table17[[#This Row],[Date]],database!A:H,7,)</f>
        <v>53.5152</v>
      </c>
      <c r="C226" s="66">
        <f t="shared" si="3"/>
        <v>6.2451151606723876E-4</v>
      </c>
      <c r="D226" s="66">
        <f>(Table17[[#This Row],[Index]]-B214)/B214</f>
        <v>3.9395781274622526E-3</v>
      </c>
    </row>
    <row r="227" spans="1:4" x14ac:dyDescent="0.35">
      <c r="A227" s="17">
        <v>32994</v>
      </c>
      <c r="B227" s="58">
        <f>VLOOKUP(Table17[[#This Row],[Date]],database!A:H,7,)</f>
        <v>53.663800000000002</v>
      </c>
      <c r="C227" s="66">
        <f t="shared" si="3"/>
        <v>2.7767811761891803E-3</v>
      </c>
      <c r="D227" s="66">
        <f>(Table17[[#This Row],[Index]]-B215)/B215</f>
        <v>9.568207814099115E-3</v>
      </c>
    </row>
    <row r="228" spans="1:4" x14ac:dyDescent="0.35">
      <c r="A228" s="17">
        <v>33025</v>
      </c>
      <c r="B228" s="58">
        <f>VLOOKUP(Table17[[#This Row],[Date]],database!A:H,7,)</f>
        <v>53.734400000000001</v>
      </c>
      <c r="C228" s="66">
        <f t="shared" si="3"/>
        <v>1.3155982245014464E-3</v>
      </c>
      <c r="D228" s="66">
        <f>(Table17[[#This Row],[Index]]-B216)/B216</f>
        <v>1.5456426634414627E-2</v>
      </c>
    </row>
    <row r="229" spans="1:4" x14ac:dyDescent="0.35">
      <c r="A229" s="17">
        <v>33055</v>
      </c>
      <c r="B229" s="58">
        <f>VLOOKUP(Table17[[#This Row],[Date]],database!A:H,7,)</f>
        <v>53.744599999999998</v>
      </c>
      <c r="C229" s="66">
        <f t="shared" si="3"/>
        <v>1.8982253454025155E-4</v>
      </c>
      <c r="D229" s="66">
        <f>(Table17[[#This Row],[Index]]-B217)/B217</f>
        <v>1.9769385629199231E-2</v>
      </c>
    </row>
    <row r="230" spans="1:4" x14ac:dyDescent="0.35">
      <c r="A230" s="17">
        <v>33086</v>
      </c>
      <c r="B230" s="58">
        <f>VLOOKUP(Table17[[#This Row],[Date]],database!A:H,7,)</f>
        <v>54.065100000000001</v>
      </c>
      <c r="C230" s="66">
        <f t="shared" si="3"/>
        <v>5.9633898103250704E-3</v>
      </c>
      <c r="D230" s="66">
        <f>(Table17[[#This Row],[Index]]-B218)/B218</f>
        <v>1.8963830761662977E-2</v>
      </c>
    </row>
    <row r="231" spans="1:4" x14ac:dyDescent="0.35">
      <c r="A231" s="17">
        <v>33117</v>
      </c>
      <c r="B231" s="58">
        <f>VLOOKUP(Table17[[#This Row],[Date]],database!A:H,7,)</f>
        <v>53.923299999999998</v>
      </c>
      <c r="C231" s="66">
        <f t="shared" si="3"/>
        <v>-2.6227640381688566E-3</v>
      </c>
      <c r="D231" s="66">
        <f>(Table17[[#This Row],[Index]]-B219)/B219</f>
        <v>2.0835739180314526E-2</v>
      </c>
    </row>
    <row r="232" spans="1:4" x14ac:dyDescent="0.35">
      <c r="A232" s="17">
        <v>33147</v>
      </c>
      <c r="B232" s="58">
        <f>VLOOKUP(Table17[[#This Row],[Date]],database!A:H,7,)</f>
        <v>53.698</v>
      </c>
      <c r="C232" s="66">
        <f t="shared" si="3"/>
        <v>-4.1781567522758412E-3</v>
      </c>
      <c r="D232" s="66">
        <f>(Table17[[#This Row],[Index]]-B220)/B220</f>
        <v>1.4682262239942576E-2</v>
      </c>
    </row>
    <row r="233" spans="1:4" x14ac:dyDescent="0.35">
      <c r="A233" s="17">
        <v>33178</v>
      </c>
      <c r="B233" s="58">
        <f>VLOOKUP(Table17[[#This Row],[Date]],database!A:H,7,)</f>
        <v>53.023299999999999</v>
      </c>
      <c r="C233" s="66">
        <f t="shared" si="3"/>
        <v>-1.2564713769600333E-2</v>
      </c>
      <c r="D233" s="66">
        <f>(Table17[[#This Row],[Index]]-B221)/B221</f>
        <v>-9.0444364468181141E-4</v>
      </c>
    </row>
    <row r="234" spans="1:4" x14ac:dyDescent="0.35">
      <c r="A234" s="17">
        <v>33208</v>
      </c>
      <c r="B234" s="58">
        <f>VLOOKUP(Table17[[#This Row],[Date]],database!A:H,7,)</f>
        <v>52.628700000000002</v>
      </c>
      <c r="C234" s="66">
        <f t="shared" si="3"/>
        <v>-7.4420113421834744E-3</v>
      </c>
      <c r="D234" s="66">
        <f>(Table17[[#This Row],[Index]]-B222)/B222</f>
        <v>-7.1161889525504689E-3</v>
      </c>
    </row>
    <row r="235" spans="1:4" x14ac:dyDescent="0.35">
      <c r="A235" s="17">
        <v>33239</v>
      </c>
      <c r="B235" s="58">
        <f>VLOOKUP(Table17[[#This Row],[Date]],database!A:H,7,)</f>
        <v>52.3521</v>
      </c>
      <c r="C235" s="66">
        <f t="shared" si="3"/>
        <v>-5.2556874861054981E-3</v>
      </c>
      <c r="D235" s="66">
        <f>(Table17[[#This Row],[Index]]-B223)/B223</f>
        <v>-1.0407786370071902E-2</v>
      </c>
    </row>
    <row r="236" spans="1:4" x14ac:dyDescent="0.35">
      <c r="A236" s="17">
        <v>33270</v>
      </c>
      <c r="B236" s="58">
        <f>VLOOKUP(Table17[[#This Row],[Date]],database!A:H,7,)</f>
        <v>52.062199999999997</v>
      </c>
      <c r="C236" s="66">
        <f t="shared" si="3"/>
        <v>-5.5375047037272696E-3</v>
      </c>
      <c r="D236" s="66">
        <f>(Table17[[#This Row],[Index]]-B224)/B224</f>
        <v>-2.4889916109613858E-2</v>
      </c>
    </row>
    <row r="237" spans="1:4" x14ac:dyDescent="0.35">
      <c r="A237" s="17">
        <v>33298</v>
      </c>
      <c r="B237" s="58">
        <f>VLOOKUP(Table17[[#This Row],[Date]],database!A:H,7,)</f>
        <v>51.639800000000001</v>
      </c>
      <c r="C237" s="66">
        <f t="shared" si="3"/>
        <v>-8.1133720818558075E-3</v>
      </c>
      <c r="D237" s="66">
        <f>(Table17[[#This Row],[Index]]-B225)/B225</f>
        <v>-3.4441623131607361E-2</v>
      </c>
    </row>
    <row r="238" spans="1:4" x14ac:dyDescent="0.35">
      <c r="A238" s="17">
        <v>33329</v>
      </c>
      <c r="B238" s="58">
        <f>VLOOKUP(Table17[[#This Row],[Date]],database!A:H,7,)</f>
        <v>51.911299999999997</v>
      </c>
      <c r="C238" s="66">
        <f t="shared" si="3"/>
        <v>5.2575726474539675E-3</v>
      </c>
      <c r="D238" s="66">
        <f>(Table17[[#This Row],[Index]]-B226)/B226</f>
        <v>-2.9970924148653148E-2</v>
      </c>
    </row>
    <row r="239" spans="1:4" x14ac:dyDescent="0.35">
      <c r="A239" s="17">
        <v>33359</v>
      </c>
      <c r="B239" s="58">
        <f>VLOOKUP(Table17[[#This Row],[Date]],database!A:H,7,)</f>
        <v>52.401400000000002</v>
      </c>
      <c r="C239" s="66">
        <f t="shared" si="3"/>
        <v>9.4411043452968801E-3</v>
      </c>
      <c r="D239" s="66">
        <f>(Table17[[#This Row],[Index]]-B227)/B227</f>
        <v>-2.3524237940660175E-2</v>
      </c>
    </row>
    <row r="240" spans="1:4" x14ac:dyDescent="0.35">
      <c r="A240" s="17">
        <v>33390</v>
      </c>
      <c r="B240" s="58">
        <f>VLOOKUP(Table17[[#This Row],[Date]],database!A:H,7,)</f>
        <v>52.688499999999998</v>
      </c>
      <c r="C240" s="66">
        <f t="shared" si="3"/>
        <v>5.478861251798417E-3</v>
      </c>
      <c r="D240" s="66">
        <f>(Table17[[#This Row],[Index]]-B228)/B228</f>
        <v>-1.9464253811338792E-2</v>
      </c>
    </row>
    <row r="241" spans="1:4" x14ac:dyDescent="0.35">
      <c r="A241" s="17">
        <v>33420</v>
      </c>
      <c r="B241" s="58">
        <f>VLOOKUP(Table17[[#This Row],[Date]],database!A:H,7,)</f>
        <v>53.122199999999999</v>
      </c>
      <c r="C241" s="66">
        <f t="shared" si="3"/>
        <v>8.2313977433405849E-3</v>
      </c>
      <c r="D241" s="66">
        <f>(Table17[[#This Row],[Index]]-B229)/B229</f>
        <v>-1.1580698339926225E-2</v>
      </c>
    </row>
    <row r="242" spans="1:4" x14ac:dyDescent="0.35">
      <c r="A242" s="17">
        <v>33451</v>
      </c>
      <c r="B242" s="58">
        <f>VLOOKUP(Table17[[#This Row],[Date]],database!A:H,7,)</f>
        <v>53.088999999999999</v>
      </c>
      <c r="C242" s="66">
        <f t="shared" si="3"/>
        <v>-6.2497411628281707E-4</v>
      </c>
      <c r="D242" s="66">
        <f>(Table17[[#This Row],[Index]]-B230)/B230</f>
        <v>-1.805416063227484E-2</v>
      </c>
    </row>
    <row r="243" spans="1:4" x14ac:dyDescent="0.35">
      <c r="A243" s="17">
        <v>33482</v>
      </c>
      <c r="B243" s="58">
        <f>VLOOKUP(Table17[[#This Row],[Date]],database!A:H,7,)</f>
        <v>53.363799999999998</v>
      </c>
      <c r="C243" s="66">
        <f t="shared" si="3"/>
        <v>5.1762135282260591E-3</v>
      </c>
      <c r="D243" s="66">
        <f>(Table17[[#This Row],[Index]]-B231)/B231</f>
        <v>-1.0375848659113961E-2</v>
      </c>
    </row>
    <row r="244" spans="1:4" x14ac:dyDescent="0.35">
      <c r="A244" s="17">
        <v>33512</v>
      </c>
      <c r="B244" s="58">
        <f>VLOOKUP(Table17[[#This Row],[Date]],database!A:H,7,)</f>
        <v>53.477800000000002</v>
      </c>
      <c r="C244" s="66">
        <f t="shared" si="3"/>
        <v>2.1362796502499837E-3</v>
      </c>
      <c r="D244" s="66">
        <f>(Table17[[#This Row],[Index]]-B232)/B232</f>
        <v>-4.1007113858988866E-3</v>
      </c>
    </row>
    <row r="245" spans="1:4" x14ac:dyDescent="0.35">
      <c r="A245" s="17">
        <v>33543</v>
      </c>
      <c r="B245" s="58">
        <f>VLOOKUP(Table17[[#This Row],[Date]],database!A:H,7,)</f>
        <v>53.242600000000003</v>
      </c>
      <c r="C245" s="66">
        <f t="shared" si="3"/>
        <v>-4.3980866826982545E-3</v>
      </c>
      <c r="D245" s="66">
        <f>(Table17[[#This Row],[Index]]-B233)/B233</f>
        <v>4.1359176060336506E-3</v>
      </c>
    </row>
    <row r="246" spans="1:4" x14ac:dyDescent="0.35">
      <c r="A246" s="17">
        <v>33573</v>
      </c>
      <c r="B246" s="58">
        <f>VLOOKUP(Table17[[#This Row],[Date]],database!A:H,7,)</f>
        <v>53.218699999999998</v>
      </c>
      <c r="C246" s="66">
        <f t="shared" si="3"/>
        <v>-4.4888867185310932E-4</v>
      </c>
      <c r="D246" s="66">
        <f>(Table17[[#This Row],[Index]]-B234)/B234</f>
        <v>1.1210613220543094E-2</v>
      </c>
    </row>
    <row r="247" spans="1:4" x14ac:dyDescent="0.35">
      <c r="A247" s="17">
        <v>33604</v>
      </c>
      <c r="B247" s="58">
        <f>VLOOKUP(Table17[[#This Row],[Date]],database!A:H,7,)</f>
        <v>53.184699999999999</v>
      </c>
      <c r="C247" s="66">
        <f t="shared" si="3"/>
        <v>-6.3887317803701382E-4</v>
      </c>
      <c r="D247" s="66">
        <f>(Table17[[#This Row],[Index]]-B235)/B235</f>
        <v>1.5903851039404327E-2</v>
      </c>
    </row>
    <row r="248" spans="1:4" x14ac:dyDescent="0.35">
      <c r="A248" s="17">
        <v>33635</v>
      </c>
      <c r="B248" s="58">
        <f>VLOOKUP(Table17[[#This Row],[Date]],database!A:H,7,)</f>
        <v>53.412399999999998</v>
      </c>
      <c r="C248" s="66">
        <f t="shared" si="3"/>
        <v>4.2813064659572575E-3</v>
      </c>
      <c r="D248" s="66">
        <f>(Table17[[#This Row],[Index]]-B236)/B236</f>
        <v>2.5934363127182506E-2</v>
      </c>
    </row>
    <row r="249" spans="1:4" x14ac:dyDescent="0.35">
      <c r="A249" s="17">
        <v>33664</v>
      </c>
      <c r="B249" s="58">
        <f>VLOOKUP(Table17[[#This Row],[Date]],database!A:H,7,)</f>
        <v>53.840800000000002</v>
      </c>
      <c r="C249" s="66">
        <f t="shared" si="3"/>
        <v>8.0206094464956301E-3</v>
      </c>
      <c r="D249" s="66">
        <f>(Table17[[#This Row],[Index]]-B237)/B237</f>
        <v>4.2622163525033029E-2</v>
      </c>
    </row>
    <row r="250" spans="1:4" x14ac:dyDescent="0.35">
      <c r="A250" s="17">
        <v>33695</v>
      </c>
      <c r="B250" s="58">
        <f>VLOOKUP(Table17[[#This Row],[Date]],database!A:H,7,)</f>
        <v>54.262099999999997</v>
      </c>
      <c r="C250" s="66">
        <f t="shared" si="3"/>
        <v>7.8249208778471413E-3</v>
      </c>
      <c r="D250" s="66">
        <f>(Table17[[#This Row],[Index]]-B238)/B238</f>
        <v>4.5284937961484292E-2</v>
      </c>
    </row>
    <row r="251" spans="1:4" x14ac:dyDescent="0.35">
      <c r="A251" s="17">
        <v>33725</v>
      </c>
      <c r="B251" s="58">
        <f>VLOOKUP(Table17[[#This Row],[Date]],database!A:H,7,)</f>
        <v>54.281199999999998</v>
      </c>
      <c r="C251" s="66">
        <f t="shared" si="3"/>
        <v>3.5199522318518639E-4</v>
      </c>
      <c r="D251" s="66">
        <f>(Table17[[#This Row],[Index]]-B239)/B239</f>
        <v>3.5873087360261291E-2</v>
      </c>
    </row>
    <row r="252" spans="1:4" x14ac:dyDescent="0.35">
      <c r="A252" s="17">
        <v>33756</v>
      </c>
      <c r="B252" s="58">
        <f>VLOOKUP(Table17[[#This Row],[Date]],database!A:H,7,)</f>
        <v>54.514899999999997</v>
      </c>
      <c r="C252" s="66">
        <f t="shared" si="3"/>
        <v>4.3053580245093759E-3</v>
      </c>
      <c r="D252" s="66">
        <f>(Table17[[#This Row],[Index]]-B240)/B240</f>
        <v>3.46641107642085E-2</v>
      </c>
    </row>
    <row r="253" spans="1:4" x14ac:dyDescent="0.35">
      <c r="A253" s="17">
        <v>33786</v>
      </c>
      <c r="B253" s="58">
        <f>VLOOKUP(Table17[[#This Row],[Date]],database!A:H,7,)</f>
        <v>54.928699999999999</v>
      </c>
      <c r="C253" s="66">
        <f t="shared" si="3"/>
        <v>7.5905853262137057E-3</v>
      </c>
      <c r="D253" s="66">
        <f>(Table17[[#This Row],[Index]]-B241)/B241</f>
        <v>3.4006498224847609E-2</v>
      </c>
    </row>
    <row r="254" spans="1:4" x14ac:dyDescent="0.35">
      <c r="A254" s="17">
        <v>33817</v>
      </c>
      <c r="B254" s="58">
        <f>VLOOKUP(Table17[[#This Row],[Date]],database!A:H,7,)</f>
        <v>54.316800000000001</v>
      </c>
      <c r="C254" s="66">
        <f t="shared" si="3"/>
        <v>-1.1139895901413954E-2</v>
      </c>
      <c r="D254" s="66">
        <f>(Table17[[#This Row],[Index]]-B242)/B242</f>
        <v>2.3127201491834504E-2</v>
      </c>
    </row>
    <row r="255" spans="1:4" x14ac:dyDescent="0.35">
      <c r="A255" s="17">
        <v>33848</v>
      </c>
      <c r="B255" s="58">
        <f>VLOOKUP(Table17[[#This Row],[Date]],database!A:H,7,)</f>
        <v>54.745199999999997</v>
      </c>
      <c r="C255" s="66">
        <f t="shared" si="3"/>
        <v>7.8870625662776916E-3</v>
      </c>
      <c r="D255" s="66">
        <f>(Table17[[#This Row],[Index]]-B243)/B243</f>
        <v>2.5886462358377764E-2</v>
      </c>
    </row>
    <row r="256" spans="1:4" x14ac:dyDescent="0.35">
      <c r="A256" s="17">
        <v>33878</v>
      </c>
      <c r="B256" s="58">
        <f>VLOOKUP(Table17[[#This Row],[Date]],database!A:H,7,)</f>
        <v>55.050800000000002</v>
      </c>
      <c r="C256" s="66">
        <f t="shared" si="3"/>
        <v>5.582224560326754E-3</v>
      </c>
      <c r="D256" s="66">
        <f>(Table17[[#This Row],[Index]]-B244)/B244</f>
        <v>2.9414074625358565E-2</v>
      </c>
    </row>
    <row r="257" spans="1:4" x14ac:dyDescent="0.35">
      <c r="A257" s="17">
        <v>33909</v>
      </c>
      <c r="B257" s="58">
        <f>VLOOKUP(Table17[[#This Row],[Date]],database!A:H,7,)</f>
        <v>55.355400000000003</v>
      </c>
      <c r="C257" s="66">
        <f t="shared" si="3"/>
        <v>5.5330712723520303E-3</v>
      </c>
      <c r="D257" s="66">
        <f>(Table17[[#This Row],[Index]]-B245)/B245</f>
        <v>3.9682509869916192E-2</v>
      </c>
    </row>
    <row r="258" spans="1:4" x14ac:dyDescent="0.35">
      <c r="A258" s="17">
        <v>33939</v>
      </c>
      <c r="B258" s="58">
        <f>VLOOKUP(Table17[[#This Row],[Date]],database!A:H,7,)</f>
        <v>55.316800000000001</v>
      </c>
      <c r="C258" s="66">
        <f t="shared" si="3"/>
        <v>-6.973122766704698E-4</v>
      </c>
      <c r="D258" s="66">
        <f>(Table17[[#This Row],[Index]]-B246)/B246</f>
        <v>3.9424112201162417E-2</v>
      </c>
    </row>
    <row r="259" spans="1:4" x14ac:dyDescent="0.35">
      <c r="A259" s="17">
        <v>33970</v>
      </c>
      <c r="B259" s="58">
        <f>VLOOKUP(Table17[[#This Row],[Date]],database!A:H,7,)</f>
        <v>55.540900000000001</v>
      </c>
      <c r="C259" s="66">
        <f t="shared" si="3"/>
        <v>4.051210482168166E-3</v>
      </c>
      <c r="D259" s="66">
        <f>(Table17[[#This Row],[Index]]-B247)/B247</f>
        <v>4.4302214734688761E-2</v>
      </c>
    </row>
    <row r="260" spans="1:4" x14ac:dyDescent="0.35">
      <c r="A260" s="17">
        <v>34001</v>
      </c>
      <c r="B260" s="58">
        <f>VLOOKUP(Table17[[#This Row],[Date]],database!A:H,7,)</f>
        <v>55.944499999999998</v>
      </c>
      <c r="C260" s="66">
        <f t="shared" si="3"/>
        <v>7.2667169599340831E-3</v>
      </c>
      <c r="D260" s="66">
        <f>(Table17[[#This Row],[Index]]-B248)/B248</f>
        <v>4.7406594723322669E-2</v>
      </c>
    </row>
    <row r="261" spans="1:4" x14ac:dyDescent="0.35">
      <c r="A261" s="17">
        <v>34029</v>
      </c>
      <c r="B261" s="58">
        <f>VLOOKUP(Table17[[#This Row],[Date]],database!A:H,7,)</f>
        <v>55.770400000000002</v>
      </c>
      <c r="C261" s="66">
        <f t="shared" si="3"/>
        <v>-3.1120127983983448E-3</v>
      </c>
      <c r="D261" s="66">
        <f>(Table17[[#This Row],[Index]]-B249)/B249</f>
        <v>3.583899199120371E-2</v>
      </c>
    </row>
    <row r="262" spans="1:4" x14ac:dyDescent="0.35">
      <c r="A262" s="17">
        <v>34060</v>
      </c>
      <c r="B262" s="58">
        <f>VLOOKUP(Table17[[#This Row],[Date]],database!A:H,7,)</f>
        <v>55.999099999999999</v>
      </c>
      <c r="C262" s="66">
        <f t="shared" si="3"/>
        <v>4.1007416120377727E-3</v>
      </c>
      <c r="D262" s="66">
        <f>(Table17[[#This Row],[Index]]-B250)/B250</f>
        <v>3.201129333365281E-2</v>
      </c>
    </row>
    <row r="263" spans="1:4" x14ac:dyDescent="0.35">
      <c r="A263" s="17">
        <v>34090</v>
      </c>
      <c r="B263" s="58">
        <f>VLOOKUP(Table17[[#This Row],[Date]],database!A:H,7,)</f>
        <v>55.778599999999997</v>
      </c>
      <c r="C263" s="66">
        <f t="shared" si="3"/>
        <v>-3.9375632822670203E-3</v>
      </c>
      <c r="D263" s="66">
        <f>(Table17[[#This Row],[Index]]-B251)/B251</f>
        <v>2.7585978202397866E-2</v>
      </c>
    </row>
    <row r="264" spans="1:4" x14ac:dyDescent="0.35">
      <c r="A264" s="17">
        <v>34121</v>
      </c>
      <c r="B264" s="58">
        <f>VLOOKUP(Table17[[#This Row],[Date]],database!A:H,7,)</f>
        <v>56.095100000000002</v>
      </c>
      <c r="C264" s="66">
        <f t="shared" ref="C264:C327" si="4">B264/B263-1</f>
        <v>5.6742191449767887E-3</v>
      </c>
      <c r="D264" s="66">
        <f>(Table17[[#This Row],[Index]]-B252)/B252</f>
        <v>2.8986570643989167E-2</v>
      </c>
    </row>
    <row r="265" spans="1:4" x14ac:dyDescent="0.35">
      <c r="A265" s="17">
        <v>34151</v>
      </c>
      <c r="B265" s="58">
        <f>VLOOKUP(Table17[[#This Row],[Date]],database!A:H,7,)</f>
        <v>56.044699999999999</v>
      </c>
      <c r="C265" s="66">
        <f t="shared" si="4"/>
        <v>-8.9847419828115171E-4</v>
      </c>
      <c r="D265" s="66">
        <f>(Table17[[#This Row],[Index]]-B253)/B253</f>
        <v>2.0317247631930116E-2</v>
      </c>
    </row>
    <row r="266" spans="1:4" x14ac:dyDescent="0.35">
      <c r="A266" s="17">
        <v>34182</v>
      </c>
      <c r="B266" s="58">
        <f>VLOOKUP(Table17[[#This Row],[Date]],database!A:H,7,)</f>
        <v>56.117600000000003</v>
      </c>
      <c r="C266" s="66">
        <f t="shared" si="4"/>
        <v>1.3007474390978047E-3</v>
      </c>
      <c r="D266" s="66">
        <f>(Table17[[#This Row],[Index]]-B254)/B254</f>
        <v>3.3153646753858887E-2</v>
      </c>
    </row>
    <row r="267" spans="1:4" x14ac:dyDescent="0.35">
      <c r="A267" s="17">
        <v>34213</v>
      </c>
      <c r="B267" s="58">
        <f>VLOOKUP(Table17[[#This Row],[Date]],database!A:H,7,)</f>
        <v>56.314</v>
      </c>
      <c r="C267" s="66">
        <f t="shared" si="4"/>
        <v>3.4997932912312901E-3</v>
      </c>
      <c r="D267" s="66">
        <f>(Table17[[#This Row],[Index]]-B255)/B255</f>
        <v>2.8656393619897327E-2</v>
      </c>
    </row>
    <row r="268" spans="1:4" x14ac:dyDescent="0.35">
      <c r="A268" s="17">
        <v>34243</v>
      </c>
      <c r="B268" s="58">
        <f>VLOOKUP(Table17[[#This Row],[Date]],database!A:H,7,)</f>
        <v>56.757100000000001</v>
      </c>
      <c r="C268" s="66">
        <f t="shared" si="4"/>
        <v>7.8683808644386399E-3</v>
      </c>
      <c r="D268" s="66">
        <f>(Table17[[#This Row],[Index]]-B256)/B256</f>
        <v>3.099500824692827E-2</v>
      </c>
    </row>
    <row r="269" spans="1:4" x14ac:dyDescent="0.35">
      <c r="A269" s="17">
        <v>34274</v>
      </c>
      <c r="B269" s="58">
        <f>VLOOKUP(Table17[[#This Row],[Date]],database!A:H,7,)</f>
        <v>57.186100000000003</v>
      </c>
      <c r="C269" s="66">
        <f t="shared" si="4"/>
        <v>7.5585257174872744E-3</v>
      </c>
      <c r="D269" s="66">
        <f>(Table17[[#This Row],[Index]]-B257)/B257</f>
        <v>3.3071750904157503E-2</v>
      </c>
    </row>
    <row r="270" spans="1:4" x14ac:dyDescent="0.35">
      <c r="A270" s="17">
        <v>34304</v>
      </c>
      <c r="B270" s="58">
        <f>VLOOKUP(Table17[[#This Row],[Date]],database!A:H,7,)</f>
        <v>57.595100000000002</v>
      </c>
      <c r="C270" s="66">
        <f t="shared" si="4"/>
        <v>7.1520876576649517E-3</v>
      </c>
      <c r="D270" s="66">
        <f>(Table17[[#This Row],[Index]]-B258)/B258</f>
        <v>4.118640268417554E-2</v>
      </c>
    </row>
    <row r="271" spans="1:4" x14ac:dyDescent="0.35">
      <c r="A271" s="17">
        <v>34335</v>
      </c>
      <c r="B271" s="58">
        <f>VLOOKUP(Table17[[#This Row],[Date]],database!A:H,7,)</f>
        <v>57.681699999999999</v>
      </c>
      <c r="C271" s="66">
        <f t="shared" si="4"/>
        <v>1.5036001326500514E-3</v>
      </c>
      <c r="D271" s="66">
        <f>(Table17[[#This Row],[Index]]-B259)/B259</f>
        <v>3.8544568057053426E-2</v>
      </c>
    </row>
    <row r="272" spans="1:4" x14ac:dyDescent="0.35">
      <c r="A272" s="17">
        <v>34366</v>
      </c>
      <c r="B272" s="58">
        <f>VLOOKUP(Table17[[#This Row],[Date]],database!A:H,7,)</f>
        <v>57.902000000000001</v>
      </c>
      <c r="C272" s="66">
        <f t="shared" si="4"/>
        <v>3.8192355634456554E-3</v>
      </c>
      <c r="D272" s="66">
        <f>(Table17[[#This Row],[Index]]-B260)/B260</f>
        <v>3.49900347665991E-2</v>
      </c>
    </row>
    <row r="273" spans="1:4" x14ac:dyDescent="0.35">
      <c r="A273" s="17">
        <v>34394</v>
      </c>
      <c r="B273" s="58">
        <f>VLOOKUP(Table17[[#This Row],[Date]],database!A:H,7,)</f>
        <v>58.499899999999997</v>
      </c>
      <c r="C273" s="66">
        <f t="shared" si="4"/>
        <v>1.0326068184173254E-2</v>
      </c>
      <c r="D273" s="66">
        <f>(Table17[[#This Row],[Index]]-B261)/B261</f>
        <v>4.8941732531952331E-2</v>
      </c>
    </row>
    <row r="274" spans="1:4" x14ac:dyDescent="0.35">
      <c r="A274" s="17">
        <v>34425</v>
      </c>
      <c r="B274" s="58">
        <f>VLOOKUP(Table17[[#This Row],[Date]],database!A:H,7,)</f>
        <v>58.946100000000001</v>
      </c>
      <c r="C274" s="66">
        <f t="shared" si="4"/>
        <v>7.6273634655785738E-3</v>
      </c>
      <c r="D274" s="66">
        <f>(Table17[[#This Row],[Index]]-B262)/B262</f>
        <v>5.2625845772521392E-2</v>
      </c>
    </row>
    <row r="275" spans="1:4" x14ac:dyDescent="0.35">
      <c r="A275" s="17">
        <v>34455</v>
      </c>
      <c r="B275" s="58">
        <f>VLOOKUP(Table17[[#This Row],[Date]],database!A:H,7,)</f>
        <v>59.319499999999998</v>
      </c>
      <c r="C275" s="66">
        <f t="shared" si="4"/>
        <v>6.3346005927449323E-3</v>
      </c>
      <c r="D275" s="66">
        <f>(Table17[[#This Row],[Index]]-B263)/B263</f>
        <v>6.3481335135697217E-2</v>
      </c>
    </row>
    <row r="276" spans="1:4" x14ac:dyDescent="0.35">
      <c r="A276" s="17">
        <v>34486</v>
      </c>
      <c r="B276" s="58">
        <f>VLOOKUP(Table17[[#This Row],[Date]],database!A:H,7,)</f>
        <v>59.761299999999999</v>
      </c>
      <c r="C276" s="66">
        <f t="shared" si="4"/>
        <v>7.4478038419070192E-3</v>
      </c>
      <c r="D276" s="66">
        <f>(Table17[[#This Row],[Index]]-B264)/B264</f>
        <v>6.5356867177346969E-2</v>
      </c>
    </row>
    <row r="277" spans="1:4" x14ac:dyDescent="0.35">
      <c r="A277" s="17">
        <v>34516</v>
      </c>
      <c r="B277" s="58">
        <f>VLOOKUP(Table17[[#This Row],[Date]],database!A:H,7,)</f>
        <v>59.958300000000001</v>
      </c>
      <c r="C277" s="66">
        <f t="shared" si="4"/>
        <v>3.2964477011043769E-3</v>
      </c>
      <c r="D277" s="66">
        <f>(Table17[[#This Row],[Index]]-B265)/B265</f>
        <v>6.9829975002096589E-2</v>
      </c>
    </row>
    <row r="278" spans="1:4" x14ac:dyDescent="0.35">
      <c r="A278" s="17">
        <v>34547</v>
      </c>
      <c r="B278" s="58">
        <f>VLOOKUP(Table17[[#This Row],[Date]],database!A:H,7,)</f>
        <v>60.368099999999998</v>
      </c>
      <c r="C278" s="66">
        <f t="shared" si="4"/>
        <v>6.8347501513550402E-3</v>
      </c>
      <c r="D278" s="66">
        <f>(Table17[[#This Row],[Index]]-B266)/B266</f>
        <v>7.5742725989707244E-2</v>
      </c>
    </row>
    <row r="279" spans="1:4" x14ac:dyDescent="0.35">
      <c r="A279" s="17">
        <v>34578</v>
      </c>
      <c r="B279" s="58">
        <f>VLOOKUP(Table17[[#This Row],[Date]],database!A:H,7,)</f>
        <v>60.692500000000003</v>
      </c>
      <c r="C279" s="66">
        <f t="shared" si="4"/>
        <v>5.3736990231596504E-3</v>
      </c>
      <c r="D279" s="66">
        <f>(Table17[[#This Row],[Index]]-B267)/B267</f>
        <v>7.7751536030116891E-2</v>
      </c>
    </row>
    <row r="280" spans="1:4" x14ac:dyDescent="0.35">
      <c r="A280" s="17">
        <v>34608</v>
      </c>
      <c r="B280" s="58">
        <f>VLOOKUP(Table17[[#This Row],[Date]],database!A:H,7,)</f>
        <v>61.0503</v>
      </c>
      <c r="C280" s="66">
        <f t="shared" si="4"/>
        <v>5.8952918400130283E-3</v>
      </c>
      <c r="D280" s="66">
        <f>(Table17[[#This Row],[Index]]-B268)/B268</f>
        <v>7.5641637786285743E-2</v>
      </c>
    </row>
    <row r="281" spans="1:4" x14ac:dyDescent="0.35">
      <c r="A281" s="17">
        <v>34639</v>
      </c>
      <c r="B281" s="58">
        <f>VLOOKUP(Table17[[#This Row],[Date]],database!A:H,7,)</f>
        <v>61.632199999999997</v>
      </c>
      <c r="C281" s="66">
        <f t="shared" si="4"/>
        <v>9.5314846937688547E-3</v>
      </c>
      <c r="D281" s="66">
        <f>(Table17[[#This Row],[Index]]-B269)/B269</f>
        <v>7.7747914265879195E-2</v>
      </c>
    </row>
    <row r="282" spans="1:4" x14ac:dyDescent="0.35">
      <c r="A282" s="17">
        <v>34669</v>
      </c>
      <c r="B282" s="58">
        <f>VLOOKUP(Table17[[#This Row],[Date]],database!A:H,7,)</f>
        <v>62.3932</v>
      </c>
      <c r="C282" s="66">
        <f t="shared" si="4"/>
        <v>1.2347441759340105E-2</v>
      </c>
      <c r="D282" s="66">
        <f>(Table17[[#This Row],[Index]]-B270)/B270</f>
        <v>8.3307434139362507E-2</v>
      </c>
    </row>
    <row r="283" spans="1:4" x14ac:dyDescent="0.35">
      <c r="A283" s="17">
        <v>34700</v>
      </c>
      <c r="B283" s="58">
        <f>VLOOKUP(Table17[[#This Row],[Date]],database!A:H,7,)</f>
        <v>62.577599999999997</v>
      </c>
      <c r="C283" s="66">
        <f t="shared" si="4"/>
        <v>2.9554502734272514E-3</v>
      </c>
      <c r="D283" s="66">
        <f>(Table17[[#This Row],[Index]]-B271)/B271</f>
        <v>8.4877872878226499E-2</v>
      </c>
    </row>
    <row r="284" spans="1:4" x14ac:dyDescent="0.35">
      <c r="A284" s="17">
        <v>34731</v>
      </c>
      <c r="B284" s="58">
        <f>VLOOKUP(Table17[[#This Row],[Date]],database!A:H,7,)</f>
        <v>62.4435</v>
      </c>
      <c r="C284" s="66">
        <f t="shared" si="4"/>
        <v>-2.1429393265320895E-3</v>
      </c>
      <c r="D284" s="66">
        <f>(Table17[[#This Row],[Index]]-B272)/B272</f>
        <v>7.8434250975786657E-2</v>
      </c>
    </row>
    <row r="285" spans="1:4" x14ac:dyDescent="0.35">
      <c r="A285" s="17">
        <v>34759</v>
      </c>
      <c r="B285" s="58">
        <f>VLOOKUP(Table17[[#This Row],[Date]],database!A:H,7,)</f>
        <v>62.505200000000002</v>
      </c>
      <c r="C285" s="66">
        <f t="shared" si="4"/>
        <v>9.8809323628556989E-4</v>
      </c>
      <c r="D285" s="66">
        <f>(Table17[[#This Row],[Index]]-B273)/B273</f>
        <v>6.8466783703903869E-2</v>
      </c>
    </row>
    <row r="286" spans="1:4" x14ac:dyDescent="0.35">
      <c r="A286" s="17">
        <v>34790</v>
      </c>
      <c r="B286" s="58">
        <f>VLOOKUP(Table17[[#This Row],[Date]],database!A:H,7,)</f>
        <v>62.590499999999999</v>
      </c>
      <c r="C286" s="66">
        <f t="shared" si="4"/>
        <v>1.3646864580867391E-3</v>
      </c>
      <c r="D286" s="66">
        <f>(Table17[[#This Row],[Index]]-B274)/B274</f>
        <v>6.1825973219602266E-2</v>
      </c>
    </row>
    <row r="287" spans="1:4" x14ac:dyDescent="0.35">
      <c r="A287" s="17">
        <v>34820</v>
      </c>
      <c r="B287" s="58">
        <f>VLOOKUP(Table17[[#This Row],[Date]],database!A:H,7,)</f>
        <v>62.819299999999998</v>
      </c>
      <c r="C287" s="66">
        <f t="shared" si="4"/>
        <v>3.6555068261157064E-3</v>
      </c>
      <c r="D287" s="66">
        <f>(Table17[[#This Row],[Index]]-B275)/B275</f>
        <v>5.8999148677922109E-2</v>
      </c>
    </row>
    <row r="288" spans="1:4" x14ac:dyDescent="0.35">
      <c r="A288" s="17">
        <v>34851</v>
      </c>
      <c r="B288" s="58">
        <f>VLOOKUP(Table17[[#This Row],[Date]],database!A:H,7,)</f>
        <v>62.842100000000002</v>
      </c>
      <c r="C288" s="66">
        <f t="shared" si="4"/>
        <v>3.6294578258599941E-4</v>
      </c>
      <c r="D288" s="66">
        <f>(Table17[[#This Row],[Index]]-B276)/B276</f>
        <v>5.1551756738892958E-2</v>
      </c>
    </row>
    <row r="289" spans="1:4" x14ac:dyDescent="0.35">
      <c r="A289" s="17">
        <v>34881</v>
      </c>
      <c r="B289" s="58">
        <f>VLOOKUP(Table17[[#This Row],[Date]],database!A:H,7,)</f>
        <v>62.5702</v>
      </c>
      <c r="C289" s="66">
        <f t="shared" si="4"/>
        <v>-4.3267172802946563E-3</v>
      </c>
      <c r="D289" s="66">
        <f>(Table17[[#This Row],[Index]]-B277)/B277</f>
        <v>4.3561942216507117E-2</v>
      </c>
    </row>
    <row r="290" spans="1:4" x14ac:dyDescent="0.35">
      <c r="A290" s="17">
        <v>34912</v>
      </c>
      <c r="B290" s="58">
        <f>VLOOKUP(Table17[[#This Row],[Date]],database!A:H,7,)</f>
        <v>63.314700000000002</v>
      </c>
      <c r="C290" s="66">
        <f t="shared" si="4"/>
        <v>1.1898635452659567E-2</v>
      </c>
      <c r="D290" s="66">
        <f>(Table17[[#This Row],[Index]]-B278)/B278</f>
        <v>4.8810547292361423E-2</v>
      </c>
    </row>
    <row r="291" spans="1:4" x14ac:dyDescent="0.35">
      <c r="A291" s="17">
        <v>34943</v>
      </c>
      <c r="B291" s="58">
        <f>VLOOKUP(Table17[[#This Row],[Date]],database!A:H,7,)</f>
        <v>63.576900000000002</v>
      </c>
      <c r="C291" s="66">
        <f t="shared" si="4"/>
        <v>4.1412183900422228E-3</v>
      </c>
      <c r="D291" s="66">
        <f>(Table17[[#This Row],[Index]]-B279)/B279</f>
        <v>4.7524817728714412E-2</v>
      </c>
    </row>
    <row r="292" spans="1:4" x14ac:dyDescent="0.35">
      <c r="A292" s="17">
        <v>34973</v>
      </c>
      <c r="B292" s="58">
        <f>VLOOKUP(Table17[[#This Row],[Date]],database!A:H,7,)</f>
        <v>63.718200000000003</v>
      </c>
      <c r="C292" s="66">
        <f t="shared" si="4"/>
        <v>2.2225053439222098E-3</v>
      </c>
      <c r="D292" s="66">
        <f>(Table17[[#This Row],[Index]]-B280)/B280</f>
        <v>4.3700030958078881E-2</v>
      </c>
    </row>
    <row r="293" spans="1:4" x14ac:dyDescent="0.35">
      <c r="A293" s="17">
        <v>35004</v>
      </c>
      <c r="B293" s="58">
        <f>VLOOKUP(Table17[[#This Row],[Date]],database!A:H,7,)</f>
        <v>63.871000000000002</v>
      </c>
      <c r="C293" s="66">
        <f t="shared" si="4"/>
        <v>2.3980589533287855E-3</v>
      </c>
      <c r="D293" s="66">
        <f>(Table17[[#This Row],[Index]]-B281)/B281</f>
        <v>3.6325167688318845E-2</v>
      </c>
    </row>
    <row r="294" spans="1:4" x14ac:dyDescent="0.35">
      <c r="A294" s="17">
        <v>35034</v>
      </c>
      <c r="B294" s="58">
        <f>VLOOKUP(Table17[[#This Row],[Date]],database!A:H,7,)</f>
        <v>64.114500000000007</v>
      </c>
      <c r="C294" s="66">
        <f t="shared" si="4"/>
        <v>3.8123718119333905E-3</v>
      </c>
      <c r="D294" s="66">
        <f>(Table17[[#This Row],[Index]]-B282)/B282</f>
        <v>2.7587942275760925E-2</v>
      </c>
    </row>
    <row r="295" spans="1:4" x14ac:dyDescent="0.35">
      <c r="A295" s="17">
        <v>35065</v>
      </c>
      <c r="B295" s="58">
        <f>VLOOKUP(Table17[[#This Row],[Date]],database!A:H,7,)</f>
        <v>64.107399999999998</v>
      </c>
      <c r="C295" s="66">
        <f t="shared" si="4"/>
        <v>-1.1073938032746256E-4</v>
      </c>
      <c r="D295" s="66">
        <f>(Table17[[#This Row],[Index]]-B283)/B283</f>
        <v>2.4446447291043467E-2</v>
      </c>
    </row>
    <row r="296" spans="1:4" x14ac:dyDescent="0.35">
      <c r="A296" s="17">
        <v>35096</v>
      </c>
      <c r="B296" s="58">
        <f>VLOOKUP(Table17[[#This Row],[Date]],database!A:H,7,)</f>
        <v>64.886600000000001</v>
      </c>
      <c r="C296" s="66">
        <f t="shared" si="4"/>
        <v>1.2154603056745428E-2</v>
      </c>
      <c r="D296" s="66">
        <f>(Table17[[#This Row],[Index]]-B284)/B284</f>
        <v>3.9124968971950662E-2</v>
      </c>
    </row>
    <row r="297" spans="1:4" x14ac:dyDescent="0.35">
      <c r="A297" s="17">
        <v>35125</v>
      </c>
      <c r="B297" s="58">
        <f>VLOOKUP(Table17[[#This Row],[Date]],database!A:H,7,)</f>
        <v>64.831199999999995</v>
      </c>
      <c r="C297" s="66">
        <f t="shared" si="4"/>
        <v>-8.5379724010825608E-4</v>
      </c>
      <c r="D297" s="66">
        <f>(Table17[[#This Row],[Index]]-B285)/B285</f>
        <v>3.7212903886396545E-2</v>
      </c>
    </row>
    <row r="298" spans="1:4" x14ac:dyDescent="0.35">
      <c r="A298" s="17">
        <v>35156</v>
      </c>
      <c r="B298" s="58">
        <f>VLOOKUP(Table17[[#This Row],[Date]],database!A:H,7,)</f>
        <v>65.463300000000004</v>
      </c>
      <c r="C298" s="66">
        <f t="shared" si="4"/>
        <v>9.7499352163774589E-3</v>
      </c>
      <c r="D298" s="66">
        <f>(Table17[[#This Row],[Index]]-B286)/B286</f>
        <v>4.5898339204831488E-2</v>
      </c>
    </row>
    <row r="299" spans="1:4" x14ac:dyDescent="0.35">
      <c r="A299" s="17">
        <v>35186</v>
      </c>
      <c r="B299" s="58">
        <f>VLOOKUP(Table17[[#This Row],[Date]],database!A:H,7,)</f>
        <v>66.031599999999997</v>
      </c>
      <c r="C299" s="66">
        <f t="shared" si="4"/>
        <v>8.6812000006109002E-3</v>
      </c>
      <c r="D299" s="66">
        <f>(Table17[[#This Row],[Index]]-B287)/B287</f>
        <v>5.1135558657928362E-2</v>
      </c>
    </row>
    <row r="300" spans="1:4" x14ac:dyDescent="0.35">
      <c r="A300" s="17">
        <v>35217</v>
      </c>
      <c r="B300" s="58">
        <f>VLOOKUP(Table17[[#This Row],[Date]],database!A:H,7,)</f>
        <v>66.509</v>
      </c>
      <c r="C300" s="66">
        <f t="shared" si="4"/>
        <v>7.2298717583703098E-3</v>
      </c>
      <c r="D300" s="66">
        <f>(Table17[[#This Row],[Index]]-B288)/B288</f>
        <v>5.8351009912144855E-2</v>
      </c>
    </row>
    <row r="301" spans="1:4" x14ac:dyDescent="0.35">
      <c r="A301" s="17">
        <v>35247</v>
      </c>
      <c r="B301" s="58">
        <f>VLOOKUP(Table17[[#This Row],[Date]],database!A:H,7,)</f>
        <v>66.481999999999999</v>
      </c>
      <c r="C301" s="66">
        <f t="shared" si="4"/>
        <v>-4.0596009562621216E-4</v>
      </c>
      <c r="D301" s="66">
        <f>(Table17[[#This Row],[Index]]-B289)/B289</f>
        <v>6.2518579131919022E-2</v>
      </c>
    </row>
    <row r="302" spans="1:4" x14ac:dyDescent="0.35">
      <c r="A302" s="17">
        <v>35278</v>
      </c>
      <c r="B302" s="58">
        <f>VLOOKUP(Table17[[#This Row],[Date]],database!A:H,7,)</f>
        <v>67.082999999999998</v>
      </c>
      <c r="C302" s="66">
        <f t="shared" si="4"/>
        <v>9.0400409133299942E-3</v>
      </c>
      <c r="D302" s="66">
        <f>(Table17[[#This Row],[Index]]-B290)/B290</f>
        <v>5.9516984207458871E-2</v>
      </c>
    </row>
    <row r="303" spans="1:4" x14ac:dyDescent="0.35">
      <c r="A303" s="17">
        <v>35309</v>
      </c>
      <c r="B303" s="58">
        <f>VLOOKUP(Table17[[#This Row],[Date]],database!A:H,7,)</f>
        <v>67.352099999999993</v>
      </c>
      <c r="C303" s="66">
        <f t="shared" si="4"/>
        <v>4.0114485040918524E-3</v>
      </c>
      <c r="D303" s="66">
        <f>(Table17[[#This Row],[Index]]-B291)/B291</f>
        <v>5.9380057851200527E-2</v>
      </c>
    </row>
    <row r="304" spans="1:4" x14ac:dyDescent="0.35">
      <c r="A304" s="17">
        <v>35339</v>
      </c>
      <c r="B304" s="58">
        <f>VLOOKUP(Table17[[#This Row],[Date]],database!A:H,7,)</f>
        <v>67.5261</v>
      </c>
      <c r="C304" s="66">
        <f t="shared" si="4"/>
        <v>2.5834383783134296E-3</v>
      </c>
      <c r="D304" s="66">
        <f>(Table17[[#This Row],[Index]]-B292)/B292</f>
        <v>5.976157518573965E-2</v>
      </c>
    </row>
    <row r="305" spans="1:4" x14ac:dyDescent="0.35">
      <c r="A305" s="17">
        <v>35370</v>
      </c>
      <c r="B305" s="58">
        <f>VLOOKUP(Table17[[#This Row],[Date]],database!A:H,7,)</f>
        <v>67.9726</v>
      </c>
      <c r="C305" s="66">
        <f t="shared" si="4"/>
        <v>6.6122580750258564E-3</v>
      </c>
      <c r="D305" s="66">
        <f>(Table17[[#This Row],[Index]]-B293)/B293</f>
        <v>6.421693726417306E-2</v>
      </c>
    </row>
    <row r="306" spans="1:4" x14ac:dyDescent="0.35">
      <c r="A306" s="17">
        <v>35400</v>
      </c>
      <c r="B306" s="58">
        <f>VLOOKUP(Table17[[#This Row],[Date]],database!A:H,7,)</f>
        <v>68.454300000000003</v>
      </c>
      <c r="C306" s="66">
        <f t="shared" si="4"/>
        <v>7.0866790442032368E-3</v>
      </c>
      <c r="D306" s="66">
        <f>(Table17[[#This Row],[Index]]-B294)/B294</f>
        <v>6.7688276442926271E-2</v>
      </c>
    </row>
    <row r="307" spans="1:4" x14ac:dyDescent="0.35">
      <c r="A307" s="17">
        <v>35431</v>
      </c>
      <c r="B307" s="58">
        <f>VLOOKUP(Table17[[#This Row],[Date]],database!A:H,7,)</f>
        <v>68.711200000000005</v>
      </c>
      <c r="C307" s="66">
        <f t="shared" si="4"/>
        <v>3.7528687021852747E-3</v>
      </c>
      <c r="D307" s="66">
        <f>(Table17[[#This Row],[Index]]-B295)/B295</f>
        <v>7.1813862362223507E-2</v>
      </c>
    </row>
    <row r="308" spans="1:4" x14ac:dyDescent="0.35">
      <c r="A308" s="17">
        <v>35462</v>
      </c>
      <c r="B308" s="58">
        <f>VLOOKUP(Table17[[#This Row],[Date]],database!A:H,7,)</f>
        <v>69.666399999999996</v>
      </c>
      <c r="C308" s="66">
        <f t="shared" si="4"/>
        <v>1.3901663775337747E-2</v>
      </c>
      <c r="D308" s="66">
        <f>(Table17[[#This Row],[Index]]-B296)/B296</f>
        <v>7.3663899788245862E-2</v>
      </c>
    </row>
    <row r="309" spans="1:4" x14ac:dyDescent="0.35">
      <c r="A309" s="17">
        <v>35490</v>
      </c>
      <c r="B309" s="58">
        <f>VLOOKUP(Table17[[#This Row],[Date]],database!A:H,7,)</f>
        <v>69.956100000000006</v>
      </c>
      <c r="C309" s="66">
        <f t="shared" si="4"/>
        <v>4.1583891230208003E-3</v>
      </c>
      <c r="D309" s="66">
        <f>(Table17[[#This Row],[Index]]-B297)/B297</f>
        <v>7.9049901899085798E-2</v>
      </c>
    </row>
    <row r="310" spans="1:4" x14ac:dyDescent="0.35">
      <c r="A310" s="17">
        <v>35521</v>
      </c>
      <c r="B310" s="58">
        <f>VLOOKUP(Table17[[#This Row],[Date]],database!A:H,7,)</f>
        <v>70.265799999999999</v>
      </c>
      <c r="C310" s="66">
        <f t="shared" si="4"/>
        <v>4.4270621146689226E-3</v>
      </c>
      <c r="D310" s="66">
        <f>(Table17[[#This Row],[Index]]-B298)/B298</f>
        <v>7.3361715648309733E-2</v>
      </c>
    </row>
    <row r="311" spans="1:4" x14ac:dyDescent="0.35">
      <c r="A311" s="17">
        <v>35551</v>
      </c>
      <c r="B311" s="58">
        <f>VLOOKUP(Table17[[#This Row],[Date]],database!A:H,7,)</f>
        <v>70.518799999999999</v>
      </c>
      <c r="C311" s="66">
        <f t="shared" si="4"/>
        <v>3.6006136698081281E-3</v>
      </c>
      <c r="D311" s="66">
        <f>(Table17[[#This Row],[Index]]-B299)/B299</f>
        <v>6.7955342593546145E-2</v>
      </c>
    </row>
    <row r="312" spans="1:4" x14ac:dyDescent="0.35">
      <c r="A312" s="17">
        <v>35582</v>
      </c>
      <c r="B312" s="58">
        <f>VLOOKUP(Table17[[#This Row],[Date]],database!A:H,7,)</f>
        <v>70.953500000000005</v>
      </c>
      <c r="C312" s="66">
        <f t="shared" si="4"/>
        <v>6.1643136298406009E-3</v>
      </c>
      <c r="D312" s="66">
        <f>(Table17[[#This Row],[Index]]-B300)/B300</f>
        <v>6.6825542407794508E-2</v>
      </c>
    </row>
    <row r="313" spans="1:4" x14ac:dyDescent="0.35">
      <c r="A313" s="17">
        <v>35612</v>
      </c>
      <c r="B313" s="58">
        <f>VLOOKUP(Table17[[#This Row],[Date]],database!A:H,7,)</f>
        <v>71.588499999999996</v>
      </c>
      <c r="C313" s="66">
        <f t="shared" si="4"/>
        <v>8.949523279330629E-3</v>
      </c>
      <c r="D313" s="66">
        <f>(Table17[[#This Row],[Index]]-B301)/B301</f>
        <v>7.6810264432477918E-2</v>
      </c>
    </row>
    <row r="314" spans="1:4" x14ac:dyDescent="0.35">
      <c r="A314" s="17">
        <v>35643</v>
      </c>
      <c r="B314" s="58">
        <f>VLOOKUP(Table17[[#This Row],[Date]],database!A:H,7,)</f>
        <v>72.319500000000005</v>
      </c>
      <c r="C314" s="66">
        <f t="shared" si="4"/>
        <v>1.0211137263666847E-2</v>
      </c>
      <c r="D314" s="66">
        <f>(Table17[[#This Row],[Index]]-B302)/B302</f>
        <v>7.8060015205044603E-2</v>
      </c>
    </row>
    <row r="315" spans="1:4" x14ac:dyDescent="0.35">
      <c r="A315" s="17">
        <v>35674</v>
      </c>
      <c r="B315" s="58">
        <f>VLOOKUP(Table17[[#This Row],[Date]],database!A:H,7,)</f>
        <v>73.106999999999999</v>
      </c>
      <c r="C315" s="66">
        <f t="shared" si="4"/>
        <v>1.0889179267002502E-2</v>
      </c>
      <c r="D315" s="66">
        <f>(Table17[[#This Row],[Index]]-B303)/B303</f>
        <v>8.5444997260664582E-2</v>
      </c>
    </row>
    <row r="316" spans="1:4" x14ac:dyDescent="0.35">
      <c r="A316" s="17">
        <v>35704</v>
      </c>
      <c r="B316" s="58">
        <f>VLOOKUP(Table17[[#This Row],[Date]],database!A:H,7,)</f>
        <v>73.361099999999993</v>
      </c>
      <c r="C316" s="66">
        <f t="shared" si="4"/>
        <v>3.4757273585293014E-3</v>
      </c>
      <c r="D316" s="66">
        <f>(Table17[[#This Row],[Index]]-B304)/B304</f>
        <v>8.6411032178668606E-2</v>
      </c>
    </row>
    <row r="317" spans="1:4" x14ac:dyDescent="0.35">
      <c r="A317" s="17">
        <v>35735</v>
      </c>
      <c r="B317" s="58">
        <f>VLOOKUP(Table17[[#This Row],[Date]],database!A:H,7,)</f>
        <v>74.172499999999999</v>
      </c>
      <c r="C317" s="66">
        <f t="shared" si="4"/>
        <v>1.1060357600962911E-2</v>
      </c>
      <c r="D317" s="66">
        <f>(Table17[[#This Row],[Index]]-B305)/B305</f>
        <v>9.1211752971050095E-2</v>
      </c>
    </row>
    <row r="318" spans="1:4" x14ac:dyDescent="0.35">
      <c r="A318" s="17">
        <v>35765</v>
      </c>
      <c r="B318" s="58">
        <f>VLOOKUP(Table17[[#This Row],[Date]],database!A:H,7,)</f>
        <v>74.698700000000002</v>
      </c>
      <c r="C318" s="66">
        <f t="shared" si="4"/>
        <v>7.0942734841079602E-3</v>
      </c>
      <c r="D318" s="66">
        <f>(Table17[[#This Row],[Index]]-B306)/B306</f>
        <v>9.1219981798075486E-2</v>
      </c>
    </row>
    <row r="319" spans="1:4" x14ac:dyDescent="0.35">
      <c r="A319" s="17">
        <v>35796</v>
      </c>
      <c r="B319" s="58">
        <f>VLOOKUP(Table17[[#This Row],[Date]],database!A:H,7,)</f>
        <v>74.917500000000004</v>
      </c>
      <c r="C319" s="66">
        <f t="shared" si="4"/>
        <v>2.9291005064344677E-3</v>
      </c>
      <c r="D319" s="66">
        <f>(Table17[[#This Row],[Index]]-B307)/B307</f>
        <v>9.0324430369430289E-2</v>
      </c>
    </row>
    <row r="320" spans="1:4" x14ac:dyDescent="0.35">
      <c r="A320" s="17">
        <v>35827</v>
      </c>
      <c r="B320" s="58">
        <f>VLOOKUP(Table17[[#This Row],[Date]],database!A:H,7,)</f>
        <v>74.998199999999997</v>
      </c>
      <c r="C320" s="66">
        <f t="shared" si="4"/>
        <v>1.077184903393702E-3</v>
      </c>
      <c r="D320" s="66">
        <f>(Table17[[#This Row],[Index]]-B308)/B308</f>
        <v>7.6533307304525594E-2</v>
      </c>
    </row>
    <row r="321" spans="1:4" x14ac:dyDescent="0.35">
      <c r="A321" s="17">
        <v>35855</v>
      </c>
      <c r="B321" s="58">
        <f>VLOOKUP(Table17[[#This Row],[Date]],database!A:H,7,)</f>
        <v>74.927899999999994</v>
      </c>
      <c r="C321" s="66">
        <f t="shared" si="4"/>
        <v>-9.3735582987330979E-4</v>
      </c>
      <c r="D321" s="66">
        <f>(Table17[[#This Row],[Index]]-B309)/B309</f>
        <v>7.1070285507625314E-2</v>
      </c>
    </row>
    <row r="322" spans="1:4" x14ac:dyDescent="0.35">
      <c r="A322" s="17">
        <v>35886</v>
      </c>
      <c r="B322" s="58">
        <f>VLOOKUP(Table17[[#This Row],[Date]],database!A:H,7,)</f>
        <v>75.118300000000005</v>
      </c>
      <c r="C322" s="66">
        <f t="shared" si="4"/>
        <v>2.5411095199519007E-3</v>
      </c>
      <c r="D322" s="66">
        <f>(Table17[[#This Row],[Index]]-B310)/B310</f>
        <v>6.9059200919935532E-2</v>
      </c>
    </row>
    <row r="323" spans="1:4" x14ac:dyDescent="0.35">
      <c r="A323" s="17">
        <v>35916</v>
      </c>
      <c r="B323" s="58">
        <f>VLOOKUP(Table17[[#This Row],[Date]],database!A:H,7,)</f>
        <v>75.649500000000003</v>
      </c>
      <c r="C323" s="66">
        <f t="shared" si="4"/>
        <v>7.0715125342293295E-3</v>
      </c>
      <c r="D323" s="66">
        <f>(Table17[[#This Row],[Index]]-B311)/B311</f>
        <v>7.2756484795543946E-2</v>
      </c>
    </row>
    <row r="324" spans="1:4" x14ac:dyDescent="0.35">
      <c r="A324" s="17">
        <v>35947</v>
      </c>
      <c r="B324" s="58">
        <f>VLOOKUP(Table17[[#This Row],[Date]],database!A:H,7,)</f>
        <v>75.0745</v>
      </c>
      <c r="C324" s="66">
        <f t="shared" si="4"/>
        <v>-7.6008433631419292E-3</v>
      </c>
      <c r="D324" s="66">
        <f>(Table17[[#This Row],[Index]]-B312)/B312</f>
        <v>5.8080292022239847E-2</v>
      </c>
    </row>
    <row r="325" spans="1:4" x14ac:dyDescent="0.35">
      <c r="A325" s="17">
        <v>35977</v>
      </c>
      <c r="B325" s="58">
        <f>VLOOKUP(Table17[[#This Row],[Date]],database!A:H,7,)</f>
        <v>74.707599999999999</v>
      </c>
      <c r="C325" s="66">
        <f t="shared" si="4"/>
        <v>-4.8871454355340349E-3</v>
      </c>
      <c r="D325" s="66">
        <f>(Table17[[#This Row],[Index]]-B313)/B313</f>
        <v>4.3569847112315568E-2</v>
      </c>
    </row>
    <row r="326" spans="1:4" x14ac:dyDescent="0.35">
      <c r="A326" s="17">
        <v>36008</v>
      </c>
      <c r="B326" s="58">
        <f>VLOOKUP(Table17[[#This Row],[Date]],database!A:H,7,)</f>
        <v>76.210400000000007</v>
      </c>
      <c r="C326" s="66">
        <f t="shared" si="4"/>
        <v>2.0115757968399484E-2</v>
      </c>
      <c r="D326" s="66">
        <f>(Table17[[#This Row],[Index]]-B314)/B314</f>
        <v>5.3801533472991402E-2</v>
      </c>
    </row>
    <row r="327" spans="1:4" x14ac:dyDescent="0.35">
      <c r="A327" s="17">
        <v>36039</v>
      </c>
      <c r="B327" s="58">
        <f>VLOOKUP(Table17[[#This Row],[Date]],database!A:H,7,)</f>
        <v>76.3673</v>
      </c>
      <c r="C327" s="66">
        <f t="shared" si="4"/>
        <v>2.0587741305648777E-3</v>
      </c>
      <c r="D327" s="66">
        <f>(Table17[[#This Row],[Index]]-B315)/B315</f>
        <v>4.4596276690330623E-2</v>
      </c>
    </row>
    <row r="328" spans="1:4" x14ac:dyDescent="0.35">
      <c r="A328" s="17">
        <v>36069</v>
      </c>
      <c r="B328" s="58">
        <f>VLOOKUP(Table17[[#This Row],[Date]],database!A:H,7,)</f>
        <v>77.032499999999999</v>
      </c>
      <c r="C328" s="66">
        <f t="shared" ref="C328:C391" si="5">B328/B327-1</f>
        <v>8.7105344826907682E-3</v>
      </c>
      <c r="D328" s="66">
        <f>(Table17[[#This Row],[Index]]-B316)/B316</f>
        <v>5.0045596371919257E-2</v>
      </c>
    </row>
    <row r="329" spans="1:4" x14ac:dyDescent="0.35">
      <c r="A329" s="17">
        <v>36100</v>
      </c>
      <c r="B329" s="58">
        <f>VLOOKUP(Table17[[#This Row],[Date]],database!A:H,7,)</f>
        <v>77.150099999999995</v>
      </c>
      <c r="C329" s="66">
        <f t="shared" si="5"/>
        <v>1.5266283711419248E-3</v>
      </c>
      <c r="D329" s="66">
        <f>(Table17[[#This Row],[Index]]-B317)/B317</f>
        <v>4.0144258316761543E-2</v>
      </c>
    </row>
    <row r="330" spans="1:4" x14ac:dyDescent="0.35">
      <c r="A330" s="17">
        <v>36130</v>
      </c>
      <c r="B330" s="58">
        <f>VLOOKUP(Table17[[#This Row],[Date]],database!A:H,7,)</f>
        <v>77.780199999999994</v>
      </c>
      <c r="C330" s="66">
        <f t="shared" si="5"/>
        <v>8.1671961539906412E-3</v>
      </c>
      <c r="D330" s="66">
        <f>(Table17[[#This Row],[Index]]-B318)/B318</f>
        <v>4.1252391273208115E-2</v>
      </c>
    </row>
    <row r="331" spans="1:4" x14ac:dyDescent="0.35">
      <c r="A331" s="17">
        <v>36161</v>
      </c>
      <c r="B331" s="58">
        <f>VLOOKUP(Table17[[#This Row],[Date]],database!A:H,7,)</f>
        <v>77.974800000000002</v>
      </c>
      <c r="C331" s="66">
        <f t="shared" si="5"/>
        <v>2.5019220829980426E-3</v>
      </c>
      <c r="D331" s="66">
        <f>(Table17[[#This Row],[Index]]-B319)/B319</f>
        <v>4.0808889778756602E-2</v>
      </c>
    </row>
    <row r="332" spans="1:4" x14ac:dyDescent="0.35">
      <c r="A332" s="17">
        <v>36192</v>
      </c>
      <c r="B332" s="58">
        <f>VLOOKUP(Table17[[#This Row],[Date]],database!A:H,7,)</f>
        <v>78.534700000000001</v>
      </c>
      <c r="C332" s="66">
        <f t="shared" si="5"/>
        <v>7.1805249901248924E-3</v>
      </c>
      <c r="D332" s="66">
        <f>(Table17[[#This Row],[Index]]-B320)/B320</f>
        <v>4.7154465040494357E-2</v>
      </c>
    </row>
    <row r="333" spans="1:4" x14ac:dyDescent="0.35">
      <c r="A333" s="17">
        <v>36220</v>
      </c>
      <c r="B333" s="58">
        <f>VLOOKUP(Table17[[#This Row],[Date]],database!A:H,7,)</f>
        <v>79.070400000000006</v>
      </c>
      <c r="C333" s="66">
        <f t="shared" si="5"/>
        <v>6.8211885956144247E-3</v>
      </c>
      <c r="D333" s="66">
        <f>(Table17[[#This Row],[Index]]-B321)/B321</f>
        <v>5.5286482071431504E-2</v>
      </c>
    </row>
    <row r="334" spans="1:4" x14ac:dyDescent="0.35">
      <c r="A334" s="17">
        <v>36251</v>
      </c>
      <c r="B334" s="58">
        <f>VLOOKUP(Table17[[#This Row],[Date]],database!A:H,7,)</f>
        <v>79.430999999999997</v>
      </c>
      <c r="C334" s="66">
        <f t="shared" si="5"/>
        <v>4.5604929278211248E-3</v>
      </c>
      <c r="D334" s="66">
        <f>(Table17[[#This Row],[Index]]-B322)/B322</f>
        <v>5.7412108633981232E-2</v>
      </c>
    </row>
    <row r="335" spans="1:4" x14ac:dyDescent="0.35">
      <c r="A335" s="17">
        <v>36281</v>
      </c>
      <c r="B335" s="58">
        <f>VLOOKUP(Table17[[#This Row],[Date]],database!A:H,7,)</f>
        <v>79.820599999999999</v>
      </c>
      <c r="C335" s="66">
        <f t="shared" si="5"/>
        <v>4.9048860016869256E-3</v>
      </c>
      <c r="D335" s="66">
        <f>(Table17[[#This Row],[Index]]-B323)/B323</f>
        <v>5.5137178699132122E-2</v>
      </c>
    </row>
    <row r="336" spans="1:4" x14ac:dyDescent="0.35">
      <c r="A336" s="17">
        <v>36312</v>
      </c>
      <c r="B336" s="58">
        <f>VLOOKUP(Table17[[#This Row],[Date]],database!A:H,7,)</f>
        <v>80.269400000000005</v>
      </c>
      <c r="C336" s="66">
        <f t="shared" si="5"/>
        <v>5.6226087000097458E-3</v>
      </c>
      <c r="D336" s="66">
        <f>(Table17[[#This Row],[Index]]-B324)/B324</f>
        <v>6.9196598045941082E-2</v>
      </c>
    </row>
    <row r="337" spans="1:4" x14ac:dyDescent="0.35">
      <c r="A337" s="17">
        <v>36342</v>
      </c>
      <c r="B337" s="58">
        <f>VLOOKUP(Table17[[#This Row],[Date]],database!A:H,7,)</f>
        <v>81.244299999999996</v>
      </c>
      <c r="C337" s="66">
        <f t="shared" si="5"/>
        <v>1.2145350532082988E-2</v>
      </c>
      <c r="D337" s="66">
        <f>(Table17[[#This Row],[Index]]-B325)/B325</f>
        <v>8.7497122113412776E-2</v>
      </c>
    </row>
    <row r="338" spans="1:4" x14ac:dyDescent="0.35">
      <c r="A338" s="17">
        <v>36373</v>
      </c>
      <c r="B338" s="58">
        <f>VLOOKUP(Table17[[#This Row],[Date]],database!A:H,7,)</f>
        <v>81.256299999999996</v>
      </c>
      <c r="C338" s="66">
        <f t="shared" si="5"/>
        <v>1.477026696026229E-4</v>
      </c>
      <c r="D338" s="66">
        <f>(Table17[[#This Row],[Index]]-B326)/B326</f>
        <v>6.6210123552690819E-2</v>
      </c>
    </row>
    <row r="339" spans="1:4" x14ac:dyDescent="0.35">
      <c r="A339" s="17">
        <v>36404</v>
      </c>
      <c r="B339" s="58">
        <f>VLOOKUP(Table17[[#This Row],[Date]],database!A:H,7,)</f>
        <v>81.036600000000007</v>
      </c>
      <c r="C339" s="66">
        <f t="shared" si="5"/>
        <v>-2.7037903522556528E-3</v>
      </c>
      <c r="D339" s="66">
        <f>(Table17[[#This Row],[Index]]-B327)/B327</f>
        <v>6.1142661846104375E-2</v>
      </c>
    </row>
    <row r="340" spans="1:4" x14ac:dyDescent="0.35">
      <c r="A340" s="17">
        <v>36434</v>
      </c>
      <c r="B340" s="58">
        <f>VLOOKUP(Table17[[#This Row],[Date]],database!A:H,7,)</f>
        <v>82.019499999999994</v>
      </c>
      <c r="C340" s="66">
        <f t="shared" si="5"/>
        <v>1.2129087350653656E-2</v>
      </c>
      <c r="D340" s="66">
        <f>(Table17[[#This Row],[Index]]-B328)/B328</f>
        <v>6.4738908902086709E-2</v>
      </c>
    </row>
    <row r="341" spans="1:4" x14ac:dyDescent="0.35">
      <c r="A341" s="17">
        <v>36465</v>
      </c>
      <c r="B341" s="58">
        <f>VLOOKUP(Table17[[#This Row],[Date]],database!A:H,7,)</f>
        <v>82.897999999999996</v>
      </c>
      <c r="C341" s="66">
        <f t="shared" si="5"/>
        <v>1.0710867537597757E-2</v>
      </c>
      <c r="D341" s="66">
        <f>(Table17[[#This Row],[Index]]-B329)/B329</f>
        <v>7.4502819827842112E-2</v>
      </c>
    </row>
    <row r="342" spans="1:4" x14ac:dyDescent="0.35">
      <c r="A342" s="17">
        <v>36495</v>
      </c>
      <c r="B342" s="58">
        <f>VLOOKUP(Table17[[#This Row],[Date]],database!A:H,7,)</f>
        <v>83.422499999999999</v>
      </c>
      <c r="C342" s="66">
        <f t="shared" si="5"/>
        <v>6.3270525223768637E-3</v>
      </c>
      <c r="D342" s="66">
        <f>(Table17[[#This Row],[Index]]-B330)/B330</f>
        <v>7.2541597990234102E-2</v>
      </c>
    </row>
    <row r="343" spans="1:4" x14ac:dyDescent="0.35">
      <c r="A343" s="17">
        <v>36526</v>
      </c>
      <c r="B343" s="58">
        <f>VLOOKUP(Table17[[#This Row],[Date]],database!A:H,7,)</f>
        <v>83.616699999999994</v>
      </c>
      <c r="C343" s="66">
        <f t="shared" si="5"/>
        <v>2.3279091372230276E-3</v>
      </c>
      <c r="D343" s="66">
        <f>(Table17[[#This Row],[Index]]-B331)/B331</f>
        <v>7.2355427650984586E-2</v>
      </c>
    </row>
    <row r="344" spans="1:4" x14ac:dyDescent="0.35">
      <c r="A344" s="17">
        <v>36557</v>
      </c>
      <c r="B344" s="58">
        <f>VLOOKUP(Table17[[#This Row],[Date]],database!A:H,7,)</f>
        <v>83.767200000000003</v>
      </c>
      <c r="C344" s="66">
        <f t="shared" si="5"/>
        <v>1.7998796891052216E-3</v>
      </c>
      <c r="D344" s="66">
        <f>(Table17[[#This Row],[Index]]-B332)/B332</f>
        <v>6.6626599452216689E-2</v>
      </c>
    </row>
    <row r="345" spans="1:4" x14ac:dyDescent="0.35">
      <c r="A345" s="17">
        <v>36586</v>
      </c>
      <c r="B345" s="58">
        <f>VLOOKUP(Table17[[#This Row],[Date]],database!A:H,7,)</f>
        <v>84.263300000000001</v>
      </c>
      <c r="C345" s="66">
        <f t="shared" si="5"/>
        <v>5.9223657947262698E-3</v>
      </c>
      <c r="D345" s="66">
        <f>(Table17[[#This Row],[Index]]-B333)/B333</f>
        <v>6.5674386369614854E-2</v>
      </c>
    </row>
    <row r="346" spans="1:4" x14ac:dyDescent="0.35">
      <c r="A346" s="17">
        <v>36617</v>
      </c>
      <c r="B346" s="58">
        <f>VLOOKUP(Table17[[#This Row],[Date]],database!A:H,7,)</f>
        <v>84.588899999999995</v>
      </c>
      <c r="C346" s="66">
        <f t="shared" si="5"/>
        <v>3.8640784303485276E-3</v>
      </c>
      <c r="D346" s="66">
        <f>(Table17[[#This Row],[Index]]-B334)/B334</f>
        <v>6.4935604486913143E-2</v>
      </c>
    </row>
    <row r="347" spans="1:4" x14ac:dyDescent="0.35">
      <c r="A347" s="17">
        <v>36647</v>
      </c>
      <c r="B347" s="58">
        <f>VLOOKUP(Table17[[#This Row],[Date]],database!A:H,7,)</f>
        <v>84.988900000000001</v>
      </c>
      <c r="C347" s="66">
        <f t="shared" si="5"/>
        <v>4.7287528269075452E-3</v>
      </c>
      <c r="D347" s="66">
        <f>(Table17[[#This Row],[Index]]-B335)/B335</f>
        <v>6.474894951929705E-2</v>
      </c>
    </row>
    <row r="348" spans="1:4" x14ac:dyDescent="0.35">
      <c r="A348" s="17">
        <v>36678</v>
      </c>
      <c r="B348" s="58">
        <f>VLOOKUP(Table17[[#This Row],[Date]],database!A:H,7,)</f>
        <v>85.092500000000001</v>
      </c>
      <c r="C348" s="66">
        <f t="shared" si="5"/>
        <v>1.2189827142132792E-3</v>
      </c>
      <c r="D348" s="66">
        <f>(Table17[[#This Row],[Index]]-B336)/B336</f>
        <v>6.0086409017633076E-2</v>
      </c>
    </row>
    <row r="349" spans="1:4" x14ac:dyDescent="0.35">
      <c r="A349" s="17">
        <v>36708</v>
      </c>
      <c r="B349" s="58">
        <f>VLOOKUP(Table17[[#This Row],[Date]],database!A:H,7,)</f>
        <v>84.702600000000004</v>
      </c>
      <c r="C349" s="66">
        <f t="shared" si="5"/>
        <v>-4.5820724505685195E-3</v>
      </c>
      <c r="D349" s="66">
        <f>(Table17[[#This Row],[Index]]-B337)/B337</f>
        <v>4.2566678523908857E-2</v>
      </c>
    </row>
    <row r="350" spans="1:4" x14ac:dyDescent="0.35">
      <c r="A350" s="17">
        <v>36739</v>
      </c>
      <c r="B350" s="58">
        <f>VLOOKUP(Table17[[#This Row],[Date]],database!A:H,7,)</f>
        <v>84.738699999999994</v>
      </c>
      <c r="C350" s="66">
        <f t="shared" si="5"/>
        <v>4.2619707069202484E-4</v>
      </c>
      <c r="D350" s="66">
        <f>(Table17[[#This Row],[Index]]-B338)/B338</f>
        <v>4.2856984627653472E-2</v>
      </c>
    </row>
    <row r="351" spans="1:4" x14ac:dyDescent="0.35">
      <c r="A351" s="17">
        <v>36770</v>
      </c>
      <c r="B351" s="58">
        <f>VLOOKUP(Table17[[#This Row],[Date]],database!A:H,7,)</f>
        <v>84.912599999999998</v>
      </c>
      <c r="C351" s="66">
        <f t="shared" si="5"/>
        <v>2.0521910296005252E-3</v>
      </c>
      <c r="D351" s="66">
        <f>(Table17[[#This Row],[Index]]-B339)/B339</f>
        <v>4.7830239669482556E-2</v>
      </c>
    </row>
    <row r="352" spans="1:4" x14ac:dyDescent="0.35">
      <c r="A352" s="17">
        <v>36800</v>
      </c>
      <c r="B352" s="58">
        <f>VLOOKUP(Table17[[#This Row],[Date]],database!A:H,7,)</f>
        <v>84.807100000000005</v>
      </c>
      <c r="C352" s="66">
        <f t="shared" si="5"/>
        <v>-1.2424540056480415E-3</v>
      </c>
      <c r="D352" s="66">
        <f>(Table17[[#This Row],[Index]]-B340)/B340</f>
        <v>3.3987039667396315E-2</v>
      </c>
    </row>
    <row r="353" spans="1:4" x14ac:dyDescent="0.35">
      <c r="A353" s="17">
        <v>36831</v>
      </c>
      <c r="B353" s="58">
        <f>VLOOKUP(Table17[[#This Row],[Date]],database!A:H,7,)</f>
        <v>84.62</v>
      </c>
      <c r="C353" s="66">
        <f t="shared" si="5"/>
        <v>-2.2061832087172384E-3</v>
      </c>
      <c r="D353" s="66">
        <f>(Table17[[#This Row],[Index]]-B341)/B341</f>
        <v>2.0772515621607378E-2</v>
      </c>
    </row>
    <row r="354" spans="1:4" x14ac:dyDescent="0.35">
      <c r="A354" s="17">
        <v>36861</v>
      </c>
      <c r="B354" s="58">
        <f>VLOOKUP(Table17[[#This Row],[Date]],database!A:H,7,)</f>
        <v>84.084100000000007</v>
      </c>
      <c r="C354" s="66">
        <f t="shared" si="5"/>
        <v>-6.3330181990073342E-3</v>
      </c>
      <c r="D354" s="66">
        <f>(Table17[[#This Row],[Index]]-B342)/B342</f>
        <v>7.9307141358746988E-3</v>
      </c>
    </row>
    <row r="355" spans="1:4" x14ac:dyDescent="0.35">
      <c r="A355" s="17">
        <v>36892</v>
      </c>
      <c r="B355" s="58">
        <f>VLOOKUP(Table17[[#This Row],[Date]],database!A:H,7,)</f>
        <v>83.301699999999997</v>
      </c>
      <c r="C355" s="66">
        <f t="shared" si="5"/>
        <v>-9.304969667273677E-3</v>
      </c>
      <c r="D355" s="66">
        <f>(Table17[[#This Row],[Index]]-B343)/B343</f>
        <v>-3.7671900469642755E-3</v>
      </c>
    </row>
    <row r="356" spans="1:4" x14ac:dyDescent="0.35">
      <c r="A356" s="17">
        <v>36923</v>
      </c>
      <c r="B356" s="58">
        <f>VLOOKUP(Table17[[#This Row],[Date]],database!A:H,7,)</f>
        <v>82.897000000000006</v>
      </c>
      <c r="C356" s="66">
        <f t="shared" si="5"/>
        <v>-4.8582441894942097E-3</v>
      </c>
      <c r="D356" s="66">
        <f>(Table17[[#This Row],[Index]]-B344)/B344</f>
        <v>-1.0388314280529812E-2</v>
      </c>
    </row>
    <row r="357" spans="1:4" x14ac:dyDescent="0.35">
      <c r="A357" s="17">
        <v>36951</v>
      </c>
      <c r="B357" s="58">
        <f>VLOOKUP(Table17[[#This Row],[Date]],database!A:H,7,)</f>
        <v>82.613799999999998</v>
      </c>
      <c r="C357" s="66">
        <f t="shared" si="5"/>
        <v>-3.4162876823046195E-3</v>
      </c>
      <c r="D357" s="66">
        <f>(Table17[[#This Row],[Index]]-B345)/B345</f>
        <v>-1.9575544750799024E-2</v>
      </c>
    </row>
    <row r="358" spans="1:4" x14ac:dyDescent="0.35">
      <c r="A358" s="17">
        <v>36982</v>
      </c>
      <c r="B358" s="58">
        <f>VLOOKUP(Table17[[#This Row],[Date]],database!A:H,7,)</f>
        <v>82.410300000000007</v>
      </c>
      <c r="C358" s="66">
        <f t="shared" si="5"/>
        <v>-2.4632688485457521E-3</v>
      </c>
      <c r="D358" s="66">
        <f>(Table17[[#This Row],[Index]]-B346)/B346</f>
        <v>-2.5755152271751836E-2</v>
      </c>
    </row>
    <row r="359" spans="1:4" x14ac:dyDescent="0.35">
      <c r="A359" s="17">
        <v>37012</v>
      </c>
      <c r="B359" s="58">
        <f>VLOOKUP(Table17[[#This Row],[Date]],database!A:H,7,)</f>
        <v>81.851799999999997</v>
      </c>
      <c r="C359" s="66">
        <f t="shared" si="5"/>
        <v>-6.7770654881733616E-3</v>
      </c>
      <c r="D359" s="66">
        <f>(Table17[[#This Row],[Index]]-B347)/B347</f>
        <v>-3.6911879080679992E-2</v>
      </c>
    </row>
    <row r="360" spans="1:4" x14ac:dyDescent="0.35">
      <c r="A360" s="17">
        <v>37043</v>
      </c>
      <c r="B360" s="58">
        <f>VLOOKUP(Table17[[#This Row],[Date]],database!A:H,7,)</f>
        <v>81.096299999999999</v>
      </c>
      <c r="C360" s="66">
        <f t="shared" si="5"/>
        <v>-9.2300963448573858E-3</v>
      </c>
      <c r="D360" s="66">
        <f>(Table17[[#This Row],[Index]]-B348)/B348</f>
        <v>-4.6963010841143481E-2</v>
      </c>
    </row>
    <row r="361" spans="1:4" x14ac:dyDescent="0.35">
      <c r="A361" s="17">
        <v>37073</v>
      </c>
      <c r="B361" s="58">
        <f>VLOOKUP(Table17[[#This Row],[Date]],database!A:H,7,)</f>
        <v>80.449399999999997</v>
      </c>
      <c r="C361" s="66">
        <f t="shared" si="5"/>
        <v>-7.9769360624344365E-3</v>
      </c>
      <c r="D361" s="66">
        <f>(Table17[[#This Row],[Index]]-B349)/B349</f>
        <v>-5.0213334655606873E-2</v>
      </c>
    </row>
    <row r="362" spans="1:4" x14ac:dyDescent="0.35">
      <c r="A362" s="17">
        <v>37104</v>
      </c>
      <c r="B362" s="58">
        <f>VLOOKUP(Table17[[#This Row],[Date]],database!A:H,7,)</f>
        <v>80.750100000000003</v>
      </c>
      <c r="C362" s="66">
        <f t="shared" si="5"/>
        <v>3.7377531715587775E-3</v>
      </c>
      <c r="D362" s="66">
        <f>(Table17[[#This Row],[Index]]-B350)/B350</f>
        <v>-4.7069402764026248E-2</v>
      </c>
    </row>
    <row r="363" spans="1:4" x14ac:dyDescent="0.35">
      <c r="A363" s="17">
        <v>37135</v>
      </c>
      <c r="B363" s="58">
        <f>VLOOKUP(Table17[[#This Row],[Date]],database!A:H,7,)</f>
        <v>80.415599999999998</v>
      </c>
      <c r="C363" s="66">
        <f t="shared" si="5"/>
        <v>-4.1424097307619645E-3</v>
      </c>
      <c r="D363" s="66">
        <f>(Table17[[#This Row],[Index]]-B351)/B351</f>
        <v>-5.296033804170406E-2</v>
      </c>
    </row>
    <row r="364" spans="1:4" x14ac:dyDescent="0.35">
      <c r="A364" s="17">
        <v>37165</v>
      </c>
      <c r="B364" s="58">
        <f>VLOOKUP(Table17[[#This Row],[Date]],database!A:H,7,)</f>
        <v>80.035600000000002</v>
      </c>
      <c r="C364" s="66">
        <f t="shared" si="5"/>
        <v>-4.7254512805972038E-3</v>
      </c>
      <c r="D364" s="66">
        <f>(Table17[[#This Row],[Index]]-B352)/B352</f>
        <v>-5.6262977981796372E-2</v>
      </c>
    </row>
    <row r="365" spans="1:4" x14ac:dyDescent="0.35">
      <c r="A365" s="17">
        <v>37196</v>
      </c>
      <c r="B365" s="58">
        <f>VLOOKUP(Table17[[#This Row],[Date]],database!A:H,7,)</f>
        <v>79.450100000000006</v>
      </c>
      <c r="C365" s="66">
        <f t="shared" si="5"/>
        <v>-7.3154946049007741E-3</v>
      </c>
      <c r="D365" s="66">
        <f>(Table17[[#This Row],[Index]]-B353)/B353</f>
        <v>-6.1095485700779932E-2</v>
      </c>
    </row>
    <row r="366" spans="1:4" x14ac:dyDescent="0.35">
      <c r="A366" s="17">
        <v>37226</v>
      </c>
      <c r="B366" s="58">
        <f>VLOOKUP(Table17[[#This Row],[Date]],database!A:H,7,)</f>
        <v>79.239999999999995</v>
      </c>
      <c r="C366" s="66">
        <f t="shared" si="5"/>
        <v>-2.6444271309917777E-3</v>
      </c>
      <c r="D366" s="66">
        <f>(Table17[[#This Row],[Index]]-B354)/B354</f>
        <v>-5.7610178380930653E-2</v>
      </c>
    </row>
    <row r="367" spans="1:4" x14ac:dyDescent="0.35">
      <c r="A367" s="17">
        <v>37257</v>
      </c>
      <c r="B367" s="58">
        <f>VLOOKUP(Table17[[#This Row],[Date]],database!A:H,7,)</f>
        <v>80.111599999999996</v>
      </c>
      <c r="C367" s="66">
        <f t="shared" si="5"/>
        <v>1.0999495204442322E-2</v>
      </c>
      <c r="D367" s="66">
        <f>(Table17[[#This Row],[Index]]-B355)/B355</f>
        <v>-3.8295737061788668E-2</v>
      </c>
    </row>
    <row r="368" spans="1:4" x14ac:dyDescent="0.35">
      <c r="A368" s="17">
        <v>37288</v>
      </c>
      <c r="B368" s="58">
        <f>VLOOKUP(Table17[[#This Row],[Date]],database!A:H,7,)</f>
        <v>80.529499999999999</v>
      </c>
      <c r="C368" s="66">
        <f t="shared" si="5"/>
        <v>5.2164730201369469E-3</v>
      </c>
      <c r="D368" s="66">
        <f>(Table17[[#This Row],[Index]]-B356)/B356</f>
        <v>-2.8559537739604651E-2</v>
      </c>
    </row>
    <row r="369" spans="1:4" x14ac:dyDescent="0.35">
      <c r="A369" s="17">
        <v>37316</v>
      </c>
      <c r="B369" s="58">
        <f>VLOOKUP(Table17[[#This Row],[Date]],database!A:H,7,)</f>
        <v>81.1678</v>
      </c>
      <c r="C369" s="66">
        <f t="shared" si="5"/>
        <v>7.9262878820804961E-3</v>
      </c>
      <c r="D369" s="66">
        <f>(Table17[[#This Row],[Index]]-B357)/B357</f>
        <v>-1.7503129017185967E-2</v>
      </c>
    </row>
    <row r="370" spans="1:4" x14ac:dyDescent="0.35">
      <c r="A370" s="17">
        <v>37347</v>
      </c>
      <c r="B370" s="58">
        <f>VLOOKUP(Table17[[#This Row],[Date]],database!A:H,7,)</f>
        <v>82.129199999999997</v>
      </c>
      <c r="C370" s="66">
        <f t="shared" si="5"/>
        <v>1.1844598473778944E-2</v>
      </c>
      <c r="D370" s="66">
        <f>(Table17[[#This Row],[Index]]-B358)/B358</f>
        <v>-3.4109813943161136E-3</v>
      </c>
    </row>
    <row r="371" spans="1:4" x14ac:dyDescent="0.35">
      <c r="A371" s="17">
        <v>37377</v>
      </c>
      <c r="B371" s="58">
        <f>VLOOKUP(Table17[[#This Row],[Date]],database!A:H,7,)</f>
        <v>82.492000000000004</v>
      </c>
      <c r="C371" s="66">
        <f t="shared" si="5"/>
        <v>4.4174300979433756E-3</v>
      </c>
      <c r="D371" s="66">
        <f>(Table17[[#This Row],[Index]]-B359)/B359</f>
        <v>7.821452918567548E-3</v>
      </c>
    </row>
    <row r="372" spans="1:4" x14ac:dyDescent="0.35">
      <c r="A372" s="17">
        <v>37408</v>
      </c>
      <c r="B372" s="58">
        <f>VLOOKUP(Table17[[#This Row],[Date]],database!A:H,7,)</f>
        <v>83.164699999999996</v>
      </c>
      <c r="C372" s="66">
        <f t="shared" si="5"/>
        <v>8.1547301556512686E-3</v>
      </c>
      <c r="D372" s="66">
        <f>(Table17[[#This Row],[Index]]-B360)/B360</f>
        <v>2.5505479288204232E-2</v>
      </c>
    </row>
    <row r="373" spans="1:4" x14ac:dyDescent="0.35">
      <c r="A373" s="17">
        <v>37438</v>
      </c>
      <c r="B373" s="58">
        <f>VLOOKUP(Table17[[#This Row],[Date]],database!A:H,7,)</f>
        <v>83.197500000000005</v>
      </c>
      <c r="C373" s="66">
        <f t="shared" si="5"/>
        <v>3.9439810400332398E-4</v>
      </c>
      <c r="D373" s="66">
        <f>(Table17[[#This Row],[Index]]-B361)/B361</f>
        <v>3.4159359796344137E-2</v>
      </c>
    </row>
    <row r="374" spans="1:4" x14ac:dyDescent="0.35">
      <c r="A374" s="17">
        <v>37469</v>
      </c>
      <c r="B374" s="58">
        <f>VLOOKUP(Table17[[#This Row],[Date]],database!A:H,7,)</f>
        <v>83.242599999999996</v>
      </c>
      <c r="C374" s="66">
        <f t="shared" si="5"/>
        <v>5.4208359626173319E-4</v>
      </c>
      <c r="D374" s="66">
        <f>(Table17[[#This Row],[Index]]-B362)/B362</f>
        <v>3.0866834839832921E-2</v>
      </c>
    </row>
    <row r="375" spans="1:4" x14ac:dyDescent="0.35">
      <c r="A375" s="17">
        <v>37500</v>
      </c>
      <c r="B375" s="58">
        <f>VLOOKUP(Table17[[#This Row],[Date]],database!A:H,7,)</f>
        <v>83.102800000000002</v>
      </c>
      <c r="C375" s="66">
        <f t="shared" si="5"/>
        <v>-1.6794285618180194E-3</v>
      </c>
      <c r="D375" s="66">
        <f>(Table17[[#This Row],[Index]]-B363)/B363</f>
        <v>3.3416401792687046E-2</v>
      </c>
    </row>
    <row r="376" spans="1:4" x14ac:dyDescent="0.35">
      <c r="A376" s="17">
        <v>37530</v>
      </c>
      <c r="B376" s="58">
        <f>VLOOKUP(Table17[[#This Row],[Date]],database!A:H,7,)</f>
        <v>82.656499999999994</v>
      </c>
      <c r="C376" s="66">
        <f t="shared" si="5"/>
        <v>-5.3704568317795021E-3</v>
      </c>
      <c r="D376" s="66">
        <f>(Table17[[#This Row],[Index]]-B364)/B364</f>
        <v>3.2746677728410757E-2</v>
      </c>
    </row>
    <row r="377" spans="1:4" x14ac:dyDescent="0.35">
      <c r="A377" s="17">
        <v>37561</v>
      </c>
      <c r="B377" s="58">
        <f>VLOOKUP(Table17[[#This Row],[Date]],database!A:H,7,)</f>
        <v>83.299599999999998</v>
      </c>
      <c r="C377" s="66">
        <f t="shared" si="5"/>
        <v>7.7803923466395197E-3</v>
      </c>
      <c r="D377" s="66">
        <f>(Table17[[#This Row],[Index]]-B365)/B365</f>
        <v>4.845179552952094E-2</v>
      </c>
    </row>
    <row r="378" spans="1:4" x14ac:dyDescent="0.35">
      <c r="A378" s="17">
        <v>37591</v>
      </c>
      <c r="B378" s="58">
        <f>VLOOKUP(Table17[[#This Row],[Date]],database!A:H,7,)</f>
        <v>82.969800000000006</v>
      </c>
      <c r="C378" s="66">
        <f t="shared" si="5"/>
        <v>-3.9592026852468543E-3</v>
      </c>
      <c r="D378" s="66">
        <f>(Table17[[#This Row],[Index]]-B366)/B366</f>
        <v>4.706966178697642E-2</v>
      </c>
    </row>
    <row r="379" spans="1:4" x14ac:dyDescent="0.35">
      <c r="A379" s="17">
        <v>37622</v>
      </c>
      <c r="B379" s="58">
        <f>VLOOKUP(Table17[[#This Row],[Date]],database!A:H,7,)</f>
        <v>83.535399999999996</v>
      </c>
      <c r="C379" s="66">
        <f t="shared" si="5"/>
        <v>6.8169382112526211E-3</v>
      </c>
      <c r="D379" s="66">
        <f>(Table17[[#This Row],[Index]]-B367)/B367</f>
        <v>4.2737880656484206E-2</v>
      </c>
    </row>
    <row r="380" spans="1:4" x14ac:dyDescent="0.35">
      <c r="A380" s="17">
        <v>37653</v>
      </c>
      <c r="B380" s="58">
        <f>VLOOKUP(Table17[[#This Row],[Date]],database!A:H,7,)</f>
        <v>83.523200000000003</v>
      </c>
      <c r="C380" s="66">
        <f t="shared" si="5"/>
        <v>-1.4604586797928309E-4</v>
      </c>
      <c r="D380" s="66">
        <f>(Table17[[#This Row],[Index]]-B368)/B368</f>
        <v>3.717519666705995E-2</v>
      </c>
    </row>
    <row r="381" spans="1:4" x14ac:dyDescent="0.35">
      <c r="A381" s="17">
        <v>37681</v>
      </c>
      <c r="B381" s="58">
        <f>VLOOKUP(Table17[[#This Row],[Date]],database!A:H,7,)</f>
        <v>82.985100000000003</v>
      </c>
      <c r="C381" s="66">
        <f t="shared" si="5"/>
        <v>-6.442521359334874E-3</v>
      </c>
      <c r="D381" s="66">
        <f>(Table17[[#This Row],[Index]]-B369)/B369</f>
        <v>2.2389420435197246E-2</v>
      </c>
    </row>
    <row r="382" spans="1:4" x14ac:dyDescent="0.35">
      <c r="A382" s="17">
        <v>37712</v>
      </c>
      <c r="B382" s="58">
        <f>VLOOKUP(Table17[[#This Row],[Date]],database!A:H,7,)</f>
        <v>82.680499999999995</v>
      </c>
      <c r="C382" s="66">
        <f t="shared" si="5"/>
        <v>-3.6705384460584689E-3</v>
      </c>
      <c r="D382" s="66">
        <f>(Table17[[#This Row],[Index]]-B370)/B370</f>
        <v>6.7125943026353323E-3</v>
      </c>
    </row>
    <row r="383" spans="1:4" x14ac:dyDescent="0.35">
      <c r="A383" s="17">
        <v>37742</v>
      </c>
      <c r="B383" s="58">
        <f>VLOOKUP(Table17[[#This Row],[Date]],database!A:H,7,)</f>
        <v>82.603999999999999</v>
      </c>
      <c r="C383" s="66">
        <f t="shared" si="5"/>
        <v>-9.2524839593366437E-4</v>
      </c>
      <c r="D383" s="66">
        <f>(Table17[[#This Row],[Index]]-B371)/B371</f>
        <v>1.3577074140522082E-3</v>
      </c>
    </row>
    <row r="384" spans="1:4" x14ac:dyDescent="0.35">
      <c r="A384" s="17">
        <v>37773</v>
      </c>
      <c r="B384" s="58">
        <f>VLOOKUP(Table17[[#This Row],[Date]],database!A:H,7,)</f>
        <v>82.727699999999999</v>
      </c>
      <c r="C384" s="66">
        <f t="shared" si="5"/>
        <v>1.4975061740352125E-3</v>
      </c>
      <c r="D384" s="66">
        <f>(Table17[[#This Row],[Index]]-B372)/B372</f>
        <v>-5.2546332758970768E-3</v>
      </c>
    </row>
    <row r="385" spans="1:4" x14ac:dyDescent="0.35">
      <c r="A385" s="17">
        <v>37803</v>
      </c>
      <c r="B385" s="58">
        <f>VLOOKUP(Table17[[#This Row],[Date]],database!A:H,7,)</f>
        <v>82.988</v>
      </c>
      <c r="C385" s="66">
        <f t="shared" si="5"/>
        <v>3.1464672654988313E-3</v>
      </c>
      <c r="D385" s="66">
        <f>(Table17[[#This Row],[Index]]-B373)/B373</f>
        <v>-2.5181045103519406E-3</v>
      </c>
    </row>
    <row r="386" spans="1:4" x14ac:dyDescent="0.35">
      <c r="A386" s="17">
        <v>37834</v>
      </c>
      <c r="B386" s="58">
        <f>VLOOKUP(Table17[[#This Row],[Date]],database!A:H,7,)</f>
        <v>83.007000000000005</v>
      </c>
      <c r="C386" s="66">
        <f t="shared" si="5"/>
        <v>2.2894876367685058E-4</v>
      </c>
      <c r="D386" s="66">
        <f>(Table17[[#This Row],[Index]]-B374)/B374</f>
        <v>-2.8302816106175318E-3</v>
      </c>
    </row>
    <row r="387" spans="1:4" x14ac:dyDescent="0.35">
      <c r="A387" s="17">
        <v>37865</v>
      </c>
      <c r="B387" s="58">
        <f>VLOOKUP(Table17[[#This Row],[Date]],database!A:H,7,)</f>
        <v>83.582099999999997</v>
      </c>
      <c r="C387" s="66">
        <f t="shared" si="5"/>
        <v>6.9283313455490436E-3</v>
      </c>
      <c r="D387" s="66">
        <f>(Table17[[#This Row],[Index]]-B375)/B375</f>
        <v>5.7675553651621234E-3</v>
      </c>
    </row>
    <row r="388" spans="1:4" x14ac:dyDescent="0.35">
      <c r="A388" s="17">
        <v>37895</v>
      </c>
      <c r="B388" s="58">
        <f>VLOOKUP(Table17[[#This Row],[Date]],database!A:H,7,)</f>
        <v>84.132199999999997</v>
      </c>
      <c r="C388" s="66">
        <f t="shared" si="5"/>
        <v>6.5815527487345094E-3</v>
      </c>
      <c r="D388" s="66">
        <f>(Table17[[#This Row],[Index]]-B376)/B376</f>
        <v>1.7853405358320321E-2</v>
      </c>
    </row>
    <row r="389" spans="1:4" x14ac:dyDescent="0.35">
      <c r="A389" s="17">
        <v>37926</v>
      </c>
      <c r="B389" s="58">
        <f>VLOOKUP(Table17[[#This Row],[Date]],database!A:H,7,)</f>
        <v>84.562399999999997</v>
      </c>
      <c r="C389" s="66">
        <f t="shared" si="5"/>
        <v>5.1133810835803928E-3</v>
      </c>
      <c r="D389" s="66">
        <f>(Table17[[#This Row],[Index]]-B377)/B377</f>
        <v>1.5159736661400518E-2</v>
      </c>
    </row>
    <row r="390" spans="1:4" x14ac:dyDescent="0.35">
      <c r="A390" s="17">
        <v>37956</v>
      </c>
      <c r="B390" s="58">
        <f>VLOOKUP(Table17[[#This Row],[Date]],database!A:H,7,)</f>
        <v>84.742599999999996</v>
      </c>
      <c r="C390" s="66">
        <f t="shared" si="5"/>
        <v>2.130970738768001E-3</v>
      </c>
      <c r="D390" s="66">
        <f>(Table17[[#This Row],[Index]]-B378)/B378</f>
        <v>2.1366810574449852E-2</v>
      </c>
    </row>
    <row r="391" spans="1:4" x14ac:dyDescent="0.35">
      <c r="A391" s="17">
        <v>37987</v>
      </c>
      <c r="B391" s="58">
        <f>VLOOKUP(Table17[[#This Row],[Date]],database!A:H,7,)</f>
        <v>84.871700000000004</v>
      </c>
      <c r="C391" s="66">
        <f t="shared" si="5"/>
        <v>1.5234368546634958E-3</v>
      </c>
      <c r="D391" s="66">
        <f>(Table17[[#This Row],[Index]]-B379)/B379</f>
        <v>1.5996810932850127E-2</v>
      </c>
    </row>
    <row r="392" spans="1:4" x14ac:dyDescent="0.35">
      <c r="A392" s="17">
        <v>38018</v>
      </c>
      <c r="B392" s="58">
        <f>VLOOKUP(Table17[[#This Row],[Date]],database!A:H,7,)</f>
        <v>85.289900000000003</v>
      </c>
      <c r="C392" s="66">
        <f t="shared" ref="C392:C455" si="6">B392/B391-1</f>
        <v>4.9274375321808339E-3</v>
      </c>
      <c r="D392" s="66">
        <f>(Table17[[#This Row],[Index]]-B380)/B380</f>
        <v>2.115220681199954E-2</v>
      </c>
    </row>
    <row r="393" spans="1:4" x14ac:dyDescent="0.35">
      <c r="A393" s="17">
        <v>38047</v>
      </c>
      <c r="B393" s="58">
        <f>VLOOKUP(Table17[[#This Row],[Date]],database!A:H,7,)</f>
        <v>85.179199999999994</v>
      </c>
      <c r="C393" s="66">
        <f t="shared" si="6"/>
        <v>-1.2979262491807919E-3</v>
      </c>
      <c r="D393" s="66">
        <f>(Table17[[#This Row],[Index]]-B381)/B381</f>
        <v>2.6439686160527512E-2</v>
      </c>
    </row>
    <row r="394" spans="1:4" x14ac:dyDescent="0.35">
      <c r="A394" s="17">
        <v>38078</v>
      </c>
      <c r="B394" s="58">
        <f>VLOOKUP(Table17[[#This Row],[Date]],database!A:H,7,)</f>
        <v>85.480800000000002</v>
      </c>
      <c r="C394" s="66">
        <f t="shared" si="6"/>
        <v>3.5407705167460612E-3</v>
      </c>
      <c r="D394" s="66">
        <f>(Table17[[#This Row],[Index]]-B382)/B382</f>
        <v>3.3868929191284612E-2</v>
      </c>
    </row>
    <row r="395" spans="1:4" x14ac:dyDescent="0.35">
      <c r="A395" s="17">
        <v>38108</v>
      </c>
      <c r="B395" s="58">
        <f>VLOOKUP(Table17[[#This Row],[Date]],database!A:H,7,)</f>
        <v>86.231700000000004</v>
      </c>
      <c r="C395" s="66">
        <f t="shared" si="6"/>
        <v>8.7844287840077584E-3</v>
      </c>
      <c r="D395" s="66">
        <f>(Table17[[#This Row],[Index]]-B383)/B383</f>
        <v>4.3916759478959913E-2</v>
      </c>
    </row>
    <row r="396" spans="1:4" x14ac:dyDescent="0.35">
      <c r="A396" s="17">
        <v>38139</v>
      </c>
      <c r="B396" s="58">
        <f>VLOOKUP(Table17[[#This Row],[Date]],database!A:H,7,)</f>
        <v>85.615899999999996</v>
      </c>
      <c r="C396" s="66">
        <f t="shared" si="6"/>
        <v>-7.1412253266490699E-3</v>
      </c>
      <c r="D396" s="66">
        <f>(Table17[[#This Row],[Index]]-B384)/B384</f>
        <v>3.4912127376924507E-2</v>
      </c>
    </row>
    <row r="397" spans="1:4" x14ac:dyDescent="0.35">
      <c r="A397" s="17">
        <v>38169</v>
      </c>
      <c r="B397" s="58">
        <f>VLOOKUP(Table17[[#This Row],[Date]],database!A:H,7,)</f>
        <v>86.204099999999997</v>
      </c>
      <c r="C397" s="66">
        <f t="shared" si="6"/>
        <v>6.8702191999383544E-3</v>
      </c>
      <c r="D397" s="66">
        <f>(Table17[[#This Row],[Index]]-B385)/B385</f>
        <v>3.8753795729503028E-2</v>
      </c>
    </row>
    <row r="398" spans="1:4" x14ac:dyDescent="0.35">
      <c r="A398" s="17">
        <v>38200</v>
      </c>
      <c r="B398" s="58">
        <f>VLOOKUP(Table17[[#This Row],[Date]],database!A:H,7,)</f>
        <v>86.174599999999998</v>
      </c>
      <c r="C398" s="66">
        <f t="shared" si="6"/>
        <v>-3.4221110132814925E-4</v>
      </c>
      <c r="D398" s="66">
        <f>(Table17[[#This Row],[Index]]-B386)/B386</f>
        <v>3.8160637054706147E-2</v>
      </c>
    </row>
    <row r="399" spans="1:4" x14ac:dyDescent="0.35">
      <c r="A399" s="17">
        <v>38231</v>
      </c>
      <c r="B399" s="58">
        <f>VLOOKUP(Table17[[#This Row],[Date]],database!A:H,7,)</f>
        <v>86.401799999999994</v>
      </c>
      <c r="C399" s="66">
        <f t="shared" si="6"/>
        <v>2.63650774126023E-3</v>
      </c>
      <c r="D399" s="66">
        <f>(Table17[[#This Row],[Index]]-B387)/B387</f>
        <v>3.3735692211609873E-2</v>
      </c>
    </row>
    <row r="400" spans="1:4" x14ac:dyDescent="0.35">
      <c r="A400" s="17">
        <v>38261</v>
      </c>
      <c r="B400" s="58">
        <f>VLOOKUP(Table17[[#This Row],[Date]],database!A:H,7,)</f>
        <v>87.196700000000007</v>
      </c>
      <c r="C400" s="66">
        <f t="shared" si="6"/>
        <v>9.2000398139855388E-3</v>
      </c>
      <c r="D400" s="66">
        <f>(Table17[[#This Row],[Index]]-B388)/B388</f>
        <v>3.6424817133035976E-2</v>
      </c>
    </row>
    <row r="401" spans="1:4" x14ac:dyDescent="0.35">
      <c r="A401" s="17">
        <v>38292</v>
      </c>
      <c r="B401" s="58">
        <f>VLOOKUP(Table17[[#This Row],[Date]],database!A:H,7,)</f>
        <v>87.720200000000006</v>
      </c>
      <c r="C401" s="66">
        <f t="shared" si="6"/>
        <v>6.0036675699883801E-3</v>
      </c>
      <c r="D401" s="66">
        <f>(Table17[[#This Row],[Index]]-B389)/B389</f>
        <v>3.7342837951619266E-2</v>
      </c>
    </row>
    <row r="402" spans="1:4" x14ac:dyDescent="0.35">
      <c r="A402" s="17">
        <v>38322</v>
      </c>
      <c r="B402" s="58">
        <f>VLOOKUP(Table17[[#This Row],[Date]],database!A:H,7,)</f>
        <v>88.4405</v>
      </c>
      <c r="C402" s="66">
        <f t="shared" si="6"/>
        <v>8.2113355874700034E-3</v>
      </c>
      <c r="D402" s="66">
        <f>(Table17[[#This Row],[Index]]-B390)/B390</f>
        <v>4.3636848527187085E-2</v>
      </c>
    </row>
    <row r="403" spans="1:4" x14ac:dyDescent="0.35">
      <c r="A403" s="17">
        <v>38353</v>
      </c>
      <c r="B403" s="58">
        <f>VLOOKUP(Table17[[#This Row],[Date]],database!A:H,7,)</f>
        <v>88.406700000000001</v>
      </c>
      <c r="C403" s="66">
        <f t="shared" si="6"/>
        <v>-3.8217784838390223E-4</v>
      </c>
      <c r="D403" s="66">
        <f>(Table17[[#This Row],[Index]]-B391)/B391</f>
        <v>4.1651103960448493E-2</v>
      </c>
    </row>
    <row r="404" spans="1:4" x14ac:dyDescent="0.35">
      <c r="A404" s="17">
        <v>38384</v>
      </c>
      <c r="B404" s="58">
        <f>VLOOKUP(Table17[[#This Row],[Date]],database!A:H,7,)</f>
        <v>89.089500000000001</v>
      </c>
      <c r="C404" s="66">
        <f t="shared" si="6"/>
        <v>7.723396529901061E-3</v>
      </c>
      <c r="D404" s="66">
        <f>(Table17[[#This Row],[Index]]-B392)/B392</f>
        <v>4.45492373657373E-2</v>
      </c>
    </row>
    <row r="405" spans="1:4" x14ac:dyDescent="0.35">
      <c r="A405" s="17">
        <v>38412</v>
      </c>
      <c r="B405" s="58">
        <f>VLOOKUP(Table17[[#This Row],[Date]],database!A:H,7,)</f>
        <v>89.112899999999996</v>
      </c>
      <c r="C405" s="66">
        <f t="shared" si="6"/>
        <v>2.6265721549667553E-4</v>
      </c>
      <c r="D405" s="66">
        <f>(Table17[[#This Row],[Index]]-B393)/B393</f>
        <v>4.618146214099219E-2</v>
      </c>
    </row>
    <row r="406" spans="1:4" x14ac:dyDescent="0.35">
      <c r="A406" s="17">
        <v>38443</v>
      </c>
      <c r="B406" s="58">
        <f>VLOOKUP(Table17[[#This Row],[Date]],database!A:H,7,)</f>
        <v>88.929400000000001</v>
      </c>
      <c r="C406" s="66">
        <f t="shared" si="6"/>
        <v>-2.0591855949025906E-3</v>
      </c>
      <c r="D406" s="66">
        <f>(Table17[[#This Row],[Index]]-B394)/B394</f>
        <v>4.0343562531001104E-2</v>
      </c>
    </row>
    <row r="407" spans="1:4" x14ac:dyDescent="0.35">
      <c r="A407" s="17">
        <v>38473</v>
      </c>
      <c r="B407" s="58">
        <f>VLOOKUP(Table17[[#This Row],[Date]],database!A:H,7,)</f>
        <v>88.735100000000003</v>
      </c>
      <c r="C407" s="66">
        <f t="shared" si="6"/>
        <v>-2.1848792412857421E-3</v>
      </c>
      <c r="D407" s="66">
        <f>(Table17[[#This Row],[Index]]-B395)/B395</f>
        <v>2.9031087175597825E-2</v>
      </c>
    </row>
    <row r="408" spans="1:4" x14ac:dyDescent="0.35">
      <c r="A408" s="17">
        <v>38504</v>
      </c>
      <c r="B408" s="58">
        <f>VLOOKUP(Table17[[#This Row],[Date]],database!A:H,7,)</f>
        <v>89.037300000000002</v>
      </c>
      <c r="C408" s="66">
        <f t="shared" si="6"/>
        <v>3.4056421866881514E-3</v>
      </c>
      <c r="D408" s="66">
        <f>(Table17[[#This Row],[Index]]-B396)/B396</f>
        <v>3.9962203282334303E-2</v>
      </c>
    </row>
    <row r="409" spans="1:4" x14ac:dyDescent="0.35">
      <c r="A409" s="17">
        <v>38534</v>
      </c>
      <c r="B409" s="58">
        <f>VLOOKUP(Table17[[#This Row],[Date]],database!A:H,7,)</f>
        <v>88.75</v>
      </c>
      <c r="C409" s="66">
        <f t="shared" si="6"/>
        <v>-3.2267375583042712E-3</v>
      </c>
      <c r="D409" s="66">
        <f>(Table17[[#This Row],[Index]]-B397)/B397</f>
        <v>2.9533398063433216E-2</v>
      </c>
    </row>
    <row r="410" spans="1:4" x14ac:dyDescent="0.35">
      <c r="A410" s="17">
        <v>38565</v>
      </c>
      <c r="B410" s="58">
        <f>VLOOKUP(Table17[[#This Row],[Date]],database!A:H,7,)</f>
        <v>88.784599999999998</v>
      </c>
      <c r="C410" s="66">
        <f t="shared" si="6"/>
        <v>3.8985915492961709E-4</v>
      </c>
      <c r="D410" s="66">
        <f>(Table17[[#This Row],[Index]]-B398)/B398</f>
        <v>3.0287346851624486E-2</v>
      </c>
    </row>
    <row r="411" spans="1:4" x14ac:dyDescent="0.35">
      <c r="A411" s="17">
        <v>38596</v>
      </c>
      <c r="B411" s="58">
        <f>VLOOKUP(Table17[[#This Row],[Date]],database!A:H,7,)</f>
        <v>85.328800000000001</v>
      </c>
      <c r="C411" s="66">
        <f t="shared" si="6"/>
        <v>-3.8923416898876573E-2</v>
      </c>
      <c r="D411" s="66">
        <f>(Table17[[#This Row],[Index]]-B399)/B399</f>
        <v>-1.2418722758090611E-2</v>
      </c>
    </row>
    <row r="412" spans="1:4" x14ac:dyDescent="0.35">
      <c r="A412" s="17">
        <v>38626</v>
      </c>
      <c r="B412" s="58">
        <f>VLOOKUP(Table17[[#This Row],[Date]],database!A:H,7,)</f>
        <v>86.392600000000002</v>
      </c>
      <c r="C412" s="66">
        <f t="shared" si="6"/>
        <v>1.2467068563017492E-2</v>
      </c>
      <c r="D412" s="66">
        <f>(Table17[[#This Row],[Index]]-B400)/B400</f>
        <v>-9.221679260797774E-3</v>
      </c>
    </row>
    <row r="413" spans="1:4" x14ac:dyDescent="0.35">
      <c r="A413" s="17">
        <v>38657</v>
      </c>
      <c r="B413" s="58">
        <f>VLOOKUP(Table17[[#This Row],[Date]],database!A:H,7,)</f>
        <v>88.18</v>
      </c>
      <c r="C413" s="66">
        <f t="shared" si="6"/>
        <v>2.0689271997833103E-2</v>
      </c>
      <c r="D413" s="66">
        <f>(Table17[[#This Row],[Index]]-B401)/B401</f>
        <v>5.2416661156723457E-3</v>
      </c>
    </row>
    <row r="414" spans="1:4" x14ac:dyDescent="0.35">
      <c r="A414" s="17">
        <v>38687</v>
      </c>
      <c r="B414" s="58">
        <f>VLOOKUP(Table17[[#This Row],[Date]],database!A:H,7,)</f>
        <v>88.861400000000003</v>
      </c>
      <c r="C414" s="66">
        <f t="shared" si="6"/>
        <v>7.7273758221818589E-3</v>
      </c>
      <c r="D414" s="66">
        <f>(Table17[[#This Row],[Index]]-B402)/B402</f>
        <v>4.7591318457042096E-3</v>
      </c>
    </row>
    <row r="415" spans="1:4" x14ac:dyDescent="0.35">
      <c r="A415" s="17">
        <v>38718</v>
      </c>
      <c r="B415" s="58">
        <f>VLOOKUP(Table17[[#This Row],[Date]],database!A:H,7,)</f>
        <v>89.238299999999995</v>
      </c>
      <c r="C415" s="66">
        <f t="shared" si="6"/>
        <v>4.2414366642884449E-3</v>
      </c>
      <c r="D415" s="66">
        <f>(Table17[[#This Row],[Index]]-B403)/B403</f>
        <v>9.406526880881139E-3</v>
      </c>
    </row>
    <row r="416" spans="1:4" x14ac:dyDescent="0.35">
      <c r="A416" s="17">
        <v>38749</v>
      </c>
      <c r="B416" s="58">
        <f>VLOOKUP(Table17[[#This Row],[Date]],database!A:H,7,)</f>
        <v>89.574399999999997</v>
      </c>
      <c r="C416" s="66">
        <f t="shared" si="6"/>
        <v>3.7663200666082641E-3</v>
      </c>
      <c r="D416" s="66">
        <f>(Table17[[#This Row],[Index]]-B404)/B404</f>
        <v>5.4428411877942527E-3</v>
      </c>
    </row>
    <row r="417" spans="1:4" x14ac:dyDescent="0.35">
      <c r="A417" s="17">
        <v>38777</v>
      </c>
      <c r="B417" s="58">
        <f>VLOOKUP(Table17[[#This Row],[Date]],database!A:H,7,)</f>
        <v>89.571600000000004</v>
      </c>
      <c r="C417" s="66">
        <f t="shared" si="6"/>
        <v>-3.1258931123101519E-5</v>
      </c>
      <c r="D417" s="66">
        <f>(Table17[[#This Row],[Index]]-B405)/B405</f>
        <v>5.1474029012635375E-3</v>
      </c>
    </row>
    <row r="418" spans="1:4" x14ac:dyDescent="0.35">
      <c r="A418" s="17">
        <v>38808</v>
      </c>
      <c r="B418" s="58">
        <f>VLOOKUP(Table17[[#This Row],[Date]],database!A:H,7,)</f>
        <v>89.741600000000005</v>
      </c>
      <c r="C418" s="66">
        <f t="shared" si="6"/>
        <v>1.8979230023803417E-3</v>
      </c>
      <c r="D418" s="66">
        <f>(Table17[[#This Row],[Index]]-B406)/B406</f>
        <v>9.1330875953284773E-3</v>
      </c>
    </row>
    <row r="419" spans="1:4" x14ac:dyDescent="0.35">
      <c r="A419" s="17">
        <v>38838</v>
      </c>
      <c r="B419" s="58">
        <f>VLOOKUP(Table17[[#This Row],[Date]],database!A:H,7,)</f>
        <v>89.933400000000006</v>
      </c>
      <c r="C419" s="66">
        <f t="shared" si="6"/>
        <v>2.1372473858276564E-3</v>
      </c>
      <c r="D419" s="66">
        <f>(Table17[[#This Row],[Index]]-B407)/B407</f>
        <v>1.3504239021537173E-2</v>
      </c>
    </row>
    <row r="420" spans="1:4" x14ac:dyDescent="0.35">
      <c r="A420" s="17">
        <v>38869</v>
      </c>
      <c r="B420" s="58">
        <f>VLOOKUP(Table17[[#This Row],[Date]],database!A:H,7,)</f>
        <v>90.176400000000001</v>
      </c>
      <c r="C420" s="66">
        <f t="shared" si="6"/>
        <v>2.7019994796149138E-3</v>
      </c>
      <c r="D420" s="66">
        <f>(Table17[[#This Row],[Index]]-B408)/B408</f>
        <v>1.2793514628138982E-2</v>
      </c>
    </row>
    <row r="421" spans="1:4" x14ac:dyDescent="0.35">
      <c r="A421" s="17">
        <v>38899</v>
      </c>
      <c r="B421" s="58">
        <f>VLOOKUP(Table17[[#This Row],[Date]],database!A:H,7,)</f>
        <v>90.302700000000002</v>
      </c>
      <c r="C421" s="66">
        <f t="shared" si="6"/>
        <v>1.4005881804994846E-3</v>
      </c>
      <c r="D421" s="66">
        <f>(Table17[[#This Row],[Index]]-B409)/B409</f>
        <v>1.749521126760565E-2</v>
      </c>
    </row>
    <row r="422" spans="1:4" x14ac:dyDescent="0.35">
      <c r="A422" s="17">
        <v>38930</v>
      </c>
      <c r="B422" s="58">
        <f>VLOOKUP(Table17[[#This Row],[Date]],database!A:H,7,)</f>
        <v>90.567700000000002</v>
      </c>
      <c r="C422" s="66">
        <f t="shared" si="6"/>
        <v>2.9345744922355532E-3</v>
      </c>
      <c r="D422" s="66">
        <f>(Table17[[#This Row],[Index]]-B410)/B410</f>
        <v>2.008343789350861E-2</v>
      </c>
    </row>
    <row r="423" spans="1:4" x14ac:dyDescent="0.35">
      <c r="A423" s="17">
        <v>38961</v>
      </c>
      <c r="B423" s="58">
        <f>VLOOKUP(Table17[[#This Row],[Date]],database!A:H,7,)</f>
        <v>90.382400000000004</v>
      </c>
      <c r="C423" s="66">
        <f t="shared" si="6"/>
        <v>-2.0459832810151291E-3</v>
      </c>
      <c r="D423" s="66">
        <f>(Table17[[#This Row],[Index]]-B411)/B411</f>
        <v>5.9225021329258151E-2</v>
      </c>
    </row>
    <row r="424" spans="1:4" x14ac:dyDescent="0.35">
      <c r="A424" s="17">
        <v>38991</v>
      </c>
      <c r="B424" s="58">
        <f>VLOOKUP(Table17[[#This Row],[Date]],database!A:H,7,)</f>
        <v>90.215699999999998</v>
      </c>
      <c r="C424" s="66">
        <f t="shared" si="6"/>
        <v>-1.8443856326011421E-3</v>
      </c>
      <c r="D424" s="66">
        <f>(Table17[[#This Row],[Index]]-B412)/B412</f>
        <v>4.4252632748638152E-2</v>
      </c>
    </row>
    <row r="425" spans="1:4" x14ac:dyDescent="0.35">
      <c r="A425" s="17">
        <v>39022</v>
      </c>
      <c r="B425" s="58">
        <f>VLOOKUP(Table17[[#This Row],[Date]],database!A:H,7,)</f>
        <v>89.990399999999994</v>
      </c>
      <c r="C425" s="66">
        <f t="shared" si="6"/>
        <v>-2.4973480225726208E-3</v>
      </c>
      <c r="D425" s="66">
        <f>(Table17[[#This Row],[Index]]-B413)/B413</f>
        <v>2.0530732592424439E-2</v>
      </c>
    </row>
    <row r="426" spans="1:4" x14ac:dyDescent="0.35">
      <c r="A426" s="17">
        <v>39052</v>
      </c>
      <c r="B426" s="58">
        <f>VLOOKUP(Table17[[#This Row],[Date]],database!A:H,7,)</f>
        <v>90.936700000000002</v>
      </c>
      <c r="C426" s="66">
        <f t="shared" si="6"/>
        <v>1.0515566104829066E-2</v>
      </c>
      <c r="D426" s="66">
        <f>(Table17[[#This Row],[Index]]-B414)/B414</f>
        <v>2.3354347331912377E-2</v>
      </c>
    </row>
    <row r="427" spans="1:4" x14ac:dyDescent="0.35">
      <c r="A427" s="17">
        <v>39083</v>
      </c>
      <c r="B427" s="58">
        <f>VLOOKUP(Table17[[#This Row],[Date]],database!A:H,7,)</f>
        <v>90.875799999999998</v>
      </c>
      <c r="C427" s="66">
        <f t="shared" si="6"/>
        <v>-6.6969661313864837E-4</v>
      </c>
      <c r="D427" s="66">
        <f>(Table17[[#This Row],[Index]]-B415)/B415</f>
        <v>1.8349744448291853E-2</v>
      </c>
    </row>
    <row r="428" spans="1:4" x14ac:dyDescent="0.35">
      <c r="A428" s="17">
        <v>39114</v>
      </c>
      <c r="B428" s="58">
        <f>VLOOKUP(Table17[[#This Row],[Date]],database!A:H,7,)</f>
        <v>91.824100000000001</v>
      </c>
      <c r="C428" s="66">
        <f t="shared" si="6"/>
        <v>1.0435121341435316E-2</v>
      </c>
      <c r="D428" s="66">
        <f>(Table17[[#This Row],[Index]]-B416)/B416</f>
        <v>2.5115434767076356E-2</v>
      </c>
    </row>
    <row r="429" spans="1:4" x14ac:dyDescent="0.35">
      <c r="A429" s="17">
        <v>39142</v>
      </c>
      <c r="B429" s="58">
        <f>VLOOKUP(Table17[[#This Row],[Date]],database!A:H,7,)</f>
        <v>92.1494</v>
      </c>
      <c r="C429" s="66">
        <f t="shared" si="6"/>
        <v>3.5426429444993524E-3</v>
      </c>
      <c r="D429" s="66">
        <f>(Table17[[#This Row],[Index]]-B417)/B417</f>
        <v>2.877921126785718E-2</v>
      </c>
    </row>
    <row r="430" spans="1:4" x14ac:dyDescent="0.35">
      <c r="A430" s="17">
        <v>39173</v>
      </c>
      <c r="B430" s="58">
        <f>VLOOKUP(Table17[[#This Row],[Date]],database!A:H,7,)</f>
        <v>92.836100000000002</v>
      </c>
      <c r="C430" s="66">
        <f t="shared" si="6"/>
        <v>7.4520289877091361E-3</v>
      </c>
      <c r="D430" s="66">
        <f>(Table17[[#This Row],[Index]]-B418)/B418</f>
        <v>3.4482335951219904E-2</v>
      </c>
    </row>
    <row r="431" spans="1:4" x14ac:dyDescent="0.35">
      <c r="A431" s="17">
        <v>39203</v>
      </c>
      <c r="B431" s="58">
        <f>VLOOKUP(Table17[[#This Row],[Date]],database!A:H,7,)</f>
        <v>93.232500000000002</v>
      </c>
      <c r="C431" s="66">
        <f t="shared" si="6"/>
        <v>4.2698906998461794E-3</v>
      </c>
      <c r="D431" s="66">
        <f>(Table17[[#This Row],[Index]]-B419)/B419</f>
        <v>3.6683812688055775E-2</v>
      </c>
    </row>
    <row r="432" spans="1:4" x14ac:dyDescent="0.35">
      <c r="A432" s="17">
        <v>39234</v>
      </c>
      <c r="B432" s="58">
        <f>VLOOKUP(Table17[[#This Row],[Date]],database!A:H,7,)</f>
        <v>93.132199999999997</v>
      </c>
      <c r="C432" s="66">
        <f t="shared" si="6"/>
        <v>-1.0758051108787914E-3</v>
      </c>
      <c r="D432" s="66">
        <f>(Table17[[#This Row],[Index]]-B420)/B420</f>
        <v>3.2777977386544553E-2</v>
      </c>
    </row>
    <row r="433" spans="1:4" x14ac:dyDescent="0.35">
      <c r="A433" s="17">
        <v>39264</v>
      </c>
      <c r="B433" s="58">
        <f>VLOOKUP(Table17[[#This Row],[Date]],database!A:H,7,)</f>
        <v>93.233900000000006</v>
      </c>
      <c r="C433" s="66">
        <f t="shared" si="6"/>
        <v>1.0919961087572094E-3</v>
      </c>
      <c r="D433" s="66">
        <f>(Table17[[#This Row],[Index]]-B421)/B421</f>
        <v>3.2459716043927854E-2</v>
      </c>
    </row>
    <row r="434" spans="1:4" x14ac:dyDescent="0.35">
      <c r="A434" s="17">
        <v>39295</v>
      </c>
      <c r="B434" s="58">
        <f>VLOOKUP(Table17[[#This Row],[Date]],database!A:H,7,)</f>
        <v>93.744399999999999</v>
      </c>
      <c r="C434" s="66">
        <f t="shared" si="6"/>
        <v>5.4754761948174746E-3</v>
      </c>
      <c r="D434" s="66">
        <f>(Table17[[#This Row],[Index]]-B422)/B422</f>
        <v>3.5075418719918872E-2</v>
      </c>
    </row>
    <row r="435" spans="1:4" x14ac:dyDescent="0.35">
      <c r="A435" s="17">
        <v>39326</v>
      </c>
      <c r="B435" s="58">
        <f>VLOOKUP(Table17[[#This Row],[Date]],database!A:H,7,)</f>
        <v>93.822100000000006</v>
      </c>
      <c r="C435" s="66">
        <f t="shared" si="6"/>
        <v>8.2884950994421835E-4</v>
      </c>
      <c r="D435" s="66">
        <f>(Table17[[#This Row],[Index]]-B423)/B423</f>
        <v>3.8057188125121724E-2</v>
      </c>
    </row>
    <row r="436" spans="1:4" x14ac:dyDescent="0.35">
      <c r="A436" s="17">
        <v>39356</v>
      </c>
      <c r="B436" s="58">
        <f>VLOOKUP(Table17[[#This Row],[Date]],database!A:H,7,)</f>
        <v>93.941299999999998</v>
      </c>
      <c r="C436" s="66">
        <f t="shared" si="6"/>
        <v>1.270489575483813E-3</v>
      </c>
      <c r="D436" s="66">
        <f>(Table17[[#This Row],[Index]]-B424)/B424</f>
        <v>4.1296581415429912E-2</v>
      </c>
    </row>
    <row r="437" spans="1:4" x14ac:dyDescent="0.35">
      <c r="A437" s="17">
        <v>39387</v>
      </c>
      <c r="B437" s="58">
        <f>VLOOKUP(Table17[[#This Row],[Date]],database!A:H,7,)</f>
        <v>94.798100000000005</v>
      </c>
      <c r="C437" s="66">
        <f t="shared" si="6"/>
        <v>9.12058913385283E-3</v>
      </c>
      <c r="D437" s="66">
        <f>(Table17[[#This Row],[Index]]-B425)/B425</f>
        <v>5.3424587511556917E-2</v>
      </c>
    </row>
    <row r="438" spans="1:4" x14ac:dyDescent="0.35">
      <c r="A438" s="17">
        <v>39417</v>
      </c>
      <c r="B438" s="58">
        <f>VLOOKUP(Table17[[#This Row],[Date]],database!A:H,7,)</f>
        <v>94.781999999999996</v>
      </c>
      <c r="C438" s="66">
        <f t="shared" si="6"/>
        <v>-1.698346274873197E-4</v>
      </c>
      <c r="D438" s="66">
        <f>(Table17[[#This Row],[Index]]-B426)/B426</f>
        <v>4.2285457906433753E-2</v>
      </c>
    </row>
    <row r="439" spans="1:4" x14ac:dyDescent="0.35">
      <c r="A439" s="17">
        <v>39448</v>
      </c>
      <c r="B439" s="58">
        <f>VLOOKUP(Table17[[#This Row],[Date]],database!A:H,7,)</f>
        <v>94.536100000000005</v>
      </c>
      <c r="C439" s="66">
        <f t="shared" si="6"/>
        <v>-2.5943744592854534E-3</v>
      </c>
      <c r="D439" s="66">
        <f>(Table17[[#This Row],[Index]]-B427)/B427</f>
        <v>4.0278049821844832E-2</v>
      </c>
    </row>
    <row r="440" spans="1:4" x14ac:dyDescent="0.35">
      <c r="A440" s="17">
        <v>39479</v>
      </c>
      <c r="B440" s="58">
        <f>VLOOKUP(Table17[[#This Row],[Date]],database!A:H,7,)</f>
        <v>94.059799999999996</v>
      </c>
      <c r="C440" s="66">
        <f t="shared" si="6"/>
        <v>-5.0382869612772829E-3</v>
      </c>
      <c r="D440" s="66">
        <f>(Table17[[#This Row],[Index]]-B428)/B428</f>
        <v>2.4347638582899199E-2</v>
      </c>
    </row>
    <row r="441" spans="1:4" x14ac:dyDescent="0.35">
      <c r="A441" s="17">
        <v>39508</v>
      </c>
      <c r="B441" s="58">
        <f>VLOOKUP(Table17[[#This Row],[Date]],database!A:H,7,)</f>
        <v>94.125200000000007</v>
      </c>
      <c r="C441" s="66">
        <f t="shared" si="6"/>
        <v>6.9530235020720532E-4</v>
      </c>
      <c r="D441" s="66">
        <f>(Table17[[#This Row],[Index]]-B429)/B429</f>
        <v>2.144126820142081E-2</v>
      </c>
    </row>
    <row r="442" spans="1:4" x14ac:dyDescent="0.35">
      <c r="A442" s="17">
        <v>39539</v>
      </c>
      <c r="B442" s="58">
        <f>VLOOKUP(Table17[[#This Row],[Date]],database!A:H,7,)</f>
        <v>93.783199999999994</v>
      </c>
      <c r="C442" s="66">
        <f t="shared" si="6"/>
        <v>-3.6334584149623206E-3</v>
      </c>
      <c r="D442" s="66">
        <f>(Table17[[#This Row],[Index]]-B430)/B430</f>
        <v>1.0201850357780991E-2</v>
      </c>
    </row>
    <row r="443" spans="1:4" x14ac:dyDescent="0.35">
      <c r="A443" s="17">
        <v>39569</v>
      </c>
      <c r="B443" s="58">
        <f>VLOOKUP(Table17[[#This Row],[Date]],database!A:H,7,)</f>
        <v>93.103200000000001</v>
      </c>
      <c r="C443" s="66">
        <f t="shared" si="6"/>
        <v>-7.2507655955437178E-3</v>
      </c>
      <c r="D443" s="66">
        <f>(Table17[[#This Row],[Index]]-B431)/B431</f>
        <v>-1.3868554420400679E-3</v>
      </c>
    </row>
    <row r="444" spans="1:4" x14ac:dyDescent="0.35">
      <c r="A444" s="17">
        <v>39600</v>
      </c>
      <c r="B444" s="58">
        <f>VLOOKUP(Table17[[#This Row],[Date]],database!A:H,7,)</f>
        <v>93.079899999999995</v>
      </c>
      <c r="C444" s="66">
        <f t="shared" si="6"/>
        <v>-2.5025992661908969E-4</v>
      </c>
      <c r="D444" s="66">
        <f>(Table17[[#This Row],[Index]]-B432)/B432</f>
        <v>-5.6156732043270165E-4</v>
      </c>
    </row>
    <row r="445" spans="1:4" x14ac:dyDescent="0.35">
      <c r="A445" s="17">
        <v>39630</v>
      </c>
      <c r="B445" s="58">
        <f>VLOOKUP(Table17[[#This Row],[Date]],database!A:H,7,)</f>
        <v>93.057900000000004</v>
      </c>
      <c r="C445" s="66">
        <f t="shared" si="6"/>
        <v>-2.3635607687577664E-4</v>
      </c>
      <c r="D445" s="66">
        <f>(Table17[[#This Row],[Index]]-B433)/B433</f>
        <v>-1.8877253874395679E-3</v>
      </c>
    </row>
    <row r="446" spans="1:4" x14ac:dyDescent="0.35">
      <c r="A446" s="17">
        <v>39661</v>
      </c>
      <c r="B446" s="58">
        <f>VLOOKUP(Table17[[#This Row],[Date]],database!A:H,7,)</f>
        <v>91.499200000000002</v>
      </c>
      <c r="C446" s="66">
        <f t="shared" si="6"/>
        <v>-1.6749786960591262E-2</v>
      </c>
      <c r="D446" s="66">
        <f>(Table17[[#This Row],[Index]]-B434)/B434</f>
        <v>-2.3950230627109426E-2</v>
      </c>
    </row>
    <row r="447" spans="1:4" x14ac:dyDescent="0.35">
      <c r="A447" s="17">
        <v>39692</v>
      </c>
      <c r="B447" s="58">
        <f>VLOOKUP(Table17[[#This Row],[Date]],database!A:H,7,)</f>
        <v>85.474400000000003</v>
      </c>
      <c r="C447" s="66">
        <f t="shared" si="6"/>
        <v>-6.5845384440519683E-2</v>
      </c>
      <c r="D447" s="66">
        <f>(Table17[[#This Row],[Index]]-B435)/B435</f>
        <v>-8.8973706621361087E-2</v>
      </c>
    </row>
    <row r="448" spans="1:4" x14ac:dyDescent="0.35">
      <c r="A448" s="17">
        <v>39722</v>
      </c>
      <c r="B448" s="58">
        <f>VLOOKUP(Table17[[#This Row],[Date]],database!A:H,7,)</f>
        <v>87.970399999999998</v>
      </c>
      <c r="C448" s="66">
        <f t="shared" si="6"/>
        <v>2.920172589687664E-2</v>
      </c>
      <c r="D448" s="66">
        <f>(Table17[[#This Row],[Index]]-B436)/B436</f>
        <v>-6.3559903897433823E-2</v>
      </c>
    </row>
    <row r="449" spans="1:4" x14ac:dyDescent="0.35">
      <c r="A449" s="17">
        <v>39753</v>
      </c>
      <c r="B449" s="58">
        <f>VLOOKUP(Table17[[#This Row],[Date]],database!A:H,7,)</f>
        <v>86.624799999999993</v>
      </c>
      <c r="C449" s="66">
        <f t="shared" si="6"/>
        <v>-1.5296054127297398E-2</v>
      </c>
      <c r="D449" s="66">
        <f>(Table17[[#This Row],[Index]]-B437)/B437</f>
        <v>-8.6217972723082126E-2</v>
      </c>
    </row>
    <row r="450" spans="1:4" x14ac:dyDescent="0.35">
      <c r="A450" s="17">
        <v>39783</v>
      </c>
      <c r="B450" s="58">
        <f>VLOOKUP(Table17[[#This Row],[Date]],database!A:H,7,)</f>
        <v>83.424300000000002</v>
      </c>
      <c r="C450" s="66">
        <f t="shared" si="6"/>
        <v>-3.6946694249221812E-2</v>
      </c>
      <c r="D450" s="66">
        <f>(Table17[[#This Row],[Index]]-B438)/B438</f>
        <v>-0.11982971450275363</v>
      </c>
    </row>
    <row r="451" spans="1:4" x14ac:dyDescent="0.35">
      <c r="A451" s="17">
        <v>39814</v>
      </c>
      <c r="B451" s="58">
        <f>VLOOKUP(Table17[[#This Row],[Date]],database!A:H,7,)</f>
        <v>81.854399999999998</v>
      </c>
      <c r="C451" s="66">
        <f t="shared" si="6"/>
        <v>-1.8818257989578591E-2</v>
      </c>
      <c r="D451" s="66">
        <f>(Table17[[#This Row],[Index]]-B439)/B439</f>
        <v>-0.13414663816256442</v>
      </c>
    </row>
    <row r="452" spans="1:4" x14ac:dyDescent="0.35">
      <c r="A452" s="17">
        <v>39845</v>
      </c>
      <c r="B452" s="58">
        <f>VLOOKUP(Table17[[#This Row],[Date]],database!A:H,7,)</f>
        <v>81.391000000000005</v>
      </c>
      <c r="C452" s="66">
        <f t="shared" si="6"/>
        <v>-5.6612717214956643E-3</v>
      </c>
      <c r="D452" s="66">
        <f>(Table17[[#This Row],[Index]]-B440)/B440</f>
        <v>-0.13468878309330862</v>
      </c>
    </row>
    <row r="453" spans="1:4" x14ac:dyDescent="0.35">
      <c r="A453" s="17">
        <v>39873</v>
      </c>
      <c r="B453" s="58">
        <f>VLOOKUP(Table17[[#This Row],[Date]],database!A:H,7,)</f>
        <v>79.911100000000005</v>
      </c>
      <c r="C453" s="66">
        <f t="shared" si="6"/>
        <v>-1.8182600041773633E-2</v>
      </c>
      <c r="D453" s="66">
        <f>(Table17[[#This Row],[Index]]-B441)/B441</f>
        <v>-0.15101269373132808</v>
      </c>
    </row>
    <row r="454" spans="1:4" x14ac:dyDescent="0.35">
      <c r="A454" s="17">
        <v>39904</v>
      </c>
      <c r="B454" s="58">
        <f>VLOOKUP(Table17[[#This Row],[Date]],database!A:H,7,)</f>
        <v>79.316500000000005</v>
      </c>
      <c r="C454" s="66">
        <f t="shared" si="6"/>
        <v>-7.4407685540557322E-3</v>
      </c>
      <c r="D454" s="66">
        <f>(Table17[[#This Row],[Index]]-B442)/B442</f>
        <v>-0.154256839178019</v>
      </c>
    </row>
    <row r="455" spans="1:4" x14ac:dyDescent="0.35">
      <c r="A455" s="17">
        <v>39934</v>
      </c>
      <c r="B455" s="58">
        <f>VLOOKUP(Table17[[#This Row],[Date]],database!A:H,7,)</f>
        <v>78.831800000000001</v>
      </c>
      <c r="C455" s="66">
        <f t="shared" si="6"/>
        <v>-6.1109605189336724E-3</v>
      </c>
      <c r="D455" s="66">
        <f>(Table17[[#This Row],[Index]]-B443)/B443</f>
        <v>-0.15328581616958387</v>
      </c>
    </row>
    <row r="456" spans="1:4" x14ac:dyDescent="0.35">
      <c r="A456" s="17">
        <v>39965</v>
      </c>
      <c r="B456" s="58">
        <f>VLOOKUP(Table17[[#This Row],[Date]],database!A:H,7,)</f>
        <v>78.5959</v>
      </c>
      <c r="C456" s="66">
        <f t="shared" ref="C456:C519" si="7">B456/B455-1</f>
        <v>-2.9924472103897148E-3</v>
      </c>
      <c r="D456" s="66">
        <f>(Table17[[#This Row],[Index]]-B444)/B444</f>
        <v>-0.15560824624865299</v>
      </c>
    </row>
    <row r="457" spans="1:4" x14ac:dyDescent="0.35">
      <c r="A457" s="17">
        <v>39995</v>
      </c>
      <c r="B457" s="58">
        <f>VLOOKUP(Table17[[#This Row],[Date]],database!A:H,7,)</f>
        <v>79.721900000000005</v>
      </c>
      <c r="C457" s="66">
        <f t="shared" si="7"/>
        <v>1.4326447053853997E-2</v>
      </c>
      <c r="D457" s="66">
        <f>(Table17[[#This Row],[Index]]-B445)/B445</f>
        <v>-0.14330862828411126</v>
      </c>
    </row>
    <row r="458" spans="1:4" x14ac:dyDescent="0.35">
      <c r="A458" s="17">
        <v>40026</v>
      </c>
      <c r="B458" s="58">
        <f>VLOOKUP(Table17[[#This Row],[Date]],database!A:H,7,)</f>
        <v>80.8596</v>
      </c>
      <c r="C458" s="66">
        <f t="shared" si="7"/>
        <v>1.4270859073855391E-2</v>
      </c>
      <c r="D458" s="66">
        <f>(Table17[[#This Row],[Index]]-B446)/B446</f>
        <v>-0.11628079808348052</v>
      </c>
    </row>
    <row r="459" spans="1:4" x14ac:dyDescent="0.35">
      <c r="A459" s="17">
        <v>40057</v>
      </c>
      <c r="B459" s="58">
        <f>VLOOKUP(Table17[[#This Row],[Date]],database!A:H,7,)</f>
        <v>81.733400000000003</v>
      </c>
      <c r="C459" s="66">
        <f t="shared" si="7"/>
        <v>1.0806385388995254E-2</v>
      </c>
      <c r="D459" s="66">
        <f>(Table17[[#This Row],[Index]]-B447)/B447</f>
        <v>-4.3767490617073641E-2</v>
      </c>
    </row>
    <row r="460" spans="1:4" x14ac:dyDescent="0.35">
      <c r="A460" s="17">
        <v>40087</v>
      </c>
      <c r="B460" s="58">
        <f>VLOOKUP(Table17[[#This Row],[Date]],database!A:H,7,)</f>
        <v>81.939099999999996</v>
      </c>
      <c r="C460" s="66">
        <f t="shared" si="7"/>
        <v>2.5167189912569388E-3</v>
      </c>
      <c r="D460" s="66">
        <f>(Table17[[#This Row],[Index]]-B448)/B448</f>
        <v>-6.8560561279703197E-2</v>
      </c>
    </row>
    <row r="461" spans="1:4" x14ac:dyDescent="0.35">
      <c r="A461" s="17">
        <v>40118</v>
      </c>
      <c r="B461" s="58">
        <f>VLOOKUP(Table17[[#This Row],[Date]],database!A:H,7,)</f>
        <v>82.797799999999995</v>
      </c>
      <c r="C461" s="66">
        <f t="shared" si="7"/>
        <v>1.0479734339283731E-2</v>
      </c>
      <c r="D461" s="66">
        <f>(Table17[[#This Row],[Index]]-B449)/B449</f>
        <v>-4.4179034179588274E-2</v>
      </c>
    </row>
    <row r="462" spans="1:4" x14ac:dyDescent="0.35">
      <c r="A462" s="17">
        <v>40148</v>
      </c>
      <c r="B462" s="58">
        <f>VLOOKUP(Table17[[#This Row],[Date]],database!A:H,7,)</f>
        <v>83.120699999999999</v>
      </c>
      <c r="C462" s="66">
        <f t="shared" si="7"/>
        <v>3.8998620736301337E-3</v>
      </c>
      <c r="D462" s="66">
        <f>(Table17[[#This Row],[Index]]-B450)/B450</f>
        <v>-3.6392274193490742E-3</v>
      </c>
    </row>
    <row r="463" spans="1:4" x14ac:dyDescent="0.35">
      <c r="A463" s="17">
        <v>40179</v>
      </c>
      <c r="B463" s="58">
        <f>VLOOKUP(Table17[[#This Row],[Date]],database!A:H,7,)</f>
        <v>84.167199999999994</v>
      </c>
      <c r="C463" s="66">
        <f t="shared" si="7"/>
        <v>1.2590124962855054E-2</v>
      </c>
      <c r="D463" s="66">
        <f>(Table17[[#This Row],[Index]]-B451)/B451</f>
        <v>2.8255047987646307E-2</v>
      </c>
    </row>
    <row r="464" spans="1:4" x14ac:dyDescent="0.35">
      <c r="A464" s="17">
        <v>40210</v>
      </c>
      <c r="B464" s="58">
        <f>VLOOKUP(Table17[[#This Row],[Date]],database!A:H,7,)</f>
        <v>85.254199999999997</v>
      </c>
      <c r="C464" s="66">
        <f t="shared" si="7"/>
        <v>1.2914769648984414E-2</v>
      </c>
      <c r="D464" s="66">
        <f>(Table17[[#This Row],[Index]]-B452)/B452</f>
        <v>4.7464707400080991E-2</v>
      </c>
    </row>
    <row r="465" spans="1:4" x14ac:dyDescent="0.35">
      <c r="A465" s="17">
        <v>40238</v>
      </c>
      <c r="B465" s="58">
        <f>VLOOKUP(Table17[[#This Row],[Date]],database!A:H,7,)</f>
        <v>85.746600000000001</v>
      </c>
      <c r="C465" s="66">
        <f t="shared" si="7"/>
        <v>5.7756685301135757E-3</v>
      </c>
      <c r="D465" s="66">
        <f>(Table17[[#This Row],[Index]]-B453)/B453</f>
        <v>7.3024898918923595E-2</v>
      </c>
    </row>
    <row r="466" spans="1:4" x14ac:dyDescent="0.35">
      <c r="A466" s="17">
        <v>40269</v>
      </c>
      <c r="B466" s="58">
        <f>VLOOKUP(Table17[[#This Row],[Date]],database!A:H,7,)</f>
        <v>86.201999999999998</v>
      </c>
      <c r="C466" s="66">
        <f t="shared" si="7"/>
        <v>5.3109977538468023E-3</v>
      </c>
      <c r="D466" s="66">
        <f>(Table17[[#This Row],[Index]]-B454)/B454</f>
        <v>8.6810436668284571E-2</v>
      </c>
    </row>
    <row r="467" spans="1:4" x14ac:dyDescent="0.35">
      <c r="A467" s="17">
        <v>40299</v>
      </c>
      <c r="B467" s="58">
        <f>VLOOKUP(Table17[[#This Row],[Date]],database!A:H,7,)</f>
        <v>87.364000000000004</v>
      </c>
      <c r="C467" s="66">
        <f t="shared" si="7"/>
        <v>1.3479965662049676E-2</v>
      </c>
      <c r="D467" s="66">
        <f>(Table17[[#This Row],[Index]]-B455)/B455</f>
        <v>0.10823297197323926</v>
      </c>
    </row>
    <row r="468" spans="1:4" x14ac:dyDescent="0.35">
      <c r="A468" s="17">
        <v>40330</v>
      </c>
      <c r="B468" s="58">
        <f>VLOOKUP(Table17[[#This Row],[Date]],database!A:H,7,)</f>
        <v>87.897400000000005</v>
      </c>
      <c r="C468" s="66">
        <f t="shared" si="7"/>
        <v>6.1054896753811594E-3</v>
      </c>
      <c r="D468" s="66">
        <f>(Table17[[#This Row],[Index]]-B456)/B456</f>
        <v>0.11834586791422967</v>
      </c>
    </row>
    <row r="469" spans="1:4" x14ac:dyDescent="0.35">
      <c r="A469" s="17">
        <v>40360</v>
      </c>
      <c r="B469" s="58">
        <f>VLOOKUP(Table17[[#This Row],[Date]],database!A:H,7,)</f>
        <v>88.102000000000004</v>
      </c>
      <c r="C469" s="66">
        <f t="shared" si="7"/>
        <v>2.327713902800399E-3</v>
      </c>
      <c r="D469" s="66">
        <f>(Table17[[#This Row],[Index]]-B457)/B457</f>
        <v>0.10511666179556682</v>
      </c>
    </row>
    <row r="470" spans="1:4" x14ac:dyDescent="0.35">
      <c r="A470" s="17">
        <v>40391</v>
      </c>
      <c r="B470" s="58">
        <f>VLOOKUP(Table17[[#This Row],[Date]],database!A:H,7,)</f>
        <v>88.854200000000006</v>
      </c>
      <c r="C470" s="66">
        <f t="shared" si="7"/>
        <v>8.5378311502577464E-3</v>
      </c>
      <c r="D470" s="66">
        <f>(Table17[[#This Row],[Index]]-B458)/B458</f>
        <v>9.8870140342025015E-2</v>
      </c>
    </row>
    <row r="471" spans="1:4" x14ac:dyDescent="0.35">
      <c r="A471" s="17">
        <v>40422</v>
      </c>
      <c r="B471" s="58">
        <f>VLOOKUP(Table17[[#This Row],[Date]],database!A:H,7,)</f>
        <v>89.536500000000004</v>
      </c>
      <c r="C471" s="66">
        <f t="shared" si="7"/>
        <v>7.6788716796729606E-3</v>
      </c>
      <c r="D471" s="66">
        <f>(Table17[[#This Row],[Index]]-B459)/B459</f>
        <v>9.5470150513743468E-2</v>
      </c>
    </row>
    <row r="472" spans="1:4" x14ac:dyDescent="0.35">
      <c r="A472" s="17">
        <v>40452</v>
      </c>
      <c r="B472" s="58">
        <f>VLOOKUP(Table17[[#This Row],[Date]],database!A:H,7,)</f>
        <v>89.140100000000004</v>
      </c>
      <c r="C472" s="66">
        <f t="shared" si="7"/>
        <v>-4.4272447549323912E-3</v>
      </c>
      <c r="D472" s="66">
        <f>(Table17[[#This Row],[Index]]-B460)/B460</f>
        <v>8.7882341885620024E-2</v>
      </c>
    </row>
    <row r="473" spans="1:4" x14ac:dyDescent="0.35">
      <c r="A473" s="17">
        <v>40483</v>
      </c>
      <c r="B473" s="58">
        <f>VLOOKUP(Table17[[#This Row],[Date]],database!A:H,7,)</f>
        <v>89.293099999999995</v>
      </c>
      <c r="C473" s="66">
        <f t="shared" si="7"/>
        <v>1.7163992411943774E-3</v>
      </c>
      <c r="D473" s="66">
        <f>(Table17[[#This Row],[Index]]-B461)/B461</f>
        <v>7.8447736534062507E-2</v>
      </c>
    </row>
    <row r="474" spans="1:4" x14ac:dyDescent="0.35">
      <c r="A474" s="17">
        <v>40513</v>
      </c>
      <c r="B474" s="58">
        <f>VLOOKUP(Table17[[#This Row],[Date]],database!A:H,7,)</f>
        <v>90.440600000000003</v>
      </c>
      <c r="C474" s="66">
        <f t="shared" si="7"/>
        <v>1.2850936970493887E-2</v>
      </c>
      <c r="D474" s="66">
        <f>(Table17[[#This Row],[Index]]-B462)/B462</f>
        <v>8.8063502833830853E-2</v>
      </c>
    </row>
    <row r="475" spans="1:4" x14ac:dyDescent="0.35">
      <c r="A475" s="17">
        <v>40544</v>
      </c>
      <c r="B475" s="58">
        <f>VLOOKUP(Table17[[#This Row],[Date]],database!A:H,7,)</f>
        <v>90.018600000000006</v>
      </c>
      <c r="C475" s="66">
        <f t="shared" si="7"/>
        <v>-4.6660460014639193E-3</v>
      </c>
      <c r="D475" s="66">
        <f>(Table17[[#This Row],[Index]]-B463)/B463</f>
        <v>6.9521143628396967E-2</v>
      </c>
    </row>
    <row r="476" spans="1:4" x14ac:dyDescent="0.35">
      <c r="A476" s="17">
        <v>40575</v>
      </c>
      <c r="B476" s="58">
        <f>VLOOKUP(Table17[[#This Row],[Date]],database!A:H,7,)</f>
        <v>89.376000000000005</v>
      </c>
      <c r="C476" s="66">
        <f t="shared" si="7"/>
        <v>-7.138524704894289E-3</v>
      </c>
      <c r="D476" s="66">
        <f>(Table17[[#This Row],[Index]]-B464)/B464</f>
        <v>4.8347178203537275E-2</v>
      </c>
    </row>
    <row r="477" spans="1:4" x14ac:dyDescent="0.35">
      <c r="A477" s="17">
        <v>40603</v>
      </c>
      <c r="B477" s="58">
        <f>VLOOKUP(Table17[[#This Row],[Date]],database!A:H,7,)</f>
        <v>91.145899999999997</v>
      </c>
      <c r="C477" s="66">
        <f t="shared" si="7"/>
        <v>1.9802855352667237E-2</v>
      </c>
      <c r="D477" s="66">
        <f>(Table17[[#This Row],[Index]]-B465)/B465</f>
        <v>6.2968094361758917E-2</v>
      </c>
    </row>
    <row r="478" spans="1:4" x14ac:dyDescent="0.35">
      <c r="A478" s="17">
        <v>40634</v>
      </c>
      <c r="B478" s="58">
        <f>VLOOKUP(Table17[[#This Row],[Date]],database!A:H,7,)</f>
        <v>90.676599999999993</v>
      </c>
      <c r="C478" s="67">
        <f t="shared" si="7"/>
        <v>-5.1488876625279678E-3</v>
      </c>
      <c r="D478" s="66">
        <f>(Table17[[#This Row],[Index]]-B466)/B466</f>
        <v>5.1908308391916604E-2</v>
      </c>
    </row>
    <row r="479" spans="1:4" x14ac:dyDescent="0.35">
      <c r="A479" s="17">
        <v>40664</v>
      </c>
      <c r="B479" s="58">
        <f>VLOOKUP(Table17[[#This Row],[Date]],database!A:H,7,)</f>
        <v>90.601200000000006</v>
      </c>
      <c r="C479" s="66">
        <f t="shared" si="7"/>
        <v>-8.3152654598861453E-4</v>
      </c>
      <c r="D479" s="66">
        <f>(Table17[[#This Row],[Index]]-B467)/B467</f>
        <v>3.7054164186621504E-2</v>
      </c>
    </row>
    <row r="480" spans="1:4" x14ac:dyDescent="0.35">
      <c r="A480" s="17">
        <v>40695</v>
      </c>
      <c r="B480" s="58">
        <f>VLOOKUP(Table17[[#This Row],[Date]],database!A:H,7,)</f>
        <v>91.164299999999997</v>
      </c>
      <c r="C480" s="66">
        <f t="shared" si="7"/>
        <v>6.2151494682187725E-3</v>
      </c>
      <c r="D480" s="66">
        <f>(Table17[[#This Row],[Index]]-B468)/B468</f>
        <v>3.7167197209473687E-2</v>
      </c>
    </row>
    <row r="481" spans="1:4" x14ac:dyDescent="0.35">
      <c r="A481" s="17">
        <v>40725</v>
      </c>
      <c r="B481" s="58">
        <f>VLOOKUP(Table17[[#This Row],[Date]],database!A:H,7,)</f>
        <v>91.348299999999995</v>
      </c>
      <c r="C481" s="66">
        <f t="shared" si="7"/>
        <v>2.0183339311550252E-3</v>
      </c>
      <c r="D481" s="66">
        <f>(Table17[[#This Row],[Index]]-B469)/B469</f>
        <v>3.6847063630791474E-2</v>
      </c>
    </row>
    <row r="482" spans="1:4" x14ac:dyDescent="0.35">
      <c r="A482" s="17">
        <v>40756</v>
      </c>
      <c r="B482" s="58">
        <f>VLOOKUP(Table17[[#This Row],[Date]],database!A:H,7,)</f>
        <v>91.956999999999994</v>
      </c>
      <c r="C482" s="66">
        <f t="shared" si="7"/>
        <v>6.663506600560698E-3</v>
      </c>
      <c r="D482" s="66">
        <f>(Table17[[#This Row],[Index]]-B470)/B470</f>
        <v>3.4920127579787873E-2</v>
      </c>
    </row>
    <row r="483" spans="1:4" x14ac:dyDescent="0.35">
      <c r="A483" s="17">
        <v>40787</v>
      </c>
      <c r="B483" s="58">
        <f>VLOOKUP(Table17[[#This Row],[Date]],database!A:H,7,)</f>
        <v>91.927700000000002</v>
      </c>
      <c r="C483" s="66">
        <f t="shared" si="7"/>
        <v>-3.1862718444486404E-4</v>
      </c>
      <c r="D483" s="66">
        <f>(Table17[[#This Row],[Index]]-B471)/B471</f>
        <v>2.6706426987876425E-2</v>
      </c>
    </row>
    <row r="484" spans="1:4" x14ac:dyDescent="0.35">
      <c r="A484" s="17">
        <v>40817</v>
      </c>
      <c r="B484" s="58">
        <f>VLOOKUP(Table17[[#This Row],[Date]],database!A:H,7,)</f>
        <v>92.860500000000002</v>
      </c>
      <c r="C484" s="66">
        <f t="shared" si="7"/>
        <v>1.0147104735569457E-2</v>
      </c>
      <c r="D484" s="66">
        <f>(Table17[[#This Row],[Index]]-B472)/B472</f>
        <v>4.1736547300261023E-2</v>
      </c>
    </row>
    <row r="485" spans="1:4" x14ac:dyDescent="0.35">
      <c r="A485" s="17">
        <v>40848</v>
      </c>
      <c r="B485" s="58">
        <f>VLOOKUP(Table17[[#This Row],[Date]],database!A:H,7,)</f>
        <v>93.298199999999994</v>
      </c>
      <c r="C485" s="66">
        <f t="shared" si="7"/>
        <v>4.7135218957468084E-3</v>
      </c>
      <c r="D485" s="66">
        <f>(Table17[[#This Row],[Index]]-B473)/B473</f>
        <v>4.4853409725947459E-2</v>
      </c>
    </row>
    <row r="486" spans="1:4" x14ac:dyDescent="0.35">
      <c r="A486" s="17">
        <v>40878</v>
      </c>
      <c r="B486" s="58">
        <f>VLOOKUP(Table17[[#This Row],[Date]],database!A:H,7,)</f>
        <v>93.880200000000002</v>
      </c>
      <c r="C486" s="66">
        <f t="shared" si="7"/>
        <v>6.2380624706586119E-3</v>
      </c>
      <c r="D486" s="66">
        <f>(Table17[[#This Row],[Index]]-B474)/B474</f>
        <v>3.8031592006244966E-2</v>
      </c>
    </row>
    <row r="487" spans="1:4" x14ac:dyDescent="0.35">
      <c r="A487" s="17">
        <v>40909</v>
      </c>
      <c r="B487" s="58">
        <f>VLOOKUP(Table17[[#This Row],[Date]],database!A:H,7,)</f>
        <v>94.593400000000003</v>
      </c>
      <c r="C487" s="66">
        <f t="shared" si="7"/>
        <v>7.5969160696292004E-3</v>
      </c>
      <c r="D487" s="66">
        <f>(Table17[[#This Row],[Index]]-B475)/B475</f>
        <v>5.0820608185419412E-2</v>
      </c>
    </row>
    <row r="488" spans="1:4" x14ac:dyDescent="0.35">
      <c r="A488" s="17">
        <v>40940</v>
      </c>
      <c r="B488" s="58">
        <f>VLOOKUP(Table17[[#This Row],[Date]],database!A:H,7,)</f>
        <v>94.934200000000004</v>
      </c>
      <c r="C488" s="66">
        <f t="shared" si="7"/>
        <v>3.6027883552129936E-3</v>
      </c>
      <c r="D488" s="66">
        <f>(Table17[[#This Row],[Index]]-B476)/B476</f>
        <v>6.2188954529180079E-2</v>
      </c>
    </row>
    <row r="489" spans="1:4" x14ac:dyDescent="0.35">
      <c r="A489" s="17">
        <v>40969</v>
      </c>
      <c r="B489" s="58">
        <f>VLOOKUP(Table17[[#This Row],[Date]],database!A:H,7,)</f>
        <v>94.686099999999996</v>
      </c>
      <c r="C489" s="66">
        <f t="shared" si="7"/>
        <v>-2.6133890631617751E-3</v>
      </c>
      <c r="D489" s="66">
        <f>(Table17[[#This Row],[Index]]-B477)/B477</f>
        <v>3.8841023019137437E-2</v>
      </c>
    </row>
    <row r="490" spans="1:4" x14ac:dyDescent="0.35">
      <c r="A490" s="17">
        <v>41000</v>
      </c>
      <c r="B490" s="58">
        <f>VLOOKUP(Table17[[#This Row],[Date]],database!A:H,7,)</f>
        <v>95.334199999999996</v>
      </c>
      <c r="C490" s="66">
        <f t="shared" si="7"/>
        <v>6.844721664531539E-3</v>
      </c>
      <c r="D490" s="66">
        <f>(Table17[[#This Row],[Index]]-B478)/B478</f>
        <v>5.1364960750623676E-2</v>
      </c>
    </row>
    <row r="491" spans="1:4" x14ac:dyDescent="0.35">
      <c r="A491" s="17">
        <v>41030</v>
      </c>
      <c r="B491" s="58">
        <f>VLOOKUP(Table17[[#This Row],[Date]],database!A:H,7,)</f>
        <v>95.4178</v>
      </c>
      <c r="C491" s="66">
        <f t="shared" si="7"/>
        <v>8.7691510496767933E-4</v>
      </c>
      <c r="D491" s="66">
        <f>(Table17[[#This Row],[Index]]-B479)/B479</f>
        <v>5.3162651267312067E-2</v>
      </c>
    </row>
    <row r="492" spans="1:4" x14ac:dyDescent="0.35">
      <c r="A492" s="17">
        <v>41061</v>
      </c>
      <c r="B492" s="58">
        <f>VLOOKUP(Table17[[#This Row],[Date]],database!A:H,7,)</f>
        <v>95.331900000000005</v>
      </c>
      <c r="C492" s="66">
        <f t="shared" si="7"/>
        <v>-9.0025131579218876E-4</v>
      </c>
      <c r="D492" s="66">
        <f>(Table17[[#This Row],[Index]]-B480)/B480</f>
        <v>4.5715263540662382E-2</v>
      </c>
    </row>
    <row r="493" spans="1:4" x14ac:dyDescent="0.35">
      <c r="A493" s="17">
        <v>41091</v>
      </c>
      <c r="B493" s="58">
        <f>VLOOKUP(Table17[[#This Row],[Date]],database!A:H,7,)</f>
        <v>95.9572</v>
      </c>
      <c r="C493" s="66">
        <f t="shared" si="7"/>
        <v>6.5591895262759881E-3</v>
      </c>
      <c r="D493" s="66">
        <f>(Table17[[#This Row],[Index]]-B481)/B481</f>
        <v>5.0454140909026286E-2</v>
      </c>
    </row>
    <row r="494" spans="1:4" x14ac:dyDescent="0.35">
      <c r="A494" s="17">
        <v>41122</v>
      </c>
      <c r="B494" s="58">
        <f>VLOOKUP(Table17[[#This Row],[Date]],database!A:H,7,)</f>
        <v>95.275099999999995</v>
      </c>
      <c r="C494" s="66">
        <f t="shared" si="7"/>
        <v>-7.1083774849620696E-3</v>
      </c>
      <c r="D494" s="66">
        <f>(Table17[[#This Row],[Index]]-B482)/B482</f>
        <v>3.6083169307393685E-2</v>
      </c>
    </row>
    <row r="495" spans="1:4" x14ac:dyDescent="0.35">
      <c r="A495" s="17">
        <v>41153</v>
      </c>
      <c r="B495" s="58">
        <f>VLOOKUP(Table17[[#This Row],[Date]],database!A:H,7,)</f>
        <v>95.470500000000001</v>
      </c>
      <c r="C495" s="66">
        <f t="shared" si="7"/>
        <v>2.0509031215920626E-3</v>
      </c>
      <c r="D495" s="66">
        <f>(Table17[[#This Row],[Index]]-B483)/B483</f>
        <v>3.8538982265410748E-2</v>
      </c>
    </row>
    <row r="496" spans="1:4" x14ac:dyDescent="0.35">
      <c r="A496" s="17">
        <v>41183</v>
      </c>
      <c r="B496" s="58">
        <f>VLOOKUP(Table17[[#This Row],[Date]],database!A:H,7,)</f>
        <v>96.3352</v>
      </c>
      <c r="C496" s="66">
        <f t="shared" si="7"/>
        <v>9.0572480504449437E-3</v>
      </c>
      <c r="D496" s="66">
        <f>(Table17[[#This Row],[Index]]-B484)/B484</f>
        <v>3.7418493331394923E-2</v>
      </c>
    </row>
    <row r="497" spans="1:4" x14ac:dyDescent="0.35">
      <c r="A497" s="17">
        <v>41214</v>
      </c>
      <c r="B497" s="58">
        <f>VLOOKUP(Table17[[#This Row],[Date]],database!A:H,7,)</f>
        <v>96.5244</v>
      </c>
      <c r="C497" s="66">
        <f t="shared" si="7"/>
        <v>1.9639757845522077E-3</v>
      </c>
      <c r="D497" s="66">
        <f>(Table17[[#This Row],[Index]]-B485)/B485</f>
        <v>3.4579445262609629E-2</v>
      </c>
    </row>
    <row r="498" spans="1:4" x14ac:dyDescent="0.35">
      <c r="A498" s="17">
        <v>41244</v>
      </c>
      <c r="B498" s="58">
        <f>VLOOKUP(Table17[[#This Row],[Date]],database!A:H,7,)</f>
        <v>96.854399999999998</v>
      </c>
      <c r="C498" s="66">
        <f t="shared" si="7"/>
        <v>3.4188246702389069E-3</v>
      </c>
      <c r="D498" s="66">
        <f>(Table17[[#This Row],[Index]]-B486)/B486</f>
        <v>3.1680801702595393E-2</v>
      </c>
    </row>
    <row r="499" spans="1:4" x14ac:dyDescent="0.35">
      <c r="A499" s="17">
        <v>41275</v>
      </c>
      <c r="B499" s="58">
        <f>VLOOKUP(Table17[[#This Row],[Date]],database!A:H,7,)</f>
        <v>97.174000000000007</v>
      </c>
      <c r="C499" s="66">
        <f t="shared" si="7"/>
        <v>3.2997984603695407E-3</v>
      </c>
      <c r="D499" s="66">
        <f>(Table17[[#This Row],[Index]]-B487)/B487</f>
        <v>2.7280973091145935E-2</v>
      </c>
    </row>
    <row r="500" spans="1:4" x14ac:dyDescent="0.35">
      <c r="A500" s="17">
        <v>41306</v>
      </c>
      <c r="B500" s="58">
        <f>VLOOKUP(Table17[[#This Row],[Date]],database!A:H,7,)</f>
        <v>97.588899999999995</v>
      </c>
      <c r="C500" s="66">
        <f t="shared" si="7"/>
        <v>4.2696606088046263E-3</v>
      </c>
      <c r="D500" s="66">
        <f>(Table17[[#This Row],[Index]]-B488)/B488</f>
        <v>2.7963578984180528E-2</v>
      </c>
    </row>
    <row r="501" spans="1:4" x14ac:dyDescent="0.35">
      <c r="A501" s="17">
        <v>41334</v>
      </c>
      <c r="B501" s="58">
        <f>VLOOKUP(Table17[[#This Row],[Date]],database!A:H,7,)</f>
        <v>98.047899999999998</v>
      </c>
      <c r="C501" s="66">
        <f t="shared" si="7"/>
        <v>4.7034037682565089E-3</v>
      </c>
      <c r="D501" s="66">
        <f>(Table17[[#This Row],[Index]]-B489)/B489</f>
        <v>3.5504683369575921E-2</v>
      </c>
    </row>
    <row r="502" spans="1:4" x14ac:dyDescent="0.35">
      <c r="A502" s="17">
        <v>41365</v>
      </c>
      <c r="B502" s="58">
        <f>VLOOKUP(Table17[[#This Row],[Date]],database!A:H,7,)</f>
        <v>98.115899999999996</v>
      </c>
      <c r="C502" s="66">
        <f t="shared" si="7"/>
        <v>6.9353856635379074E-4</v>
      </c>
      <c r="D502" s="66">
        <f>(Table17[[#This Row],[Index]]-B490)/B490</f>
        <v>2.9178406070434332E-2</v>
      </c>
    </row>
    <row r="503" spans="1:4" x14ac:dyDescent="0.35">
      <c r="A503" s="17">
        <v>41395</v>
      </c>
      <c r="B503" s="58">
        <f>VLOOKUP(Table17[[#This Row],[Date]],database!A:H,7,)</f>
        <v>98.360500000000002</v>
      </c>
      <c r="C503" s="66">
        <f t="shared" si="7"/>
        <v>2.4929700486873152E-3</v>
      </c>
      <c r="D503" s="66">
        <f>(Table17[[#This Row],[Index]]-B491)/B491</f>
        <v>3.084015770642377E-2</v>
      </c>
    </row>
    <row r="504" spans="1:4" x14ac:dyDescent="0.35">
      <c r="A504" s="17">
        <v>41426</v>
      </c>
      <c r="B504" s="58">
        <f>VLOOKUP(Table17[[#This Row],[Date]],database!A:H,7,)</f>
        <v>98.410799999999995</v>
      </c>
      <c r="C504" s="66">
        <f t="shared" si="7"/>
        <v>5.1138414302487334E-4</v>
      </c>
      <c r="D504" s="66">
        <f>(Table17[[#This Row],[Index]]-B492)/B492</f>
        <v>3.2296639424998247E-2</v>
      </c>
    </row>
    <row r="505" spans="1:4" x14ac:dyDescent="0.35">
      <c r="A505" s="17">
        <v>41456</v>
      </c>
      <c r="B505" s="58">
        <f>VLOOKUP(Table17[[#This Row],[Date]],database!A:H,7,)</f>
        <v>98.709800000000001</v>
      </c>
      <c r="C505" s="66">
        <f t="shared" si="7"/>
        <v>3.0382844159382305E-3</v>
      </c>
      <c r="D505" s="66">
        <f>(Table17[[#This Row],[Index]]-B493)/B493</f>
        <v>2.868570571046259E-2</v>
      </c>
    </row>
    <row r="506" spans="1:4" x14ac:dyDescent="0.35">
      <c r="A506" s="17">
        <v>41487</v>
      </c>
      <c r="B506" s="58">
        <f>VLOOKUP(Table17[[#This Row],[Date]],database!A:H,7,)</f>
        <v>99.2089</v>
      </c>
      <c r="C506" s="66">
        <f t="shared" si="7"/>
        <v>5.056235551079924E-3</v>
      </c>
      <c r="D506" s="66">
        <f>(Table17[[#This Row],[Index]]-B494)/B494</f>
        <v>4.1288857214529351E-2</v>
      </c>
    </row>
    <row r="507" spans="1:4" x14ac:dyDescent="0.35">
      <c r="A507" s="17">
        <v>41518</v>
      </c>
      <c r="B507" s="58">
        <f>VLOOKUP(Table17[[#This Row],[Date]],database!A:H,7,)</f>
        <v>99.913300000000007</v>
      </c>
      <c r="C507" s="66">
        <f t="shared" si="7"/>
        <v>7.100169440443338E-3</v>
      </c>
      <c r="D507" s="66">
        <f>(Table17[[#This Row],[Index]]-B495)/B495</f>
        <v>4.6535840914209155E-2</v>
      </c>
    </row>
    <row r="508" spans="1:4" x14ac:dyDescent="0.35">
      <c r="A508" s="17">
        <v>41548</v>
      </c>
      <c r="B508" s="58">
        <f>VLOOKUP(Table17[[#This Row],[Date]],database!A:H,7,)</f>
        <v>99.612300000000005</v>
      </c>
      <c r="C508" s="66">
        <f t="shared" si="7"/>
        <v>-3.0126119345472713E-3</v>
      </c>
      <c r="D508" s="66">
        <f>(Table17[[#This Row],[Index]]-B496)/B496</f>
        <v>3.4017679934229696E-2</v>
      </c>
    </row>
    <row r="509" spans="1:4" x14ac:dyDescent="0.35">
      <c r="A509" s="17">
        <v>41579</v>
      </c>
      <c r="B509" s="58">
        <f>VLOOKUP(Table17[[#This Row],[Date]],database!A:H,7,)</f>
        <v>100.2392</v>
      </c>
      <c r="C509" s="66">
        <f t="shared" si="7"/>
        <v>6.2933995098997109E-3</v>
      </c>
      <c r="D509" s="66">
        <f>(Table17[[#This Row],[Index]]-B497)/B497</f>
        <v>3.8485605712130784E-2</v>
      </c>
    </row>
    <row r="510" spans="1:4" x14ac:dyDescent="0.35">
      <c r="A510" s="17">
        <v>41609</v>
      </c>
      <c r="B510" s="58">
        <f>VLOOKUP(Table17[[#This Row],[Date]],database!A:H,7,)</f>
        <v>100.5127</v>
      </c>
      <c r="C510" s="66">
        <f t="shared" si="7"/>
        <v>2.7284734914085895E-3</v>
      </c>
      <c r="D510" s="66">
        <f>(Table17[[#This Row],[Index]]-B498)/B498</f>
        <v>3.7771128621931445E-2</v>
      </c>
    </row>
    <row r="511" spans="1:4" x14ac:dyDescent="0.35">
      <c r="A511" s="17">
        <v>41640</v>
      </c>
      <c r="B511" s="58">
        <f>VLOOKUP(Table17[[#This Row],[Date]],database!A:H,7,)</f>
        <v>100.7251</v>
      </c>
      <c r="C511" s="66">
        <f t="shared" si="7"/>
        <v>2.1131657989488239E-3</v>
      </c>
      <c r="D511" s="66">
        <f>(Table17[[#This Row],[Index]]-B499)/B499</f>
        <v>3.6543725687941127E-2</v>
      </c>
    </row>
    <row r="512" spans="1:4" x14ac:dyDescent="0.35">
      <c r="A512" s="17">
        <v>41671</v>
      </c>
      <c r="B512" s="58">
        <f>VLOOKUP(Table17[[#This Row],[Date]],database!A:H,7,)</f>
        <v>101.3057</v>
      </c>
      <c r="C512" s="66">
        <f t="shared" si="7"/>
        <v>5.7642037585468042E-3</v>
      </c>
      <c r="D512" s="66">
        <f>(Table17[[#This Row],[Index]]-B500)/B500</f>
        <v>3.8086298749140594E-2</v>
      </c>
    </row>
    <row r="513" spans="1:4" x14ac:dyDescent="0.35">
      <c r="A513" s="17">
        <v>41699</v>
      </c>
      <c r="B513" s="58">
        <f>VLOOKUP(Table17[[#This Row],[Date]],database!A:H,7,)</f>
        <v>102.4933</v>
      </c>
      <c r="C513" s="66">
        <f t="shared" si="7"/>
        <v>1.1722933655263335E-2</v>
      </c>
      <c r="D513" s="66">
        <f>(Table17[[#This Row],[Index]]-B501)/B501</f>
        <v>4.533906386572284E-2</v>
      </c>
    </row>
    <row r="514" spans="1:4" x14ac:dyDescent="0.35">
      <c r="A514" s="17">
        <v>41730</v>
      </c>
      <c r="B514" s="58">
        <f>VLOOKUP(Table17[[#This Row],[Date]],database!A:H,7,)</f>
        <v>102.9408</v>
      </c>
      <c r="C514" s="66">
        <f t="shared" si="7"/>
        <v>4.3661390549429857E-3</v>
      </c>
      <c r="D514" s="66">
        <f>(Table17[[#This Row],[Index]]-B502)/B502</f>
        <v>4.9175515894977262E-2</v>
      </c>
    </row>
    <row r="515" spans="1:4" x14ac:dyDescent="0.35">
      <c r="A515" s="17">
        <v>41760</v>
      </c>
      <c r="B515" s="58">
        <f>VLOOKUP(Table17[[#This Row],[Date]],database!A:H,7,)</f>
        <v>103.5009</v>
      </c>
      <c r="C515" s="66">
        <f t="shared" si="7"/>
        <v>5.4409913270541121E-3</v>
      </c>
      <c r="D515" s="66">
        <f>(Table17[[#This Row],[Index]]-B503)/B503</f>
        <v>5.2260816079625454E-2</v>
      </c>
    </row>
    <row r="516" spans="1:4" x14ac:dyDescent="0.35">
      <c r="A516" s="17">
        <v>41791</v>
      </c>
      <c r="B516" s="58">
        <f>VLOOKUP(Table17[[#This Row],[Date]],database!A:H,7,)</f>
        <v>104.2487</v>
      </c>
      <c r="C516" s="66">
        <f t="shared" si="7"/>
        <v>7.2250579463559728E-3</v>
      </c>
      <c r="D516" s="66">
        <f>(Table17[[#This Row],[Index]]-B504)/B504</f>
        <v>5.9321741109715651E-2</v>
      </c>
    </row>
    <row r="517" spans="1:4" x14ac:dyDescent="0.35">
      <c r="A517" s="17">
        <v>41821</v>
      </c>
      <c r="B517" s="58">
        <f>VLOOKUP(Table17[[#This Row],[Date]],database!A:H,7,)</f>
        <v>104.38849999999999</v>
      </c>
      <c r="C517" s="66">
        <f t="shared" si="7"/>
        <v>1.3410239168449856E-3</v>
      </c>
      <c r="D517" s="66">
        <f>(Table17[[#This Row],[Index]]-B505)/B505</f>
        <v>5.7529242283947409E-2</v>
      </c>
    </row>
    <row r="518" spans="1:4" x14ac:dyDescent="0.35">
      <c r="A518" s="17">
        <v>41852</v>
      </c>
      <c r="B518" s="58">
        <f>VLOOKUP(Table17[[#This Row],[Date]],database!A:H,7,)</f>
        <v>104.52370000000001</v>
      </c>
      <c r="C518" s="66">
        <f t="shared" si="7"/>
        <v>1.2951618233809636E-3</v>
      </c>
      <c r="D518" s="66">
        <f>(Table17[[#This Row],[Index]]-B506)/B506</f>
        <v>5.3571806561709741E-2</v>
      </c>
    </row>
    <row r="519" spans="1:4" x14ac:dyDescent="0.35">
      <c r="A519" s="17">
        <v>41883</v>
      </c>
      <c r="B519" s="58">
        <f>VLOOKUP(Table17[[#This Row],[Date]],database!A:H,7,)</f>
        <v>104.9126</v>
      </c>
      <c r="C519" s="66">
        <f t="shared" si="7"/>
        <v>3.7206872699684368E-3</v>
      </c>
      <c r="D519" s="66">
        <f>(Table17[[#This Row],[Index]]-B507)/B507</f>
        <v>5.0036381542797513E-2</v>
      </c>
    </row>
    <row r="520" spans="1:4" x14ac:dyDescent="0.35">
      <c r="A520" s="17">
        <v>41913</v>
      </c>
      <c r="B520" s="58">
        <f>VLOOKUP(Table17[[#This Row],[Date]],database!A:H,7,)</f>
        <v>104.9255</v>
      </c>
      <c r="C520" s="66">
        <f t="shared" ref="C520:C583" si="8">B520/B519-1</f>
        <v>1.2295949199625511E-4</v>
      </c>
      <c r="D520" s="66">
        <f>(Table17[[#This Row],[Index]]-B508)/B508</f>
        <v>5.3338794506300871E-2</v>
      </c>
    </row>
    <row r="521" spans="1:4" x14ac:dyDescent="0.35">
      <c r="A521" s="17">
        <v>41944</v>
      </c>
      <c r="B521" s="58">
        <f>VLOOKUP(Table17[[#This Row],[Date]],database!A:H,7,)</f>
        <v>104.9239</v>
      </c>
      <c r="C521" s="67">
        <f t="shared" si="8"/>
        <v>-1.5248914706167405E-5</v>
      </c>
      <c r="D521" s="66">
        <f>(Table17[[#This Row],[Index]]-B509)/B509</f>
        <v>4.6735209379165102E-2</v>
      </c>
    </row>
    <row r="522" spans="1:4" x14ac:dyDescent="0.35">
      <c r="A522" s="17">
        <v>41974</v>
      </c>
      <c r="B522" s="58">
        <f>VLOOKUP(Table17[[#This Row],[Date]],database!A:H,7,)</f>
        <v>105.3522</v>
      </c>
      <c r="C522" s="66">
        <f t="shared" si="8"/>
        <v>4.08200610156495E-3</v>
      </c>
      <c r="D522" s="66">
        <f>(Table17[[#This Row],[Index]]-B510)/B510</f>
        <v>4.8148144463336484E-2</v>
      </c>
    </row>
    <row r="523" spans="1:4" x14ac:dyDescent="0.35">
      <c r="A523" s="17">
        <v>42005</v>
      </c>
      <c r="B523" s="58">
        <f>VLOOKUP(Table17[[#This Row],[Date]],database!A:H,7,)</f>
        <v>104.0844</v>
      </c>
      <c r="C523" s="67">
        <f t="shared" si="8"/>
        <v>-1.2033920506643425E-2</v>
      </c>
      <c r="D523" s="66">
        <f>(Table17[[#This Row],[Index]]-B511)/B511</f>
        <v>3.3351170661533272E-2</v>
      </c>
    </row>
    <row r="524" spans="1:4" x14ac:dyDescent="0.35">
      <c r="A524" s="17">
        <v>42036</v>
      </c>
      <c r="B524" s="58">
        <f>VLOOKUP(Table17[[#This Row],[Date]],database!A:H,7,)</f>
        <v>103.5711</v>
      </c>
      <c r="C524" s="66">
        <f t="shared" si="8"/>
        <v>-4.931574760482893E-3</v>
      </c>
      <c r="D524" s="66">
        <f>(Table17[[#This Row],[Index]]-B512)/B512</f>
        <v>2.2362019116397198E-2</v>
      </c>
    </row>
    <row r="525" spans="1:4" x14ac:dyDescent="0.35">
      <c r="A525" s="17">
        <v>42064</v>
      </c>
      <c r="B525" s="58">
        <f>VLOOKUP(Table17[[#This Row],[Date]],database!A:H,7,)</f>
        <v>102.65949999999999</v>
      </c>
      <c r="C525" s="67">
        <f t="shared" si="8"/>
        <v>-8.8016830949947389E-3</v>
      </c>
      <c r="D525" s="66">
        <f>(Table17[[#This Row],[Index]]-B513)/B513</f>
        <v>1.6215694099027862E-3</v>
      </c>
    </row>
    <row r="526" spans="1:4" x14ac:dyDescent="0.35">
      <c r="A526" s="17">
        <v>42095</v>
      </c>
      <c r="B526" s="58">
        <f>VLOOKUP(Table17[[#This Row],[Date]],database!A:H,7,)</f>
        <v>102.2106</v>
      </c>
      <c r="C526" s="66">
        <f t="shared" si="8"/>
        <v>-4.3727078351247783E-3</v>
      </c>
      <c r="D526" s="66">
        <f>(Table17[[#This Row],[Index]]-B514)/B514</f>
        <v>-7.0933973701389191E-3</v>
      </c>
    </row>
    <row r="527" spans="1:4" x14ac:dyDescent="0.35">
      <c r="A527" s="17">
        <v>42125</v>
      </c>
      <c r="B527" s="58">
        <f>VLOOKUP(Table17[[#This Row],[Date]],database!A:H,7,)</f>
        <v>101.3927</v>
      </c>
      <c r="C527" s="66">
        <f t="shared" si="8"/>
        <v>-8.0021054567724903E-3</v>
      </c>
      <c r="D527" s="66">
        <f>(Table17[[#This Row],[Index]]-B515)/B515</f>
        <v>-2.0368905004690747E-2</v>
      </c>
    </row>
    <row r="528" spans="1:4" x14ac:dyDescent="0.35">
      <c r="A528" s="17">
        <v>42156</v>
      </c>
      <c r="B528" s="58">
        <f>VLOOKUP(Table17[[#This Row],[Date]],database!A:H,7,)</f>
        <v>100.9515</v>
      </c>
      <c r="C528" s="66">
        <f t="shared" si="8"/>
        <v>-4.3513980789544604E-3</v>
      </c>
      <c r="D528" s="66">
        <f>(Table17[[#This Row],[Index]]-B516)/B516</f>
        <v>-3.1628212150367381E-2</v>
      </c>
    </row>
    <row r="529" spans="1:4" x14ac:dyDescent="0.35">
      <c r="A529" s="17">
        <v>42186</v>
      </c>
      <c r="B529" s="58">
        <f>VLOOKUP(Table17[[#This Row],[Date]],database!A:H,7,)</f>
        <v>101.48260000000001</v>
      </c>
      <c r="C529" s="66">
        <f t="shared" si="8"/>
        <v>5.2609421355800379E-3</v>
      </c>
      <c r="D529" s="66">
        <f>(Table17[[#This Row],[Index]]-B517)/B517</f>
        <v>-2.7837357563333016E-2</v>
      </c>
    </row>
    <row r="530" spans="1:4" x14ac:dyDescent="0.35">
      <c r="A530" s="17">
        <v>42217</v>
      </c>
      <c r="B530" s="58">
        <f>VLOOKUP(Table17[[#This Row],[Date]],database!A:H,7,)</f>
        <v>100.8981</v>
      </c>
      <c r="C530" s="66">
        <f t="shared" si="8"/>
        <v>-5.7596080510353698E-3</v>
      </c>
      <c r="D530" s="66">
        <f>(Table17[[#This Row],[Index]]-B518)/B518</f>
        <v>-3.4686870059134969E-2</v>
      </c>
    </row>
    <row r="531" spans="1:4" x14ac:dyDescent="0.35">
      <c r="A531" s="17">
        <v>42248</v>
      </c>
      <c r="B531" s="58">
        <f>VLOOKUP(Table17[[#This Row],[Date]],database!A:H,7,)</f>
        <v>100.87309999999999</v>
      </c>
      <c r="C531" s="66">
        <f t="shared" si="8"/>
        <v>-2.4777473510406711E-4</v>
      </c>
      <c r="D531" s="66">
        <f>(Table17[[#This Row],[Index]]-B519)/B519</f>
        <v>-3.8503478133227124E-2</v>
      </c>
    </row>
    <row r="532" spans="1:4" x14ac:dyDescent="0.35">
      <c r="A532" s="17">
        <v>42278</v>
      </c>
      <c r="B532" s="58">
        <f>VLOOKUP(Table17[[#This Row],[Date]],database!A:H,7,)</f>
        <v>100.1922</v>
      </c>
      <c r="C532" s="66">
        <f t="shared" si="8"/>
        <v>-6.7500651809054846E-3</v>
      </c>
      <c r="D532" s="66">
        <f>(Table17[[#This Row],[Index]]-B520)/B520</f>
        <v>-4.511105498663337E-2</v>
      </c>
    </row>
    <row r="533" spans="1:4" x14ac:dyDescent="0.35">
      <c r="A533" s="17">
        <v>42309</v>
      </c>
      <c r="B533" s="58">
        <f>VLOOKUP(Table17[[#This Row],[Date]],database!A:H,7,)</f>
        <v>99.064599999999999</v>
      </c>
      <c r="C533" s="66">
        <f t="shared" si="8"/>
        <v>-1.1254369102584816E-2</v>
      </c>
      <c r="D533" s="66">
        <f>(Table17[[#This Row],[Index]]-B521)/B521</f>
        <v>-5.5843330261265589E-2</v>
      </c>
    </row>
    <row r="534" spans="1:4" x14ac:dyDescent="0.35">
      <c r="A534" s="17">
        <v>42339</v>
      </c>
      <c r="B534" s="58">
        <f>VLOOKUP(Table17[[#This Row],[Date]],database!A:H,7,)</f>
        <v>98.639899999999997</v>
      </c>
      <c r="C534" s="66">
        <f t="shared" si="8"/>
        <v>-4.2871015478789243E-3</v>
      </c>
      <c r="D534" s="66">
        <f>(Table17[[#This Row],[Index]]-B522)/B522</f>
        <v>-6.3712955211186847E-2</v>
      </c>
    </row>
    <row r="535" spans="1:4" x14ac:dyDescent="0.35">
      <c r="A535" s="17">
        <v>42370</v>
      </c>
      <c r="B535" s="58">
        <f>VLOOKUP(Table17[[#This Row],[Date]],database!A:H,7,)</f>
        <v>99.007199999999997</v>
      </c>
      <c r="C535" s="66">
        <f t="shared" si="8"/>
        <v>3.7236452997215785E-3</v>
      </c>
      <c r="D535" s="66">
        <f>(Table17[[#This Row],[Index]]-B523)/B523</f>
        <v>-4.8779644211812766E-2</v>
      </c>
    </row>
    <row r="536" spans="1:4" x14ac:dyDescent="0.35">
      <c r="A536" s="17">
        <v>42401</v>
      </c>
      <c r="B536" s="58">
        <f>VLOOKUP(Table17[[#This Row],[Date]],database!A:H,7,)</f>
        <v>98.344200000000001</v>
      </c>
      <c r="C536" s="66">
        <f t="shared" si="8"/>
        <v>-6.6964826800475219E-3</v>
      </c>
      <c r="D536" s="66">
        <f>(Table17[[#This Row],[Index]]-B524)/B524</f>
        <v>-5.0466780791166656E-2</v>
      </c>
    </row>
    <row r="537" spans="1:4" x14ac:dyDescent="0.35">
      <c r="A537" s="17">
        <v>42430</v>
      </c>
      <c r="B537" s="58">
        <f>VLOOKUP(Table17[[#This Row],[Date]],database!A:H,7,)</f>
        <v>97.532399999999996</v>
      </c>
      <c r="C537" s="66">
        <f t="shared" si="8"/>
        <v>-8.2546810081327582E-3</v>
      </c>
      <c r="D537" s="66">
        <f>(Table17[[#This Row],[Index]]-B525)/B525</f>
        <v>-4.9942771979212826E-2</v>
      </c>
    </row>
    <row r="538" spans="1:4" x14ac:dyDescent="0.35">
      <c r="A538" s="17">
        <v>42461</v>
      </c>
      <c r="B538" s="58">
        <f>VLOOKUP(Table17[[#This Row],[Date]],database!A:H,7,)</f>
        <v>97.604100000000003</v>
      </c>
      <c r="C538" s="66">
        <f t="shared" si="8"/>
        <v>7.3514032260058038E-4</v>
      </c>
      <c r="D538" s="66">
        <f>(Table17[[#This Row],[Index]]-B526)/B526</f>
        <v>-4.5068711073019796E-2</v>
      </c>
    </row>
    <row r="539" spans="1:4" x14ac:dyDescent="0.35">
      <c r="A539" s="17">
        <v>42491</v>
      </c>
      <c r="B539" s="58">
        <f>VLOOKUP(Table17[[#This Row],[Date]],database!A:H,7,)</f>
        <v>97.398200000000003</v>
      </c>
      <c r="C539" s="66">
        <f t="shared" si="8"/>
        <v>-2.1095425294633818E-3</v>
      </c>
      <c r="D539" s="66">
        <f>(Table17[[#This Row],[Index]]-B527)/B527</f>
        <v>-3.939632734901035E-2</v>
      </c>
    </row>
    <row r="540" spans="1:4" x14ac:dyDescent="0.35">
      <c r="A540" s="17">
        <v>42522</v>
      </c>
      <c r="B540" s="58">
        <f>VLOOKUP(Table17[[#This Row],[Date]],database!A:H,7,)</f>
        <v>97.875600000000006</v>
      </c>
      <c r="C540" s="66">
        <f t="shared" si="8"/>
        <v>4.9015279543154211E-3</v>
      </c>
      <c r="D540" s="66">
        <f>(Table17[[#This Row],[Index]]-B528)/B528</f>
        <v>-3.0469086640614457E-2</v>
      </c>
    </row>
    <row r="541" spans="1:4" x14ac:dyDescent="0.35">
      <c r="A541" s="17">
        <v>42552</v>
      </c>
      <c r="B541" s="58">
        <f>VLOOKUP(Table17[[#This Row],[Date]],database!A:H,7,)</f>
        <v>98.075400000000002</v>
      </c>
      <c r="C541" s="66">
        <f t="shared" si="8"/>
        <v>2.041366796218913E-3</v>
      </c>
      <c r="D541" s="66">
        <f>(Table17[[#This Row],[Index]]-B529)/B529</f>
        <v>-3.3574228488430558E-2</v>
      </c>
    </row>
    <row r="542" spans="1:4" x14ac:dyDescent="0.35">
      <c r="A542" s="17">
        <v>42583</v>
      </c>
      <c r="B542" s="58">
        <f>VLOOKUP(Table17[[#This Row],[Date]],database!A:H,7,)</f>
        <v>97.861099999999993</v>
      </c>
      <c r="C542" s="66">
        <f t="shared" si="8"/>
        <v>-2.1850535404394078E-3</v>
      </c>
      <c r="D542" s="66">
        <f>(Table17[[#This Row],[Index]]-B530)/B530</f>
        <v>-3.0099674820437711E-2</v>
      </c>
    </row>
    <row r="543" spans="1:4" x14ac:dyDescent="0.35">
      <c r="A543" s="17">
        <v>42614</v>
      </c>
      <c r="B543" s="58">
        <f>VLOOKUP(Table17[[#This Row],[Date]],database!A:H,7,)</f>
        <v>97.746600000000001</v>
      </c>
      <c r="C543" s="66">
        <f t="shared" si="8"/>
        <v>-1.1700256792535058E-3</v>
      </c>
      <c r="D543" s="66">
        <f>(Table17[[#This Row],[Index]]-B531)/B531</f>
        <v>-3.0994387998386021E-2</v>
      </c>
    </row>
    <row r="544" spans="1:4" x14ac:dyDescent="0.35">
      <c r="A544" s="17">
        <v>42644</v>
      </c>
      <c r="B544" s="58">
        <f>VLOOKUP(Table17[[#This Row],[Date]],database!A:H,7,)</f>
        <v>98.1066</v>
      </c>
      <c r="C544" s="66">
        <f t="shared" si="8"/>
        <v>3.6829925542167796E-3</v>
      </c>
      <c r="D544" s="66">
        <f>(Table17[[#This Row],[Index]]-B532)/B532</f>
        <v>-2.0815991664021746E-2</v>
      </c>
    </row>
    <row r="545" spans="1:4" x14ac:dyDescent="0.35">
      <c r="A545" s="17">
        <v>42675</v>
      </c>
      <c r="B545" s="58">
        <f>VLOOKUP(Table17[[#This Row],[Date]],database!A:H,7,)</f>
        <v>97.789100000000005</v>
      </c>
      <c r="C545" s="66">
        <f t="shared" si="8"/>
        <v>-3.2362756430249773E-3</v>
      </c>
      <c r="D545" s="66">
        <f>(Table17[[#This Row],[Index]]-B533)/B533</f>
        <v>-1.2875436836165431E-2</v>
      </c>
    </row>
    <row r="546" spans="1:4" x14ac:dyDescent="0.35">
      <c r="A546" s="17">
        <v>42705</v>
      </c>
      <c r="B546" s="58">
        <f>VLOOKUP(Table17[[#This Row],[Date]],database!A:H,7,)</f>
        <v>98.060599999999994</v>
      </c>
      <c r="C546" s="66">
        <f t="shared" si="8"/>
        <v>2.776383052916831E-3</v>
      </c>
      <c r="D546" s="66">
        <f>(Table17[[#This Row],[Index]]-B534)/B534</f>
        <v>-5.8728770000780976E-3</v>
      </c>
    </row>
    <row r="547" spans="1:4" x14ac:dyDescent="0.35">
      <c r="A547" s="17">
        <v>42736</v>
      </c>
      <c r="B547" s="58">
        <f>VLOOKUP(Table17[[#This Row],[Date]],database!A:H,7,)</f>
        <v>98.341399999999993</v>
      </c>
      <c r="C547" s="66">
        <f t="shared" si="8"/>
        <v>2.8635354056572027E-3</v>
      </c>
      <c r="D547" s="66">
        <f>(Table17[[#This Row],[Index]]-B535)/B535</f>
        <v>-6.7247634515470028E-3</v>
      </c>
    </row>
    <row r="548" spans="1:4" x14ac:dyDescent="0.35">
      <c r="A548" s="17">
        <v>42767</v>
      </c>
      <c r="B548" s="58">
        <f>VLOOKUP(Table17[[#This Row],[Date]],database!A:H,7,)</f>
        <v>98.446600000000004</v>
      </c>
      <c r="C548" s="66">
        <f t="shared" si="8"/>
        <v>1.0697427533064019E-3</v>
      </c>
      <c r="D548" s="66">
        <f>(Table17[[#This Row],[Index]]-B536)/B536</f>
        <v>1.0412408662636224E-3</v>
      </c>
    </row>
    <row r="549" spans="1:4" x14ac:dyDescent="0.35">
      <c r="A549" s="17">
        <v>42795</v>
      </c>
      <c r="B549" s="58">
        <f>VLOOKUP(Table17[[#This Row],[Date]],database!A:H,7,)</f>
        <v>99.2286</v>
      </c>
      <c r="C549" s="66">
        <f t="shared" si="8"/>
        <v>7.9433926616052641E-3</v>
      </c>
      <c r="D549" s="66">
        <f>(Table17[[#This Row],[Index]]-B537)/B537</f>
        <v>1.7391143866038409E-2</v>
      </c>
    </row>
    <row r="550" spans="1:4" x14ac:dyDescent="0.35">
      <c r="A550" s="17">
        <v>42826</v>
      </c>
      <c r="B550" s="58">
        <f>VLOOKUP(Table17[[#This Row],[Date]],database!A:H,7,)</f>
        <v>99.957800000000006</v>
      </c>
      <c r="C550" s="66">
        <f t="shared" si="8"/>
        <v>7.3486877775157389E-3</v>
      </c>
      <c r="D550" s="66">
        <f>(Table17[[#This Row],[Index]]-B538)/B538</f>
        <v>2.4114765670704443E-2</v>
      </c>
    </row>
    <row r="551" spans="1:4" x14ac:dyDescent="0.35">
      <c r="A551" s="17">
        <v>42856</v>
      </c>
      <c r="B551" s="58">
        <f>VLOOKUP(Table17[[#This Row],[Date]],database!A:H,7,)</f>
        <v>99.874200000000002</v>
      </c>
      <c r="C551" s="66">
        <f t="shared" si="8"/>
        <v>-8.3635294094108747E-4</v>
      </c>
      <c r="D551" s="66">
        <f>(Table17[[#This Row],[Index]]-B539)/B539</f>
        <v>2.5421414358786906E-2</v>
      </c>
    </row>
    <row r="552" spans="1:4" x14ac:dyDescent="0.35">
      <c r="A552" s="17">
        <v>42887</v>
      </c>
      <c r="B552" s="58">
        <f>VLOOKUP(Table17[[#This Row],[Date]],database!A:H,7,)</f>
        <v>100.4996</v>
      </c>
      <c r="C552" s="66">
        <f t="shared" si="8"/>
        <v>6.2618774418217171E-3</v>
      </c>
      <c r="D552" s="66">
        <f>(Table17[[#This Row],[Index]]-B540)/B540</f>
        <v>2.6809541908299872E-2</v>
      </c>
    </row>
    <row r="553" spans="1:4" x14ac:dyDescent="0.35">
      <c r="A553" s="17">
        <v>42917</v>
      </c>
      <c r="B553" s="58">
        <f>VLOOKUP(Table17[[#This Row],[Date]],database!A:H,7,)</f>
        <v>100.31229999999999</v>
      </c>
      <c r="C553" s="66">
        <f t="shared" si="8"/>
        <v>-1.8636890097075698E-3</v>
      </c>
      <c r="D553" s="66">
        <f>(Table17[[#This Row],[Index]]-B541)/B541</f>
        <v>2.2807962037371159E-2</v>
      </c>
    </row>
    <row r="554" spans="1:4" x14ac:dyDescent="0.35">
      <c r="A554" s="17">
        <v>42948</v>
      </c>
      <c r="B554" s="58">
        <f>VLOOKUP(Table17[[#This Row],[Date]],database!A:H,7,)</f>
        <v>99.482900000000001</v>
      </c>
      <c r="C554" s="66">
        <f t="shared" si="8"/>
        <v>-8.2681784786112766E-3</v>
      </c>
      <c r="D554" s="66">
        <f>(Table17[[#This Row],[Index]]-B542)/B542</f>
        <v>1.6572468529374874E-2</v>
      </c>
    </row>
    <row r="555" spans="1:4" x14ac:dyDescent="0.35">
      <c r="A555" s="17">
        <v>42979</v>
      </c>
      <c r="B555" s="58">
        <f>VLOOKUP(Table17[[#This Row],[Date]],database!A:H,7,)</f>
        <v>99.282300000000006</v>
      </c>
      <c r="C555" s="66">
        <f t="shared" si="8"/>
        <v>-2.0164269437259463E-3</v>
      </c>
      <c r="D555" s="66">
        <f>(Table17[[#This Row],[Index]]-B543)/B543</f>
        <v>1.5711032404196214E-2</v>
      </c>
    </row>
    <row r="556" spans="1:4" x14ac:dyDescent="0.35">
      <c r="A556" s="17">
        <v>43009</v>
      </c>
      <c r="B556" s="58">
        <f>VLOOKUP(Table17[[#This Row],[Date]],database!A:H,7,)</f>
        <v>101.10809999999999</v>
      </c>
      <c r="C556" s="66">
        <f t="shared" si="8"/>
        <v>1.8389984921783453E-2</v>
      </c>
      <c r="D556" s="66">
        <f>(Table17[[#This Row],[Index]]-B544)/B544</f>
        <v>3.0594271945006687E-2</v>
      </c>
    </row>
    <row r="557" spans="1:4" x14ac:dyDescent="0.35">
      <c r="A557" s="17">
        <v>43040</v>
      </c>
      <c r="B557" s="58">
        <f>VLOOKUP(Table17[[#This Row],[Date]],database!A:H,7,)</f>
        <v>101.6669</v>
      </c>
      <c r="C557" s="66">
        <f t="shared" si="8"/>
        <v>5.52675799466118E-3</v>
      </c>
      <c r="D557" s="66">
        <f>(Table17[[#This Row],[Index]]-B545)/B545</f>
        <v>3.9654726344756148E-2</v>
      </c>
    </row>
    <row r="558" spans="1:4" x14ac:dyDescent="0.35">
      <c r="A558" s="17">
        <v>43070</v>
      </c>
      <c r="B558" s="58">
        <f>VLOOKUP(Table17[[#This Row],[Date]],database!A:H,7,)</f>
        <v>101.7993</v>
      </c>
      <c r="C558" s="66">
        <f t="shared" si="8"/>
        <v>1.3022920931000659E-3</v>
      </c>
      <c r="D558" s="66">
        <f>(Table17[[#This Row],[Index]]-B546)/B546</f>
        <v>3.812642386442678E-2</v>
      </c>
    </row>
    <row r="559" spans="1:4" x14ac:dyDescent="0.35">
      <c r="A559" s="17">
        <v>43101</v>
      </c>
      <c r="B559" s="58">
        <f>VLOOKUP(Table17[[#This Row],[Date]],database!A:H,7,)</f>
        <v>101.5448</v>
      </c>
      <c r="C559" s="66">
        <f t="shared" si="8"/>
        <v>-2.500017190688042E-3</v>
      </c>
      <c r="D559" s="66">
        <f>(Table17[[#This Row],[Index]]-B547)/B547</f>
        <v>3.2574276957619094E-2</v>
      </c>
    </row>
    <row r="560" spans="1:4" x14ac:dyDescent="0.35">
      <c r="A560" s="17">
        <v>43132</v>
      </c>
      <c r="B560" s="58">
        <f>VLOOKUP(Table17[[#This Row],[Date]],database!A:H,7,)</f>
        <v>102.10129999999999</v>
      </c>
      <c r="C560" s="66">
        <f t="shared" si="8"/>
        <v>5.4803397121270248E-3</v>
      </c>
      <c r="D560" s="66">
        <f>(Table17[[#This Row],[Index]]-B548)/B548</f>
        <v>3.712367923320857E-2</v>
      </c>
    </row>
    <row r="561" spans="1:4" x14ac:dyDescent="0.35">
      <c r="A561" s="17">
        <v>43160</v>
      </c>
      <c r="B561" s="58">
        <f>VLOOKUP(Table17[[#This Row],[Date]],database!A:H,7,)</f>
        <v>103.1035</v>
      </c>
      <c r="C561" s="66">
        <f t="shared" si="8"/>
        <v>9.8157418171953559E-3</v>
      </c>
      <c r="D561" s="66">
        <f>(Table17[[#This Row],[Index]]-B549)/B549</f>
        <v>3.9050233501228444E-2</v>
      </c>
    </row>
    <row r="562" spans="1:4" x14ac:dyDescent="0.35">
      <c r="A562" s="17">
        <v>43191</v>
      </c>
      <c r="B562" s="58">
        <f>VLOOKUP(Table17[[#This Row],[Date]],database!A:H,7,)</f>
        <v>103.9722</v>
      </c>
      <c r="C562" s="66">
        <f t="shared" si="8"/>
        <v>8.4255141678022394E-3</v>
      </c>
      <c r="D562" s="66">
        <f>(Table17[[#This Row],[Index]]-B550)/B550</f>
        <v>4.0160947920022193E-2</v>
      </c>
    </row>
    <row r="563" spans="1:4" x14ac:dyDescent="0.35">
      <c r="A563" s="17">
        <v>43221</v>
      </c>
      <c r="B563" s="58">
        <f>VLOOKUP(Table17[[#This Row],[Date]],database!A:H,7,)</f>
        <v>103.99290000000001</v>
      </c>
      <c r="C563" s="66">
        <f t="shared" si="8"/>
        <v>1.990916802760978E-4</v>
      </c>
      <c r="D563" s="66">
        <f>(Table17[[#This Row],[Index]]-B551)/B551</f>
        <v>4.1238878509164571E-2</v>
      </c>
    </row>
    <row r="564" spans="1:4" x14ac:dyDescent="0.35">
      <c r="A564" s="17">
        <v>43252</v>
      </c>
      <c r="B564" s="58">
        <f>VLOOKUP(Table17[[#This Row],[Date]],database!A:H,7,)</f>
        <v>104.6938</v>
      </c>
      <c r="C564" s="66">
        <f t="shared" si="8"/>
        <v>6.7398832035647782E-3</v>
      </c>
      <c r="D564" s="66">
        <f>(Table17[[#This Row],[Index]]-B552)/B552</f>
        <v>4.1733499436813627E-2</v>
      </c>
    </row>
    <row r="565" spans="1:4" x14ac:dyDescent="0.35">
      <c r="A565" s="17">
        <v>43282</v>
      </c>
      <c r="B565" s="58">
        <f>VLOOKUP(Table17[[#This Row],[Date]],database!A:H,7,)</f>
        <v>105.2927</v>
      </c>
      <c r="C565" s="66">
        <f t="shared" si="8"/>
        <v>5.7204915668358503E-3</v>
      </c>
      <c r="D565" s="66">
        <f>(Table17[[#This Row],[Index]]-B553)/B553</f>
        <v>4.9648946340578405E-2</v>
      </c>
    </row>
    <row r="566" spans="1:4" x14ac:dyDescent="0.35">
      <c r="A566" s="17">
        <v>43313</v>
      </c>
      <c r="B566" s="58">
        <f>VLOOKUP(Table17[[#This Row],[Date]],database!A:H,7,)</f>
        <v>106.2011</v>
      </c>
      <c r="C566" s="66">
        <f t="shared" si="8"/>
        <v>8.627378726160595E-3</v>
      </c>
      <c r="D566" s="66">
        <f>(Table17[[#This Row],[Index]]-B554)/B554</f>
        <v>6.7531203855134864E-2</v>
      </c>
    </row>
    <row r="567" spans="1:4" x14ac:dyDescent="0.35">
      <c r="A567" s="17">
        <v>43344</v>
      </c>
      <c r="B567" s="58">
        <f>VLOOKUP(Table17[[#This Row],[Date]],database!A:H,7,)</f>
        <v>106.2865</v>
      </c>
      <c r="C567" s="66">
        <f t="shared" si="8"/>
        <v>8.0413479709728897E-4</v>
      </c>
      <c r="D567" s="66">
        <f>(Table17[[#This Row],[Index]]-B555)/B555</f>
        <v>7.054832533089983E-2</v>
      </c>
    </row>
    <row r="568" spans="1:4" x14ac:dyDescent="0.35">
      <c r="A568" s="17">
        <v>43374</v>
      </c>
      <c r="B568" s="58">
        <f>VLOOKUP(Table17[[#This Row],[Date]],database!A:H,7,)</f>
        <v>106.1691</v>
      </c>
      <c r="C568" s="66">
        <f t="shared" si="8"/>
        <v>-1.1045617270303287E-3</v>
      </c>
      <c r="D568" s="66">
        <f>(Table17[[#This Row],[Index]]-B556)/B556</f>
        <v>5.0055336812777684E-2</v>
      </c>
    </row>
    <row r="569" spans="1:4" x14ac:dyDescent="0.35">
      <c r="A569" s="17">
        <v>43405</v>
      </c>
      <c r="B569" s="58">
        <f>VLOOKUP(Table17[[#This Row],[Date]],database!A:H,7,)</f>
        <v>106.4877</v>
      </c>
      <c r="C569" s="66">
        <f t="shared" si="8"/>
        <v>3.0008731354038698E-3</v>
      </c>
      <c r="D569" s="66">
        <f>(Table17[[#This Row],[Index]]-B557)/B557</f>
        <v>4.7417596090763126E-2</v>
      </c>
    </row>
    <row r="570" spans="1:4" x14ac:dyDescent="0.35">
      <c r="A570" s="17">
        <v>43435</v>
      </c>
      <c r="B570" s="58">
        <f>VLOOKUP(Table17[[#This Row],[Date]],database!A:H,7,)</f>
        <v>106.533</v>
      </c>
      <c r="C570" s="66">
        <f t="shared" si="8"/>
        <v>4.2540124352385966E-4</v>
      </c>
      <c r="D570" s="66">
        <f>(Table17[[#This Row],[Index]]-B558)/B558</f>
        <v>4.6500319746795887E-2</v>
      </c>
    </row>
    <row r="571" spans="1:4" x14ac:dyDescent="0.35">
      <c r="A571" s="17">
        <v>43466</v>
      </c>
      <c r="B571" s="58">
        <f>VLOOKUP(Table17[[#This Row],[Date]],database!A:H,7,)</f>
        <v>105.92489999999999</v>
      </c>
      <c r="C571" s="66">
        <f t="shared" si="8"/>
        <v>-5.7080904508463037E-3</v>
      </c>
      <c r="D571" s="66">
        <f>(Table17[[#This Row],[Index]]-B559)/B559</f>
        <v>4.3134655836635644E-2</v>
      </c>
    </row>
    <row r="572" spans="1:4" x14ac:dyDescent="0.35">
      <c r="A572" s="17">
        <v>43497</v>
      </c>
      <c r="B572" s="58">
        <f>VLOOKUP(Table17[[#This Row],[Date]],database!A:H,7,)</f>
        <v>105.2959</v>
      </c>
      <c r="C572" s="66">
        <f t="shared" si="8"/>
        <v>-5.9381694011511055E-3</v>
      </c>
      <c r="D572" s="66">
        <f>(Table17[[#This Row],[Index]]-B560)/B560</f>
        <v>3.1288534034336568E-2</v>
      </c>
    </row>
    <row r="573" spans="1:4" x14ac:dyDescent="0.35">
      <c r="A573" s="17">
        <v>43525</v>
      </c>
      <c r="B573" s="58">
        <f>VLOOKUP(Table17[[#This Row],[Date]],database!A:H,7,)</f>
        <v>105.2664</v>
      </c>
      <c r="C573" s="66">
        <f t="shared" si="8"/>
        <v>-2.8016285534382401E-4</v>
      </c>
      <c r="D573" s="66">
        <f>(Table17[[#This Row],[Index]]-B561)/B561</f>
        <v>2.0977949342165954E-2</v>
      </c>
    </row>
    <row r="574" spans="1:4" x14ac:dyDescent="0.35">
      <c r="A574" s="17">
        <v>43556</v>
      </c>
      <c r="B574" s="58">
        <f>VLOOKUP(Table17[[#This Row],[Date]],database!A:H,7,)</f>
        <v>105.5086</v>
      </c>
      <c r="C574" s="66">
        <f t="shared" si="8"/>
        <v>2.3008291344626119E-3</v>
      </c>
      <c r="D574" s="66">
        <f>(Table17[[#This Row],[Index]]-B562)/B562</f>
        <v>1.4777026936046371E-2</v>
      </c>
    </row>
    <row r="575" spans="1:4" x14ac:dyDescent="0.35">
      <c r="A575" s="17">
        <v>43586</v>
      </c>
      <c r="B575" s="58">
        <f>VLOOKUP(Table17[[#This Row],[Date]],database!A:H,7,)</f>
        <v>105.55880000000001</v>
      </c>
      <c r="C575" s="66">
        <f t="shared" si="8"/>
        <v>4.7579059906022181E-4</v>
      </c>
      <c r="D575" s="66">
        <f>(Table17[[#This Row],[Index]]-B563)/B563</f>
        <v>1.5057758750837789E-2</v>
      </c>
    </row>
    <row r="576" spans="1:4" x14ac:dyDescent="0.35">
      <c r="A576" s="17">
        <v>43617</v>
      </c>
      <c r="B576" s="58">
        <f>VLOOKUP(Table17[[#This Row],[Date]],database!A:H,7,)</f>
        <v>105.1297</v>
      </c>
      <c r="C576" s="66">
        <f t="shared" si="8"/>
        <v>-4.0650329484610559E-3</v>
      </c>
      <c r="D576" s="66">
        <f>(Table17[[#This Row],[Index]]-B564)/B564</f>
        <v>4.1635703355881988E-3</v>
      </c>
    </row>
    <row r="577" spans="1:4" x14ac:dyDescent="0.35">
      <c r="A577" s="17">
        <v>43647</v>
      </c>
      <c r="B577" s="58">
        <f>VLOOKUP(Table17[[#This Row],[Date]],database!A:H,7,)</f>
        <v>104.7409</v>
      </c>
      <c r="C577" s="66">
        <f t="shared" si="8"/>
        <v>-3.6982888755509036E-3</v>
      </c>
      <c r="D577" s="66">
        <f>(Table17[[#This Row],[Index]]-B565)/B565</f>
        <v>-5.2406292174101343E-3</v>
      </c>
    </row>
    <row r="578" spans="1:4" x14ac:dyDescent="0.35">
      <c r="A578" s="17">
        <v>43678</v>
      </c>
      <c r="B578" s="58">
        <f>VLOOKUP(Table17[[#This Row],[Date]],database!A:H,7,)</f>
        <v>105.74250000000001</v>
      </c>
      <c r="C578" s="66">
        <f t="shared" si="8"/>
        <v>9.5626445829661844E-3</v>
      </c>
      <c r="D578" s="66">
        <f>(Table17[[#This Row],[Index]]-B566)/B566</f>
        <v>-4.3182226926085504E-3</v>
      </c>
    </row>
    <row r="579" spans="1:4" x14ac:dyDescent="0.35">
      <c r="A579" s="17">
        <v>43709</v>
      </c>
      <c r="B579" s="58">
        <f>VLOOKUP(Table17[[#This Row],[Date]],database!A:H,7,)</f>
        <v>105.845</v>
      </c>
      <c r="C579" s="66">
        <f t="shared" si="8"/>
        <v>9.6933588670577997E-4</v>
      </c>
      <c r="D579" s="66">
        <f>(Table17[[#This Row],[Index]]-B567)/B567</f>
        <v>-4.1538671421112268E-3</v>
      </c>
    </row>
    <row r="580" spans="1:4" x14ac:dyDescent="0.35">
      <c r="A580" s="17">
        <v>43739</v>
      </c>
      <c r="B580" s="58">
        <f>VLOOKUP(Table17[[#This Row],[Date]],database!A:H,7,)</f>
        <v>104.5232</v>
      </c>
      <c r="C580" s="66">
        <f t="shared" si="8"/>
        <v>-1.2488072181019327E-2</v>
      </c>
      <c r="D580" s="66">
        <f>(Table17[[#This Row],[Index]]-B568)/B568</f>
        <v>-1.5502627412307323E-2</v>
      </c>
    </row>
    <row r="581" spans="1:4" x14ac:dyDescent="0.35">
      <c r="A581" s="17">
        <v>43770</v>
      </c>
      <c r="B581" s="58">
        <f>VLOOKUP(Table17[[#This Row],[Date]],database!A:H,7,)</f>
        <v>104.0826</v>
      </c>
      <c r="C581" s="66">
        <f t="shared" si="8"/>
        <v>-4.215332098519764E-3</v>
      </c>
      <c r="D581" s="66">
        <f>(Table17[[#This Row],[Index]]-B569)/B569</f>
        <v>-2.2585707081662992E-2</v>
      </c>
    </row>
    <row r="582" spans="1:4" x14ac:dyDescent="0.35">
      <c r="A582" s="17">
        <v>43800</v>
      </c>
      <c r="B582" s="58">
        <f>VLOOKUP(Table17[[#This Row],[Date]],database!A:H,7,)</f>
        <v>103.75709999999999</v>
      </c>
      <c r="C582" s="66">
        <f t="shared" si="8"/>
        <v>-3.1273238754605526E-3</v>
      </c>
      <c r="D582" s="66">
        <f>(Table17[[#This Row],[Index]]-B570)/B570</f>
        <v>-2.605671482075983E-2</v>
      </c>
    </row>
    <row r="583" spans="1:4" x14ac:dyDescent="0.35">
      <c r="A583" s="17">
        <v>43831</v>
      </c>
      <c r="B583" s="58">
        <f>VLOOKUP(Table17[[#This Row],[Date]],database!A:H,7,)</f>
        <v>103.26349999999999</v>
      </c>
      <c r="C583" s="66">
        <f t="shared" si="8"/>
        <v>-4.7572648040471455E-3</v>
      </c>
      <c r="D583" s="66">
        <f>(Table17[[#This Row],[Index]]-B571)/B571</f>
        <v>-2.5125348242009203E-2</v>
      </c>
    </row>
    <row r="584" spans="1:4" x14ac:dyDescent="0.35">
      <c r="A584" s="17">
        <v>43862</v>
      </c>
      <c r="B584" s="58">
        <f>VLOOKUP(Table17[[#This Row],[Date]],database!A:H,7,)</f>
        <v>103.32170000000001</v>
      </c>
      <c r="C584" s="66">
        <f t="shared" ref="C584:C647" si="9">B584/B583-1</f>
        <v>5.6360669549282427E-4</v>
      </c>
      <c r="D584" s="66">
        <f>(Table17[[#This Row],[Index]]-B572)/B572</f>
        <v>-1.8749068102366723E-2</v>
      </c>
    </row>
    <row r="585" spans="1:4" x14ac:dyDescent="0.35">
      <c r="A585" s="17">
        <v>43891</v>
      </c>
      <c r="B585" s="58">
        <f>VLOOKUP(Table17[[#This Row],[Date]],database!A:H,7,)</f>
        <v>100.7296</v>
      </c>
      <c r="C585" s="66">
        <f t="shared" si="9"/>
        <v>-2.5087663094974233E-2</v>
      </c>
      <c r="D585" s="66">
        <f>(Table17[[#This Row],[Index]]-B573)/B573</f>
        <v>-4.3098272573204741E-2</v>
      </c>
    </row>
    <row r="586" spans="1:4" x14ac:dyDescent="0.35">
      <c r="A586" s="17">
        <v>43922</v>
      </c>
      <c r="B586" s="58">
        <f>VLOOKUP(Table17[[#This Row],[Date]],database!A:H,7,)</f>
        <v>88.0274</v>
      </c>
      <c r="C586" s="66">
        <f t="shared" si="9"/>
        <v>-0.12610196009911689</v>
      </c>
      <c r="D586" s="66">
        <f>(Table17[[#This Row],[Index]]-B574)/B574</f>
        <v>-0.16568507211734398</v>
      </c>
    </row>
    <row r="587" spans="1:4" x14ac:dyDescent="0.35">
      <c r="A587" s="17">
        <v>43952</v>
      </c>
      <c r="B587" s="58">
        <f>VLOOKUP(Table17[[#This Row],[Date]],database!A:H,7,)</f>
        <v>86.647300000000001</v>
      </c>
      <c r="C587" s="66">
        <f t="shared" si="9"/>
        <v>-1.5678072963645429E-2</v>
      </c>
      <c r="D587" s="66">
        <f>(Table17[[#This Row],[Index]]-B575)/B575</f>
        <v>-0.17915607225546334</v>
      </c>
    </row>
    <row r="588" spans="1:4" x14ac:dyDescent="0.35">
      <c r="A588" s="17">
        <v>43983</v>
      </c>
      <c r="B588" s="58">
        <f>VLOOKUP(Table17[[#This Row],[Date]],database!A:H,7,)</f>
        <v>91.2547</v>
      </c>
      <c r="C588" s="66">
        <f t="shared" si="9"/>
        <v>5.3174190078629113E-2</v>
      </c>
      <c r="D588" s="66">
        <f>(Table17[[#This Row],[Index]]-B576)/B576</f>
        <v>-0.13197983062826205</v>
      </c>
    </row>
    <row r="589" spans="1:4" x14ac:dyDescent="0.35">
      <c r="A589" s="17">
        <v>44013</v>
      </c>
      <c r="B589" s="58">
        <f>VLOOKUP(Table17[[#This Row],[Date]],database!A:H,7,)</f>
        <v>94.495900000000006</v>
      </c>
      <c r="C589" s="66">
        <f t="shared" si="9"/>
        <v>3.5518170570940422E-2</v>
      </c>
      <c r="D589" s="66">
        <f>(Table17[[#This Row],[Index]]-B577)/B577</f>
        <v>-9.7812793283235014E-2</v>
      </c>
    </row>
    <row r="590" spans="1:4" x14ac:dyDescent="0.35">
      <c r="A590" s="17">
        <v>44044</v>
      </c>
      <c r="B590" s="58">
        <f>VLOOKUP(Table17[[#This Row],[Date]],database!A:H,7,)</f>
        <v>94.990700000000004</v>
      </c>
      <c r="C590" s="66">
        <f t="shared" si="9"/>
        <v>5.2362060152875145E-3</v>
      </c>
      <c r="D590" s="66">
        <f>(Table17[[#This Row],[Index]]-B578)/B578</f>
        <v>-0.10167907889448426</v>
      </c>
    </row>
    <row r="591" spans="1:4" x14ac:dyDescent="0.35">
      <c r="A591" s="17">
        <v>44075</v>
      </c>
      <c r="B591" s="58">
        <f>VLOOKUP(Table17[[#This Row],[Date]],database!A:H,7,)</f>
        <v>95.614900000000006</v>
      </c>
      <c r="C591" s="66">
        <f t="shared" si="9"/>
        <v>6.5711695987080709E-3</v>
      </c>
      <c r="D591" s="66">
        <f>(Table17[[#This Row],[Index]]-B579)/B579</f>
        <v>-9.6651707685766863E-2</v>
      </c>
    </row>
    <row r="592" spans="1:4" x14ac:dyDescent="0.35">
      <c r="A592" s="17">
        <v>44105</v>
      </c>
      <c r="B592" s="58">
        <f>VLOOKUP(Table17[[#This Row],[Date]],database!A:H,7,)</f>
        <v>96.230999999999995</v>
      </c>
      <c r="C592" s="66">
        <f t="shared" si="9"/>
        <v>6.4435563913154414E-3</v>
      </c>
      <c r="D592" s="66">
        <f>(Table17[[#This Row],[Index]]-B580)/B580</f>
        <v>-7.9333583357570459E-2</v>
      </c>
    </row>
    <row r="593" spans="1:4" x14ac:dyDescent="0.35">
      <c r="A593" s="17">
        <v>44136</v>
      </c>
      <c r="B593" s="58">
        <f>VLOOKUP(Table17[[#This Row],[Date]],database!A:H,7,)</f>
        <v>96.743399999999994</v>
      </c>
      <c r="C593" s="66">
        <f t="shared" si="9"/>
        <v>5.3246874707735259E-3</v>
      </c>
      <c r="D593" s="66">
        <f>(Table17[[#This Row],[Index]]-B581)/B581</f>
        <v>-7.0513226994713865E-2</v>
      </c>
    </row>
    <row r="594" spans="1:4" x14ac:dyDescent="0.35">
      <c r="A594" s="17">
        <v>44166</v>
      </c>
      <c r="B594" s="58">
        <f>VLOOKUP(Table17[[#This Row],[Date]],database!A:H,7,)</f>
        <v>97.560299999999998</v>
      </c>
      <c r="C594" s="66">
        <f t="shared" si="9"/>
        <v>8.4439868766241766E-3</v>
      </c>
      <c r="D594" s="66">
        <f>(Table17[[#This Row],[Index]]-B582)/B582</f>
        <v>-5.9724105627470277E-2</v>
      </c>
    </row>
    <row r="595" spans="1:4" x14ac:dyDescent="0.35">
      <c r="A595" s="17">
        <v>44197</v>
      </c>
      <c r="B595" s="58">
        <f>VLOOKUP(Table17[[#This Row],[Date]],database!A:H,7,)</f>
        <v>98.480199999999996</v>
      </c>
      <c r="C595" s="66">
        <f t="shared" si="9"/>
        <v>9.4290402961041409E-3</v>
      </c>
      <c r="D595" s="66">
        <f>(Table17[[#This Row],[Index]]-B583)/B583</f>
        <v>-4.6321304236249958E-2</v>
      </c>
    </row>
    <row r="596" spans="1:4" x14ac:dyDescent="0.35">
      <c r="A596" s="17">
        <v>44228</v>
      </c>
      <c r="B596" s="58">
        <f>VLOOKUP(Table17[[#This Row],[Date]],database!A:H,7,)</f>
        <v>94.286000000000001</v>
      </c>
      <c r="C596" s="66">
        <f t="shared" si="9"/>
        <v>-4.2589271752088154E-2</v>
      </c>
      <c r="D596" s="66">
        <f>(Table17[[#This Row],[Index]]-B584)/B584</f>
        <v>-8.7452103478746532E-2</v>
      </c>
    </row>
    <row r="597" spans="1:4" x14ac:dyDescent="0.35">
      <c r="A597" s="17">
        <v>44256</v>
      </c>
      <c r="B597" s="58">
        <f>VLOOKUP(Table17[[#This Row],[Date]],database!A:H,7,)</f>
        <v>97.992500000000007</v>
      </c>
      <c r="C597" s="66">
        <f t="shared" si="9"/>
        <v>3.931124451138035E-2</v>
      </c>
      <c r="D597" s="66">
        <f>(Table17[[#This Row],[Index]]-B585)/B585</f>
        <v>-2.7172747633267658E-2</v>
      </c>
    </row>
    <row r="598" spans="1:4" x14ac:dyDescent="0.35">
      <c r="A598" s="17">
        <v>44287</v>
      </c>
      <c r="B598" s="58">
        <f>VLOOKUP(Table17[[#This Row],[Date]],database!A:H,7,)</f>
        <v>99.000799999999998</v>
      </c>
      <c r="C598" s="66">
        <f t="shared" si="9"/>
        <v>1.0289562976758315E-2</v>
      </c>
      <c r="D598" s="66">
        <f>(Table17[[#This Row],[Index]]-B586)/B586</f>
        <v>0.12465891302026412</v>
      </c>
    </row>
    <row r="599" spans="1:4" x14ac:dyDescent="0.35">
      <c r="A599" s="17">
        <v>44317</v>
      </c>
      <c r="B599" s="58">
        <f>VLOOKUP(Table17[[#This Row],[Date]],database!A:H,7,)</f>
        <v>99.898300000000006</v>
      </c>
      <c r="C599" s="66">
        <f t="shared" si="9"/>
        <v>9.0655833084178905E-3</v>
      </c>
      <c r="D599" s="66">
        <f>(Table17[[#This Row],[Index]]-B587)/B587</f>
        <v>0.15293032789250219</v>
      </c>
    </row>
    <row r="600" spans="1:4" x14ac:dyDescent="0.35">
      <c r="A600" s="17">
        <v>44348</v>
      </c>
      <c r="B600" s="58">
        <f>VLOOKUP(Table17[[#This Row],[Date]],database!A:H,7,)</f>
        <v>100.8711</v>
      </c>
      <c r="C600" s="66">
        <f t="shared" si="9"/>
        <v>9.7379034478064508E-3</v>
      </c>
      <c r="D600" s="66">
        <f>(Table17[[#This Row],[Index]]-B588)/B588</f>
        <v>0.10537977769912124</v>
      </c>
    </row>
    <row r="601" spans="1:4" x14ac:dyDescent="0.35">
      <c r="A601" s="17">
        <v>44378</v>
      </c>
      <c r="B601" s="58">
        <f>VLOOKUP(Table17[[#This Row],[Date]],database!A:H,7,)</f>
        <v>101.0609</v>
      </c>
      <c r="C601" s="66">
        <f t="shared" si="9"/>
        <v>1.8816093013758195E-3</v>
      </c>
      <c r="D601" s="66">
        <f>(Table17[[#This Row],[Index]]-B589)/B589</f>
        <v>6.9473913683027494E-2</v>
      </c>
    </row>
    <row r="602" spans="1:4" x14ac:dyDescent="0.35">
      <c r="A602" s="17">
        <v>44409</v>
      </c>
      <c r="B602" s="58">
        <f>VLOOKUP(Table17[[#This Row],[Date]],database!A:H,7,)</f>
        <v>100.9286</v>
      </c>
      <c r="C602" s="66">
        <f t="shared" si="9"/>
        <v>-1.3091116346678477E-3</v>
      </c>
      <c r="D602" s="66">
        <f>(Table17[[#This Row],[Index]]-B590)/B590</f>
        <v>6.2510329958616995E-2</v>
      </c>
    </row>
    <row r="603" spans="1:4" x14ac:dyDescent="0.35">
      <c r="A603" s="17">
        <v>44440</v>
      </c>
      <c r="B603" s="58">
        <f>VLOOKUP(Table17[[#This Row],[Date]],database!A:H,7,)</f>
        <v>99.402000000000001</v>
      </c>
      <c r="C603" s="66">
        <f t="shared" si="9"/>
        <v>-1.5125544196590512E-2</v>
      </c>
      <c r="D603" s="66">
        <f>(Table17[[#This Row],[Index]]-B591)/B591</f>
        <v>3.9607843547396847E-2</v>
      </c>
    </row>
    <row r="604" spans="1:4" x14ac:dyDescent="0.35">
      <c r="A604" s="17">
        <v>44470</v>
      </c>
      <c r="B604" s="58">
        <f>VLOOKUP(Table17[[#This Row],[Date]],database!A:H,7,)</f>
        <v>101.6131</v>
      </c>
      <c r="C604" s="66">
        <f t="shared" si="9"/>
        <v>2.2244019235025503E-2</v>
      </c>
      <c r="D604" s="66">
        <f>(Table17[[#This Row],[Index]]-B592)/B592</f>
        <v>5.5928962600409519E-2</v>
      </c>
    </row>
    <row r="605" spans="1:4" x14ac:dyDescent="0.35">
      <c r="A605" s="17">
        <v>44501</v>
      </c>
      <c r="B605" s="58">
        <f>VLOOKUP(Table17[[#This Row],[Date]],database!A:H,7,)</f>
        <v>102.0746</v>
      </c>
      <c r="C605" s="66">
        <f t="shared" si="9"/>
        <v>4.5417372366358677E-3</v>
      </c>
      <c r="D605" s="66">
        <f>(Table17[[#This Row],[Index]]-B593)/B593</f>
        <v>5.5106601587291845E-2</v>
      </c>
    </row>
    <row r="606" spans="1:4" x14ac:dyDescent="0.35">
      <c r="A606" s="17">
        <v>44531</v>
      </c>
      <c r="B606" s="58">
        <f>VLOOKUP(Table17[[#This Row],[Date]],database!A:H,7,)</f>
        <v>101.8582</v>
      </c>
      <c r="C606" s="66">
        <f t="shared" si="9"/>
        <v>-2.1200181044060962E-3</v>
      </c>
      <c r="D606" s="66">
        <f>(Table17[[#This Row],[Index]]-B594)/B594</f>
        <v>4.4053780072426989E-2</v>
      </c>
    </row>
    <row r="607" spans="1:4" x14ac:dyDescent="0.35">
      <c r="A607" s="17">
        <v>44562</v>
      </c>
      <c r="B607" s="58">
        <f>VLOOKUP(Table17[[#This Row],[Date]],database!A:H,7,)</f>
        <v>101.8282</v>
      </c>
      <c r="C607" s="66">
        <f t="shared" si="9"/>
        <v>-2.9452709747468386E-4</v>
      </c>
      <c r="D607" s="66">
        <f>(Table17[[#This Row],[Index]]-B595)/B595</f>
        <v>3.3996681566446849E-2</v>
      </c>
    </row>
    <row r="608" spans="1:4" x14ac:dyDescent="0.35">
      <c r="A608" s="17">
        <v>44593</v>
      </c>
      <c r="B608" s="58">
        <f>VLOOKUP(Table17[[#This Row],[Date]],database!A:H,7,)</f>
        <v>102.3028</v>
      </c>
      <c r="C608" s="66">
        <f t="shared" si="9"/>
        <v>4.6607914114165094E-3</v>
      </c>
      <c r="D608" s="66">
        <f>(Table17[[#This Row],[Index]]-B596)/B596</f>
        <v>8.502640901088182E-2</v>
      </c>
    </row>
    <row r="609" spans="1:4" x14ac:dyDescent="0.35">
      <c r="A609" s="17">
        <v>44621</v>
      </c>
      <c r="B609" s="58">
        <f>VLOOKUP(Table17[[#This Row],[Date]],database!A:H,7,)</f>
        <v>103.35550000000001</v>
      </c>
      <c r="C609" s="66">
        <f t="shared" si="9"/>
        <v>1.0290040937295908E-2</v>
      </c>
      <c r="D609" s="66">
        <f>(Table17[[#This Row],[Index]]-B597)/B597</f>
        <v>5.4728678215169517E-2</v>
      </c>
    </row>
    <row r="610" spans="1:4" x14ac:dyDescent="0.35">
      <c r="A610" s="17">
        <v>44652</v>
      </c>
      <c r="B610" s="58">
        <f>VLOOKUP(Table17[[#This Row],[Date]],database!A:H,7,)</f>
        <v>103.7079</v>
      </c>
      <c r="C610" s="66">
        <f t="shared" si="9"/>
        <v>3.4095911683460489E-3</v>
      </c>
      <c r="D610" s="66">
        <f>(Table17[[#This Row],[Index]]-B598)/B598</f>
        <v>4.7546080435713622E-2</v>
      </c>
    </row>
    <row r="611" spans="1:4" x14ac:dyDescent="0.35">
      <c r="A611" s="17">
        <v>44682</v>
      </c>
      <c r="B611" s="58">
        <f>VLOOKUP(Table17[[#This Row],[Date]],database!A:H,7,)</f>
        <v>104.0153</v>
      </c>
      <c r="C611" s="66">
        <f t="shared" si="9"/>
        <v>2.9640943457538427E-3</v>
      </c>
      <c r="D611" s="66">
        <f>(Table17[[#This Row],[Index]]-B599)/B599</f>
        <v>4.1211912515027684E-2</v>
      </c>
    </row>
    <row r="612" spans="1:4" x14ac:dyDescent="0.35">
      <c r="A612" s="17">
        <v>44713</v>
      </c>
      <c r="B612" s="58">
        <f>VLOOKUP(Table17[[#This Row],[Date]],database!A:H,7,)</f>
        <v>104.40860000000001</v>
      </c>
      <c r="C612" s="66">
        <f t="shared" si="9"/>
        <v>3.7811745002900299E-3</v>
      </c>
      <c r="D612" s="66">
        <f>(Table17[[#This Row],[Index]]-B600)/B600</f>
        <v>3.5069509502721877E-2</v>
      </c>
    </row>
    <row r="613" spans="1:4" x14ac:dyDescent="0.35">
      <c r="A613" s="17">
        <v>44743</v>
      </c>
      <c r="B613" s="58">
        <f>VLOOKUP(Table17[[#This Row],[Date]],database!A:H,7,)</f>
        <v>105.0326</v>
      </c>
      <c r="C613" s="66">
        <f t="shared" si="9"/>
        <v>5.9765191756233627E-3</v>
      </c>
      <c r="D613" s="66">
        <f>(Table17[[#This Row],[Index]]-B601)/B601</f>
        <v>3.9300065604007069E-2</v>
      </c>
    </row>
    <row r="614" spans="1:4" x14ac:dyDescent="0.35">
      <c r="A614" s="17">
        <v>44774</v>
      </c>
      <c r="B614" s="58">
        <f>VLOOKUP(Table17[[#This Row],[Date]],database!A:H,7,)</f>
        <v>104.6688</v>
      </c>
      <c r="C614" s="66">
        <f t="shared" si="9"/>
        <v>-3.4636865125684535E-3</v>
      </c>
      <c r="D614" s="66">
        <f>(Table17[[#This Row],[Index]]-B602)/B602</f>
        <v>3.7057880521477571E-2</v>
      </c>
    </row>
    <row r="615" spans="1:4" x14ac:dyDescent="0.35">
      <c r="A615" s="17">
        <v>44805</v>
      </c>
      <c r="B615" s="58">
        <f>VLOOKUP(Table17[[#This Row],[Date]],database!A:H,7,)</f>
        <v>105.2407</v>
      </c>
      <c r="C615" s="66">
        <f t="shared" si="9"/>
        <v>5.4639013727109109E-3</v>
      </c>
      <c r="D615" s="66">
        <f>(Table17[[#This Row],[Index]]-B603)/B603</f>
        <v>5.8738254763485674E-2</v>
      </c>
    </row>
    <row r="616" spans="1:4" x14ac:dyDescent="0.35">
      <c r="A616" s="17">
        <v>44835</v>
      </c>
      <c r="B616" s="58">
        <f>VLOOKUP(Table17[[#This Row],[Date]],database!A:H,7,)</f>
        <v>104.76560000000001</v>
      </c>
      <c r="C616" s="66">
        <f t="shared" si="9"/>
        <v>-4.5144131500455265E-3</v>
      </c>
      <c r="D616" s="66">
        <f>(Table17[[#This Row],[Index]]-B604)/B604</f>
        <v>3.1024543095329277E-2</v>
      </c>
    </row>
    <row r="617" spans="1:4" x14ac:dyDescent="0.35">
      <c r="A617" s="17">
        <v>44866</v>
      </c>
      <c r="B617" s="58">
        <f>VLOOKUP(Table17[[#This Row],[Date]],database!A:H,7,)</f>
        <v>104.11360000000001</v>
      </c>
      <c r="C617" s="66">
        <f t="shared" si="9"/>
        <v>-6.2234168467512063E-3</v>
      </c>
      <c r="D617" s="66">
        <f>(Table17[[#This Row],[Index]]-B605)/B605</f>
        <v>1.9975586482827278E-2</v>
      </c>
    </row>
    <row r="618" spans="1:4" x14ac:dyDescent="0.35">
      <c r="A618" s="17">
        <v>44896</v>
      </c>
      <c r="B618" s="58">
        <f>VLOOKUP(Table17[[#This Row],[Date]],database!A:H,7,)</f>
        <v>102.88249999999999</v>
      </c>
      <c r="C618" s="66">
        <f t="shared" si="9"/>
        <v>-1.1824583916030251E-2</v>
      </c>
      <c r="D618" s="66">
        <f>(Table17[[#This Row],[Index]]-B606)/B606</f>
        <v>1.005613686477865E-2</v>
      </c>
    </row>
    <row r="619" spans="1:4" x14ac:dyDescent="0.35">
      <c r="A619" s="17">
        <v>44927</v>
      </c>
      <c r="B619" s="58">
        <f>VLOOKUP(Table17[[#This Row],[Date]],database!A:H,7,)</f>
        <v>102.9609</v>
      </c>
      <c r="C619" s="66">
        <f t="shared" si="9"/>
        <v>7.6203435958488441E-4</v>
      </c>
      <c r="D619" s="66">
        <f>(Table17[[#This Row],[Index]]-B607)/B607</f>
        <v>1.1123637656366309E-2</v>
      </c>
    </row>
  </sheetData>
  <conditionalFormatting sqref="D463:D61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19"/>
  <sheetViews>
    <sheetView zoomScale="80" zoomScaleNormal="80" workbookViewId="0">
      <pane ySplit="6" topLeftCell="A587" activePane="bottomLeft" state="frozen"/>
      <selection activeCell="J582" sqref="J582"/>
      <selection pane="bottomLeft" activeCell="F619" sqref="F619"/>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2" width="9.1796875" style="74" customWidth="1"/>
    <col min="23" max="23" width="15.36328125" style="74" customWidth="1"/>
    <col min="24" max="41" width="9.1796875" style="74" customWidth="1"/>
    <col min="42" max="16384" width="9.1796875" style="74"/>
  </cols>
  <sheetData>
    <row r="1" spans="1:25" x14ac:dyDescent="0.35">
      <c r="A1" s="15" t="s">
        <v>30</v>
      </c>
      <c r="B1" s="74"/>
      <c r="C1" s="74"/>
      <c r="S1" s="74" t="s">
        <v>66</v>
      </c>
      <c r="T1" s="74" t="s">
        <v>67</v>
      </c>
      <c r="U1" s="74" t="str">
        <f>S1&amp;T1</f>
        <v xml:space="preserve">Industrial Production: Consumer Goods since 2010 </v>
      </c>
      <c r="Y1" s="74" t="str">
        <f>U2&amp; T1</f>
        <v xml:space="preserve">Industrial Production: Consumer Goods yoy since 2010 </v>
      </c>
    </row>
    <row r="2" spans="1:25" x14ac:dyDescent="0.35">
      <c r="A2" s="16"/>
      <c r="B2" s="74"/>
      <c r="C2" s="74"/>
      <c r="U2" s="74" t="str">
        <f>S1&amp;Table18[[#Headers],[ yoy]]</f>
        <v>Industrial Production: Consumer Goods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VLOOKUP(Table18[[#This Row],[Date]],database!A:G,5,)</f>
        <v>57.259900000000002</v>
      </c>
      <c r="C7" s="65"/>
      <c r="D7" s="65"/>
    </row>
    <row r="8" spans="1:25" x14ac:dyDescent="0.35">
      <c r="A8" s="17">
        <v>26330</v>
      </c>
      <c r="B8" s="58">
        <f>VLOOKUP(Table18[[#This Row],[Date]],database!A:G,5,)</f>
        <v>57.619500000000002</v>
      </c>
      <c r="C8" s="66">
        <f t="shared" ref="C8:C71" si="0">B8/B7-1</f>
        <v>6.2801367099838412E-3</v>
      </c>
      <c r="D8" s="66"/>
    </row>
    <row r="9" spans="1:25" x14ac:dyDescent="0.35">
      <c r="A9" s="17">
        <v>26359</v>
      </c>
      <c r="B9" s="58">
        <f>VLOOKUP(Table18[[#This Row],[Date]],database!A:G,5,)</f>
        <v>57.597799999999999</v>
      </c>
      <c r="C9" s="66">
        <f t="shared" si="0"/>
        <v>-3.7660861340349516E-4</v>
      </c>
      <c r="D9" s="66"/>
    </row>
    <row r="10" spans="1:25" x14ac:dyDescent="0.35">
      <c r="A10" s="17">
        <v>26390</v>
      </c>
      <c r="B10" s="58">
        <f>VLOOKUP(Table18[[#This Row],[Date]],database!A:G,5,)</f>
        <v>58.268799999999999</v>
      </c>
      <c r="C10" s="66">
        <f t="shared" si="0"/>
        <v>1.1649750511304235E-2</v>
      </c>
      <c r="D10" s="66"/>
    </row>
    <row r="11" spans="1:25" x14ac:dyDescent="0.35">
      <c r="A11" s="17">
        <v>26420</v>
      </c>
      <c r="B11" s="58">
        <f>VLOOKUP(Table18[[#This Row],[Date]],database!A:G,5,)</f>
        <v>58.014200000000002</v>
      </c>
      <c r="C11" s="66">
        <f t="shared" si="0"/>
        <v>-4.369405239167401E-3</v>
      </c>
      <c r="D11" s="66"/>
    </row>
    <row r="12" spans="1:25" x14ac:dyDescent="0.35">
      <c r="A12" s="17">
        <v>26451</v>
      </c>
      <c r="B12" s="58">
        <f>VLOOKUP(Table18[[#This Row],[Date]],database!A:G,5,)</f>
        <v>58.039099999999998</v>
      </c>
      <c r="C12" s="66">
        <f t="shared" si="0"/>
        <v>4.2920526353884547E-4</v>
      </c>
      <c r="D12" s="66"/>
    </row>
    <row r="13" spans="1:25" x14ac:dyDescent="0.35">
      <c r="A13" s="17">
        <v>26481</v>
      </c>
      <c r="B13" s="58">
        <f>VLOOKUP(Table18[[#This Row],[Date]],database!A:G,5,)</f>
        <v>58.471200000000003</v>
      </c>
      <c r="C13" s="66">
        <f t="shared" si="0"/>
        <v>7.4449810558745444E-3</v>
      </c>
      <c r="D13" s="66"/>
    </row>
    <row r="14" spans="1:25" x14ac:dyDescent="0.35">
      <c r="A14" s="17">
        <v>26512</v>
      </c>
      <c r="B14" s="58">
        <f>VLOOKUP(Table18[[#This Row],[Date]],database!A:G,5,)</f>
        <v>59.105400000000003</v>
      </c>
      <c r="C14" s="66">
        <f t="shared" si="0"/>
        <v>1.0846365390140722E-2</v>
      </c>
      <c r="D14" s="66"/>
    </row>
    <row r="15" spans="1:25" x14ac:dyDescent="0.35">
      <c r="A15" s="17">
        <v>26543</v>
      </c>
      <c r="B15" s="58">
        <f>VLOOKUP(Table18[[#This Row],[Date]],database!A:G,5,)</f>
        <v>59.431899999999999</v>
      </c>
      <c r="C15" s="66">
        <f t="shared" si="0"/>
        <v>5.5240299532699488E-3</v>
      </c>
      <c r="D15" s="66"/>
    </row>
    <row r="16" spans="1:25" x14ac:dyDescent="0.35">
      <c r="A16" s="17">
        <v>26573</v>
      </c>
      <c r="B16" s="58">
        <f>VLOOKUP(Table18[[#This Row],[Date]],database!A:G,5,)</f>
        <v>60.283900000000003</v>
      </c>
      <c r="C16" s="66">
        <f t="shared" si="0"/>
        <v>1.4335735522505555E-2</v>
      </c>
      <c r="D16" s="66"/>
    </row>
    <row r="17" spans="1:4" x14ac:dyDescent="0.35">
      <c r="A17" s="17">
        <v>26604</v>
      </c>
      <c r="B17" s="58">
        <f>VLOOKUP(Table18[[#This Row],[Date]],database!A:G,5,)</f>
        <v>60.709499999999998</v>
      </c>
      <c r="C17" s="66">
        <f t="shared" si="0"/>
        <v>7.0599281068410846E-3</v>
      </c>
      <c r="D17" s="66"/>
    </row>
    <row r="18" spans="1:4" x14ac:dyDescent="0.35">
      <c r="A18" s="17">
        <v>26634</v>
      </c>
      <c r="B18" s="58">
        <f>VLOOKUP(Table18[[#This Row],[Date]],database!A:G,5,)</f>
        <v>61.210700000000003</v>
      </c>
      <c r="C18" s="66">
        <f t="shared" si="0"/>
        <v>8.2557095676953907E-3</v>
      </c>
      <c r="D18" s="66"/>
    </row>
    <row r="19" spans="1:4" x14ac:dyDescent="0.35">
      <c r="A19" s="17">
        <v>26665</v>
      </c>
      <c r="B19" s="58">
        <f>VLOOKUP(Table18[[#This Row],[Date]],database!A:G,5,)</f>
        <v>61.104799999999997</v>
      </c>
      <c r="C19" s="66">
        <f t="shared" si="0"/>
        <v>-1.7300896738643434E-3</v>
      </c>
      <c r="D19" s="66"/>
    </row>
    <row r="20" spans="1:4" x14ac:dyDescent="0.35">
      <c r="A20" s="17">
        <v>26696</v>
      </c>
      <c r="B20" s="58">
        <f>VLOOKUP(Table18[[#This Row],[Date]],database!A:G,5,)</f>
        <v>61.866199999999999</v>
      </c>
      <c r="C20" s="66">
        <f t="shared" si="0"/>
        <v>1.2460559563242102E-2</v>
      </c>
      <c r="D20" s="66">
        <f>(Table18[[#This Row],[Index]]-B8)/B8</f>
        <v>7.3702479195411216E-2</v>
      </c>
    </row>
    <row r="21" spans="1:4" x14ac:dyDescent="0.35">
      <c r="A21" s="17">
        <v>26724</v>
      </c>
      <c r="B21" s="58">
        <f>VLOOKUP(Table18[[#This Row],[Date]],database!A:G,5,)</f>
        <v>62.031700000000001</v>
      </c>
      <c r="C21" s="66">
        <f t="shared" si="0"/>
        <v>2.6751279373875558E-3</v>
      </c>
      <c r="D21" s="66">
        <f>(Table18[[#This Row],[Index]]-B9)/B9</f>
        <v>7.6980370778050575E-2</v>
      </c>
    </row>
    <row r="22" spans="1:4" x14ac:dyDescent="0.35">
      <c r="A22" s="17">
        <v>26755</v>
      </c>
      <c r="B22" s="58">
        <f>VLOOKUP(Table18[[#This Row],[Date]],database!A:G,5,)</f>
        <v>61.395499999999998</v>
      </c>
      <c r="C22" s="66">
        <f t="shared" si="0"/>
        <v>-1.0256046505254579E-2</v>
      </c>
      <c r="D22" s="66">
        <f>(Table18[[#This Row],[Index]]-B10)/B10</f>
        <v>5.3659934647701683E-2</v>
      </c>
    </row>
    <row r="23" spans="1:4" x14ac:dyDescent="0.35">
      <c r="A23" s="17">
        <v>26785</v>
      </c>
      <c r="B23" s="58">
        <f>VLOOKUP(Table18[[#This Row],[Date]],database!A:G,5,)</f>
        <v>61.760199999999998</v>
      </c>
      <c r="C23" s="66">
        <f t="shared" si="0"/>
        <v>5.9401747685090545E-3</v>
      </c>
      <c r="D23" s="66">
        <f>(Table18[[#This Row],[Index]]-B11)/B11</f>
        <v>6.457039828179989E-2</v>
      </c>
    </row>
    <row r="24" spans="1:4" x14ac:dyDescent="0.35">
      <c r="A24" s="17">
        <v>26816</v>
      </c>
      <c r="B24" s="58">
        <f>VLOOKUP(Table18[[#This Row],[Date]],database!A:G,5,)</f>
        <v>61.351300000000002</v>
      </c>
      <c r="C24" s="66">
        <f t="shared" si="0"/>
        <v>-6.6207687151271788E-3</v>
      </c>
      <c r="D24" s="66">
        <f>(Table18[[#This Row],[Index]]-B12)/B12</f>
        <v>5.7068424562062549E-2</v>
      </c>
    </row>
    <row r="25" spans="1:4" x14ac:dyDescent="0.35">
      <c r="A25" s="17">
        <v>26846</v>
      </c>
      <c r="B25" s="58">
        <f>VLOOKUP(Table18[[#This Row],[Date]],database!A:G,5,)</f>
        <v>61.192799999999998</v>
      </c>
      <c r="C25" s="66">
        <f t="shared" si="0"/>
        <v>-2.5834823385976202E-3</v>
      </c>
      <c r="D25" s="66">
        <f>(Table18[[#This Row],[Index]]-B13)/B13</f>
        <v>4.6545991872921966E-2</v>
      </c>
    </row>
    <row r="26" spans="1:4" x14ac:dyDescent="0.35">
      <c r="A26" s="17">
        <v>26877</v>
      </c>
      <c r="B26" s="58">
        <f>VLOOKUP(Table18[[#This Row],[Date]],database!A:G,5,)</f>
        <v>60.626899999999999</v>
      </c>
      <c r="C26" s="66">
        <f t="shared" si="0"/>
        <v>-9.2478200049679327E-3</v>
      </c>
      <c r="D26" s="66">
        <f>(Table18[[#This Row],[Index]]-B14)/B14</f>
        <v>2.5742148771516579E-2</v>
      </c>
    </row>
    <row r="27" spans="1:4" x14ac:dyDescent="0.35">
      <c r="A27" s="17">
        <v>26908</v>
      </c>
      <c r="B27" s="58">
        <f>VLOOKUP(Table18[[#This Row],[Date]],database!A:G,5,)</f>
        <v>61.5627</v>
      </c>
      <c r="C27" s="66">
        <f t="shared" si="0"/>
        <v>1.5435392540275039E-2</v>
      </c>
      <c r="D27" s="66">
        <f>(Table18[[#This Row],[Index]]-B15)/B15</f>
        <v>3.5852799590792163E-2</v>
      </c>
    </row>
    <row r="28" spans="1:4" x14ac:dyDescent="0.35">
      <c r="A28" s="17">
        <v>26938</v>
      </c>
      <c r="B28" s="58">
        <f>VLOOKUP(Table18[[#This Row],[Date]],database!A:G,5,)</f>
        <v>61.827500000000001</v>
      </c>
      <c r="C28" s="66">
        <f t="shared" si="0"/>
        <v>4.3013058231688994E-3</v>
      </c>
      <c r="D28" s="66">
        <f>(Table18[[#This Row],[Index]]-B16)/B16</f>
        <v>2.5605509928853274E-2</v>
      </c>
    </row>
    <row r="29" spans="1:4" x14ac:dyDescent="0.35">
      <c r="A29" s="17">
        <v>26969</v>
      </c>
      <c r="B29" s="58">
        <f>VLOOKUP(Table18[[#This Row],[Date]],database!A:G,5,)</f>
        <v>62.023099999999999</v>
      </c>
      <c r="C29" s="66">
        <f t="shared" si="0"/>
        <v>3.1636407747361872E-3</v>
      </c>
      <c r="D29" s="66">
        <f>(Table18[[#This Row],[Index]]-B17)/B17</f>
        <v>2.1637470247654833E-2</v>
      </c>
    </row>
    <row r="30" spans="1:4" x14ac:dyDescent="0.35">
      <c r="A30" s="17">
        <v>26999</v>
      </c>
      <c r="B30" s="58">
        <f>VLOOKUP(Table18[[#This Row],[Date]],database!A:G,5,)</f>
        <v>60.9131</v>
      </c>
      <c r="C30" s="66">
        <f t="shared" si="0"/>
        <v>-1.7896557895364817E-2</v>
      </c>
      <c r="D30" s="66">
        <f>(Table18[[#This Row],[Index]]-B18)/B18</f>
        <v>-4.8618950608309121E-3</v>
      </c>
    </row>
    <row r="31" spans="1:4" x14ac:dyDescent="0.35">
      <c r="A31" s="17">
        <v>27030</v>
      </c>
      <c r="B31" s="58">
        <f>VLOOKUP(Table18[[#This Row],[Date]],database!A:G,5,)</f>
        <v>60.119900000000001</v>
      </c>
      <c r="C31" s="66">
        <f t="shared" si="0"/>
        <v>-1.3021829458687795E-2</v>
      </c>
      <c r="D31" s="66">
        <f>(Table18[[#This Row],[Index]]-B19)/B19</f>
        <v>-1.6118210026053535E-2</v>
      </c>
    </row>
    <row r="32" spans="1:4" x14ac:dyDescent="0.35">
      <c r="A32" s="17">
        <v>27061</v>
      </c>
      <c r="B32" s="58">
        <f>VLOOKUP(Table18[[#This Row],[Date]],database!A:G,5,)</f>
        <v>59.922199999999997</v>
      </c>
      <c r="C32" s="66">
        <f t="shared" si="0"/>
        <v>-3.2884286234675653E-3</v>
      </c>
      <c r="D32" s="66">
        <f>(Table18[[#This Row],[Index]]-B20)/B20</f>
        <v>-3.1422650817409227E-2</v>
      </c>
    </row>
    <row r="33" spans="1:4" x14ac:dyDescent="0.35">
      <c r="A33" s="17">
        <v>27089</v>
      </c>
      <c r="B33" s="58">
        <f>VLOOKUP(Table18[[#This Row],[Date]],database!A:G,5,)</f>
        <v>60.0319</v>
      </c>
      <c r="C33" s="66">
        <f t="shared" si="0"/>
        <v>1.830707150271671E-3</v>
      </c>
      <c r="D33" s="66">
        <f>(Table18[[#This Row],[Index]]-B21)/B21</f>
        <v>-3.2238355550468556E-2</v>
      </c>
    </row>
    <row r="34" spans="1:4" x14ac:dyDescent="0.35">
      <c r="A34" s="17">
        <v>27120</v>
      </c>
      <c r="B34" s="58">
        <f>VLOOKUP(Table18[[#This Row],[Date]],database!A:G,5,)</f>
        <v>59.837299999999999</v>
      </c>
      <c r="C34" s="66">
        <f t="shared" si="0"/>
        <v>-3.2416098774151747E-3</v>
      </c>
      <c r="D34" s="66">
        <f>(Table18[[#This Row],[Index]]-B22)/B22</f>
        <v>-2.5379710239349779E-2</v>
      </c>
    </row>
    <row r="35" spans="1:4" x14ac:dyDescent="0.35">
      <c r="A35" s="17">
        <v>27150</v>
      </c>
      <c r="B35" s="58">
        <f>VLOOKUP(Table18[[#This Row],[Date]],database!A:G,5,)</f>
        <v>60.421700000000001</v>
      </c>
      <c r="C35" s="66">
        <f t="shared" si="0"/>
        <v>9.7664834476154372E-3</v>
      </c>
      <c r="D35" s="66">
        <f>(Table18[[#This Row],[Index]]-B23)/B23</f>
        <v>-2.1672533443868321E-2</v>
      </c>
    </row>
    <row r="36" spans="1:4" x14ac:dyDescent="0.35">
      <c r="A36" s="17">
        <v>27181</v>
      </c>
      <c r="B36" s="58">
        <f>VLOOKUP(Table18[[#This Row],[Date]],database!A:G,5,)</f>
        <v>60.6175</v>
      </c>
      <c r="C36" s="66">
        <f t="shared" si="0"/>
        <v>3.2405576142346959E-3</v>
      </c>
      <c r="D36" s="66">
        <f>(Table18[[#This Row],[Index]]-B24)/B24</f>
        <v>-1.1960626751185423E-2</v>
      </c>
    </row>
    <row r="37" spans="1:4" x14ac:dyDescent="0.35">
      <c r="A37" s="17">
        <v>27211</v>
      </c>
      <c r="B37" s="58">
        <f>VLOOKUP(Table18[[#This Row],[Date]],database!A:G,5,)</f>
        <v>60.594000000000001</v>
      </c>
      <c r="C37" s="66">
        <f t="shared" si="0"/>
        <v>-3.876768259990504E-4</v>
      </c>
      <c r="D37" s="66">
        <f>(Table18[[#This Row],[Index]]-B25)/B25</f>
        <v>-9.7854649566615215E-3</v>
      </c>
    </row>
    <row r="38" spans="1:4" x14ac:dyDescent="0.35">
      <c r="A38" s="17">
        <v>27242</v>
      </c>
      <c r="B38" s="58">
        <f>VLOOKUP(Table18[[#This Row],[Date]],database!A:G,5,)</f>
        <v>60.509900000000002</v>
      </c>
      <c r="C38" s="66">
        <f t="shared" si="0"/>
        <v>-1.3879261973132051E-3</v>
      </c>
      <c r="D38" s="66">
        <f>(Table18[[#This Row],[Index]]-B26)/B26</f>
        <v>-1.9298364257449635E-3</v>
      </c>
    </row>
    <row r="39" spans="1:4" x14ac:dyDescent="0.35">
      <c r="A39" s="17">
        <v>27273</v>
      </c>
      <c r="B39" s="58">
        <f>VLOOKUP(Table18[[#This Row],[Date]],database!A:G,5,)</f>
        <v>59.986600000000003</v>
      </c>
      <c r="C39" s="66">
        <f t="shared" si="0"/>
        <v>-8.6481716215032201E-3</v>
      </c>
      <c r="D39" s="66">
        <f>(Table18[[#This Row],[Index]]-B27)/B27</f>
        <v>-2.5601541192962568E-2</v>
      </c>
    </row>
    <row r="40" spans="1:4" x14ac:dyDescent="0.35">
      <c r="A40" s="17">
        <v>27303</v>
      </c>
      <c r="B40" s="58">
        <f>VLOOKUP(Table18[[#This Row],[Date]],database!A:G,5,)</f>
        <v>60.001899999999999</v>
      </c>
      <c r="C40" s="66">
        <f t="shared" si="0"/>
        <v>2.5505696272154488E-4</v>
      </c>
      <c r="D40" s="66">
        <f>(Table18[[#This Row],[Index]]-B28)/B28</f>
        <v>-2.9527313897537526E-2</v>
      </c>
    </row>
    <row r="41" spans="1:4" x14ac:dyDescent="0.35">
      <c r="A41" s="17">
        <v>27334</v>
      </c>
      <c r="B41" s="58">
        <f>VLOOKUP(Table18[[#This Row],[Date]],database!A:G,5,)</f>
        <v>58.306600000000003</v>
      </c>
      <c r="C41" s="66">
        <f t="shared" si="0"/>
        <v>-2.8254105286665832E-2</v>
      </c>
      <c r="D41" s="66">
        <f>(Table18[[#This Row],[Index]]-B29)/B29</f>
        <v>-5.9921222899210078E-2</v>
      </c>
    </row>
    <row r="42" spans="1:4" x14ac:dyDescent="0.35">
      <c r="A42" s="17">
        <v>27364</v>
      </c>
      <c r="B42" s="58">
        <f>VLOOKUP(Table18[[#This Row],[Date]],database!A:G,5,)</f>
        <v>56.386600000000001</v>
      </c>
      <c r="C42" s="66">
        <f t="shared" si="0"/>
        <v>-3.2929376777243058E-2</v>
      </c>
      <c r="D42" s="66">
        <f>(Table18[[#This Row],[Index]]-B30)/B30</f>
        <v>-7.4310780439675511E-2</v>
      </c>
    </row>
    <row r="43" spans="1:4" x14ac:dyDescent="0.35">
      <c r="A43" s="17">
        <v>27395</v>
      </c>
      <c r="B43" s="58">
        <f>VLOOKUP(Table18[[#This Row],[Date]],database!A:G,5,)</f>
        <v>55.1</v>
      </c>
      <c r="C43" s="66">
        <f t="shared" si="0"/>
        <v>-2.2817477911418638E-2</v>
      </c>
      <c r="D43" s="66">
        <f>(Table18[[#This Row],[Index]]-B31)/B31</f>
        <v>-8.3498142877815831E-2</v>
      </c>
    </row>
    <row r="44" spans="1:4" x14ac:dyDescent="0.35">
      <c r="A44" s="17">
        <v>27426</v>
      </c>
      <c r="B44" s="58">
        <f>VLOOKUP(Table18[[#This Row],[Date]],database!A:G,5,)</f>
        <v>54.361600000000003</v>
      </c>
      <c r="C44" s="66">
        <f t="shared" si="0"/>
        <v>-1.340108892921954E-2</v>
      </c>
      <c r="D44" s="66">
        <f>(Table18[[#This Row],[Index]]-B32)/B32</f>
        <v>-9.2796993434820382E-2</v>
      </c>
    </row>
    <row r="45" spans="1:4" x14ac:dyDescent="0.35">
      <c r="A45" s="17">
        <v>27454</v>
      </c>
      <c r="B45" s="58">
        <f>VLOOKUP(Table18[[#This Row],[Date]],database!A:G,5,)</f>
        <v>54.505400000000002</v>
      </c>
      <c r="C45" s="66">
        <f t="shared" si="0"/>
        <v>2.6452495879443205E-3</v>
      </c>
      <c r="D45" s="66">
        <f>(Table18[[#This Row],[Index]]-B33)/B33</f>
        <v>-9.2059388425153932E-2</v>
      </c>
    </row>
    <row r="46" spans="1:4" x14ac:dyDescent="0.35">
      <c r="A46" s="17">
        <v>27485</v>
      </c>
      <c r="B46" s="58">
        <f>VLOOKUP(Table18[[#This Row],[Date]],database!A:G,5,)</f>
        <v>55.655099999999997</v>
      </c>
      <c r="C46" s="66">
        <f t="shared" si="0"/>
        <v>2.1093322863422692E-2</v>
      </c>
      <c r="D46" s="66">
        <f>(Table18[[#This Row],[Index]]-B34)/B34</f>
        <v>-6.9892859470597798E-2</v>
      </c>
    </row>
    <row r="47" spans="1:4" x14ac:dyDescent="0.35">
      <c r="A47" s="17">
        <v>27515</v>
      </c>
      <c r="B47" s="58">
        <f>VLOOKUP(Table18[[#This Row],[Date]],database!A:G,5,)</f>
        <v>55.919899999999998</v>
      </c>
      <c r="C47" s="66">
        <f t="shared" si="0"/>
        <v>4.7578748398620085E-3</v>
      </c>
      <c r="D47" s="66">
        <f>(Table18[[#This Row],[Index]]-B35)/B35</f>
        <v>-7.4506344574879604E-2</v>
      </c>
    </row>
    <row r="48" spans="1:4" x14ac:dyDescent="0.35">
      <c r="A48" s="17">
        <v>27546</v>
      </c>
      <c r="B48" s="58">
        <f>VLOOKUP(Table18[[#This Row],[Date]],database!A:G,5,)</f>
        <v>56.689399999999999</v>
      </c>
      <c r="C48" s="66">
        <f t="shared" si="0"/>
        <v>1.3760754221663563E-2</v>
      </c>
      <c r="D48" s="66">
        <f>(Table18[[#This Row],[Index]]-B36)/B36</f>
        <v>-6.4801418732214303E-2</v>
      </c>
    </row>
    <row r="49" spans="1:4" x14ac:dyDescent="0.35">
      <c r="A49" s="17">
        <v>27576</v>
      </c>
      <c r="B49" s="58">
        <f>VLOOKUP(Table18[[#This Row],[Date]],database!A:G,5,)</f>
        <v>58.137700000000002</v>
      </c>
      <c r="C49" s="66">
        <f t="shared" si="0"/>
        <v>2.5547986043246151E-2</v>
      </c>
      <c r="D49" s="66">
        <f>(Table18[[#This Row],[Index]]-B37)/B37</f>
        <v>-4.0537016866356385E-2</v>
      </c>
    </row>
    <row r="50" spans="1:4" x14ac:dyDescent="0.35">
      <c r="A50" s="17">
        <v>27607</v>
      </c>
      <c r="B50" s="58">
        <f>VLOOKUP(Table18[[#This Row],[Date]],database!A:G,5,)</f>
        <v>58.454799999999999</v>
      </c>
      <c r="C50" s="66">
        <f t="shared" si="0"/>
        <v>5.4542921374598485E-3</v>
      </c>
      <c r="D50" s="66">
        <f>(Table18[[#This Row],[Index]]-B38)/B38</f>
        <v>-3.396303745337545E-2</v>
      </c>
    </row>
    <row r="51" spans="1:4" x14ac:dyDescent="0.35">
      <c r="A51" s="17">
        <v>27638</v>
      </c>
      <c r="B51" s="58">
        <f>VLOOKUP(Table18[[#This Row],[Date]],database!A:G,5,)</f>
        <v>59.307600000000001</v>
      </c>
      <c r="C51" s="66">
        <f t="shared" si="0"/>
        <v>1.4589050001026393E-2</v>
      </c>
      <c r="D51" s="66">
        <f>(Table18[[#This Row],[Index]]-B39)/B39</f>
        <v>-1.1319194620131864E-2</v>
      </c>
    </row>
    <row r="52" spans="1:4" x14ac:dyDescent="0.35">
      <c r="A52" s="17">
        <v>27668</v>
      </c>
      <c r="B52" s="58">
        <f>VLOOKUP(Table18[[#This Row],[Date]],database!A:G,5,)</f>
        <v>59.3992</v>
      </c>
      <c r="C52" s="66">
        <f t="shared" si="0"/>
        <v>1.5444900822154661E-3</v>
      </c>
      <c r="D52" s="66">
        <f>(Table18[[#This Row],[Index]]-B40)/B40</f>
        <v>-1.0044681918405894E-2</v>
      </c>
    </row>
    <row r="53" spans="1:4" x14ac:dyDescent="0.35">
      <c r="A53" s="17">
        <v>27699</v>
      </c>
      <c r="B53" s="58">
        <f>VLOOKUP(Table18[[#This Row],[Date]],database!A:G,5,)</f>
        <v>59.604500000000002</v>
      </c>
      <c r="C53" s="66">
        <f t="shared" si="0"/>
        <v>3.4562755053939576E-3</v>
      </c>
      <c r="D53" s="66">
        <f>(Table18[[#This Row],[Index]]-B41)/B41</f>
        <v>2.225991568707485E-2</v>
      </c>
    </row>
    <row r="54" spans="1:4" x14ac:dyDescent="0.35">
      <c r="A54" s="17">
        <v>27729</v>
      </c>
      <c r="B54" s="58">
        <f>VLOOKUP(Table18[[#This Row],[Date]],database!A:G,5,)</f>
        <v>60.165999999999997</v>
      </c>
      <c r="C54" s="66">
        <f t="shared" si="0"/>
        <v>9.420429665545349E-3</v>
      </c>
      <c r="D54" s="66">
        <f>(Table18[[#This Row],[Index]]-B42)/B42</f>
        <v>6.7026563048667512E-2</v>
      </c>
    </row>
    <row r="55" spans="1:4" x14ac:dyDescent="0.35">
      <c r="A55" s="17">
        <v>27760</v>
      </c>
      <c r="B55" s="58">
        <f>VLOOKUP(Table18[[#This Row],[Date]],database!A:G,5,)</f>
        <v>60.862200000000001</v>
      </c>
      <c r="C55" s="66">
        <f t="shared" si="0"/>
        <v>1.1571319349799047E-2</v>
      </c>
      <c r="D55" s="66">
        <f>(Table18[[#This Row],[Index]]-B43)/B43</f>
        <v>0.10457713248638838</v>
      </c>
    </row>
    <row r="56" spans="1:4" x14ac:dyDescent="0.35">
      <c r="A56" s="17">
        <v>27791</v>
      </c>
      <c r="B56" s="58">
        <f>VLOOKUP(Table18[[#This Row],[Date]],database!A:G,5,)</f>
        <v>61.150399999999998</v>
      </c>
      <c r="C56" s="66">
        <f t="shared" si="0"/>
        <v>4.7352872554722314E-3</v>
      </c>
      <c r="D56" s="66">
        <f>(Table18[[#This Row],[Index]]-B44)/B44</f>
        <v>0.12488226983753227</v>
      </c>
    </row>
    <row r="57" spans="1:4" x14ac:dyDescent="0.35">
      <c r="A57" s="17">
        <v>27820</v>
      </c>
      <c r="B57" s="58">
        <f>VLOOKUP(Table18[[#This Row],[Date]],database!A:G,5,)</f>
        <v>61.0655</v>
      </c>
      <c r="C57" s="66">
        <f t="shared" si="0"/>
        <v>-1.388380125068589E-3</v>
      </c>
      <c r="D57" s="66">
        <f>(Table18[[#This Row],[Index]]-B45)/B45</f>
        <v>0.12035688207040034</v>
      </c>
    </row>
    <row r="58" spans="1:4" x14ac:dyDescent="0.35">
      <c r="A58" s="17">
        <v>27851</v>
      </c>
      <c r="B58" s="58">
        <f>VLOOKUP(Table18[[#This Row],[Date]],database!A:G,5,)</f>
        <v>61.191400000000002</v>
      </c>
      <c r="C58" s="66">
        <f t="shared" si="0"/>
        <v>2.0617206114745823E-3</v>
      </c>
      <c r="D58" s="66">
        <f>(Table18[[#This Row],[Index]]-B46)/B46</f>
        <v>9.9475160407581781E-2</v>
      </c>
    </row>
    <row r="59" spans="1:4" x14ac:dyDescent="0.35">
      <c r="A59" s="17">
        <v>27881</v>
      </c>
      <c r="B59" s="58">
        <f>VLOOKUP(Table18[[#This Row],[Date]],database!A:G,5,)</f>
        <v>61.657400000000003</v>
      </c>
      <c r="C59" s="66">
        <f t="shared" si="0"/>
        <v>7.615449229793736E-3</v>
      </c>
      <c r="D59" s="66">
        <f>(Table18[[#This Row],[Index]]-B47)/B47</f>
        <v>0.10260211481064888</v>
      </c>
    </row>
    <row r="60" spans="1:4" x14ac:dyDescent="0.35">
      <c r="A60" s="17">
        <v>27912</v>
      </c>
      <c r="B60" s="58">
        <f>VLOOKUP(Table18[[#This Row],[Date]],database!A:G,5,)</f>
        <v>61.496899999999997</v>
      </c>
      <c r="C60" s="66">
        <f t="shared" si="0"/>
        <v>-2.603093870322204E-3</v>
      </c>
      <c r="D60" s="66">
        <f>(Table18[[#This Row],[Index]]-B48)/B48</f>
        <v>8.4804213838918702E-2</v>
      </c>
    </row>
    <row r="61" spans="1:4" x14ac:dyDescent="0.35">
      <c r="A61" s="17">
        <v>27942</v>
      </c>
      <c r="B61" s="58">
        <f>VLOOKUP(Table18[[#This Row],[Date]],database!A:G,5,)</f>
        <v>61.865200000000002</v>
      </c>
      <c r="C61" s="66">
        <f t="shared" si="0"/>
        <v>5.9889197666875837E-3</v>
      </c>
      <c r="D61" s="66">
        <f>(Table18[[#This Row],[Index]]-B49)/B49</f>
        <v>6.4115023470140697E-2</v>
      </c>
    </row>
    <row r="62" spans="1:4" x14ac:dyDescent="0.35">
      <c r="A62" s="17">
        <v>27973</v>
      </c>
      <c r="B62" s="58">
        <f>VLOOKUP(Table18[[#This Row],[Date]],database!A:G,5,)</f>
        <v>61.987200000000001</v>
      </c>
      <c r="C62" s="66">
        <f t="shared" si="0"/>
        <v>1.9720295093201834E-3</v>
      </c>
      <c r="D62" s="66">
        <f>(Table18[[#This Row],[Index]]-B50)/B50</f>
        <v>6.0429596885114699E-2</v>
      </c>
    </row>
    <row r="63" spans="1:4" x14ac:dyDescent="0.35">
      <c r="A63" s="17">
        <v>28004</v>
      </c>
      <c r="B63" s="58">
        <f>VLOOKUP(Table18[[#This Row],[Date]],database!A:G,5,)</f>
        <v>62.049199999999999</v>
      </c>
      <c r="C63" s="66">
        <f t="shared" si="0"/>
        <v>1.0002064942440381E-3</v>
      </c>
      <c r="D63" s="66">
        <f>(Table18[[#This Row],[Index]]-B51)/B51</f>
        <v>4.622679049565314E-2</v>
      </c>
    </row>
    <row r="64" spans="1:4" x14ac:dyDescent="0.35">
      <c r="A64" s="17">
        <v>28034</v>
      </c>
      <c r="B64" s="58">
        <f>VLOOKUP(Table18[[#This Row],[Date]],database!A:G,5,)</f>
        <v>62.490600000000001</v>
      </c>
      <c r="C64" s="66">
        <f t="shared" si="0"/>
        <v>7.1137097657987258E-3</v>
      </c>
      <c r="D64" s="66">
        <f>(Table18[[#This Row],[Index]]-B52)/B52</f>
        <v>5.2044471979420602E-2</v>
      </c>
    </row>
    <row r="65" spans="1:4" x14ac:dyDescent="0.35">
      <c r="A65" s="17">
        <v>28065</v>
      </c>
      <c r="B65" s="58">
        <f>VLOOKUP(Table18[[#This Row],[Date]],database!A:G,5,)</f>
        <v>63.6051</v>
      </c>
      <c r="C65" s="66">
        <f t="shared" si="0"/>
        <v>1.7834682336223429E-2</v>
      </c>
      <c r="D65" s="66">
        <f>(Table18[[#This Row],[Index]]-B53)/B53</f>
        <v>6.7119093357045162E-2</v>
      </c>
    </row>
    <row r="66" spans="1:4" x14ac:dyDescent="0.35">
      <c r="A66" s="17">
        <v>28095</v>
      </c>
      <c r="B66" s="58">
        <f>VLOOKUP(Table18[[#This Row],[Date]],database!A:G,5,)</f>
        <v>64.291700000000006</v>
      </c>
      <c r="C66" s="66">
        <f t="shared" si="0"/>
        <v>1.0794731868985386E-2</v>
      </c>
      <c r="D66" s="66">
        <f>(Table18[[#This Row],[Index]]-B54)/B54</f>
        <v>6.8571950935744599E-2</v>
      </c>
    </row>
    <row r="67" spans="1:4" x14ac:dyDescent="0.35">
      <c r="A67" s="17">
        <v>28126</v>
      </c>
      <c r="B67" s="58">
        <f>VLOOKUP(Table18[[#This Row],[Date]],database!A:G,5,)</f>
        <v>64.025599999999997</v>
      </c>
      <c r="C67" s="66">
        <f t="shared" si="0"/>
        <v>-4.1389479512908833E-3</v>
      </c>
      <c r="D67" s="66">
        <f>(Table18[[#This Row],[Index]]-B55)/B55</f>
        <v>5.1976432005415442E-2</v>
      </c>
    </row>
    <row r="68" spans="1:4" x14ac:dyDescent="0.35">
      <c r="A68" s="17">
        <v>28157</v>
      </c>
      <c r="B68" s="58">
        <f>VLOOKUP(Table18[[#This Row],[Date]],database!A:G,5,)</f>
        <v>64.9161</v>
      </c>
      <c r="C68" s="66">
        <f t="shared" si="0"/>
        <v>1.3908499100359961E-2</v>
      </c>
      <c r="D68" s="66">
        <f>(Table18[[#This Row],[Index]]-B56)/B56</f>
        <v>6.1580954499071187E-2</v>
      </c>
    </row>
    <row r="69" spans="1:4" x14ac:dyDescent="0.35">
      <c r="A69" s="17">
        <v>28185</v>
      </c>
      <c r="B69" s="58">
        <f>VLOOKUP(Table18[[#This Row],[Date]],database!A:G,5,)</f>
        <v>65.002200000000002</v>
      </c>
      <c r="C69" s="66">
        <f t="shared" si="0"/>
        <v>1.3263273671708653E-3</v>
      </c>
      <c r="D69" s="66">
        <f>(Table18[[#This Row],[Index]]-B57)/B57</f>
        <v>6.4466842980078792E-2</v>
      </c>
    </row>
    <row r="70" spans="1:4" x14ac:dyDescent="0.35">
      <c r="A70" s="17">
        <v>28216</v>
      </c>
      <c r="B70" s="58">
        <f>VLOOKUP(Table18[[#This Row],[Date]],database!A:G,5,)</f>
        <v>65.456800000000001</v>
      </c>
      <c r="C70" s="66">
        <f t="shared" si="0"/>
        <v>6.9936094470648413E-3</v>
      </c>
      <c r="D70" s="66">
        <f>(Table18[[#This Row],[Index]]-B58)/B58</f>
        <v>6.9705873701206372E-2</v>
      </c>
    </row>
    <row r="71" spans="1:4" x14ac:dyDescent="0.35">
      <c r="A71" s="17">
        <v>28246</v>
      </c>
      <c r="B71" s="58">
        <f>VLOOKUP(Table18[[#This Row],[Date]],database!A:G,5,)</f>
        <v>65.461500000000001</v>
      </c>
      <c r="C71" s="66">
        <f t="shared" si="0"/>
        <v>7.1803082338339763E-5</v>
      </c>
      <c r="D71" s="66">
        <f>(Table18[[#This Row],[Index]]-B59)/B59</f>
        <v>6.1697379389983979E-2</v>
      </c>
    </row>
    <row r="72" spans="1:4" x14ac:dyDescent="0.35">
      <c r="A72" s="17">
        <v>28277</v>
      </c>
      <c r="B72" s="58">
        <f>VLOOKUP(Table18[[#This Row],[Date]],database!A:G,5,)</f>
        <v>65.941500000000005</v>
      </c>
      <c r="C72" s="66">
        <f t="shared" ref="C72:C135" si="1">B72/B71-1</f>
        <v>7.3325542494444562E-3</v>
      </c>
      <c r="D72" s="66">
        <f>(Table18[[#This Row],[Index]]-B60)/B60</f>
        <v>7.2273561756771618E-2</v>
      </c>
    </row>
    <row r="73" spans="1:4" x14ac:dyDescent="0.35">
      <c r="A73" s="17">
        <v>28307</v>
      </c>
      <c r="B73" s="58">
        <f>VLOOKUP(Table18[[#This Row],[Date]],database!A:G,5,)</f>
        <v>66.063599999999994</v>
      </c>
      <c r="C73" s="66">
        <f t="shared" si="1"/>
        <v>1.851641227451406E-3</v>
      </c>
      <c r="D73" s="66">
        <f>(Table18[[#This Row],[Index]]-B61)/B61</f>
        <v>6.7863677802706399E-2</v>
      </c>
    </row>
    <row r="74" spans="1:4" x14ac:dyDescent="0.35">
      <c r="A74" s="17">
        <v>28338</v>
      </c>
      <c r="B74" s="58">
        <f>VLOOKUP(Table18[[#This Row],[Date]],database!A:G,5,)</f>
        <v>66.192999999999998</v>
      </c>
      <c r="C74" s="66">
        <f t="shared" si="1"/>
        <v>1.958718568167761E-3</v>
      </c>
      <c r="D74" s="66">
        <f>(Table18[[#This Row],[Index]]-B62)/B62</f>
        <v>6.7849491507924159E-2</v>
      </c>
    </row>
    <row r="75" spans="1:4" x14ac:dyDescent="0.35">
      <c r="A75" s="17">
        <v>28369</v>
      </c>
      <c r="B75" s="58">
        <f>VLOOKUP(Table18[[#This Row],[Date]],database!A:G,5,)</f>
        <v>66.310500000000005</v>
      </c>
      <c r="C75" s="66">
        <f t="shared" si="1"/>
        <v>1.7751121719820073E-3</v>
      </c>
      <c r="D75" s="66">
        <f>(Table18[[#This Row],[Index]]-B63)/B63</f>
        <v>6.867614731535629E-2</v>
      </c>
    </row>
    <row r="76" spans="1:4" x14ac:dyDescent="0.35">
      <c r="A76" s="17">
        <v>28399</v>
      </c>
      <c r="B76" s="58">
        <f>VLOOKUP(Table18[[#This Row],[Date]],database!A:G,5,)</f>
        <v>66.814899999999994</v>
      </c>
      <c r="C76" s="66">
        <f t="shared" si="1"/>
        <v>7.6066384660045117E-3</v>
      </c>
      <c r="D76" s="66">
        <f>(Table18[[#This Row],[Index]]-B64)/B64</f>
        <v>6.9199207560817044E-2</v>
      </c>
    </row>
    <row r="77" spans="1:4" x14ac:dyDescent="0.35">
      <c r="A77" s="17">
        <v>28430</v>
      </c>
      <c r="B77" s="58">
        <f>VLOOKUP(Table18[[#This Row],[Date]],database!A:G,5,)</f>
        <v>66.901399999999995</v>
      </c>
      <c r="C77" s="66">
        <f t="shared" si="1"/>
        <v>1.2946214092963704E-3</v>
      </c>
      <c r="D77" s="66">
        <f>(Table18[[#This Row],[Index]]-B65)/B65</f>
        <v>5.1824460617151694E-2</v>
      </c>
    </row>
    <row r="78" spans="1:4" x14ac:dyDescent="0.35">
      <c r="A78" s="17">
        <v>28460</v>
      </c>
      <c r="B78" s="58">
        <f>VLOOKUP(Table18[[#This Row],[Date]],database!A:G,5,)</f>
        <v>67.486500000000007</v>
      </c>
      <c r="C78" s="66">
        <f t="shared" si="1"/>
        <v>8.7457063678788582E-3</v>
      </c>
      <c r="D78" s="66">
        <f>(Table18[[#This Row],[Index]]-B66)/B66</f>
        <v>4.9692261987161646E-2</v>
      </c>
    </row>
    <row r="79" spans="1:4" x14ac:dyDescent="0.35">
      <c r="A79" s="17">
        <v>28491</v>
      </c>
      <c r="B79" s="58">
        <f>VLOOKUP(Table18[[#This Row],[Date]],database!A:G,5,)</f>
        <v>65.708100000000002</v>
      </c>
      <c r="C79" s="66">
        <f t="shared" si="1"/>
        <v>-2.6351937054077568E-2</v>
      </c>
      <c r="D79" s="66">
        <f>(Table18[[#This Row],[Index]]-B67)/B67</f>
        <v>2.6278551079568245E-2</v>
      </c>
    </row>
    <row r="80" spans="1:4" x14ac:dyDescent="0.35">
      <c r="A80" s="17">
        <v>28522</v>
      </c>
      <c r="B80" s="58">
        <f>VLOOKUP(Table18[[#This Row],[Date]],database!A:G,5,)</f>
        <v>66.788700000000006</v>
      </c>
      <c r="C80" s="66">
        <f t="shared" si="1"/>
        <v>1.6445461061878275E-2</v>
      </c>
      <c r="D80" s="66">
        <f>(Table18[[#This Row],[Index]]-B68)/B68</f>
        <v>2.8846464898538354E-2</v>
      </c>
    </row>
    <row r="81" spans="1:4" x14ac:dyDescent="0.35">
      <c r="A81" s="17">
        <v>28550</v>
      </c>
      <c r="B81" s="58">
        <f>VLOOKUP(Table18[[#This Row],[Date]],database!A:G,5,)</f>
        <v>68.140199999999993</v>
      </c>
      <c r="C81" s="66">
        <f t="shared" si="1"/>
        <v>2.0235458992314381E-2</v>
      </c>
      <c r="D81" s="66">
        <f>(Table18[[#This Row],[Index]]-B69)/B69</f>
        <v>4.8275289144059597E-2</v>
      </c>
    </row>
    <row r="82" spans="1:4" x14ac:dyDescent="0.35">
      <c r="A82" s="17">
        <v>28581</v>
      </c>
      <c r="B82" s="58">
        <f>VLOOKUP(Table18[[#This Row],[Date]],database!A:G,5,)</f>
        <v>68.575100000000006</v>
      </c>
      <c r="C82" s="66">
        <f t="shared" si="1"/>
        <v>6.3824291680978362E-3</v>
      </c>
      <c r="D82" s="66">
        <f>(Table18[[#This Row],[Index]]-B70)/B70</f>
        <v>4.7639053543711347E-2</v>
      </c>
    </row>
    <row r="83" spans="1:4" x14ac:dyDescent="0.35">
      <c r="A83" s="17">
        <v>28611</v>
      </c>
      <c r="B83" s="58">
        <f>VLOOKUP(Table18[[#This Row],[Date]],database!A:G,5,)</f>
        <v>68.192499999999995</v>
      </c>
      <c r="C83" s="66">
        <f t="shared" si="1"/>
        <v>-5.5792846091367032E-3</v>
      </c>
      <c r="D83" s="66">
        <f>(Table18[[#This Row],[Index]]-B71)/B71</f>
        <v>4.1719178448400882E-2</v>
      </c>
    </row>
    <row r="84" spans="1:4" x14ac:dyDescent="0.35">
      <c r="A84" s="17">
        <v>28642</v>
      </c>
      <c r="B84" s="58">
        <f>VLOOKUP(Table18[[#This Row],[Date]],database!A:G,5,)</f>
        <v>68.559299999999993</v>
      </c>
      <c r="C84" s="66">
        <f t="shared" si="1"/>
        <v>5.3788906404663717E-3</v>
      </c>
      <c r="D84" s="66">
        <f>(Table18[[#This Row],[Index]]-B72)/B72</f>
        <v>3.9698823957598599E-2</v>
      </c>
    </row>
    <row r="85" spans="1:4" x14ac:dyDescent="0.35">
      <c r="A85" s="17">
        <v>28672</v>
      </c>
      <c r="B85" s="58">
        <f>VLOOKUP(Table18[[#This Row],[Date]],database!A:G,5,)</f>
        <v>68.184299999999993</v>
      </c>
      <c r="C85" s="66">
        <f t="shared" si="1"/>
        <v>-5.4697174562751139E-3</v>
      </c>
      <c r="D85" s="66">
        <f>(Table18[[#This Row],[Index]]-B73)/B73</f>
        <v>3.2100884602110684E-2</v>
      </c>
    </row>
    <row r="86" spans="1:4" x14ac:dyDescent="0.35">
      <c r="A86" s="17">
        <v>28703</v>
      </c>
      <c r="B86" s="58">
        <f>VLOOKUP(Table18[[#This Row],[Date]],database!A:G,5,)</f>
        <v>68.078900000000004</v>
      </c>
      <c r="C86" s="66">
        <f t="shared" si="1"/>
        <v>-1.5458103991680128E-3</v>
      </c>
      <c r="D86" s="66">
        <f>(Table18[[#This Row],[Index]]-B74)/B74</f>
        <v>2.8490928043750949E-2</v>
      </c>
    </row>
    <row r="87" spans="1:4" x14ac:dyDescent="0.35">
      <c r="A87" s="17">
        <v>28734</v>
      </c>
      <c r="B87" s="58">
        <f>VLOOKUP(Table18[[#This Row],[Date]],database!A:G,5,)</f>
        <v>68.1905</v>
      </c>
      <c r="C87" s="66">
        <f t="shared" si="1"/>
        <v>1.639274430109694E-3</v>
      </c>
      <c r="D87" s="66">
        <f>(Table18[[#This Row],[Index]]-B75)/B75</f>
        <v>2.8351467716274125E-2</v>
      </c>
    </row>
    <row r="88" spans="1:4" x14ac:dyDescent="0.35">
      <c r="A88" s="17">
        <v>28764</v>
      </c>
      <c r="B88" s="58">
        <f>VLOOKUP(Table18[[#This Row],[Date]],database!A:G,5,)</f>
        <v>68.09</v>
      </c>
      <c r="C88" s="66">
        <f t="shared" si="1"/>
        <v>-1.4738123345626741E-3</v>
      </c>
      <c r="D88" s="66">
        <f>(Table18[[#This Row],[Index]]-B76)/B76</f>
        <v>1.9084066577964034E-2</v>
      </c>
    </row>
    <row r="89" spans="1:4" x14ac:dyDescent="0.35">
      <c r="A89" s="17">
        <v>28795</v>
      </c>
      <c r="B89" s="58">
        <f>VLOOKUP(Table18[[#This Row],[Date]],database!A:G,5,)</f>
        <v>68.303200000000004</v>
      </c>
      <c r="C89" s="66">
        <f t="shared" si="1"/>
        <v>3.1311499485975336E-3</v>
      </c>
      <c r="D89" s="66">
        <f>(Table18[[#This Row],[Index]]-B77)/B77</f>
        <v>2.0953223699354703E-2</v>
      </c>
    </row>
    <row r="90" spans="1:4" x14ac:dyDescent="0.35">
      <c r="A90" s="17">
        <v>28825</v>
      </c>
      <c r="B90" s="58">
        <f>VLOOKUP(Table18[[#This Row],[Date]],database!A:G,5,)</f>
        <v>68.436899999999994</v>
      </c>
      <c r="C90" s="66">
        <f t="shared" si="1"/>
        <v>1.9574485529227914E-3</v>
      </c>
      <c r="D90" s="66">
        <f>(Table18[[#This Row],[Index]]-B78)/B78</f>
        <v>1.408281656331248E-2</v>
      </c>
    </row>
    <row r="91" spans="1:4" x14ac:dyDescent="0.35">
      <c r="A91" s="17">
        <v>28856</v>
      </c>
      <c r="B91" s="58">
        <f>VLOOKUP(Table18[[#This Row],[Date]],database!A:G,5,)</f>
        <v>68.291700000000006</v>
      </c>
      <c r="C91" s="66">
        <f t="shared" si="1"/>
        <v>-2.1216624364924774E-3</v>
      </c>
      <c r="D91" s="66">
        <f>(Table18[[#This Row],[Index]]-B79)/B79</f>
        <v>3.9319353321736653E-2</v>
      </c>
    </row>
    <row r="92" spans="1:4" x14ac:dyDescent="0.35">
      <c r="A92" s="17">
        <v>28887</v>
      </c>
      <c r="B92" s="58">
        <f>VLOOKUP(Table18[[#This Row],[Date]],database!A:G,5,)</f>
        <v>67.796099999999996</v>
      </c>
      <c r="C92" s="66">
        <f t="shared" si="1"/>
        <v>-7.2571044504677884E-3</v>
      </c>
      <c r="D92" s="66">
        <f>(Table18[[#This Row],[Index]]-B80)/B80</f>
        <v>1.5083389854870507E-2</v>
      </c>
    </row>
    <row r="93" spans="1:4" x14ac:dyDescent="0.35">
      <c r="A93" s="17">
        <v>28915</v>
      </c>
      <c r="B93" s="58">
        <f>VLOOKUP(Table18[[#This Row],[Date]],database!A:G,5,)</f>
        <v>68.070999999999998</v>
      </c>
      <c r="C93" s="66">
        <f t="shared" si="1"/>
        <v>4.0548055124114413E-3</v>
      </c>
      <c r="D93" s="66">
        <f>(Table18[[#This Row],[Index]]-B81)/B81</f>
        <v>-1.0155532270230356E-3</v>
      </c>
    </row>
    <row r="94" spans="1:4" x14ac:dyDescent="0.35">
      <c r="A94" s="17">
        <v>28946</v>
      </c>
      <c r="B94" s="58">
        <f>VLOOKUP(Table18[[#This Row],[Date]],database!A:G,5,)</f>
        <v>66.759900000000002</v>
      </c>
      <c r="C94" s="66">
        <f t="shared" si="1"/>
        <v>-1.9260771841165814E-2</v>
      </c>
      <c r="D94" s="66">
        <f>(Table18[[#This Row],[Index]]-B82)/B82</f>
        <v>-2.6470249405396482E-2</v>
      </c>
    </row>
    <row r="95" spans="1:4" x14ac:dyDescent="0.35">
      <c r="A95" s="17">
        <v>28976</v>
      </c>
      <c r="B95" s="58">
        <f>VLOOKUP(Table18[[#This Row],[Date]],database!A:G,5,)</f>
        <v>67.262</v>
      </c>
      <c r="C95" s="66">
        <f t="shared" si="1"/>
        <v>7.5209819068033923E-3</v>
      </c>
      <c r="D95" s="66">
        <f>(Table18[[#This Row],[Index]]-B83)/B83</f>
        <v>-1.3645195586024783E-2</v>
      </c>
    </row>
    <row r="96" spans="1:4" x14ac:dyDescent="0.35">
      <c r="A96" s="17">
        <v>29007</v>
      </c>
      <c r="B96" s="58">
        <f>VLOOKUP(Table18[[#This Row],[Date]],database!A:G,5,)</f>
        <v>66.993399999999994</v>
      </c>
      <c r="C96" s="66">
        <f t="shared" si="1"/>
        <v>-3.9933394784574805E-3</v>
      </c>
      <c r="D96" s="66">
        <f>(Table18[[#This Row],[Index]]-B84)/B84</f>
        <v>-2.2840081506083045E-2</v>
      </c>
    </row>
    <row r="97" spans="1:4" x14ac:dyDescent="0.35">
      <c r="A97" s="17">
        <v>29037</v>
      </c>
      <c r="B97" s="58">
        <f>VLOOKUP(Table18[[#This Row],[Date]],database!A:G,5,)</f>
        <v>66.494299999999996</v>
      </c>
      <c r="C97" s="66">
        <f t="shared" si="1"/>
        <v>-7.4499876107197993E-3</v>
      </c>
      <c r="D97" s="66">
        <f>(Table18[[#This Row],[Index]]-B85)/B85</f>
        <v>-2.4785764464840116E-2</v>
      </c>
    </row>
    <row r="98" spans="1:4" x14ac:dyDescent="0.35">
      <c r="A98" s="17">
        <v>29068</v>
      </c>
      <c r="B98" s="58">
        <f>VLOOKUP(Table18[[#This Row],[Date]],database!A:G,5,)</f>
        <v>65.761099999999999</v>
      </c>
      <c r="C98" s="66">
        <f t="shared" si="1"/>
        <v>-1.1026509039120613E-2</v>
      </c>
      <c r="D98" s="66">
        <f>(Table18[[#This Row],[Index]]-B86)/B86</f>
        <v>-3.4045790986634704E-2</v>
      </c>
    </row>
    <row r="99" spans="1:4" x14ac:dyDescent="0.35">
      <c r="A99" s="17">
        <v>29099</v>
      </c>
      <c r="B99" s="58">
        <f>VLOOKUP(Table18[[#This Row],[Date]],database!A:G,5,)</f>
        <v>66.100399999999993</v>
      </c>
      <c r="C99" s="66">
        <f t="shared" si="1"/>
        <v>5.1595852259160857E-3</v>
      </c>
      <c r="D99" s="66">
        <f>(Table18[[#This Row],[Index]]-B87)/B87</f>
        <v>-3.0650897119100268E-2</v>
      </c>
    </row>
    <row r="100" spans="1:4" x14ac:dyDescent="0.35">
      <c r="A100" s="17">
        <v>29129</v>
      </c>
      <c r="B100" s="58">
        <f>VLOOKUP(Table18[[#This Row],[Date]],database!A:G,5,)</f>
        <v>66.332499999999996</v>
      </c>
      <c r="C100" s="66">
        <f t="shared" si="1"/>
        <v>3.5113251962166636E-3</v>
      </c>
      <c r="D100" s="66">
        <f>(Table18[[#This Row],[Index]]-B88)/B88</f>
        <v>-2.5811426053752494E-2</v>
      </c>
    </row>
    <row r="101" spans="1:4" x14ac:dyDescent="0.35">
      <c r="A101" s="17">
        <v>29160</v>
      </c>
      <c r="B101" s="58">
        <f>VLOOKUP(Table18[[#This Row],[Date]],database!A:G,5,)</f>
        <v>66.152799999999999</v>
      </c>
      <c r="C101" s="66">
        <f t="shared" si="1"/>
        <v>-2.7090792597896929E-3</v>
      </c>
      <c r="D101" s="66">
        <f>(Table18[[#This Row],[Index]]-B89)/B89</f>
        <v>-3.1483151594654493E-2</v>
      </c>
    </row>
    <row r="102" spans="1:4" x14ac:dyDescent="0.35">
      <c r="A102" s="17">
        <v>29190</v>
      </c>
      <c r="B102" s="58">
        <f>VLOOKUP(Table18[[#This Row],[Date]],database!A:G,5,)</f>
        <v>66.1892</v>
      </c>
      <c r="C102" s="66">
        <f t="shared" si="1"/>
        <v>5.5024125962921389E-4</v>
      </c>
      <c r="D102" s="66">
        <f>(Table18[[#This Row],[Index]]-B90)/B90</f>
        <v>-3.2843392964906286E-2</v>
      </c>
    </row>
    <row r="103" spans="1:4" x14ac:dyDescent="0.35">
      <c r="A103" s="17">
        <v>29221</v>
      </c>
      <c r="B103" s="58">
        <f>VLOOKUP(Table18[[#This Row],[Date]],database!A:G,5,)</f>
        <v>65.9649</v>
      </c>
      <c r="C103" s="66">
        <f t="shared" si="1"/>
        <v>-3.3887703734143404E-3</v>
      </c>
      <c r="D103" s="66">
        <f>(Table18[[#This Row],[Index]]-B91)/B91</f>
        <v>-3.4071490386093854E-2</v>
      </c>
    </row>
    <row r="104" spans="1:4" x14ac:dyDescent="0.35">
      <c r="A104" s="17">
        <v>29252</v>
      </c>
      <c r="B104" s="58">
        <f>VLOOKUP(Table18[[#This Row],[Date]],database!A:G,5,)</f>
        <v>66.147499999999994</v>
      </c>
      <c r="C104" s="66">
        <f t="shared" si="1"/>
        <v>2.7681388132172469E-3</v>
      </c>
      <c r="D104" s="66">
        <f>(Table18[[#This Row],[Index]]-B92)/B92</f>
        <v>-2.4317032985673247E-2</v>
      </c>
    </row>
    <row r="105" spans="1:4" x14ac:dyDescent="0.35">
      <c r="A105" s="17">
        <v>29281</v>
      </c>
      <c r="B105" s="58">
        <f>VLOOKUP(Table18[[#This Row],[Date]],database!A:G,5,)</f>
        <v>65.636600000000001</v>
      </c>
      <c r="C105" s="66">
        <f t="shared" si="1"/>
        <v>-7.7236479080841081E-3</v>
      </c>
      <c r="D105" s="66">
        <f>(Table18[[#This Row],[Index]]-B93)/B93</f>
        <v>-3.5762659576030857E-2</v>
      </c>
    </row>
    <row r="106" spans="1:4" x14ac:dyDescent="0.35">
      <c r="A106" s="17">
        <v>29312</v>
      </c>
      <c r="B106" s="58">
        <f>VLOOKUP(Table18[[#This Row],[Date]],database!A:G,5,)</f>
        <v>64.592600000000004</v>
      </c>
      <c r="C106" s="66">
        <f t="shared" si="1"/>
        <v>-1.5905759896155502E-2</v>
      </c>
      <c r="D106" s="66">
        <f>(Table18[[#This Row],[Index]]-B94)/B94</f>
        <v>-3.2464098957607747E-2</v>
      </c>
    </row>
    <row r="107" spans="1:4" x14ac:dyDescent="0.35">
      <c r="A107" s="17">
        <v>29342</v>
      </c>
      <c r="B107" s="58">
        <f>VLOOKUP(Table18[[#This Row],[Date]],database!A:G,5,)</f>
        <v>63.224600000000002</v>
      </c>
      <c r="C107" s="66">
        <f t="shared" si="1"/>
        <v>-2.1178896653796242E-2</v>
      </c>
      <c r="D107" s="66">
        <f>(Table18[[#This Row],[Index]]-B95)/B95</f>
        <v>-6.0024976955784813E-2</v>
      </c>
    </row>
    <row r="108" spans="1:4" x14ac:dyDescent="0.35">
      <c r="A108" s="17">
        <v>29373</v>
      </c>
      <c r="B108" s="58">
        <f>VLOOKUP(Table18[[#This Row],[Date]],database!A:G,5,)</f>
        <v>62.863799999999998</v>
      </c>
      <c r="C108" s="66">
        <f t="shared" si="1"/>
        <v>-5.7066395042436602E-3</v>
      </c>
      <c r="D108" s="66">
        <f>(Table18[[#This Row],[Index]]-B96)/B96</f>
        <v>-6.1641893082005045E-2</v>
      </c>
    </row>
    <row r="109" spans="1:4" x14ac:dyDescent="0.35">
      <c r="A109" s="17">
        <v>29403</v>
      </c>
      <c r="B109" s="58">
        <f>VLOOKUP(Table18[[#This Row],[Date]],database!A:G,5,)</f>
        <v>62.879600000000003</v>
      </c>
      <c r="C109" s="66">
        <f t="shared" si="1"/>
        <v>2.5133701748858428E-4</v>
      </c>
      <c r="D109" s="66">
        <f>(Table18[[#This Row],[Index]]-B97)/B97</f>
        <v>-5.4361050496057439E-2</v>
      </c>
    </row>
    <row r="110" spans="1:4" x14ac:dyDescent="0.35">
      <c r="A110" s="17">
        <v>29434</v>
      </c>
      <c r="B110" s="58">
        <f>VLOOKUP(Table18[[#This Row],[Date]],database!A:G,5,)</f>
        <v>63.1066</v>
      </c>
      <c r="C110" s="66">
        <f t="shared" si="1"/>
        <v>3.6100738554316614E-3</v>
      </c>
      <c r="D110" s="66">
        <f>(Table18[[#This Row],[Index]]-B98)/B98</f>
        <v>-4.0365808966090877E-2</v>
      </c>
    </row>
    <row r="111" spans="1:4" x14ac:dyDescent="0.35">
      <c r="A111" s="17">
        <v>29465</v>
      </c>
      <c r="B111" s="58">
        <f>VLOOKUP(Table18[[#This Row],[Date]],database!A:G,5,)</f>
        <v>63.713500000000003</v>
      </c>
      <c r="C111" s="66">
        <f t="shared" si="1"/>
        <v>9.6170606560961325E-3</v>
      </c>
      <c r="D111" s="66">
        <f>(Table18[[#This Row],[Index]]-B99)/B99</f>
        <v>-3.6110220210467565E-2</v>
      </c>
    </row>
    <row r="112" spans="1:4" x14ac:dyDescent="0.35">
      <c r="A112" s="17">
        <v>29495</v>
      </c>
      <c r="B112" s="58">
        <f>VLOOKUP(Table18[[#This Row],[Date]],database!A:G,5,)</f>
        <v>64.177499999999995</v>
      </c>
      <c r="C112" s="66">
        <f t="shared" si="1"/>
        <v>7.2826010186222145E-3</v>
      </c>
      <c r="D112" s="66">
        <f>(Table18[[#This Row],[Index]]-B100)/B100</f>
        <v>-3.2487845324690026E-2</v>
      </c>
    </row>
    <row r="113" spans="1:4" x14ac:dyDescent="0.35">
      <c r="A113" s="17">
        <v>29526</v>
      </c>
      <c r="B113" s="58">
        <f>VLOOKUP(Table18[[#This Row],[Date]],database!A:G,5,)</f>
        <v>64.464600000000004</v>
      </c>
      <c r="C113" s="66">
        <f t="shared" si="1"/>
        <v>4.4735304429124323E-3</v>
      </c>
      <c r="D113" s="66">
        <f>(Table18[[#This Row],[Index]]-B101)/B101</f>
        <v>-2.5519705893023346E-2</v>
      </c>
    </row>
    <row r="114" spans="1:4" x14ac:dyDescent="0.35">
      <c r="A114" s="17">
        <v>29556</v>
      </c>
      <c r="B114" s="58">
        <f>VLOOKUP(Table18[[#This Row],[Date]],database!A:G,5,)</f>
        <v>64.493399999999994</v>
      </c>
      <c r="C114" s="66">
        <f t="shared" si="1"/>
        <v>4.4675682467576472E-4</v>
      </c>
      <c r="D114" s="66">
        <f>(Table18[[#This Row],[Index]]-B102)/B102</f>
        <v>-2.5620493977869585E-2</v>
      </c>
    </row>
    <row r="115" spans="1:4" x14ac:dyDescent="0.35">
      <c r="A115" s="17">
        <v>29587</v>
      </c>
      <c r="B115" s="58">
        <f>VLOOKUP(Table18[[#This Row],[Date]],database!A:G,5,)</f>
        <v>64.489099999999993</v>
      </c>
      <c r="C115" s="66">
        <f t="shared" si="1"/>
        <v>-6.6673489070190328E-5</v>
      </c>
      <c r="D115" s="66">
        <f>(Table18[[#This Row],[Index]]-B103)/B103</f>
        <v>-2.2372504165093961E-2</v>
      </c>
    </row>
    <row r="116" spans="1:4" x14ac:dyDescent="0.35">
      <c r="A116" s="17">
        <v>29618</v>
      </c>
      <c r="B116" s="58">
        <f>VLOOKUP(Table18[[#This Row],[Date]],database!A:G,5,)</f>
        <v>64.370599999999996</v>
      </c>
      <c r="C116" s="66">
        <f t="shared" si="1"/>
        <v>-1.8375198289323214E-3</v>
      </c>
      <c r="D116" s="66">
        <f>(Table18[[#This Row],[Index]]-B104)/B104</f>
        <v>-2.6862693223477802E-2</v>
      </c>
    </row>
    <row r="117" spans="1:4" x14ac:dyDescent="0.35">
      <c r="A117" s="17">
        <v>29646</v>
      </c>
      <c r="B117" s="58">
        <f>VLOOKUP(Table18[[#This Row],[Date]],database!A:G,5,)</f>
        <v>64.322800000000001</v>
      </c>
      <c r="C117" s="66">
        <f t="shared" si="1"/>
        <v>-7.425750264872244E-4</v>
      </c>
      <c r="D117" s="66">
        <f>(Table18[[#This Row],[Index]]-B105)/B105</f>
        <v>-2.0016271409548949E-2</v>
      </c>
    </row>
    <row r="118" spans="1:4" x14ac:dyDescent="0.35">
      <c r="A118" s="17">
        <v>29677</v>
      </c>
      <c r="B118" s="58">
        <f>VLOOKUP(Table18[[#This Row],[Date]],database!A:G,5,)</f>
        <v>64.475899999999996</v>
      </c>
      <c r="C118" s="66">
        <f t="shared" si="1"/>
        <v>2.3801824547438066E-3</v>
      </c>
      <c r="D118" s="66">
        <f>(Table18[[#This Row],[Index]]-B106)/B106</f>
        <v>-1.806708508405122E-3</v>
      </c>
    </row>
    <row r="119" spans="1:4" x14ac:dyDescent="0.35">
      <c r="A119" s="17">
        <v>29707</v>
      </c>
      <c r="B119" s="58">
        <f>VLOOKUP(Table18[[#This Row],[Date]],database!A:G,5,)</f>
        <v>65.130399999999995</v>
      </c>
      <c r="C119" s="66">
        <f t="shared" si="1"/>
        <v>1.0151079705750465E-2</v>
      </c>
      <c r="D119" s="66">
        <f>(Table18[[#This Row],[Index]]-B107)/B107</f>
        <v>3.014333028599615E-2</v>
      </c>
    </row>
    <row r="120" spans="1:4" x14ac:dyDescent="0.35">
      <c r="A120" s="17">
        <v>29738</v>
      </c>
      <c r="B120" s="58">
        <f>VLOOKUP(Table18[[#This Row],[Date]],database!A:G,5,)</f>
        <v>64.674800000000005</v>
      </c>
      <c r="C120" s="66">
        <f t="shared" si="1"/>
        <v>-6.9951973272079915E-3</v>
      </c>
      <c r="D120" s="66">
        <f>(Table18[[#This Row],[Index]]-B108)/B108</f>
        <v>2.8808312574168396E-2</v>
      </c>
    </row>
    <row r="121" spans="1:4" x14ac:dyDescent="0.35">
      <c r="A121" s="17">
        <v>29768</v>
      </c>
      <c r="B121" s="58">
        <f>VLOOKUP(Table18[[#This Row],[Date]],database!A:G,5,)</f>
        <v>65.140199999999993</v>
      </c>
      <c r="C121" s="66">
        <f t="shared" si="1"/>
        <v>7.1960021523065354E-3</v>
      </c>
      <c r="D121" s="66">
        <f>(Table18[[#This Row],[Index]]-B109)/B109</f>
        <v>3.5951246509201541E-2</v>
      </c>
    </row>
    <row r="122" spans="1:4" x14ac:dyDescent="0.35">
      <c r="A122" s="17">
        <v>29799</v>
      </c>
      <c r="B122" s="58">
        <f>VLOOKUP(Table18[[#This Row],[Date]],database!A:G,5,)</f>
        <v>65.130200000000002</v>
      </c>
      <c r="C122" s="66">
        <f t="shared" si="1"/>
        <v>-1.5351503372706965E-4</v>
      </c>
      <c r="D122" s="66">
        <f>(Table18[[#This Row],[Index]]-B110)/B110</f>
        <v>3.2066376575508773E-2</v>
      </c>
    </row>
    <row r="123" spans="1:4" x14ac:dyDescent="0.35">
      <c r="A123" s="17">
        <v>29830</v>
      </c>
      <c r="B123" s="58">
        <f>VLOOKUP(Table18[[#This Row],[Date]],database!A:G,5,)</f>
        <v>64.662599999999998</v>
      </c>
      <c r="C123" s="66">
        <f t="shared" si="1"/>
        <v>-7.17946513291845E-3</v>
      </c>
      <c r="D123" s="66">
        <f>(Table18[[#This Row],[Index]]-B111)/B111</f>
        <v>1.4896372040462291E-2</v>
      </c>
    </row>
    <row r="124" spans="1:4" x14ac:dyDescent="0.35">
      <c r="A124" s="17">
        <v>29860</v>
      </c>
      <c r="B124" s="58">
        <f>VLOOKUP(Table18[[#This Row],[Date]],database!A:G,5,)</f>
        <v>64.983699999999999</v>
      </c>
      <c r="C124" s="66">
        <f t="shared" si="1"/>
        <v>4.9657761982970783E-3</v>
      </c>
      <c r="D124" s="66">
        <f>(Table18[[#This Row],[Index]]-B112)/B112</f>
        <v>1.256203498110715E-2</v>
      </c>
    </row>
    <row r="125" spans="1:4" x14ac:dyDescent="0.35">
      <c r="A125" s="17">
        <v>29891</v>
      </c>
      <c r="B125" s="58">
        <f>VLOOKUP(Table18[[#This Row],[Date]],database!A:G,5,)</f>
        <v>64.882199999999997</v>
      </c>
      <c r="C125" s="66">
        <f t="shared" si="1"/>
        <v>-1.5619301455596091E-3</v>
      </c>
      <c r="D125" s="66">
        <f>(Table18[[#This Row],[Index]]-B113)/B113</f>
        <v>6.4779739577999875E-3</v>
      </c>
    </row>
    <row r="126" spans="1:4" x14ac:dyDescent="0.35">
      <c r="A126" s="17">
        <v>29921</v>
      </c>
      <c r="B126" s="58">
        <f>VLOOKUP(Table18[[#This Row],[Date]],database!A:G,5,)</f>
        <v>64.226299999999995</v>
      </c>
      <c r="C126" s="66">
        <f t="shared" si="1"/>
        <v>-1.0109090012360933E-2</v>
      </c>
      <c r="D126" s="66">
        <f>(Table18[[#This Row],[Index]]-B114)/B114</f>
        <v>-4.1415090536395856E-3</v>
      </c>
    </row>
    <row r="127" spans="1:4" x14ac:dyDescent="0.35">
      <c r="A127" s="17">
        <v>29952</v>
      </c>
      <c r="B127" s="58">
        <f>VLOOKUP(Table18[[#This Row],[Date]],database!A:G,5,)</f>
        <v>63.044199999999996</v>
      </c>
      <c r="C127" s="66">
        <f t="shared" si="1"/>
        <v>-1.8405232747332412E-2</v>
      </c>
      <c r="D127" s="66">
        <f>(Table18[[#This Row],[Index]]-B115)/B115</f>
        <v>-2.2405336715817046E-2</v>
      </c>
    </row>
    <row r="128" spans="1:4" x14ac:dyDescent="0.35">
      <c r="A128" s="17">
        <v>29983</v>
      </c>
      <c r="B128" s="58">
        <f>VLOOKUP(Table18[[#This Row],[Date]],database!A:G,5,)</f>
        <v>64.827299999999994</v>
      </c>
      <c r="C128" s="66">
        <f t="shared" si="1"/>
        <v>2.8283331377033871E-2</v>
      </c>
      <c r="D128" s="66">
        <f>(Table18[[#This Row],[Index]]-B116)/B116</f>
        <v>7.0948538618561567E-3</v>
      </c>
    </row>
    <row r="129" spans="1:4" x14ac:dyDescent="0.35">
      <c r="A129" s="17">
        <v>30011</v>
      </c>
      <c r="B129" s="58">
        <f>VLOOKUP(Table18[[#This Row],[Date]],database!A:G,5,)</f>
        <v>64.458100000000002</v>
      </c>
      <c r="C129" s="66">
        <f t="shared" si="1"/>
        <v>-5.6951315263784608E-3</v>
      </c>
      <c r="D129" s="66">
        <f>(Table18[[#This Row],[Index]]-B117)/B117</f>
        <v>2.1034532078827548E-3</v>
      </c>
    </row>
    <row r="130" spans="1:4" x14ac:dyDescent="0.35">
      <c r="A130" s="17">
        <v>30042</v>
      </c>
      <c r="B130" s="58">
        <f>VLOOKUP(Table18[[#This Row],[Date]],database!A:G,5,)</f>
        <v>64.406999999999996</v>
      </c>
      <c r="C130" s="66">
        <f t="shared" si="1"/>
        <v>-7.9276305072606412E-4</v>
      </c>
      <c r="D130" s="66">
        <f>(Table18[[#This Row],[Index]]-B118)/B118</f>
        <v>-1.0686163357161249E-3</v>
      </c>
    </row>
    <row r="131" spans="1:4" x14ac:dyDescent="0.35">
      <c r="A131" s="17">
        <v>30072</v>
      </c>
      <c r="B131" s="58">
        <f>VLOOKUP(Table18[[#This Row],[Date]],database!A:G,5,)</f>
        <v>64.444800000000001</v>
      </c>
      <c r="C131" s="66">
        <f t="shared" si="1"/>
        <v>5.8689272905132484E-4</v>
      </c>
      <c r="D131" s="66">
        <f>(Table18[[#This Row],[Index]]-B119)/B119</f>
        <v>-1.0526574380012926E-2</v>
      </c>
    </row>
    <row r="132" spans="1:4" x14ac:dyDescent="0.35">
      <c r="A132" s="17">
        <v>30103</v>
      </c>
      <c r="B132" s="58">
        <f>VLOOKUP(Table18[[#This Row],[Date]],database!A:G,5,)</f>
        <v>64.886600000000001</v>
      </c>
      <c r="C132" s="66">
        <f t="shared" si="1"/>
        <v>6.8554794180446521E-3</v>
      </c>
      <c r="D132" s="66">
        <f>(Table18[[#This Row],[Index]]-B120)/B120</f>
        <v>3.2748458441308925E-3</v>
      </c>
    </row>
    <row r="133" spans="1:4" x14ac:dyDescent="0.35">
      <c r="A133" s="17">
        <v>30133</v>
      </c>
      <c r="B133" s="58">
        <f>VLOOKUP(Table18[[#This Row],[Date]],database!A:G,5,)</f>
        <v>65.042400000000001</v>
      </c>
      <c r="C133" s="66">
        <f t="shared" si="1"/>
        <v>2.401112094022384E-3</v>
      </c>
      <c r="D133" s="66">
        <f>(Table18[[#This Row],[Index]]-B121)/B121</f>
        <v>-1.501377029852416E-3</v>
      </c>
    </row>
    <row r="134" spans="1:4" x14ac:dyDescent="0.35">
      <c r="A134" s="17">
        <v>30164</v>
      </c>
      <c r="B134" s="58">
        <f>VLOOKUP(Table18[[#This Row],[Date]],database!A:G,5,)</f>
        <v>64.869</v>
      </c>
      <c r="C134" s="66">
        <f t="shared" si="1"/>
        <v>-2.6659532858566148E-3</v>
      </c>
      <c r="D134" s="66">
        <f>(Table18[[#This Row],[Index]]-B122)/B122</f>
        <v>-4.0104283419980643E-3</v>
      </c>
    </row>
    <row r="135" spans="1:4" x14ac:dyDescent="0.35">
      <c r="A135" s="17">
        <v>30195</v>
      </c>
      <c r="B135" s="58">
        <f>VLOOKUP(Table18[[#This Row],[Date]],database!A:G,5,)</f>
        <v>64.842299999999994</v>
      </c>
      <c r="C135" s="66">
        <f t="shared" si="1"/>
        <v>-4.115987605790572E-4</v>
      </c>
      <c r="D135" s="66">
        <f>(Table18[[#This Row],[Index]]-B123)/B123</f>
        <v>2.7790407437993038E-3</v>
      </c>
    </row>
    <row r="136" spans="1:4" x14ac:dyDescent="0.35">
      <c r="A136" s="17">
        <v>30225</v>
      </c>
      <c r="B136" s="58">
        <f>VLOOKUP(Table18[[#This Row],[Date]],database!A:G,5,)</f>
        <v>64.8523</v>
      </c>
      <c r="C136" s="66">
        <f t="shared" ref="C136:C199" si="2">B136/B135-1</f>
        <v>1.5422031605916153E-4</v>
      </c>
      <c r="D136" s="66">
        <f>(Table18[[#This Row],[Index]]-B124)/B124</f>
        <v>-2.0220455283401729E-3</v>
      </c>
    </row>
    <row r="137" spans="1:4" x14ac:dyDescent="0.35">
      <c r="A137" s="17">
        <v>30256</v>
      </c>
      <c r="B137" s="58">
        <f>VLOOKUP(Table18[[#This Row],[Date]],database!A:G,5,)</f>
        <v>64.733699999999999</v>
      </c>
      <c r="C137" s="66">
        <f t="shared" si="2"/>
        <v>-1.8287709148326892E-3</v>
      </c>
      <c r="D137" s="66">
        <f>(Table18[[#This Row],[Index]]-B125)/B125</f>
        <v>-2.2887633280005691E-3</v>
      </c>
    </row>
    <row r="138" spans="1:4" x14ac:dyDescent="0.35">
      <c r="A138" s="17">
        <v>30286</v>
      </c>
      <c r="B138" s="58">
        <f>VLOOKUP(Table18[[#This Row],[Date]],database!A:G,5,)</f>
        <v>63.908799999999999</v>
      </c>
      <c r="C138" s="66">
        <f t="shared" si="2"/>
        <v>-1.2742976224130564E-2</v>
      </c>
      <c r="D138" s="66">
        <f>(Table18[[#This Row],[Index]]-B126)/B126</f>
        <v>-4.9434577423889507E-3</v>
      </c>
    </row>
    <row r="139" spans="1:4" x14ac:dyDescent="0.35">
      <c r="A139" s="17">
        <v>30317</v>
      </c>
      <c r="B139" s="58">
        <f>VLOOKUP(Table18[[#This Row],[Date]],database!A:G,5,)</f>
        <v>65.2804</v>
      </c>
      <c r="C139" s="66">
        <f t="shared" si="2"/>
        <v>2.1461833112184969E-2</v>
      </c>
      <c r="D139" s="66">
        <f>(Table18[[#This Row],[Index]]-B127)/B127</f>
        <v>3.5470352546308842E-2</v>
      </c>
    </row>
    <row r="140" spans="1:4" x14ac:dyDescent="0.35">
      <c r="A140" s="17">
        <v>30348</v>
      </c>
      <c r="B140" s="58">
        <f>VLOOKUP(Table18[[#This Row],[Date]],database!A:G,5,)</f>
        <v>64.451700000000002</v>
      </c>
      <c r="C140" s="66">
        <f t="shared" si="2"/>
        <v>-1.2694468783892243E-2</v>
      </c>
      <c r="D140" s="66">
        <f>(Table18[[#This Row],[Index]]-B128)/B128</f>
        <v>-5.7938553664889873E-3</v>
      </c>
    </row>
    <row r="141" spans="1:4" x14ac:dyDescent="0.35">
      <c r="A141" s="17">
        <v>30376</v>
      </c>
      <c r="B141" s="58">
        <f>VLOOKUP(Table18[[#This Row],[Date]],database!A:G,5,)</f>
        <v>64.715199999999996</v>
      </c>
      <c r="C141" s="66">
        <f t="shared" si="2"/>
        <v>4.0883328135641328E-3</v>
      </c>
      <c r="D141" s="66">
        <f>(Table18[[#This Row],[Index]]-B129)/B129</f>
        <v>3.9886375800713041E-3</v>
      </c>
    </row>
    <row r="142" spans="1:4" x14ac:dyDescent="0.35">
      <c r="A142" s="17">
        <v>30407</v>
      </c>
      <c r="B142" s="58">
        <f>VLOOKUP(Table18[[#This Row],[Date]],database!A:G,5,)</f>
        <v>66.007900000000006</v>
      </c>
      <c r="C142" s="66">
        <f t="shared" si="2"/>
        <v>1.997521447820616E-2</v>
      </c>
      <c r="D142" s="66">
        <f>(Table18[[#This Row],[Index]]-B130)/B130</f>
        <v>2.4855993913705188E-2</v>
      </c>
    </row>
    <row r="143" spans="1:4" x14ac:dyDescent="0.35">
      <c r="A143" s="17">
        <v>30437</v>
      </c>
      <c r="B143" s="58">
        <f>VLOOKUP(Table18[[#This Row],[Date]],database!A:G,5,)</f>
        <v>66.248800000000003</v>
      </c>
      <c r="C143" s="66">
        <f t="shared" si="2"/>
        <v>3.6495631583490784E-3</v>
      </c>
      <c r="D143" s="66">
        <f>(Table18[[#This Row],[Index]]-B131)/B131</f>
        <v>2.7992949004419319E-2</v>
      </c>
    </row>
    <row r="144" spans="1:4" x14ac:dyDescent="0.35">
      <c r="A144" s="17">
        <v>30468</v>
      </c>
      <c r="B144" s="58">
        <f>VLOOKUP(Table18[[#This Row],[Date]],database!A:G,5,)</f>
        <v>66.474999999999994</v>
      </c>
      <c r="C144" s="66">
        <f t="shared" si="2"/>
        <v>3.4144014684038826E-3</v>
      </c>
      <c r="D144" s="66">
        <f>(Table18[[#This Row],[Index]]-B132)/B132</f>
        <v>2.4479630617107274E-2</v>
      </c>
    </row>
    <row r="145" spans="1:4" x14ac:dyDescent="0.35">
      <c r="A145" s="17">
        <v>30498</v>
      </c>
      <c r="B145" s="58">
        <f>VLOOKUP(Table18[[#This Row],[Date]],database!A:G,5,)</f>
        <v>67.3446</v>
      </c>
      <c r="C145" s="66">
        <f t="shared" si="2"/>
        <v>1.3081609627679569E-2</v>
      </c>
      <c r="D145" s="66">
        <f>(Table18[[#This Row],[Index]]-B133)/B133</f>
        <v>3.5395372864469934E-2</v>
      </c>
    </row>
    <row r="146" spans="1:4" x14ac:dyDescent="0.35">
      <c r="A146" s="17">
        <v>30529</v>
      </c>
      <c r="B146" s="58">
        <f>VLOOKUP(Table18[[#This Row],[Date]],database!A:G,5,)</f>
        <v>67.948099999999997</v>
      </c>
      <c r="C146" s="66">
        <f t="shared" si="2"/>
        <v>8.961371810063401E-3</v>
      </c>
      <c r="D146" s="66">
        <f>(Table18[[#This Row],[Index]]-B134)/B134</f>
        <v>4.7466432348271081E-2</v>
      </c>
    </row>
    <row r="147" spans="1:4" x14ac:dyDescent="0.35">
      <c r="A147" s="17">
        <v>30560</v>
      </c>
      <c r="B147" s="58">
        <f>VLOOKUP(Table18[[#This Row],[Date]],database!A:G,5,)</f>
        <v>68.803700000000006</v>
      </c>
      <c r="C147" s="66">
        <f t="shared" si="2"/>
        <v>1.2591963572197162E-2</v>
      </c>
      <c r="D147" s="66">
        <f>(Table18[[#This Row],[Index]]-B135)/B135</f>
        <v>6.1092836003658293E-2</v>
      </c>
    </row>
    <row r="148" spans="1:4" x14ac:dyDescent="0.35">
      <c r="A148" s="17">
        <v>30590</v>
      </c>
      <c r="B148" s="58">
        <f>VLOOKUP(Table18[[#This Row],[Date]],database!A:G,5,)</f>
        <v>68.402799999999999</v>
      </c>
      <c r="C148" s="66">
        <f t="shared" si="2"/>
        <v>-5.8267215280574103E-3</v>
      </c>
      <c r="D148" s="66">
        <f>(Table18[[#This Row],[Index]]-B136)/B136</f>
        <v>5.4747480043113347E-2</v>
      </c>
    </row>
    <row r="149" spans="1:4" x14ac:dyDescent="0.35">
      <c r="A149" s="17">
        <v>30621</v>
      </c>
      <c r="B149" s="58">
        <f>VLOOKUP(Table18[[#This Row],[Date]],database!A:G,5,)</f>
        <v>68.514799999999994</v>
      </c>
      <c r="C149" s="66">
        <f t="shared" si="2"/>
        <v>1.6373598741570294E-3</v>
      </c>
      <c r="D149" s="66">
        <f>(Table18[[#This Row],[Index]]-B137)/B137</f>
        <v>5.8410070797745149E-2</v>
      </c>
    </row>
    <row r="150" spans="1:4" x14ac:dyDescent="0.35">
      <c r="A150" s="17">
        <v>30651</v>
      </c>
      <c r="B150" s="58">
        <f>VLOOKUP(Table18[[#This Row],[Date]],database!A:G,5,)</f>
        <v>68.61</v>
      </c>
      <c r="C150" s="66">
        <f t="shared" si="2"/>
        <v>1.3894808129046865E-3</v>
      </c>
      <c r="D150" s="66">
        <f>(Table18[[#This Row],[Index]]-B138)/B138</f>
        <v>7.3561074531206971E-2</v>
      </c>
    </row>
    <row r="151" spans="1:4" x14ac:dyDescent="0.35">
      <c r="A151" s="17">
        <v>30682</v>
      </c>
      <c r="B151" s="58">
        <f>VLOOKUP(Table18[[#This Row],[Date]],database!A:G,5,)</f>
        <v>69.981899999999996</v>
      </c>
      <c r="C151" s="66">
        <f t="shared" si="2"/>
        <v>1.9995627459553855E-2</v>
      </c>
      <c r="D151" s="66">
        <f>(Table18[[#This Row],[Index]]-B139)/B139</f>
        <v>7.2020085661239755E-2</v>
      </c>
    </row>
    <row r="152" spans="1:4" x14ac:dyDescent="0.35">
      <c r="A152" s="17">
        <v>30713</v>
      </c>
      <c r="B152" s="58">
        <f>VLOOKUP(Table18[[#This Row],[Date]],database!A:G,5,)</f>
        <v>69.829899999999995</v>
      </c>
      <c r="C152" s="66">
        <f t="shared" si="2"/>
        <v>-2.1719901860338675E-3</v>
      </c>
      <c r="D152" s="66">
        <f>(Table18[[#This Row],[Index]]-B140)/B140</f>
        <v>8.3445432781447074E-2</v>
      </c>
    </row>
    <row r="153" spans="1:4" x14ac:dyDescent="0.35">
      <c r="A153" s="17">
        <v>30742</v>
      </c>
      <c r="B153" s="58">
        <f>VLOOKUP(Table18[[#This Row],[Date]],database!A:G,5,)</f>
        <v>70.092500000000001</v>
      </c>
      <c r="C153" s="66">
        <f t="shared" si="2"/>
        <v>3.7605667486277916E-3</v>
      </c>
      <c r="D153" s="66">
        <f>(Table18[[#This Row],[Index]]-B141)/B141</f>
        <v>8.3091762058990867E-2</v>
      </c>
    </row>
    <row r="154" spans="1:4" x14ac:dyDescent="0.35">
      <c r="A154" s="17">
        <v>30773</v>
      </c>
      <c r="B154" s="58">
        <f>VLOOKUP(Table18[[#This Row],[Date]],database!A:G,5,)</f>
        <v>70.275099999999995</v>
      </c>
      <c r="C154" s="66">
        <f t="shared" si="2"/>
        <v>2.6051289367621244E-3</v>
      </c>
      <c r="D154" s="66">
        <f>(Table18[[#This Row],[Index]]-B142)/B142</f>
        <v>6.4646807427595598E-2</v>
      </c>
    </row>
    <row r="155" spans="1:4" x14ac:dyDescent="0.35">
      <c r="A155" s="17">
        <v>30803</v>
      </c>
      <c r="B155" s="58">
        <f>VLOOKUP(Table18[[#This Row],[Date]],database!A:G,5,)</f>
        <v>70.026499999999999</v>
      </c>
      <c r="C155" s="66">
        <f t="shared" si="2"/>
        <v>-3.5375260938795838E-3</v>
      </c>
      <c r="D155" s="66">
        <f>(Table18[[#This Row],[Index]]-B143)/B143</f>
        <v>5.702291966043152E-2</v>
      </c>
    </row>
    <row r="156" spans="1:4" x14ac:dyDescent="0.35">
      <c r="A156" s="17">
        <v>30834</v>
      </c>
      <c r="B156" s="58">
        <f>VLOOKUP(Table18[[#This Row],[Date]],database!A:G,5,)</f>
        <v>69.991399999999999</v>
      </c>
      <c r="C156" s="66">
        <f t="shared" si="2"/>
        <v>-5.0123881673369564E-4</v>
      </c>
      <c r="D156" s="66">
        <f>(Table18[[#This Row],[Index]]-B144)/B144</f>
        <v>5.2898081985708986E-2</v>
      </c>
    </row>
    <row r="157" spans="1:4" x14ac:dyDescent="0.35">
      <c r="A157" s="17">
        <v>30864</v>
      </c>
      <c r="B157" s="58">
        <f>VLOOKUP(Table18[[#This Row],[Date]],database!A:G,5,)</f>
        <v>69.990499999999997</v>
      </c>
      <c r="C157" s="66">
        <f t="shared" si="2"/>
        <v>-1.2858722643116494E-5</v>
      </c>
      <c r="D157" s="66">
        <f>(Table18[[#This Row],[Index]]-B145)/B145</f>
        <v>3.9288970459398338E-2</v>
      </c>
    </row>
    <row r="158" spans="1:4" x14ac:dyDescent="0.35">
      <c r="A158" s="17">
        <v>30895</v>
      </c>
      <c r="B158" s="58">
        <f>VLOOKUP(Table18[[#This Row],[Date]],database!A:G,5,)</f>
        <v>69.651799999999994</v>
      </c>
      <c r="C158" s="66">
        <f t="shared" si="2"/>
        <v>-4.839228180967492E-3</v>
      </c>
      <c r="D158" s="66">
        <f>(Table18[[#This Row],[Index]]-B146)/B146</f>
        <v>2.507354878208512E-2</v>
      </c>
    </row>
    <row r="159" spans="1:4" x14ac:dyDescent="0.35">
      <c r="A159" s="17">
        <v>30926</v>
      </c>
      <c r="B159" s="58">
        <f>VLOOKUP(Table18[[#This Row],[Date]],database!A:G,5,)</f>
        <v>69.403599999999997</v>
      </c>
      <c r="C159" s="66">
        <f t="shared" si="2"/>
        <v>-3.5634398536721346E-3</v>
      </c>
      <c r="D159" s="66">
        <f>(Table18[[#This Row],[Index]]-B147)/B147</f>
        <v>8.7190078440547662E-3</v>
      </c>
    </row>
    <row r="160" spans="1:4" x14ac:dyDescent="0.35">
      <c r="A160" s="17">
        <v>30956</v>
      </c>
      <c r="B160" s="58">
        <f>VLOOKUP(Table18[[#This Row],[Date]],database!A:G,5,)</f>
        <v>70.031300000000002</v>
      </c>
      <c r="C160" s="66">
        <f t="shared" si="2"/>
        <v>9.0441994363406053E-3</v>
      </c>
      <c r="D160" s="66">
        <f>(Table18[[#This Row],[Index]]-B148)/B148</f>
        <v>2.3807504955937513E-2</v>
      </c>
    </row>
    <row r="161" spans="1:4" x14ac:dyDescent="0.35">
      <c r="A161" s="17">
        <v>30987</v>
      </c>
      <c r="B161" s="58">
        <f>VLOOKUP(Table18[[#This Row],[Date]],database!A:G,5,)</f>
        <v>70.239199999999997</v>
      </c>
      <c r="C161" s="66">
        <f t="shared" si="2"/>
        <v>2.9686725792608115E-3</v>
      </c>
      <c r="D161" s="66">
        <f>(Table18[[#This Row],[Index]]-B149)/B149</f>
        <v>2.516828480853776E-2</v>
      </c>
    </row>
    <row r="162" spans="1:4" x14ac:dyDescent="0.35">
      <c r="A162" s="17">
        <v>31017</v>
      </c>
      <c r="B162" s="58">
        <f>VLOOKUP(Table18[[#This Row],[Date]],database!A:G,5,)</f>
        <v>70.570800000000006</v>
      </c>
      <c r="C162" s="66">
        <f t="shared" si="2"/>
        <v>4.7210104898689487E-3</v>
      </c>
      <c r="D162" s="66">
        <f>(Table18[[#This Row],[Index]]-B150)/B150</f>
        <v>2.8578924355050373E-2</v>
      </c>
    </row>
    <row r="163" spans="1:4" x14ac:dyDescent="0.35">
      <c r="A163" s="17">
        <v>31048</v>
      </c>
      <c r="B163" s="58">
        <f>VLOOKUP(Table18[[#This Row],[Date]],database!A:G,5,)</f>
        <v>70.160499999999999</v>
      </c>
      <c r="C163" s="66">
        <f t="shared" si="2"/>
        <v>-5.8140193961242481E-3</v>
      </c>
      <c r="D163" s="66">
        <f>(Table18[[#This Row],[Index]]-B151)/B151</f>
        <v>2.5520884685897782E-3</v>
      </c>
    </row>
    <row r="164" spans="1:4" x14ac:dyDescent="0.35">
      <c r="A164" s="17">
        <v>31079</v>
      </c>
      <c r="B164" s="58">
        <f>VLOOKUP(Table18[[#This Row],[Date]],database!A:G,5,)</f>
        <v>70.559100000000001</v>
      </c>
      <c r="C164" s="66">
        <f t="shared" si="2"/>
        <v>5.6812593980943848E-3</v>
      </c>
      <c r="D164" s="66">
        <f>(Table18[[#This Row],[Index]]-B152)/B152</f>
        <v>1.0442518176311378E-2</v>
      </c>
    </row>
    <row r="165" spans="1:4" x14ac:dyDescent="0.35">
      <c r="A165" s="17">
        <v>31107</v>
      </c>
      <c r="B165" s="58">
        <f>VLOOKUP(Table18[[#This Row],[Date]],database!A:G,5,)</f>
        <v>70.500100000000003</v>
      </c>
      <c r="C165" s="66">
        <f t="shared" si="2"/>
        <v>-8.3617846599515211E-4</v>
      </c>
      <c r="D165" s="66">
        <f>(Table18[[#This Row],[Index]]-B153)/B153</f>
        <v>5.8151728073617317E-3</v>
      </c>
    </row>
    <row r="166" spans="1:4" x14ac:dyDescent="0.35">
      <c r="A166" s="17">
        <v>31138</v>
      </c>
      <c r="B166" s="58">
        <f>VLOOKUP(Table18[[#This Row],[Date]],database!A:G,5,)</f>
        <v>70.128799999999998</v>
      </c>
      <c r="C166" s="66">
        <f t="shared" si="2"/>
        <v>-5.2666591962281517E-3</v>
      </c>
      <c r="D166" s="66">
        <f>(Table18[[#This Row],[Index]]-B154)/B154</f>
        <v>-2.0818184534777831E-3</v>
      </c>
    </row>
    <row r="167" spans="1:4" x14ac:dyDescent="0.35">
      <c r="A167" s="17">
        <v>31168</v>
      </c>
      <c r="B167" s="58">
        <f>VLOOKUP(Table18[[#This Row],[Date]],database!A:G,5,)</f>
        <v>70.251499999999993</v>
      </c>
      <c r="C167" s="66">
        <f t="shared" si="2"/>
        <v>1.7496378092880516E-3</v>
      </c>
      <c r="D167" s="66">
        <f>(Table18[[#This Row],[Index]]-B155)/B155</f>
        <v>3.2130693380362338E-3</v>
      </c>
    </row>
    <row r="168" spans="1:4" x14ac:dyDescent="0.35">
      <c r="A168" s="17">
        <v>31199</v>
      </c>
      <c r="B168" s="58">
        <f>VLOOKUP(Table18[[#This Row],[Date]],database!A:G,5,)</f>
        <v>70.471000000000004</v>
      </c>
      <c r="C168" s="66">
        <f t="shared" si="2"/>
        <v>3.1244884450867261E-3</v>
      </c>
      <c r="D168" s="66">
        <f>(Table18[[#This Row],[Index]]-B156)/B156</f>
        <v>6.8522704217947481E-3</v>
      </c>
    </row>
    <row r="169" spans="1:4" x14ac:dyDescent="0.35">
      <c r="A169" s="17">
        <v>31229</v>
      </c>
      <c r="B169" s="58">
        <f>VLOOKUP(Table18[[#This Row],[Date]],database!A:G,5,)</f>
        <v>70.249499999999998</v>
      </c>
      <c r="C169" s="66">
        <f t="shared" si="2"/>
        <v>-3.1431368931902348E-3</v>
      </c>
      <c r="D169" s="66">
        <f>(Table18[[#This Row],[Index]]-B157)/B157</f>
        <v>3.7005022110143571E-3</v>
      </c>
    </row>
    <row r="170" spans="1:4" x14ac:dyDescent="0.35">
      <c r="A170" s="17">
        <v>31260</v>
      </c>
      <c r="B170" s="58">
        <f>VLOOKUP(Table18[[#This Row],[Date]],database!A:G,5,)</f>
        <v>70.577699999999993</v>
      </c>
      <c r="C170" s="66">
        <f t="shared" si="2"/>
        <v>4.6719193730915265E-3</v>
      </c>
      <c r="D170" s="66">
        <f>(Table18[[#This Row],[Index]]-B158)/B158</f>
        <v>1.32932673671032E-2</v>
      </c>
    </row>
    <row r="171" spans="1:4" x14ac:dyDescent="0.35">
      <c r="A171" s="17">
        <v>31291</v>
      </c>
      <c r="B171" s="58">
        <f>VLOOKUP(Table18[[#This Row],[Date]],database!A:G,5,)</f>
        <v>70.916399999999996</v>
      </c>
      <c r="C171" s="66">
        <f t="shared" si="2"/>
        <v>4.7989662457121884E-3</v>
      </c>
      <c r="D171" s="66">
        <f>(Table18[[#This Row],[Index]]-B159)/B159</f>
        <v>2.1797140205983532E-2</v>
      </c>
    </row>
    <row r="172" spans="1:4" x14ac:dyDescent="0.35">
      <c r="A172" s="17">
        <v>31321</v>
      </c>
      <c r="B172" s="58">
        <f>VLOOKUP(Table18[[#This Row],[Date]],database!A:G,5,)</f>
        <v>70.830699999999993</v>
      </c>
      <c r="C172" s="66">
        <f t="shared" si="2"/>
        <v>-1.2084651787175327E-3</v>
      </c>
      <c r="D172" s="66">
        <f>(Table18[[#This Row],[Index]]-B160)/B160</f>
        <v>1.1414895910828322E-2</v>
      </c>
    </row>
    <row r="173" spans="1:4" x14ac:dyDescent="0.35">
      <c r="A173" s="17">
        <v>31352</v>
      </c>
      <c r="B173" s="58">
        <f>VLOOKUP(Table18[[#This Row],[Date]],database!A:G,5,)</f>
        <v>71.227900000000005</v>
      </c>
      <c r="C173" s="66">
        <f t="shared" si="2"/>
        <v>5.6077378876675521E-3</v>
      </c>
      <c r="D173" s="66">
        <f>(Table18[[#This Row],[Index]]-B161)/B161</f>
        <v>1.4076185377965704E-2</v>
      </c>
    </row>
    <row r="174" spans="1:4" x14ac:dyDescent="0.35">
      <c r="A174" s="17">
        <v>31382</v>
      </c>
      <c r="B174" s="58">
        <f>VLOOKUP(Table18[[#This Row],[Date]],database!A:G,5,)</f>
        <v>71.908900000000003</v>
      </c>
      <c r="C174" s="66">
        <f t="shared" si="2"/>
        <v>9.5608602808729959E-3</v>
      </c>
      <c r="D174" s="66">
        <f>(Table18[[#This Row],[Index]]-B162)/B162</f>
        <v>1.8961100058381045E-2</v>
      </c>
    </row>
    <row r="175" spans="1:4" x14ac:dyDescent="0.35">
      <c r="A175" s="17">
        <v>31413</v>
      </c>
      <c r="B175" s="58">
        <f>VLOOKUP(Table18[[#This Row],[Date]],database!A:G,5,)</f>
        <v>72.742900000000006</v>
      </c>
      <c r="C175" s="66">
        <f t="shared" si="2"/>
        <v>1.1598008035166751E-2</v>
      </c>
      <c r="D175" s="66">
        <f>(Table18[[#This Row],[Index]]-B163)/B163</f>
        <v>3.6807035297639082E-2</v>
      </c>
    </row>
    <row r="176" spans="1:4" x14ac:dyDescent="0.35">
      <c r="A176" s="17">
        <v>31444</v>
      </c>
      <c r="B176" s="58">
        <f>VLOOKUP(Table18[[#This Row],[Date]],database!A:G,5,)</f>
        <v>72.128600000000006</v>
      </c>
      <c r="C176" s="66">
        <f t="shared" si="2"/>
        <v>-8.4448104213606934E-3</v>
      </c>
      <c r="D176" s="66">
        <f>(Table18[[#This Row],[Index]]-B164)/B164</f>
        <v>2.224376444710895E-2</v>
      </c>
    </row>
    <row r="177" spans="1:4" x14ac:dyDescent="0.35">
      <c r="A177" s="17">
        <v>31472</v>
      </c>
      <c r="B177" s="58">
        <f>VLOOKUP(Table18[[#This Row],[Date]],database!A:G,5,)</f>
        <v>71.8613</v>
      </c>
      <c r="C177" s="66">
        <f t="shared" si="2"/>
        <v>-3.7058808849749214E-3</v>
      </c>
      <c r="D177" s="66">
        <f>(Table18[[#This Row],[Index]]-B165)/B165</f>
        <v>1.9307774031526146E-2</v>
      </c>
    </row>
    <row r="178" spans="1:4" x14ac:dyDescent="0.35">
      <c r="A178" s="17">
        <v>31503</v>
      </c>
      <c r="B178" s="58">
        <f>VLOOKUP(Table18[[#This Row],[Date]],database!A:G,5,)</f>
        <v>72.3446</v>
      </c>
      <c r="C178" s="66">
        <f t="shared" si="2"/>
        <v>6.7254558434095557E-3</v>
      </c>
      <c r="D178" s="66">
        <f>(Table18[[#This Row],[Index]]-B166)/B166</f>
        <v>3.1596148800492829E-2</v>
      </c>
    </row>
    <row r="179" spans="1:4" x14ac:dyDescent="0.35">
      <c r="A179" s="17">
        <v>31533</v>
      </c>
      <c r="B179" s="58">
        <f>VLOOKUP(Table18[[#This Row],[Date]],database!A:G,5,)</f>
        <v>72.746799999999993</v>
      </c>
      <c r="C179" s="66">
        <f t="shared" si="2"/>
        <v>5.5595027134021091E-3</v>
      </c>
      <c r="D179" s="66">
        <f>(Table18[[#This Row],[Index]]-B167)/B167</f>
        <v>3.5519526273460361E-2</v>
      </c>
    </row>
    <row r="180" spans="1:4" x14ac:dyDescent="0.35">
      <c r="A180" s="17">
        <v>31564</v>
      </c>
      <c r="B180" s="58">
        <f>VLOOKUP(Table18[[#This Row],[Date]],database!A:G,5,)</f>
        <v>72.741</v>
      </c>
      <c r="C180" s="66">
        <f t="shared" si="2"/>
        <v>-7.9728592872752024E-5</v>
      </c>
      <c r="D180" s="66">
        <f>(Table18[[#This Row],[Index]]-B168)/B168</f>
        <v>3.2211831817343245E-2</v>
      </c>
    </row>
    <row r="181" spans="1:4" x14ac:dyDescent="0.35">
      <c r="A181" s="17">
        <v>31594</v>
      </c>
      <c r="B181" s="58">
        <f>VLOOKUP(Table18[[#This Row],[Date]],database!A:G,5,)</f>
        <v>73.184200000000004</v>
      </c>
      <c r="C181" s="66">
        <f t="shared" si="2"/>
        <v>6.0928499745673825E-3</v>
      </c>
      <c r="D181" s="66">
        <f>(Table18[[#This Row],[Index]]-B169)/B169</f>
        <v>4.1775386301681955E-2</v>
      </c>
    </row>
    <row r="182" spans="1:4" x14ac:dyDescent="0.35">
      <c r="A182" s="17">
        <v>31625</v>
      </c>
      <c r="B182" s="58">
        <f>VLOOKUP(Table18[[#This Row],[Date]],database!A:G,5,)</f>
        <v>73.123500000000007</v>
      </c>
      <c r="C182" s="66">
        <f t="shared" si="2"/>
        <v>-8.2941399919655989E-4</v>
      </c>
      <c r="D182" s="66">
        <f>(Table18[[#This Row],[Index]]-B170)/B170</f>
        <v>3.6070883579374421E-2</v>
      </c>
    </row>
    <row r="183" spans="1:4" x14ac:dyDescent="0.35">
      <c r="A183" s="17">
        <v>31656</v>
      </c>
      <c r="B183" s="58">
        <f>VLOOKUP(Table18[[#This Row],[Date]],database!A:G,5,)</f>
        <v>73.235200000000006</v>
      </c>
      <c r="C183" s="66">
        <f t="shared" si="2"/>
        <v>1.5275527019358304E-3</v>
      </c>
      <c r="D183" s="66">
        <f>(Table18[[#This Row],[Index]]-B171)/B171</f>
        <v>3.2697655267328998E-2</v>
      </c>
    </row>
    <row r="184" spans="1:4" x14ac:dyDescent="0.35">
      <c r="A184" s="17">
        <v>31686</v>
      </c>
      <c r="B184" s="58">
        <f>VLOOKUP(Table18[[#This Row],[Date]],database!A:G,5,)</f>
        <v>73.521199999999993</v>
      </c>
      <c r="C184" s="66">
        <f t="shared" si="2"/>
        <v>3.9052259022982483E-3</v>
      </c>
      <c r="D184" s="66">
        <f>(Table18[[#This Row],[Index]]-B172)/B172</f>
        <v>3.7984941557827334E-2</v>
      </c>
    </row>
    <row r="185" spans="1:4" x14ac:dyDescent="0.35">
      <c r="A185" s="17">
        <v>31717</v>
      </c>
      <c r="B185" s="58">
        <f>VLOOKUP(Table18[[#This Row],[Date]],database!A:G,5,)</f>
        <v>74.023200000000003</v>
      </c>
      <c r="C185" s="66">
        <f t="shared" si="2"/>
        <v>6.827962546857469E-3</v>
      </c>
      <c r="D185" s="66">
        <f>(Table18[[#This Row],[Index]]-B173)/B173</f>
        <v>3.9244453367290023E-2</v>
      </c>
    </row>
    <row r="186" spans="1:4" x14ac:dyDescent="0.35">
      <c r="A186" s="17">
        <v>31747</v>
      </c>
      <c r="B186" s="58">
        <f>VLOOKUP(Table18[[#This Row],[Date]],database!A:G,5,)</f>
        <v>74.787499999999994</v>
      </c>
      <c r="C186" s="66">
        <f t="shared" si="2"/>
        <v>1.0325141307049535E-2</v>
      </c>
      <c r="D186" s="66">
        <f>(Table18[[#This Row],[Index]]-B174)/B174</f>
        <v>4.0031206151116085E-2</v>
      </c>
    </row>
    <row r="187" spans="1:4" x14ac:dyDescent="0.35">
      <c r="A187" s="17">
        <v>31778</v>
      </c>
      <c r="B187" s="58">
        <f>VLOOKUP(Table18[[#This Row],[Date]],database!A:G,5,)</f>
        <v>73.962500000000006</v>
      </c>
      <c r="C187" s="66">
        <f t="shared" si="2"/>
        <v>-1.1031255223132086E-2</v>
      </c>
      <c r="D187" s="66">
        <f>(Table18[[#This Row],[Index]]-B175)/B175</f>
        <v>1.6765897427790201E-2</v>
      </c>
    </row>
    <row r="188" spans="1:4" x14ac:dyDescent="0.35">
      <c r="A188" s="17">
        <v>31809</v>
      </c>
      <c r="B188" s="58">
        <f>VLOOKUP(Table18[[#This Row],[Date]],database!A:G,5,)</f>
        <v>74.959100000000007</v>
      </c>
      <c r="C188" s="66">
        <f t="shared" si="2"/>
        <v>1.3474395808686923E-2</v>
      </c>
      <c r="D188" s="66">
        <f>(Table18[[#This Row],[Index]]-B176)/B176</f>
        <v>3.9242408697798103E-2</v>
      </c>
    </row>
    <row r="189" spans="1:4" x14ac:dyDescent="0.35">
      <c r="A189" s="17">
        <v>31837</v>
      </c>
      <c r="B189" s="58">
        <f>VLOOKUP(Table18[[#This Row],[Date]],database!A:G,5,)</f>
        <v>75.123400000000004</v>
      </c>
      <c r="C189" s="66">
        <f t="shared" si="2"/>
        <v>2.1918619620566737E-3</v>
      </c>
      <c r="D189" s="66">
        <f>(Table18[[#This Row],[Index]]-B177)/B177</f>
        <v>4.5394391696225979E-2</v>
      </c>
    </row>
    <row r="190" spans="1:4" x14ac:dyDescent="0.35">
      <c r="A190" s="17">
        <v>31868</v>
      </c>
      <c r="B190" s="58">
        <f>VLOOKUP(Table18[[#This Row],[Date]],database!A:G,5,)</f>
        <v>75.014799999999994</v>
      </c>
      <c r="C190" s="66">
        <f t="shared" si="2"/>
        <v>-1.445621470806846E-3</v>
      </c>
      <c r="D190" s="66">
        <f>(Table18[[#This Row],[Index]]-B178)/B178</f>
        <v>3.690945834243322E-2</v>
      </c>
    </row>
    <row r="191" spans="1:4" x14ac:dyDescent="0.35">
      <c r="A191" s="17">
        <v>31898</v>
      </c>
      <c r="B191" s="58">
        <f>VLOOKUP(Table18[[#This Row],[Date]],database!A:G,5,)</f>
        <v>75.5976</v>
      </c>
      <c r="C191" s="66">
        <f t="shared" si="2"/>
        <v>7.7691335576446363E-3</v>
      </c>
      <c r="D191" s="66">
        <f>(Table18[[#This Row],[Index]]-B179)/B179</f>
        <v>3.9187978027899605E-2</v>
      </c>
    </row>
    <row r="192" spans="1:4" x14ac:dyDescent="0.35">
      <c r="A192" s="17">
        <v>31929</v>
      </c>
      <c r="B192" s="58">
        <f>VLOOKUP(Table18[[#This Row],[Date]],database!A:G,5,)</f>
        <v>75.802499999999995</v>
      </c>
      <c r="C192" s="66">
        <f t="shared" si="2"/>
        <v>2.7104035048730601E-3</v>
      </c>
      <c r="D192" s="66">
        <f>(Table18[[#This Row],[Index]]-B180)/B180</f>
        <v>4.2087680950220578E-2</v>
      </c>
    </row>
    <row r="193" spans="1:4" x14ac:dyDescent="0.35">
      <c r="A193" s="17">
        <v>31959</v>
      </c>
      <c r="B193" s="58">
        <f>VLOOKUP(Table18[[#This Row],[Date]],database!A:G,5,)</f>
        <v>76.313100000000006</v>
      </c>
      <c r="C193" s="66">
        <f t="shared" si="2"/>
        <v>6.7359255961216835E-3</v>
      </c>
      <c r="D193" s="66">
        <f>(Table18[[#This Row],[Index]]-B181)/B181</f>
        <v>4.275376379054497E-2</v>
      </c>
    </row>
    <row r="194" spans="1:4" x14ac:dyDescent="0.35">
      <c r="A194" s="17">
        <v>31990</v>
      </c>
      <c r="B194" s="58">
        <f>VLOOKUP(Table18[[#This Row],[Date]],database!A:G,5,)</f>
        <v>76.701899999999995</v>
      </c>
      <c r="C194" s="66">
        <f t="shared" si="2"/>
        <v>5.0948002374426871E-3</v>
      </c>
      <c r="D194" s="66">
        <f>(Table18[[#This Row],[Index]]-B182)/B182</f>
        <v>4.893638843873703E-2</v>
      </c>
    </row>
    <row r="195" spans="1:4" x14ac:dyDescent="0.35">
      <c r="A195" s="17">
        <v>32021</v>
      </c>
      <c r="B195" s="58">
        <f>VLOOKUP(Table18[[#This Row],[Date]],database!A:G,5,)</f>
        <v>76.483800000000002</v>
      </c>
      <c r="C195" s="66">
        <f t="shared" si="2"/>
        <v>-2.8434758461002296E-3</v>
      </c>
      <c r="D195" s="66">
        <f>(Table18[[#This Row],[Index]]-B183)/B183</f>
        <v>4.4358450581141254E-2</v>
      </c>
    </row>
    <row r="196" spans="1:4" x14ac:dyDescent="0.35">
      <c r="A196" s="17">
        <v>32051</v>
      </c>
      <c r="B196" s="58">
        <f>VLOOKUP(Table18[[#This Row],[Date]],database!A:G,5,)</f>
        <v>77.800299999999993</v>
      </c>
      <c r="C196" s="66">
        <f t="shared" si="2"/>
        <v>1.7212795389350388E-2</v>
      </c>
      <c r="D196" s="66">
        <f>(Table18[[#This Row],[Index]]-B184)/B184</f>
        <v>5.8202260028399976E-2</v>
      </c>
    </row>
    <row r="197" spans="1:4" x14ac:dyDescent="0.35">
      <c r="A197" s="17">
        <v>32082</v>
      </c>
      <c r="B197" s="58">
        <f>VLOOKUP(Table18[[#This Row],[Date]],database!A:G,5,)</f>
        <v>77.842699999999994</v>
      </c>
      <c r="C197" s="66">
        <f t="shared" si="2"/>
        <v>5.4498504504474354E-4</v>
      </c>
      <c r="D197" s="66">
        <f>(Table18[[#This Row],[Index]]-B185)/B185</f>
        <v>5.1598687978903782E-2</v>
      </c>
    </row>
    <row r="198" spans="1:4" x14ac:dyDescent="0.35">
      <c r="A198" s="17">
        <v>32112</v>
      </c>
      <c r="B198" s="58">
        <f>VLOOKUP(Table18[[#This Row],[Date]],database!A:G,5,)</f>
        <v>78.024699999999996</v>
      </c>
      <c r="C198" s="66">
        <f t="shared" si="2"/>
        <v>2.3380483976018773E-3</v>
      </c>
      <c r="D198" s="66">
        <f>(Table18[[#This Row],[Index]]-B186)/B186</f>
        <v>4.328530837372558E-2</v>
      </c>
    </row>
    <row r="199" spans="1:4" x14ac:dyDescent="0.35">
      <c r="A199" s="17">
        <v>32143</v>
      </c>
      <c r="B199" s="58">
        <f>VLOOKUP(Table18[[#This Row],[Date]],database!A:G,5,)</f>
        <v>78.308400000000006</v>
      </c>
      <c r="C199" s="66">
        <f t="shared" si="2"/>
        <v>3.6360280782881116E-3</v>
      </c>
      <c r="D199" s="66">
        <f>(Table18[[#This Row],[Index]]-B187)/B187</f>
        <v>5.8758154470170694E-2</v>
      </c>
    </row>
    <row r="200" spans="1:4" x14ac:dyDescent="0.35">
      <c r="A200" s="17">
        <v>32174</v>
      </c>
      <c r="B200" s="58">
        <f>VLOOKUP(Table18[[#This Row],[Date]],database!A:G,5,)</f>
        <v>78.683999999999997</v>
      </c>
      <c r="C200" s="66">
        <f t="shared" ref="C200:C263" si="3">B200/B199-1</f>
        <v>4.7964203073997957E-3</v>
      </c>
      <c r="D200" s="66">
        <f>(Table18[[#This Row],[Index]]-B188)/B188</f>
        <v>4.969243227306612E-2</v>
      </c>
    </row>
    <row r="201" spans="1:4" x14ac:dyDescent="0.35">
      <c r="A201" s="17">
        <v>32203</v>
      </c>
      <c r="B201" s="58">
        <f>VLOOKUP(Table18[[#This Row],[Date]],database!A:G,5,)</f>
        <v>78.561000000000007</v>
      </c>
      <c r="C201" s="66">
        <f t="shared" si="3"/>
        <v>-1.5632148848557792E-3</v>
      </c>
      <c r="D201" s="66">
        <f>(Table18[[#This Row],[Index]]-B189)/B189</f>
        <v>4.5759377237984476E-2</v>
      </c>
    </row>
    <row r="202" spans="1:4" x14ac:dyDescent="0.35">
      <c r="A202" s="17">
        <v>32234</v>
      </c>
      <c r="B202" s="58">
        <f>VLOOKUP(Table18[[#This Row],[Date]],database!A:G,5,)</f>
        <v>79.185400000000001</v>
      </c>
      <c r="C202" s="66">
        <f t="shared" si="3"/>
        <v>7.9479640024948672E-3</v>
      </c>
      <c r="D202" s="66">
        <f>(Table18[[#This Row],[Index]]-B190)/B190</f>
        <v>5.5597028852973115E-2</v>
      </c>
    </row>
    <row r="203" spans="1:4" x14ac:dyDescent="0.35">
      <c r="A203" s="17">
        <v>32264</v>
      </c>
      <c r="B203" s="58">
        <f>VLOOKUP(Table18[[#This Row],[Date]],database!A:G,5,)</f>
        <v>78.771699999999996</v>
      </c>
      <c r="C203" s="66">
        <f t="shared" si="3"/>
        <v>-5.2244479411609479E-3</v>
      </c>
      <c r="D203" s="66">
        <f>(Table18[[#This Row],[Index]]-B191)/B191</f>
        <v>4.1986782649184574E-2</v>
      </c>
    </row>
    <row r="204" spans="1:4" x14ac:dyDescent="0.35">
      <c r="A204" s="17">
        <v>32295</v>
      </c>
      <c r="B204" s="58">
        <f>VLOOKUP(Table18[[#This Row],[Date]],database!A:G,5,)</f>
        <v>78.763800000000003</v>
      </c>
      <c r="C204" s="66">
        <f t="shared" si="3"/>
        <v>-1.002898248989581E-4</v>
      </c>
      <c r="D204" s="66">
        <f>(Table18[[#This Row],[Index]]-B192)/B192</f>
        <v>3.9065993865637791E-2</v>
      </c>
    </row>
    <row r="205" spans="1:4" x14ac:dyDescent="0.35">
      <c r="A205" s="17">
        <v>32325</v>
      </c>
      <c r="B205" s="58">
        <f>VLOOKUP(Table18[[#This Row],[Date]],database!A:G,5,)</f>
        <v>78.715999999999994</v>
      </c>
      <c r="C205" s="66">
        <f t="shared" si="3"/>
        <v>-6.0687777887824534E-4</v>
      </c>
      <c r="D205" s="66">
        <f>(Table18[[#This Row],[Index]]-B193)/B193</f>
        <v>3.1487385520965444E-2</v>
      </c>
    </row>
    <row r="206" spans="1:4" x14ac:dyDescent="0.35">
      <c r="A206" s="17">
        <v>32356</v>
      </c>
      <c r="B206" s="58">
        <f>VLOOKUP(Table18[[#This Row],[Date]],database!A:G,5,)</f>
        <v>79.243200000000002</v>
      </c>
      <c r="C206" s="66">
        <f t="shared" si="3"/>
        <v>6.6974947914020255E-3</v>
      </c>
      <c r="D206" s="66">
        <f>(Table18[[#This Row],[Index]]-B194)/B194</f>
        <v>3.3132164913776671E-2</v>
      </c>
    </row>
    <row r="207" spans="1:4" x14ac:dyDescent="0.35">
      <c r="A207" s="17">
        <v>32387</v>
      </c>
      <c r="B207" s="58">
        <f>VLOOKUP(Table18[[#This Row],[Date]],database!A:G,5,)</f>
        <v>78.764499999999998</v>
      </c>
      <c r="C207" s="66">
        <f t="shared" si="3"/>
        <v>-6.0408968845276911E-3</v>
      </c>
      <c r="D207" s="66">
        <f>(Table18[[#This Row],[Index]]-B195)/B195</f>
        <v>2.9819386589055405E-2</v>
      </c>
    </row>
    <row r="208" spans="1:4" x14ac:dyDescent="0.35">
      <c r="A208" s="17">
        <v>32417</v>
      </c>
      <c r="B208" s="58">
        <f>VLOOKUP(Table18[[#This Row],[Date]],database!A:G,5,)</f>
        <v>79.365399999999994</v>
      </c>
      <c r="C208" s="66">
        <f t="shared" si="3"/>
        <v>7.6290714725542053E-3</v>
      </c>
      <c r="D208" s="66">
        <f>(Table18[[#This Row],[Index]]-B196)/B196</f>
        <v>2.0116889009425428E-2</v>
      </c>
    </row>
    <row r="209" spans="1:4" x14ac:dyDescent="0.35">
      <c r="A209" s="17">
        <v>32448</v>
      </c>
      <c r="B209" s="58">
        <f>VLOOKUP(Table18[[#This Row],[Date]],database!A:G,5,)</f>
        <v>79.522599999999997</v>
      </c>
      <c r="C209" s="66">
        <f t="shared" si="3"/>
        <v>1.980711997923601E-3</v>
      </c>
      <c r="D209" s="66">
        <f>(Table18[[#This Row],[Index]]-B197)/B197</f>
        <v>2.1580700566655623E-2</v>
      </c>
    </row>
    <row r="210" spans="1:4" x14ac:dyDescent="0.35">
      <c r="A210" s="17">
        <v>32478</v>
      </c>
      <c r="B210" s="58">
        <f>VLOOKUP(Table18[[#This Row],[Date]],database!A:G,5,)</f>
        <v>79.936999999999998</v>
      </c>
      <c r="C210" s="66">
        <f t="shared" si="3"/>
        <v>5.2110972226764307E-3</v>
      </c>
      <c r="D210" s="66">
        <f>(Table18[[#This Row],[Index]]-B198)/B198</f>
        <v>2.4508905513254162E-2</v>
      </c>
    </row>
    <row r="211" spans="1:4" x14ac:dyDescent="0.35">
      <c r="A211" s="17">
        <v>32509</v>
      </c>
      <c r="B211" s="58">
        <f>VLOOKUP(Table18[[#This Row],[Date]],database!A:G,5,)</f>
        <v>79.987099999999998</v>
      </c>
      <c r="C211" s="66">
        <f t="shared" si="3"/>
        <v>6.267435605540328E-4</v>
      </c>
      <c r="D211" s="66">
        <f>(Table18[[#This Row],[Index]]-B199)/B199</f>
        <v>2.1437036128946471E-2</v>
      </c>
    </row>
    <row r="212" spans="1:4" x14ac:dyDescent="0.35">
      <c r="A212" s="17">
        <v>32540</v>
      </c>
      <c r="B212" s="58">
        <f>VLOOKUP(Table18[[#This Row],[Date]],database!A:G,5,)</f>
        <v>79.992900000000006</v>
      </c>
      <c r="C212" s="66">
        <f t="shared" si="3"/>
        <v>7.2511692510435211E-5</v>
      </c>
      <c r="D212" s="66">
        <f>(Table18[[#This Row],[Index]]-B200)/B200</f>
        <v>1.6634894006405474E-2</v>
      </c>
    </row>
    <row r="213" spans="1:4" x14ac:dyDescent="0.35">
      <c r="A213" s="17">
        <v>32568</v>
      </c>
      <c r="B213" s="58">
        <f>VLOOKUP(Table18[[#This Row],[Date]],database!A:G,5,)</f>
        <v>80.143000000000001</v>
      </c>
      <c r="C213" s="66">
        <f t="shared" si="3"/>
        <v>1.8764165319671289E-3</v>
      </c>
      <c r="D213" s="66">
        <f>(Table18[[#This Row],[Index]]-B201)/B201</f>
        <v>2.0137218212599044E-2</v>
      </c>
    </row>
    <row r="214" spans="1:4" x14ac:dyDescent="0.35">
      <c r="A214" s="17">
        <v>32599</v>
      </c>
      <c r="B214" s="58">
        <f>VLOOKUP(Table18[[#This Row],[Date]],database!A:G,5,)</f>
        <v>79.960599999999999</v>
      </c>
      <c r="C214" s="66">
        <f t="shared" si="3"/>
        <v>-2.2759317719576178E-3</v>
      </c>
      <c r="D214" s="66">
        <f>(Table18[[#This Row],[Index]]-B202)/B202</f>
        <v>9.7896834517473934E-3</v>
      </c>
    </row>
    <row r="215" spans="1:4" x14ac:dyDescent="0.35">
      <c r="A215" s="17">
        <v>32629</v>
      </c>
      <c r="B215" s="58">
        <f>VLOOKUP(Table18[[#This Row],[Date]],database!A:G,5,)</f>
        <v>79.241200000000006</v>
      </c>
      <c r="C215" s="66">
        <f t="shared" si="3"/>
        <v>-8.996930988511731E-3</v>
      </c>
      <c r="D215" s="66">
        <f>(Table18[[#This Row],[Index]]-B203)/B203</f>
        <v>5.960262378493935E-3</v>
      </c>
    </row>
    <row r="216" spans="1:4" x14ac:dyDescent="0.35">
      <c r="A216" s="17">
        <v>32660</v>
      </c>
      <c r="B216" s="58">
        <f>VLOOKUP(Table18[[#This Row],[Date]],database!A:G,5,)</f>
        <v>79.252700000000004</v>
      </c>
      <c r="C216" s="66">
        <f t="shared" si="3"/>
        <v>1.4512652509046653E-4</v>
      </c>
      <c r="D216" s="66">
        <f>(Table18[[#This Row],[Index]]-B204)/B204</f>
        <v>6.2071662362659114E-3</v>
      </c>
    </row>
    <row r="217" spans="1:4" x14ac:dyDescent="0.35">
      <c r="A217" s="17">
        <v>32690</v>
      </c>
      <c r="B217" s="58">
        <f>VLOOKUP(Table18[[#This Row],[Date]],database!A:G,5,)</f>
        <v>77.498800000000003</v>
      </c>
      <c r="C217" s="66">
        <f t="shared" si="3"/>
        <v>-2.2130476311848057E-2</v>
      </c>
      <c r="D217" s="66">
        <f>(Table18[[#This Row],[Index]]-B205)/B205</f>
        <v>-1.5463184104883267E-2</v>
      </c>
    </row>
    <row r="218" spans="1:4" x14ac:dyDescent="0.35">
      <c r="A218" s="17">
        <v>32721</v>
      </c>
      <c r="B218" s="58">
        <f>VLOOKUP(Table18[[#This Row],[Date]],database!A:G,5,)</f>
        <v>78.859300000000005</v>
      </c>
      <c r="C218" s="66">
        <f t="shared" si="3"/>
        <v>1.7555110530743656E-2</v>
      </c>
      <c r="D218" s="66">
        <f>(Table18[[#This Row],[Index]]-B206)/B206</f>
        <v>-4.8445797241908079E-3</v>
      </c>
    </row>
    <row r="219" spans="1:4" x14ac:dyDescent="0.35">
      <c r="A219" s="17">
        <v>32752</v>
      </c>
      <c r="B219" s="58">
        <f>VLOOKUP(Table18[[#This Row],[Date]],database!A:G,5,)</f>
        <v>78.577500000000001</v>
      </c>
      <c r="C219" s="66">
        <f t="shared" si="3"/>
        <v>-3.5734529725727215E-3</v>
      </c>
      <c r="D219" s="66">
        <f>(Table18[[#This Row],[Index]]-B207)/B207</f>
        <v>-2.3741660265728546E-3</v>
      </c>
    </row>
    <row r="220" spans="1:4" x14ac:dyDescent="0.35">
      <c r="A220" s="17">
        <v>32782</v>
      </c>
      <c r="B220" s="58">
        <f>VLOOKUP(Table18[[#This Row],[Date]],database!A:G,5,)</f>
        <v>78.753600000000006</v>
      </c>
      <c r="C220" s="66">
        <f t="shared" si="3"/>
        <v>2.2410995513983956E-3</v>
      </c>
      <c r="D220" s="66">
        <f>(Table18[[#This Row],[Index]]-B208)/B208</f>
        <v>-7.7086488570584687E-3</v>
      </c>
    </row>
    <row r="221" spans="1:4" x14ac:dyDescent="0.35">
      <c r="A221" s="17">
        <v>32813</v>
      </c>
      <c r="B221" s="58">
        <f>VLOOKUP(Table18[[#This Row],[Date]],database!A:G,5,)</f>
        <v>79.074600000000004</v>
      </c>
      <c r="C221" s="66">
        <f t="shared" si="3"/>
        <v>4.0760041445724315E-3</v>
      </c>
      <c r="D221" s="66">
        <f>(Table18[[#This Row],[Index]]-B209)/B209</f>
        <v>-5.633618619109452E-3</v>
      </c>
    </row>
    <row r="222" spans="1:4" x14ac:dyDescent="0.35">
      <c r="A222" s="17">
        <v>32843</v>
      </c>
      <c r="B222" s="58">
        <f>VLOOKUP(Table18[[#This Row],[Date]],database!A:G,5,)</f>
        <v>80.340400000000002</v>
      </c>
      <c r="C222" s="66">
        <f t="shared" si="3"/>
        <v>1.6007668707777256E-2</v>
      </c>
      <c r="D222" s="66">
        <f>(Table18[[#This Row],[Index]]-B210)/B210</f>
        <v>5.0464740983525132E-3</v>
      </c>
    </row>
    <row r="223" spans="1:4" x14ac:dyDescent="0.35">
      <c r="A223" s="17">
        <v>32874</v>
      </c>
      <c r="B223" s="58">
        <f>VLOOKUP(Table18[[#This Row],[Date]],database!A:G,5,)</f>
        <v>78.649600000000007</v>
      </c>
      <c r="C223" s="66">
        <f t="shared" si="3"/>
        <v>-2.1045451603427412E-2</v>
      </c>
      <c r="D223" s="66">
        <f>(Table18[[#This Row],[Index]]-B211)/B211</f>
        <v>-1.6721446333221125E-2</v>
      </c>
    </row>
    <row r="224" spans="1:4" x14ac:dyDescent="0.35">
      <c r="A224" s="17">
        <v>32905</v>
      </c>
      <c r="B224" s="58">
        <f>VLOOKUP(Table18[[#This Row],[Date]],database!A:G,5,)</f>
        <v>79.612799999999993</v>
      </c>
      <c r="C224" s="66">
        <f t="shared" si="3"/>
        <v>1.2246724713157908E-2</v>
      </c>
      <c r="D224" s="66">
        <f>(Table18[[#This Row],[Index]]-B212)/B212</f>
        <v>-4.7516717108645008E-3</v>
      </c>
    </row>
    <row r="225" spans="1:4" x14ac:dyDescent="0.35">
      <c r="A225" s="17">
        <v>32933</v>
      </c>
      <c r="B225" s="58">
        <f>VLOOKUP(Table18[[#This Row],[Date]],database!A:G,5,)</f>
        <v>80.127899999999997</v>
      </c>
      <c r="C225" s="66">
        <f t="shared" si="3"/>
        <v>6.470065115157464E-3</v>
      </c>
      <c r="D225" s="66">
        <f>(Table18[[#This Row],[Index]]-B213)/B213</f>
        <v>-1.8841321138469844E-4</v>
      </c>
    </row>
    <row r="226" spans="1:4" x14ac:dyDescent="0.35">
      <c r="A226" s="17">
        <v>32964</v>
      </c>
      <c r="B226" s="58">
        <f>VLOOKUP(Table18[[#This Row],[Date]],database!A:G,5,)</f>
        <v>79.792400000000001</v>
      </c>
      <c r="C226" s="66">
        <f t="shared" si="3"/>
        <v>-4.187055944309015E-3</v>
      </c>
      <c r="D226" s="66">
        <f>(Table18[[#This Row],[Index]]-B214)/B214</f>
        <v>-2.1035359914757866E-3</v>
      </c>
    </row>
    <row r="227" spans="1:4" x14ac:dyDescent="0.35">
      <c r="A227" s="17">
        <v>32994</v>
      </c>
      <c r="B227" s="58">
        <f>VLOOKUP(Table18[[#This Row],[Date]],database!A:G,5,)</f>
        <v>79.733000000000004</v>
      </c>
      <c r="C227" s="66">
        <f t="shared" si="3"/>
        <v>-7.4443180052230495E-4</v>
      </c>
      <c r="D227" s="66">
        <f>(Table18[[#This Row],[Index]]-B215)/B215</f>
        <v>6.2063673947390721E-3</v>
      </c>
    </row>
    <row r="228" spans="1:4" x14ac:dyDescent="0.35">
      <c r="A228" s="17">
        <v>33025</v>
      </c>
      <c r="B228" s="58">
        <f>VLOOKUP(Table18[[#This Row],[Date]],database!A:G,5,)</f>
        <v>80.568299999999994</v>
      </c>
      <c r="C228" s="66">
        <f t="shared" si="3"/>
        <v>1.0476214365444436E-2</v>
      </c>
      <c r="D228" s="66">
        <f>(Table18[[#This Row],[Index]]-B216)/B216</f>
        <v>1.6600065360549095E-2</v>
      </c>
    </row>
    <row r="229" spans="1:4" x14ac:dyDescent="0.35">
      <c r="A229" s="17">
        <v>33055</v>
      </c>
      <c r="B229" s="58">
        <f>VLOOKUP(Table18[[#This Row],[Date]],database!A:G,5,)</f>
        <v>79.905799999999999</v>
      </c>
      <c r="C229" s="66">
        <f t="shared" si="3"/>
        <v>-8.222837021508389E-3</v>
      </c>
      <c r="D229" s="66">
        <f>(Table18[[#This Row],[Index]]-B217)/B217</f>
        <v>3.1058545422638757E-2</v>
      </c>
    </row>
    <row r="230" spans="1:4" x14ac:dyDescent="0.35">
      <c r="A230" s="17">
        <v>33086</v>
      </c>
      <c r="B230" s="58">
        <f>VLOOKUP(Table18[[#This Row],[Date]],database!A:G,5,)</f>
        <v>80.176500000000004</v>
      </c>
      <c r="C230" s="66">
        <f t="shared" si="3"/>
        <v>3.3877390627463644E-3</v>
      </c>
      <c r="D230" s="66">
        <f>(Table18[[#This Row],[Index]]-B218)/B218</f>
        <v>1.6703166272082046E-2</v>
      </c>
    </row>
    <row r="231" spans="1:4" x14ac:dyDescent="0.35">
      <c r="A231" s="17">
        <v>33117</v>
      </c>
      <c r="B231" s="58">
        <f>VLOOKUP(Table18[[#This Row],[Date]],database!A:G,5,)</f>
        <v>80.719499999999996</v>
      </c>
      <c r="C231" s="66">
        <f t="shared" si="3"/>
        <v>6.7725580438158239E-3</v>
      </c>
      <c r="D231" s="66">
        <f>(Table18[[#This Row],[Index]]-B219)/B219</f>
        <v>2.7259711749546573E-2</v>
      </c>
    </row>
    <row r="232" spans="1:4" x14ac:dyDescent="0.35">
      <c r="A232" s="17">
        <v>33147</v>
      </c>
      <c r="B232" s="58">
        <f>VLOOKUP(Table18[[#This Row],[Date]],database!A:G,5,)</f>
        <v>79.622799999999998</v>
      </c>
      <c r="C232" s="66">
        <f t="shared" si="3"/>
        <v>-1.358655591275959E-2</v>
      </c>
      <c r="D232" s="66">
        <f>(Table18[[#This Row],[Index]]-B220)/B220</f>
        <v>1.1036955770910691E-2</v>
      </c>
    </row>
    <row r="233" spans="1:4" x14ac:dyDescent="0.35">
      <c r="A233" s="17">
        <v>33178</v>
      </c>
      <c r="B233" s="58">
        <f>VLOOKUP(Table18[[#This Row],[Date]],database!A:G,5,)</f>
        <v>78.732500000000002</v>
      </c>
      <c r="C233" s="66">
        <f t="shared" si="3"/>
        <v>-1.1181470634039403E-2</v>
      </c>
      <c r="D233" s="66">
        <f>(Table18[[#This Row],[Index]]-B221)/B221</f>
        <v>-4.3262944105945788E-3</v>
      </c>
    </row>
    <row r="234" spans="1:4" x14ac:dyDescent="0.35">
      <c r="A234" s="17">
        <v>33208</v>
      </c>
      <c r="B234" s="58">
        <f>VLOOKUP(Table18[[#This Row],[Date]],database!A:G,5,)</f>
        <v>78.138900000000007</v>
      </c>
      <c r="C234" s="66">
        <f t="shared" si="3"/>
        <v>-7.5394532118248092E-3</v>
      </c>
      <c r="D234" s="66">
        <f>(Table18[[#This Row],[Index]]-B222)/B222</f>
        <v>-2.7402153835430192E-2</v>
      </c>
    </row>
    <row r="235" spans="1:4" x14ac:dyDescent="0.35">
      <c r="A235" s="17">
        <v>33239</v>
      </c>
      <c r="B235" s="58">
        <f>VLOOKUP(Table18[[#This Row],[Date]],database!A:G,5,)</f>
        <v>78.525700000000001</v>
      </c>
      <c r="C235" s="66">
        <f t="shared" si="3"/>
        <v>4.9501592676630679E-3</v>
      </c>
      <c r="D235" s="66">
        <f>(Table18[[#This Row],[Index]]-B223)/B223</f>
        <v>-1.5753417690618401E-3</v>
      </c>
    </row>
    <row r="236" spans="1:4" x14ac:dyDescent="0.35">
      <c r="A236" s="17">
        <v>33270</v>
      </c>
      <c r="B236" s="58">
        <f>VLOOKUP(Table18[[#This Row],[Date]],database!A:G,5,)</f>
        <v>77.772900000000007</v>
      </c>
      <c r="C236" s="66">
        <f t="shared" si="3"/>
        <v>-9.5866703512352824E-3</v>
      </c>
      <c r="D236" s="66">
        <f>(Table18[[#This Row],[Index]]-B224)/B224</f>
        <v>-2.3110605329796037E-2</v>
      </c>
    </row>
    <row r="237" spans="1:4" x14ac:dyDescent="0.35">
      <c r="A237" s="17">
        <v>33298</v>
      </c>
      <c r="B237" s="58">
        <f>VLOOKUP(Table18[[#This Row],[Date]],database!A:G,5,)</f>
        <v>77.8262</v>
      </c>
      <c r="C237" s="66">
        <f t="shared" si="3"/>
        <v>6.8532869418524989E-4</v>
      </c>
      <c r="D237" s="66">
        <f>(Table18[[#This Row],[Index]]-B225)/B225</f>
        <v>-2.872532538603903E-2</v>
      </c>
    </row>
    <row r="238" spans="1:4" x14ac:dyDescent="0.35">
      <c r="A238" s="17">
        <v>33329</v>
      </c>
      <c r="B238" s="58">
        <f>VLOOKUP(Table18[[#This Row],[Date]],database!A:G,5,)</f>
        <v>77.848299999999995</v>
      </c>
      <c r="C238" s="66">
        <f t="shared" si="3"/>
        <v>2.8396606798208879E-4</v>
      </c>
      <c r="D238" s="66">
        <f>(Table18[[#This Row],[Index]]-B226)/B226</f>
        <v>-2.4364475814739321E-2</v>
      </c>
    </row>
    <row r="239" spans="1:4" x14ac:dyDescent="0.35">
      <c r="A239" s="17">
        <v>33359</v>
      </c>
      <c r="B239" s="58">
        <f>VLOOKUP(Table18[[#This Row],[Date]],database!A:G,5,)</f>
        <v>79.182400000000001</v>
      </c>
      <c r="C239" s="66">
        <f t="shared" si="3"/>
        <v>1.7137175763632717E-2</v>
      </c>
      <c r="D239" s="66">
        <f>(Table18[[#This Row],[Index]]-B227)/B227</f>
        <v>-6.905547263993614E-3</v>
      </c>
    </row>
    <row r="240" spans="1:4" x14ac:dyDescent="0.35">
      <c r="A240" s="17">
        <v>33390</v>
      </c>
      <c r="B240" s="58">
        <f>VLOOKUP(Table18[[#This Row],[Date]],database!A:G,5,)</f>
        <v>80.134100000000004</v>
      </c>
      <c r="C240" s="66">
        <f t="shared" si="3"/>
        <v>1.2019085049202793E-2</v>
      </c>
      <c r="D240" s="66">
        <f>(Table18[[#This Row],[Index]]-B228)/B228</f>
        <v>-5.3892163543228537E-3</v>
      </c>
    </row>
    <row r="241" spans="1:4" x14ac:dyDescent="0.35">
      <c r="A241" s="17">
        <v>33420</v>
      </c>
      <c r="B241" s="58">
        <f>VLOOKUP(Table18[[#This Row],[Date]],database!A:G,5,)</f>
        <v>79.942099999999996</v>
      </c>
      <c r="C241" s="66">
        <f t="shared" si="3"/>
        <v>-2.3959837322689026E-3</v>
      </c>
      <c r="D241" s="66">
        <f>(Table18[[#This Row],[Index]]-B229)/B229</f>
        <v>4.5428492049384543E-4</v>
      </c>
    </row>
    <row r="242" spans="1:4" x14ac:dyDescent="0.35">
      <c r="A242" s="17">
        <v>33451</v>
      </c>
      <c r="B242" s="58">
        <f>VLOOKUP(Table18[[#This Row],[Date]],database!A:G,5,)</f>
        <v>79.947900000000004</v>
      </c>
      <c r="C242" s="66">
        <f t="shared" si="3"/>
        <v>7.255250987903139E-5</v>
      </c>
      <c r="D242" s="66">
        <f>(Table18[[#This Row],[Index]]-B230)/B230</f>
        <v>-2.8512095189987107E-3</v>
      </c>
    </row>
    <row r="243" spans="1:4" x14ac:dyDescent="0.35">
      <c r="A243" s="17">
        <v>33482</v>
      </c>
      <c r="B243" s="58">
        <f>VLOOKUP(Table18[[#This Row],[Date]],database!A:G,5,)</f>
        <v>81.107900000000001</v>
      </c>
      <c r="C243" s="66">
        <f t="shared" si="3"/>
        <v>1.4509449278842901E-2</v>
      </c>
      <c r="D243" s="66">
        <f>(Table18[[#This Row],[Index]]-B231)/B231</f>
        <v>4.8117245523077359E-3</v>
      </c>
    </row>
    <row r="244" spans="1:4" x14ac:dyDescent="0.35">
      <c r="A244" s="17">
        <v>33512</v>
      </c>
      <c r="B244" s="58">
        <f>VLOOKUP(Table18[[#This Row],[Date]],database!A:G,5,)</f>
        <v>80.915899999999993</v>
      </c>
      <c r="C244" s="66">
        <f t="shared" si="3"/>
        <v>-2.3672170035226037E-3</v>
      </c>
      <c r="D244" s="66">
        <f>(Table18[[#This Row],[Index]]-B232)/B232</f>
        <v>1.6240323123527377E-2</v>
      </c>
    </row>
    <row r="245" spans="1:4" x14ac:dyDescent="0.35">
      <c r="A245" s="17">
        <v>33543</v>
      </c>
      <c r="B245" s="58">
        <f>VLOOKUP(Table18[[#This Row],[Date]],database!A:G,5,)</f>
        <v>81.031999999999996</v>
      </c>
      <c r="C245" s="66">
        <f t="shared" si="3"/>
        <v>1.4348230693843611E-3</v>
      </c>
      <c r="D245" s="66">
        <f>(Table18[[#This Row],[Index]]-B233)/B233</f>
        <v>2.920649033118464E-2</v>
      </c>
    </row>
    <row r="246" spans="1:4" x14ac:dyDescent="0.35">
      <c r="A246" s="17">
        <v>33573</v>
      </c>
      <c r="B246" s="58">
        <f>VLOOKUP(Table18[[#This Row],[Date]],database!A:G,5,)</f>
        <v>80.012600000000006</v>
      </c>
      <c r="C246" s="66">
        <f t="shared" si="3"/>
        <v>-1.2580215223615188E-2</v>
      </c>
      <c r="D246" s="66">
        <f>(Table18[[#This Row],[Index]]-B234)/B234</f>
        <v>2.3979093639659624E-2</v>
      </c>
    </row>
    <row r="247" spans="1:4" x14ac:dyDescent="0.35">
      <c r="A247" s="17">
        <v>33604</v>
      </c>
      <c r="B247" s="58">
        <f>VLOOKUP(Table18[[#This Row],[Date]],database!A:G,5,)</f>
        <v>79.248000000000005</v>
      </c>
      <c r="C247" s="66">
        <f t="shared" si="3"/>
        <v>-9.5559949307983949E-3</v>
      </c>
      <c r="D247" s="66">
        <f>(Table18[[#This Row],[Index]]-B235)/B235</f>
        <v>9.1982624796723127E-3</v>
      </c>
    </row>
    <row r="248" spans="1:4" x14ac:dyDescent="0.35">
      <c r="A248" s="17">
        <v>33635</v>
      </c>
      <c r="B248" s="58">
        <f>VLOOKUP(Table18[[#This Row],[Date]],database!A:G,5,)</f>
        <v>80.054100000000005</v>
      </c>
      <c r="C248" s="66">
        <f t="shared" si="3"/>
        <v>1.0171865536038771E-2</v>
      </c>
      <c r="D248" s="66">
        <f>(Table18[[#This Row],[Index]]-B236)/B236</f>
        <v>2.9331553793159292E-2</v>
      </c>
    </row>
    <row r="249" spans="1:4" x14ac:dyDescent="0.35">
      <c r="A249" s="17">
        <v>33664</v>
      </c>
      <c r="B249" s="58">
        <f>VLOOKUP(Table18[[#This Row],[Date]],database!A:G,5,)</f>
        <v>80.7864</v>
      </c>
      <c r="C249" s="66">
        <f t="shared" si="3"/>
        <v>9.1475639598721514E-3</v>
      </c>
      <c r="D249" s="66">
        <f>(Table18[[#This Row],[Index]]-B237)/B237</f>
        <v>3.8036034137604049E-2</v>
      </c>
    </row>
    <row r="250" spans="1:4" x14ac:dyDescent="0.35">
      <c r="A250" s="17">
        <v>33695</v>
      </c>
      <c r="B250" s="58">
        <f>VLOOKUP(Table18[[#This Row],[Date]],database!A:G,5,)</f>
        <v>81.544799999999995</v>
      </c>
      <c r="C250" s="66">
        <f t="shared" si="3"/>
        <v>9.3877187249338245E-3</v>
      </c>
      <c r="D250" s="66">
        <f>(Table18[[#This Row],[Index]]-B238)/B238</f>
        <v>4.7483374717238534E-2</v>
      </c>
    </row>
    <row r="251" spans="1:4" x14ac:dyDescent="0.35">
      <c r="A251" s="17">
        <v>33725</v>
      </c>
      <c r="B251" s="58">
        <f>VLOOKUP(Table18[[#This Row],[Date]],database!A:G,5,)</f>
        <v>82.075100000000006</v>
      </c>
      <c r="C251" s="66">
        <f t="shared" si="3"/>
        <v>6.5031737155527569E-3</v>
      </c>
      <c r="D251" s="66">
        <f>(Table18[[#This Row],[Index]]-B239)/B239</f>
        <v>3.6532108145244463E-2</v>
      </c>
    </row>
    <row r="252" spans="1:4" x14ac:dyDescent="0.35">
      <c r="A252" s="17">
        <v>33756</v>
      </c>
      <c r="B252" s="58">
        <f>VLOOKUP(Table18[[#This Row],[Date]],database!A:G,5,)</f>
        <v>81.673599999999993</v>
      </c>
      <c r="C252" s="66">
        <f t="shared" si="3"/>
        <v>-4.891861234406214E-3</v>
      </c>
      <c r="D252" s="66">
        <f>(Table18[[#This Row],[Index]]-B240)/B240</f>
        <v>1.9211546644936295E-2</v>
      </c>
    </row>
    <row r="253" spans="1:4" x14ac:dyDescent="0.35">
      <c r="A253" s="17">
        <v>33786</v>
      </c>
      <c r="B253" s="58">
        <f>VLOOKUP(Table18[[#This Row],[Date]],database!A:G,5,)</f>
        <v>82.740399999999994</v>
      </c>
      <c r="C253" s="66">
        <f t="shared" si="3"/>
        <v>1.3061748227089387E-2</v>
      </c>
      <c r="D253" s="66">
        <f>(Table18[[#This Row],[Index]]-B241)/B241</f>
        <v>3.5004084205944024E-2</v>
      </c>
    </row>
    <row r="254" spans="1:4" x14ac:dyDescent="0.35">
      <c r="A254" s="17">
        <v>33817</v>
      </c>
      <c r="B254" s="58">
        <f>VLOOKUP(Table18[[#This Row],[Date]],database!A:G,5,)</f>
        <v>82.772199999999998</v>
      </c>
      <c r="C254" s="66">
        <f t="shared" si="3"/>
        <v>3.8433461767173327E-4</v>
      </c>
      <c r="D254" s="66">
        <f>(Table18[[#This Row],[Index]]-B242)/B242</f>
        <v>3.5326756550203238E-2</v>
      </c>
    </row>
    <row r="255" spans="1:4" x14ac:dyDescent="0.35">
      <c r="A255" s="17">
        <v>33848</v>
      </c>
      <c r="B255" s="58">
        <f>VLOOKUP(Table18[[#This Row],[Date]],database!A:G,5,)</f>
        <v>82.407200000000003</v>
      </c>
      <c r="C255" s="66">
        <f t="shared" si="3"/>
        <v>-4.4096931095222169E-3</v>
      </c>
      <c r="D255" s="66">
        <f>(Table18[[#This Row],[Index]]-B243)/B243</f>
        <v>1.6019401316024733E-2</v>
      </c>
    </row>
    <row r="256" spans="1:4" x14ac:dyDescent="0.35">
      <c r="A256" s="17">
        <v>33878</v>
      </c>
      <c r="B256" s="58">
        <f>VLOOKUP(Table18[[#This Row],[Date]],database!A:G,5,)</f>
        <v>83.507999999999996</v>
      </c>
      <c r="C256" s="66">
        <f t="shared" si="3"/>
        <v>1.3358056092185988E-2</v>
      </c>
      <c r="D256" s="66">
        <f>(Table18[[#This Row],[Index]]-B244)/B244</f>
        <v>3.2034495074515668E-2</v>
      </c>
    </row>
    <row r="257" spans="1:4" x14ac:dyDescent="0.35">
      <c r="A257" s="17">
        <v>33909</v>
      </c>
      <c r="B257" s="58">
        <f>VLOOKUP(Table18[[#This Row],[Date]],database!A:G,5,)</f>
        <v>83.675399999999996</v>
      </c>
      <c r="C257" s="66">
        <f t="shared" si="3"/>
        <v>2.0045983618335317E-3</v>
      </c>
      <c r="D257" s="66">
        <f>(Table18[[#This Row],[Index]]-B245)/B245</f>
        <v>3.2621680323822684E-2</v>
      </c>
    </row>
    <row r="258" spans="1:4" x14ac:dyDescent="0.35">
      <c r="A258" s="17">
        <v>33939</v>
      </c>
      <c r="B258" s="58">
        <f>VLOOKUP(Table18[[#This Row],[Date]],database!A:G,5,)</f>
        <v>83.697299999999998</v>
      </c>
      <c r="C258" s="66">
        <f t="shared" si="3"/>
        <v>2.6172566847604273E-4</v>
      </c>
      <c r="D258" s="66">
        <f>(Table18[[#This Row],[Index]]-B246)/B246</f>
        <v>4.6051496889239846E-2</v>
      </c>
    </row>
    <row r="259" spans="1:4" x14ac:dyDescent="0.35">
      <c r="A259" s="17">
        <v>33970</v>
      </c>
      <c r="B259" s="58">
        <f>VLOOKUP(Table18[[#This Row],[Date]],database!A:G,5,)</f>
        <v>84.166799999999995</v>
      </c>
      <c r="C259" s="66">
        <f t="shared" si="3"/>
        <v>5.6094999480269525E-3</v>
      </c>
      <c r="D259" s="66">
        <f>(Table18[[#This Row],[Index]]-B247)/B247</f>
        <v>6.2068443367655837E-2</v>
      </c>
    </row>
    <row r="260" spans="1:4" x14ac:dyDescent="0.35">
      <c r="A260" s="17">
        <v>34001</v>
      </c>
      <c r="B260" s="58">
        <f>VLOOKUP(Table18[[#This Row],[Date]],database!A:G,5,)</f>
        <v>84.267200000000003</v>
      </c>
      <c r="C260" s="66">
        <f t="shared" si="3"/>
        <v>1.1928693974347926E-3</v>
      </c>
      <c r="D260" s="66">
        <f>(Table18[[#This Row],[Index]]-B248)/B248</f>
        <v>5.262816020666021E-2</v>
      </c>
    </row>
    <row r="261" spans="1:4" x14ac:dyDescent="0.35">
      <c r="A261" s="17">
        <v>34029</v>
      </c>
      <c r="B261" s="58">
        <f>VLOOKUP(Table18[[#This Row],[Date]],database!A:G,5,)</f>
        <v>84.308800000000005</v>
      </c>
      <c r="C261" s="66">
        <f t="shared" si="3"/>
        <v>4.9366776159653902E-4</v>
      </c>
      <c r="D261" s="66">
        <f>(Table18[[#This Row],[Index]]-B249)/B249</f>
        <v>4.3601398255151913E-2</v>
      </c>
    </row>
    <row r="262" spans="1:4" x14ac:dyDescent="0.35">
      <c r="A262" s="17">
        <v>34060</v>
      </c>
      <c r="B262" s="58">
        <f>VLOOKUP(Table18[[#This Row],[Date]],database!A:G,5,)</f>
        <v>84.387299999999996</v>
      </c>
      <c r="C262" s="66">
        <f t="shared" si="3"/>
        <v>9.311009052435093E-4</v>
      </c>
      <c r="D262" s="66">
        <f>(Table18[[#This Row],[Index]]-B250)/B250</f>
        <v>3.4858139329546477E-2</v>
      </c>
    </row>
    <row r="263" spans="1:4" x14ac:dyDescent="0.35">
      <c r="A263" s="17">
        <v>34090</v>
      </c>
      <c r="B263" s="58">
        <f>VLOOKUP(Table18[[#This Row],[Date]],database!A:G,5,)</f>
        <v>83.758200000000002</v>
      </c>
      <c r="C263" s="66">
        <f t="shared" si="3"/>
        <v>-7.4549132393143536E-3</v>
      </c>
      <c r="D263" s="66">
        <f>(Table18[[#This Row],[Index]]-B251)/B251</f>
        <v>2.0506828502188799E-2</v>
      </c>
    </row>
    <row r="264" spans="1:4" x14ac:dyDescent="0.35">
      <c r="A264" s="17">
        <v>34121</v>
      </c>
      <c r="B264" s="58">
        <f>VLOOKUP(Table18[[#This Row],[Date]],database!A:G,5,)</f>
        <v>83.921999999999997</v>
      </c>
      <c r="C264" s="66">
        <f t="shared" ref="C264:C327" si="4">B264/B263-1</f>
        <v>1.9556294189702061E-3</v>
      </c>
      <c r="D264" s="66">
        <f>(Table18[[#This Row],[Index]]-B252)/B252</f>
        <v>2.7529091407749919E-2</v>
      </c>
    </row>
    <row r="265" spans="1:4" x14ac:dyDescent="0.35">
      <c r="A265" s="17">
        <v>34151</v>
      </c>
      <c r="B265" s="58">
        <f>VLOOKUP(Table18[[#This Row],[Date]],database!A:G,5,)</f>
        <v>84.591800000000006</v>
      </c>
      <c r="C265" s="66">
        <f t="shared" si="4"/>
        <v>7.9812206572771327E-3</v>
      </c>
      <c r="D265" s="66">
        <f>(Table18[[#This Row],[Index]]-B253)/B253</f>
        <v>2.237600978482111E-2</v>
      </c>
    </row>
    <row r="266" spans="1:4" x14ac:dyDescent="0.35">
      <c r="A266" s="17">
        <v>34182</v>
      </c>
      <c r="B266" s="58">
        <f>VLOOKUP(Table18[[#This Row],[Date]],database!A:G,5,)</f>
        <v>84.486900000000006</v>
      </c>
      <c r="C266" s="66">
        <f t="shared" si="4"/>
        <v>-1.2400729148688283E-3</v>
      </c>
      <c r="D266" s="66">
        <f>(Table18[[#This Row],[Index]]-B254)/B254</f>
        <v>2.0715892533966811E-2</v>
      </c>
    </row>
    <row r="267" spans="1:4" x14ac:dyDescent="0.35">
      <c r="A267" s="17">
        <v>34213</v>
      </c>
      <c r="B267" s="58">
        <f>VLOOKUP(Table18[[#This Row],[Date]],database!A:G,5,)</f>
        <v>84.742699999999999</v>
      </c>
      <c r="C267" s="66">
        <f t="shared" si="4"/>
        <v>3.0276883161768353E-3</v>
      </c>
      <c r="D267" s="66">
        <f>(Table18[[#This Row],[Index]]-B255)/B255</f>
        <v>2.8340970206486765E-2</v>
      </c>
    </row>
    <row r="268" spans="1:4" x14ac:dyDescent="0.35">
      <c r="A268" s="17">
        <v>34243</v>
      </c>
      <c r="B268" s="58">
        <f>VLOOKUP(Table18[[#This Row],[Date]],database!A:G,5,)</f>
        <v>85.158199999999994</v>
      </c>
      <c r="C268" s="66">
        <f t="shared" si="4"/>
        <v>4.9030771972098375E-3</v>
      </c>
      <c r="D268" s="66">
        <f>(Table18[[#This Row],[Index]]-B256)/B256</f>
        <v>1.9760980983857812E-2</v>
      </c>
    </row>
    <row r="269" spans="1:4" x14ac:dyDescent="0.35">
      <c r="A269" s="17">
        <v>34274</v>
      </c>
      <c r="B269" s="58">
        <f>VLOOKUP(Table18[[#This Row],[Date]],database!A:G,5,)</f>
        <v>85.279700000000005</v>
      </c>
      <c r="C269" s="66">
        <f t="shared" si="4"/>
        <v>1.4267563194150235E-3</v>
      </c>
      <c r="D269" s="66">
        <f>(Table18[[#This Row],[Index]]-B257)/B257</f>
        <v>1.9172899083840761E-2</v>
      </c>
    </row>
    <row r="270" spans="1:4" x14ac:dyDescent="0.35">
      <c r="A270" s="17">
        <v>34304</v>
      </c>
      <c r="B270" s="58">
        <f>VLOOKUP(Table18[[#This Row],[Date]],database!A:G,5,)</f>
        <v>85.511099999999999</v>
      </c>
      <c r="C270" s="66">
        <f t="shared" si="4"/>
        <v>2.7134241794939395E-3</v>
      </c>
      <c r="D270" s="66">
        <f>(Table18[[#This Row],[Index]]-B258)/B258</f>
        <v>2.1670949958959258E-2</v>
      </c>
    </row>
    <row r="271" spans="1:4" x14ac:dyDescent="0.35">
      <c r="A271" s="17">
        <v>34335</v>
      </c>
      <c r="B271" s="58">
        <f>VLOOKUP(Table18[[#This Row],[Date]],database!A:G,5,)</f>
        <v>86.069699999999997</v>
      </c>
      <c r="C271" s="66">
        <f t="shared" si="4"/>
        <v>6.5324852563000135E-3</v>
      </c>
      <c r="D271" s="66">
        <f>(Table18[[#This Row],[Index]]-B259)/B259</f>
        <v>2.2608677055561129E-2</v>
      </c>
    </row>
    <row r="272" spans="1:4" x14ac:dyDescent="0.35">
      <c r="A272" s="17">
        <v>34366</v>
      </c>
      <c r="B272" s="58">
        <f>VLOOKUP(Table18[[#This Row],[Date]],database!A:G,5,)</f>
        <v>86.230099999999993</v>
      </c>
      <c r="C272" s="66">
        <f t="shared" si="4"/>
        <v>1.8636058915042497E-3</v>
      </c>
      <c r="D272" s="66">
        <f>(Table18[[#This Row],[Index]]-B260)/B260</f>
        <v>2.3293760798982172E-2</v>
      </c>
    </row>
    <row r="273" spans="1:4" x14ac:dyDescent="0.35">
      <c r="A273" s="17">
        <v>34394</v>
      </c>
      <c r="B273" s="58">
        <f>VLOOKUP(Table18[[#This Row],[Date]],database!A:G,5,)</f>
        <v>86.962699999999998</v>
      </c>
      <c r="C273" s="66">
        <f t="shared" si="4"/>
        <v>8.4958732507558476E-3</v>
      </c>
      <c r="D273" s="66">
        <f>(Table18[[#This Row],[Index]]-B261)/B261</f>
        <v>3.1478327292050093E-2</v>
      </c>
    </row>
    <row r="274" spans="1:4" x14ac:dyDescent="0.35">
      <c r="A274" s="17">
        <v>34425</v>
      </c>
      <c r="B274" s="58">
        <f>VLOOKUP(Table18[[#This Row],[Date]],database!A:G,5,)</f>
        <v>87.209699999999998</v>
      </c>
      <c r="C274" s="66">
        <f t="shared" si="4"/>
        <v>2.8402981968131957E-3</v>
      </c>
      <c r="D274" s="66">
        <f>(Table18[[#This Row],[Index]]-B262)/B262</f>
        <v>3.3445791013576712E-2</v>
      </c>
    </row>
    <row r="275" spans="1:4" x14ac:dyDescent="0.35">
      <c r="A275" s="17">
        <v>34455</v>
      </c>
      <c r="B275" s="58">
        <f>VLOOKUP(Table18[[#This Row],[Date]],database!A:G,5,)</f>
        <v>87.699399999999997</v>
      </c>
      <c r="C275" s="66">
        <f t="shared" si="4"/>
        <v>5.6152010613497172E-3</v>
      </c>
      <c r="D275" s="66">
        <f>(Table18[[#This Row],[Index]]-B263)/B263</f>
        <v>4.7054497350707096E-2</v>
      </c>
    </row>
    <row r="276" spans="1:4" x14ac:dyDescent="0.35">
      <c r="A276" s="17">
        <v>34486</v>
      </c>
      <c r="B276" s="58">
        <f>VLOOKUP(Table18[[#This Row],[Date]],database!A:G,5,)</f>
        <v>88.322000000000003</v>
      </c>
      <c r="C276" s="66">
        <f t="shared" si="4"/>
        <v>7.0992503939595331E-3</v>
      </c>
      <c r="D276" s="66">
        <f>(Table18[[#This Row],[Index]]-B264)/B264</f>
        <v>5.2429637043921805E-2</v>
      </c>
    </row>
    <row r="277" spans="1:4" x14ac:dyDescent="0.35">
      <c r="A277" s="17">
        <v>34516</v>
      </c>
      <c r="B277" s="58">
        <f>VLOOKUP(Table18[[#This Row],[Date]],database!A:G,5,)</f>
        <v>87.8857</v>
      </c>
      <c r="C277" s="66">
        <f t="shared" si="4"/>
        <v>-4.9398790788252045E-3</v>
      </c>
      <c r="D277" s="66">
        <f>(Table18[[#This Row],[Index]]-B265)/B265</f>
        <v>3.8938762385952223E-2</v>
      </c>
    </row>
    <row r="278" spans="1:4" x14ac:dyDescent="0.35">
      <c r="A278" s="17">
        <v>34547</v>
      </c>
      <c r="B278" s="58">
        <f>VLOOKUP(Table18[[#This Row],[Date]],database!A:G,5,)</f>
        <v>89.024000000000001</v>
      </c>
      <c r="C278" s="66">
        <f t="shared" si="4"/>
        <v>1.2952050219774192E-2</v>
      </c>
      <c r="D278" s="66">
        <f>(Table18[[#This Row],[Index]]-B266)/B266</f>
        <v>5.3701816494628102E-2</v>
      </c>
    </row>
    <row r="279" spans="1:4" x14ac:dyDescent="0.35">
      <c r="A279" s="17">
        <v>34578</v>
      </c>
      <c r="B279" s="58">
        <f>VLOOKUP(Table18[[#This Row],[Date]],database!A:G,5,)</f>
        <v>88.533799999999999</v>
      </c>
      <c r="C279" s="66">
        <f t="shared" si="4"/>
        <v>-5.5063803019410607E-3</v>
      </c>
      <c r="D279" s="66">
        <f>(Table18[[#This Row],[Index]]-B267)/B267</f>
        <v>4.4736596780607651E-2</v>
      </c>
    </row>
    <row r="280" spans="1:4" x14ac:dyDescent="0.35">
      <c r="A280" s="17">
        <v>34608</v>
      </c>
      <c r="B280" s="58">
        <f>VLOOKUP(Table18[[#This Row],[Date]],database!A:G,5,)</f>
        <v>89.403199999999998</v>
      </c>
      <c r="C280" s="66">
        <f t="shared" si="4"/>
        <v>9.819978358547754E-3</v>
      </c>
      <c r="D280" s="66">
        <f>(Table18[[#This Row],[Index]]-B268)/B268</f>
        <v>4.9848399801780741E-2</v>
      </c>
    </row>
    <row r="281" spans="1:4" x14ac:dyDescent="0.35">
      <c r="A281" s="17">
        <v>34639</v>
      </c>
      <c r="B281" s="58">
        <f>VLOOKUP(Table18[[#This Row],[Date]],database!A:G,5,)</f>
        <v>89.493300000000005</v>
      </c>
      <c r="C281" s="66">
        <f t="shared" si="4"/>
        <v>1.0077939044688122E-3</v>
      </c>
      <c r="D281" s="66">
        <f>(Table18[[#This Row],[Index]]-B269)/B269</f>
        <v>4.9409179441297274E-2</v>
      </c>
    </row>
    <row r="282" spans="1:4" x14ac:dyDescent="0.35">
      <c r="A282" s="17">
        <v>34669</v>
      </c>
      <c r="B282" s="58">
        <f>VLOOKUP(Table18[[#This Row],[Date]],database!A:G,5,)</f>
        <v>90.193399999999997</v>
      </c>
      <c r="C282" s="66">
        <f t="shared" si="4"/>
        <v>7.8229319960263499E-3</v>
      </c>
      <c r="D282" s="66">
        <f>(Table18[[#This Row],[Index]]-B270)/B270</f>
        <v>5.4756633934074032E-2</v>
      </c>
    </row>
    <row r="283" spans="1:4" x14ac:dyDescent="0.35">
      <c r="A283" s="17">
        <v>34700</v>
      </c>
      <c r="B283" s="58">
        <f>VLOOKUP(Table18[[#This Row],[Date]],database!A:G,5,)</f>
        <v>90.032200000000003</v>
      </c>
      <c r="C283" s="66">
        <f t="shared" si="4"/>
        <v>-1.7872704654663396E-3</v>
      </c>
      <c r="D283" s="66">
        <f>(Table18[[#This Row],[Index]]-B271)/B271</f>
        <v>4.6038268984323241E-2</v>
      </c>
    </row>
    <row r="284" spans="1:4" x14ac:dyDescent="0.35">
      <c r="A284" s="17">
        <v>34731</v>
      </c>
      <c r="B284" s="58">
        <f>VLOOKUP(Table18[[#This Row],[Date]],database!A:G,5,)</f>
        <v>90.214799999999997</v>
      </c>
      <c r="C284" s="66">
        <f t="shared" si="4"/>
        <v>2.0281632571457209E-3</v>
      </c>
      <c r="D284" s="66">
        <f>(Table18[[#This Row],[Index]]-B272)/B272</f>
        <v>4.6210082094303544E-2</v>
      </c>
    </row>
    <row r="285" spans="1:4" x14ac:dyDescent="0.35">
      <c r="A285" s="17">
        <v>34759</v>
      </c>
      <c r="B285" s="58">
        <f>VLOOKUP(Table18[[#This Row],[Date]],database!A:G,5,)</f>
        <v>90.178700000000006</v>
      </c>
      <c r="C285" s="66">
        <f t="shared" si="4"/>
        <v>-4.001560719526509E-4</v>
      </c>
      <c r="D285" s="66">
        <f>(Table18[[#This Row],[Index]]-B273)/B273</f>
        <v>3.6981372473485853E-2</v>
      </c>
    </row>
    <row r="286" spans="1:4" x14ac:dyDescent="0.35">
      <c r="A286" s="17">
        <v>34790</v>
      </c>
      <c r="B286" s="58">
        <f>VLOOKUP(Table18[[#This Row],[Date]],database!A:G,5,)</f>
        <v>89.738799999999998</v>
      </c>
      <c r="C286" s="66">
        <f t="shared" si="4"/>
        <v>-4.8780920549975626E-3</v>
      </c>
      <c r="D286" s="66">
        <f>(Table18[[#This Row],[Index]]-B274)/B274</f>
        <v>2.9000214425688883E-2</v>
      </c>
    </row>
    <row r="287" spans="1:4" x14ac:dyDescent="0.35">
      <c r="A287" s="17">
        <v>34820</v>
      </c>
      <c r="B287" s="58">
        <f>VLOOKUP(Table18[[#This Row],[Date]],database!A:G,5,)</f>
        <v>90.057299999999998</v>
      </c>
      <c r="C287" s="66">
        <f t="shared" si="4"/>
        <v>3.5491894253099066E-3</v>
      </c>
      <c r="D287" s="66">
        <f>(Table18[[#This Row],[Index]]-B275)/B275</f>
        <v>2.6886158856274968E-2</v>
      </c>
    </row>
    <row r="288" spans="1:4" x14ac:dyDescent="0.35">
      <c r="A288" s="17">
        <v>34851</v>
      </c>
      <c r="B288" s="58">
        <f>VLOOKUP(Table18[[#This Row],[Date]],database!A:G,5,)</f>
        <v>90.441500000000005</v>
      </c>
      <c r="C288" s="66">
        <f t="shared" si="4"/>
        <v>4.2661727588990672E-3</v>
      </c>
      <c r="D288" s="66">
        <f>(Table18[[#This Row],[Index]]-B276)/B276</f>
        <v>2.3997418536717944E-2</v>
      </c>
    </row>
    <row r="289" spans="1:4" x14ac:dyDescent="0.35">
      <c r="A289" s="17">
        <v>34881</v>
      </c>
      <c r="B289" s="58">
        <f>VLOOKUP(Table18[[#This Row],[Date]],database!A:G,5,)</f>
        <v>89.946799999999996</v>
      </c>
      <c r="C289" s="66">
        <f t="shared" si="4"/>
        <v>-5.4698340916504717E-3</v>
      </c>
      <c r="D289" s="66">
        <f>(Table18[[#This Row],[Index]]-B277)/B277</f>
        <v>2.3452051926536356E-2</v>
      </c>
    </row>
    <row r="290" spans="1:4" x14ac:dyDescent="0.35">
      <c r="A290" s="17">
        <v>34912</v>
      </c>
      <c r="B290" s="58">
        <f>VLOOKUP(Table18[[#This Row],[Date]],database!A:G,5,)</f>
        <v>91.316900000000004</v>
      </c>
      <c r="C290" s="66">
        <f t="shared" si="4"/>
        <v>1.5232337337181656E-2</v>
      </c>
      <c r="D290" s="66">
        <f>(Table18[[#This Row],[Index]]-B278)/B278</f>
        <v>2.5755975916606791E-2</v>
      </c>
    </row>
    <row r="291" spans="1:4" x14ac:dyDescent="0.35">
      <c r="A291" s="17">
        <v>34943</v>
      </c>
      <c r="B291" s="58">
        <f>VLOOKUP(Table18[[#This Row],[Date]],database!A:G,5,)</f>
        <v>91.507499999999993</v>
      </c>
      <c r="C291" s="66">
        <f t="shared" si="4"/>
        <v>2.0872368641509098E-3</v>
      </c>
      <c r="D291" s="66">
        <f>(Table18[[#This Row],[Index]]-B279)/B279</f>
        <v>3.3588301868890683E-2</v>
      </c>
    </row>
    <row r="292" spans="1:4" x14ac:dyDescent="0.35">
      <c r="A292" s="17">
        <v>34973</v>
      </c>
      <c r="B292" s="58">
        <f>VLOOKUP(Table18[[#This Row],[Date]],database!A:G,5,)</f>
        <v>90.670500000000004</v>
      </c>
      <c r="C292" s="66">
        <f t="shared" si="4"/>
        <v>-9.1467912466189905E-3</v>
      </c>
      <c r="D292" s="66">
        <f>(Table18[[#This Row],[Index]]-B280)/B280</f>
        <v>1.4175107826118147E-2</v>
      </c>
    </row>
    <row r="293" spans="1:4" x14ac:dyDescent="0.35">
      <c r="A293" s="17">
        <v>35004</v>
      </c>
      <c r="B293" s="58">
        <f>VLOOKUP(Table18[[#This Row],[Date]],database!A:G,5,)</f>
        <v>90.977199999999996</v>
      </c>
      <c r="C293" s="66">
        <f t="shared" si="4"/>
        <v>3.3825775748450582E-3</v>
      </c>
      <c r="D293" s="66">
        <f>(Table18[[#This Row],[Index]]-B281)/B281</f>
        <v>1.6581129537071391E-2</v>
      </c>
    </row>
    <row r="294" spans="1:4" x14ac:dyDescent="0.35">
      <c r="A294" s="17">
        <v>35034</v>
      </c>
      <c r="B294" s="58">
        <f>VLOOKUP(Table18[[#This Row],[Date]],database!A:G,5,)</f>
        <v>91.261499999999998</v>
      </c>
      <c r="C294" s="66">
        <f t="shared" si="4"/>
        <v>3.1249587808814816E-3</v>
      </c>
      <c r="D294" s="66">
        <f>(Table18[[#This Row],[Index]]-B282)/B282</f>
        <v>1.1842329926580008E-2</v>
      </c>
    </row>
    <row r="295" spans="1:4" x14ac:dyDescent="0.35">
      <c r="A295" s="17">
        <v>35065</v>
      </c>
      <c r="B295" s="58">
        <f>VLOOKUP(Table18[[#This Row],[Date]],database!A:G,5,)</f>
        <v>90.235200000000006</v>
      </c>
      <c r="C295" s="66">
        <f t="shared" si="4"/>
        <v>-1.1245706020611035E-2</v>
      </c>
      <c r="D295" s="66">
        <f>(Table18[[#This Row],[Index]]-B283)/B283</f>
        <v>2.2547488565202553E-3</v>
      </c>
    </row>
    <row r="296" spans="1:4" x14ac:dyDescent="0.35">
      <c r="A296" s="17">
        <v>35096</v>
      </c>
      <c r="B296" s="58">
        <f>VLOOKUP(Table18[[#This Row],[Date]],database!A:G,5,)</f>
        <v>91.598200000000006</v>
      </c>
      <c r="C296" s="66">
        <f t="shared" si="4"/>
        <v>1.5104970122524319E-2</v>
      </c>
      <c r="D296" s="66">
        <f>(Table18[[#This Row],[Index]]-B284)/B284</f>
        <v>1.5334512740703398E-2</v>
      </c>
    </row>
    <row r="297" spans="1:4" x14ac:dyDescent="0.35">
      <c r="A297" s="17">
        <v>35125</v>
      </c>
      <c r="B297" s="58">
        <f>VLOOKUP(Table18[[#This Row],[Date]],database!A:G,5,)</f>
        <v>91.035899999999998</v>
      </c>
      <c r="C297" s="66">
        <f t="shared" si="4"/>
        <v>-6.1387669190007266E-3</v>
      </c>
      <c r="D297" s="66">
        <f>(Table18[[#This Row],[Index]]-B285)/B285</f>
        <v>9.5055706059190438E-3</v>
      </c>
    </row>
    <row r="298" spans="1:4" x14ac:dyDescent="0.35">
      <c r="A298" s="17">
        <v>35156</v>
      </c>
      <c r="B298" s="58">
        <f>VLOOKUP(Table18[[#This Row],[Date]],database!A:G,5,)</f>
        <v>91.878299999999996</v>
      </c>
      <c r="C298" s="66">
        <f t="shared" si="4"/>
        <v>9.2534923035856309E-3</v>
      </c>
      <c r="D298" s="66">
        <f>(Table18[[#This Row],[Index]]-B286)/B286</f>
        <v>2.3841415307536966E-2</v>
      </c>
    </row>
    <row r="299" spans="1:4" x14ac:dyDescent="0.35">
      <c r="A299" s="17">
        <v>35186</v>
      </c>
      <c r="B299" s="58">
        <f>VLOOKUP(Table18[[#This Row],[Date]],database!A:G,5,)</f>
        <v>92.023399999999995</v>
      </c>
      <c r="C299" s="66">
        <f t="shared" si="4"/>
        <v>1.5792630033424349E-3</v>
      </c>
      <c r="D299" s="66">
        <f>(Table18[[#This Row],[Index]]-B287)/B287</f>
        <v>2.1831656067858991E-2</v>
      </c>
    </row>
    <row r="300" spans="1:4" x14ac:dyDescent="0.35">
      <c r="A300" s="17">
        <v>35217</v>
      </c>
      <c r="B300" s="58">
        <f>VLOOKUP(Table18[[#This Row],[Date]],database!A:G,5,)</f>
        <v>92.675399999999996</v>
      </c>
      <c r="C300" s="66">
        <f t="shared" si="4"/>
        <v>7.0851544281129719E-3</v>
      </c>
      <c r="D300" s="66">
        <f>(Table18[[#This Row],[Index]]-B288)/B288</f>
        <v>2.469994416280127E-2</v>
      </c>
    </row>
    <row r="301" spans="1:4" x14ac:dyDescent="0.35">
      <c r="A301" s="17">
        <v>35247</v>
      </c>
      <c r="B301" s="58">
        <f>VLOOKUP(Table18[[#This Row],[Date]],database!A:G,5,)</f>
        <v>92.180700000000002</v>
      </c>
      <c r="C301" s="66">
        <f t="shared" si="4"/>
        <v>-5.3379861322421229E-3</v>
      </c>
      <c r="D301" s="66">
        <f>(Table18[[#This Row],[Index]]-B289)/B289</f>
        <v>2.4835791823611352E-2</v>
      </c>
    </row>
    <row r="302" spans="1:4" x14ac:dyDescent="0.35">
      <c r="A302" s="17">
        <v>35278</v>
      </c>
      <c r="B302" s="58">
        <f>VLOOKUP(Table18[[#This Row],[Date]],database!A:G,5,)</f>
        <v>91.869299999999996</v>
      </c>
      <c r="C302" s="66">
        <f t="shared" si="4"/>
        <v>-3.3781474864045258E-3</v>
      </c>
      <c r="D302" s="66">
        <f>(Table18[[#This Row],[Index]]-B290)/B290</f>
        <v>6.0492636083790789E-3</v>
      </c>
    </row>
    <row r="303" spans="1:4" x14ac:dyDescent="0.35">
      <c r="A303" s="17">
        <v>35309</v>
      </c>
      <c r="B303" s="58">
        <f>VLOOKUP(Table18[[#This Row],[Date]],database!A:G,5,)</f>
        <v>92.817700000000002</v>
      </c>
      <c r="C303" s="66">
        <f t="shared" si="4"/>
        <v>1.0323361558213673E-2</v>
      </c>
      <c r="D303" s="66">
        <f>(Table18[[#This Row],[Index]]-B291)/B291</f>
        <v>1.4317952080430664E-2</v>
      </c>
    </row>
    <row r="304" spans="1:4" x14ac:dyDescent="0.35">
      <c r="A304" s="17">
        <v>35339</v>
      </c>
      <c r="B304" s="58">
        <f>VLOOKUP(Table18[[#This Row],[Date]],database!A:G,5,)</f>
        <v>92.305199999999999</v>
      </c>
      <c r="C304" s="66">
        <f t="shared" si="4"/>
        <v>-5.5215761648910178E-3</v>
      </c>
      <c r="D304" s="66">
        <f>(Table18[[#This Row],[Index]]-B292)/B292</f>
        <v>1.8029017155524619E-2</v>
      </c>
    </row>
    <row r="305" spans="1:4" x14ac:dyDescent="0.35">
      <c r="A305" s="17">
        <v>35370</v>
      </c>
      <c r="B305" s="58">
        <f>VLOOKUP(Table18[[#This Row],[Date]],database!A:G,5,)</f>
        <v>93.386200000000002</v>
      </c>
      <c r="C305" s="66">
        <f t="shared" si="4"/>
        <v>1.1711149534370691E-2</v>
      </c>
      <c r="D305" s="66">
        <f>(Table18[[#This Row],[Index]]-B293)/B293</f>
        <v>2.647916181197054E-2</v>
      </c>
    </row>
    <row r="306" spans="1:4" x14ac:dyDescent="0.35">
      <c r="A306" s="17">
        <v>35400</v>
      </c>
      <c r="B306" s="58">
        <f>VLOOKUP(Table18[[#This Row],[Date]],database!A:G,5,)</f>
        <v>93.607699999999994</v>
      </c>
      <c r="C306" s="66">
        <f t="shared" si="4"/>
        <v>2.3718707903308545E-3</v>
      </c>
      <c r="D306" s="66">
        <f>(Table18[[#This Row],[Index]]-B294)/B294</f>
        <v>2.5708540841428162E-2</v>
      </c>
    </row>
    <row r="307" spans="1:4" x14ac:dyDescent="0.35">
      <c r="A307" s="17">
        <v>35431</v>
      </c>
      <c r="B307" s="58">
        <f>VLOOKUP(Table18[[#This Row],[Date]],database!A:G,5,)</f>
        <v>93.382800000000003</v>
      </c>
      <c r="C307" s="66">
        <f t="shared" si="4"/>
        <v>-2.4025801296260196E-3</v>
      </c>
      <c r="D307" s="66">
        <f>(Table18[[#This Row],[Index]]-B295)/B295</f>
        <v>3.4882174583754422E-2</v>
      </c>
    </row>
    <row r="308" spans="1:4" x14ac:dyDescent="0.35">
      <c r="A308" s="17">
        <v>35462</v>
      </c>
      <c r="B308" s="58">
        <f>VLOOKUP(Table18[[#This Row],[Date]],database!A:G,5,)</f>
        <v>93.898799999999994</v>
      </c>
      <c r="C308" s="66">
        <f t="shared" si="4"/>
        <v>5.5256428378671618E-3</v>
      </c>
      <c r="D308" s="66">
        <f>(Table18[[#This Row],[Index]]-B296)/B296</f>
        <v>2.5116214074075566E-2</v>
      </c>
    </row>
    <row r="309" spans="1:4" x14ac:dyDescent="0.35">
      <c r="A309" s="17">
        <v>35490</v>
      </c>
      <c r="B309" s="58">
        <f>VLOOKUP(Table18[[#This Row],[Date]],database!A:G,5,)</f>
        <v>94.5642</v>
      </c>
      <c r="C309" s="66">
        <f t="shared" si="4"/>
        <v>7.0863525412465656E-3</v>
      </c>
      <c r="D309" s="66">
        <f>(Table18[[#This Row],[Index]]-B297)/B297</f>
        <v>3.8757237529370298E-2</v>
      </c>
    </row>
    <row r="310" spans="1:4" x14ac:dyDescent="0.35">
      <c r="A310" s="17">
        <v>35521</v>
      </c>
      <c r="B310" s="58">
        <f>VLOOKUP(Table18[[#This Row],[Date]],database!A:G,5,)</f>
        <v>93.620800000000003</v>
      </c>
      <c r="C310" s="66">
        <f t="shared" si="4"/>
        <v>-9.9762912391793135E-3</v>
      </c>
      <c r="D310" s="66">
        <f>(Table18[[#This Row],[Index]]-B298)/B298</f>
        <v>1.8965305191759173E-2</v>
      </c>
    </row>
    <row r="311" spans="1:4" x14ac:dyDescent="0.35">
      <c r="A311" s="17">
        <v>35551</v>
      </c>
      <c r="B311" s="58">
        <f>VLOOKUP(Table18[[#This Row],[Date]],database!A:G,5,)</f>
        <v>94.327100000000002</v>
      </c>
      <c r="C311" s="66">
        <f t="shared" si="4"/>
        <v>7.5442636679028396E-3</v>
      </c>
      <c r="D311" s="66">
        <f>(Table18[[#This Row],[Index]]-B299)/B299</f>
        <v>2.5033850085956467E-2</v>
      </c>
    </row>
    <row r="312" spans="1:4" x14ac:dyDescent="0.35">
      <c r="A312" s="17">
        <v>35582</v>
      </c>
      <c r="B312" s="58">
        <f>VLOOKUP(Table18[[#This Row],[Date]],database!A:G,5,)</f>
        <v>94.256</v>
      </c>
      <c r="C312" s="66">
        <f t="shared" si="4"/>
        <v>-7.5376005410954239E-4</v>
      </c>
      <c r="D312" s="66">
        <f>(Table18[[#This Row],[Index]]-B300)/B300</f>
        <v>1.705522716923805E-2</v>
      </c>
    </row>
    <row r="313" spans="1:4" x14ac:dyDescent="0.35">
      <c r="A313" s="17">
        <v>35612</v>
      </c>
      <c r="B313" s="58">
        <f>VLOOKUP(Table18[[#This Row],[Date]],database!A:G,5,)</f>
        <v>95.162599999999998</v>
      </c>
      <c r="C313" s="66">
        <f t="shared" si="4"/>
        <v>9.6184858258359096E-3</v>
      </c>
      <c r="D313" s="66">
        <f>(Table18[[#This Row],[Index]]-B301)/B301</f>
        <v>3.2348420005489174E-2</v>
      </c>
    </row>
    <row r="314" spans="1:4" x14ac:dyDescent="0.35">
      <c r="A314" s="17">
        <v>35643</v>
      </c>
      <c r="B314" s="58">
        <f>VLOOKUP(Table18[[#This Row],[Date]],database!A:G,5,)</f>
        <v>95.975099999999998</v>
      </c>
      <c r="C314" s="66">
        <f t="shared" si="4"/>
        <v>8.5380180869374378E-3</v>
      </c>
      <c r="D314" s="66">
        <f>(Table18[[#This Row],[Index]]-B302)/B302</f>
        <v>4.4691752304632799E-2</v>
      </c>
    </row>
    <row r="315" spans="1:4" x14ac:dyDescent="0.35">
      <c r="A315" s="17">
        <v>35674</v>
      </c>
      <c r="B315" s="58">
        <f>VLOOKUP(Table18[[#This Row],[Date]],database!A:G,5,)</f>
        <v>96.706999999999994</v>
      </c>
      <c r="C315" s="66">
        <f t="shared" si="4"/>
        <v>7.6259363105637412E-3</v>
      </c>
      <c r="D315" s="66">
        <f>(Table18[[#This Row],[Index]]-B303)/B303</f>
        <v>4.1902568152410495E-2</v>
      </c>
    </row>
    <row r="316" spans="1:4" x14ac:dyDescent="0.35">
      <c r="A316" s="17">
        <v>35704</v>
      </c>
      <c r="B316" s="58">
        <f>VLOOKUP(Table18[[#This Row],[Date]],database!A:G,5,)</f>
        <v>98.200599999999994</v>
      </c>
      <c r="C316" s="66">
        <f t="shared" si="4"/>
        <v>1.5444590360573773E-2</v>
      </c>
      <c r="D316" s="66">
        <f>(Table18[[#This Row],[Index]]-B304)/B304</f>
        <v>6.3868557784393459E-2</v>
      </c>
    </row>
    <row r="317" spans="1:4" x14ac:dyDescent="0.35">
      <c r="A317" s="17">
        <v>35735</v>
      </c>
      <c r="B317" s="58">
        <f>VLOOKUP(Table18[[#This Row],[Date]],database!A:G,5,)</f>
        <v>98.416700000000006</v>
      </c>
      <c r="C317" s="66">
        <f t="shared" si="4"/>
        <v>2.2005975523571308E-3</v>
      </c>
      <c r="D317" s="66">
        <f>(Table18[[#This Row],[Index]]-B305)/B305</f>
        <v>5.3867702080178909E-2</v>
      </c>
    </row>
    <row r="318" spans="1:4" x14ac:dyDescent="0.35">
      <c r="A318" s="17">
        <v>35765</v>
      </c>
      <c r="B318" s="58">
        <f>VLOOKUP(Table18[[#This Row],[Date]],database!A:G,5,)</f>
        <v>98.115399999999994</v>
      </c>
      <c r="C318" s="66">
        <f t="shared" si="4"/>
        <v>-3.0614722907800207E-3</v>
      </c>
      <c r="D318" s="66">
        <f>(Table18[[#This Row],[Index]]-B306)/B306</f>
        <v>4.8155226546534098E-2</v>
      </c>
    </row>
    <row r="319" spans="1:4" x14ac:dyDescent="0.35">
      <c r="A319" s="17">
        <v>35796</v>
      </c>
      <c r="B319" s="58">
        <f>VLOOKUP(Table18[[#This Row],[Date]],database!A:G,5,)</f>
        <v>98.555800000000005</v>
      </c>
      <c r="C319" s="66">
        <f t="shared" si="4"/>
        <v>4.4885920049249073E-3</v>
      </c>
      <c r="D319" s="66">
        <f>(Table18[[#This Row],[Index]]-B307)/B307</f>
        <v>5.5395640310635381E-2</v>
      </c>
    </row>
    <row r="320" spans="1:4" x14ac:dyDescent="0.35">
      <c r="A320" s="17">
        <v>35827</v>
      </c>
      <c r="B320" s="58">
        <f>VLOOKUP(Table18[[#This Row],[Date]],database!A:G,5,)</f>
        <v>98.426599999999993</v>
      </c>
      <c r="C320" s="66">
        <f t="shared" si="4"/>
        <v>-1.3109324869770012E-3</v>
      </c>
      <c r="D320" s="66">
        <f>(Table18[[#This Row],[Index]]-B308)/B308</f>
        <v>4.8219998551632177E-2</v>
      </c>
    </row>
    <row r="321" spans="1:4" x14ac:dyDescent="0.35">
      <c r="A321" s="17">
        <v>35855</v>
      </c>
      <c r="B321" s="58">
        <f>VLOOKUP(Table18[[#This Row],[Date]],database!A:G,5,)</f>
        <v>98.507900000000006</v>
      </c>
      <c r="C321" s="66">
        <f t="shared" si="4"/>
        <v>8.2599622459800237E-4</v>
      </c>
      <c r="D321" s="66">
        <f>(Table18[[#This Row],[Index]]-B309)/B309</f>
        <v>4.1703942929776881E-2</v>
      </c>
    </row>
    <row r="322" spans="1:4" x14ac:dyDescent="0.35">
      <c r="A322" s="17">
        <v>35886</v>
      </c>
      <c r="B322" s="58">
        <f>VLOOKUP(Table18[[#This Row],[Date]],database!A:G,5,)</f>
        <v>99.132400000000004</v>
      </c>
      <c r="C322" s="66">
        <f t="shared" si="4"/>
        <v>6.3395930681702239E-3</v>
      </c>
      <c r="D322" s="66">
        <f>(Table18[[#This Row],[Index]]-B310)/B310</f>
        <v>5.8871532821766118E-2</v>
      </c>
    </row>
    <row r="323" spans="1:4" x14ac:dyDescent="0.35">
      <c r="A323" s="17">
        <v>35916</v>
      </c>
      <c r="B323" s="58">
        <f>VLOOKUP(Table18[[#This Row],[Date]],database!A:G,5,)</f>
        <v>99.504999999999995</v>
      </c>
      <c r="C323" s="66">
        <f t="shared" si="4"/>
        <v>3.7586096977375583E-3</v>
      </c>
      <c r="D323" s="66">
        <f>(Table18[[#This Row],[Index]]-B311)/B311</f>
        <v>5.4893026500337588E-2</v>
      </c>
    </row>
    <row r="324" spans="1:4" x14ac:dyDescent="0.35">
      <c r="A324" s="17">
        <v>35947</v>
      </c>
      <c r="B324" s="58">
        <f>VLOOKUP(Table18[[#This Row],[Date]],database!A:G,5,)</f>
        <v>98.472399999999993</v>
      </c>
      <c r="C324" s="66">
        <f t="shared" si="4"/>
        <v>-1.0377367971458717E-2</v>
      </c>
      <c r="D324" s="66">
        <f>(Table18[[#This Row],[Index]]-B312)/B312</f>
        <v>4.4733491767102285E-2</v>
      </c>
    </row>
    <row r="325" spans="1:4" x14ac:dyDescent="0.35">
      <c r="A325" s="17">
        <v>35977</v>
      </c>
      <c r="B325" s="58">
        <f>VLOOKUP(Table18[[#This Row],[Date]],database!A:G,5,)</f>
        <v>97.5946</v>
      </c>
      <c r="C325" s="66">
        <f t="shared" si="4"/>
        <v>-8.9141729053012764E-3</v>
      </c>
      <c r="D325" s="66">
        <f>(Table18[[#This Row],[Index]]-B313)/B313</f>
        <v>2.5556258446070224E-2</v>
      </c>
    </row>
    <row r="326" spans="1:4" x14ac:dyDescent="0.35">
      <c r="A326" s="17">
        <v>36008</v>
      </c>
      <c r="B326" s="58">
        <f>VLOOKUP(Table18[[#This Row],[Date]],database!A:G,5,)</f>
        <v>100.3429</v>
      </c>
      <c r="C326" s="66">
        <f t="shared" si="4"/>
        <v>2.8160369528641871E-2</v>
      </c>
      <c r="D326" s="66">
        <f>(Table18[[#This Row],[Index]]-B314)/B314</f>
        <v>4.550972075048635E-2</v>
      </c>
    </row>
    <row r="327" spans="1:4" x14ac:dyDescent="0.35">
      <c r="A327" s="17">
        <v>36039</v>
      </c>
      <c r="B327" s="58">
        <f>VLOOKUP(Table18[[#This Row],[Date]],database!A:G,5,)</f>
        <v>99.647499999999994</v>
      </c>
      <c r="C327" s="66">
        <f t="shared" si="4"/>
        <v>-6.9302362200016621E-3</v>
      </c>
      <c r="D327" s="66">
        <f>(Table18[[#This Row],[Index]]-B315)/B315</f>
        <v>3.0406278759552052E-2</v>
      </c>
    </row>
    <row r="328" spans="1:4" x14ac:dyDescent="0.35">
      <c r="A328" s="17">
        <v>36069</v>
      </c>
      <c r="B328" s="58">
        <f>VLOOKUP(Table18[[#This Row],[Date]],database!A:G,5,)</f>
        <v>100.01139999999999</v>
      </c>
      <c r="C328" s="66">
        <f t="shared" ref="C328:C391" si="5">B328/B327-1</f>
        <v>3.6518728518026844E-3</v>
      </c>
      <c r="D328" s="66">
        <f>(Table18[[#This Row],[Index]]-B316)/B316</f>
        <v>1.8439805866766603E-2</v>
      </c>
    </row>
    <row r="329" spans="1:4" x14ac:dyDescent="0.35">
      <c r="A329" s="17">
        <v>36100</v>
      </c>
      <c r="B329" s="58">
        <f>VLOOKUP(Table18[[#This Row],[Date]],database!A:G,5,)</f>
        <v>99.335400000000007</v>
      </c>
      <c r="C329" s="66">
        <f t="shared" si="5"/>
        <v>-6.7592294478427961E-3</v>
      </c>
      <c r="D329" s="66">
        <f>(Table18[[#This Row],[Index]]-B317)/B317</f>
        <v>9.3347978544291894E-3</v>
      </c>
    </row>
    <row r="330" spans="1:4" x14ac:dyDescent="0.35">
      <c r="A330" s="17">
        <v>36130</v>
      </c>
      <c r="B330" s="58">
        <f>VLOOKUP(Table18[[#This Row],[Date]],database!A:G,5,)</f>
        <v>99.3904</v>
      </c>
      <c r="C330" s="66">
        <f t="shared" si="5"/>
        <v>5.5367975565601135E-4</v>
      </c>
      <c r="D330" s="66">
        <f>(Table18[[#This Row],[Index]]-B318)/B318</f>
        <v>1.299490192161481E-2</v>
      </c>
    </row>
    <row r="331" spans="1:4" x14ac:dyDescent="0.35">
      <c r="A331" s="17">
        <v>36161</v>
      </c>
      <c r="B331" s="58">
        <f>VLOOKUP(Table18[[#This Row],[Date]],database!A:G,5,)</f>
        <v>100.401</v>
      </c>
      <c r="C331" s="66">
        <f t="shared" si="5"/>
        <v>1.0167984030650778E-2</v>
      </c>
      <c r="D331" s="66">
        <f>(Table18[[#This Row],[Index]]-B319)/B319</f>
        <v>1.8722388738156365E-2</v>
      </c>
    </row>
    <row r="332" spans="1:4" x14ac:dyDescent="0.35">
      <c r="A332" s="17">
        <v>36192</v>
      </c>
      <c r="B332" s="58">
        <f>VLOOKUP(Table18[[#This Row],[Date]],database!A:G,5,)</f>
        <v>100.8216</v>
      </c>
      <c r="C332" s="66">
        <f t="shared" si="5"/>
        <v>4.1892013027760022E-3</v>
      </c>
      <c r="D332" s="66">
        <f>(Table18[[#This Row],[Index]]-B320)/B320</f>
        <v>2.4332853110846157E-2</v>
      </c>
    </row>
    <row r="333" spans="1:4" x14ac:dyDescent="0.35">
      <c r="A333" s="17">
        <v>36220</v>
      </c>
      <c r="B333" s="58">
        <f>VLOOKUP(Table18[[#This Row],[Date]],database!A:G,5,)</f>
        <v>100.6028</v>
      </c>
      <c r="C333" s="66">
        <f t="shared" si="5"/>
        <v>-2.1701698842311323E-3</v>
      </c>
      <c r="D333" s="66">
        <f>(Table18[[#This Row],[Index]]-B321)/B321</f>
        <v>2.1266314681360535E-2</v>
      </c>
    </row>
    <row r="334" spans="1:4" x14ac:dyDescent="0.35">
      <c r="A334" s="17">
        <v>36251</v>
      </c>
      <c r="B334" s="58">
        <f>VLOOKUP(Table18[[#This Row],[Date]],database!A:G,5,)</f>
        <v>100.4738</v>
      </c>
      <c r="C334" s="66">
        <f t="shared" si="5"/>
        <v>-1.2822704735853119E-3</v>
      </c>
      <c r="D334" s="66">
        <f>(Table18[[#This Row],[Index]]-B322)/B322</f>
        <v>1.353139841262789E-2</v>
      </c>
    </row>
    <row r="335" spans="1:4" x14ac:dyDescent="0.35">
      <c r="A335" s="17">
        <v>36281</v>
      </c>
      <c r="B335" s="58">
        <f>VLOOKUP(Table18[[#This Row],[Date]],database!A:G,5,)</f>
        <v>101.3797</v>
      </c>
      <c r="C335" s="66">
        <f t="shared" si="5"/>
        <v>9.0162808612792578E-3</v>
      </c>
      <c r="D335" s="66">
        <f>(Table18[[#This Row],[Index]]-B323)/B323</f>
        <v>1.8840259283453138E-2</v>
      </c>
    </row>
    <row r="336" spans="1:4" x14ac:dyDescent="0.35">
      <c r="A336" s="17">
        <v>36312</v>
      </c>
      <c r="B336" s="58">
        <f>VLOOKUP(Table18[[#This Row],[Date]],database!A:G,5,)</f>
        <v>100.4316</v>
      </c>
      <c r="C336" s="66">
        <f t="shared" si="5"/>
        <v>-9.3519708580711569E-3</v>
      </c>
      <c r="D336" s="66">
        <f>(Table18[[#This Row],[Index]]-B324)/B324</f>
        <v>1.9895930230196583E-2</v>
      </c>
    </row>
    <row r="337" spans="1:4" x14ac:dyDescent="0.35">
      <c r="A337" s="17">
        <v>36342</v>
      </c>
      <c r="B337" s="58">
        <f>VLOOKUP(Table18[[#This Row],[Date]],database!A:G,5,)</f>
        <v>100.06959999999999</v>
      </c>
      <c r="C337" s="66">
        <f t="shared" si="5"/>
        <v>-3.604443223049425E-3</v>
      </c>
      <c r="D337" s="66">
        <f>(Table18[[#This Row],[Index]]-B325)/B325</f>
        <v>2.5360009672666259E-2</v>
      </c>
    </row>
    <row r="338" spans="1:4" x14ac:dyDescent="0.35">
      <c r="A338" s="17">
        <v>36373</v>
      </c>
      <c r="B338" s="58">
        <f>VLOOKUP(Table18[[#This Row],[Date]],database!A:G,5,)</f>
        <v>101.3493</v>
      </c>
      <c r="C338" s="66">
        <f t="shared" si="5"/>
        <v>1.2788099482760051E-2</v>
      </c>
      <c r="D338" s="66">
        <f>(Table18[[#This Row],[Index]]-B326)/B326</f>
        <v>1.0029608472547627E-2</v>
      </c>
    </row>
    <row r="339" spans="1:4" x14ac:dyDescent="0.35">
      <c r="A339" s="17">
        <v>36404</v>
      </c>
      <c r="B339" s="58">
        <f>VLOOKUP(Table18[[#This Row],[Date]],database!A:G,5,)</f>
        <v>100.55759999999999</v>
      </c>
      <c r="C339" s="66">
        <f t="shared" si="5"/>
        <v>-7.8115981067456985E-3</v>
      </c>
      <c r="D339" s="66">
        <f>(Table18[[#This Row],[Index]]-B327)/B327</f>
        <v>9.1331945106500403E-3</v>
      </c>
    </row>
    <row r="340" spans="1:4" x14ac:dyDescent="0.35">
      <c r="A340" s="17">
        <v>36434</v>
      </c>
      <c r="B340" s="58">
        <f>VLOOKUP(Table18[[#This Row],[Date]],database!A:G,5,)</f>
        <v>102.5164</v>
      </c>
      <c r="C340" s="66">
        <f t="shared" si="5"/>
        <v>1.9479382960611691E-2</v>
      </c>
      <c r="D340" s="66">
        <f>(Table18[[#This Row],[Index]]-B328)/B328</f>
        <v>2.5047144625512791E-2</v>
      </c>
    </row>
    <row r="341" spans="1:4" x14ac:dyDescent="0.35">
      <c r="A341" s="17">
        <v>36465</v>
      </c>
      <c r="B341" s="58">
        <f>VLOOKUP(Table18[[#This Row],[Date]],database!A:G,5,)</f>
        <v>102.4432</v>
      </c>
      <c r="C341" s="66">
        <f t="shared" si="5"/>
        <v>-7.1403209632803222E-4</v>
      </c>
      <c r="D341" s="66">
        <f>(Table18[[#This Row],[Index]]-B329)/B329</f>
        <v>3.1285926265963569E-2</v>
      </c>
    </row>
    <row r="342" spans="1:4" x14ac:dyDescent="0.35">
      <c r="A342" s="17">
        <v>36495</v>
      </c>
      <c r="B342" s="58">
        <f>VLOOKUP(Table18[[#This Row],[Date]],database!A:G,5,)</f>
        <v>103.5578</v>
      </c>
      <c r="C342" s="66">
        <f t="shared" si="5"/>
        <v>1.0880175550939342E-2</v>
      </c>
      <c r="D342" s="66">
        <f>(Table18[[#This Row],[Index]]-B330)/B330</f>
        <v>4.1929602859028643E-2</v>
      </c>
    </row>
    <row r="343" spans="1:4" x14ac:dyDescent="0.35">
      <c r="A343" s="17">
        <v>36526</v>
      </c>
      <c r="B343" s="58">
        <f>VLOOKUP(Table18[[#This Row],[Date]],database!A:G,5,)</f>
        <v>102.2092</v>
      </c>
      <c r="C343" s="66">
        <f t="shared" si="5"/>
        <v>-1.3022679122190794E-2</v>
      </c>
      <c r="D343" s="66">
        <f>(Table18[[#This Row],[Index]]-B331)/B331</f>
        <v>1.8009780779075901E-2</v>
      </c>
    </row>
    <row r="344" spans="1:4" x14ac:dyDescent="0.35">
      <c r="A344" s="17">
        <v>36557</v>
      </c>
      <c r="B344" s="58">
        <f>VLOOKUP(Table18[[#This Row],[Date]],database!A:G,5,)</f>
        <v>102.97499999999999</v>
      </c>
      <c r="C344" s="66">
        <f t="shared" si="5"/>
        <v>7.4924762154482405E-3</v>
      </c>
      <c r="D344" s="66">
        <f>(Table18[[#This Row],[Index]]-B332)/B332</f>
        <v>2.1358518412720989E-2</v>
      </c>
    </row>
    <row r="345" spans="1:4" x14ac:dyDescent="0.35">
      <c r="A345" s="17">
        <v>36586</v>
      </c>
      <c r="B345" s="58">
        <f>VLOOKUP(Table18[[#This Row],[Date]],database!A:G,5,)</f>
        <v>102.5934</v>
      </c>
      <c r="C345" s="66">
        <f t="shared" si="5"/>
        <v>-3.7057538237434962E-3</v>
      </c>
      <c r="D345" s="66">
        <f>(Table18[[#This Row],[Index]]-B333)/B333</f>
        <v>1.9786725617974853E-2</v>
      </c>
    </row>
    <row r="346" spans="1:4" x14ac:dyDescent="0.35">
      <c r="A346" s="17">
        <v>36617</v>
      </c>
      <c r="B346" s="58">
        <f>VLOOKUP(Table18[[#This Row],[Date]],database!A:G,5,)</f>
        <v>103.45489999999999</v>
      </c>
      <c r="C346" s="66">
        <f t="shared" si="5"/>
        <v>8.3972263322980023E-3</v>
      </c>
      <c r="D346" s="66">
        <f>(Table18[[#This Row],[Index]]-B334)/B334</f>
        <v>2.9670421542730523E-2</v>
      </c>
    </row>
    <row r="347" spans="1:4" x14ac:dyDescent="0.35">
      <c r="A347" s="17">
        <v>36647</v>
      </c>
      <c r="B347" s="58">
        <f>VLOOKUP(Table18[[#This Row],[Date]],database!A:G,5,)</f>
        <v>103.6429</v>
      </c>
      <c r="C347" s="66">
        <f t="shared" si="5"/>
        <v>1.8172169708732255E-3</v>
      </c>
      <c r="D347" s="66">
        <f>(Table18[[#This Row],[Index]]-B335)/B335</f>
        <v>2.2323995829539815E-2</v>
      </c>
    </row>
    <row r="348" spans="1:4" x14ac:dyDescent="0.35">
      <c r="A348" s="17">
        <v>36678</v>
      </c>
      <c r="B348" s="58">
        <f>VLOOKUP(Table18[[#This Row],[Date]],database!A:G,5,)</f>
        <v>103.727</v>
      </c>
      <c r="C348" s="66">
        <f t="shared" si="5"/>
        <v>8.114400504040109E-4</v>
      </c>
      <c r="D348" s="66">
        <f>(Table18[[#This Row],[Index]]-B336)/B336</f>
        <v>3.2812381760322452E-2</v>
      </c>
    </row>
    <row r="349" spans="1:4" x14ac:dyDescent="0.35">
      <c r="A349" s="17">
        <v>36708</v>
      </c>
      <c r="B349" s="58">
        <f>VLOOKUP(Table18[[#This Row],[Date]],database!A:G,5,)</f>
        <v>103.2899</v>
      </c>
      <c r="C349" s="66">
        <f t="shared" si="5"/>
        <v>-4.2139462242232195E-3</v>
      </c>
      <c r="D349" s="66">
        <f>(Table18[[#This Row],[Index]]-B337)/B337</f>
        <v>3.2180602300798736E-2</v>
      </c>
    </row>
    <row r="350" spans="1:4" x14ac:dyDescent="0.35">
      <c r="A350" s="17">
        <v>36739</v>
      </c>
      <c r="B350" s="58">
        <f>VLOOKUP(Table18[[#This Row],[Date]],database!A:G,5,)</f>
        <v>102.7901</v>
      </c>
      <c r="C350" s="66">
        <f t="shared" si="5"/>
        <v>-4.8388080538368516E-3</v>
      </c>
      <c r="D350" s="66">
        <f>(Table18[[#This Row],[Index]]-B338)/B338</f>
        <v>1.4216181068838126E-2</v>
      </c>
    </row>
    <row r="351" spans="1:4" x14ac:dyDescent="0.35">
      <c r="A351" s="17">
        <v>36770</v>
      </c>
      <c r="B351" s="58">
        <f>VLOOKUP(Table18[[#This Row],[Date]],database!A:G,5,)</f>
        <v>103.7769</v>
      </c>
      <c r="C351" s="66">
        <f t="shared" si="5"/>
        <v>9.6001463175927615E-3</v>
      </c>
      <c r="D351" s="66">
        <f>(Table18[[#This Row],[Index]]-B339)/B339</f>
        <v>3.201448721926542E-2</v>
      </c>
    </row>
    <row r="352" spans="1:4" x14ac:dyDescent="0.35">
      <c r="A352" s="17">
        <v>36800</v>
      </c>
      <c r="B352" s="58">
        <f>VLOOKUP(Table18[[#This Row],[Date]],database!A:G,5,)</f>
        <v>102.6825</v>
      </c>
      <c r="C352" s="66">
        <f t="shared" si="5"/>
        <v>-1.0545699476472992E-2</v>
      </c>
      <c r="D352" s="66">
        <f>(Table18[[#This Row],[Index]]-B340)/B340</f>
        <v>1.6202285683071208E-3</v>
      </c>
    </row>
    <row r="353" spans="1:4" x14ac:dyDescent="0.35">
      <c r="A353" s="17">
        <v>36831</v>
      </c>
      <c r="B353" s="58">
        <f>VLOOKUP(Table18[[#This Row],[Date]],database!A:G,5,)</f>
        <v>102.9923</v>
      </c>
      <c r="C353" s="66">
        <f t="shared" si="5"/>
        <v>3.0170671730820331E-3</v>
      </c>
      <c r="D353" s="66">
        <f>(Table18[[#This Row],[Index]]-B341)/B341</f>
        <v>5.36004341918249E-3</v>
      </c>
    </row>
    <row r="354" spans="1:4" x14ac:dyDescent="0.35">
      <c r="A354" s="17">
        <v>36861</v>
      </c>
      <c r="B354" s="58">
        <f>VLOOKUP(Table18[[#This Row],[Date]],database!A:G,5,)</f>
        <v>103.5509</v>
      </c>
      <c r="C354" s="66">
        <f t="shared" si="5"/>
        <v>5.4237064324225148E-3</v>
      </c>
      <c r="D354" s="66">
        <f>(Table18[[#This Row],[Index]]-B342)/B342</f>
        <v>-6.6629457172725595E-5</v>
      </c>
    </row>
    <row r="355" spans="1:4" x14ac:dyDescent="0.35">
      <c r="A355" s="17">
        <v>36892</v>
      </c>
      <c r="B355" s="58">
        <f>VLOOKUP(Table18[[#This Row],[Date]],database!A:G,5,)</f>
        <v>102.68300000000001</v>
      </c>
      <c r="C355" s="66">
        <f t="shared" si="5"/>
        <v>-8.3813853863171639E-3</v>
      </c>
      <c r="D355" s="66">
        <f>(Table18[[#This Row],[Index]]-B343)/B343</f>
        <v>4.6355905339246503E-3</v>
      </c>
    </row>
    <row r="356" spans="1:4" x14ac:dyDescent="0.35">
      <c r="A356" s="17">
        <v>36923</v>
      </c>
      <c r="B356" s="58">
        <f>VLOOKUP(Table18[[#This Row],[Date]],database!A:G,5,)</f>
        <v>102.03270000000001</v>
      </c>
      <c r="C356" s="66">
        <f t="shared" si="5"/>
        <v>-6.3330833730997904E-3</v>
      </c>
      <c r="D356" s="66">
        <f>(Table18[[#This Row],[Index]]-B344)/B344</f>
        <v>-9.1507647487253114E-3</v>
      </c>
    </row>
    <row r="357" spans="1:4" x14ac:dyDescent="0.35">
      <c r="A357" s="17">
        <v>36951</v>
      </c>
      <c r="B357" s="58">
        <f>VLOOKUP(Table18[[#This Row],[Date]],database!A:G,5,)</f>
        <v>101.9992</v>
      </c>
      <c r="C357" s="66">
        <f t="shared" si="5"/>
        <v>-3.2832611505917431E-4</v>
      </c>
      <c r="D357" s="66">
        <f>(Table18[[#This Row],[Index]]-B345)/B345</f>
        <v>-5.7917955735944096E-3</v>
      </c>
    </row>
    <row r="358" spans="1:4" x14ac:dyDescent="0.35">
      <c r="A358" s="17">
        <v>36982</v>
      </c>
      <c r="B358" s="58">
        <f>VLOOKUP(Table18[[#This Row],[Date]],database!A:G,5,)</f>
        <v>102.3592</v>
      </c>
      <c r="C358" s="66">
        <f t="shared" si="5"/>
        <v>3.5294394465839041E-3</v>
      </c>
      <c r="D358" s="66">
        <f>(Table18[[#This Row],[Index]]-B346)/B346</f>
        <v>-1.0591088483967349E-2</v>
      </c>
    </row>
    <row r="359" spans="1:4" x14ac:dyDescent="0.35">
      <c r="A359" s="17">
        <v>37012</v>
      </c>
      <c r="B359" s="58">
        <f>VLOOKUP(Table18[[#This Row],[Date]],database!A:G,5,)</f>
        <v>102.35939999999999</v>
      </c>
      <c r="C359" s="66">
        <f t="shared" si="5"/>
        <v>1.9539035083226963E-6</v>
      </c>
      <c r="D359" s="66">
        <f>(Table18[[#This Row],[Index]]-B347)/B347</f>
        <v>-1.2383868070075264E-2</v>
      </c>
    </row>
    <row r="360" spans="1:4" x14ac:dyDescent="0.35">
      <c r="A360" s="17">
        <v>37043</v>
      </c>
      <c r="B360" s="58">
        <f>VLOOKUP(Table18[[#This Row],[Date]],database!A:G,5,)</f>
        <v>102.3794</v>
      </c>
      <c r="C360" s="66">
        <f t="shared" si="5"/>
        <v>1.9538996906987016E-4</v>
      </c>
      <c r="D360" s="66">
        <f>(Table18[[#This Row],[Index]]-B348)/B348</f>
        <v>-1.2991795771592738E-2</v>
      </c>
    </row>
    <row r="361" spans="1:4" x14ac:dyDescent="0.35">
      <c r="A361" s="17">
        <v>37073</v>
      </c>
      <c r="B361" s="58">
        <f>VLOOKUP(Table18[[#This Row],[Date]],database!A:G,5,)</f>
        <v>101.869</v>
      </c>
      <c r="C361" s="66">
        <f t="shared" si="5"/>
        <v>-4.9853779178233859E-3</v>
      </c>
      <c r="D361" s="66">
        <f>(Table18[[#This Row],[Index]]-B349)/B349</f>
        <v>-1.3756427298312838E-2</v>
      </c>
    </row>
    <row r="362" spans="1:4" x14ac:dyDescent="0.35">
      <c r="A362" s="17">
        <v>37104</v>
      </c>
      <c r="B362" s="58">
        <f>VLOOKUP(Table18[[#This Row],[Date]],database!A:G,5,)</f>
        <v>102.078</v>
      </c>
      <c r="C362" s="66">
        <f t="shared" si="5"/>
        <v>2.0516545759750038E-3</v>
      </c>
      <c r="D362" s="66">
        <f>(Table18[[#This Row],[Index]]-B350)/B350</f>
        <v>-6.9277099642863701E-3</v>
      </c>
    </row>
    <row r="363" spans="1:4" x14ac:dyDescent="0.35">
      <c r="A363" s="17">
        <v>37135</v>
      </c>
      <c r="B363" s="58">
        <f>VLOOKUP(Table18[[#This Row],[Date]],database!A:G,5,)</f>
        <v>101.5252</v>
      </c>
      <c r="C363" s="66">
        <f t="shared" si="5"/>
        <v>-5.415466603969521E-3</v>
      </c>
      <c r="D363" s="66">
        <f>(Table18[[#This Row],[Index]]-B351)/B351</f>
        <v>-2.1697506863280747E-2</v>
      </c>
    </row>
    <row r="364" spans="1:4" x14ac:dyDescent="0.35">
      <c r="A364" s="17">
        <v>37165</v>
      </c>
      <c r="B364" s="58">
        <f>VLOOKUP(Table18[[#This Row],[Date]],database!A:G,5,)</f>
        <v>102.05159999999999</v>
      </c>
      <c r="C364" s="66">
        <f t="shared" si="5"/>
        <v>5.1849196061666269E-3</v>
      </c>
      <c r="D364" s="66">
        <f>(Table18[[#This Row],[Index]]-B352)/B352</f>
        <v>-6.1441823095465253E-3</v>
      </c>
    </row>
    <row r="365" spans="1:4" x14ac:dyDescent="0.35">
      <c r="A365" s="17">
        <v>37196</v>
      </c>
      <c r="B365" s="58">
        <f>VLOOKUP(Table18[[#This Row],[Date]],database!A:G,5,)</f>
        <v>101.9045</v>
      </c>
      <c r="C365" s="66">
        <f t="shared" si="5"/>
        <v>-1.4414276699238338E-3</v>
      </c>
      <c r="D365" s="66">
        <f>(Table18[[#This Row],[Index]]-B353)/B353</f>
        <v>-1.056195463155985E-2</v>
      </c>
    </row>
    <row r="366" spans="1:4" x14ac:dyDescent="0.35">
      <c r="A366" s="17">
        <v>37226</v>
      </c>
      <c r="B366" s="58">
        <f>VLOOKUP(Table18[[#This Row],[Date]],database!A:G,5,)</f>
        <v>102.4789</v>
      </c>
      <c r="C366" s="66">
        <f t="shared" si="5"/>
        <v>5.6366500007358766E-3</v>
      </c>
      <c r="D366" s="66">
        <f>(Table18[[#This Row],[Index]]-B354)/B354</f>
        <v>-1.0352396744016737E-2</v>
      </c>
    </row>
    <row r="367" spans="1:4" x14ac:dyDescent="0.35">
      <c r="A367" s="17">
        <v>37257</v>
      </c>
      <c r="B367" s="58">
        <f>VLOOKUP(Table18[[#This Row],[Date]],database!A:G,5,)</f>
        <v>103.5265</v>
      </c>
      <c r="C367" s="66">
        <f t="shared" si="5"/>
        <v>1.0222592162874466E-2</v>
      </c>
      <c r="D367" s="66">
        <f>(Table18[[#This Row],[Index]]-B355)/B355</f>
        <v>8.2146022223736313E-3</v>
      </c>
    </row>
    <row r="368" spans="1:4" x14ac:dyDescent="0.35">
      <c r="A368" s="17">
        <v>37288</v>
      </c>
      <c r="B368" s="58">
        <f>VLOOKUP(Table18[[#This Row],[Date]],database!A:G,5,)</f>
        <v>102.8599</v>
      </c>
      <c r="C368" s="66">
        <f t="shared" si="5"/>
        <v>-6.4389310949370948E-3</v>
      </c>
      <c r="D368" s="66">
        <f>(Table18[[#This Row],[Index]]-B356)/B356</f>
        <v>8.1072048470734442E-3</v>
      </c>
    </row>
    <row r="369" spans="1:4" x14ac:dyDescent="0.35">
      <c r="A369" s="17">
        <v>37316</v>
      </c>
      <c r="B369" s="58">
        <f>VLOOKUP(Table18[[#This Row],[Date]],database!A:G,5,)</f>
        <v>103.70610000000001</v>
      </c>
      <c r="C369" s="66">
        <f t="shared" si="5"/>
        <v>8.2267239225393141E-3</v>
      </c>
      <c r="D369" s="66">
        <f>(Table18[[#This Row],[Index]]-B357)/B357</f>
        <v>1.673444497603907E-2</v>
      </c>
    </row>
    <row r="370" spans="1:4" x14ac:dyDescent="0.35">
      <c r="A370" s="17">
        <v>37347</v>
      </c>
      <c r="B370" s="58">
        <f>VLOOKUP(Table18[[#This Row],[Date]],database!A:G,5,)</f>
        <v>103.5998</v>
      </c>
      <c r="C370" s="66">
        <f t="shared" si="5"/>
        <v>-1.0250120291863674E-3</v>
      </c>
      <c r="D370" s="66">
        <f>(Table18[[#This Row],[Index]]-B358)/B358</f>
        <v>1.2120063462785959E-2</v>
      </c>
    </row>
    <row r="371" spans="1:4" x14ac:dyDescent="0.35">
      <c r="A371" s="17">
        <v>37377</v>
      </c>
      <c r="B371" s="58">
        <f>VLOOKUP(Table18[[#This Row],[Date]],database!A:G,5,)</f>
        <v>103.9622</v>
      </c>
      <c r="C371" s="66">
        <f t="shared" si="5"/>
        <v>3.4980762511123142E-3</v>
      </c>
      <c r="D371" s="66">
        <f>(Table18[[#This Row],[Index]]-B359)/B359</f>
        <v>1.565855212125122E-2</v>
      </c>
    </row>
    <row r="372" spans="1:4" x14ac:dyDescent="0.35">
      <c r="A372" s="17">
        <v>37408</v>
      </c>
      <c r="B372" s="58">
        <f>VLOOKUP(Table18[[#This Row],[Date]],database!A:G,5,)</f>
        <v>105.039</v>
      </c>
      <c r="C372" s="66">
        <f t="shared" si="5"/>
        <v>1.0357610746983159E-2</v>
      </c>
      <c r="D372" s="66">
        <f>(Table18[[#This Row],[Index]]-B360)/B360</f>
        <v>2.5977882269284616E-2</v>
      </c>
    </row>
    <row r="373" spans="1:4" x14ac:dyDescent="0.35">
      <c r="A373" s="17">
        <v>37438</v>
      </c>
      <c r="B373" s="58">
        <f>VLOOKUP(Table18[[#This Row],[Date]],database!A:G,5,)</f>
        <v>105.11190000000001</v>
      </c>
      <c r="C373" s="66">
        <f t="shared" si="5"/>
        <v>6.9402793248229955E-4</v>
      </c>
      <c r="D373" s="66">
        <f>(Table18[[#This Row],[Index]]-B361)/B361</f>
        <v>3.1834022126456585E-2</v>
      </c>
    </row>
    <row r="374" spans="1:4" x14ac:dyDescent="0.35">
      <c r="A374" s="17">
        <v>37469</v>
      </c>
      <c r="B374" s="58">
        <f>VLOOKUP(Table18[[#This Row],[Date]],database!A:G,5,)</f>
        <v>104.3943</v>
      </c>
      <c r="C374" s="66">
        <f t="shared" si="5"/>
        <v>-6.827010072123163E-3</v>
      </c>
      <c r="D374" s="66">
        <f>(Table18[[#This Row],[Index]]-B362)/B362</f>
        <v>2.2691471227884542E-2</v>
      </c>
    </row>
    <row r="375" spans="1:4" x14ac:dyDescent="0.35">
      <c r="A375" s="17">
        <v>37500</v>
      </c>
      <c r="B375" s="58">
        <f>VLOOKUP(Table18[[#This Row],[Date]],database!A:G,5,)</f>
        <v>104.5303</v>
      </c>
      <c r="C375" s="66">
        <f t="shared" si="5"/>
        <v>1.3027531196625475E-3</v>
      </c>
      <c r="D375" s="66">
        <f>(Table18[[#This Row],[Index]]-B363)/B363</f>
        <v>2.959954769850243E-2</v>
      </c>
    </row>
    <row r="376" spans="1:4" x14ac:dyDescent="0.35">
      <c r="A376" s="17">
        <v>37530</v>
      </c>
      <c r="B376" s="58">
        <f>VLOOKUP(Table18[[#This Row],[Date]],database!A:G,5,)</f>
        <v>104.374</v>
      </c>
      <c r="C376" s="66">
        <f t="shared" si="5"/>
        <v>-1.4952602259823422E-3</v>
      </c>
      <c r="D376" s="66">
        <f>(Table18[[#This Row],[Index]]-B364)/B364</f>
        <v>2.2757115028083853E-2</v>
      </c>
    </row>
    <row r="377" spans="1:4" x14ac:dyDescent="0.35">
      <c r="A377" s="17">
        <v>37561</v>
      </c>
      <c r="B377" s="58">
        <f>VLOOKUP(Table18[[#This Row],[Date]],database!A:G,5,)</f>
        <v>105.1564</v>
      </c>
      <c r="C377" s="66">
        <f t="shared" si="5"/>
        <v>7.4961197233027743E-3</v>
      </c>
      <c r="D377" s="66">
        <f>(Table18[[#This Row],[Index]]-B365)/B365</f>
        <v>3.1911250239194604E-2</v>
      </c>
    </row>
    <row r="378" spans="1:4" x14ac:dyDescent="0.35">
      <c r="A378" s="17">
        <v>37591</v>
      </c>
      <c r="B378" s="58">
        <f>VLOOKUP(Table18[[#This Row],[Date]],database!A:G,5,)</f>
        <v>104.2045</v>
      </c>
      <c r="C378" s="66">
        <f t="shared" si="5"/>
        <v>-9.0522307724495432E-3</v>
      </c>
      <c r="D378" s="66">
        <f>(Table18[[#This Row],[Index]]-B366)/B366</f>
        <v>1.683858823621253E-2</v>
      </c>
    </row>
    <row r="379" spans="1:4" x14ac:dyDescent="0.35">
      <c r="A379" s="17">
        <v>37622</v>
      </c>
      <c r="B379" s="58">
        <f>VLOOKUP(Table18[[#This Row],[Date]],database!A:G,5,)</f>
        <v>105.50230000000001</v>
      </c>
      <c r="C379" s="66">
        <f t="shared" si="5"/>
        <v>1.2454356577691117E-2</v>
      </c>
      <c r="D379" s="66">
        <f>(Table18[[#This Row],[Index]]-B367)/B367</f>
        <v>1.9084968582923276E-2</v>
      </c>
    </row>
    <row r="380" spans="1:4" x14ac:dyDescent="0.35">
      <c r="A380" s="17">
        <v>37653</v>
      </c>
      <c r="B380" s="58">
        <f>VLOOKUP(Table18[[#This Row],[Date]],database!A:G,5,)</f>
        <v>105.9067</v>
      </c>
      <c r="C380" s="66">
        <f t="shared" si="5"/>
        <v>3.8330917904159101E-3</v>
      </c>
      <c r="D380" s="66">
        <f>(Table18[[#This Row],[Index]]-B368)/B368</f>
        <v>2.9620872662718949E-2</v>
      </c>
    </row>
    <row r="381" spans="1:4" x14ac:dyDescent="0.35">
      <c r="A381" s="17">
        <v>37681</v>
      </c>
      <c r="B381" s="58">
        <f>VLOOKUP(Table18[[#This Row],[Date]],database!A:G,5,)</f>
        <v>105.8917</v>
      </c>
      <c r="C381" s="66">
        <f t="shared" si="5"/>
        <v>-1.4163409869250021E-4</v>
      </c>
      <c r="D381" s="66">
        <f>(Table18[[#This Row],[Index]]-B369)/B369</f>
        <v>2.1074941589742491E-2</v>
      </c>
    </row>
    <row r="382" spans="1:4" x14ac:dyDescent="0.35">
      <c r="A382" s="17">
        <v>37712</v>
      </c>
      <c r="B382" s="58">
        <f>VLOOKUP(Table18[[#This Row],[Date]],database!A:G,5,)</f>
        <v>105.06010000000001</v>
      </c>
      <c r="C382" s="66">
        <f t="shared" si="5"/>
        <v>-7.8533067275338153E-3</v>
      </c>
      <c r="D382" s="66">
        <f>(Table18[[#This Row],[Index]]-B370)/B370</f>
        <v>1.4095587057117906E-2</v>
      </c>
    </row>
    <row r="383" spans="1:4" x14ac:dyDescent="0.35">
      <c r="A383" s="17">
        <v>37742</v>
      </c>
      <c r="B383" s="58">
        <f>VLOOKUP(Table18[[#This Row],[Date]],database!A:G,5,)</f>
        <v>104.768</v>
      </c>
      <c r="C383" s="66">
        <f t="shared" si="5"/>
        <v>-2.7803133634939359E-3</v>
      </c>
      <c r="D383" s="66">
        <f>(Table18[[#This Row],[Index]]-B371)/B371</f>
        <v>7.7508940749619094E-3</v>
      </c>
    </row>
    <row r="384" spans="1:4" x14ac:dyDescent="0.35">
      <c r="A384" s="17">
        <v>37773</v>
      </c>
      <c r="B384" s="58">
        <f>VLOOKUP(Table18[[#This Row],[Date]],database!A:G,5,)</f>
        <v>104.9701</v>
      </c>
      <c r="C384" s="66">
        <f t="shared" si="5"/>
        <v>1.9290241295051302E-3</v>
      </c>
      <c r="D384" s="66">
        <f>(Table18[[#This Row],[Index]]-B372)/B372</f>
        <v>-6.5594683879320343E-4</v>
      </c>
    </row>
    <row r="385" spans="1:4" x14ac:dyDescent="0.35">
      <c r="A385" s="17">
        <v>37803</v>
      </c>
      <c r="B385" s="58">
        <f>VLOOKUP(Table18[[#This Row],[Date]],database!A:G,5,)</f>
        <v>106.021</v>
      </c>
      <c r="C385" s="66">
        <f t="shared" si="5"/>
        <v>1.001142230025498E-2</v>
      </c>
      <c r="D385" s="66">
        <f>(Table18[[#This Row],[Index]]-B373)/B373</f>
        <v>8.6488780052495964E-3</v>
      </c>
    </row>
    <row r="386" spans="1:4" x14ac:dyDescent="0.35">
      <c r="A386" s="17">
        <v>37834</v>
      </c>
      <c r="B386" s="58">
        <f>VLOOKUP(Table18[[#This Row],[Date]],database!A:G,5,)</f>
        <v>105.12690000000001</v>
      </c>
      <c r="C386" s="66">
        <f t="shared" si="5"/>
        <v>-8.4332349251562411E-3</v>
      </c>
      <c r="D386" s="66">
        <f>(Table18[[#This Row],[Index]]-B374)/B374</f>
        <v>7.0176245254770135E-3</v>
      </c>
    </row>
    <row r="387" spans="1:4" x14ac:dyDescent="0.35">
      <c r="A387" s="17">
        <v>37865</v>
      </c>
      <c r="B387" s="58">
        <f>VLOOKUP(Table18[[#This Row],[Date]],database!A:G,5,)</f>
        <v>106.0009</v>
      </c>
      <c r="C387" s="66">
        <f t="shared" si="5"/>
        <v>8.3137617488957538E-3</v>
      </c>
      <c r="D387" s="66">
        <f>(Table18[[#This Row],[Index]]-B375)/B375</f>
        <v>1.406864803793737E-2</v>
      </c>
    </row>
    <row r="388" spans="1:4" x14ac:dyDescent="0.35">
      <c r="A388" s="17">
        <v>37895</v>
      </c>
      <c r="B388" s="58">
        <f>VLOOKUP(Table18[[#This Row],[Date]],database!A:G,5,)</f>
        <v>105.3013</v>
      </c>
      <c r="C388" s="66">
        <f t="shared" si="5"/>
        <v>-6.5999439627399958E-3</v>
      </c>
      <c r="D388" s="66">
        <f>(Table18[[#This Row],[Index]]-B376)/B376</f>
        <v>8.884396497211974E-3</v>
      </c>
    </row>
    <row r="389" spans="1:4" x14ac:dyDescent="0.35">
      <c r="A389" s="17">
        <v>37926</v>
      </c>
      <c r="B389" s="58">
        <f>VLOOKUP(Table18[[#This Row],[Date]],database!A:G,5,)</f>
        <v>105.99550000000001</v>
      </c>
      <c r="C389" s="66">
        <f t="shared" si="5"/>
        <v>6.5925112035654099E-3</v>
      </c>
      <c r="D389" s="66">
        <f>(Table18[[#This Row],[Index]]-B377)/B377</f>
        <v>7.9795428523608825E-3</v>
      </c>
    </row>
    <row r="390" spans="1:4" x14ac:dyDescent="0.35">
      <c r="A390" s="17">
        <v>37956</v>
      </c>
      <c r="B390" s="58">
        <f>VLOOKUP(Table18[[#This Row],[Date]],database!A:G,5,)</f>
        <v>106.17910000000001</v>
      </c>
      <c r="C390" s="66">
        <f t="shared" si="5"/>
        <v>1.7321490063257894E-3</v>
      </c>
      <c r="D390" s="66">
        <f>(Table18[[#This Row],[Index]]-B378)/B378</f>
        <v>1.8949277622367647E-2</v>
      </c>
    </row>
    <row r="391" spans="1:4" x14ac:dyDescent="0.35">
      <c r="A391" s="17">
        <v>37987</v>
      </c>
      <c r="B391" s="58">
        <f>VLOOKUP(Table18[[#This Row],[Date]],database!A:G,5,)</f>
        <v>106.5091</v>
      </c>
      <c r="C391" s="66">
        <f t="shared" si="5"/>
        <v>3.1079562738807187E-3</v>
      </c>
      <c r="D391" s="66">
        <f>(Table18[[#This Row],[Index]]-B379)/B379</f>
        <v>9.5429199173856713E-3</v>
      </c>
    </row>
    <row r="392" spans="1:4" x14ac:dyDescent="0.35">
      <c r="A392" s="17">
        <v>38018</v>
      </c>
      <c r="B392" s="58">
        <f>VLOOKUP(Table18[[#This Row],[Date]],database!A:G,5,)</f>
        <v>107.0544</v>
      </c>
      <c r="C392" s="66">
        <f t="shared" ref="C392:C455" si="6">B392/B391-1</f>
        <v>5.1197503311923853E-3</v>
      </c>
      <c r="D392" s="66">
        <f>(Table18[[#This Row],[Index]]-B380)/B380</f>
        <v>1.0836897004627661E-2</v>
      </c>
    </row>
    <row r="393" spans="1:4" x14ac:dyDescent="0.35">
      <c r="A393" s="17">
        <v>38047</v>
      </c>
      <c r="B393" s="58">
        <f>VLOOKUP(Table18[[#This Row],[Date]],database!A:G,5,)</f>
        <v>106.03919999999999</v>
      </c>
      <c r="C393" s="66">
        <f t="shared" si="6"/>
        <v>-9.4830291888984286E-3</v>
      </c>
      <c r="D393" s="66">
        <f>(Table18[[#This Row],[Index]]-B381)/B381</f>
        <v>1.3929325905618075E-3</v>
      </c>
    </row>
    <row r="394" spans="1:4" x14ac:dyDescent="0.35">
      <c r="A394" s="17">
        <v>38078</v>
      </c>
      <c r="B394" s="58">
        <f>VLOOKUP(Table18[[#This Row],[Date]],database!A:G,5,)</f>
        <v>106.6913</v>
      </c>
      <c r="C394" s="66">
        <f t="shared" si="6"/>
        <v>6.1496125960964765E-3</v>
      </c>
      <c r="D394" s="66">
        <f>(Table18[[#This Row],[Index]]-B382)/B382</f>
        <v>1.5526351107604053E-2</v>
      </c>
    </row>
    <row r="395" spans="1:4" x14ac:dyDescent="0.35">
      <c r="A395" s="17">
        <v>38108</v>
      </c>
      <c r="B395" s="58">
        <f>VLOOKUP(Table18[[#This Row],[Date]],database!A:G,5,)</f>
        <v>107.1279</v>
      </c>
      <c r="C395" s="66">
        <f t="shared" si="6"/>
        <v>4.0921799621900234E-3</v>
      </c>
      <c r="D395" s="66">
        <f>(Table18[[#This Row],[Index]]-B383)/B383</f>
        <v>2.2525007635919327E-2</v>
      </c>
    </row>
    <row r="396" spans="1:4" x14ac:dyDescent="0.35">
      <c r="A396" s="17">
        <v>38139</v>
      </c>
      <c r="B396" s="58">
        <f>VLOOKUP(Table18[[#This Row],[Date]],database!A:G,5,)</f>
        <v>105.65940000000001</v>
      </c>
      <c r="C396" s="66">
        <f t="shared" si="6"/>
        <v>-1.3707913624741885E-2</v>
      </c>
      <c r="D396" s="66">
        <f>(Table18[[#This Row],[Index]]-B384)/B384</f>
        <v>6.566631831350098E-3</v>
      </c>
    </row>
    <row r="397" spans="1:4" x14ac:dyDescent="0.35">
      <c r="A397" s="17">
        <v>38169</v>
      </c>
      <c r="B397" s="58">
        <f>VLOOKUP(Table18[[#This Row],[Date]],database!A:G,5,)</f>
        <v>106.00190000000001</v>
      </c>
      <c r="C397" s="66">
        <f t="shared" si="6"/>
        <v>3.2415478414604681E-3</v>
      </c>
      <c r="D397" s="66">
        <f>(Table18[[#This Row],[Index]]-B385)/B385</f>
        <v>-1.8015298855881916E-4</v>
      </c>
    </row>
    <row r="398" spans="1:4" x14ac:dyDescent="0.35">
      <c r="A398" s="17">
        <v>38200</v>
      </c>
      <c r="B398" s="58">
        <f>VLOOKUP(Table18[[#This Row],[Date]],database!A:G,5,)</f>
        <v>106.4401</v>
      </c>
      <c r="C398" s="66">
        <f t="shared" si="6"/>
        <v>4.1338881661554527E-3</v>
      </c>
      <c r="D398" s="66">
        <f>(Table18[[#This Row],[Index]]-B386)/B386</f>
        <v>1.2491569712414184E-2</v>
      </c>
    </row>
    <row r="399" spans="1:4" x14ac:dyDescent="0.35">
      <c r="A399" s="17">
        <v>38231</v>
      </c>
      <c r="B399" s="58">
        <f>VLOOKUP(Table18[[#This Row],[Date]],database!A:G,5,)</f>
        <v>106.3818</v>
      </c>
      <c r="C399" s="66">
        <f t="shared" si="6"/>
        <v>-5.4772590405305355E-4</v>
      </c>
      <c r="D399" s="66">
        <f>(Table18[[#This Row],[Index]]-B387)/B387</f>
        <v>3.5933657167061496E-3</v>
      </c>
    </row>
    <row r="400" spans="1:4" x14ac:dyDescent="0.35">
      <c r="A400" s="17">
        <v>38261</v>
      </c>
      <c r="B400" s="58">
        <f>VLOOKUP(Table18[[#This Row],[Date]],database!A:G,5,)</f>
        <v>107.4329</v>
      </c>
      <c r="C400" s="66">
        <f t="shared" si="6"/>
        <v>9.8804494753801375E-3</v>
      </c>
      <c r="D400" s="66">
        <f>(Table18[[#This Row],[Index]]-B388)/B388</f>
        <v>2.0242864997868079E-2</v>
      </c>
    </row>
    <row r="401" spans="1:4" x14ac:dyDescent="0.35">
      <c r="A401" s="17">
        <v>38292</v>
      </c>
      <c r="B401" s="58">
        <f>VLOOKUP(Table18[[#This Row],[Date]],database!A:G,5,)</f>
        <v>107.2585</v>
      </c>
      <c r="C401" s="66">
        <f t="shared" si="6"/>
        <v>-1.6233388468523957E-3</v>
      </c>
      <c r="D401" s="66">
        <f>(Table18[[#This Row],[Index]]-B389)/B389</f>
        <v>1.1915600190574043E-2</v>
      </c>
    </row>
    <row r="402" spans="1:4" x14ac:dyDescent="0.35">
      <c r="A402" s="17">
        <v>38322</v>
      </c>
      <c r="B402" s="58">
        <f>VLOOKUP(Table18[[#This Row],[Date]],database!A:G,5,)</f>
        <v>108.0454</v>
      </c>
      <c r="C402" s="66">
        <f t="shared" si="6"/>
        <v>7.3364814909775422E-3</v>
      </c>
      <c r="D402" s="66">
        <f>(Table18[[#This Row],[Index]]-B390)/B390</f>
        <v>1.7576905436192201E-2</v>
      </c>
    </row>
    <row r="403" spans="1:4" x14ac:dyDescent="0.35">
      <c r="A403" s="17">
        <v>38353</v>
      </c>
      <c r="B403" s="58">
        <f>VLOOKUP(Table18[[#This Row],[Date]],database!A:G,5,)</f>
        <v>108.313</v>
      </c>
      <c r="C403" s="66">
        <f t="shared" si="6"/>
        <v>2.4767366310829431E-3</v>
      </c>
      <c r="D403" s="66">
        <f>(Table18[[#This Row],[Index]]-B391)/B391</f>
        <v>1.6936581005754424E-2</v>
      </c>
    </row>
    <row r="404" spans="1:4" x14ac:dyDescent="0.35">
      <c r="A404" s="17">
        <v>38384</v>
      </c>
      <c r="B404" s="58">
        <f>VLOOKUP(Table18[[#This Row],[Date]],database!A:G,5,)</f>
        <v>108.99930000000001</v>
      </c>
      <c r="C404" s="66">
        <f t="shared" si="6"/>
        <v>6.336266191500517E-3</v>
      </c>
      <c r="D404" s="66">
        <f>(Table18[[#This Row],[Index]]-B392)/B392</f>
        <v>1.8167399004618251E-2</v>
      </c>
    </row>
    <row r="405" spans="1:4" x14ac:dyDescent="0.35">
      <c r="A405" s="17">
        <v>38412</v>
      </c>
      <c r="B405" s="58">
        <f>VLOOKUP(Table18[[#This Row],[Date]],database!A:G,5,)</f>
        <v>108.4769</v>
      </c>
      <c r="C405" s="66">
        <f t="shared" si="6"/>
        <v>-4.7926913292104523E-3</v>
      </c>
      <c r="D405" s="66">
        <f>(Table18[[#This Row],[Index]]-B393)/B393</f>
        <v>2.2988668341519049E-2</v>
      </c>
    </row>
    <row r="406" spans="1:4" x14ac:dyDescent="0.35">
      <c r="A406" s="17">
        <v>38443</v>
      </c>
      <c r="B406" s="58">
        <f>VLOOKUP(Table18[[#This Row],[Date]],database!A:G,5,)</f>
        <v>108.4438</v>
      </c>
      <c r="C406" s="66">
        <f t="shared" si="6"/>
        <v>-3.0513408845578294E-4</v>
      </c>
      <c r="D406" s="66">
        <f>(Table18[[#This Row],[Index]]-B394)/B394</f>
        <v>1.6425894145070851E-2</v>
      </c>
    </row>
    <row r="407" spans="1:4" x14ac:dyDescent="0.35">
      <c r="A407" s="17">
        <v>38473</v>
      </c>
      <c r="B407" s="58">
        <f>VLOOKUP(Table18[[#This Row],[Date]],database!A:G,5,)</f>
        <v>109.01649999999999</v>
      </c>
      <c r="C407" s="66">
        <f t="shared" si="6"/>
        <v>5.2810764654134257E-3</v>
      </c>
      <c r="D407" s="66">
        <f>(Table18[[#This Row],[Index]]-B395)/B395</f>
        <v>1.7629394396791096E-2</v>
      </c>
    </row>
    <row r="408" spans="1:4" x14ac:dyDescent="0.35">
      <c r="A408" s="17">
        <v>38504</v>
      </c>
      <c r="B408" s="58">
        <f>VLOOKUP(Table18[[#This Row],[Date]],database!A:G,5,)</f>
        <v>109.98520000000001</v>
      </c>
      <c r="C408" s="66">
        <f t="shared" si="6"/>
        <v>8.8858108634932709E-3</v>
      </c>
      <c r="D408" s="66">
        <f>(Table18[[#This Row],[Index]]-B396)/B396</f>
        <v>4.0940985846976231E-2</v>
      </c>
    </row>
    <row r="409" spans="1:4" x14ac:dyDescent="0.35">
      <c r="A409" s="17">
        <v>38534</v>
      </c>
      <c r="B409" s="58">
        <f>VLOOKUP(Table18[[#This Row],[Date]],database!A:G,5,)</f>
        <v>109.5509</v>
      </c>
      <c r="C409" s="66">
        <f t="shared" si="6"/>
        <v>-3.9487130995807806E-3</v>
      </c>
      <c r="D409" s="66">
        <f>(Table18[[#This Row],[Index]]-B397)/B397</f>
        <v>3.3480531952729077E-2</v>
      </c>
    </row>
    <row r="410" spans="1:4" x14ac:dyDescent="0.35">
      <c r="A410" s="17">
        <v>38565</v>
      </c>
      <c r="B410" s="58">
        <f>VLOOKUP(Table18[[#This Row],[Date]],database!A:G,5,)</f>
        <v>110.0682</v>
      </c>
      <c r="C410" s="66">
        <f t="shared" si="6"/>
        <v>4.7220059351407162E-3</v>
      </c>
      <c r="D410" s="66">
        <f>(Table18[[#This Row],[Index]]-B398)/B398</f>
        <v>3.4085837950171068E-2</v>
      </c>
    </row>
    <row r="411" spans="1:4" x14ac:dyDescent="0.35">
      <c r="A411" s="17">
        <v>38596</v>
      </c>
      <c r="B411" s="58">
        <f>VLOOKUP(Table18[[#This Row],[Date]],database!A:G,5,)</f>
        <v>110.193</v>
      </c>
      <c r="C411" s="66">
        <f t="shared" si="6"/>
        <v>1.1338424722127094E-3</v>
      </c>
      <c r="D411" s="66">
        <f>(Table18[[#This Row],[Index]]-B399)/B399</f>
        <v>3.5825676948500584E-2</v>
      </c>
    </row>
    <row r="412" spans="1:4" x14ac:dyDescent="0.35">
      <c r="A412" s="17">
        <v>38626</v>
      </c>
      <c r="B412" s="58">
        <f>VLOOKUP(Table18[[#This Row],[Date]],database!A:G,5,)</f>
        <v>110.14409999999999</v>
      </c>
      <c r="C412" s="66">
        <f t="shared" si="6"/>
        <v>-4.4376684544389366E-4</v>
      </c>
      <c r="D412" s="66">
        <f>(Table18[[#This Row],[Index]]-B400)/B400</f>
        <v>2.5236217210928783E-2</v>
      </c>
    </row>
    <row r="413" spans="1:4" x14ac:dyDescent="0.35">
      <c r="A413" s="17">
        <v>38657</v>
      </c>
      <c r="B413" s="58">
        <f>VLOOKUP(Table18[[#This Row],[Date]],database!A:G,5,)</f>
        <v>110.039</v>
      </c>
      <c r="C413" s="66">
        <f t="shared" si="6"/>
        <v>-9.5420453751038359E-4</v>
      </c>
      <c r="D413" s="66">
        <f>(Table18[[#This Row],[Index]]-B401)/B401</f>
        <v>2.5923353393903548E-2</v>
      </c>
    </row>
    <row r="414" spans="1:4" x14ac:dyDescent="0.35">
      <c r="A414" s="17">
        <v>38687</v>
      </c>
      <c r="B414" s="58">
        <f>VLOOKUP(Table18[[#This Row],[Date]],database!A:G,5,)</f>
        <v>110.8018</v>
      </c>
      <c r="C414" s="66">
        <f t="shared" si="6"/>
        <v>6.9320877143557169E-3</v>
      </c>
      <c r="D414" s="66">
        <f>(Table18[[#This Row],[Index]]-B402)/B402</f>
        <v>2.5511497944382632E-2</v>
      </c>
    </row>
    <row r="415" spans="1:4" x14ac:dyDescent="0.35">
      <c r="A415" s="17">
        <v>38718</v>
      </c>
      <c r="B415" s="58">
        <f>VLOOKUP(Table18[[#This Row],[Date]],database!A:G,5,)</f>
        <v>109.9032</v>
      </c>
      <c r="C415" s="66">
        <f t="shared" si="6"/>
        <v>-8.1099765527274936E-3</v>
      </c>
      <c r="D415" s="66">
        <f>(Table18[[#This Row],[Index]]-B403)/B403</f>
        <v>1.4681524840046862E-2</v>
      </c>
    </row>
    <row r="416" spans="1:4" x14ac:dyDescent="0.35">
      <c r="A416" s="17">
        <v>38749</v>
      </c>
      <c r="B416" s="58">
        <f>VLOOKUP(Table18[[#This Row],[Date]],database!A:G,5,)</f>
        <v>109.37739999999999</v>
      </c>
      <c r="C416" s="66">
        <f t="shared" si="6"/>
        <v>-4.7842101048923835E-3</v>
      </c>
      <c r="D416" s="66">
        <f>(Table18[[#This Row],[Index]]-B404)/B404</f>
        <v>3.4688296163368866E-3</v>
      </c>
    </row>
    <row r="417" spans="1:4" x14ac:dyDescent="0.35">
      <c r="A417" s="17">
        <v>38777</v>
      </c>
      <c r="B417" s="58">
        <f>VLOOKUP(Table18[[#This Row],[Date]],database!A:G,5,)</f>
        <v>109.9837</v>
      </c>
      <c r="C417" s="66">
        <f t="shared" si="6"/>
        <v>5.5431926522298003E-3</v>
      </c>
      <c r="D417" s="66">
        <f>(Table18[[#This Row],[Index]]-B405)/B405</f>
        <v>1.3890514939125274E-2</v>
      </c>
    </row>
    <row r="418" spans="1:4" x14ac:dyDescent="0.35">
      <c r="A418" s="17">
        <v>38808</v>
      </c>
      <c r="B418" s="58">
        <f>VLOOKUP(Table18[[#This Row],[Date]],database!A:G,5,)</f>
        <v>110.29689999999999</v>
      </c>
      <c r="C418" s="66">
        <f t="shared" si="6"/>
        <v>2.8476947038515998E-3</v>
      </c>
      <c r="D418" s="66">
        <f>(Table18[[#This Row],[Index]]-B406)/B406</f>
        <v>1.708811384329946E-2</v>
      </c>
    </row>
    <row r="419" spans="1:4" x14ac:dyDescent="0.35">
      <c r="A419" s="17">
        <v>38838</v>
      </c>
      <c r="B419" s="58">
        <f>VLOOKUP(Table18[[#This Row],[Date]],database!A:G,5,)</f>
        <v>110.1178</v>
      </c>
      <c r="C419" s="66">
        <f t="shared" si="6"/>
        <v>-1.6237990369628585E-3</v>
      </c>
      <c r="D419" s="66">
        <f>(Table18[[#This Row],[Index]]-B407)/B407</f>
        <v>1.0102140501667262E-2</v>
      </c>
    </row>
    <row r="420" spans="1:4" x14ac:dyDescent="0.35">
      <c r="A420" s="17">
        <v>38869</v>
      </c>
      <c r="B420" s="58">
        <f>VLOOKUP(Table18[[#This Row],[Date]],database!A:G,5,)</f>
        <v>110.63509999999999</v>
      </c>
      <c r="C420" s="66">
        <f t="shared" si="6"/>
        <v>4.697696466874568E-3</v>
      </c>
      <c r="D420" s="66">
        <f>(Table18[[#This Row],[Index]]-B408)/B408</f>
        <v>5.908976844157106E-3</v>
      </c>
    </row>
    <row r="421" spans="1:4" x14ac:dyDescent="0.35">
      <c r="A421" s="17">
        <v>38899</v>
      </c>
      <c r="B421" s="58">
        <f>VLOOKUP(Table18[[#This Row],[Date]],database!A:G,5,)</f>
        <v>109.6644</v>
      </c>
      <c r="C421" s="66">
        <f t="shared" si="6"/>
        <v>-8.7738882144996477E-3</v>
      </c>
      <c r="D421" s="66">
        <f>(Table18[[#This Row],[Index]]-B409)/B409</f>
        <v>1.0360480835849082E-3</v>
      </c>
    </row>
    <row r="422" spans="1:4" x14ac:dyDescent="0.35">
      <c r="A422" s="17">
        <v>38930</v>
      </c>
      <c r="B422" s="58">
        <f>VLOOKUP(Table18[[#This Row],[Date]],database!A:G,5,)</f>
        <v>110.6915</v>
      </c>
      <c r="C422" s="66">
        <f t="shared" si="6"/>
        <v>9.3658470752586709E-3</v>
      </c>
      <c r="D422" s="66">
        <f>(Table18[[#This Row],[Index]]-B410)/B410</f>
        <v>5.6628526677096596E-3</v>
      </c>
    </row>
    <row r="423" spans="1:4" x14ac:dyDescent="0.35">
      <c r="A423" s="17">
        <v>38961</v>
      </c>
      <c r="B423" s="58">
        <f>VLOOKUP(Table18[[#This Row],[Date]],database!A:G,5,)</f>
        <v>110.1818</v>
      </c>
      <c r="C423" s="66">
        <f t="shared" si="6"/>
        <v>-4.6046896103134616E-3</v>
      </c>
      <c r="D423" s="66">
        <f>(Table18[[#This Row],[Index]]-B411)/B411</f>
        <v>-1.0163985008124218E-4</v>
      </c>
    </row>
    <row r="424" spans="1:4" x14ac:dyDescent="0.35">
      <c r="A424" s="17">
        <v>38991</v>
      </c>
      <c r="B424" s="58">
        <f>VLOOKUP(Table18[[#This Row],[Date]],database!A:G,5,)</f>
        <v>110.04949999999999</v>
      </c>
      <c r="C424" s="66">
        <f t="shared" si="6"/>
        <v>-1.2007427723997877E-3</v>
      </c>
      <c r="D424" s="66">
        <f>(Table18[[#This Row],[Index]]-B412)/B412</f>
        <v>-8.5887487391516932E-4</v>
      </c>
    </row>
    <row r="425" spans="1:4" x14ac:dyDescent="0.35">
      <c r="A425" s="17">
        <v>39022</v>
      </c>
      <c r="B425" s="58">
        <f>VLOOKUP(Table18[[#This Row],[Date]],database!A:G,5,)</f>
        <v>110.20399999999999</v>
      </c>
      <c r="C425" s="66">
        <f t="shared" si="6"/>
        <v>1.4039136933834406E-3</v>
      </c>
      <c r="D425" s="66">
        <f>(Table18[[#This Row],[Index]]-B413)/B413</f>
        <v>1.4994683703050014E-3</v>
      </c>
    </row>
    <row r="426" spans="1:4" x14ac:dyDescent="0.35">
      <c r="A426" s="17">
        <v>39052</v>
      </c>
      <c r="B426" s="58">
        <f>VLOOKUP(Table18[[#This Row],[Date]],database!A:G,5,)</f>
        <v>110.76</v>
      </c>
      <c r="C426" s="66">
        <f t="shared" si="6"/>
        <v>5.0451889223621649E-3</v>
      </c>
      <c r="D426" s="66">
        <f>(Table18[[#This Row],[Index]]-B414)/B414</f>
        <v>-3.7725018907630521E-4</v>
      </c>
    </row>
    <row r="427" spans="1:4" x14ac:dyDescent="0.35">
      <c r="A427" s="17">
        <v>39083</v>
      </c>
      <c r="B427" s="58">
        <f>VLOOKUP(Table18[[#This Row],[Date]],database!A:G,5,)</f>
        <v>110.0997</v>
      </c>
      <c r="C427" s="66">
        <f t="shared" si="6"/>
        <v>-5.9615384615385736E-3</v>
      </c>
      <c r="D427" s="66">
        <f>(Table18[[#This Row],[Index]]-B415)/B415</f>
        <v>1.7879370209420685E-3</v>
      </c>
    </row>
    <row r="428" spans="1:4" x14ac:dyDescent="0.35">
      <c r="A428" s="17">
        <v>39114</v>
      </c>
      <c r="B428" s="58">
        <f>VLOOKUP(Table18[[#This Row],[Date]],database!A:G,5,)</f>
        <v>111.3505</v>
      </c>
      <c r="C428" s="66">
        <f t="shared" si="6"/>
        <v>1.1360612245083335E-2</v>
      </c>
      <c r="D428" s="66">
        <f>(Table18[[#This Row],[Index]]-B416)/B416</f>
        <v>1.8039375593129865E-2</v>
      </c>
    </row>
    <row r="429" spans="1:4" x14ac:dyDescent="0.35">
      <c r="A429" s="17">
        <v>39142</v>
      </c>
      <c r="B429" s="58">
        <f>VLOOKUP(Table18[[#This Row],[Date]],database!A:G,5,)</f>
        <v>110.47450000000001</v>
      </c>
      <c r="C429" s="66">
        <f t="shared" si="6"/>
        <v>-7.8670504398272723E-3</v>
      </c>
      <c r="D429" s="66">
        <f>(Table18[[#This Row],[Index]]-B417)/B417</f>
        <v>4.462479440135286E-3</v>
      </c>
    </row>
    <row r="430" spans="1:4" x14ac:dyDescent="0.35">
      <c r="A430" s="17">
        <v>39173</v>
      </c>
      <c r="B430" s="58">
        <f>VLOOKUP(Table18[[#This Row],[Date]],database!A:G,5,)</f>
        <v>111.0609</v>
      </c>
      <c r="C430" s="66">
        <f t="shared" si="6"/>
        <v>5.3080122562219056E-3</v>
      </c>
      <c r="D430" s="66">
        <f>(Table18[[#This Row],[Index]]-B418)/B418</f>
        <v>6.9267585943032853E-3</v>
      </c>
    </row>
    <row r="431" spans="1:4" x14ac:dyDescent="0.35">
      <c r="A431" s="17">
        <v>39203</v>
      </c>
      <c r="B431" s="58">
        <f>VLOOKUP(Table18[[#This Row],[Date]],database!A:G,5,)</f>
        <v>110.6503</v>
      </c>
      <c r="C431" s="66">
        <f t="shared" si="6"/>
        <v>-3.6970707062521369E-3</v>
      </c>
      <c r="D431" s="66">
        <f>(Table18[[#This Row],[Index]]-B419)/B419</f>
        <v>4.8357304631948591E-3</v>
      </c>
    </row>
    <row r="432" spans="1:4" x14ac:dyDescent="0.35">
      <c r="A432" s="17">
        <v>39234</v>
      </c>
      <c r="B432" s="58">
        <f>VLOOKUP(Table18[[#This Row],[Date]],database!A:G,5,)</f>
        <v>110.7778</v>
      </c>
      <c r="C432" s="66">
        <f t="shared" si="6"/>
        <v>1.1522788460582856E-3</v>
      </c>
      <c r="D432" s="66">
        <f>(Table18[[#This Row],[Index]]-B420)/B420</f>
        <v>1.2898257424633316E-3</v>
      </c>
    </row>
    <row r="433" spans="1:4" x14ac:dyDescent="0.35">
      <c r="A433" s="17">
        <v>39264</v>
      </c>
      <c r="B433" s="58">
        <f>VLOOKUP(Table18[[#This Row],[Date]],database!A:G,5,)</f>
        <v>110.4575</v>
      </c>
      <c r="C433" s="66">
        <f t="shared" si="6"/>
        <v>-2.8913735423523601E-3</v>
      </c>
      <c r="D433" s="66">
        <f>(Table18[[#This Row],[Index]]-B421)/B421</f>
        <v>7.2320643709352849E-3</v>
      </c>
    </row>
    <row r="434" spans="1:4" x14ac:dyDescent="0.35">
      <c r="A434" s="17">
        <v>39295</v>
      </c>
      <c r="B434" s="58">
        <f>VLOOKUP(Table18[[#This Row],[Date]],database!A:G,5,)</f>
        <v>110.2414</v>
      </c>
      <c r="C434" s="66">
        <f t="shared" si="6"/>
        <v>-1.9564085734331549E-3</v>
      </c>
      <c r="D434" s="66">
        <f>(Table18[[#This Row],[Index]]-B422)/B422</f>
        <v>-4.066256216602053E-3</v>
      </c>
    </row>
    <row r="435" spans="1:4" x14ac:dyDescent="0.35">
      <c r="A435" s="17">
        <v>39326</v>
      </c>
      <c r="B435" s="58">
        <f>VLOOKUP(Table18[[#This Row],[Date]],database!A:G,5,)</f>
        <v>110.1271</v>
      </c>
      <c r="C435" s="66">
        <f t="shared" si="6"/>
        <v>-1.0368155701940829E-3</v>
      </c>
      <c r="D435" s="66">
        <f>(Table18[[#This Row],[Index]]-B423)/B423</f>
        <v>-4.9645222713730276E-4</v>
      </c>
    </row>
    <row r="436" spans="1:4" x14ac:dyDescent="0.35">
      <c r="A436" s="17">
        <v>39356</v>
      </c>
      <c r="B436" s="58">
        <f>VLOOKUP(Table18[[#This Row],[Date]],database!A:G,5,)</f>
        <v>109.1465</v>
      </c>
      <c r="C436" s="66">
        <f t="shared" si="6"/>
        <v>-8.9042569903320379E-3</v>
      </c>
      <c r="D436" s="66">
        <f>(Table18[[#This Row],[Index]]-B424)/B424</f>
        <v>-8.2053984797749342E-3</v>
      </c>
    </row>
    <row r="437" spans="1:4" x14ac:dyDescent="0.35">
      <c r="A437" s="17">
        <v>39387</v>
      </c>
      <c r="B437" s="58">
        <f>VLOOKUP(Table18[[#This Row],[Date]],database!A:G,5,)</f>
        <v>109.11060000000001</v>
      </c>
      <c r="C437" s="66">
        <f t="shared" si="6"/>
        <v>-3.2891572336257724E-4</v>
      </c>
      <c r="D437" s="66">
        <f>(Table18[[#This Row],[Index]]-B425)/B425</f>
        <v>-9.9215999419257784E-3</v>
      </c>
    </row>
    <row r="438" spans="1:4" x14ac:dyDescent="0.35">
      <c r="A438" s="17">
        <v>39417</v>
      </c>
      <c r="B438" s="58">
        <f>VLOOKUP(Table18[[#This Row],[Date]],database!A:G,5,)</f>
        <v>108.79389999999999</v>
      </c>
      <c r="C438" s="66">
        <f t="shared" si="6"/>
        <v>-2.9025594213578643E-3</v>
      </c>
      <c r="D438" s="66">
        <f>(Table18[[#This Row],[Index]]-B426)/B426</f>
        <v>-1.7750993138317184E-2</v>
      </c>
    </row>
    <row r="439" spans="1:4" x14ac:dyDescent="0.35">
      <c r="A439" s="17">
        <v>39448</v>
      </c>
      <c r="B439" s="58">
        <f>VLOOKUP(Table18[[#This Row],[Date]],database!A:G,5,)</f>
        <v>108.53270000000001</v>
      </c>
      <c r="C439" s="66">
        <f t="shared" si="6"/>
        <v>-2.4008699017131763E-3</v>
      </c>
      <c r="D439" s="66">
        <f>(Table18[[#This Row],[Index]]-B427)/B427</f>
        <v>-1.4232554675444103E-2</v>
      </c>
    </row>
    <row r="440" spans="1:4" x14ac:dyDescent="0.35">
      <c r="A440" s="17">
        <v>39479</v>
      </c>
      <c r="B440" s="58">
        <f>VLOOKUP(Table18[[#This Row],[Date]],database!A:G,5,)</f>
        <v>108.3496</v>
      </c>
      <c r="C440" s="66">
        <f t="shared" si="6"/>
        <v>-1.6870491566137735E-3</v>
      </c>
      <c r="D440" s="66">
        <f>(Table18[[#This Row],[Index]]-B428)/B428</f>
        <v>-2.6950036147121041E-2</v>
      </c>
    </row>
    <row r="441" spans="1:4" x14ac:dyDescent="0.35">
      <c r="A441" s="17">
        <v>39508</v>
      </c>
      <c r="B441" s="58">
        <f>VLOOKUP(Table18[[#This Row],[Date]],database!A:G,5,)</f>
        <v>106.7843</v>
      </c>
      <c r="C441" s="66">
        <f t="shared" si="6"/>
        <v>-1.4446753841269366E-2</v>
      </c>
      <c r="D441" s="66">
        <f>(Table18[[#This Row],[Index]]-B429)/B429</f>
        <v>-3.3403183540093001E-2</v>
      </c>
    </row>
    <row r="442" spans="1:4" x14ac:dyDescent="0.35">
      <c r="A442" s="17">
        <v>39539</v>
      </c>
      <c r="B442" s="58">
        <f>VLOOKUP(Table18[[#This Row],[Date]],database!A:G,5,)</f>
        <v>106.10809999999999</v>
      </c>
      <c r="C442" s="66">
        <f t="shared" si="6"/>
        <v>-6.3323915594334368E-3</v>
      </c>
      <c r="D442" s="66">
        <f>(Table18[[#This Row],[Index]]-B430)/B430</f>
        <v>-4.4595352639858046E-2</v>
      </c>
    </row>
    <row r="443" spans="1:4" x14ac:dyDescent="0.35">
      <c r="A443" s="17">
        <v>39569</v>
      </c>
      <c r="B443" s="58">
        <f>VLOOKUP(Table18[[#This Row],[Date]],database!A:G,5,)</f>
        <v>105.4884</v>
      </c>
      <c r="C443" s="66">
        <f t="shared" si="6"/>
        <v>-5.8402704411820716E-3</v>
      </c>
      <c r="D443" s="66">
        <f>(Table18[[#This Row],[Index]]-B431)/B431</f>
        <v>-4.665057392524017E-2</v>
      </c>
    </row>
    <row r="444" spans="1:4" x14ac:dyDescent="0.35">
      <c r="A444" s="17">
        <v>39600</v>
      </c>
      <c r="B444" s="58">
        <f>VLOOKUP(Table18[[#This Row],[Date]],database!A:G,5,)</f>
        <v>105.2533</v>
      </c>
      <c r="C444" s="66">
        <f t="shared" si="6"/>
        <v>-2.2286810682501379E-3</v>
      </c>
      <c r="D444" s="66">
        <f>(Table18[[#This Row],[Index]]-B432)/B432</f>
        <v>-4.9870100326960848E-2</v>
      </c>
    </row>
    <row r="445" spans="1:4" x14ac:dyDescent="0.35">
      <c r="A445" s="17">
        <v>39630</v>
      </c>
      <c r="B445" s="58">
        <f>VLOOKUP(Table18[[#This Row],[Date]],database!A:G,5,)</f>
        <v>104.6172</v>
      </c>
      <c r="C445" s="66">
        <f t="shared" si="6"/>
        <v>-6.0435159752710854E-3</v>
      </c>
      <c r="D445" s="66">
        <f>(Table18[[#This Row],[Index]]-B433)/B433</f>
        <v>-5.2873729715048771E-2</v>
      </c>
    </row>
    <row r="446" spans="1:4" x14ac:dyDescent="0.35">
      <c r="A446" s="17">
        <v>39661</v>
      </c>
      <c r="B446" s="58">
        <f>VLOOKUP(Table18[[#This Row],[Date]],database!A:G,5,)</f>
        <v>102.73350000000001</v>
      </c>
      <c r="C446" s="66">
        <f t="shared" si="6"/>
        <v>-1.8005643431481588E-2</v>
      </c>
      <c r="D446" s="66">
        <f>(Table18[[#This Row],[Index]]-B434)/B434</f>
        <v>-6.810417864794889E-2</v>
      </c>
    </row>
    <row r="447" spans="1:4" x14ac:dyDescent="0.35">
      <c r="A447" s="17">
        <v>39692</v>
      </c>
      <c r="B447" s="58">
        <f>VLOOKUP(Table18[[#This Row],[Date]],database!A:G,5,)</f>
        <v>102.01179999999999</v>
      </c>
      <c r="C447" s="66">
        <f t="shared" si="6"/>
        <v>-7.0249723799929997E-3</v>
      </c>
      <c r="D447" s="66">
        <f>(Table18[[#This Row],[Index]]-B435)/B435</f>
        <v>-7.369030874326124E-2</v>
      </c>
    </row>
    <row r="448" spans="1:4" x14ac:dyDescent="0.35">
      <c r="A448" s="17">
        <v>39722</v>
      </c>
      <c r="B448" s="58">
        <f>VLOOKUP(Table18[[#This Row],[Date]],database!A:G,5,)</f>
        <v>102.2941</v>
      </c>
      <c r="C448" s="66">
        <f t="shared" si="6"/>
        <v>2.7673269170822579E-3</v>
      </c>
      <c r="D448" s="66">
        <f>(Table18[[#This Row],[Index]]-B436)/B436</f>
        <v>-6.2781674171869944E-2</v>
      </c>
    </row>
    <row r="449" spans="1:4" x14ac:dyDescent="0.35">
      <c r="A449" s="17">
        <v>39753</v>
      </c>
      <c r="B449" s="58">
        <f>VLOOKUP(Table18[[#This Row],[Date]],database!A:G,5,)</f>
        <v>101.425</v>
      </c>
      <c r="C449" s="66">
        <f t="shared" si="6"/>
        <v>-8.4960911724136778E-3</v>
      </c>
      <c r="D449" s="66">
        <f>(Table18[[#This Row],[Index]]-B437)/B437</f>
        <v>-7.0438619162574559E-2</v>
      </c>
    </row>
    <row r="450" spans="1:4" x14ac:dyDescent="0.35">
      <c r="A450" s="17">
        <v>39783</v>
      </c>
      <c r="B450" s="58">
        <f>VLOOKUP(Table18[[#This Row],[Date]],database!A:G,5,)</f>
        <v>99.391199999999998</v>
      </c>
      <c r="C450" s="66">
        <f t="shared" si="6"/>
        <v>-2.0052255361104221E-2</v>
      </c>
      <c r="D450" s="66">
        <f>(Table18[[#This Row],[Index]]-B438)/B438</f>
        <v>-8.6426720615769781E-2</v>
      </c>
    </row>
    <row r="451" spans="1:4" x14ac:dyDescent="0.35">
      <c r="A451" s="17">
        <v>39814</v>
      </c>
      <c r="B451" s="58">
        <f>VLOOKUP(Table18[[#This Row],[Date]],database!A:G,5,)</f>
        <v>97.0261</v>
      </c>
      <c r="C451" s="66">
        <f t="shared" si="6"/>
        <v>-2.3795869252006163E-2</v>
      </c>
      <c r="D451" s="66">
        <f>(Table18[[#This Row],[Index]]-B439)/B439</f>
        <v>-0.10601966043413649</v>
      </c>
    </row>
    <row r="452" spans="1:4" x14ac:dyDescent="0.35">
      <c r="A452" s="17">
        <v>39845</v>
      </c>
      <c r="B452" s="58">
        <f>VLOOKUP(Table18[[#This Row],[Date]],database!A:G,5,)</f>
        <v>97.113100000000003</v>
      </c>
      <c r="C452" s="66">
        <f t="shared" si="6"/>
        <v>8.9666594864690197E-4</v>
      </c>
      <c r="D452" s="66">
        <f>(Table18[[#This Row],[Index]]-B440)/B440</f>
        <v>-0.10370596661178254</v>
      </c>
    </row>
    <row r="453" spans="1:4" x14ac:dyDescent="0.35">
      <c r="A453" s="17">
        <v>39873</v>
      </c>
      <c r="B453" s="58">
        <f>VLOOKUP(Table18[[#This Row],[Date]],database!A:G,5,)</f>
        <v>96.575599999999994</v>
      </c>
      <c r="C453" s="66">
        <f t="shared" si="6"/>
        <v>-5.5347836697624553E-3</v>
      </c>
      <c r="D453" s="66">
        <f>(Table18[[#This Row],[Index]]-B441)/B441</f>
        <v>-9.5601132376201436E-2</v>
      </c>
    </row>
    <row r="454" spans="1:4" x14ac:dyDescent="0.35">
      <c r="A454" s="17">
        <v>39904</v>
      </c>
      <c r="B454" s="58">
        <f>VLOOKUP(Table18[[#This Row],[Date]],database!A:G,5,)</f>
        <v>96.281899999999993</v>
      </c>
      <c r="C454" s="66">
        <f t="shared" si="6"/>
        <v>-3.0411408264613415E-3</v>
      </c>
      <c r="D454" s="66">
        <f>(Table18[[#This Row],[Index]]-B442)/B442</f>
        <v>-9.2605559801749351E-2</v>
      </c>
    </row>
    <row r="455" spans="1:4" x14ac:dyDescent="0.35">
      <c r="A455" s="17">
        <v>39934</v>
      </c>
      <c r="B455" s="58">
        <f>VLOOKUP(Table18[[#This Row],[Date]],database!A:G,5,)</f>
        <v>95.035600000000002</v>
      </c>
      <c r="C455" s="66">
        <f t="shared" si="6"/>
        <v>-1.2944281323904017E-2</v>
      </c>
      <c r="D455" s="66">
        <f>(Table18[[#This Row],[Index]]-B443)/B443</f>
        <v>-9.9089568142089524E-2</v>
      </c>
    </row>
    <row r="456" spans="1:4" x14ac:dyDescent="0.35">
      <c r="A456" s="17">
        <v>39965</v>
      </c>
      <c r="B456" s="58">
        <f>VLOOKUP(Table18[[#This Row],[Date]],database!A:G,5,)</f>
        <v>94.602699999999999</v>
      </c>
      <c r="C456" s="66">
        <f t="shared" ref="C456:C519" si="7">B456/B455-1</f>
        <v>-4.5551351283098507E-3</v>
      </c>
      <c r="D456" s="66">
        <f>(Table18[[#This Row],[Index]]-B444)/B444</f>
        <v>-0.10119017646002545</v>
      </c>
    </row>
    <row r="457" spans="1:4" x14ac:dyDescent="0.35">
      <c r="A457" s="17">
        <v>39995</v>
      </c>
      <c r="B457" s="58">
        <f>VLOOKUP(Table18[[#This Row],[Date]],database!A:G,5,)</f>
        <v>95.873599999999996</v>
      </c>
      <c r="C457" s="66">
        <f t="shared" si="7"/>
        <v>1.3434077462905369E-2</v>
      </c>
      <c r="D457" s="66">
        <f>(Table18[[#This Row],[Index]]-B445)/B445</f>
        <v>-8.3577079103627328E-2</v>
      </c>
    </row>
    <row r="458" spans="1:4" x14ac:dyDescent="0.35">
      <c r="A458" s="17">
        <v>40026</v>
      </c>
      <c r="B458" s="58">
        <f>VLOOKUP(Table18[[#This Row],[Date]],database!A:G,5,)</f>
        <v>96.717699999999994</v>
      </c>
      <c r="C458" s="66">
        <f t="shared" si="7"/>
        <v>8.8043006625388998E-3</v>
      </c>
      <c r="D458" s="66">
        <f>(Table18[[#This Row],[Index]]-B446)/B446</f>
        <v>-5.8557335241182402E-2</v>
      </c>
    </row>
    <row r="459" spans="1:4" x14ac:dyDescent="0.35">
      <c r="A459" s="17">
        <v>40057</v>
      </c>
      <c r="B459" s="58">
        <f>VLOOKUP(Table18[[#This Row],[Date]],database!A:G,5,)</f>
        <v>97.520899999999997</v>
      </c>
      <c r="C459" s="66">
        <f t="shared" si="7"/>
        <v>8.3045812710600408E-3</v>
      </c>
      <c r="D459" s="66">
        <f>(Table18[[#This Row],[Index]]-B447)/B447</f>
        <v>-4.4023338476529152E-2</v>
      </c>
    </row>
    <row r="460" spans="1:4" x14ac:dyDescent="0.35">
      <c r="A460" s="17">
        <v>40087</v>
      </c>
      <c r="B460" s="58">
        <f>VLOOKUP(Table18[[#This Row],[Date]],database!A:G,5,)</f>
        <v>97.750500000000002</v>
      </c>
      <c r="C460" s="66">
        <f t="shared" si="7"/>
        <v>2.3543671151518009E-3</v>
      </c>
      <c r="D460" s="66">
        <f>(Table18[[#This Row],[Index]]-B448)/B448</f>
        <v>-4.4417028939107907E-2</v>
      </c>
    </row>
    <row r="461" spans="1:4" x14ac:dyDescent="0.35">
      <c r="A461" s="17">
        <v>40118</v>
      </c>
      <c r="B461" s="58">
        <f>VLOOKUP(Table18[[#This Row],[Date]],database!A:G,5,)</f>
        <v>97.1524</v>
      </c>
      <c r="C461" s="66">
        <f t="shared" si="7"/>
        <v>-6.1186387793412678E-3</v>
      </c>
      <c r="D461" s="66">
        <f>(Table18[[#This Row],[Index]]-B449)/B449</f>
        <v>-4.2125708651713063E-2</v>
      </c>
    </row>
    <row r="462" spans="1:4" x14ac:dyDescent="0.35">
      <c r="A462" s="17">
        <v>40148</v>
      </c>
      <c r="B462" s="58">
        <f>VLOOKUP(Table18[[#This Row],[Date]],database!A:G,5,)</f>
        <v>97.071399999999997</v>
      </c>
      <c r="C462" s="66">
        <f t="shared" si="7"/>
        <v>-8.3374162655791562E-4</v>
      </c>
      <c r="D462" s="66">
        <f>(Table18[[#This Row],[Index]]-B450)/B450</f>
        <v>-2.3340094495287317E-2</v>
      </c>
    </row>
    <row r="463" spans="1:4" x14ac:dyDescent="0.35">
      <c r="A463" s="17">
        <v>40179</v>
      </c>
      <c r="B463" s="58">
        <f>VLOOKUP(Table18[[#This Row],[Date]],database!A:G,5,)</f>
        <v>97.699299999999994</v>
      </c>
      <c r="C463" s="66">
        <f t="shared" si="7"/>
        <v>6.4684345749623784E-3</v>
      </c>
      <c r="D463" s="66">
        <f>(Table18[[#This Row],[Index]]-B451)/B451</f>
        <v>6.9383392715979949E-3</v>
      </c>
    </row>
    <row r="464" spans="1:4" x14ac:dyDescent="0.35">
      <c r="A464" s="17">
        <v>40210</v>
      </c>
      <c r="B464" s="58">
        <f>VLOOKUP(Table18[[#This Row],[Date]],database!A:G,5,)</f>
        <v>96.889799999999994</v>
      </c>
      <c r="C464" s="66">
        <f t="shared" si="7"/>
        <v>-8.2856274302886002E-3</v>
      </c>
      <c r="D464" s="66">
        <f>(Table18[[#This Row],[Index]]-B452)/B452</f>
        <v>-2.2993808250381148E-3</v>
      </c>
    </row>
    <row r="465" spans="1:4" x14ac:dyDescent="0.35">
      <c r="A465" s="17">
        <v>40238</v>
      </c>
      <c r="B465" s="58">
        <f>VLOOKUP(Table18[[#This Row],[Date]],database!A:G,5,)</f>
        <v>97.232900000000001</v>
      </c>
      <c r="C465" s="66">
        <f t="shared" si="7"/>
        <v>3.5411364250932387E-3</v>
      </c>
      <c r="D465" s="66">
        <f>(Table18[[#This Row],[Index]]-B453)/B453</f>
        <v>6.8060669568711608E-3</v>
      </c>
    </row>
    <row r="466" spans="1:4" x14ac:dyDescent="0.35">
      <c r="A466" s="17">
        <v>40269</v>
      </c>
      <c r="B466" s="58">
        <f>VLOOKUP(Table18[[#This Row],[Date]],database!A:G,5,)</f>
        <v>96.426400000000001</v>
      </c>
      <c r="C466" s="66">
        <f t="shared" si="7"/>
        <v>-8.2945175964103113E-3</v>
      </c>
      <c r="D466" s="66">
        <f>(Table18[[#This Row],[Index]]-B454)/B454</f>
        <v>1.5008012928702887E-3</v>
      </c>
    </row>
    <row r="467" spans="1:4" x14ac:dyDescent="0.35">
      <c r="A467" s="17">
        <v>40299</v>
      </c>
      <c r="B467" s="58">
        <f>VLOOKUP(Table18[[#This Row],[Date]],database!A:G,5,)</f>
        <v>98.236000000000004</v>
      </c>
      <c r="C467" s="66">
        <f t="shared" si="7"/>
        <v>1.8766644819261158E-2</v>
      </c>
      <c r="D467" s="66">
        <f>(Table18[[#This Row],[Index]]-B455)/B455</f>
        <v>3.3675801489126196E-2</v>
      </c>
    </row>
    <row r="468" spans="1:4" x14ac:dyDescent="0.35">
      <c r="A468" s="17">
        <v>40330</v>
      </c>
      <c r="B468" s="58">
        <f>VLOOKUP(Table18[[#This Row],[Date]],database!A:G,5,)</f>
        <v>97.988699999999994</v>
      </c>
      <c r="C468" s="66">
        <f t="shared" si="7"/>
        <v>-2.5174070605481491E-3</v>
      </c>
      <c r="D468" s="66">
        <f>(Table18[[#This Row],[Index]]-B456)/B456</f>
        <v>3.5791790297739871E-2</v>
      </c>
    </row>
    <row r="469" spans="1:4" x14ac:dyDescent="0.35">
      <c r="A469" s="17">
        <v>40360</v>
      </c>
      <c r="B469" s="58">
        <f>VLOOKUP(Table18[[#This Row],[Date]],database!A:G,5,)</f>
        <v>98.636899999999997</v>
      </c>
      <c r="C469" s="66">
        <f t="shared" si="7"/>
        <v>6.6150484698745959E-3</v>
      </c>
      <c r="D469" s="66">
        <f>(Table18[[#This Row],[Index]]-B457)/B457</f>
        <v>2.8822324393785161E-2</v>
      </c>
    </row>
    <row r="470" spans="1:4" x14ac:dyDescent="0.35">
      <c r="A470" s="17">
        <v>40391</v>
      </c>
      <c r="B470" s="58">
        <f>VLOOKUP(Table18[[#This Row],[Date]],database!A:G,5,)</f>
        <v>98.388400000000004</v>
      </c>
      <c r="C470" s="66">
        <f t="shared" si="7"/>
        <v>-2.5193411390665998E-3</v>
      </c>
      <c r="D470" s="66">
        <f>(Table18[[#This Row],[Index]]-B458)/B458</f>
        <v>1.7273983976045862E-2</v>
      </c>
    </row>
    <row r="471" spans="1:4" x14ac:dyDescent="0.35">
      <c r="A471" s="17">
        <v>40422</v>
      </c>
      <c r="B471" s="58">
        <f>VLOOKUP(Table18[[#This Row],[Date]],database!A:G,5,)</f>
        <v>98.0077</v>
      </c>
      <c r="C471" s="66">
        <f t="shared" si="7"/>
        <v>-3.8693585829224775E-3</v>
      </c>
      <c r="D471" s="66">
        <f>(Table18[[#This Row],[Index]]-B459)/B459</f>
        <v>4.9917504863060368E-3</v>
      </c>
    </row>
    <row r="472" spans="1:4" x14ac:dyDescent="0.35">
      <c r="A472" s="17">
        <v>40452</v>
      </c>
      <c r="B472" s="58">
        <f>VLOOKUP(Table18[[#This Row],[Date]],database!A:G,5,)</f>
        <v>98.002600000000001</v>
      </c>
      <c r="C472" s="66">
        <f t="shared" si="7"/>
        <v>-5.2036727726467724E-5</v>
      </c>
      <c r="D472" s="66">
        <f>(Table18[[#This Row],[Index]]-B460)/B460</f>
        <v>2.5790149411000318E-3</v>
      </c>
    </row>
    <row r="473" spans="1:4" x14ac:dyDescent="0.35">
      <c r="A473" s="17">
        <v>40483</v>
      </c>
      <c r="B473" s="58">
        <f>VLOOKUP(Table18[[#This Row],[Date]],database!A:G,5,)</f>
        <v>97.461100000000002</v>
      </c>
      <c r="C473" s="66">
        <f t="shared" si="7"/>
        <v>-5.5253636128020922E-3</v>
      </c>
      <c r="D473" s="66">
        <f>(Table18[[#This Row],[Index]]-B461)/B461</f>
        <v>3.1774819767705353E-3</v>
      </c>
    </row>
    <row r="474" spans="1:4" x14ac:dyDescent="0.35">
      <c r="A474" s="17">
        <v>40513</v>
      </c>
      <c r="B474" s="58">
        <f>VLOOKUP(Table18[[#This Row],[Date]],database!A:G,5,)</f>
        <v>98.555999999999997</v>
      </c>
      <c r="C474" s="66">
        <f t="shared" si="7"/>
        <v>1.1234225757763783E-2</v>
      </c>
      <c r="D474" s="66">
        <f>(Table18[[#This Row],[Index]]-B462)/B462</f>
        <v>1.5293897069579716E-2</v>
      </c>
    </row>
    <row r="475" spans="1:4" x14ac:dyDescent="0.35">
      <c r="A475" s="17">
        <v>40544</v>
      </c>
      <c r="B475" s="58">
        <f>VLOOKUP(Table18[[#This Row],[Date]],database!A:G,5,)</f>
        <v>98.594099999999997</v>
      </c>
      <c r="C475" s="66">
        <f t="shared" si="7"/>
        <v>3.8658224765608651E-4</v>
      </c>
      <c r="D475" s="66">
        <f>(Table18[[#This Row],[Index]]-B463)/B463</f>
        <v>9.1587145455494946E-3</v>
      </c>
    </row>
    <row r="476" spans="1:4" x14ac:dyDescent="0.35">
      <c r="A476" s="17">
        <v>40575</v>
      </c>
      <c r="B476" s="58">
        <f>VLOOKUP(Table18[[#This Row],[Date]],database!A:G,5,)</f>
        <v>98.408600000000007</v>
      </c>
      <c r="C476" s="66">
        <f t="shared" si="7"/>
        <v>-1.8814513241663944E-3</v>
      </c>
      <c r="D476" s="66">
        <f>(Table18[[#This Row],[Index]]-B464)/B464</f>
        <v>1.5675540665787451E-2</v>
      </c>
    </row>
    <row r="477" spans="1:4" x14ac:dyDescent="0.35">
      <c r="A477" s="17">
        <v>40603</v>
      </c>
      <c r="B477" s="58">
        <f>VLOOKUP(Table18[[#This Row],[Date]],database!A:G,5,)</f>
        <v>98.668300000000002</v>
      </c>
      <c r="C477" s="66">
        <f t="shared" si="7"/>
        <v>2.6389969982296702E-3</v>
      </c>
      <c r="D477" s="66">
        <f>(Table18[[#This Row],[Index]]-B465)/B465</f>
        <v>1.4762492942203732E-2</v>
      </c>
    </row>
    <row r="478" spans="1:4" x14ac:dyDescent="0.35">
      <c r="A478" s="17">
        <v>40634</v>
      </c>
      <c r="B478" s="58">
        <f>VLOOKUP(Table18[[#This Row],[Date]],database!A:G,5,)</f>
        <v>98.486500000000007</v>
      </c>
      <c r="C478" s="67">
        <f t="shared" si="7"/>
        <v>-1.8425370661093732E-3</v>
      </c>
      <c r="D478" s="66">
        <f>(Table18[[#This Row],[Index]]-B466)/B466</f>
        <v>2.1364481096463266E-2</v>
      </c>
    </row>
    <row r="479" spans="1:4" x14ac:dyDescent="0.35">
      <c r="A479" s="17">
        <v>40664</v>
      </c>
      <c r="B479" s="58">
        <f>VLOOKUP(Table18[[#This Row],[Date]],database!A:G,5,)</f>
        <v>98.679100000000005</v>
      </c>
      <c r="C479" s="66">
        <f t="shared" si="7"/>
        <v>1.9555979753569375E-3</v>
      </c>
      <c r="D479" s="66">
        <f>(Table18[[#This Row],[Index]]-B467)/B467</f>
        <v>4.5105663911397158E-3</v>
      </c>
    </row>
    <row r="480" spans="1:4" x14ac:dyDescent="0.35">
      <c r="A480" s="17">
        <v>40695</v>
      </c>
      <c r="B480" s="58">
        <f>VLOOKUP(Table18[[#This Row],[Date]],database!A:G,5,)</f>
        <v>98.593500000000006</v>
      </c>
      <c r="C480" s="66">
        <f t="shared" si="7"/>
        <v>-8.6745825610490268E-4</v>
      </c>
      <c r="D480" s="66">
        <f>(Table18[[#This Row],[Index]]-B468)/B468</f>
        <v>6.172140256988934E-3</v>
      </c>
    </row>
    <row r="481" spans="1:4" x14ac:dyDescent="0.35">
      <c r="A481" s="17">
        <v>40725</v>
      </c>
      <c r="B481" s="58">
        <f>VLOOKUP(Table18[[#This Row],[Date]],database!A:G,5,)</f>
        <v>99.284199999999998</v>
      </c>
      <c r="C481" s="66">
        <f t="shared" si="7"/>
        <v>7.0055328191005461E-3</v>
      </c>
      <c r="D481" s="66">
        <f>(Table18[[#This Row],[Index]]-B469)/B469</f>
        <v>6.5624527940355117E-3</v>
      </c>
    </row>
    <row r="482" spans="1:4" x14ac:dyDescent="0.35">
      <c r="A482" s="17">
        <v>40756</v>
      </c>
      <c r="B482" s="58">
        <f>VLOOKUP(Table18[[#This Row],[Date]],database!A:G,5,)</f>
        <v>99.855599999999995</v>
      </c>
      <c r="C482" s="66">
        <f t="shared" si="7"/>
        <v>5.7551956907544444E-3</v>
      </c>
      <c r="D482" s="66">
        <f>(Table18[[#This Row],[Index]]-B470)/B470</f>
        <v>1.4912327062946354E-2</v>
      </c>
    </row>
    <row r="483" spans="1:4" x14ac:dyDescent="0.35">
      <c r="A483" s="17">
        <v>40787</v>
      </c>
      <c r="B483" s="58">
        <f>VLOOKUP(Table18[[#This Row],[Date]],database!A:G,5,)</f>
        <v>99.267499999999998</v>
      </c>
      <c r="C483" s="66">
        <f t="shared" si="7"/>
        <v>-5.8895044444177147E-3</v>
      </c>
      <c r="D483" s="66">
        <f>(Table18[[#This Row],[Index]]-B471)/B471</f>
        <v>1.2854092076438877E-2</v>
      </c>
    </row>
    <row r="484" spans="1:4" x14ac:dyDescent="0.35">
      <c r="A484" s="17">
        <v>40817</v>
      </c>
      <c r="B484" s="58">
        <f>VLOOKUP(Table18[[#This Row],[Date]],database!A:G,5,)</f>
        <v>99.522499999999994</v>
      </c>
      <c r="C484" s="66">
        <f t="shared" si="7"/>
        <v>2.5688165814592434E-3</v>
      </c>
      <c r="D484" s="66">
        <f>(Table18[[#This Row],[Index]]-B472)/B472</f>
        <v>1.550877221624725E-2</v>
      </c>
    </row>
    <row r="485" spans="1:4" x14ac:dyDescent="0.35">
      <c r="A485" s="17">
        <v>40848</v>
      </c>
      <c r="B485" s="58">
        <f>VLOOKUP(Table18[[#This Row],[Date]],database!A:G,5,)</f>
        <v>98.568200000000004</v>
      </c>
      <c r="C485" s="66">
        <f t="shared" si="7"/>
        <v>-9.5887864553240165E-3</v>
      </c>
      <c r="D485" s="66">
        <f>(Table18[[#This Row],[Index]]-B473)/B473</f>
        <v>1.1359403905763454E-2</v>
      </c>
    </row>
    <row r="486" spans="1:4" x14ac:dyDescent="0.35">
      <c r="A486" s="17">
        <v>40878</v>
      </c>
      <c r="B486" s="58">
        <f>VLOOKUP(Table18[[#This Row],[Date]],database!A:G,5,)</f>
        <v>98.463800000000006</v>
      </c>
      <c r="C486" s="66">
        <f t="shared" si="7"/>
        <v>-1.0591651262780166E-3</v>
      </c>
      <c r="D486" s="66">
        <f>(Table18[[#This Row],[Index]]-B474)/B474</f>
        <v>-9.3550874629643225E-4</v>
      </c>
    </row>
    <row r="487" spans="1:4" x14ac:dyDescent="0.35">
      <c r="A487" s="17">
        <v>40909</v>
      </c>
      <c r="B487" s="58">
        <f>VLOOKUP(Table18[[#This Row],[Date]],database!A:G,5,)</f>
        <v>98.382400000000004</v>
      </c>
      <c r="C487" s="66">
        <f t="shared" si="7"/>
        <v>-8.2669976173987969E-4</v>
      </c>
      <c r="D487" s="66">
        <f>(Table18[[#This Row],[Index]]-B475)/B475</f>
        <v>-2.1471873063397644E-3</v>
      </c>
    </row>
    <row r="488" spans="1:4" x14ac:dyDescent="0.35">
      <c r="A488" s="17">
        <v>40940</v>
      </c>
      <c r="B488" s="58">
        <f>VLOOKUP(Table18[[#This Row],[Date]],database!A:G,5,)</f>
        <v>98.277699999999996</v>
      </c>
      <c r="C488" s="66">
        <f t="shared" si="7"/>
        <v>-1.0642147375954369E-3</v>
      </c>
      <c r="D488" s="66">
        <f>(Table18[[#This Row],[Index]]-B476)/B476</f>
        <v>-1.3301682982992452E-3</v>
      </c>
    </row>
    <row r="489" spans="1:4" x14ac:dyDescent="0.35">
      <c r="A489" s="17">
        <v>40969</v>
      </c>
      <c r="B489" s="58">
        <f>VLOOKUP(Table18[[#This Row],[Date]],database!A:G,5,)</f>
        <v>96.700599999999994</v>
      </c>
      <c r="C489" s="66">
        <f t="shared" si="7"/>
        <v>-1.6047384096290473E-2</v>
      </c>
      <c r="D489" s="66">
        <f>(Table18[[#This Row],[Index]]-B477)/B477</f>
        <v>-1.9942575274936404E-2</v>
      </c>
    </row>
    <row r="490" spans="1:4" x14ac:dyDescent="0.35">
      <c r="A490" s="17">
        <v>41000</v>
      </c>
      <c r="B490" s="58">
        <f>VLOOKUP(Table18[[#This Row],[Date]],database!A:G,5,)</f>
        <v>97.465699999999998</v>
      </c>
      <c r="C490" s="66">
        <f t="shared" si="7"/>
        <v>7.9120501837630641E-3</v>
      </c>
      <c r="D490" s="66">
        <f>(Table18[[#This Row],[Index]]-B478)/B478</f>
        <v>-1.0364872342910026E-2</v>
      </c>
    </row>
    <row r="491" spans="1:4" x14ac:dyDescent="0.35">
      <c r="A491" s="17">
        <v>41030</v>
      </c>
      <c r="B491" s="58">
        <f>VLOOKUP(Table18[[#This Row],[Date]],database!A:G,5,)</f>
        <v>98.003799999999998</v>
      </c>
      <c r="C491" s="66">
        <f t="shared" si="7"/>
        <v>5.5209165891179079E-3</v>
      </c>
      <c r="D491" s="66">
        <f>(Table18[[#This Row],[Index]]-B479)/B479</f>
        <v>-6.843394396584556E-3</v>
      </c>
    </row>
    <row r="492" spans="1:4" x14ac:dyDescent="0.35">
      <c r="A492" s="17">
        <v>41061</v>
      </c>
      <c r="B492" s="58">
        <f>VLOOKUP(Table18[[#This Row],[Date]],database!A:G,5,)</f>
        <v>97.729900000000001</v>
      </c>
      <c r="C492" s="66">
        <f t="shared" si="7"/>
        <v>-2.7947895897914021E-3</v>
      </c>
      <c r="D492" s="66">
        <f>(Table18[[#This Row],[Index]]-B480)/B480</f>
        <v>-8.7591981215800752E-3</v>
      </c>
    </row>
    <row r="493" spans="1:4" x14ac:dyDescent="0.35">
      <c r="A493" s="17">
        <v>41091</v>
      </c>
      <c r="B493" s="58">
        <f>VLOOKUP(Table18[[#This Row],[Date]],database!A:G,5,)</f>
        <v>97.812299999999993</v>
      </c>
      <c r="C493" s="66">
        <f t="shared" si="7"/>
        <v>8.4314012395370064E-4</v>
      </c>
      <c r="D493" s="66">
        <f>(Table18[[#This Row],[Index]]-B481)/B481</f>
        <v>-1.4825118196047359E-2</v>
      </c>
    </row>
    <row r="494" spans="1:4" x14ac:dyDescent="0.35">
      <c r="A494" s="17">
        <v>41122</v>
      </c>
      <c r="B494" s="58">
        <f>VLOOKUP(Table18[[#This Row],[Date]],database!A:G,5,)</f>
        <v>97.310900000000004</v>
      </c>
      <c r="C494" s="66">
        <f t="shared" si="7"/>
        <v>-5.1261446668772193E-3</v>
      </c>
      <c r="D494" s="66">
        <f>(Table18[[#This Row],[Index]]-B482)/B482</f>
        <v>-2.5483798605185806E-2</v>
      </c>
    </row>
    <row r="495" spans="1:4" x14ac:dyDescent="0.35">
      <c r="A495" s="17">
        <v>41153</v>
      </c>
      <c r="B495" s="58">
        <f>VLOOKUP(Table18[[#This Row],[Date]],database!A:G,5,)</f>
        <v>97.002200000000002</v>
      </c>
      <c r="C495" s="66">
        <f t="shared" si="7"/>
        <v>-3.1723064939281898E-3</v>
      </c>
      <c r="D495" s="66">
        <f>(Table18[[#This Row],[Index]]-B483)/B483</f>
        <v>-2.2820157654821531E-2</v>
      </c>
    </row>
    <row r="496" spans="1:4" x14ac:dyDescent="0.35">
      <c r="A496" s="17">
        <v>41183</v>
      </c>
      <c r="B496" s="58">
        <f>VLOOKUP(Table18[[#This Row],[Date]],database!A:G,5,)</f>
        <v>97.0364</v>
      </c>
      <c r="C496" s="66">
        <f t="shared" si="7"/>
        <v>3.5256932317007106E-4</v>
      </c>
      <c r="D496" s="66">
        <f>(Table18[[#This Row],[Index]]-B484)/B484</f>
        <v>-2.4980280841015785E-2</v>
      </c>
    </row>
    <row r="497" spans="1:4" x14ac:dyDescent="0.35">
      <c r="A497" s="17">
        <v>41214</v>
      </c>
      <c r="B497" s="58">
        <f>VLOOKUP(Table18[[#This Row],[Date]],database!A:G,5,)</f>
        <v>97.465599999999995</v>
      </c>
      <c r="C497" s="66">
        <f t="shared" si="7"/>
        <v>4.4230824721445128E-3</v>
      </c>
      <c r="D497" s="66">
        <f>(Table18[[#This Row],[Index]]-B485)/B485</f>
        <v>-1.1186163488833209E-2</v>
      </c>
    </row>
    <row r="498" spans="1:4" x14ac:dyDescent="0.35">
      <c r="A498" s="17">
        <v>41244</v>
      </c>
      <c r="B498" s="58">
        <f>VLOOKUP(Table18[[#This Row],[Date]],database!A:G,5,)</f>
        <v>97.431799999999996</v>
      </c>
      <c r="C498" s="66">
        <f t="shared" si="7"/>
        <v>-3.4678902094686936E-4</v>
      </c>
      <c r="D498" s="66">
        <f>(Table18[[#This Row],[Index]]-B486)/B486</f>
        <v>-1.0481009264318568E-2</v>
      </c>
    </row>
    <row r="499" spans="1:4" x14ac:dyDescent="0.35">
      <c r="A499" s="17">
        <v>41275</v>
      </c>
      <c r="B499" s="58">
        <f>VLOOKUP(Table18[[#This Row],[Date]],database!A:G,5,)</f>
        <v>97.407300000000006</v>
      </c>
      <c r="C499" s="66">
        <f t="shared" si="7"/>
        <v>-2.5145794288916612E-4</v>
      </c>
      <c r="D499" s="66">
        <f>(Table18[[#This Row],[Index]]-B487)/B487</f>
        <v>-9.9113256029533491E-3</v>
      </c>
    </row>
    <row r="500" spans="1:4" x14ac:dyDescent="0.35">
      <c r="A500" s="17">
        <v>41306</v>
      </c>
      <c r="B500" s="58">
        <f>VLOOKUP(Table18[[#This Row],[Date]],database!A:G,5,)</f>
        <v>97.881900000000002</v>
      </c>
      <c r="C500" s="66">
        <f t="shared" si="7"/>
        <v>4.8723247641604406E-3</v>
      </c>
      <c r="D500" s="66">
        <f>(Table18[[#This Row],[Index]]-B488)/B488</f>
        <v>-4.0273632777323258E-3</v>
      </c>
    </row>
    <row r="501" spans="1:4" x14ac:dyDescent="0.35">
      <c r="A501" s="17">
        <v>41334</v>
      </c>
      <c r="B501" s="58">
        <f>VLOOKUP(Table18[[#This Row],[Date]],database!A:G,5,)</f>
        <v>98.456400000000002</v>
      </c>
      <c r="C501" s="66">
        <f t="shared" si="7"/>
        <v>5.8693180250894983E-3</v>
      </c>
      <c r="D501" s="66">
        <f>(Table18[[#This Row],[Index]]-B489)/B489</f>
        <v>1.8157074516600806E-2</v>
      </c>
    </row>
    <row r="502" spans="1:4" x14ac:dyDescent="0.35">
      <c r="A502" s="17">
        <v>41365</v>
      </c>
      <c r="B502" s="58">
        <f>VLOOKUP(Table18[[#This Row],[Date]],database!A:G,5,)</f>
        <v>98.154799999999994</v>
      </c>
      <c r="C502" s="66">
        <f t="shared" si="7"/>
        <v>-3.063284865178928E-3</v>
      </c>
      <c r="D502" s="66">
        <f>(Table18[[#This Row],[Index]]-B490)/B490</f>
        <v>7.0701795606043592E-3</v>
      </c>
    </row>
    <row r="503" spans="1:4" x14ac:dyDescent="0.35">
      <c r="A503" s="17">
        <v>41395</v>
      </c>
      <c r="B503" s="58">
        <f>VLOOKUP(Table18[[#This Row],[Date]],database!A:G,5,)</f>
        <v>98.054699999999997</v>
      </c>
      <c r="C503" s="66">
        <f t="shared" si="7"/>
        <v>-1.0198176757529875E-3</v>
      </c>
      <c r="D503" s="66">
        <f>(Table18[[#This Row],[Index]]-B491)/B491</f>
        <v>5.1936761635771895E-4</v>
      </c>
    </row>
    <row r="504" spans="1:4" x14ac:dyDescent="0.35">
      <c r="A504" s="17">
        <v>41426</v>
      </c>
      <c r="B504" s="58">
        <f>VLOOKUP(Table18[[#This Row],[Date]],database!A:G,5,)</f>
        <v>98.362700000000004</v>
      </c>
      <c r="C504" s="66">
        <f t="shared" si="7"/>
        <v>3.1411038940509783E-3</v>
      </c>
      <c r="D504" s="66">
        <f>(Table18[[#This Row],[Index]]-B492)/B492</f>
        <v>6.474988718907961E-3</v>
      </c>
    </row>
    <row r="505" spans="1:4" x14ac:dyDescent="0.35">
      <c r="A505" s="17">
        <v>41456</v>
      </c>
      <c r="B505" s="58">
        <f>VLOOKUP(Table18[[#This Row],[Date]],database!A:G,5,)</f>
        <v>97.388400000000004</v>
      </c>
      <c r="C505" s="66">
        <f t="shared" si="7"/>
        <v>-9.9051774707282769E-3</v>
      </c>
      <c r="D505" s="66">
        <f>(Table18[[#This Row],[Index]]-B493)/B493</f>
        <v>-4.3338107783989239E-3</v>
      </c>
    </row>
    <row r="506" spans="1:4" x14ac:dyDescent="0.35">
      <c r="A506" s="17">
        <v>41487</v>
      </c>
      <c r="B506" s="58">
        <f>VLOOKUP(Table18[[#This Row],[Date]],database!A:G,5,)</f>
        <v>97.885900000000007</v>
      </c>
      <c r="C506" s="66">
        <f t="shared" si="7"/>
        <v>5.1084112686932137E-3</v>
      </c>
      <c r="D506" s="66">
        <f>(Table18[[#This Row],[Index]]-B494)/B494</f>
        <v>5.9088961257166752E-3</v>
      </c>
    </row>
    <row r="507" spans="1:4" x14ac:dyDescent="0.35">
      <c r="A507" s="17">
        <v>41518</v>
      </c>
      <c r="B507" s="58">
        <f>VLOOKUP(Table18[[#This Row],[Date]],database!A:G,5,)</f>
        <v>98.180099999999996</v>
      </c>
      <c r="C507" s="66">
        <f t="shared" si="7"/>
        <v>3.0055401237563117E-3</v>
      </c>
      <c r="D507" s="66">
        <f>(Table18[[#This Row],[Index]]-B495)/B495</f>
        <v>1.2143023560290322E-2</v>
      </c>
    </row>
    <row r="508" spans="1:4" x14ac:dyDescent="0.35">
      <c r="A508" s="17">
        <v>41548</v>
      </c>
      <c r="B508" s="58">
        <f>VLOOKUP(Table18[[#This Row],[Date]],database!A:G,5,)</f>
        <v>98.532700000000006</v>
      </c>
      <c r="C508" s="66">
        <f t="shared" si="7"/>
        <v>3.591359145081352E-3</v>
      </c>
      <c r="D508" s="66">
        <f>(Table18[[#This Row],[Index]]-B496)/B496</f>
        <v>1.5419986726630471E-2</v>
      </c>
    </row>
    <row r="509" spans="1:4" x14ac:dyDescent="0.35">
      <c r="A509" s="17">
        <v>41579</v>
      </c>
      <c r="B509" s="58">
        <f>VLOOKUP(Table18[[#This Row],[Date]],database!A:G,5,)</f>
        <v>98.509699999999995</v>
      </c>
      <c r="C509" s="66">
        <f t="shared" si="7"/>
        <v>-2.3342504569556777E-4</v>
      </c>
      <c r="D509" s="66">
        <f>(Table18[[#This Row],[Index]]-B497)/B497</f>
        <v>1.0712497537592753E-2</v>
      </c>
    </row>
    <row r="510" spans="1:4" x14ac:dyDescent="0.35">
      <c r="A510" s="17">
        <v>41609</v>
      </c>
      <c r="B510" s="58">
        <f>VLOOKUP(Table18[[#This Row],[Date]],database!A:G,5,)</f>
        <v>99.243700000000004</v>
      </c>
      <c r="C510" s="66">
        <f t="shared" si="7"/>
        <v>7.451042892222981E-3</v>
      </c>
      <c r="D510" s="66">
        <f>(Table18[[#This Row],[Index]]-B498)/B498</f>
        <v>1.8596597825350742E-2</v>
      </c>
    </row>
    <row r="511" spans="1:4" x14ac:dyDescent="0.35">
      <c r="A511" s="17">
        <v>41640</v>
      </c>
      <c r="B511" s="58">
        <f>VLOOKUP(Table18[[#This Row],[Date]],database!A:G,5,)</f>
        <v>97.641199999999998</v>
      </c>
      <c r="C511" s="66">
        <f t="shared" si="7"/>
        <v>-1.6147120673654869E-2</v>
      </c>
      <c r="D511" s="66">
        <f>(Table18[[#This Row],[Index]]-B499)/B499</f>
        <v>2.4012574006259421E-3</v>
      </c>
    </row>
    <row r="512" spans="1:4" x14ac:dyDescent="0.35">
      <c r="A512" s="17">
        <v>41671</v>
      </c>
      <c r="B512" s="58">
        <f>VLOOKUP(Table18[[#This Row],[Date]],database!A:G,5,)</f>
        <v>98.769400000000005</v>
      </c>
      <c r="C512" s="66">
        <f t="shared" si="7"/>
        <v>1.155454869460848E-2</v>
      </c>
      <c r="D512" s="66">
        <f>(Table18[[#This Row],[Index]]-B500)/B500</f>
        <v>9.0670491684366854E-3</v>
      </c>
    </row>
    <row r="513" spans="1:4" x14ac:dyDescent="0.35">
      <c r="A513" s="17">
        <v>41699</v>
      </c>
      <c r="B513" s="58">
        <f>VLOOKUP(Table18[[#This Row],[Date]],database!A:G,5,)</f>
        <v>99.423199999999994</v>
      </c>
      <c r="C513" s="66">
        <f t="shared" si="7"/>
        <v>6.6194590632320249E-3</v>
      </c>
      <c r="D513" s="66">
        <f>(Table18[[#This Row],[Index]]-B501)/B501</f>
        <v>9.8195749590680968E-3</v>
      </c>
    </row>
    <row r="514" spans="1:4" x14ac:dyDescent="0.35">
      <c r="A514" s="17">
        <v>41730</v>
      </c>
      <c r="B514" s="58">
        <f>VLOOKUP(Table18[[#This Row],[Date]],database!A:G,5,)</f>
        <v>99.010900000000007</v>
      </c>
      <c r="C514" s="66">
        <f t="shared" si="7"/>
        <v>-4.1469194312795388E-3</v>
      </c>
      <c r="D514" s="66">
        <f>(Table18[[#This Row],[Index]]-B502)/B502</f>
        <v>8.7219371849365703E-3</v>
      </c>
    </row>
    <row r="515" spans="1:4" x14ac:dyDescent="0.35">
      <c r="A515" s="17">
        <v>41760</v>
      </c>
      <c r="B515" s="58">
        <f>VLOOKUP(Table18[[#This Row],[Date]],database!A:G,5,)</f>
        <v>98.875500000000002</v>
      </c>
      <c r="C515" s="66">
        <f t="shared" si="7"/>
        <v>-1.3675262016606959E-3</v>
      </c>
      <c r="D515" s="66">
        <f>(Table18[[#This Row],[Index]]-B503)/B503</f>
        <v>8.3708379098605731E-3</v>
      </c>
    </row>
    <row r="516" spans="1:4" x14ac:dyDescent="0.35">
      <c r="A516" s="17">
        <v>41791</v>
      </c>
      <c r="B516" s="58">
        <f>VLOOKUP(Table18[[#This Row],[Date]],database!A:G,5,)</f>
        <v>98.903800000000004</v>
      </c>
      <c r="C516" s="66">
        <f t="shared" si="7"/>
        <v>2.8621852734000974E-4</v>
      </c>
      <c r="D516" s="66">
        <f>(Table18[[#This Row],[Index]]-B504)/B504</f>
        <v>5.5010690027825597E-3</v>
      </c>
    </row>
    <row r="517" spans="1:4" x14ac:dyDescent="0.35">
      <c r="A517" s="17">
        <v>41821</v>
      </c>
      <c r="B517" s="58">
        <f>VLOOKUP(Table18[[#This Row],[Date]],database!A:G,5,)</f>
        <v>99.025499999999994</v>
      </c>
      <c r="C517" s="66">
        <f t="shared" si="7"/>
        <v>1.2304886162108897E-3</v>
      </c>
      <c r="D517" s="66">
        <f>(Table18[[#This Row],[Index]]-B505)/B505</f>
        <v>1.6810010227090593E-2</v>
      </c>
    </row>
    <row r="518" spans="1:4" x14ac:dyDescent="0.35">
      <c r="A518" s="17">
        <v>41852</v>
      </c>
      <c r="B518" s="58">
        <f>VLOOKUP(Table18[[#This Row],[Date]],database!A:G,5,)</f>
        <v>98.466800000000006</v>
      </c>
      <c r="C518" s="66">
        <f t="shared" si="7"/>
        <v>-5.6419811058766589E-3</v>
      </c>
      <c r="D518" s="66">
        <f>(Table18[[#This Row],[Index]]-B506)/B506</f>
        <v>5.9344604279063656E-3</v>
      </c>
    </row>
    <row r="519" spans="1:4" x14ac:dyDescent="0.35">
      <c r="A519" s="17">
        <v>41883</v>
      </c>
      <c r="B519" s="58">
        <f>VLOOKUP(Table18[[#This Row],[Date]],database!A:G,5,)</f>
        <v>98.882599999999996</v>
      </c>
      <c r="C519" s="66">
        <f t="shared" si="7"/>
        <v>4.2227430971657487E-3</v>
      </c>
      <c r="D519" s="66">
        <f>(Table18[[#This Row],[Index]]-B507)/B507</f>
        <v>7.1552178089042545E-3</v>
      </c>
    </row>
    <row r="520" spans="1:4" x14ac:dyDescent="0.35">
      <c r="A520" s="17">
        <v>41913</v>
      </c>
      <c r="B520" s="58">
        <f>VLOOKUP(Table18[[#This Row],[Date]],database!A:G,5,)</f>
        <v>98.555199999999999</v>
      </c>
      <c r="C520" s="66">
        <f t="shared" ref="C520:C583" si="8">B520/B519-1</f>
        <v>-3.310997081387379E-3</v>
      </c>
      <c r="D520" s="66">
        <f>(Table18[[#This Row],[Index]]-B508)/B508</f>
        <v>2.2835058818030711E-4</v>
      </c>
    </row>
    <row r="521" spans="1:4" x14ac:dyDescent="0.35">
      <c r="A521" s="17">
        <v>41944</v>
      </c>
      <c r="B521" s="58">
        <f>VLOOKUP(Table18[[#This Row],[Date]],database!A:G,5,)</f>
        <v>100.4474</v>
      </c>
      <c r="C521" s="67">
        <f t="shared" si="8"/>
        <v>1.9199392827572881E-2</v>
      </c>
      <c r="D521" s="66">
        <f>(Table18[[#This Row],[Index]]-B509)/B509</f>
        <v>1.9670144158392591E-2</v>
      </c>
    </row>
    <row r="522" spans="1:4" x14ac:dyDescent="0.35">
      <c r="A522" s="17">
        <v>41974</v>
      </c>
      <c r="B522" s="58">
        <f>VLOOKUP(Table18[[#This Row],[Date]],database!A:G,5,)</f>
        <v>100.12309999999999</v>
      </c>
      <c r="C522" s="66">
        <f t="shared" si="8"/>
        <v>-3.228555442948311E-3</v>
      </c>
      <c r="D522" s="66">
        <f>(Table18[[#This Row],[Index]]-B510)/B510</f>
        <v>8.8610158629715517E-3</v>
      </c>
    </row>
    <row r="523" spans="1:4" x14ac:dyDescent="0.35">
      <c r="A523" s="17">
        <v>42005</v>
      </c>
      <c r="B523" s="58">
        <f>VLOOKUP(Table18[[#This Row],[Date]],database!A:G,5,)</f>
        <v>100.2445</v>
      </c>
      <c r="C523" s="67">
        <f t="shared" si="8"/>
        <v>1.2125074033864092E-3</v>
      </c>
      <c r="D523" s="66">
        <f>(Table18[[#This Row],[Index]]-B511)/B511</f>
        <v>2.6661900918874454E-2</v>
      </c>
    </row>
    <row r="524" spans="1:4" x14ac:dyDescent="0.35">
      <c r="A524" s="17">
        <v>42036</v>
      </c>
      <c r="B524" s="58">
        <f>VLOOKUP(Table18[[#This Row],[Date]],database!A:G,5,)</f>
        <v>99.865600000000001</v>
      </c>
      <c r="C524" s="66">
        <f t="shared" si="8"/>
        <v>-3.7797584904907255E-3</v>
      </c>
      <c r="D524" s="66">
        <f>(Table18[[#This Row],[Index]]-B512)/B512</f>
        <v>1.1098579114584031E-2</v>
      </c>
    </row>
    <row r="525" spans="1:4" x14ac:dyDescent="0.35">
      <c r="A525" s="17">
        <v>42064</v>
      </c>
      <c r="B525" s="58">
        <f>VLOOKUP(Table18[[#This Row],[Date]],database!A:G,5,)</f>
        <v>101.0236</v>
      </c>
      <c r="C525" s="67">
        <f t="shared" si="8"/>
        <v>1.159558446552178E-2</v>
      </c>
      <c r="D525" s="66">
        <f>(Table18[[#This Row],[Index]]-B513)/B513</f>
        <v>1.6096846611253789E-2</v>
      </c>
    </row>
    <row r="526" spans="1:4" x14ac:dyDescent="0.35">
      <c r="A526" s="17">
        <v>42095</v>
      </c>
      <c r="B526" s="58">
        <f>VLOOKUP(Table18[[#This Row],[Date]],database!A:G,5,)</f>
        <v>100.1135</v>
      </c>
      <c r="C526" s="66">
        <f t="shared" si="8"/>
        <v>-9.00878606583011E-3</v>
      </c>
      <c r="D526" s="66">
        <f>(Table18[[#This Row],[Index]]-B514)/B514</f>
        <v>1.1136147636270303E-2</v>
      </c>
    </row>
    <row r="527" spans="1:4" x14ac:dyDescent="0.35">
      <c r="A527" s="17">
        <v>42125</v>
      </c>
      <c r="B527" s="58">
        <f>VLOOKUP(Table18[[#This Row],[Date]],database!A:G,5,)</f>
        <v>99.981700000000004</v>
      </c>
      <c r="C527" s="66">
        <f t="shared" si="8"/>
        <v>-1.3165057659556556E-3</v>
      </c>
      <c r="D527" s="66">
        <f>(Table18[[#This Row],[Index]]-B515)/B515</f>
        <v>1.1187806888460753E-2</v>
      </c>
    </row>
    <row r="528" spans="1:4" x14ac:dyDescent="0.35">
      <c r="A528" s="17">
        <v>42156</v>
      </c>
      <c r="B528" s="58">
        <f>VLOOKUP(Table18[[#This Row],[Date]],database!A:G,5,)</f>
        <v>99.877799999999993</v>
      </c>
      <c r="C528" s="66">
        <f t="shared" si="8"/>
        <v>-1.0391901718015406E-3</v>
      </c>
      <c r="D528" s="66">
        <f>(Table18[[#This Row],[Index]]-B516)/B516</f>
        <v>9.8479532636763147E-3</v>
      </c>
    </row>
    <row r="529" spans="1:4" x14ac:dyDescent="0.35">
      <c r="A529" s="17">
        <v>42186</v>
      </c>
      <c r="B529" s="58">
        <f>VLOOKUP(Table18[[#This Row],[Date]],database!A:G,5,)</f>
        <v>101.4229</v>
      </c>
      <c r="C529" s="66">
        <f t="shared" si="8"/>
        <v>1.5469904222960462E-2</v>
      </c>
      <c r="D529" s="66">
        <f>(Table18[[#This Row],[Index]]-B517)/B517</f>
        <v>2.4209925726201884E-2</v>
      </c>
    </row>
    <row r="530" spans="1:4" x14ac:dyDescent="0.35">
      <c r="A530" s="17">
        <v>42217</v>
      </c>
      <c r="B530" s="58">
        <f>VLOOKUP(Table18[[#This Row],[Date]],database!A:G,5,)</f>
        <v>101.35420000000001</v>
      </c>
      <c r="C530" s="66">
        <f t="shared" si="8"/>
        <v>-6.7736181868194301E-4</v>
      </c>
      <c r="D530" s="66">
        <f>(Table18[[#This Row],[Index]]-B518)/B518</f>
        <v>2.9323589270698339E-2</v>
      </c>
    </row>
    <row r="531" spans="1:4" x14ac:dyDescent="0.35">
      <c r="A531" s="17">
        <v>42248</v>
      </c>
      <c r="B531" s="58">
        <f>VLOOKUP(Table18[[#This Row],[Date]],database!A:G,5,)</f>
        <v>101.06310000000001</v>
      </c>
      <c r="C531" s="66">
        <f t="shared" si="8"/>
        <v>-2.8721059413423511E-3</v>
      </c>
      <c r="D531" s="66">
        <f>(Table18[[#This Row],[Index]]-B519)/B519</f>
        <v>2.2051402370083406E-2</v>
      </c>
    </row>
    <row r="532" spans="1:4" x14ac:dyDescent="0.35">
      <c r="A532" s="17">
        <v>42278</v>
      </c>
      <c r="B532" s="58">
        <f>VLOOKUP(Table18[[#This Row],[Date]],database!A:G,5,)</f>
        <v>100.6614</v>
      </c>
      <c r="C532" s="66">
        <f t="shared" si="8"/>
        <v>-3.9747444913128538E-3</v>
      </c>
      <c r="D532" s="66">
        <f>(Table18[[#This Row],[Index]]-B520)/B520</f>
        <v>2.1370764809974525E-2</v>
      </c>
    </row>
    <row r="533" spans="1:4" x14ac:dyDescent="0.35">
      <c r="A533" s="17">
        <v>42309</v>
      </c>
      <c r="B533" s="58">
        <f>VLOOKUP(Table18[[#This Row],[Date]],database!A:G,5,)</f>
        <v>100.26430000000001</v>
      </c>
      <c r="C533" s="66">
        <f t="shared" si="8"/>
        <v>-3.9449083760010328E-3</v>
      </c>
      <c r="D533" s="66">
        <f>(Table18[[#This Row],[Index]]-B521)/B521</f>
        <v>-1.8228445932895827E-3</v>
      </c>
    </row>
    <row r="534" spans="1:4" x14ac:dyDescent="0.35">
      <c r="A534" s="17">
        <v>42339</v>
      </c>
      <c r="B534" s="58">
        <f>VLOOKUP(Table18[[#This Row],[Date]],database!A:G,5,)</f>
        <v>99.626199999999997</v>
      </c>
      <c r="C534" s="66">
        <f t="shared" si="8"/>
        <v>-6.3641794736511992E-3</v>
      </c>
      <c r="D534" s="66">
        <f>(Table18[[#This Row],[Index]]-B522)/B522</f>
        <v>-4.9628906815709518E-3</v>
      </c>
    </row>
    <row r="535" spans="1:4" x14ac:dyDescent="0.35">
      <c r="A535" s="17">
        <v>42370</v>
      </c>
      <c r="B535" s="58">
        <f>VLOOKUP(Table18[[#This Row],[Date]],database!A:G,5,)</f>
        <v>101.07299999999999</v>
      </c>
      <c r="C535" s="66">
        <f t="shared" si="8"/>
        <v>1.4522284298708499E-2</v>
      </c>
      <c r="D535" s="66">
        <f>(Table18[[#This Row],[Index]]-B523)/B523</f>
        <v>8.2647925821365872E-3</v>
      </c>
    </row>
    <row r="536" spans="1:4" x14ac:dyDescent="0.35">
      <c r="A536" s="17">
        <v>42401</v>
      </c>
      <c r="B536" s="58">
        <f>VLOOKUP(Table18[[#This Row],[Date]],database!A:G,5,)</f>
        <v>100.9036</v>
      </c>
      <c r="C536" s="66">
        <f t="shared" si="8"/>
        <v>-1.676016344622111E-3</v>
      </c>
      <c r="D536" s="66">
        <f>(Table18[[#This Row],[Index]]-B524)/B524</f>
        <v>1.0393969495001249E-2</v>
      </c>
    </row>
    <row r="537" spans="1:4" x14ac:dyDescent="0.35">
      <c r="A537" s="17">
        <v>42430</v>
      </c>
      <c r="B537" s="58">
        <f>VLOOKUP(Table18[[#This Row],[Date]],database!A:G,5,)</f>
        <v>100.1096</v>
      </c>
      <c r="C537" s="66">
        <f t="shared" si="8"/>
        <v>-7.8688966498717816E-3</v>
      </c>
      <c r="D537" s="66">
        <f>(Table18[[#This Row],[Index]]-B525)/B525</f>
        <v>-9.0473909066792462E-3</v>
      </c>
    </row>
    <row r="538" spans="1:4" x14ac:dyDescent="0.35">
      <c r="A538" s="17">
        <v>42461</v>
      </c>
      <c r="B538" s="58">
        <f>VLOOKUP(Table18[[#This Row],[Date]],database!A:G,5,)</f>
        <v>101.1156</v>
      </c>
      <c r="C538" s="66">
        <f t="shared" si="8"/>
        <v>1.004898631100315E-2</v>
      </c>
      <c r="D538" s="66">
        <f>(Table18[[#This Row],[Index]]-B526)/B526</f>
        <v>1.0009639059667263E-2</v>
      </c>
    </row>
    <row r="539" spans="1:4" x14ac:dyDescent="0.35">
      <c r="A539" s="17">
        <v>42491</v>
      </c>
      <c r="B539" s="58">
        <f>VLOOKUP(Table18[[#This Row],[Date]],database!A:G,5,)</f>
        <v>100.7698</v>
      </c>
      <c r="C539" s="66">
        <f t="shared" si="8"/>
        <v>-3.4198481737733877E-3</v>
      </c>
      <c r="D539" s="66">
        <f>(Table18[[#This Row],[Index]]-B527)/B527</f>
        <v>7.8824424869751164E-3</v>
      </c>
    </row>
    <row r="540" spans="1:4" x14ac:dyDescent="0.35">
      <c r="A540" s="17">
        <v>42522</v>
      </c>
      <c r="B540" s="58">
        <f>VLOOKUP(Table18[[#This Row],[Date]],database!A:G,5,)</f>
        <v>101.6818</v>
      </c>
      <c r="C540" s="66">
        <f t="shared" si="8"/>
        <v>9.0503305553846225E-3</v>
      </c>
      <c r="D540" s="66">
        <f>(Table18[[#This Row],[Index]]-B528)/B528</f>
        <v>1.8062071851802926E-2</v>
      </c>
    </row>
    <row r="541" spans="1:4" x14ac:dyDescent="0.35">
      <c r="A541" s="17">
        <v>42552</v>
      </c>
      <c r="B541" s="58">
        <f>VLOOKUP(Table18[[#This Row],[Date]],database!A:G,5,)</f>
        <v>101.53740000000001</v>
      </c>
      <c r="C541" s="66">
        <f t="shared" si="8"/>
        <v>-1.4201164810220268E-3</v>
      </c>
      <c r="D541" s="66">
        <f>(Table18[[#This Row],[Index]]-B529)/B529</f>
        <v>1.128936364470023E-3</v>
      </c>
    </row>
    <row r="542" spans="1:4" x14ac:dyDescent="0.35">
      <c r="A542" s="17">
        <v>42583</v>
      </c>
      <c r="B542" s="58">
        <f>VLOOKUP(Table18[[#This Row],[Date]],database!A:G,5,)</f>
        <v>101.7145</v>
      </c>
      <c r="C542" s="66">
        <f t="shared" si="8"/>
        <v>1.744184901326884E-3</v>
      </c>
      <c r="D542" s="66">
        <f>(Table18[[#This Row],[Index]]-B530)/B530</f>
        <v>3.554860084732504E-3</v>
      </c>
    </row>
    <row r="543" spans="1:4" x14ac:dyDescent="0.35">
      <c r="A543" s="17">
        <v>42614</v>
      </c>
      <c r="B543" s="58">
        <f>VLOOKUP(Table18[[#This Row],[Date]],database!A:G,5,)</f>
        <v>101.497</v>
      </c>
      <c r="C543" s="66">
        <f t="shared" si="8"/>
        <v>-2.1383381917032818E-3</v>
      </c>
      <c r="D543" s="66">
        <f>(Table18[[#This Row],[Index]]-B531)/B531</f>
        <v>4.2933573183485778E-3</v>
      </c>
    </row>
    <row r="544" spans="1:4" x14ac:dyDescent="0.35">
      <c r="A544" s="17">
        <v>42644</v>
      </c>
      <c r="B544" s="58">
        <f>VLOOKUP(Table18[[#This Row],[Date]],database!A:G,5,)</f>
        <v>101.0271</v>
      </c>
      <c r="C544" s="66">
        <f t="shared" si="8"/>
        <v>-4.6296934884774155E-3</v>
      </c>
      <c r="D544" s="66">
        <f>(Table18[[#This Row],[Index]]-B532)/B532</f>
        <v>3.6329715263249259E-3</v>
      </c>
    </row>
    <row r="545" spans="1:4" x14ac:dyDescent="0.35">
      <c r="A545" s="17">
        <v>42675</v>
      </c>
      <c r="B545" s="58">
        <f>VLOOKUP(Table18[[#This Row],[Date]],database!A:G,5,)</f>
        <v>99.943600000000004</v>
      </c>
      <c r="C545" s="66">
        <f t="shared" si="8"/>
        <v>-1.0724845115815507E-2</v>
      </c>
      <c r="D545" s="66">
        <f>(Table18[[#This Row],[Index]]-B533)/B533</f>
        <v>-3.1985462422816713E-3</v>
      </c>
    </row>
    <row r="546" spans="1:4" x14ac:dyDescent="0.35">
      <c r="A546" s="17">
        <v>42705</v>
      </c>
      <c r="B546" s="58">
        <f>VLOOKUP(Table18[[#This Row],[Date]],database!A:G,5,)</f>
        <v>101.4053</v>
      </c>
      <c r="C546" s="66">
        <f t="shared" si="8"/>
        <v>1.4625248640232957E-2</v>
      </c>
      <c r="D546" s="66">
        <f>(Table18[[#This Row],[Index]]-B534)/B534</f>
        <v>1.785775227801522E-2</v>
      </c>
    </row>
    <row r="547" spans="1:4" x14ac:dyDescent="0.35">
      <c r="A547" s="17">
        <v>42736</v>
      </c>
      <c r="B547" s="58">
        <f>VLOOKUP(Table18[[#This Row],[Date]],database!A:G,5,)</f>
        <v>100.14060000000001</v>
      </c>
      <c r="C547" s="66">
        <f t="shared" si="8"/>
        <v>-1.2471734712090843E-2</v>
      </c>
      <c r="D547" s="66">
        <f>(Table18[[#This Row],[Index]]-B535)/B535</f>
        <v>-9.2250155827964652E-3</v>
      </c>
    </row>
    <row r="548" spans="1:4" x14ac:dyDescent="0.35">
      <c r="A548" s="17">
        <v>42767</v>
      </c>
      <c r="B548" s="58">
        <f>VLOOKUP(Table18[[#This Row],[Date]],database!A:G,5,)</f>
        <v>98.7988</v>
      </c>
      <c r="C548" s="66">
        <f t="shared" si="8"/>
        <v>-1.3399160779943409E-2</v>
      </c>
      <c r="D548" s="66">
        <f>(Table18[[#This Row],[Index]]-B536)/B536</f>
        <v>-2.0859513436586975E-2</v>
      </c>
    </row>
    <row r="549" spans="1:4" x14ac:dyDescent="0.35">
      <c r="A549" s="17">
        <v>42795</v>
      </c>
      <c r="B549" s="58">
        <f>VLOOKUP(Table18[[#This Row],[Date]],database!A:G,5,)</f>
        <v>99.514600000000002</v>
      </c>
      <c r="C549" s="66">
        <f t="shared" si="8"/>
        <v>7.2450272675377292E-3</v>
      </c>
      <c r="D549" s="66">
        <f>(Table18[[#This Row],[Index]]-B537)/B537</f>
        <v>-5.943485939410395E-3</v>
      </c>
    </row>
    <row r="550" spans="1:4" x14ac:dyDescent="0.35">
      <c r="A550" s="17">
        <v>42826</v>
      </c>
      <c r="B550" s="58">
        <f>VLOOKUP(Table18[[#This Row],[Date]],database!A:G,5,)</f>
        <v>100.3398</v>
      </c>
      <c r="C550" s="66">
        <f t="shared" si="8"/>
        <v>8.2922505843363581E-3</v>
      </c>
      <c r="D550" s="66">
        <f>(Table18[[#This Row],[Index]]-B538)/B538</f>
        <v>-7.6724066316177109E-3</v>
      </c>
    </row>
    <row r="551" spans="1:4" x14ac:dyDescent="0.35">
      <c r="A551" s="17">
        <v>42856</v>
      </c>
      <c r="B551" s="58">
        <f>VLOOKUP(Table18[[#This Row],[Date]],database!A:G,5,)</f>
        <v>100.7988</v>
      </c>
      <c r="C551" s="66">
        <f t="shared" si="8"/>
        <v>4.5744559985170241E-3</v>
      </c>
      <c r="D551" s="66">
        <f>(Table18[[#This Row],[Index]]-B539)/B539</f>
        <v>2.8778463388829154E-4</v>
      </c>
    </row>
    <row r="552" spans="1:4" x14ac:dyDescent="0.35">
      <c r="A552" s="17">
        <v>42887</v>
      </c>
      <c r="B552" s="58">
        <f>VLOOKUP(Table18[[#This Row],[Date]],database!A:G,5,)</f>
        <v>100.31010000000001</v>
      </c>
      <c r="C552" s="66">
        <f t="shared" si="8"/>
        <v>-4.8482720032381188E-3</v>
      </c>
      <c r="D552" s="66">
        <f>(Table18[[#This Row],[Index]]-B540)/B540</f>
        <v>-1.3490123109543596E-2</v>
      </c>
    </row>
    <row r="553" spans="1:4" x14ac:dyDescent="0.35">
      <c r="A553" s="17">
        <v>42917</v>
      </c>
      <c r="B553" s="58">
        <f>VLOOKUP(Table18[[#This Row],[Date]],database!A:G,5,)</f>
        <v>99.972800000000007</v>
      </c>
      <c r="C553" s="66">
        <f t="shared" si="8"/>
        <v>-3.3625726621745455E-3</v>
      </c>
      <c r="D553" s="66">
        <f>(Table18[[#This Row],[Index]]-B541)/B541</f>
        <v>-1.5409100489080856E-2</v>
      </c>
    </row>
    <row r="554" spans="1:4" x14ac:dyDescent="0.35">
      <c r="A554" s="17">
        <v>42948</v>
      </c>
      <c r="B554" s="58">
        <f>VLOOKUP(Table18[[#This Row],[Date]],database!A:G,5,)</f>
        <v>99.767799999999994</v>
      </c>
      <c r="C554" s="66">
        <f t="shared" si="8"/>
        <v>-2.0505577517085927E-3</v>
      </c>
      <c r="D554" s="66">
        <f>(Table18[[#This Row],[Index]]-B542)/B542</f>
        <v>-1.9138864173741277E-2</v>
      </c>
    </row>
    <row r="555" spans="1:4" x14ac:dyDescent="0.35">
      <c r="A555" s="17">
        <v>42979</v>
      </c>
      <c r="B555" s="58">
        <f>VLOOKUP(Table18[[#This Row],[Date]],database!A:G,5,)</f>
        <v>99.666499999999999</v>
      </c>
      <c r="C555" s="66">
        <f t="shared" si="8"/>
        <v>-1.0153576604875481E-3</v>
      </c>
      <c r="D555" s="66">
        <f>(Table18[[#This Row],[Index]]-B543)/B543</f>
        <v>-1.8035015813275275E-2</v>
      </c>
    </row>
    <row r="556" spans="1:4" x14ac:dyDescent="0.35">
      <c r="A556" s="17">
        <v>43009</v>
      </c>
      <c r="B556" s="58">
        <f>VLOOKUP(Table18[[#This Row],[Date]],database!A:G,5,)</f>
        <v>100.47110000000001</v>
      </c>
      <c r="C556" s="66">
        <f t="shared" si="8"/>
        <v>8.0729231988683203E-3</v>
      </c>
      <c r="D556" s="66">
        <f>(Table18[[#This Row],[Index]]-B544)/B544</f>
        <v>-5.5034738203907406E-3</v>
      </c>
    </row>
    <row r="557" spans="1:4" x14ac:dyDescent="0.35">
      <c r="A557" s="17">
        <v>43040</v>
      </c>
      <c r="B557" s="58">
        <f>VLOOKUP(Table18[[#This Row],[Date]],database!A:G,5,)</f>
        <v>99.944500000000005</v>
      </c>
      <c r="C557" s="66">
        <f t="shared" si="8"/>
        <v>-5.2413081970835718E-3</v>
      </c>
      <c r="D557" s="66">
        <f>(Table18[[#This Row],[Index]]-B545)/B545</f>
        <v>9.0050788644941259E-6</v>
      </c>
    </row>
    <row r="558" spans="1:4" x14ac:dyDescent="0.35">
      <c r="A558" s="17">
        <v>43070</v>
      </c>
      <c r="B558" s="58">
        <f>VLOOKUP(Table18[[#This Row],[Date]],database!A:G,5,)</f>
        <v>100.2747</v>
      </c>
      <c r="C558" s="66">
        <f t="shared" si="8"/>
        <v>3.3038336276631775E-3</v>
      </c>
      <c r="D558" s="66">
        <f>(Table18[[#This Row],[Index]]-B546)/B546</f>
        <v>-1.1149318625357858E-2</v>
      </c>
    </row>
    <row r="559" spans="1:4" x14ac:dyDescent="0.35">
      <c r="A559" s="17">
        <v>43101</v>
      </c>
      <c r="B559" s="58">
        <f>VLOOKUP(Table18[[#This Row],[Date]],database!A:G,5,)</f>
        <v>100.72669999999999</v>
      </c>
      <c r="C559" s="66">
        <f t="shared" si="8"/>
        <v>4.507617574522671E-3</v>
      </c>
      <c r="D559" s="66">
        <f>(Table18[[#This Row],[Index]]-B547)/B547</f>
        <v>5.8527710039682967E-3</v>
      </c>
    </row>
    <row r="560" spans="1:4" x14ac:dyDescent="0.35">
      <c r="A560" s="17">
        <v>43132</v>
      </c>
      <c r="B560" s="58">
        <f>VLOOKUP(Table18[[#This Row],[Date]],database!A:G,5,)</f>
        <v>100.1498</v>
      </c>
      <c r="C560" s="66">
        <f t="shared" si="8"/>
        <v>-5.7273791358199988E-3</v>
      </c>
      <c r="D560" s="66">
        <f>(Table18[[#This Row],[Index]]-B548)/B548</f>
        <v>1.3674255152896584E-2</v>
      </c>
    </row>
    <row r="561" spans="1:4" x14ac:dyDescent="0.35">
      <c r="A561" s="17">
        <v>43160</v>
      </c>
      <c r="B561" s="58">
        <f>VLOOKUP(Table18[[#This Row],[Date]],database!A:G,5,)</f>
        <v>100.5068</v>
      </c>
      <c r="C561" s="66">
        <f t="shared" si="8"/>
        <v>3.5646601391114974E-3</v>
      </c>
      <c r="D561" s="66">
        <f>(Table18[[#This Row],[Index]]-B549)/B549</f>
        <v>9.9703963036579246E-3</v>
      </c>
    </row>
    <row r="562" spans="1:4" x14ac:dyDescent="0.35">
      <c r="A562" s="17">
        <v>43191</v>
      </c>
      <c r="B562" s="58">
        <f>VLOOKUP(Table18[[#This Row],[Date]],database!A:G,5,)</f>
        <v>102.2392</v>
      </c>
      <c r="C562" s="66">
        <f t="shared" si="8"/>
        <v>1.7236644684737623E-2</v>
      </c>
      <c r="D562" s="66">
        <f>(Table18[[#This Row],[Index]]-B550)/B550</f>
        <v>1.8929676957697743E-2</v>
      </c>
    </row>
    <row r="563" spans="1:4" x14ac:dyDescent="0.35">
      <c r="A563" s="17">
        <v>43221</v>
      </c>
      <c r="B563" s="58">
        <f>VLOOKUP(Table18[[#This Row],[Date]],database!A:G,5,)</f>
        <v>99.483999999999995</v>
      </c>
      <c r="C563" s="66">
        <f t="shared" si="8"/>
        <v>-2.6948567672673507E-2</v>
      </c>
      <c r="D563" s="66">
        <f>(Table18[[#This Row],[Index]]-B551)/B551</f>
        <v>-1.3043806077056526E-2</v>
      </c>
    </row>
    <row r="564" spans="1:4" x14ac:dyDescent="0.35">
      <c r="A564" s="17">
        <v>43252</v>
      </c>
      <c r="B564" s="58">
        <f>VLOOKUP(Table18[[#This Row],[Date]],database!A:G,5,)</f>
        <v>100.4302</v>
      </c>
      <c r="C564" s="66">
        <f t="shared" si="8"/>
        <v>9.5110771581359277E-3</v>
      </c>
      <c r="D564" s="66">
        <f>(Table18[[#This Row],[Index]]-B552)/B552</f>
        <v>1.1972872123544255E-3</v>
      </c>
    </row>
    <row r="565" spans="1:4" x14ac:dyDescent="0.35">
      <c r="A565" s="17">
        <v>43282</v>
      </c>
      <c r="B565" s="58">
        <f>VLOOKUP(Table18[[#This Row],[Date]],database!A:G,5,)</f>
        <v>100.3079</v>
      </c>
      <c r="C565" s="66">
        <f t="shared" si="8"/>
        <v>-1.2177611913547493E-3</v>
      </c>
      <c r="D565" s="66">
        <f>(Table18[[#This Row],[Index]]-B553)/B553</f>
        <v>3.3519117199878072E-3</v>
      </c>
    </row>
    <row r="566" spans="1:4" x14ac:dyDescent="0.35">
      <c r="A566" s="17">
        <v>43313</v>
      </c>
      <c r="B566" s="58">
        <f>VLOOKUP(Table18[[#This Row],[Date]],database!A:G,5,)</f>
        <v>101.1618</v>
      </c>
      <c r="C566" s="66">
        <f t="shared" si="8"/>
        <v>8.5127891222924745E-3</v>
      </c>
      <c r="D566" s="66">
        <f>(Table18[[#This Row],[Index]]-B554)/B554</f>
        <v>1.3972444015002892E-2</v>
      </c>
    </row>
    <row r="567" spans="1:4" x14ac:dyDescent="0.35">
      <c r="A567" s="17">
        <v>43344</v>
      </c>
      <c r="B567" s="58">
        <f>VLOOKUP(Table18[[#This Row],[Date]],database!A:G,5,)</f>
        <v>101.1465</v>
      </c>
      <c r="C567" s="66">
        <f t="shared" si="8"/>
        <v>-1.5124286044732038E-4</v>
      </c>
      <c r="D567" s="66">
        <f>(Table18[[#This Row],[Index]]-B555)/B555</f>
        <v>1.4849523159737765E-2</v>
      </c>
    </row>
    <row r="568" spans="1:4" x14ac:dyDescent="0.35">
      <c r="A568" s="17">
        <v>43374</v>
      </c>
      <c r="B568" s="58">
        <f>VLOOKUP(Table18[[#This Row],[Date]],database!A:G,5,)</f>
        <v>101.1639</v>
      </c>
      <c r="C568" s="66">
        <f t="shared" si="8"/>
        <v>1.7202770239199694E-4</v>
      </c>
      <c r="D568" s="66">
        <f>(Table18[[#This Row],[Index]]-B556)/B556</f>
        <v>6.8955152277619253E-3</v>
      </c>
    </row>
    <row r="569" spans="1:4" x14ac:dyDescent="0.35">
      <c r="A569" s="17">
        <v>43405</v>
      </c>
      <c r="B569" s="58">
        <f>VLOOKUP(Table18[[#This Row],[Date]],database!A:G,5,)</f>
        <v>101.2022</v>
      </c>
      <c r="C569" s="66">
        <f t="shared" si="8"/>
        <v>3.7859354967539893E-4</v>
      </c>
      <c r="D569" s="66">
        <f>(Table18[[#This Row],[Index]]-B557)/B557</f>
        <v>1.2583984111181704E-2</v>
      </c>
    </row>
    <row r="570" spans="1:4" x14ac:dyDescent="0.35">
      <c r="A570" s="17">
        <v>43435</v>
      </c>
      <c r="B570" s="58">
        <f>VLOOKUP(Table18[[#This Row],[Date]],database!A:G,5,)</f>
        <v>100.9555</v>
      </c>
      <c r="C570" s="66">
        <f t="shared" si="8"/>
        <v>-2.4376940422243809E-3</v>
      </c>
      <c r="D570" s="66">
        <f>(Table18[[#This Row],[Index]]-B558)/B558</f>
        <v>6.7893496564936616E-3</v>
      </c>
    </row>
    <row r="571" spans="1:4" x14ac:dyDescent="0.35">
      <c r="A571" s="17">
        <v>43466</v>
      </c>
      <c r="B571" s="58">
        <f>VLOOKUP(Table18[[#This Row],[Date]],database!A:G,5,)</f>
        <v>100.23739999999999</v>
      </c>
      <c r="C571" s="66">
        <f t="shared" si="8"/>
        <v>-7.1130349510428736E-3</v>
      </c>
      <c r="D571" s="66">
        <f>(Table18[[#This Row],[Index]]-B559)/B559</f>
        <v>-4.8576991006356813E-3</v>
      </c>
    </row>
    <row r="572" spans="1:4" x14ac:dyDescent="0.35">
      <c r="A572" s="17">
        <v>43497</v>
      </c>
      <c r="B572" s="58">
        <f>VLOOKUP(Table18[[#This Row],[Date]],database!A:G,5,)</f>
        <v>100.55329999999999</v>
      </c>
      <c r="C572" s="66">
        <f t="shared" si="8"/>
        <v>3.151518295566369E-3</v>
      </c>
      <c r="D572" s="66">
        <f>(Table18[[#This Row],[Index]]-B560)/B560</f>
        <v>4.0289646110126427E-3</v>
      </c>
    </row>
    <row r="573" spans="1:4" x14ac:dyDescent="0.35">
      <c r="A573" s="17">
        <v>43525</v>
      </c>
      <c r="B573" s="58">
        <f>VLOOKUP(Table18[[#This Row],[Date]],database!A:G,5,)</f>
        <v>101.0626</v>
      </c>
      <c r="C573" s="66">
        <f t="shared" si="8"/>
        <v>5.0649754906104683E-3</v>
      </c>
      <c r="D573" s="66">
        <f>(Table18[[#This Row],[Index]]-B561)/B561</f>
        <v>5.529974091305314E-3</v>
      </c>
    </row>
    <row r="574" spans="1:4" x14ac:dyDescent="0.35">
      <c r="A574" s="17">
        <v>43556</v>
      </c>
      <c r="B574" s="58">
        <f>VLOOKUP(Table18[[#This Row],[Date]],database!A:G,5,)</f>
        <v>99.741299999999995</v>
      </c>
      <c r="C574" s="66">
        <f t="shared" si="8"/>
        <v>-1.3074074880321751E-2</v>
      </c>
      <c r="D574" s="66">
        <f>(Table18[[#This Row],[Index]]-B562)/B562</f>
        <v>-2.4431920437562125E-2</v>
      </c>
    </row>
    <row r="575" spans="1:4" x14ac:dyDescent="0.35">
      <c r="A575" s="17">
        <v>43586</v>
      </c>
      <c r="B575" s="58">
        <f>VLOOKUP(Table18[[#This Row],[Date]],database!A:G,5,)</f>
        <v>100.2936</v>
      </c>
      <c r="C575" s="66">
        <f t="shared" si="8"/>
        <v>5.5373250599299872E-3</v>
      </c>
      <c r="D575" s="66">
        <f>(Table18[[#This Row],[Index]]-B563)/B563</f>
        <v>8.1379920389208649E-3</v>
      </c>
    </row>
    <row r="576" spans="1:4" x14ac:dyDescent="0.35">
      <c r="A576" s="17">
        <v>43617</v>
      </c>
      <c r="B576" s="58">
        <f>VLOOKUP(Table18[[#This Row],[Date]],database!A:G,5,)</f>
        <v>100.89919999999999</v>
      </c>
      <c r="C576" s="66">
        <f t="shared" si="8"/>
        <v>6.0382716344811183E-3</v>
      </c>
      <c r="D576" s="66">
        <f>(Table18[[#This Row],[Index]]-B564)/B564</f>
        <v>4.669910046977842E-3</v>
      </c>
    </row>
    <row r="577" spans="1:4" x14ac:dyDescent="0.35">
      <c r="A577" s="17">
        <v>43647</v>
      </c>
      <c r="B577" s="58">
        <f>VLOOKUP(Table18[[#This Row],[Date]],database!A:G,5,)</f>
        <v>100.6116</v>
      </c>
      <c r="C577" s="66">
        <f t="shared" si="8"/>
        <v>-2.8503694776569333E-3</v>
      </c>
      <c r="D577" s="66">
        <f>(Table18[[#This Row],[Index]]-B565)/B565</f>
        <v>3.0276777801149469E-3</v>
      </c>
    </row>
    <row r="578" spans="1:4" x14ac:dyDescent="0.35">
      <c r="A578" s="17">
        <v>43678</v>
      </c>
      <c r="B578" s="58">
        <f>VLOOKUP(Table18[[#This Row],[Date]],database!A:G,5,)</f>
        <v>100.9573</v>
      </c>
      <c r="C578" s="66">
        <f t="shared" si="8"/>
        <v>3.4359855126049332E-3</v>
      </c>
      <c r="D578" s="66">
        <f>(Table18[[#This Row],[Index]]-B566)/B566</f>
        <v>-2.0215140497697342E-3</v>
      </c>
    </row>
    <row r="579" spans="1:4" x14ac:dyDescent="0.35">
      <c r="A579" s="17">
        <v>43709</v>
      </c>
      <c r="B579" s="58">
        <f>VLOOKUP(Table18[[#This Row],[Date]],database!A:G,5,)</f>
        <v>100.2008</v>
      </c>
      <c r="C579" s="66">
        <f t="shared" si="8"/>
        <v>-7.4932669554356179E-3</v>
      </c>
      <c r="D579" s="66">
        <f>(Table18[[#This Row],[Index]]-B567)/B567</f>
        <v>-9.3498044915049181E-3</v>
      </c>
    </row>
    <row r="580" spans="1:4" x14ac:dyDescent="0.35">
      <c r="A580" s="17">
        <v>43739</v>
      </c>
      <c r="B580" s="58">
        <f>VLOOKUP(Table18[[#This Row],[Date]],database!A:G,5,)</f>
        <v>99.954400000000007</v>
      </c>
      <c r="C580" s="66">
        <f t="shared" si="8"/>
        <v>-2.4590622030961073E-3</v>
      </c>
      <c r="D580" s="66">
        <f>(Table18[[#This Row],[Index]]-B568)/B568</f>
        <v>-1.1955845909459712E-2</v>
      </c>
    </row>
    <row r="581" spans="1:4" x14ac:dyDescent="0.35">
      <c r="A581" s="17">
        <v>43770</v>
      </c>
      <c r="B581" s="58">
        <f>VLOOKUP(Table18[[#This Row],[Date]],database!A:G,5,)</f>
        <v>101.2811</v>
      </c>
      <c r="C581" s="66">
        <f t="shared" si="8"/>
        <v>1.3273052511945327E-2</v>
      </c>
      <c r="D581" s="66">
        <f>(Table18[[#This Row],[Index]]-B569)/B569</f>
        <v>7.7962732035459894E-4</v>
      </c>
    </row>
    <row r="582" spans="1:4" x14ac:dyDescent="0.35">
      <c r="A582" s="17">
        <v>43800</v>
      </c>
      <c r="B582" s="58">
        <f>VLOOKUP(Table18[[#This Row],[Date]],database!A:G,5,)</f>
        <v>100.44540000000001</v>
      </c>
      <c r="C582" s="66">
        <f t="shared" si="8"/>
        <v>-8.2512926893565375E-3</v>
      </c>
      <c r="D582" s="66">
        <f>(Table18[[#This Row],[Index]]-B570)/B570</f>
        <v>-5.0527212484708034E-3</v>
      </c>
    </row>
    <row r="583" spans="1:4" x14ac:dyDescent="0.35">
      <c r="A583" s="17">
        <v>43831</v>
      </c>
      <c r="B583" s="58">
        <f>VLOOKUP(Table18[[#This Row],[Date]],database!A:G,5,)</f>
        <v>100.0985</v>
      </c>
      <c r="C583" s="66">
        <f t="shared" si="8"/>
        <v>-3.4536175872663666E-3</v>
      </c>
      <c r="D583" s="66">
        <f>(Table18[[#This Row],[Index]]-B571)/B571</f>
        <v>-1.3857103236914812E-3</v>
      </c>
    </row>
    <row r="584" spans="1:4" x14ac:dyDescent="0.35">
      <c r="A584" s="17">
        <v>43862</v>
      </c>
      <c r="B584" s="58">
        <f>VLOOKUP(Table18[[#This Row],[Date]],database!A:G,5,)</f>
        <v>101.1524</v>
      </c>
      <c r="C584" s="66">
        <f t="shared" ref="C584:C647" si="9">B584/B583-1</f>
        <v>1.0528629300139425E-2</v>
      </c>
      <c r="D584" s="66">
        <f>(Table18[[#This Row],[Index]]-B572)/B572</f>
        <v>5.958034196789236E-3</v>
      </c>
    </row>
    <row r="585" spans="1:4" x14ac:dyDescent="0.35">
      <c r="A585" s="17">
        <v>43891</v>
      </c>
      <c r="B585" s="58">
        <f>VLOOKUP(Table18[[#This Row],[Date]],database!A:G,5,)</f>
        <v>96.3369</v>
      </c>
      <c r="C585" s="66">
        <f t="shared" si="9"/>
        <v>-4.7606384030433269E-2</v>
      </c>
      <c r="D585" s="66">
        <f>(Table18[[#This Row],[Index]]-B573)/B573</f>
        <v>-4.6760126891649365E-2</v>
      </c>
    </row>
    <row r="586" spans="1:4" x14ac:dyDescent="0.35">
      <c r="A586" s="17">
        <v>43922</v>
      </c>
      <c r="B586" s="58">
        <f>VLOOKUP(Table18[[#This Row],[Date]],database!A:G,5,)</f>
        <v>85.209199999999996</v>
      </c>
      <c r="C586" s="66">
        <f t="shared" si="9"/>
        <v>-0.11550818014696351</v>
      </c>
      <c r="D586" s="66">
        <f>(Table18[[#This Row],[Index]]-B574)/B574</f>
        <v>-0.14569792052038624</v>
      </c>
    </row>
    <row r="587" spans="1:4" x14ac:dyDescent="0.35">
      <c r="A587" s="17">
        <v>43952</v>
      </c>
      <c r="B587" s="58">
        <f>VLOOKUP(Table18[[#This Row],[Date]],database!A:G,5,)</f>
        <v>88.910899999999998</v>
      </c>
      <c r="C587" s="66">
        <f t="shared" si="9"/>
        <v>4.344249212526341E-2</v>
      </c>
      <c r="D587" s="66">
        <f>(Table18[[#This Row],[Index]]-B575)/B575</f>
        <v>-0.11349378225529845</v>
      </c>
    </row>
    <row r="588" spans="1:4" x14ac:dyDescent="0.35">
      <c r="A588" s="17">
        <v>43983</v>
      </c>
      <c r="B588" s="58">
        <f>VLOOKUP(Table18[[#This Row],[Date]],database!A:G,5,)</f>
        <v>96.627099999999999</v>
      </c>
      <c r="C588" s="66">
        <f t="shared" si="9"/>
        <v>8.6785759676260232E-2</v>
      </c>
      <c r="D588" s="66">
        <f>(Table18[[#This Row],[Index]]-B576)/B576</f>
        <v>-4.2340276236085071E-2</v>
      </c>
    </row>
    <row r="589" spans="1:4" x14ac:dyDescent="0.35">
      <c r="A589" s="17">
        <v>44013</v>
      </c>
      <c r="B589" s="58">
        <f>VLOOKUP(Table18[[#This Row],[Date]],database!A:G,5,)</f>
        <v>101.0609</v>
      </c>
      <c r="C589" s="66">
        <f t="shared" si="9"/>
        <v>4.5885678034423005E-2</v>
      </c>
      <c r="D589" s="66">
        <f>(Table18[[#This Row],[Index]]-B577)/B577</f>
        <v>4.4656878530905785E-3</v>
      </c>
    </row>
    <row r="590" spans="1:4" x14ac:dyDescent="0.35">
      <c r="A590" s="17">
        <v>44044</v>
      </c>
      <c r="B590" s="58">
        <f>VLOOKUP(Table18[[#This Row],[Date]],database!A:G,5,)</f>
        <v>101.8092</v>
      </c>
      <c r="C590" s="66">
        <f t="shared" si="9"/>
        <v>7.4044462299465152E-3</v>
      </c>
      <c r="D590" s="66">
        <f>(Table18[[#This Row],[Index]]-B578)/B578</f>
        <v>8.4382209112169263E-3</v>
      </c>
    </row>
    <row r="591" spans="1:4" x14ac:dyDescent="0.35">
      <c r="A591" s="17">
        <v>44075</v>
      </c>
      <c r="B591" s="58">
        <f>VLOOKUP(Table18[[#This Row],[Date]],database!A:G,5,)</f>
        <v>100.34650000000001</v>
      </c>
      <c r="C591" s="66">
        <f t="shared" si="9"/>
        <v>-1.4367070952330474E-2</v>
      </c>
      <c r="D591" s="66">
        <f>(Table18[[#This Row],[Index]]-B579)/B579</f>
        <v>1.454080206944506E-3</v>
      </c>
    </row>
    <row r="592" spans="1:4" x14ac:dyDescent="0.35">
      <c r="A592" s="17">
        <v>44105</v>
      </c>
      <c r="B592" s="58">
        <f>VLOOKUP(Table18[[#This Row],[Date]],database!A:G,5,)</f>
        <v>100.69</v>
      </c>
      <c r="C592" s="66">
        <f t="shared" si="9"/>
        <v>3.4231388239749361E-3</v>
      </c>
      <c r="D592" s="66">
        <f>(Table18[[#This Row],[Index]]-B580)/B580</f>
        <v>7.35935586627493E-3</v>
      </c>
    </row>
    <row r="593" spans="1:4" x14ac:dyDescent="0.35">
      <c r="A593" s="17">
        <v>44136</v>
      </c>
      <c r="B593" s="58">
        <f>VLOOKUP(Table18[[#This Row],[Date]],database!A:G,5,)</f>
        <v>100.6807</v>
      </c>
      <c r="C593" s="66">
        <f t="shared" si="9"/>
        <v>-9.2362697387993187E-5</v>
      </c>
      <c r="D593" s="66">
        <f>(Table18[[#This Row],[Index]]-B581)/B581</f>
        <v>-5.9280556787001072E-3</v>
      </c>
    </row>
    <row r="594" spans="1:4" x14ac:dyDescent="0.35">
      <c r="A594" s="17">
        <v>44166</v>
      </c>
      <c r="B594" s="58">
        <f>VLOOKUP(Table18[[#This Row],[Date]],database!A:G,5,)</f>
        <v>102.2358</v>
      </c>
      <c r="C594" s="66">
        <f t="shared" si="9"/>
        <v>1.5445860030770531E-2</v>
      </c>
      <c r="D594" s="66">
        <f>(Table18[[#This Row],[Index]]-B582)/B582</f>
        <v>1.7824609190664691E-2</v>
      </c>
    </row>
    <row r="595" spans="1:4" x14ac:dyDescent="0.35">
      <c r="A595" s="17">
        <v>44197</v>
      </c>
      <c r="B595" s="58">
        <f>VLOOKUP(Table18[[#This Row],[Date]],database!A:G,5,)</f>
        <v>103.2543</v>
      </c>
      <c r="C595" s="66">
        <f t="shared" si="9"/>
        <v>9.9622637080161169E-3</v>
      </c>
      <c r="D595" s="66">
        <f>(Table18[[#This Row],[Index]]-B583)/B583</f>
        <v>3.1526945958231134E-2</v>
      </c>
    </row>
    <row r="596" spans="1:4" x14ac:dyDescent="0.35">
      <c r="A596" s="17">
        <v>44228</v>
      </c>
      <c r="B596" s="58">
        <f>VLOOKUP(Table18[[#This Row],[Date]],database!A:G,5,)</f>
        <v>100.9525</v>
      </c>
      <c r="C596" s="66">
        <f t="shared" si="9"/>
        <v>-2.2292534063956704E-2</v>
      </c>
      <c r="D596" s="66">
        <f>(Table18[[#This Row],[Index]]-B584)/B584</f>
        <v>-1.9762259718998218E-3</v>
      </c>
    </row>
    <row r="597" spans="1:4" x14ac:dyDescent="0.35">
      <c r="A597" s="17">
        <v>44256</v>
      </c>
      <c r="B597" s="58">
        <f>VLOOKUP(Table18[[#This Row],[Date]],database!A:G,5,)</f>
        <v>102.185</v>
      </c>
      <c r="C597" s="66">
        <f t="shared" si="9"/>
        <v>1.2208712018028312E-2</v>
      </c>
      <c r="D597" s="66">
        <f>(Table18[[#This Row],[Index]]-B585)/B585</f>
        <v>6.0704672871973279E-2</v>
      </c>
    </row>
    <row r="598" spans="1:4" x14ac:dyDescent="0.35">
      <c r="A598" s="17">
        <v>44287</v>
      </c>
      <c r="B598" s="58">
        <f>VLOOKUP(Table18[[#This Row],[Date]],database!A:G,5,)</f>
        <v>101.67359999999999</v>
      </c>
      <c r="C598" s="66">
        <f t="shared" si="9"/>
        <v>-5.0046484317659568E-3</v>
      </c>
      <c r="D598" s="66">
        <f>(Table18[[#This Row],[Index]]-B586)/B586</f>
        <v>0.19322326697117212</v>
      </c>
    </row>
    <row r="599" spans="1:4" x14ac:dyDescent="0.35">
      <c r="A599" s="17">
        <v>44317</v>
      </c>
      <c r="B599" s="58">
        <f>VLOOKUP(Table18[[#This Row],[Date]],database!A:G,5,)</f>
        <v>102.22369999999999</v>
      </c>
      <c r="C599" s="66">
        <f t="shared" si="9"/>
        <v>5.4104506971328625E-3</v>
      </c>
      <c r="D599" s="66">
        <f>(Table18[[#This Row],[Index]]-B587)/B587</f>
        <v>0.14973192263265805</v>
      </c>
    </row>
    <row r="600" spans="1:4" x14ac:dyDescent="0.35">
      <c r="A600" s="17">
        <v>44348</v>
      </c>
      <c r="B600" s="58">
        <f>VLOOKUP(Table18[[#This Row],[Date]],database!A:G,5,)</f>
        <v>102.1322</v>
      </c>
      <c r="C600" s="66">
        <f t="shared" si="9"/>
        <v>-8.9509575568091915E-4</v>
      </c>
      <c r="D600" s="66">
        <f>(Table18[[#This Row],[Index]]-B588)/B588</f>
        <v>5.6972629831589676E-2</v>
      </c>
    </row>
    <row r="601" spans="1:4" x14ac:dyDescent="0.35">
      <c r="A601" s="17">
        <v>44378</v>
      </c>
      <c r="B601" s="58">
        <f>VLOOKUP(Table18[[#This Row],[Date]],database!A:G,5,)</f>
        <v>102.682</v>
      </c>
      <c r="C601" s="66">
        <f t="shared" si="9"/>
        <v>5.3832190043885397E-3</v>
      </c>
      <c r="D601" s="66">
        <f>(Table18[[#This Row],[Index]]-B589)/B589</f>
        <v>1.6040822909750441E-2</v>
      </c>
    </row>
    <row r="602" spans="1:4" x14ac:dyDescent="0.35">
      <c r="A602" s="17">
        <v>44409</v>
      </c>
      <c r="B602" s="58">
        <f>VLOOKUP(Table18[[#This Row],[Date]],database!A:G,5,)</f>
        <v>102.52379999999999</v>
      </c>
      <c r="C602" s="66">
        <f t="shared" si="9"/>
        <v>-1.5406789895016093E-3</v>
      </c>
      <c r="D602" s="66">
        <f>(Table18[[#This Row],[Index]]-B590)/B590</f>
        <v>7.0190120342757834E-3</v>
      </c>
    </row>
    <row r="603" spans="1:4" x14ac:dyDescent="0.35">
      <c r="A603" s="17">
        <v>44440</v>
      </c>
      <c r="B603" s="58">
        <f>VLOOKUP(Table18[[#This Row],[Date]],database!A:G,5,)</f>
        <v>101.6084</v>
      </c>
      <c r="C603" s="66">
        <f t="shared" si="9"/>
        <v>-8.9286585163639298E-3</v>
      </c>
      <c r="D603" s="66">
        <f>(Table18[[#This Row],[Index]]-B591)/B591</f>
        <v>1.2575426148395779E-2</v>
      </c>
    </row>
    <row r="604" spans="1:4" x14ac:dyDescent="0.35">
      <c r="A604" s="17">
        <v>44470</v>
      </c>
      <c r="B604" s="58">
        <f>VLOOKUP(Table18[[#This Row],[Date]],database!A:G,5,)</f>
        <v>102.3657</v>
      </c>
      <c r="C604" s="66">
        <f t="shared" si="9"/>
        <v>7.4531239543187411E-3</v>
      </c>
      <c r="D604" s="66">
        <f>(Table18[[#This Row],[Index]]-B592)/B592</f>
        <v>1.6642169033667754E-2</v>
      </c>
    </row>
    <row r="605" spans="1:4" x14ac:dyDescent="0.35">
      <c r="A605" s="17">
        <v>44501</v>
      </c>
      <c r="B605" s="58">
        <f>VLOOKUP(Table18[[#This Row],[Date]],database!A:G,5,)</f>
        <v>102.97709999999999</v>
      </c>
      <c r="C605" s="66">
        <f t="shared" si="9"/>
        <v>5.9727037474466282E-3</v>
      </c>
      <c r="D605" s="66">
        <f>(Table18[[#This Row],[Index]]-B593)/B593</f>
        <v>2.2808740900688924E-2</v>
      </c>
    </row>
    <row r="606" spans="1:4" x14ac:dyDescent="0.35">
      <c r="A606" s="17">
        <v>44531</v>
      </c>
      <c r="B606" s="58">
        <f>VLOOKUP(Table18[[#This Row],[Date]],database!A:G,5,)</f>
        <v>102.6412</v>
      </c>
      <c r="C606" s="66">
        <f t="shared" si="9"/>
        <v>-3.261890264922962E-3</v>
      </c>
      <c r="D606" s="66">
        <f>(Table18[[#This Row],[Index]]-B594)/B594</f>
        <v>3.965342864241295E-3</v>
      </c>
    </row>
    <row r="607" spans="1:4" x14ac:dyDescent="0.35">
      <c r="A607" s="17">
        <v>44562</v>
      </c>
      <c r="B607" s="58">
        <f>VLOOKUP(Table18[[#This Row],[Date]],database!A:G,5,)</f>
        <v>104.2414</v>
      </c>
      <c r="C607" s="66">
        <f t="shared" si="9"/>
        <v>1.5590230823490092E-2</v>
      </c>
      <c r="D607" s="66">
        <f>(Table18[[#This Row],[Index]]-B595)/B595</f>
        <v>9.5598924209451628E-3</v>
      </c>
    </row>
    <row r="608" spans="1:4" x14ac:dyDescent="0.35">
      <c r="A608" s="17">
        <v>44593</v>
      </c>
      <c r="B608" s="58">
        <f>VLOOKUP(Table18[[#This Row],[Date]],database!A:G,5,)</f>
        <v>104.4799</v>
      </c>
      <c r="C608" s="66">
        <f t="shared" si="9"/>
        <v>2.2879585270343394E-3</v>
      </c>
      <c r="D608" s="66">
        <f>(Table18[[#This Row],[Index]]-B596)/B596</f>
        <v>3.4941185210866497E-2</v>
      </c>
    </row>
    <row r="609" spans="1:4" x14ac:dyDescent="0.35">
      <c r="A609" s="17">
        <v>44621</v>
      </c>
      <c r="B609" s="58">
        <f>VLOOKUP(Table18[[#This Row],[Date]],database!A:G,5,)</f>
        <v>104.6884</v>
      </c>
      <c r="C609" s="66">
        <f t="shared" si="9"/>
        <v>1.9955991535214324E-3</v>
      </c>
      <c r="D609" s="66">
        <f>(Table18[[#This Row],[Index]]-B597)/B597</f>
        <v>2.4498703332191604E-2</v>
      </c>
    </row>
    <row r="610" spans="1:4" x14ac:dyDescent="0.35">
      <c r="A610" s="17">
        <v>44652</v>
      </c>
      <c r="B610" s="58">
        <f>VLOOKUP(Table18[[#This Row],[Date]],database!A:G,5,)</f>
        <v>106.0705</v>
      </c>
      <c r="C610" s="66">
        <f t="shared" si="9"/>
        <v>1.3202035755632835E-2</v>
      </c>
      <c r="D610" s="66">
        <f>(Table18[[#This Row],[Index]]-B598)/B598</f>
        <v>4.324524753721716E-2</v>
      </c>
    </row>
    <row r="611" spans="1:4" x14ac:dyDescent="0.35">
      <c r="A611" s="17">
        <v>44682</v>
      </c>
      <c r="B611" s="58">
        <f>VLOOKUP(Table18[[#This Row],[Date]],database!A:G,5,)</f>
        <v>105.23050000000001</v>
      </c>
      <c r="C611" s="66">
        <f t="shared" si="9"/>
        <v>-7.919261246057907E-3</v>
      </c>
      <c r="D611" s="66">
        <f>(Table18[[#This Row],[Index]]-B599)/B599</f>
        <v>2.9413922603075536E-2</v>
      </c>
    </row>
    <row r="612" spans="1:4" x14ac:dyDescent="0.35">
      <c r="A612" s="17">
        <v>44713</v>
      </c>
      <c r="B612" s="58">
        <f>VLOOKUP(Table18[[#This Row],[Date]],database!A:G,5,)</f>
        <v>104.1889</v>
      </c>
      <c r="C612" s="66">
        <f t="shared" si="9"/>
        <v>-9.898270938558662E-3</v>
      </c>
      <c r="D612" s="66">
        <f>(Table18[[#This Row],[Index]]-B600)/B600</f>
        <v>2.0137625548064239E-2</v>
      </c>
    </row>
    <row r="613" spans="1:4" x14ac:dyDescent="0.35">
      <c r="A613" s="17">
        <v>44743</v>
      </c>
      <c r="B613" s="58">
        <f>VLOOKUP(Table18[[#This Row],[Date]],database!A:G,5,)</f>
        <v>104.4344</v>
      </c>
      <c r="C613" s="66">
        <f t="shared" si="9"/>
        <v>2.3562970719528398E-3</v>
      </c>
      <c r="D613" s="66">
        <f>(Table18[[#This Row],[Index]]-B601)/B601</f>
        <v>1.7066282308486339E-2</v>
      </c>
    </row>
    <row r="614" spans="1:4" x14ac:dyDescent="0.35">
      <c r="A614" s="17">
        <v>44774</v>
      </c>
      <c r="B614" s="58">
        <f>VLOOKUP(Table18[[#This Row],[Date]],database!A:G,5,)</f>
        <v>104.57340000000001</v>
      </c>
      <c r="C614" s="66">
        <f t="shared" si="9"/>
        <v>1.3309790643696306E-3</v>
      </c>
      <c r="D614" s="66">
        <f>(Table18[[#This Row],[Index]]-B602)/B602</f>
        <v>1.999145564249484E-2</v>
      </c>
    </row>
    <row r="615" spans="1:4" x14ac:dyDescent="0.35">
      <c r="A615" s="17">
        <v>44805</v>
      </c>
      <c r="B615" s="58">
        <f>VLOOKUP(Table18[[#This Row],[Date]],database!A:G,5,)</f>
        <v>104.03919999999999</v>
      </c>
      <c r="C615" s="66">
        <f t="shared" si="9"/>
        <v>-5.1083736399506474E-3</v>
      </c>
      <c r="D615" s="66">
        <f>(Table18[[#This Row],[Index]]-B603)/B603</f>
        <v>2.3923218946464965E-2</v>
      </c>
    </row>
    <row r="616" spans="1:4" x14ac:dyDescent="0.35">
      <c r="A616" s="17">
        <v>44835</v>
      </c>
      <c r="B616" s="58">
        <f>VLOOKUP(Table18[[#This Row],[Date]],database!A:G,5,)</f>
        <v>104.8652</v>
      </c>
      <c r="C616" s="66">
        <f t="shared" si="9"/>
        <v>7.9393151812010565E-3</v>
      </c>
      <c r="D616" s="66">
        <f>(Table18[[#This Row],[Index]]-B604)/B604</f>
        <v>2.4417358548810757E-2</v>
      </c>
    </row>
    <row r="617" spans="1:4" x14ac:dyDescent="0.35">
      <c r="A617" s="17">
        <v>44866</v>
      </c>
      <c r="B617" s="58">
        <f>VLOOKUP(Table18[[#This Row],[Date]],database!A:G,5,)</f>
        <v>104.2655</v>
      </c>
      <c r="C617" s="66">
        <f t="shared" si="9"/>
        <v>-5.7187703833111447E-3</v>
      </c>
      <c r="D617" s="66">
        <f>(Table18[[#This Row],[Index]]-B605)/B605</f>
        <v>1.2511519551434348E-2</v>
      </c>
    </row>
    <row r="618" spans="1:4" x14ac:dyDescent="0.35">
      <c r="A618" s="17">
        <v>44896</v>
      </c>
      <c r="B618" s="58">
        <f>VLOOKUP(Table18[[#This Row],[Date]],database!A:G,5,)</f>
        <v>104.0603</v>
      </c>
      <c r="C618" s="66">
        <f t="shared" si="9"/>
        <v>-1.968052711587287E-3</v>
      </c>
      <c r="D618" s="66">
        <f>(Table18[[#This Row],[Index]]-B606)/B606</f>
        <v>1.3825832121993899E-2</v>
      </c>
    </row>
    <row r="619" spans="1:4" x14ac:dyDescent="0.35">
      <c r="A619" s="17">
        <v>44927</v>
      </c>
      <c r="B619" s="58">
        <f>VLOOKUP(Table18[[#This Row],[Date]],database!A:G,5,)</f>
        <v>103.3511</v>
      </c>
      <c r="C619" s="66">
        <f t="shared" si="9"/>
        <v>-6.8152792179149158E-3</v>
      </c>
      <c r="D619" s="66">
        <f>(Table18[[#This Row],[Index]]-B607)/B607</f>
        <v>-8.5407525225102143E-3</v>
      </c>
    </row>
  </sheetData>
  <conditionalFormatting sqref="D463:D619">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19"/>
  <sheetViews>
    <sheetView zoomScale="70" zoomScaleNormal="70" workbookViewId="0">
      <pane ySplit="6" topLeftCell="A583" activePane="bottomLeft" state="frozen"/>
      <selection activeCell="J582" sqref="J582"/>
      <selection pane="bottomLeft" activeCell="A612" sqref="A612:D619"/>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31" width="9.1796875" style="74" customWidth="1"/>
    <col min="32" max="16384" width="9.1796875" style="74"/>
  </cols>
  <sheetData>
    <row r="1" spans="1:25" x14ac:dyDescent="0.35">
      <c r="A1" s="15" t="s">
        <v>33</v>
      </c>
      <c r="B1" s="74"/>
      <c r="C1" s="74"/>
      <c r="S1" s="74" t="s">
        <v>68</v>
      </c>
      <c r="T1" s="74" t="s">
        <v>64</v>
      </c>
      <c r="U1" s="74" t="str">
        <f>S1&amp;T1</f>
        <v>Industrial Production: Business Equipment since 2010</v>
      </c>
      <c r="Y1" s="74" t="str">
        <f>U2&amp; T1</f>
        <v>Industrial Production: Business Equipment yoy since 2010</v>
      </c>
    </row>
    <row r="2" spans="1:25" x14ac:dyDescent="0.35">
      <c r="A2" s="16"/>
      <c r="B2" s="74"/>
      <c r="C2" s="74"/>
      <c r="U2" s="74" t="str">
        <f>S1&amp;Table16[[#Headers],[ yoy]]</f>
        <v>Industrial Production: Business Equipment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VLOOKUP(Table16[[#This Row],[Date]],database!A:H,4,)</f>
        <v>16.392299999999999</v>
      </c>
      <c r="C7" s="66"/>
      <c r="D7" s="66"/>
    </row>
    <row r="8" spans="1:25" x14ac:dyDescent="0.35">
      <c r="A8" s="17">
        <v>26330</v>
      </c>
      <c r="B8" s="58">
        <f>VLOOKUP(Table16[[#This Row],[Date]],database!A:H,4,)</f>
        <v>16.663599999999999</v>
      </c>
      <c r="C8" s="66">
        <f t="shared" ref="C8:C71" si="0">B8/B7-1</f>
        <v>1.6550453566613665E-2</v>
      </c>
      <c r="D8" s="66"/>
    </row>
    <row r="9" spans="1:25" x14ac:dyDescent="0.35">
      <c r="A9" s="17">
        <v>26359</v>
      </c>
      <c r="B9" s="58">
        <f>VLOOKUP(Table16[[#This Row],[Date]],database!A:H,4,)</f>
        <v>16.866199999999999</v>
      </c>
      <c r="C9" s="66">
        <f t="shared" si="0"/>
        <v>1.2158237115629245E-2</v>
      </c>
      <c r="D9" s="66"/>
    </row>
    <row r="10" spans="1:25" x14ac:dyDescent="0.35">
      <c r="A10" s="17">
        <v>26390</v>
      </c>
      <c r="B10" s="58">
        <f>VLOOKUP(Table16[[#This Row],[Date]],database!A:H,4,)</f>
        <v>17.145900000000001</v>
      </c>
      <c r="C10" s="66">
        <f t="shared" si="0"/>
        <v>1.6583462783555492E-2</v>
      </c>
      <c r="D10" s="66"/>
    </row>
    <row r="11" spans="1:25" x14ac:dyDescent="0.35">
      <c r="A11" s="17">
        <v>26420</v>
      </c>
      <c r="B11" s="58">
        <f>VLOOKUP(Table16[[#This Row],[Date]],database!A:H,4,)</f>
        <v>17.1372</v>
      </c>
      <c r="C11" s="66">
        <f t="shared" si="0"/>
        <v>-5.0740993473663565E-4</v>
      </c>
      <c r="D11" s="66"/>
    </row>
    <row r="12" spans="1:25" x14ac:dyDescent="0.35">
      <c r="A12" s="17">
        <v>26451</v>
      </c>
      <c r="B12" s="58">
        <f>VLOOKUP(Table16[[#This Row],[Date]],database!A:H,4,)</f>
        <v>17.1982</v>
      </c>
      <c r="C12" s="66">
        <f t="shared" si="0"/>
        <v>3.5595079709638267E-3</v>
      </c>
      <c r="D12" s="66"/>
    </row>
    <row r="13" spans="1:25" x14ac:dyDescent="0.35">
      <c r="A13" s="17">
        <v>26481</v>
      </c>
      <c r="B13" s="58">
        <f>VLOOKUP(Table16[[#This Row],[Date]],database!A:H,4,)</f>
        <v>17.194299999999998</v>
      </c>
      <c r="C13" s="66">
        <f t="shared" si="0"/>
        <v>-2.2676791757281212E-4</v>
      </c>
      <c r="D13" s="66"/>
    </row>
    <row r="14" spans="1:25" x14ac:dyDescent="0.35">
      <c r="A14" s="17">
        <v>26512</v>
      </c>
      <c r="B14" s="58">
        <f>VLOOKUP(Table16[[#This Row],[Date]],database!A:H,4,)</f>
        <v>17.5533</v>
      </c>
      <c r="C14" s="66">
        <f t="shared" si="0"/>
        <v>2.0879012230797578E-2</v>
      </c>
      <c r="D14" s="66"/>
    </row>
    <row r="15" spans="1:25" x14ac:dyDescent="0.35">
      <c r="A15" s="17">
        <v>26543</v>
      </c>
      <c r="B15" s="58">
        <f>VLOOKUP(Table16[[#This Row],[Date]],database!A:H,4,)</f>
        <v>17.699000000000002</v>
      </c>
      <c r="C15" s="66">
        <f t="shared" si="0"/>
        <v>8.300433536714058E-3</v>
      </c>
      <c r="D15" s="66"/>
    </row>
    <row r="16" spans="1:25" x14ac:dyDescent="0.35">
      <c r="A16" s="17">
        <v>26573</v>
      </c>
      <c r="B16" s="58">
        <f>VLOOKUP(Table16[[#This Row],[Date]],database!A:H,4,)</f>
        <v>18.0627</v>
      </c>
      <c r="C16" s="66">
        <f t="shared" si="0"/>
        <v>2.0549183569693152E-2</v>
      </c>
      <c r="D16" s="66"/>
    </row>
    <row r="17" spans="1:4" x14ac:dyDescent="0.35">
      <c r="A17" s="17">
        <v>26604</v>
      </c>
      <c r="B17" s="58">
        <f>VLOOKUP(Table16[[#This Row],[Date]],database!A:H,4,)</f>
        <v>18.3796</v>
      </c>
      <c r="C17" s="66">
        <f t="shared" si="0"/>
        <v>1.7544442414478389E-2</v>
      </c>
      <c r="D17" s="66"/>
    </row>
    <row r="18" spans="1:4" x14ac:dyDescent="0.35">
      <c r="A18" s="17">
        <v>26634</v>
      </c>
      <c r="B18" s="58">
        <f>VLOOKUP(Table16[[#This Row],[Date]],database!A:H,4,)</f>
        <v>18.613199999999999</v>
      </c>
      <c r="C18" s="66">
        <f t="shared" si="0"/>
        <v>1.2709743411173147E-2</v>
      </c>
      <c r="D18" s="66"/>
    </row>
    <row r="19" spans="1:4" x14ac:dyDescent="0.35">
      <c r="A19" s="17">
        <v>26665</v>
      </c>
      <c r="B19" s="58">
        <f>VLOOKUP(Table16[[#This Row],[Date]],database!A:H,4,)</f>
        <v>18.922000000000001</v>
      </c>
      <c r="C19" s="66">
        <f t="shared" si="0"/>
        <v>1.6590376721896449E-2</v>
      </c>
      <c r="D19" s="66"/>
    </row>
    <row r="20" spans="1:4" x14ac:dyDescent="0.35">
      <c r="A20" s="17">
        <v>26696</v>
      </c>
      <c r="B20" s="58">
        <f>VLOOKUP(Table16[[#This Row],[Date]],database!A:H,4,)</f>
        <v>19.313600000000001</v>
      </c>
      <c r="C20" s="66">
        <f t="shared" si="0"/>
        <v>2.0695486735017532E-2</v>
      </c>
      <c r="D20" s="66">
        <f>(Table16[[#This Row],[Index]]-B8)/B8</f>
        <v>0.15902926138409482</v>
      </c>
    </row>
    <row r="21" spans="1:4" x14ac:dyDescent="0.35">
      <c r="A21" s="17">
        <v>26724</v>
      </c>
      <c r="B21" s="58">
        <f>VLOOKUP(Table16[[#This Row],[Date]],database!A:H,4,)</f>
        <v>19.4682</v>
      </c>
      <c r="C21" s="66">
        <f t="shared" si="0"/>
        <v>8.0047220611381142E-3</v>
      </c>
      <c r="D21" s="66">
        <f>(Table16[[#This Row],[Index]]-B9)/B9</f>
        <v>0.15427304312767551</v>
      </c>
    </row>
    <row r="22" spans="1:4" x14ac:dyDescent="0.35">
      <c r="A22" s="17">
        <v>26755</v>
      </c>
      <c r="B22" s="58">
        <f>VLOOKUP(Table16[[#This Row],[Date]],database!A:H,4,)</f>
        <v>19.621600000000001</v>
      </c>
      <c r="C22" s="66">
        <f t="shared" si="0"/>
        <v>7.8795163394664858E-3</v>
      </c>
      <c r="D22" s="66">
        <f>(Table16[[#This Row],[Index]]-B10)/B10</f>
        <v>0.14439020407211051</v>
      </c>
    </row>
    <row r="23" spans="1:4" x14ac:dyDescent="0.35">
      <c r="A23" s="17">
        <v>26785</v>
      </c>
      <c r="B23" s="58">
        <f>VLOOKUP(Table16[[#This Row],[Date]],database!A:H,4,)</f>
        <v>19.828299999999999</v>
      </c>
      <c r="C23" s="66">
        <f t="shared" si="0"/>
        <v>1.0534309128715114E-2</v>
      </c>
      <c r="D23" s="66">
        <f>(Table16[[#This Row],[Index]]-B11)/B11</f>
        <v>0.15703265410918929</v>
      </c>
    </row>
    <row r="24" spans="1:4" x14ac:dyDescent="0.35">
      <c r="A24" s="17">
        <v>26816</v>
      </c>
      <c r="B24" s="58">
        <f>VLOOKUP(Table16[[#This Row],[Date]],database!A:H,4,)</f>
        <v>20.0275</v>
      </c>
      <c r="C24" s="66">
        <f t="shared" si="0"/>
        <v>1.0046247030759181E-2</v>
      </c>
      <c r="D24" s="66">
        <f>(Table16[[#This Row],[Index]]-B12)/B12</f>
        <v>0.16451140235606052</v>
      </c>
    </row>
    <row r="25" spans="1:4" x14ac:dyDescent="0.35">
      <c r="A25" s="17">
        <v>26846</v>
      </c>
      <c r="B25" s="58">
        <f>VLOOKUP(Table16[[#This Row],[Date]],database!A:H,4,)</f>
        <v>20.270700000000001</v>
      </c>
      <c r="C25" s="66">
        <f t="shared" si="0"/>
        <v>1.2143302958432134E-2</v>
      </c>
      <c r="D25" s="66">
        <f>(Table16[[#This Row],[Index]]-B13)/B13</f>
        <v>0.1789197582919923</v>
      </c>
    </row>
    <row r="26" spans="1:4" x14ac:dyDescent="0.35">
      <c r="A26" s="17">
        <v>26877</v>
      </c>
      <c r="B26" s="58">
        <f>VLOOKUP(Table16[[#This Row],[Date]],database!A:H,4,)</f>
        <v>20.323599999999999</v>
      </c>
      <c r="C26" s="66">
        <f t="shared" si="0"/>
        <v>2.6096780081594773E-3</v>
      </c>
      <c r="D26" s="66">
        <f>(Table16[[#This Row],[Index]]-B14)/B14</f>
        <v>0.15782217588715505</v>
      </c>
    </row>
    <row r="27" spans="1:4" x14ac:dyDescent="0.35">
      <c r="A27" s="17">
        <v>26908</v>
      </c>
      <c r="B27" s="58">
        <f>VLOOKUP(Table16[[#This Row],[Date]],database!A:H,4,)</f>
        <v>20.6678</v>
      </c>
      <c r="C27" s="66">
        <f t="shared" si="0"/>
        <v>1.6935975909779799E-2</v>
      </c>
      <c r="D27" s="66">
        <f>(Table16[[#This Row],[Index]]-B15)/B15</f>
        <v>0.16773829029888682</v>
      </c>
    </row>
    <row r="28" spans="1:4" x14ac:dyDescent="0.35">
      <c r="A28" s="17">
        <v>26938</v>
      </c>
      <c r="B28" s="58">
        <f>VLOOKUP(Table16[[#This Row],[Date]],database!A:H,4,)</f>
        <v>20.965499999999999</v>
      </c>
      <c r="C28" s="66">
        <f t="shared" si="0"/>
        <v>1.4404048810226389E-2</v>
      </c>
      <c r="D28" s="66">
        <f>(Table16[[#This Row],[Index]]-B16)/B16</f>
        <v>0.16070687106578746</v>
      </c>
    </row>
    <row r="29" spans="1:4" x14ac:dyDescent="0.35">
      <c r="A29" s="17">
        <v>26969</v>
      </c>
      <c r="B29" s="58">
        <f>VLOOKUP(Table16[[#This Row],[Date]],database!A:H,4,)</f>
        <v>21.1127</v>
      </c>
      <c r="C29" s="66">
        <f t="shared" si="0"/>
        <v>7.021058405475733E-3</v>
      </c>
      <c r="D29" s="66">
        <f>(Table16[[#This Row],[Index]]-B17)/B17</f>
        <v>0.14870290974776385</v>
      </c>
    </row>
    <row r="30" spans="1:4" x14ac:dyDescent="0.35">
      <c r="A30" s="17">
        <v>26999</v>
      </c>
      <c r="B30" s="58">
        <f>VLOOKUP(Table16[[#This Row],[Date]],database!A:H,4,)</f>
        <v>21.191199999999998</v>
      </c>
      <c r="C30" s="66">
        <f t="shared" si="0"/>
        <v>3.7181412135822711E-3</v>
      </c>
      <c r="D30" s="66">
        <f>(Table16[[#This Row],[Index]]-B18)/B18</f>
        <v>0.13850385747748906</v>
      </c>
    </row>
    <row r="31" spans="1:4" x14ac:dyDescent="0.35">
      <c r="A31" s="17">
        <v>27030</v>
      </c>
      <c r="B31" s="58">
        <f>VLOOKUP(Table16[[#This Row],[Date]],database!A:H,4,)</f>
        <v>21.1739</v>
      </c>
      <c r="C31" s="66">
        <f t="shared" si="0"/>
        <v>-8.1637660915845345E-4</v>
      </c>
      <c r="D31" s="66">
        <f>(Table16[[#This Row],[Index]]-B19)/B19</f>
        <v>0.11900961843356934</v>
      </c>
    </row>
    <row r="32" spans="1:4" x14ac:dyDescent="0.35">
      <c r="A32" s="17">
        <v>27061</v>
      </c>
      <c r="B32" s="58">
        <f>VLOOKUP(Table16[[#This Row],[Date]],database!A:H,4,)</f>
        <v>21.093900000000001</v>
      </c>
      <c r="C32" s="66">
        <f t="shared" si="0"/>
        <v>-3.7782364136978996E-3</v>
      </c>
      <c r="D32" s="66">
        <f>(Table16[[#This Row],[Index]]-B20)/B20</f>
        <v>9.2178568469886521E-2</v>
      </c>
    </row>
    <row r="33" spans="1:4" x14ac:dyDescent="0.35">
      <c r="A33" s="17">
        <v>27089</v>
      </c>
      <c r="B33" s="58">
        <f>VLOOKUP(Table16[[#This Row],[Date]],database!A:H,4,)</f>
        <v>21.281700000000001</v>
      </c>
      <c r="C33" s="66">
        <f t="shared" si="0"/>
        <v>8.9030478005489577E-3</v>
      </c>
      <c r="D33" s="66">
        <f>(Table16[[#This Row],[Index]]-B21)/B21</f>
        <v>9.3151909267420785E-2</v>
      </c>
    </row>
    <row r="34" spans="1:4" x14ac:dyDescent="0.35">
      <c r="A34" s="17">
        <v>27120</v>
      </c>
      <c r="B34" s="58">
        <f>VLOOKUP(Table16[[#This Row],[Date]],database!A:H,4,)</f>
        <v>21.0441</v>
      </c>
      <c r="C34" s="66">
        <f t="shared" si="0"/>
        <v>-1.1164521631260693E-2</v>
      </c>
      <c r="D34" s="66">
        <f>(Table16[[#This Row],[Index]]-B22)/B22</f>
        <v>7.2496636359929839E-2</v>
      </c>
    </row>
    <row r="35" spans="1:4" x14ac:dyDescent="0.35">
      <c r="A35" s="17">
        <v>27150</v>
      </c>
      <c r="B35" s="58">
        <f>VLOOKUP(Table16[[#This Row],[Date]],database!A:H,4,)</f>
        <v>21.379899999999999</v>
      </c>
      <c r="C35" s="66">
        <f t="shared" si="0"/>
        <v>1.5956966560698671E-2</v>
      </c>
      <c r="D35" s="66">
        <f>(Table16[[#This Row],[Index]]-B23)/B23</f>
        <v>7.8251791631153478E-2</v>
      </c>
    </row>
    <row r="36" spans="1:4" x14ac:dyDescent="0.35">
      <c r="A36" s="17">
        <v>27181</v>
      </c>
      <c r="B36" s="58">
        <f>VLOOKUP(Table16[[#This Row],[Date]],database!A:H,4,)</f>
        <v>21.405200000000001</v>
      </c>
      <c r="C36" s="66">
        <f t="shared" si="0"/>
        <v>1.1833544590948986E-3</v>
      </c>
      <c r="D36" s="66">
        <f>(Table16[[#This Row],[Index]]-B24)/B24</f>
        <v>6.8790413181874968E-2</v>
      </c>
    </row>
    <row r="37" spans="1:4" x14ac:dyDescent="0.35">
      <c r="A37" s="17">
        <v>27211</v>
      </c>
      <c r="B37" s="58">
        <f>VLOOKUP(Table16[[#This Row],[Date]],database!A:H,4,)</f>
        <v>21.4634</v>
      </c>
      <c r="C37" s="66">
        <f t="shared" si="0"/>
        <v>2.7189654850223732E-3</v>
      </c>
      <c r="D37" s="66">
        <f>(Table16[[#This Row],[Index]]-B25)/B25</f>
        <v>5.8838619287937689E-2</v>
      </c>
    </row>
    <row r="38" spans="1:4" x14ac:dyDescent="0.35">
      <c r="A38" s="17">
        <v>27242</v>
      </c>
      <c r="B38" s="58">
        <f>VLOOKUP(Table16[[#This Row],[Date]],database!A:H,4,)</f>
        <v>21.3796</v>
      </c>
      <c r="C38" s="66">
        <f t="shared" si="0"/>
        <v>-3.9043208438551691E-3</v>
      </c>
      <c r="D38" s="66">
        <f>(Table16[[#This Row],[Index]]-B26)/B26</f>
        <v>5.1959298549469631E-2</v>
      </c>
    </row>
    <row r="39" spans="1:4" x14ac:dyDescent="0.35">
      <c r="A39" s="17">
        <v>27273</v>
      </c>
      <c r="B39" s="58">
        <f>VLOOKUP(Table16[[#This Row],[Date]],database!A:H,4,)</f>
        <v>21.7684</v>
      </c>
      <c r="C39" s="66">
        <f t="shared" si="0"/>
        <v>1.8185560066605433E-2</v>
      </c>
      <c r="D39" s="66">
        <f>(Table16[[#This Row],[Index]]-B27)/B27</f>
        <v>5.3251918443182153E-2</v>
      </c>
    </row>
    <row r="40" spans="1:4" x14ac:dyDescent="0.35">
      <c r="A40" s="17">
        <v>27303</v>
      </c>
      <c r="B40" s="58">
        <f>VLOOKUP(Table16[[#This Row],[Date]],database!A:H,4,)</f>
        <v>21.7879</v>
      </c>
      <c r="C40" s="66">
        <f t="shared" si="0"/>
        <v>8.9579390308891504E-4</v>
      </c>
      <c r="D40" s="66">
        <f>(Table16[[#This Row],[Index]]-B28)/B28</f>
        <v>3.9226348047983681E-2</v>
      </c>
    </row>
    <row r="41" spans="1:4" x14ac:dyDescent="0.35">
      <c r="A41" s="17">
        <v>27334</v>
      </c>
      <c r="B41" s="58">
        <f>VLOOKUP(Table16[[#This Row],[Date]],database!A:H,4,)</f>
        <v>21.469200000000001</v>
      </c>
      <c r="C41" s="66">
        <f t="shared" si="0"/>
        <v>-1.4627384924659981E-2</v>
      </c>
      <c r="D41" s="66">
        <f>(Table16[[#This Row],[Index]]-B29)/B29</f>
        <v>1.6885571243848513E-2</v>
      </c>
    </row>
    <row r="42" spans="1:4" x14ac:dyDescent="0.35">
      <c r="A42" s="17">
        <v>27364</v>
      </c>
      <c r="B42" s="58">
        <f>VLOOKUP(Table16[[#This Row],[Date]],database!A:H,4,)</f>
        <v>20.6</v>
      </c>
      <c r="C42" s="66">
        <f t="shared" si="0"/>
        <v>-4.048590539004715E-2</v>
      </c>
      <c r="D42" s="66">
        <f>(Table16[[#This Row],[Index]]-B30)/B30</f>
        <v>-2.7898372909509472E-2</v>
      </c>
    </row>
    <row r="43" spans="1:4" x14ac:dyDescent="0.35">
      <c r="A43" s="17">
        <v>27395</v>
      </c>
      <c r="B43" s="58">
        <f>VLOOKUP(Table16[[#This Row],[Date]],database!A:H,4,)</f>
        <v>20.116700000000002</v>
      </c>
      <c r="C43" s="66">
        <f t="shared" si="0"/>
        <v>-2.3461165048543675E-2</v>
      </c>
      <c r="D43" s="66">
        <f>(Table16[[#This Row],[Index]]-B31)/B31</f>
        <v>-4.9929394207018932E-2</v>
      </c>
    </row>
    <row r="44" spans="1:4" x14ac:dyDescent="0.35">
      <c r="A44" s="17">
        <v>27426</v>
      </c>
      <c r="B44" s="58">
        <f>VLOOKUP(Table16[[#This Row],[Date]],database!A:H,4,)</f>
        <v>19.445599999999999</v>
      </c>
      <c r="C44" s="66">
        <f t="shared" si="0"/>
        <v>-3.3360342402083965E-2</v>
      </c>
      <c r="D44" s="66">
        <f>(Table16[[#This Row],[Index]]-B32)/B32</f>
        <v>-7.8141073959770477E-2</v>
      </c>
    </row>
    <row r="45" spans="1:4" x14ac:dyDescent="0.35">
      <c r="A45" s="17">
        <v>27454</v>
      </c>
      <c r="B45" s="58">
        <f>VLOOKUP(Table16[[#This Row],[Date]],database!A:H,4,)</f>
        <v>19.117100000000001</v>
      </c>
      <c r="C45" s="66">
        <f t="shared" si="0"/>
        <v>-1.6893281770683277E-2</v>
      </c>
      <c r="D45" s="66">
        <f>(Table16[[#This Row],[Index]]-B33)/B33</f>
        <v>-0.10171179933933849</v>
      </c>
    </row>
    <row r="46" spans="1:4" x14ac:dyDescent="0.35">
      <c r="A46" s="17">
        <v>27485</v>
      </c>
      <c r="B46" s="58">
        <f>VLOOKUP(Table16[[#This Row],[Date]],database!A:H,4,)</f>
        <v>19.013100000000001</v>
      </c>
      <c r="C46" s="66">
        <f t="shared" si="0"/>
        <v>-5.4401556721468403E-3</v>
      </c>
      <c r="D46" s="66">
        <f>(Table16[[#This Row],[Index]]-B34)/B34</f>
        <v>-9.6511611330491617E-2</v>
      </c>
    </row>
    <row r="47" spans="1:4" x14ac:dyDescent="0.35">
      <c r="A47" s="17">
        <v>27515</v>
      </c>
      <c r="B47" s="58">
        <f>VLOOKUP(Table16[[#This Row],[Date]],database!A:H,4,)</f>
        <v>18.757300000000001</v>
      </c>
      <c r="C47" s="66">
        <f t="shared" si="0"/>
        <v>-1.3453881797287126E-2</v>
      </c>
      <c r="D47" s="66">
        <f>(Table16[[#This Row],[Index]]-B35)/B35</f>
        <v>-0.12266661677556952</v>
      </c>
    </row>
    <row r="48" spans="1:4" x14ac:dyDescent="0.35">
      <c r="A48" s="17">
        <v>27546</v>
      </c>
      <c r="B48" s="58">
        <f>VLOOKUP(Table16[[#This Row],[Date]],database!A:H,4,)</f>
        <v>18.613600000000002</v>
      </c>
      <c r="C48" s="66">
        <f t="shared" si="0"/>
        <v>-7.6610173105936541E-3</v>
      </c>
      <c r="D48" s="66">
        <f>(Table16[[#This Row],[Index]]-B36)/B36</f>
        <v>-0.1304169080410367</v>
      </c>
    </row>
    <row r="49" spans="1:4" x14ac:dyDescent="0.35">
      <c r="A49" s="17">
        <v>27576</v>
      </c>
      <c r="B49" s="58">
        <f>VLOOKUP(Table16[[#This Row],[Date]],database!A:H,4,)</f>
        <v>18.733000000000001</v>
      </c>
      <c r="C49" s="66">
        <f t="shared" si="0"/>
        <v>6.4146645463531993E-3</v>
      </c>
      <c r="D49" s="66">
        <f>(Table16[[#This Row],[Index]]-B37)/B37</f>
        <v>-0.12721190491720788</v>
      </c>
    </row>
    <row r="50" spans="1:4" x14ac:dyDescent="0.35">
      <c r="A50" s="17">
        <v>27607</v>
      </c>
      <c r="B50" s="58">
        <f>VLOOKUP(Table16[[#This Row],[Date]],database!A:H,4,)</f>
        <v>18.616299999999999</v>
      </c>
      <c r="C50" s="66">
        <f t="shared" si="0"/>
        <v>-6.2296482143811005E-3</v>
      </c>
      <c r="D50" s="66">
        <f>(Table16[[#This Row],[Index]]-B38)/B38</f>
        <v>-0.12924937791165414</v>
      </c>
    </row>
    <row r="51" spans="1:4" x14ac:dyDescent="0.35">
      <c r="A51" s="17">
        <v>27638</v>
      </c>
      <c r="B51" s="58">
        <f>VLOOKUP(Table16[[#This Row],[Date]],database!A:H,4,)</f>
        <v>18.889399999999998</v>
      </c>
      <c r="C51" s="66">
        <f t="shared" si="0"/>
        <v>1.4669939783952701E-2</v>
      </c>
      <c r="D51" s="66">
        <f>(Table16[[#This Row],[Index]]-B39)/B39</f>
        <v>-0.13225593061502</v>
      </c>
    </row>
    <row r="52" spans="1:4" x14ac:dyDescent="0.35">
      <c r="A52" s="17">
        <v>27668</v>
      </c>
      <c r="B52" s="58">
        <f>VLOOKUP(Table16[[#This Row],[Date]],database!A:H,4,)</f>
        <v>18.947800000000001</v>
      </c>
      <c r="C52" s="66">
        <f t="shared" si="0"/>
        <v>3.0916810486305568E-3</v>
      </c>
      <c r="D52" s="66">
        <f>(Table16[[#This Row],[Index]]-B40)/B40</f>
        <v>-0.13035216794642895</v>
      </c>
    </row>
    <row r="53" spans="1:4" x14ac:dyDescent="0.35">
      <c r="A53" s="17">
        <v>27699</v>
      </c>
      <c r="B53" s="58">
        <f>VLOOKUP(Table16[[#This Row],[Date]],database!A:H,4,)</f>
        <v>18.910399999999999</v>
      </c>
      <c r="C53" s="66">
        <f t="shared" si="0"/>
        <v>-1.9738439291105969E-3</v>
      </c>
      <c r="D53" s="66">
        <f>(Table16[[#This Row],[Index]]-B41)/B41</f>
        <v>-0.11918469248970626</v>
      </c>
    </row>
    <row r="54" spans="1:4" x14ac:dyDescent="0.35">
      <c r="A54" s="17">
        <v>27729</v>
      </c>
      <c r="B54" s="58">
        <f>VLOOKUP(Table16[[#This Row],[Date]],database!A:H,4,)</f>
        <v>19.2517</v>
      </c>
      <c r="C54" s="66">
        <f t="shared" si="0"/>
        <v>1.8048269735172262E-2</v>
      </c>
      <c r="D54" s="66">
        <f>(Table16[[#This Row],[Index]]-B42)/B42</f>
        <v>-6.5451456310679695E-2</v>
      </c>
    </row>
    <row r="55" spans="1:4" x14ac:dyDescent="0.35">
      <c r="A55" s="17">
        <v>27760</v>
      </c>
      <c r="B55" s="58">
        <f>VLOOKUP(Table16[[#This Row],[Date]],database!A:H,4,)</f>
        <v>19.435400000000001</v>
      </c>
      <c r="C55" s="66">
        <f t="shared" si="0"/>
        <v>9.5420144714493116E-3</v>
      </c>
      <c r="D55" s="66">
        <f>(Table16[[#This Row],[Index]]-B43)/B43</f>
        <v>-3.3867383815436934E-2</v>
      </c>
    </row>
    <row r="56" spans="1:4" x14ac:dyDescent="0.35">
      <c r="A56" s="17">
        <v>27791</v>
      </c>
      <c r="B56" s="58">
        <f>VLOOKUP(Table16[[#This Row],[Date]],database!A:H,4,)</f>
        <v>19.571100000000001</v>
      </c>
      <c r="C56" s="66">
        <f t="shared" si="0"/>
        <v>6.9821048190414903E-3</v>
      </c>
      <c r="D56" s="66">
        <f>(Table16[[#This Row],[Index]]-B44)/B44</f>
        <v>6.4539021680998475E-3</v>
      </c>
    </row>
    <row r="57" spans="1:4" x14ac:dyDescent="0.35">
      <c r="A57" s="17">
        <v>27820</v>
      </c>
      <c r="B57" s="58">
        <f>VLOOKUP(Table16[[#This Row],[Date]],database!A:H,4,)</f>
        <v>19.696100000000001</v>
      </c>
      <c r="C57" s="66">
        <f t="shared" si="0"/>
        <v>6.3869685403477039E-3</v>
      </c>
      <c r="D57" s="66">
        <f>(Table16[[#This Row],[Index]]-B45)/B45</f>
        <v>3.0287020520894936E-2</v>
      </c>
    </row>
    <row r="58" spans="1:4" x14ac:dyDescent="0.35">
      <c r="A58" s="17">
        <v>27851</v>
      </c>
      <c r="B58" s="58">
        <f>VLOOKUP(Table16[[#This Row],[Date]],database!A:H,4,)</f>
        <v>19.865600000000001</v>
      </c>
      <c r="C58" s="66">
        <f t="shared" si="0"/>
        <v>8.6057645929904503E-3</v>
      </c>
      <c r="D58" s="66">
        <f>(Table16[[#This Row],[Index]]-B46)/B46</f>
        <v>4.4837506771646871E-2</v>
      </c>
    </row>
    <row r="59" spans="1:4" x14ac:dyDescent="0.35">
      <c r="A59" s="17">
        <v>27881</v>
      </c>
      <c r="B59" s="58">
        <f>VLOOKUP(Table16[[#This Row],[Date]],database!A:H,4,)</f>
        <v>20.000800000000002</v>
      </c>
      <c r="C59" s="66">
        <f t="shared" si="0"/>
        <v>6.8057345360825749E-3</v>
      </c>
      <c r="D59" s="66">
        <f>(Table16[[#This Row],[Index]]-B47)/B47</f>
        <v>6.6294189462236086E-2</v>
      </c>
    </row>
    <row r="60" spans="1:4" x14ac:dyDescent="0.35">
      <c r="A60" s="17">
        <v>27912</v>
      </c>
      <c r="B60" s="58">
        <f>VLOOKUP(Table16[[#This Row],[Date]],database!A:H,4,)</f>
        <v>20.095400000000001</v>
      </c>
      <c r="C60" s="66">
        <f t="shared" si="0"/>
        <v>4.7298108075677359E-3</v>
      </c>
      <c r="D60" s="66">
        <f>(Table16[[#This Row],[Index]]-B48)/B48</f>
        <v>7.9608458331542509E-2</v>
      </c>
    </row>
    <row r="61" spans="1:4" x14ac:dyDescent="0.35">
      <c r="A61" s="17">
        <v>27942</v>
      </c>
      <c r="B61" s="58">
        <f>VLOOKUP(Table16[[#This Row],[Date]],database!A:H,4,)</f>
        <v>20.236599999999999</v>
      </c>
      <c r="C61" s="66">
        <f t="shared" si="0"/>
        <v>7.0264836728801683E-3</v>
      </c>
      <c r="D61" s="66">
        <f>(Table16[[#This Row],[Index]]-B49)/B49</f>
        <v>8.0264773394544311E-2</v>
      </c>
    </row>
    <row r="62" spans="1:4" x14ac:dyDescent="0.35">
      <c r="A62" s="17">
        <v>27973</v>
      </c>
      <c r="B62" s="58">
        <f>VLOOKUP(Table16[[#This Row],[Date]],database!A:H,4,)</f>
        <v>20.580200000000001</v>
      </c>
      <c r="C62" s="66">
        <f t="shared" si="0"/>
        <v>1.6979136811519746E-2</v>
      </c>
      <c r="D62" s="66">
        <f>(Table16[[#This Row],[Index]]-B50)/B50</f>
        <v>0.10549357283670775</v>
      </c>
    </row>
    <row r="63" spans="1:4" x14ac:dyDescent="0.35">
      <c r="A63" s="17">
        <v>28004</v>
      </c>
      <c r="B63" s="58">
        <f>VLOOKUP(Table16[[#This Row],[Date]],database!A:H,4,)</f>
        <v>20.524899999999999</v>
      </c>
      <c r="C63" s="66">
        <f t="shared" si="0"/>
        <v>-2.6870487167278689E-3</v>
      </c>
      <c r="D63" s="66">
        <f>(Table16[[#This Row],[Index]]-B51)/B51</f>
        <v>8.6582951284847609E-2</v>
      </c>
    </row>
    <row r="64" spans="1:4" x14ac:dyDescent="0.35">
      <c r="A64" s="17">
        <v>28034</v>
      </c>
      <c r="B64" s="58">
        <f>VLOOKUP(Table16[[#This Row],[Date]],database!A:H,4,)</f>
        <v>20.553999999999998</v>
      </c>
      <c r="C64" s="66">
        <f t="shared" si="0"/>
        <v>1.4177900988554537E-3</v>
      </c>
      <c r="D64" s="66">
        <f>(Table16[[#This Row],[Index]]-B52)/B52</f>
        <v>8.4769735800462195E-2</v>
      </c>
    </row>
    <row r="65" spans="1:4" x14ac:dyDescent="0.35">
      <c r="A65" s="17">
        <v>28065</v>
      </c>
      <c r="B65" s="58">
        <f>VLOOKUP(Table16[[#This Row],[Date]],database!A:H,4,)</f>
        <v>21.232199999999999</v>
      </c>
      <c r="C65" s="66">
        <f t="shared" si="0"/>
        <v>3.2996010508903328E-2</v>
      </c>
      <c r="D65" s="66">
        <f>(Table16[[#This Row],[Index]]-B53)/B53</f>
        <v>0.12277899991539046</v>
      </c>
    </row>
    <row r="66" spans="1:4" x14ac:dyDescent="0.35">
      <c r="A66" s="17">
        <v>28095</v>
      </c>
      <c r="B66" s="58">
        <f>VLOOKUP(Table16[[#This Row],[Date]],database!A:H,4,)</f>
        <v>21.560300000000002</v>
      </c>
      <c r="C66" s="66">
        <f t="shared" si="0"/>
        <v>1.5452944113186762E-2</v>
      </c>
      <c r="D66" s="66">
        <f>(Table16[[#This Row],[Index]]-B54)/B54</f>
        <v>0.1199166826825684</v>
      </c>
    </row>
    <row r="67" spans="1:4" x14ac:dyDescent="0.35">
      <c r="A67" s="17">
        <v>28126</v>
      </c>
      <c r="B67" s="58">
        <f>VLOOKUP(Table16[[#This Row],[Date]],database!A:H,4,)</f>
        <v>21.622</v>
      </c>
      <c r="C67" s="66">
        <f t="shared" si="0"/>
        <v>2.8617412559193145E-3</v>
      </c>
      <c r="D67" s="66">
        <f>(Table16[[#This Row],[Index]]-B55)/B55</f>
        <v>0.11250604566924263</v>
      </c>
    </row>
    <row r="68" spans="1:4" x14ac:dyDescent="0.35">
      <c r="A68" s="17">
        <v>28157</v>
      </c>
      <c r="B68" s="58">
        <f>VLOOKUP(Table16[[#This Row],[Date]],database!A:H,4,)</f>
        <v>22.1738</v>
      </c>
      <c r="C68" s="66">
        <f t="shared" si="0"/>
        <v>2.5520303394690691E-2</v>
      </c>
      <c r="D68" s="66">
        <f>(Table16[[#This Row],[Index]]-B56)/B56</f>
        <v>0.13298690415970479</v>
      </c>
    </row>
    <row r="69" spans="1:4" x14ac:dyDescent="0.35">
      <c r="A69" s="17">
        <v>28185</v>
      </c>
      <c r="B69" s="58">
        <f>VLOOKUP(Table16[[#This Row],[Date]],database!A:H,4,)</f>
        <v>22.526</v>
      </c>
      <c r="C69" s="66">
        <f t="shared" si="0"/>
        <v>1.5883610387033231E-2</v>
      </c>
      <c r="D69" s="66">
        <f>(Table16[[#This Row],[Index]]-B57)/B57</f>
        <v>0.14367819009854735</v>
      </c>
    </row>
    <row r="70" spans="1:4" x14ac:dyDescent="0.35">
      <c r="A70" s="17">
        <v>28216</v>
      </c>
      <c r="B70" s="58">
        <f>VLOOKUP(Table16[[#This Row],[Date]],database!A:H,4,)</f>
        <v>22.842400000000001</v>
      </c>
      <c r="C70" s="66">
        <f t="shared" si="0"/>
        <v>1.4045991298943461E-2</v>
      </c>
      <c r="D70" s="66">
        <f>(Table16[[#This Row],[Index]]-B58)/B58</f>
        <v>0.14984697164948457</v>
      </c>
    </row>
    <row r="71" spans="1:4" x14ac:dyDescent="0.35">
      <c r="A71" s="17">
        <v>28246</v>
      </c>
      <c r="B71" s="58">
        <f>VLOOKUP(Table16[[#This Row],[Date]],database!A:H,4,)</f>
        <v>23.304500000000001</v>
      </c>
      <c r="C71" s="66">
        <f t="shared" si="0"/>
        <v>2.0229923300528752E-2</v>
      </c>
      <c r="D71" s="66">
        <f>(Table16[[#This Row],[Index]]-B59)/B59</f>
        <v>0.16517839286428537</v>
      </c>
    </row>
    <row r="72" spans="1:4" x14ac:dyDescent="0.35">
      <c r="A72" s="17">
        <v>28277</v>
      </c>
      <c r="B72" s="58">
        <f>VLOOKUP(Table16[[#This Row],[Date]],database!A:H,4,)</f>
        <v>23.825900000000001</v>
      </c>
      <c r="C72" s="66">
        <f t="shared" ref="C72:C135" si="1">B72/B71-1</f>
        <v>2.2373361367976186E-2</v>
      </c>
      <c r="D72" s="66">
        <f>(Table16[[#This Row],[Index]]-B60)/B60</f>
        <v>0.1856394995869701</v>
      </c>
    </row>
    <row r="73" spans="1:4" x14ac:dyDescent="0.35">
      <c r="A73" s="17">
        <v>28307</v>
      </c>
      <c r="B73" s="58">
        <f>VLOOKUP(Table16[[#This Row],[Date]],database!A:H,4,)</f>
        <v>23.9664</v>
      </c>
      <c r="C73" s="66">
        <f t="shared" si="1"/>
        <v>5.8969440818603669E-3</v>
      </c>
      <c r="D73" s="66">
        <f>(Table16[[#This Row],[Index]]-B61)/B61</f>
        <v>0.18430961722819056</v>
      </c>
    </row>
    <row r="74" spans="1:4" x14ac:dyDescent="0.35">
      <c r="A74" s="17">
        <v>28338</v>
      </c>
      <c r="B74" s="58">
        <f>VLOOKUP(Table16[[#This Row],[Date]],database!A:H,4,)</f>
        <v>24.0428</v>
      </c>
      <c r="C74" s="66">
        <f t="shared" si="1"/>
        <v>3.1877962480806321E-3</v>
      </c>
      <c r="D74" s="66">
        <f>(Table16[[#This Row],[Index]]-B62)/B62</f>
        <v>0.16824909378917591</v>
      </c>
    </row>
    <row r="75" spans="1:4" x14ac:dyDescent="0.35">
      <c r="A75" s="17">
        <v>28369</v>
      </c>
      <c r="B75" s="58">
        <f>VLOOKUP(Table16[[#This Row],[Date]],database!A:H,4,)</f>
        <v>24.134899999999998</v>
      </c>
      <c r="C75" s="66">
        <f t="shared" si="1"/>
        <v>3.830668640923518E-3</v>
      </c>
      <c r="D75" s="66">
        <f>(Table16[[#This Row],[Index]]-B63)/B63</f>
        <v>0.17588392635286892</v>
      </c>
    </row>
    <row r="76" spans="1:4" x14ac:dyDescent="0.35">
      <c r="A76" s="17">
        <v>28399</v>
      </c>
      <c r="B76" s="58">
        <f>VLOOKUP(Table16[[#This Row],[Date]],database!A:H,4,)</f>
        <v>24.033300000000001</v>
      </c>
      <c r="C76" s="66">
        <f t="shared" si="1"/>
        <v>-4.2096714716032269E-3</v>
      </c>
      <c r="D76" s="66">
        <f>(Table16[[#This Row],[Index]]-B64)/B64</f>
        <v>0.16927605332295428</v>
      </c>
    </row>
    <row r="77" spans="1:4" x14ac:dyDescent="0.35">
      <c r="A77" s="17">
        <v>28430</v>
      </c>
      <c r="B77" s="58">
        <f>VLOOKUP(Table16[[#This Row],[Date]],database!A:H,4,)</f>
        <v>24.0366</v>
      </c>
      <c r="C77" s="66">
        <f t="shared" si="1"/>
        <v>1.3730948309209623E-4</v>
      </c>
      <c r="D77" s="66">
        <f>(Table16[[#This Row],[Index]]-B65)/B65</f>
        <v>0.132082403142397</v>
      </c>
    </row>
    <row r="78" spans="1:4" x14ac:dyDescent="0.35">
      <c r="A78" s="17">
        <v>28460</v>
      </c>
      <c r="B78" s="58">
        <f>VLOOKUP(Table16[[#This Row],[Date]],database!A:H,4,)</f>
        <v>24.354099999999999</v>
      </c>
      <c r="C78" s="66">
        <f t="shared" si="1"/>
        <v>1.3209022906733869E-2</v>
      </c>
      <c r="D78" s="66">
        <f>(Table16[[#This Row],[Index]]-B66)/B66</f>
        <v>0.12958075722508486</v>
      </c>
    </row>
    <row r="79" spans="1:4" x14ac:dyDescent="0.35">
      <c r="A79" s="17">
        <v>28491</v>
      </c>
      <c r="B79" s="58">
        <f>VLOOKUP(Table16[[#This Row],[Date]],database!A:H,4,)</f>
        <v>23.866399999999999</v>
      </c>
      <c r="C79" s="66">
        <f t="shared" si="1"/>
        <v>-2.0025375604107776E-2</v>
      </c>
      <c r="D79" s="66">
        <f>(Table16[[#This Row],[Index]]-B67)/B67</f>
        <v>0.10380168347053921</v>
      </c>
    </row>
    <row r="80" spans="1:4" x14ac:dyDescent="0.35">
      <c r="A80" s="17">
        <v>28522</v>
      </c>
      <c r="B80" s="58">
        <f>VLOOKUP(Table16[[#This Row],[Date]],database!A:H,4,)</f>
        <v>24.464600000000001</v>
      </c>
      <c r="C80" s="66">
        <f t="shared" si="1"/>
        <v>2.5064525860624132E-2</v>
      </c>
      <c r="D80" s="66">
        <f>(Table16[[#This Row],[Index]]-B68)/B68</f>
        <v>0.10331111491940943</v>
      </c>
    </row>
    <row r="81" spans="1:4" x14ac:dyDescent="0.35">
      <c r="A81" s="17">
        <v>28550</v>
      </c>
      <c r="B81" s="58">
        <f>VLOOKUP(Table16[[#This Row],[Date]],database!A:H,4,)</f>
        <v>25.189499999999999</v>
      </c>
      <c r="C81" s="66">
        <f t="shared" si="1"/>
        <v>2.9630568249634059E-2</v>
      </c>
      <c r="D81" s="66">
        <f>(Table16[[#This Row],[Index]]-B69)/B69</f>
        <v>0.11824114356743315</v>
      </c>
    </row>
    <row r="82" spans="1:4" x14ac:dyDescent="0.35">
      <c r="A82" s="17">
        <v>28581</v>
      </c>
      <c r="B82" s="58">
        <f>VLOOKUP(Table16[[#This Row],[Date]],database!A:H,4,)</f>
        <v>25.722799999999999</v>
      </c>
      <c r="C82" s="66">
        <f t="shared" si="1"/>
        <v>2.117151987931476E-2</v>
      </c>
      <c r="D82" s="66">
        <f>(Table16[[#This Row],[Index]]-B70)/B70</f>
        <v>0.12609883374776723</v>
      </c>
    </row>
    <row r="83" spans="1:4" x14ac:dyDescent="0.35">
      <c r="A83" s="17">
        <v>28611</v>
      </c>
      <c r="B83" s="58">
        <f>VLOOKUP(Table16[[#This Row],[Date]],database!A:H,4,)</f>
        <v>25.888999999999999</v>
      </c>
      <c r="C83" s="66">
        <f t="shared" si="1"/>
        <v>6.4611939602221558E-3</v>
      </c>
      <c r="D83" s="66">
        <f>(Table16[[#This Row],[Index]]-B71)/B71</f>
        <v>0.11090132806968604</v>
      </c>
    </row>
    <row r="84" spans="1:4" x14ac:dyDescent="0.35">
      <c r="A84" s="17">
        <v>28642</v>
      </c>
      <c r="B84" s="58">
        <f>VLOOKUP(Table16[[#This Row],[Date]],database!A:H,4,)</f>
        <v>26.296900000000001</v>
      </c>
      <c r="C84" s="66">
        <f t="shared" si="1"/>
        <v>1.5755726370273226E-2</v>
      </c>
      <c r="D84" s="66">
        <f>(Table16[[#This Row],[Index]]-B72)/B72</f>
        <v>0.10371066780268531</v>
      </c>
    </row>
    <row r="85" spans="1:4" x14ac:dyDescent="0.35">
      <c r="A85" s="17">
        <v>28672</v>
      </c>
      <c r="B85" s="58">
        <f>VLOOKUP(Table16[[#This Row],[Date]],database!A:H,4,)</f>
        <v>26.491199999999999</v>
      </c>
      <c r="C85" s="66">
        <f t="shared" si="1"/>
        <v>7.3887036114521631E-3</v>
      </c>
      <c r="D85" s="66">
        <f>(Table16[[#This Row],[Index]]-B73)/B73</f>
        <v>0.10534748648107346</v>
      </c>
    </row>
    <row r="86" spans="1:4" x14ac:dyDescent="0.35">
      <c r="A86" s="17">
        <v>28703</v>
      </c>
      <c r="B86" s="58">
        <f>VLOOKUP(Table16[[#This Row],[Date]],database!A:H,4,)</f>
        <v>26.988099999999999</v>
      </c>
      <c r="C86" s="66">
        <f t="shared" si="1"/>
        <v>1.8757172193030192E-2</v>
      </c>
      <c r="D86" s="66">
        <f>(Table16[[#This Row],[Index]]-B74)/B74</f>
        <v>0.12250237077212303</v>
      </c>
    </row>
    <row r="87" spans="1:4" x14ac:dyDescent="0.35">
      <c r="A87" s="17">
        <v>28734</v>
      </c>
      <c r="B87" s="58">
        <f>VLOOKUP(Table16[[#This Row],[Date]],database!A:H,4,)</f>
        <v>27.265999999999998</v>
      </c>
      <c r="C87" s="66">
        <f t="shared" si="1"/>
        <v>1.0297130957718448E-2</v>
      </c>
      <c r="D87" s="66">
        <f>(Table16[[#This Row],[Index]]-B75)/B75</f>
        <v>0.12973329079465837</v>
      </c>
    </row>
    <row r="88" spans="1:4" x14ac:dyDescent="0.35">
      <c r="A88" s="17">
        <v>28764</v>
      </c>
      <c r="B88" s="58">
        <f>VLOOKUP(Table16[[#This Row],[Date]],database!A:H,4,)</f>
        <v>27.821100000000001</v>
      </c>
      <c r="C88" s="66">
        <f t="shared" si="1"/>
        <v>2.0358688476491027E-2</v>
      </c>
      <c r="D88" s="66">
        <f>(Table16[[#This Row],[Index]]-B76)/B76</f>
        <v>0.15760632122929438</v>
      </c>
    </row>
    <row r="89" spans="1:4" x14ac:dyDescent="0.35">
      <c r="A89" s="17">
        <v>28795</v>
      </c>
      <c r="B89" s="58">
        <f>VLOOKUP(Table16[[#This Row],[Date]],database!A:H,4,)</f>
        <v>28.285699999999999</v>
      </c>
      <c r="C89" s="66">
        <f t="shared" si="1"/>
        <v>1.6699555373439479E-2</v>
      </c>
      <c r="D89" s="66">
        <f>(Table16[[#This Row],[Index]]-B77)/B77</f>
        <v>0.1767762495527653</v>
      </c>
    </row>
    <row r="90" spans="1:4" x14ac:dyDescent="0.35">
      <c r="A90" s="17">
        <v>28825</v>
      </c>
      <c r="B90" s="58">
        <f>VLOOKUP(Table16[[#This Row],[Date]],database!A:H,4,)</f>
        <v>28.588699999999999</v>
      </c>
      <c r="C90" s="66">
        <f t="shared" si="1"/>
        <v>1.0712126622286267E-2</v>
      </c>
      <c r="D90" s="66">
        <f>(Table16[[#This Row],[Index]]-B78)/B78</f>
        <v>0.1738762672404236</v>
      </c>
    </row>
    <row r="91" spans="1:4" x14ac:dyDescent="0.35">
      <c r="A91" s="17">
        <v>28856</v>
      </c>
      <c r="B91" s="58">
        <f>VLOOKUP(Table16[[#This Row],[Date]],database!A:H,4,)</f>
        <v>28.915700000000001</v>
      </c>
      <c r="C91" s="66">
        <f t="shared" si="1"/>
        <v>1.1438085677208276E-2</v>
      </c>
      <c r="D91" s="66">
        <f>(Table16[[#This Row],[Index]]-B79)/B79</f>
        <v>0.21156521301914</v>
      </c>
    </row>
    <row r="92" spans="1:4" x14ac:dyDescent="0.35">
      <c r="A92" s="17">
        <v>28887</v>
      </c>
      <c r="B92" s="58">
        <f>VLOOKUP(Table16[[#This Row],[Date]],database!A:H,4,)</f>
        <v>29.235299999999999</v>
      </c>
      <c r="C92" s="66">
        <f t="shared" si="1"/>
        <v>1.1052819056775354E-2</v>
      </c>
      <c r="D92" s="66">
        <f>(Table16[[#This Row],[Index]]-B80)/B80</f>
        <v>0.19500421016489122</v>
      </c>
    </row>
    <row r="93" spans="1:4" x14ac:dyDescent="0.35">
      <c r="A93" s="17">
        <v>28915</v>
      </c>
      <c r="B93" s="58">
        <f>VLOOKUP(Table16[[#This Row],[Date]],database!A:H,4,)</f>
        <v>29.456700000000001</v>
      </c>
      <c r="C93" s="66">
        <f t="shared" si="1"/>
        <v>7.5730367056265901E-3</v>
      </c>
      <c r="D93" s="66">
        <f>(Table16[[#This Row],[Index]]-B81)/B81</f>
        <v>0.16940391829929147</v>
      </c>
    </row>
    <row r="94" spans="1:4" x14ac:dyDescent="0.35">
      <c r="A94" s="17">
        <v>28946</v>
      </c>
      <c r="B94" s="58">
        <f>VLOOKUP(Table16[[#This Row],[Date]],database!A:H,4,)</f>
        <v>28.855899999999998</v>
      </c>
      <c r="C94" s="66">
        <f t="shared" si="1"/>
        <v>-2.0396038931720262E-2</v>
      </c>
      <c r="D94" s="66">
        <f>(Table16[[#This Row],[Index]]-B82)/B82</f>
        <v>0.12180244763400559</v>
      </c>
    </row>
    <row r="95" spans="1:4" x14ac:dyDescent="0.35">
      <c r="A95" s="17">
        <v>28976</v>
      </c>
      <c r="B95" s="58">
        <f>VLOOKUP(Table16[[#This Row],[Date]],database!A:H,4,)</f>
        <v>29.689800000000002</v>
      </c>
      <c r="C95" s="66">
        <f t="shared" si="1"/>
        <v>2.8898769402444735E-2</v>
      </c>
      <c r="D95" s="66">
        <f>(Table16[[#This Row],[Index]]-B83)/B83</f>
        <v>0.14681138707559205</v>
      </c>
    </row>
    <row r="96" spans="1:4" x14ac:dyDescent="0.35">
      <c r="A96" s="17">
        <v>29007</v>
      </c>
      <c r="B96" s="58">
        <f>VLOOKUP(Table16[[#This Row],[Date]],database!A:H,4,)</f>
        <v>29.811399999999999</v>
      </c>
      <c r="C96" s="66">
        <f t="shared" si="1"/>
        <v>4.095682692372371E-3</v>
      </c>
      <c r="D96" s="66">
        <f>(Table16[[#This Row],[Index]]-B84)/B84</f>
        <v>0.13364693176762274</v>
      </c>
    </row>
    <row r="97" spans="1:4" x14ac:dyDescent="0.35">
      <c r="A97" s="17">
        <v>29037</v>
      </c>
      <c r="B97" s="58">
        <f>VLOOKUP(Table16[[#This Row],[Date]],database!A:H,4,)</f>
        <v>30.101299999999998</v>
      </c>
      <c r="C97" s="66">
        <f t="shared" si="1"/>
        <v>9.7244678210348656E-3</v>
      </c>
      <c r="D97" s="66">
        <f>(Table16[[#This Row],[Index]]-B85)/B85</f>
        <v>0.13627544241106479</v>
      </c>
    </row>
    <row r="98" spans="1:4" x14ac:dyDescent="0.35">
      <c r="A98" s="17">
        <v>29068</v>
      </c>
      <c r="B98" s="58">
        <f>VLOOKUP(Table16[[#This Row],[Date]],database!A:H,4,)</f>
        <v>29.738299999999999</v>
      </c>
      <c r="C98" s="66">
        <f t="shared" si="1"/>
        <v>-1.2059279831768022E-2</v>
      </c>
      <c r="D98" s="66">
        <f>(Table16[[#This Row],[Index]]-B86)/B86</f>
        <v>0.10190417257976662</v>
      </c>
    </row>
    <row r="99" spans="1:4" x14ac:dyDescent="0.35">
      <c r="A99" s="17">
        <v>29099</v>
      </c>
      <c r="B99" s="58">
        <f>VLOOKUP(Table16[[#This Row],[Date]],database!A:H,4,)</f>
        <v>30.4635</v>
      </c>
      <c r="C99" s="66">
        <f t="shared" si="1"/>
        <v>2.4386061072757981E-2</v>
      </c>
      <c r="D99" s="66">
        <f>(Table16[[#This Row],[Index]]-B87)/B87</f>
        <v>0.11727059341304195</v>
      </c>
    </row>
    <row r="100" spans="1:4" x14ac:dyDescent="0.35">
      <c r="A100" s="17">
        <v>29129</v>
      </c>
      <c r="B100" s="58">
        <f>VLOOKUP(Table16[[#This Row],[Date]],database!A:H,4,)</f>
        <v>30.1814</v>
      </c>
      <c r="C100" s="66">
        <f t="shared" si="1"/>
        <v>-9.2602622810904478E-3</v>
      </c>
      <c r="D100" s="66">
        <f>(Table16[[#This Row],[Index]]-B88)/B88</f>
        <v>8.4838485897394372E-2</v>
      </c>
    </row>
    <row r="101" spans="1:4" x14ac:dyDescent="0.35">
      <c r="A101" s="17">
        <v>29160</v>
      </c>
      <c r="B101" s="58">
        <f>VLOOKUP(Table16[[#This Row],[Date]],database!A:H,4,)</f>
        <v>30.126899999999999</v>
      </c>
      <c r="C101" s="66">
        <f t="shared" si="1"/>
        <v>-1.8057479109651053E-3</v>
      </c>
      <c r="D101" s="66">
        <f>(Table16[[#This Row],[Index]]-B89)/B89</f>
        <v>6.5092962168162738E-2</v>
      </c>
    </row>
    <row r="102" spans="1:4" x14ac:dyDescent="0.35">
      <c r="A102" s="17">
        <v>29190</v>
      </c>
      <c r="B102" s="58">
        <f>VLOOKUP(Table16[[#This Row],[Date]],database!A:H,4,)</f>
        <v>30.340399999999999</v>
      </c>
      <c r="C102" s="66">
        <f t="shared" si="1"/>
        <v>7.0866899681016893E-3</v>
      </c>
      <c r="D102" s="66">
        <f>(Table16[[#This Row],[Index]]-B90)/B90</f>
        <v>6.1272460797447928E-2</v>
      </c>
    </row>
    <row r="103" spans="1:4" x14ac:dyDescent="0.35">
      <c r="A103" s="17">
        <v>29221</v>
      </c>
      <c r="B103" s="58">
        <f>VLOOKUP(Table16[[#This Row],[Date]],database!A:H,4,)</f>
        <v>30.869399999999999</v>
      </c>
      <c r="C103" s="66">
        <f t="shared" si="1"/>
        <v>1.7435498543196593E-2</v>
      </c>
      <c r="D103" s="66">
        <f>(Table16[[#This Row],[Index]]-B91)/B91</f>
        <v>6.7565371061395638E-2</v>
      </c>
    </row>
    <row r="104" spans="1:4" x14ac:dyDescent="0.35">
      <c r="A104" s="17">
        <v>29252</v>
      </c>
      <c r="B104" s="58">
        <f>VLOOKUP(Table16[[#This Row],[Date]],database!A:H,4,)</f>
        <v>31.0318</v>
      </c>
      <c r="C104" s="66">
        <f t="shared" si="1"/>
        <v>5.2608732272088066E-3</v>
      </c>
      <c r="D104" s="66">
        <f>(Table16[[#This Row],[Index]]-B92)/B92</f>
        <v>6.1449685825012978E-2</v>
      </c>
    </row>
    <row r="105" spans="1:4" x14ac:dyDescent="0.35">
      <c r="A105" s="17">
        <v>29281</v>
      </c>
      <c r="B105" s="58">
        <f>VLOOKUP(Table16[[#This Row],[Date]],database!A:H,4,)</f>
        <v>30.762699999999999</v>
      </c>
      <c r="C105" s="66">
        <f t="shared" si="1"/>
        <v>-8.6717496245787284E-3</v>
      </c>
      <c r="D105" s="66">
        <f>(Table16[[#This Row],[Index]]-B93)/B93</f>
        <v>4.4336263057300963E-2</v>
      </c>
    </row>
    <row r="106" spans="1:4" x14ac:dyDescent="0.35">
      <c r="A106" s="17">
        <v>29312</v>
      </c>
      <c r="B106" s="58">
        <f>VLOOKUP(Table16[[#This Row],[Date]],database!A:H,4,)</f>
        <v>30.4558</v>
      </c>
      <c r="C106" s="66">
        <f t="shared" si="1"/>
        <v>-9.9763674839984384E-3</v>
      </c>
      <c r="D106" s="66">
        <f>(Table16[[#This Row],[Index]]-B94)/B94</f>
        <v>5.5444467162694688E-2</v>
      </c>
    </row>
    <row r="107" spans="1:4" x14ac:dyDescent="0.35">
      <c r="A107" s="17">
        <v>29342</v>
      </c>
      <c r="B107" s="58">
        <f>VLOOKUP(Table16[[#This Row],[Date]],database!A:H,4,)</f>
        <v>29.9803</v>
      </c>
      <c r="C107" s="66">
        <f t="shared" si="1"/>
        <v>-1.5612789682096673E-2</v>
      </c>
      <c r="D107" s="66">
        <f>(Table16[[#This Row],[Index]]-B95)/B95</f>
        <v>9.7845051162351367E-3</v>
      </c>
    </row>
    <row r="108" spans="1:4" x14ac:dyDescent="0.35">
      <c r="A108" s="17">
        <v>29373</v>
      </c>
      <c r="B108" s="58">
        <f>VLOOKUP(Table16[[#This Row],[Date]],database!A:H,4,)</f>
        <v>29.626799999999999</v>
      </c>
      <c r="C108" s="66">
        <f t="shared" si="1"/>
        <v>-1.1791076139998635E-2</v>
      </c>
      <c r="D108" s="66">
        <f>(Table16[[#This Row],[Index]]-B96)/B96</f>
        <v>-6.1922620205693011E-3</v>
      </c>
    </row>
    <row r="109" spans="1:4" x14ac:dyDescent="0.35">
      <c r="A109" s="17">
        <v>29403</v>
      </c>
      <c r="B109" s="58">
        <f>VLOOKUP(Table16[[#This Row],[Date]],database!A:H,4,)</f>
        <v>29.6311</v>
      </c>
      <c r="C109" s="66">
        <f t="shared" si="1"/>
        <v>1.4513886076117366E-4</v>
      </c>
      <c r="D109" s="66">
        <f>(Table16[[#This Row],[Index]]-B97)/B97</f>
        <v>-1.5620587815144143E-2</v>
      </c>
    </row>
    <row r="110" spans="1:4" x14ac:dyDescent="0.35">
      <c r="A110" s="17">
        <v>29434</v>
      </c>
      <c r="B110" s="58">
        <f>VLOOKUP(Table16[[#This Row],[Date]],database!A:H,4,)</f>
        <v>29.558700000000002</v>
      </c>
      <c r="C110" s="66">
        <f t="shared" si="1"/>
        <v>-2.4433787473295832E-3</v>
      </c>
      <c r="D110" s="66">
        <f>(Table16[[#This Row],[Index]]-B98)/B98</f>
        <v>-6.0393499292157619E-3</v>
      </c>
    </row>
    <row r="111" spans="1:4" x14ac:dyDescent="0.35">
      <c r="A111" s="17">
        <v>29465</v>
      </c>
      <c r="B111" s="58">
        <f>VLOOKUP(Table16[[#This Row],[Date]],database!A:H,4,)</f>
        <v>30.160399999999999</v>
      </c>
      <c r="C111" s="66">
        <f t="shared" si="1"/>
        <v>2.035610497078677E-2</v>
      </c>
      <c r="D111" s="66">
        <f>(Table16[[#This Row],[Index]]-B99)/B99</f>
        <v>-9.9496118305513349E-3</v>
      </c>
    </row>
    <row r="112" spans="1:4" x14ac:dyDescent="0.35">
      <c r="A112" s="17">
        <v>29495</v>
      </c>
      <c r="B112" s="58">
        <f>VLOOKUP(Table16[[#This Row],[Date]],database!A:H,4,)</f>
        <v>30.722100000000001</v>
      </c>
      <c r="C112" s="66">
        <f t="shared" si="1"/>
        <v>1.8623758305592819E-2</v>
      </c>
      <c r="D112" s="66">
        <f>(Table16[[#This Row],[Index]]-B100)/B100</f>
        <v>1.7915007256124667E-2</v>
      </c>
    </row>
    <row r="113" spans="1:4" x14ac:dyDescent="0.35">
      <c r="A113" s="17">
        <v>29526</v>
      </c>
      <c r="B113" s="58">
        <f>VLOOKUP(Table16[[#This Row],[Date]],database!A:H,4,)</f>
        <v>31.194700000000001</v>
      </c>
      <c r="C113" s="66">
        <f t="shared" si="1"/>
        <v>1.5383063006760622E-2</v>
      </c>
      <c r="D113" s="66">
        <f>(Table16[[#This Row],[Index]]-B101)/B101</f>
        <v>3.5443407718683366E-2</v>
      </c>
    </row>
    <row r="114" spans="1:4" x14ac:dyDescent="0.35">
      <c r="A114" s="17">
        <v>29556</v>
      </c>
      <c r="B114" s="58">
        <f>VLOOKUP(Table16[[#This Row],[Date]],database!A:H,4,)</f>
        <v>31.3399</v>
      </c>
      <c r="C114" s="66">
        <f t="shared" si="1"/>
        <v>4.6546368453614928E-3</v>
      </c>
      <c r="D114" s="66">
        <f>(Table16[[#This Row],[Index]]-B102)/B102</f>
        <v>3.2942874846739044E-2</v>
      </c>
    </row>
    <row r="115" spans="1:4" x14ac:dyDescent="0.35">
      <c r="A115" s="17">
        <v>29587</v>
      </c>
      <c r="B115" s="58">
        <f>VLOOKUP(Table16[[#This Row],[Date]],database!A:H,4,)</f>
        <v>31.3673</v>
      </c>
      <c r="C115" s="66">
        <f t="shared" si="1"/>
        <v>8.7428485732243821E-4</v>
      </c>
      <c r="D115" s="66">
        <f>(Table16[[#This Row],[Index]]-B103)/B103</f>
        <v>1.6129241255094084E-2</v>
      </c>
    </row>
    <row r="116" spans="1:4" x14ac:dyDescent="0.35">
      <c r="A116" s="17">
        <v>29618</v>
      </c>
      <c r="B116" s="58">
        <f>VLOOKUP(Table16[[#This Row],[Date]],database!A:H,4,)</f>
        <v>31.000800000000002</v>
      </c>
      <c r="C116" s="66">
        <f t="shared" si="1"/>
        <v>-1.1684142403075803E-2</v>
      </c>
      <c r="D116" s="66">
        <f>(Table16[[#This Row],[Index]]-B104)/B104</f>
        <v>-9.9897524474889653E-4</v>
      </c>
    </row>
    <row r="117" spans="1:4" x14ac:dyDescent="0.35">
      <c r="A117" s="17">
        <v>29646</v>
      </c>
      <c r="B117" s="58">
        <f>VLOOKUP(Table16[[#This Row],[Date]],database!A:H,4,)</f>
        <v>31.311299999999999</v>
      </c>
      <c r="C117" s="66">
        <f t="shared" si="1"/>
        <v>1.0015870558178985E-2</v>
      </c>
      <c r="D117" s="66">
        <f>(Table16[[#This Row],[Index]]-B105)/B105</f>
        <v>1.7833285114765625E-2</v>
      </c>
    </row>
    <row r="118" spans="1:4" x14ac:dyDescent="0.35">
      <c r="A118" s="17">
        <v>29677</v>
      </c>
      <c r="B118" s="58">
        <f>VLOOKUP(Table16[[#This Row],[Date]],database!A:H,4,)</f>
        <v>31.6616</v>
      </c>
      <c r="C118" s="66">
        <f t="shared" si="1"/>
        <v>1.1187654297330374E-2</v>
      </c>
      <c r="D118" s="66">
        <f>(Table16[[#This Row],[Index]]-B106)/B106</f>
        <v>3.9591801889951997E-2</v>
      </c>
    </row>
    <row r="119" spans="1:4" x14ac:dyDescent="0.35">
      <c r="A119" s="17">
        <v>29707</v>
      </c>
      <c r="B119" s="58">
        <f>VLOOKUP(Table16[[#This Row],[Date]],database!A:H,4,)</f>
        <v>31.662299999999998</v>
      </c>
      <c r="C119" s="66">
        <f t="shared" si="1"/>
        <v>2.2108800565856512E-5</v>
      </c>
      <c r="D119" s="66">
        <f>(Table16[[#This Row],[Index]]-B107)/B107</f>
        <v>5.6103507970233737E-2</v>
      </c>
    </row>
    <row r="120" spans="1:4" x14ac:dyDescent="0.35">
      <c r="A120" s="17">
        <v>29738</v>
      </c>
      <c r="B120" s="58">
        <f>VLOOKUP(Table16[[#This Row],[Date]],database!A:H,4,)</f>
        <v>31.539200000000001</v>
      </c>
      <c r="C120" s="66">
        <f t="shared" si="1"/>
        <v>-3.8879045426263303E-3</v>
      </c>
      <c r="D120" s="66">
        <f>(Table16[[#This Row],[Index]]-B108)/B108</f>
        <v>6.4549664492959138E-2</v>
      </c>
    </row>
    <row r="121" spans="1:4" x14ac:dyDescent="0.35">
      <c r="A121" s="17">
        <v>29768</v>
      </c>
      <c r="B121" s="58">
        <f>VLOOKUP(Table16[[#This Row],[Date]],database!A:H,4,)</f>
        <v>31.586099999999998</v>
      </c>
      <c r="C121" s="66">
        <f t="shared" si="1"/>
        <v>1.4870383522727071E-3</v>
      </c>
      <c r="D121" s="66">
        <f>(Table16[[#This Row],[Index]]-B109)/B109</f>
        <v>6.5977975842948733E-2</v>
      </c>
    </row>
    <row r="122" spans="1:4" x14ac:dyDescent="0.35">
      <c r="A122" s="17">
        <v>29799</v>
      </c>
      <c r="B122" s="58">
        <f>VLOOKUP(Table16[[#This Row],[Date]],database!A:H,4,)</f>
        <v>31.525400000000001</v>
      </c>
      <c r="C122" s="66">
        <f t="shared" si="1"/>
        <v>-1.921731394505688E-3</v>
      </c>
      <c r="D122" s="66">
        <f>(Table16[[#This Row],[Index]]-B110)/B110</f>
        <v>6.6535402436507671E-2</v>
      </c>
    </row>
    <row r="123" spans="1:4" x14ac:dyDescent="0.35">
      <c r="A123" s="17">
        <v>29830</v>
      </c>
      <c r="B123" s="58">
        <f>VLOOKUP(Table16[[#This Row],[Date]],database!A:H,4,)</f>
        <v>31.555199999999999</v>
      </c>
      <c r="C123" s="66">
        <f t="shared" si="1"/>
        <v>9.4526952869733449E-4</v>
      </c>
      <c r="D123" s="66">
        <f>(Table16[[#This Row],[Index]]-B111)/B111</f>
        <v>4.6246071007015825E-2</v>
      </c>
    </row>
    <row r="124" spans="1:4" x14ac:dyDescent="0.35">
      <c r="A124" s="17">
        <v>29860</v>
      </c>
      <c r="B124" s="58">
        <f>VLOOKUP(Table16[[#This Row],[Date]],database!A:H,4,)</f>
        <v>31.454000000000001</v>
      </c>
      <c r="C124" s="66">
        <f t="shared" si="1"/>
        <v>-3.2070783896156474E-3</v>
      </c>
      <c r="D124" s="66">
        <f>(Table16[[#This Row],[Index]]-B112)/B112</f>
        <v>2.3823241249784341E-2</v>
      </c>
    </row>
    <row r="125" spans="1:4" x14ac:dyDescent="0.35">
      <c r="A125" s="17">
        <v>29891</v>
      </c>
      <c r="B125" s="58">
        <f>VLOOKUP(Table16[[#This Row],[Date]],database!A:H,4,)</f>
        <v>30.937100000000001</v>
      </c>
      <c r="C125" s="66">
        <f t="shared" si="1"/>
        <v>-1.6433521968589049E-2</v>
      </c>
      <c r="D125" s="66">
        <f>(Table16[[#This Row],[Index]]-B113)/B113</f>
        <v>-8.2578130259306892E-3</v>
      </c>
    </row>
    <row r="126" spans="1:4" x14ac:dyDescent="0.35">
      <c r="A126" s="17">
        <v>29921</v>
      </c>
      <c r="B126" s="58">
        <f>VLOOKUP(Table16[[#This Row],[Date]],database!A:H,4,)</f>
        <v>30.511800000000001</v>
      </c>
      <c r="C126" s="66">
        <f t="shared" si="1"/>
        <v>-1.3747248449272886E-2</v>
      </c>
      <c r="D126" s="66">
        <f>(Table16[[#This Row],[Index]]-B114)/B114</f>
        <v>-2.6423185779150513E-2</v>
      </c>
    </row>
    <row r="127" spans="1:4" x14ac:dyDescent="0.35">
      <c r="A127" s="17">
        <v>29952</v>
      </c>
      <c r="B127" s="58">
        <f>VLOOKUP(Table16[[#This Row],[Date]],database!A:H,4,)</f>
        <v>29.293399999999998</v>
      </c>
      <c r="C127" s="66">
        <f t="shared" si="1"/>
        <v>-3.9932091846433315E-2</v>
      </c>
      <c r="D127" s="66">
        <f>(Table16[[#This Row],[Index]]-B115)/B115</f>
        <v>-6.6116624637759761E-2</v>
      </c>
    </row>
    <row r="128" spans="1:4" x14ac:dyDescent="0.35">
      <c r="A128" s="17">
        <v>29983</v>
      </c>
      <c r="B128" s="58">
        <f>VLOOKUP(Table16[[#This Row],[Date]],database!A:H,4,)</f>
        <v>30.351099999999999</v>
      </c>
      <c r="C128" s="66">
        <f t="shared" si="1"/>
        <v>3.610710945127571E-2</v>
      </c>
      <c r="D128" s="66">
        <f>(Table16[[#This Row],[Index]]-B116)/B116</f>
        <v>-2.0957523676808431E-2</v>
      </c>
    </row>
    <row r="129" spans="1:4" x14ac:dyDescent="0.35">
      <c r="A129" s="17">
        <v>30011</v>
      </c>
      <c r="B129" s="58">
        <f>VLOOKUP(Table16[[#This Row],[Date]],database!A:H,4,)</f>
        <v>29.996700000000001</v>
      </c>
      <c r="C129" s="66">
        <f t="shared" si="1"/>
        <v>-1.167667728681987E-2</v>
      </c>
      <c r="D129" s="66">
        <f>(Table16[[#This Row],[Index]]-B117)/B117</f>
        <v>-4.1984842532887444E-2</v>
      </c>
    </row>
    <row r="130" spans="1:4" x14ac:dyDescent="0.35">
      <c r="A130" s="17">
        <v>30042</v>
      </c>
      <c r="B130" s="58">
        <f>VLOOKUP(Table16[[#This Row],[Date]],database!A:H,4,)</f>
        <v>29.543700000000001</v>
      </c>
      <c r="C130" s="66">
        <f t="shared" si="1"/>
        <v>-1.5101661182730042E-2</v>
      </c>
      <c r="D130" s="66">
        <f>(Table16[[#This Row],[Index]]-B118)/B118</f>
        <v>-6.6891755312428899E-2</v>
      </c>
    </row>
    <row r="131" spans="1:4" x14ac:dyDescent="0.35">
      <c r="A131" s="17">
        <v>30072</v>
      </c>
      <c r="B131" s="58">
        <f>VLOOKUP(Table16[[#This Row],[Date]],database!A:H,4,)</f>
        <v>29.34</v>
      </c>
      <c r="C131" s="66">
        <f t="shared" si="1"/>
        <v>-6.8948709877233449E-3</v>
      </c>
      <c r="D131" s="66">
        <f>(Table16[[#This Row],[Index]]-B119)/B119</f>
        <v>-7.3345903487744057E-2</v>
      </c>
    </row>
    <row r="132" spans="1:4" x14ac:dyDescent="0.35">
      <c r="A132" s="17">
        <v>30103</v>
      </c>
      <c r="B132" s="58">
        <f>VLOOKUP(Table16[[#This Row],[Date]],database!A:H,4,)</f>
        <v>28.817599999999999</v>
      </c>
      <c r="C132" s="66">
        <f t="shared" si="1"/>
        <v>-1.7805044308111806E-2</v>
      </c>
      <c r="D132" s="66">
        <f>(Table16[[#This Row],[Index]]-B120)/B120</f>
        <v>-8.6292613636363702E-2</v>
      </c>
    </row>
    <row r="133" spans="1:4" x14ac:dyDescent="0.35">
      <c r="A133" s="17">
        <v>30133</v>
      </c>
      <c r="B133" s="58">
        <f>VLOOKUP(Table16[[#This Row],[Date]],database!A:H,4,)</f>
        <v>28.7302</v>
      </c>
      <c r="C133" s="66">
        <f t="shared" si="1"/>
        <v>-3.0328688023985029E-3</v>
      </c>
      <c r="D133" s="66">
        <f>(Table16[[#This Row],[Index]]-B121)/B121</f>
        <v>-9.041635402914569E-2</v>
      </c>
    </row>
    <row r="134" spans="1:4" x14ac:dyDescent="0.35">
      <c r="A134" s="17">
        <v>30164</v>
      </c>
      <c r="B134" s="58">
        <f>VLOOKUP(Table16[[#This Row],[Date]],database!A:H,4,)</f>
        <v>28.011800000000001</v>
      </c>
      <c r="C134" s="66">
        <f t="shared" si="1"/>
        <v>-2.5005046954076127E-2</v>
      </c>
      <c r="D134" s="66">
        <f>(Table16[[#This Row],[Index]]-B122)/B122</f>
        <v>-0.1114529871151516</v>
      </c>
    </row>
    <row r="135" spans="1:4" x14ac:dyDescent="0.35">
      <c r="A135" s="17">
        <v>30195</v>
      </c>
      <c r="B135" s="58">
        <f>VLOOKUP(Table16[[#This Row],[Date]],database!A:H,4,)</f>
        <v>27.892900000000001</v>
      </c>
      <c r="C135" s="66">
        <f t="shared" si="1"/>
        <v>-4.2446397589587237E-3</v>
      </c>
      <c r="D135" s="66">
        <f>(Table16[[#This Row],[Index]]-B123)/B123</f>
        <v>-0.11606011053645669</v>
      </c>
    </row>
    <row r="136" spans="1:4" x14ac:dyDescent="0.35">
      <c r="A136" s="17">
        <v>30225</v>
      </c>
      <c r="B136" s="58">
        <f>VLOOKUP(Table16[[#This Row],[Date]],database!A:H,4,)</f>
        <v>27.2559</v>
      </c>
      <c r="C136" s="66">
        <f t="shared" ref="C136:C199" si="2">B136/B135-1</f>
        <v>-2.2837352874745864E-2</v>
      </c>
      <c r="D136" s="66">
        <f>(Table16[[#This Row],[Index]]-B124)/B124</f>
        <v>-0.13346792140904179</v>
      </c>
    </row>
    <row r="137" spans="1:4" x14ac:dyDescent="0.35">
      <c r="A137" s="17">
        <v>30256</v>
      </c>
      <c r="B137" s="58">
        <f>VLOOKUP(Table16[[#This Row],[Date]],database!A:H,4,)</f>
        <v>27.151499999999999</v>
      </c>
      <c r="C137" s="66">
        <f t="shared" si="2"/>
        <v>-3.8303633341773002E-3</v>
      </c>
      <c r="D137" s="66">
        <f>(Table16[[#This Row],[Index]]-B125)/B125</f>
        <v>-0.12236441036813413</v>
      </c>
    </row>
    <row r="138" spans="1:4" x14ac:dyDescent="0.35">
      <c r="A138" s="17">
        <v>30286</v>
      </c>
      <c r="B138" s="58">
        <f>VLOOKUP(Table16[[#This Row],[Date]],database!A:H,4,)</f>
        <v>27.434000000000001</v>
      </c>
      <c r="C138" s="66">
        <f t="shared" si="2"/>
        <v>1.0404581698985504E-2</v>
      </c>
      <c r="D138" s="66">
        <f>(Table16[[#This Row],[Index]]-B126)/B126</f>
        <v>-0.10087244934746556</v>
      </c>
    </row>
    <row r="139" spans="1:4" x14ac:dyDescent="0.35">
      <c r="A139" s="17">
        <v>30317</v>
      </c>
      <c r="B139" s="58">
        <f>VLOOKUP(Table16[[#This Row],[Date]],database!A:H,4,)</f>
        <v>27.474499999999999</v>
      </c>
      <c r="C139" s="66">
        <f t="shared" si="2"/>
        <v>1.4762703214987738E-3</v>
      </c>
      <c r="D139" s="66">
        <f>(Table16[[#This Row],[Index]]-B127)/B127</f>
        <v>-6.209248499662038E-2</v>
      </c>
    </row>
    <row r="140" spans="1:4" x14ac:dyDescent="0.35">
      <c r="A140" s="17">
        <v>30348</v>
      </c>
      <c r="B140" s="58">
        <f>VLOOKUP(Table16[[#This Row],[Date]],database!A:H,4,)</f>
        <v>27.390699999999999</v>
      </c>
      <c r="C140" s="66">
        <f t="shared" si="2"/>
        <v>-3.0501010027480513E-3</v>
      </c>
      <c r="D140" s="66">
        <f>(Table16[[#This Row],[Index]]-B128)/B128</f>
        <v>-9.7538474717555543E-2</v>
      </c>
    </row>
    <row r="141" spans="1:4" x14ac:dyDescent="0.35">
      <c r="A141" s="17">
        <v>30376</v>
      </c>
      <c r="B141" s="58">
        <f>VLOOKUP(Table16[[#This Row],[Date]],database!A:H,4,)</f>
        <v>27.686199999999999</v>
      </c>
      <c r="C141" s="66">
        <f t="shared" si="2"/>
        <v>1.0788333266400718E-2</v>
      </c>
      <c r="D141" s="66">
        <f>(Table16[[#This Row],[Index]]-B129)/B129</f>
        <v>-7.7025139432004217E-2</v>
      </c>
    </row>
    <row r="142" spans="1:4" x14ac:dyDescent="0.35">
      <c r="A142" s="17">
        <v>30407</v>
      </c>
      <c r="B142" s="58">
        <f>VLOOKUP(Table16[[#This Row],[Date]],database!A:H,4,)</f>
        <v>27.740600000000001</v>
      </c>
      <c r="C142" s="66">
        <f t="shared" si="2"/>
        <v>1.964877809161214E-3</v>
      </c>
      <c r="D142" s="66">
        <f>(Table16[[#This Row],[Index]]-B130)/B130</f>
        <v>-6.1031624339537717E-2</v>
      </c>
    </row>
    <row r="143" spans="1:4" x14ac:dyDescent="0.35">
      <c r="A143" s="17">
        <v>30437</v>
      </c>
      <c r="B143" s="58">
        <f>VLOOKUP(Table16[[#This Row],[Date]],database!A:H,4,)</f>
        <v>28.090399999999999</v>
      </c>
      <c r="C143" s="66">
        <f t="shared" si="2"/>
        <v>1.2609676791417668E-2</v>
      </c>
      <c r="D143" s="66">
        <f>(Table16[[#This Row],[Index]]-B131)/B131</f>
        <v>-4.259032038173146E-2</v>
      </c>
    </row>
    <row r="144" spans="1:4" x14ac:dyDescent="0.35">
      <c r="A144" s="17">
        <v>30468</v>
      </c>
      <c r="B144" s="58">
        <f>VLOOKUP(Table16[[#This Row],[Date]],database!A:H,4,)</f>
        <v>28.293700000000001</v>
      </c>
      <c r="C144" s="66">
        <f t="shared" si="2"/>
        <v>7.2373479907728022E-3</v>
      </c>
      <c r="D144" s="66">
        <f>(Table16[[#This Row],[Index]]-B132)/B132</f>
        <v>-1.8179862306368248E-2</v>
      </c>
    </row>
    <row r="145" spans="1:4" x14ac:dyDescent="0.35">
      <c r="A145" s="17">
        <v>30498</v>
      </c>
      <c r="B145" s="58">
        <f>VLOOKUP(Table16[[#This Row],[Date]],database!A:H,4,)</f>
        <v>28.863099999999999</v>
      </c>
      <c r="C145" s="66">
        <f t="shared" si="2"/>
        <v>2.0124621382145103E-2</v>
      </c>
      <c r="D145" s="66">
        <f>(Table16[[#This Row],[Index]]-B133)/B133</f>
        <v>4.6257944601847305E-3</v>
      </c>
    </row>
    <row r="146" spans="1:4" x14ac:dyDescent="0.35">
      <c r="A146" s="17">
        <v>30529</v>
      </c>
      <c r="B146" s="58">
        <f>VLOOKUP(Table16[[#This Row],[Date]],database!A:H,4,)</f>
        <v>29.157800000000002</v>
      </c>
      <c r="C146" s="66">
        <f t="shared" si="2"/>
        <v>1.0210268474280415E-2</v>
      </c>
      <c r="D146" s="66">
        <f>(Table16[[#This Row],[Index]]-B134)/B134</f>
        <v>4.091133022511944E-2</v>
      </c>
    </row>
    <row r="147" spans="1:4" x14ac:dyDescent="0.35">
      <c r="A147" s="17">
        <v>30560</v>
      </c>
      <c r="B147" s="58">
        <f>VLOOKUP(Table16[[#This Row],[Date]],database!A:H,4,)</f>
        <v>29.940899999999999</v>
      </c>
      <c r="C147" s="66">
        <f t="shared" si="2"/>
        <v>2.6857307478616255E-2</v>
      </c>
      <c r="D147" s="66">
        <f>(Table16[[#This Row],[Index]]-B135)/B135</f>
        <v>7.3423702806090368E-2</v>
      </c>
    </row>
    <row r="148" spans="1:4" x14ac:dyDescent="0.35">
      <c r="A148" s="17">
        <v>30590</v>
      </c>
      <c r="B148" s="58">
        <f>VLOOKUP(Table16[[#This Row],[Date]],database!A:H,4,)</f>
        <v>30.2867</v>
      </c>
      <c r="C148" s="66">
        <f t="shared" si="2"/>
        <v>1.154941902214035E-2</v>
      </c>
      <c r="D148" s="66">
        <f>(Table16[[#This Row],[Index]]-B136)/B136</f>
        <v>0.11119794246383349</v>
      </c>
    </row>
    <row r="149" spans="1:4" x14ac:dyDescent="0.35">
      <c r="A149" s="17">
        <v>30621</v>
      </c>
      <c r="B149" s="58">
        <f>VLOOKUP(Table16[[#This Row],[Date]],database!A:H,4,)</f>
        <v>30.6112</v>
      </c>
      <c r="C149" s="66">
        <f t="shared" si="2"/>
        <v>1.0714273922216799E-2</v>
      </c>
      <c r="D149" s="66">
        <f>(Table16[[#This Row],[Index]]-B137)/B137</f>
        <v>0.12742205771320192</v>
      </c>
    </row>
    <row r="150" spans="1:4" x14ac:dyDescent="0.35">
      <c r="A150" s="17">
        <v>30651</v>
      </c>
      <c r="B150" s="58">
        <f>VLOOKUP(Table16[[#This Row],[Date]],database!A:H,4,)</f>
        <v>30.888300000000001</v>
      </c>
      <c r="C150" s="66">
        <f t="shared" si="2"/>
        <v>9.0522423165377841E-3</v>
      </c>
      <c r="D150" s="66">
        <f>(Table16[[#This Row],[Index]]-B138)/B138</f>
        <v>0.12591310053218632</v>
      </c>
    </row>
    <row r="151" spans="1:4" x14ac:dyDescent="0.35">
      <c r="A151" s="17">
        <v>30682</v>
      </c>
      <c r="B151" s="58">
        <f>VLOOKUP(Table16[[#This Row],[Date]],database!A:H,4,)</f>
        <v>31.583600000000001</v>
      </c>
      <c r="C151" s="66">
        <f t="shared" si="2"/>
        <v>2.25101413803932E-2</v>
      </c>
      <c r="D151" s="66">
        <f>(Table16[[#This Row],[Index]]-B139)/B139</f>
        <v>0.14956050155598835</v>
      </c>
    </row>
    <row r="152" spans="1:4" x14ac:dyDescent="0.35">
      <c r="A152" s="17">
        <v>30713</v>
      </c>
      <c r="B152" s="58">
        <f>VLOOKUP(Table16[[#This Row],[Date]],database!A:H,4,)</f>
        <v>31.848400000000002</v>
      </c>
      <c r="C152" s="66">
        <f t="shared" si="2"/>
        <v>8.3840980762168726E-3</v>
      </c>
      <c r="D152" s="66">
        <f>(Table16[[#This Row],[Index]]-B140)/B140</f>
        <v>0.16274501929487026</v>
      </c>
    </row>
    <row r="153" spans="1:4" x14ac:dyDescent="0.35">
      <c r="A153" s="17">
        <v>30742</v>
      </c>
      <c r="B153" s="58">
        <f>VLOOKUP(Table16[[#This Row],[Date]],database!A:H,4,)</f>
        <v>32.1616</v>
      </c>
      <c r="C153" s="66">
        <f t="shared" si="2"/>
        <v>9.8340889966215261E-3</v>
      </c>
      <c r="D153" s="66">
        <f>(Table16[[#This Row],[Index]]-B141)/B141</f>
        <v>0.16164731888088651</v>
      </c>
    </row>
    <row r="154" spans="1:4" x14ac:dyDescent="0.35">
      <c r="A154" s="17">
        <v>30773</v>
      </c>
      <c r="B154" s="58">
        <f>VLOOKUP(Table16[[#This Row],[Date]],database!A:H,4,)</f>
        <v>32.437399999999997</v>
      </c>
      <c r="C154" s="66">
        <f t="shared" si="2"/>
        <v>8.5754440077607796E-3</v>
      </c>
      <c r="D154" s="66">
        <f>(Table16[[#This Row],[Index]]-B142)/B142</f>
        <v>0.16931140638630729</v>
      </c>
    </row>
    <row r="155" spans="1:4" x14ac:dyDescent="0.35">
      <c r="A155" s="17">
        <v>30803</v>
      </c>
      <c r="B155" s="58">
        <f>VLOOKUP(Table16[[#This Row],[Date]],database!A:H,4,)</f>
        <v>32.598700000000001</v>
      </c>
      <c r="C155" s="66">
        <f t="shared" si="2"/>
        <v>4.9726550216726562E-3</v>
      </c>
      <c r="D155" s="66">
        <f>(Table16[[#This Row],[Index]]-B143)/B143</f>
        <v>0.16049255261584036</v>
      </c>
    </row>
    <row r="156" spans="1:4" x14ac:dyDescent="0.35">
      <c r="A156" s="17">
        <v>30834</v>
      </c>
      <c r="B156" s="58">
        <f>VLOOKUP(Table16[[#This Row],[Date]],database!A:H,4,)</f>
        <v>32.933700000000002</v>
      </c>
      <c r="C156" s="66">
        <f t="shared" si="2"/>
        <v>1.0276483418050431E-2</v>
      </c>
      <c r="D156" s="66">
        <f>(Table16[[#This Row],[Index]]-B144)/B144</f>
        <v>0.1639941046946847</v>
      </c>
    </row>
    <row r="157" spans="1:4" x14ac:dyDescent="0.35">
      <c r="A157" s="17">
        <v>30864</v>
      </c>
      <c r="B157" s="58">
        <f>VLOOKUP(Table16[[#This Row],[Date]],database!A:H,4,)</f>
        <v>33.393000000000001</v>
      </c>
      <c r="C157" s="66">
        <f t="shared" si="2"/>
        <v>1.3946201003834924E-2</v>
      </c>
      <c r="D157" s="66">
        <f>(Table16[[#This Row],[Index]]-B145)/B145</f>
        <v>0.15694433376872205</v>
      </c>
    </row>
    <row r="158" spans="1:4" x14ac:dyDescent="0.35">
      <c r="A158" s="17">
        <v>30895</v>
      </c>
      <c r="B158" s="58">
        <f>VLOOKUP(Table16[[#This Row],[Date]],database!A:H,4,)</f>
        <v>33.7181</v>
      </c>
      <c r="C158" s="66">
        <f t="shared" si="2"/>
        <v>9.7355733237505238E-3</v>
      </c>
      <c r="D158" s="66">
        <f>(Table16[[#This Row],[Index]]-B146)/B146</f>
        <v>0.15640068866649739</v>
      </c>
    </row>
    <row r="159" spans="1:4" x14ac:dyDescent="0.35">
      <c r="A159" s="17">
        <v>30926</v>
      </c>
      <c r="B159" s="58">
        <f>VLOOKUP(Table16[[#This Row],[Date]],database!A:H,4,)</f>
        <v>33.766399999999997</v>
      </c>
      <c r="C159" s="66">
        <f t="shared" si="2"/>
        <v>1.4324650558601437E-3</v>
      </c>
      <c r="D159" s="66">
        <f>(Table16[[#This Row],[Index]]-B147)/B147</f>
        <v>0.12776837035626845</v>
      </c>
    </row>
    <row r="160" spans="1:4" x14ac:dyDescent="0.35">
      <c r="A160" s="17">
        <v>30956</v>
      </c>
      <c r="B160" s="58">
        <f>VLOOKUP(Table16[[#This Row],[Date]],database!A:H,4,)</f>
        <v>34.044400000000003</v>
      </c>
      <c r="C160" s="66">
        <f t="shared" si="2"/>
        <v>8.2330363912055393E-3</v>
      </c>
      <c r="D160" s="66">
        <f>(Table16[[#This Row],[Index]]-B148)/B148</f>
        <v>0.12407096184133641</v>
      </c>
    </row>
    <row r="161" spans="1:4" x14ac:dyDescent="0.35">
      <c r="A161" s="17">
        <v>30987</v>
      </c>
      <c r="B161" s="58">
        <f>VLOOKUP(Table16[[#This Row],[Date]],database!A:H,4,)</f>
        <v>34.336100000000002</v>
      </c>
      <c r="C161" s="66">
        <f t="shared" si="2"/>
        <v>8.5682226739198786E-3</v>
      </c>
      <c r="D161" s="66">
        <f>(Table16[[#This Row],[Index]]-B149)/B149</f>
        <v>0.12168422015471467</v>
      </c>
    </row>
    <row r="162" spans="1:4" x14ac:dyDescent="0.35">
      <c r="A162" s="17">
        <v>31017</v>
      </c>
      <c r="B162" s="58">
        <f>VLOOKUP(Table16[[#This Row],[Date]],database!A:H,4,)</f>
        <v>34.540999999999997</v>
      </c>
      <c r="C162" s="66">
        <f t="shared" si="2"/>
        <v>5.967480290423044E-3</v>
      </c>
      <c r="D162" s="66">
        <f>(Table16[[#This Row],[Index]]-B150)/B150</f>
        <v>0.11825513220216055</v>
      </c>
    </row>
    <row r="163" spans="1:4" x14ac:dyDescent="0.35">
      <c r="A163" s="17">
        <v>31048</v>
      </c>
      <c r="B163" s="58">
        <f>VLOOKUP(Table16[[#This Row],[Date]],database!A:H,4,)</f>
        <v>34.470100000000002</v>
      </c>
      <c r="C163" s="66">
        <f t="shared" si="2"/>
        <v>-2.0526331026894384E-3</v>
      </c>
      <c r="D163" s="66">
        <f>(Table16[[#This Row],[Index]]-B151)/B151</f>
        <v>9.1392368191086565E-2</v>
      </c>
    </row>
    <row r="164" spans="1:4" x14ac:dyDescent="0.35">
      <c r="A164" s="17">
        <v>31079</v>
      </c>
      <c r="B164" s="58">
        <f>VLOOKUP(Table16[[#This Row],[Date]],database!A:H,4,)</f>
        <v>34.231099999999998</v>
      </c>
      <c r="C164" s="66">
        <f t="shared" si="2"/>
        <v>-6.9335453044814255E-3</v>
      </c>
      <c r="D164" s="66">
        <f>(Table16[[#This Row],[Index]]-B152)/B152</f>
        <v>7.4813805403097053E-2</v>
      </c>
    </row>
    <row r="165" spans="1:4" x14ac:dyDescent="0.35">
      <c r="A165" s="17">
        <v>31107</v>
      </c>
      <c r="B165" s="58">
        <f>VLOOKUP(Table16[[#This Row],[Date]],database!A:H,4,)</f>
        <v>34.6098</v>
      </c>
      <c r="C165" s="66">
        <f t="shared" si="2"/>
        <v>1.1063039166138378E-2</v>
      </c>
      <c r="D165" s="66">
        <f>(Table16[[#This Row],[Index]]-B153)/B153</f>
        <v>7.6121834734590318E-2</v>
      </c>
    </row>
    <row r="166" spans="1:4" x14ac:dyDescent="0.35">
      <c r="A166" s="17">
        <v>31138</v>
      </c>
      <c r="B166" s="58">
        <f>VLOOKUP(Table16[[#This Row],[Date]],database!A:H,4,)</f>
        <v>34.312399999999997</v>
      </c>
      <c r="C166" s="66">
        <f t="shared" si="2"/>
        <v>-8.5929418835128946E-3</v>
      </c>
      <c r="D166" s="66">
        <f>(Table16[[#This Row],[Index]]-B154)/B154</f>
        <v>5.7803646408158486E-2</v>
      </c>
    </row>
    <row r="167" spans="1:4" x14ac:dyDescent="0.35">
      <c r="A167" s="17">
        <v>31168</v>
      </c>
      <c r="B167" s="58">
        <f>VLOOKUP(Table16[[#This Row],[Date]],database!A:H,4,)</f>
        <v>34.395600000000002</v>
      </c>
      <c r="C167" s="66">
        <f t="shared" si="2"/>
        <v>2.4247793800493689E-3</v>
      </c>
      <c r="D167" s="66">
        <f>(Table16[[#This Row],[Index]]-B155)/B155</f>
        <v>5.5121830011626252E-2</v>
      </c>
    </row>
    <row r="168" spans="1:4" x14ac:dyDescent="0.35">
      <c r="A168" s="17">
        <v>31199</v>
      </c>
      <c r="B168" s="58">
        <f>VLOOKUP(Table16[[#This Row],[Date]],database!A:H,4,)</f>
        <v>34.432699999999997</v>
      </c>
      <c r="C168" s="66">
        <f t="shared" si="2"/>
        <v>1.0786263359265913E-3</v>
      </c>
      <c r="D168" s="66">
        <f>(Table16[[#This Row],[Index]]-B156)/B156</f>
        <v>4.5515687578377019E-2</v>
      </c>
    </row>
    <row r="169" spans="1:4" x14ac:dyDescent="0.35">
      <c r="A169" s="17">
        <v>31229</v>
      </c>
      <c r="B169" s="58">
        <f>VLOOKUP(Table16[[#This Row],[Date]],database!A:H,4,)</f>
        <v>34.2761</v>
      </c>
      <c r="C169" s="66">
        <f t="shared" si="2"/>
        <v>-4.5480023349896426E-3</v>
      </c>
      <c r="D169" s="66">
        <f>(Table16[[#This Row],[Index]]-B157)/B157</f>
        <v>2.6445662264546428E-2</v>
      </c>
    </row>
    <row r="170" spans="1:4" x14ac:dyDescent="0.35">
      <c r="A170" s="17">
        <v>31260</v>
      </c>
      <c r="B170" s="58">
        <f>VLOOKUP(Table16[[#This Row],[Date]],database!A:H,4,)</f>
        <v>34.315100000000001</v>
      </c>
      <c r="C170" s="66">
        <f t="shared" si="2"/>
        <v>1.1378190634290242E-3</v>
      </c>
      <c r="D170" s="66">
        <f>(Table16[[#This Row],[Index]]-B158)/B158</f>
        <v>1.7705623982371525E-2</v>
      </c>
    </row>
    <row r="171" spans="1:4" x14ac:dyDescent="0.35">
      <c r="A171" s="17">
        <v>31291</v>
      </c>
      <c r="B171" s="58">
        <f>VLOOKUP(Table16[[#This Row],[Date]],database!A:H,4,)</f>
        <v>34.225099999999998</v>
      </c>
      <c r="C171" s="66">
        <f t="shared" si="2"/>
        <v>-2.6227520829024131E-3</v>
      </c>
      <c r="D171" s="66">
        <f>(Table16[[#This Row],[Index]]-B159)/B159</f>
        <v>1.3584510045489018E-2</v>
      </c>
    </row>
    <row r="172" spans="1:4" x14ac:dyDescent="0.35">
      <c r="A172" s="17">
        <v>31321</v>
      </c>
      <c r="B172" s="58">
        <f>VLOOKUP(Table16[[#This Row],[Date]],database!A:H,4,)</f>
        <v>34.1798</v>
      </c>
      <c r="C172" s="66">
        <f t="shared" si="2"/>
        <v>-1.3235899968151443E-3</v>
      </c>
      <c r="D172" s="66">
        <f>(Table16[[#This Row],[Index]]-B160)/B160</f>
        <v>3.9771592391111919E-3</v>
      </c>
    </row>
    <row r="173" spans="1:4" x14ac:dyDescent="0.35">
      <c r="A173" s="17">
        <v>31352</v>
      </c>
      <c r="B173" s="58">
        <f>VLOOKUP(Table16[[#This Row],[Date]],database!A:H,4,)</f>
        <v>34.4861</v>
      </c>
      <c r="C173" s="66">
        <f t="shared" si="2"/>
        <v>8.961433361225124E-3</v>
      </c>
      <c r="D173" s="66">
        <f>(Table16[[#This Row],[Index]]-B161)/B161</f>
        <v>4.3685800076304114E-3</v>
      </c>
    </row>
    <row r="174" spans="1:4" x14ac:dyDescent="0.35">
      <c r="A174" s="17">
        <v>31382</v>
      </c>
      <c r="B174" s="58">
        <f>VLOOKUP(Table16[[#This Row],[Date]],database!A:H,4,)</f>
        <v>34.4236</v>
      </c>
      <c r="C174" s="66">
        <f t="shared" si="2"/>
        <v>-1.8123243857670612E-3</v>
      </c>
      <c r="D174" s="66">
        <f>(Table16[[#This Row],[Index]]-B162)/B162</f>
        <v>-3.3988593265972728E-3</v>
      </c>
    </row>
    <row r="175" spans="1:4" x14ac:dyDescent="0.35">
      <c r="A175" s="17">
        <v>31413</v>
      </c>
      <c r="B175" s="58">
        <f>VLOOKUP(Table16[[#This Row],[Date]],database!A:H,4,)</f>
        <v>34.5047</v>
      </c>
      <c r="C175" s="66">
        <f t="shared" si="2"/>
        <v>2.3559418538443566E-3</v>
      </c>
      <c r="D175" s="66">
        <f>(Table16[[#This Row],[Index]]-B163)/B163</f>
        <v>1.0037684834101879E-3</v>
      </c>
    </row>
    <row r="176" spans="1:4" x14ac:dyDescent="0.35">
      <c r="A176" s="17">
        <v>31444</v>
      </c>
      <c r="B176" s="58">
        <f>VLOOKUP(Table16[[#This Row],[Date]],database!A:H,4,)</f>
        <v>34.136899999999997</v>
      </c>
      <c r="C176" s="66">
        <f t="shared" si="2"/>
        <v>-1.0659417412700378E-2</v>
      </c>
      <c r="D176" s="66">
        <f>(Table16[[#This Row],[Index]]-B164)/B164</f>
        <v>-2.7518835211255478E-3</v>
      </c>
    </row>
    <row r="177" spans="1:4" x14ac:dyDescent="0.35">
      <c r="A177" s="17">
        <v>31472</v>
      </c>
      <c r="B177" s="58">
        <f>VLOOKUP(Table16[[#This Row],[Date]],database!A:H,4,)</f>
        <v>34.104100000000003</v>
      </c>
      <c r="C177" s="66">
        <f t="shared" si="2"/>
        <v>-9.6083710002947686E-4</v>
      </c>
      <c r="D177" s="66">
        <f>(Table16[[#This Row],[Index]]-B165)/B165</f>
        <v>-1.4611468428017423E-2</v>
      </c>
    </row>
    <row r="178" spans="1:4" x14ac:dyDescent="0.35">
      <c r="A178" s="17">
        <v>31503</v>
      </c>
      <c r="B178" s="58">
        <f>VLOOKUP(Table16[[#This Row],[Date]],database!A:H,4,)</f>
        <v>33.886400000000002</v>
      </c>
      <c r="C178" s="66">
        <f t="shared" si="2"/>
        <v>-6.383396717696721E-3</v>
      </c>
      <c r="D178" s="66">
        <f>(Table16[[#This Row],[Index]]-B166)/B166</f>
        <v>-1.2415336729578662E-2</v>
      </c>
    </row>
    <row r="179" spans="1:4" x14ac:dyDescent="0.35">
      <c r="A179" s="17">
        <v>31533</v>
      </c>
      <c r="B179" s="58">
        <f>VLOOKUP(Table16[[#This Row],[Date]],database!A:H,4,)</f>
        <v>33.829500000000003</v>
      </c>
      <c r="C179" s="66">
        <f t="shared" si="2"/>
        <v>-1.6791397138674613E-3</v>
      </c>
      <c r="D179" s="66">
        <f>(Table16[[#This Row],[Index]]-B167)/B167</f>
        <v>-1.6458500505878621E-2</v>
      </c>
    </row>
    <row r="180" spans="1:4" x14ac:dyDescent="0.35">
      <c r="A180" s="17">
        <v>31564</v>
      </c>
      <c r="B180" s="58">
        <f>VLOOKUP(Table16[[#This Row],[Date]],database!A:H,4,)</f>
        <v>33.483699999999999</v>
      </c>
      <c r="C180" s="66">
        <f t="shared" si="2"/>
        <v>-1.0221847795563122E-2</v>
      </c>
      <c r="D180" s="66">
        <f>(Table16[[#This Row],[Index]]-B168)/B168</f>
        <v>-2.7561010318679573E-2</v>
      </c>
    </row>
    <row r="181" spans="1:4" x14ac:dyDescent="0.35">
      <c r="A181" s="17">
        <v>31594</v>
      </c>
      <c r="B181" s="58">
        <f>VLOOKUP(Table16[[#This Row],[Date]],database!A:H,4,)</f>
        <v>33.732100000000003</v>
      </c>
      <c r="C181" s="66">
        <f t="shared" si="2"/>
        <v>7.4185349886661811E-3</v>
      </c>
      <c r="D181" s="66">
        <f>(Table16[[#This Row],[Index]]-B169)/B169</f>
        <v>-1.5871117192445959E-2</v>
      </c>
    </row>
    <row r="182" spans="1:4" x14ac:dyDescent="0.35">
      <c r="A182" s="17">
        <v>31625</v>
      </c>
      <c r="B182" s="58">
        <f>VLOOKUP(Table16[[#This Row],[Date]],database!A:H,4,)</f>
        <v>33.7042</v>
      </c>
      <c r="C182" s="66">
        <f t="shared" si="2"/>
        <v>-8.2710533883167958E-4</v>
      </c>
      <c r="D182" s="66">
        <f>(Table16[[#This Row],[Index]]-B170)/B170</f>
        <v>-1.7802658304944496E-2</v>
      </c>
    </row>
    <row r="183" spans="1:4" x14ac:dyDescent="0.35">
      <c r="A183" s="17">
        <v>31656</v>
      </c>
      <c r="B183" s="58">
        <f>VLOOKUP(Table16[[#This Row],[Date]],database!A:H,4,)</f>
        <v>33.790199999999999</v>
      </c>
      <c r="C183" s="66">
        <f t="shared" si="2"/>
        <v>2.5516107784786524E-3</v>
      </c>
      <c r="D183" s="66">
        <f>(Table16[[#This Row],[Index]]-B171)/B171</f>
        <v>-1.2707048335870427E-2</v>
      </c>
    </row>
    <row r="184" spans="1:4" x14ac:dyDescent="0.35">
      <c r="A184" s="17">
        <v>31686</v>
      </c>
      <c r="B184" s="58">
        <f>VLOOKUP(Table16[[#This Row],[Date]],database!A:H,4,)</f>
        <v>33.698900000000002</v>
      </c>
      <c r="C184" s="66">
        <f t="shared" si="2"/>
        <v>-2.7019668424571597E-3</v>
      </c>
      <c r="D184" s="66">
        <f>(Table16[[#This Row],[Index]]-B172)/B172</f>
        <v>-1.4069713690542319E-2</v>
      </c>
    </row>
    <row r="185" spans="1:4" x14ac:dyDescent="0.35">
      <c r="A185" s="17">
        <v>31717</v>
      </c>
      <c r="B185" s="58">
        <f>VLOOKUP(Table16[[#This Row],[Date]],database!A:H,4,)</f>
        <v>33.693199999999997</v>
      </c>
      <c r="C185" s="66">
        <f t="shared" si="2"/>
        <v>-1.6914498692843782E-4</v>
      </c>
      <c r="D185" s="66">
        <f>(Table16[[#This Row],[Index]]-B173)/B173</f>
        <v>-2.2991872087594799E-2</v>
      </c>
    </row>
    <row r="186" spans="1:4" x14ac:dyDescent="0.35">
      <c r="A186" s="17">
        <v>31747</v>
      </c>
      <c r="B186" s="58">
        <f>VLOOKUP(Table16[[#This Row],[Date]],database!A:H,4,)</f>
        <v>34.080100000000002</v>
      </c>
      <c r="C186" s="66">
        <f t="shared" si="2"/>
        <v>1.1483029216577956E-2</v>
      </c>
      <c r="D186" s="66">
        <f>(Table16[[#This Row],[Index]]-B174)/B174</f>
        <v>-9.978619319304164E-3</v>
      </c>
    </row>
    <row r="187" spans="1:4" x14ac:dyDescent="0.35">
      <c r="A187" s="17">
        <v>31778</v>
      </c>
      <c r="B187" s="58">
        <f>VLOOKUP(Table16[[#This Row],[Date]],database!A:H,4,)</f>
        <v>34.113999999999997</v>
      </c>
      <c r="C187" s="66">
        <f t="shared" si="2"/>
        <v>9.9471539109319274E-4</v>
      </c>
      <c r="D187" s="66">
        <f>(Table16[[#This Row],[Index]]-B175)/B175</f>
        <v>-1.1323095114578666E-2</v>
      </c>
    </row>
    <row r="188" spans="1:4" x14ac:dyDescent="0.35">
      <c r="A188" s="17">
        <v>31809</v>
      </c>
      <c r="B188" s="58">
        <f>VLOOKUP(Table16[[#This Row],[Date]],database!A:H,4,)</f>
        <v>34.891100000000002</v>
      </c>
      <c r="C188" s="66">
        <f t="shared" si="2"/>
        <v>2.2779504015946639E-2</v>
      </c>
      <c r="D188" s="66">
        <f>(Table16[[#This Row],[Index]]-B176)/B176</f>
        <v>2.2093394537875569E-2</v>
      </c>
    </row>
    <row r="189" spans="1:4" x14ac:dyDescent="0.35">
      <c r="A189" s="17">
        <v>31837</v>
      </c>
      <c r="B189" s="58">
        <f>VLOOKUP(Table16[[#This Row],[Date]],database!A:H,4,)</f>
        <v>34.853700000000003</v>
      </c>
      <c r="C189" s="66">
        <f t="shared" si="2"/>
        <v>-1.071906589359406E-3</v>
      </c>
      <c r="D189" s="66">
        <f>(Table16[[#This Row],[Index]]-B177)/B177</f>
        <v>2.1979761964104047E-2</v>
      </c>
    </row>
    <row r="190" spans="1:4" x14ac:dyDescent="0.35">
      <c r="A190" s="17">
        <v>31868</v>
      </c>
      <c r="B190" s="58">
        <f>VLOOKUP(Table16[[#This Row],[Date]],database!A:H,4,)</f>
        <v>35.1569</v>
      </c>
      <c r="C190" s="66">
        <f t="shared" si="2"/>
        <v>8.6992198819637601E-3</v>
      </c>
      <c r="D190" s="66">
        <f>(Table16[[#This Row],[Index]]-B178)/B178</f>
        <v>3.749291751263039E-2</v>
      </c>
    </row>
    <row r="191" spans="1:4" x14ac:dyDescent="0.35">
      <c r="A191" s="17">
        <v>31898</v>
      </c>
      <c r="B191" s="58">
        <f>VLOOKUP(Table16[[#This Row],[Date]],database!A:H,4,)</f>
        <v>35.450600000000001</v>
      </c>
      <c r="C191" s="66">
        <f t="shared" si="2"/>
        <v>8.3539788775461865E-3</v>
      </c>
      <c r="D191" s="66">
        <f>(Table16[[#This Row],[Index]]-B179)/B179</f>
        <v>4.7919715041605651E-2</v>
      </c>
    </row>
    <row r="192" spans="1:4" x14ac:dyDescent="0.35">
      <c r="A192" s="17">
        <v>31929</v>
      </c>
      <c r="B192" s="58">
        <f>VLOOKUP(Table16[[#This Row],[Date]],database!A:H,4,)</f>
        <v>35.6783</v>
      </c>
      <c r="C192" s="66">
        <f t="shared" si="2"/>
        <v>6.4230224594223895E-3</v>
      </c>
      <c r="D192" s="66">
        <f>(Table16[[#This Row],[Index]]-B180)/B180</f>
        <v>6.5542338510977016E-2</v>
      </c>
    </row>
    <row r="193" spans="1:4" x14ac:dyDescent="0.35">
      <c r="A193" s="17">
        <v>31959</v>
      </c>
      <c r="B193" s="58">
        <f>VLOOKUP(Table16[[#This Row],[Date]],database!A:H,4,)</f>
        <v>35.991599999999998</v>
      </c>
      <c r="C193" s="66">
        <f t="shared" si="2"/>
        <v>8.7812479854700864E-3</v>
      </c>
      <c r="D193" s="66">
        <f>(Table16[[#This Row],[Index]]-B181)/B181</f>
        <v>6.6983674304297552E-2</v>
      </c>
    </row>
    <row r="194" spans="1:4" x14ac:dyDescent="0.35">
      <c r="A194" s="17">
        <v>31990</v>
      </c>
      <c r="B194" s="58">
        <f>VLOOKUP(Table16[[#This Row],[Date]],database!A:H,4,)</f>
        <v>36.5</v>
      </c>
      <c r="C194" s="66">
        <f t="shared" si="2"/>
        <v>1.4125518176463459E-2</v>
      </c>
      <c r="D194" s="66">
        <f>(Table16[[#This Row],[Index]]-B182)/B182</f>
        <v>8.2951086214774414E-2</v>
      </c>
    </row>
    <row r="195" spans="1:4" x14ac:dyDescent="0.35">
      <c r="A195" s="17">
        <v>32021</v>
      </c>
      <c r="B195" s="58">
        <f>VLOOKUP(Table16[[#This Row],[Date]],database!A:H,4,)</f>
        <v>37.079500000000003</v>
      </c>
      <c r="C195" s="66">
        <f t="shared" si="2"/>
        <v>1.5876712328767306E-2</v>
      </c>
      <c r="D195" s="66">
        <f>(Table16[[#This Row],[Index]]-B183)/B183</f>
        <v>9.7344792277050868E-2</v>
      </c>
    </row>
    <row r="196" spans="1:4" x14ac:dyDescent="0.35">
      <c r="A196" s="17">
        <v>32051</v>
      </c>
      <c r="B196" s="58">
        <f>VLOOKUP(Table16[[#This Row],[Date]],database!A:H,4,)</f>
        <v>37.817500000000003</v>
      </c>
      <c r="C196" s="66">
        <f t="shared" si="2"/>
        <v>1.9903181002980164E-2</v>
      </c>
      <c r="D196" s="66">
        <f>(Table16[[#This Row],[Index]]-B184)/B184</f>
        <v>0.12221763915142632</v>
      </c>
    </row>
    <row r="197" spans="1:4" x14ac:dyDescent="0.35">
      <c r="A197" s="17">
        <v>32082</v>
      </c>
      <c r="B197" s="58">
        <f>VLOOKUP(Table16[[#This Row],[Date]],database!A:H,4,)</f>
        <v>38.065300000000001</v>
      </c>
      <c r="C197" s="66">
        <f t="shared" si="2"/>
        <v>6.5525219805644408E-3</v>
      </c>
      <c r="D197" s="66">
        <f>(Table16[[#This Row],[Index]]-B185)/B185</f>
        <v>0.12976208849263363</v>
      </c>
    </row>
    <row r="198" spans="1:4" x14ac:dyDescent="0.35">
      <c r="A198" s="17">
        <v>32112</v>
      </c>
      <c r="B198" s="58">
        <f>VLOOKUP(Table16[[#This Row],[Date]],database!A:H,4,)</f>
        <v>38.515799999999999</v>
      </c>
      <c r="C198" s="66">
        <f t="shared" si="2"/>
        <v>1.1834925772291172E-2</v>
      </c>
      <c r="D198" s="66">
        <f>(Table16[[#This Row],[Index]]-B186)/B186</f>
        <v>0.1301551345213188</v>
      </c>
    </row>
    <row r="199" spans="1:4" x14ac:dyDescent="0.35">
      <c r="A199" s="17">
        <v>32143</v>
      </c>
      <c r="B199" s="58">
        <f>VLOOKUP(Table16[[#This Row],[Date]],database!A:H,4,)</f>
        <v>38.560400000000001</v>
      </c>
      <c r="C199" s="66">
        <f t="shared" si="2"/>
        <v>1.1579663410861141E-3</v>
      </c>
      <c r="D199" s="66">
        <f>(Table16[[#This Row],[Index]]-B187)/B187</f>
        <v>0.13033945007914652</v>
      </c>
    </row>
    <row r="200" spans="1:4" x14ac:dyDescent="0.35">
      <c r="A200" s="17">
        <v>32174</v>
      </c>
      <c r="B200" s="58">
        <f>VLOOKUP(Table16[[#This Row],[Date]],database!A:H,4,)</f>
        <v>38.861800000000002</v>
      </c>
      <c r="C200" s="66">
        <f t="shared" ref="C200:C263" si="3">B200/B199-1</f>
        <v>7.8163089594507351E-3</v>
      </c>
      <c r="D200" s="66">
        <f>(Table16[[#This Row],[Index]]-B188)/B188</f>
        <v>0.1138026602772627</v>
      </c>
    </row>
    <row r="201" spans="1:4" x14ac:dyDescent="0.35">
      <c r="A201" s="17">
        <v>32203</v>
      </c>
      <c r="B201" s="58">
        <f>VLOOKUP(Table16[[#This Row],[Date]],database!A:H,4,)</f>
        <v>39.286900000000003</v>
      </c>
      <c r="C201" s="66">
        <f t="shared" si="3"/>
        <v>1.0938762486554898E-2</v>
      </c>
      <c r="D201" s="66">
        <f>(Table16[[#This Row],[Index]]-B189)/B189</f>
        <v>0.12719453027942512</v>
      </c>
    </row>
    <row r="202" spans="1:4" x14ac:dyDescent="0.35">
      <c r="A202" s="17">
        <v>32234</v>
      </c>
      <c r="B202" s="58">
        <f>VLOOKUP(Table16[[#This Row],[Date]],database!A:H,4,)</f>
        <v>39.725000000000001</v>
      </c>
      <c r="C202" s="66">
        <f t="shared" si="3"/>
        <v>1.1151299797133252E-2</v>
      </c>
      <c r="D202" s="66">
        <f>(Table16[[#This Row],[Index]]-B190)/B190</f>
        <v>0.12993466431909528</v>
      </c>
    </row>
    <row r="203" spans="1:4" x14ac:dyDescent="0.35">
      <c r="A203" s="17">
        <v>32264</v>
      </c>
      <c r="B203" s="58">
        <f>VLOOKUP(Table16[[#This Row],[Date]],database!A:H,4,)</f>
        <v>39.900799999999997</v>
      </c>
      <c r="C203" s="66">
        <f t="shared" si="3"/>
        <v>4.425424795468702E-3</v>
      </c>
      <c r="D203" s="66">
        <f>(Table16[[#This Row],[Index]]-B191)/B191</f>
        <v>0.12553243104489051</v>
      </c>
    </row>
    <row r="204" spans="1:4" x14ac:dyDescent="0.35">
      <c r="A204" s="17">
        <v>32295</v>
      </c>
      <c r="B204" s="58">
        <f>VLOOKUP(Table16[[#This Row],[Date]],database!A:H,4,)</f>
        <v>40.229399999999998</v>
      </c>
      <c r="C204" s="66">
        <f t="shared" si="3"/>
        <v>8.235423851150836E-3</v>
      </c>
      <c r="D204" s="66">
        <f>(Table16[[#This Row],[Index]]-B192)/B192</f>
        <v>0.12755932877967835</v>
      </c>
    </row>
    <row r="205" spans="1:4" x14ac:dyDescent="0.35">
      <c r="A205" s="17">
        <v>32325</v>
      </c>
      <c r="B205" s="58">
        <f>VLOOKUP(Table16[[#This Row],[Date]],database!A:H,4,)</f>
        <v>39.875999999999998</v>
      </c>
      <c r="C205" s="66">
        <f t="shared" si="3"/>
        <v>-8.7846202031350851E-3</v>
      </c>
      <c r="D205" s="66">
        <f>(Table16[[#This Row],[Index]]-B193)/B193</f>
        <v>0.10792518254259326</v>
      </c>
    </row>
    <row r="206" spans="1:4" x14ac:dyDescent="0.35">
      <c r="A206" s="17">
        <v>32356</v>
      </c>
      <c r="B206" s="58">
        <f>VLOOKUP(Table16[[#This Row],[Date]],database!A:H,4,)</f>
        <v>40.048400000000001</v>
      </c>
      <c r="C206" s="66">
        <f t="shared" si="3"/>
        <v>4.3234025478986471E-3</v>
      </c>
      <c r="D206" s="66">
        <f>(Table16[[#This Row],[Index]]-B194)/B194</f>
        <v>9.7216438356164406E-2</v>
      </c>
    </row>
    <row r="207" spans="1:4" x14ac:dyDescent="0.35">
      <c r="A207" s="17">
        <v>32387</v>
      </c>
      <c r="B207" s="58">
        <f>VLOOKUP(Table16[[#This Row],[Date]],database!A:H,4,)</f>
        <v>40.438600000000001</v>
      </c>
      <c r="C207" s="66">
        <f t="shared" si="3"/>
        <v>9.7432107150348113E-3</v>
      </c>
      <c r="D207" s="66">
        <f>(Table16[[#This Row],[Index]]-B195)/B195</f>
        <v>9.0591836459499128E-2</v>
      </c>
    </row>
    <row r="208" spans="1:4" x14ac:dyDescent="0.35">
      <c r="A208" s="17">
        <v>32417</v>
      </c>
      <c r="B208" s="58">
        <f>VLOOKUP(Table16[[#This Row],[Date]],database!A:H,4,)</f>
        <v>40.698399999999999</v>
      </c>
      <c r="C208" s="66">
        <f t="shared" si="3"/>
        <v>6.4245547570884742E-3</v>
      </c>
      <c r="D208" s="66">
        <f>(Table16[[#This Row],[Index]]-B196)/B196</f>
        <v>7.6179017650558511E-2</v>
      </c>
    </row>
    <row r="209" spans="1:4" x14ac:dyDescent="0.35">
      <c r="A209" s="17">
        <v>32448</v>
      </c>
      <c r="B209" s="58">
        <f>VLOOKUP(Table16[[#This Row],[Date]],database!A:H,4,)</f>
        <v>40.795000000000002</v>
      </c>
      <c r="C209" s="66">
        <f t="shared" si="3"/>
        <v>2.3735576828574079E-3</v>
      </c>
      <c r="D209" s="66">
        <f>(Table16[[#This Row],[Index]]-B197)/B197</f>
        <v>7.171098086708895E-2</v>
      </c>
    </row>
    <row r="210" spans="1:4" x14ac:dyDescent="0.35">
      <c r="A210" s="17">
        <v>32478</v>
      </c>
      <c r="B210" s="58">
        <f>VLOOKUP(Table16[[#This Row],[Date]],database!A:H,4,)</f>
        <v>40.917499999999997</v>
      </c>
      <c r="C210" s="66">
        <f t="shared" si="3"/>
        <v>3.0028189729132126E-3</v>
      </c>
      <c r="D210" s="66">
        <f>(Table16[[#This Row],[Index]]-B198)/B198</f>
        <v>6.2356227833772065E-2</v>
      </c>
    </row>
    <row r="211" spans="1:4" x14ac:dyDescent="0.35">
      <c r="A211" s="17">
        <v>32509</v>
      </c>
      <c r="B211" s="58">
        <f>VLOOKUP(Table16[[#This Row],[Date]],database!A:H,4,)</f>
        <v>41.344700000000003</v>
      </c>
      <c r="C211" s="66">
        <f t="shared" si="3"/>
        <v>1.0440520559662936E-2</v>
      </c>
      <c r="D211" s="66">
        <f>(Table16[[#This Row],[Index]]-B199)/B199</f>
        <v>7.2206201180485721E-2</v>
      </c>
    </row>
    <row r="212" spans="1:4" x14ac:dyDescent="0.35">
      <c r="A212" s="17">
        <v>32540</v>
      </c>
      <c r="B212" s="58">
        <f>VLOOKUP(Table16[[#This Row],[Date]],database!A:H,4,)</f>
        <v>41.176000000000002</v>
      </c>
      <c r="C212" s="66">
        <f t="shared" si="3"/>
        <v>-4.0803295222846536E-3</v>
      </c>
      <c r="D212" s="66">
        <f>(Table16[[#This Row],[Index]]-B200)/B200</f>
        <v>5.954948046667935E-2</v>
      </c>
    </row>
    <row r="213" spans="1:4" x14ac:dyDescent="0.35">
      <c r="A213" s="17">
        <v>32568</v>
      </c>
      <c r="B213" s="58">
        <f>VLOOKUP(Table16[[#This Row],[Date]],database!A:H,4,)</f>
        <v>40.979900000000001</v>
      </c>
      <c r="C213" s="66">
        <f t="shared" si="3"/>
        <v>-4.7624829998057505E-3</v>
      </c>
      <c r="D213" s="66">
        <f>(Table16[[#This Row],[Index]]-B201)/B201</f>
        <v>4.3093244822065314E-2</v>
      </c>
    </row>
    <row r="214" spans="1:4" x14ac:dyDescent="0.35">
      <c r="A214" s="17">
        <v>32599</v>
      </c>
      <c r="B214" s="58">
        <f>VLOOKUP(Table16[[#This Row],[Date]],database!A:H,4,)</f>
        <v>41.582500000000003</v>
      </c>
      <c r="C214" s="66">
        <f t="shared" si="3"/>
        <v>1.4704769899389847E-2</v>
      </c>
      <c r="D214" s="66">
        <f>(Table16[[#This Row],[Index]]-B202)/B202</f>
        <v>4.6758967904342398E-2</v>
      </c>
    </row>
    <row r="215" spans="1:4" x14ac:dyDescent="0.35">
      <c r="A215" s="17">
        <v>32629</v>
      </c>
      <c r="B215" s="58">
        <f>VLOOKUP(Table16[[#This Row],[Date]],database!A:H,4,)</f>
        <v>41.04</v>
      </c>
      <c r="C215" s="66">
        <f t="shared" si="3"/>
        <v>-1.3046353634341479E-2</v>
      </c>
      <c r="D215" s="66">
        <f>(Table16[[#This Row],[Index]]-B203)/B203</f>
        <v>2.8550805998877278E-2</v>
      </c>
    </row>
    <row r="216" spans="1:4" x14ac:dyDescent="0.35">
      <c r="A216" s="17">
        <v>32660</v>
      </c>
      <c r="B216" s="58">
        <f>VLOOKUP(Table16[[#This Row],[Date]],database!A:H,4,)</f>
        <v>41.588900000000002</v>
      </c>
      <c r="C216" s="66">
        <f t="shared" si="3"/>
        <v>1.3374756335282623E-2</v>
      </c>
      <c r="D216" s="66">
        <f>(Table16[[#This Row],[Index]]-B204)/B204</f>
        <v>3.3793693169672033E-2</v>
      </c>
    </row>
    <row r="217" spans="1:4" x14ac:dyDescent="0.35">
      <c r="A217" s="17">
        <v>32690</v>
      </c>
      <c r="B217" s="58">
        <f>VLOOKUP(Table16[[#This Row],[Date]],database!A:H,4,)</f>
        <v>41.032299999999999</v>
      </c>
      <c r="C217" s="66">
        <f t="shared" si="3"/>
        <v>-1.3383378738076823E-2</v>
      </c>
      <c r="D217" s="66">
        <f>(Table16[[#This Row],[Index]]-B205)/B205</f>
        <v>2.8997391914936346E-2</v>
      </c>
    </row>
    <row r="218" spans="1:4" x14ac:dyDescent="0.35">
      <c r="A218" s="17">
        <v>32721</v>
      </c>
      <c r="B218" s="58">
        <f>VLOOKUP(Table16[[#This Row],[Date]],database!A:H,4,)</f>
        <v>41.626100000000001</v>
      </c>
      <c r="C218" s="66">
        <f t="shared" si="3"/>
        <v>1.4471526090421571E-2</v>
      </c>
      <c r="D218" s="66">
        <f>(Table16[[#This Row],[Index]]-B206)/B206</f>
        <v>3.9394832252973903E-2</v>
      </c>
    </row>
    <row r="219" spans="1:4" x14ac:dyDescent="0.35">
      <c r="A219" s="17">
        <v>32752</v>
      </c>
      <c r="B219" s="58">
        <f>VLOOKUP(Table16[[#This Row],[Date]],database!A:H,4,)</f>
        <v>41.445900000000002</v>
      </c>
      <c r="C219" s="66">
        <f t="shared" si="3"/>
        <v>-4.3290147287399217E-3</v>
      </c>
      <c r="D219" s="66">
        <f>(Table16[[#This Row],[Index]]-B207)/B207</f>
        <v>2.4909368771421383E-2</v>
      </c>
    </row>
    <row r="220" spans="1:4" x14ac:dyDescent="0.35">
      <c r="A220" s="17">
        <v>32782</v>
      </c>
      <c r="B220" s="58">
        <f>VLOOKUP(Table16[[#This Row],[Date]],database!A:H,4,)</f>
        <v>40.886699999999998</v>
      </c>
      <c r="C220" s="66">
        <f t="shared" si="3"/>
        <v>-1.3492287536282288E-2</v>
      </c>
      <c r="D220" s="66">
        <f>(Table16[[#This Row],[Index]]-B208)/B208</f>
        <v>4.6267175122363079E-3</v>
      </c>
    </row>
    <row r="221" spans="1:4" x14ac:dyDescent="0.35">
      <c r="A221" s="17">
        <v>32813</v>
      </c>
      <c r="B221" s="58">
        <f>VLOOKUP(Table16[[#This Row],[Date]],database!A:H,4,)</f>
        <v>41.164900000000003</v>
      </c>
      <c r="C221" s="66">
        <f t="shared" si="3"/>
        <v>6.8041685927209272E-3</v>
      </c>
      <c r="D221" s="66">
        <f>(Table16[[#This Row],[Index]]-B209)/B209</f>
        <v>9.0672876578012304E-3</v>
      </c>
    </row>
    <row r="222" spans="1:4" x14ac:dyDescent="0.35">
      <c r="A222" s="17">
        <v>32843</v>
      </c>
      <c r="B222" s="58">
        <f>VLOOKUP(Table16[[#This Row],[Date]],database!A:H,4,)</f>
        <v>41.746899999999997</v>
      </c>
      <c r="C222" s="66">
        <f t="shared" si="3"/>
        <v>1.413825856494233E-2</v>
      </c>
      <c r="D222" s="66">
        <f>(Table16[[#This Row],[Index]]-B210)/B210</f>
        <v>2.0270055599682282E-2</v>
      </c>
    </row>
    <row r="223" spans="1:4" x14ac:dyDescent="0.35">
      <c r="A223" s="17">
        <v>32874</v>
      </c>
      <c r="B223" s="58">
        <f>VLOOKUP(Table16[[#This Row],[Date]],database!A:H,4,)</f>
        <v>41.353000000000002</v>
      </c>
      <c r="C223" s="66">
        <f t="shared" si="3"/>
        <v>-9.435431133808625E-3</v>
      </c>
      <c r="D223" s="66">
        <f>(Table16[[#This Row],[Index]]-B211)/B211</f>
        <v>2.0075124502048433E-4</v>
      </c>
    </row>
    <row r="224" spans="1:4" x14ac:dyDescent="0.35">
      <c r="A224" s="17">
        <v>32905</v>
      </c>
      <c r="B224" s="58">
        <f>VLOOKUP(Table16[[#This Row],[Date]],database!A:H,4,)</f>
        <v>42.076900000000002</v>
      </c>
      <c r="C224" s="66">
        <f t="shared" si="3"/>
        <v>1.7505380504437396E-2</v>
      </c>
      <c r="D224" s="66">
        <f>(Table16[[#This Row],[Index]]-B212)/B212</f>
        <v>2.1879250048571983E-2</v>
      </c>
    </row>
    <row r="225" spans="1:4" x14ac:dyDescent="0.35">
      <c r="A225" s="17">
        <v>32933</v>
      </c>
      <c r="B225" s="58">
        <f>VLOOKUP(Table16[[#This Row],[Date]],database!A:H,4,)</f>
        <v>42.793900000000001</v>
      </c>
      <c r="C225" s="66">
        <f t="shared" si="3"/>
        <v>1.7040228724074291E-2</v>
      </c>
      <c r="D225" s="66">
        <f>(Table16[[#This Row],[Index]]-B213)/B213</f>
        <v>4.4265603381169791E-2</v>
      </c>
    </row>
    <row r="226" spans="1:4" x14ac:dyDescent="0.35">
      <c r="A226" s="17">
        <v>32964</v>
      </c>
      <c r="B226" s="58">
        <f>VLOOKUP(Table16[[#This Row],[Date]],database!A:H,4,)</f>
        <v>42.573500000000003</v>
      </c>
      <c r="C226" s="66">
        <f t="shared" si="3"/>
        <v>-5.1502667436246208E-3</v>
      </c>
      <c r="D226" s="66">
        <f>(Table16[[#This Row],[Index]]-B214)/B214</f>
        <v>2.383214092466782E-2</v>
      </c>
    </row>
    <row r="227" spans="1:4" x14ac:dyDescent="0.35">
      <c r="A227" s="17">
        <v>32994</v>
      </c>
      <c r="B227" s="58">
        <f>VLOOKUP(Table16[[#This Row],[Date]],database!A:H,4,)</f>
        <v>43.1524</v>
      </c>
      <c r="C227" s="66">
        <f t="shared" si="3"/>
        <v>1.3597660516518451E-2</v>
      </c>
      <c r="D227" s="66">
        <f>(Table16[[#This Row],[Index]]-B215)/B215</f>
        <v>5.147173489278755E-2</v>
      </c>
    </row>
    <row r="228" spans="1:4" x14ac:dyDescent="0.35">
      <c r="A228" s="17">
        <v>33025</v>
      </c>
      <c r="B228" s="58">
        <f>VLOOKUP(Table16[[#This Row],[Date]],database!A:H,4,)</f>
        <v>43.203000000000003</v>
      </c>
      <c r="C228" s="66">
        <f t="shared" si="3"/>
        <v>1.1725883149025229E-3</v>
      </c>
      <c r="D228" s="66">
        <f>(Table16[[#This Row],[Index]]-B216)/B216</f>
        <v>3.8810836545328214E-2</v>
      </c>
    </row>
    <row r="229" spans="1:4" x14ac:dyDescent="0.35">
      <c r="A229" s="17">
        <v>33055</v>
      </c>
      <c r="B229" s="58">
        <f>VLOOKUP(Table16[[#This Row],[Date]],database!A:H,4,)</f>
        <v>43.391199999999998</v>
      </c>
      <c r="C229" s="66">
        <f t="shared" si="3"/>
        <v>4.3561789690529373E-3</v>
      </c>
      <c r="D229" s="66">
        <f>(Table16[[#This Row],[Index]]-B217)/B217</f>
        <v>5.7488856340005279E-2</v>
      </c>
    </row>
    <row r="230" spans="1:4" x14ac:dyDescent="0.35">
      <c r="A230" s="17">
        <v>33086</v>
      </c>
      <c r="B230" s="58">
        <f>VLOOKUP(Table16[[#This Row],[Date]],database!A:H,4,)</f>
        <v>43.641100000000002</v>
      </c>
      <c r="C230" s="66">
        <f t="shared" si="3"/>
        <v>5.7592322867310308E-3</v>
      </c>
      <c r="D230" s="66">
        <f>(Table16[[#This Row],[Index]]-B218)/B218</f>
        <v>4.8407129180970607E-2</v>
      </c>
    </row>
    <row r="231" spans="1:4" x14ac:dyDescent="0.35">
      <c r="A231" s="17">
        <v>33117</v>
      </c>
      <c r="B231" s="58">
        <f>VLOOKUP(Table16[[#This Row],[Date]],database!A:H,4,)</f>
        <v>43.630200000000002</v>
      </c>
      <c r="C231" s="66">
        <f t="shared" si="3"/>
        <v>-2.4976455680536525E-4</v>
      </c>
      <c r="D231" s="66">
        <f>(Table16[[#This Row],[Index]]-B219)/B219</f>
        <v>5.2702438600681856E-2</v>
      </c>
    </row>
    <row r="232" spans="1:4" x14ac:dyDescent="0.35">
      <c r="A232" s="17">
        <v>33147</v>
      </c>
      <c r="B232" s="58">
        <f>VLOOKUP(Table16[[#This Row],[Date]],database!A:H,4,)</f>
        <v>43.541699999999999</v>
      </c>
      <c r="C232" s="66">
        <f t="shared" si="3"/>
        <v>-2.0284115131262714E-3</v>
      </c>
      <c r="D232" s="66">
        <f>(Table16[[#This Row],[Index]]-B220)/B220</f>
        <v>6.493554138631881E-2</v>
      </c>
    </row>
    <row r="233" spans="1:4" x14ac:dyDescent="0.35">
      <c r="A233" s="17">
        <v>33178</v>
      </c>
      <c r="B233" s="58">
        <f>VLOOKUP(Table16[[#This Row],[Date]],database!A:H,4,)</f>
        <v>42.501600000000003</v>
      </c>
      <c r="C233" s="66">
        <f t="shared" si="3"/>
        <v>-2.3887445827792564E-2</v>
      </c>
      <c r="D233" s="66">
        <f>(Table16[[#This Row],[Index]]-B221)/B221</f>
        <v>3.2471838872437452E-2</v>
      </c>
    </row>
    <row r="234" spans="1:4" x14ac:dyDescent="0.35">
      <c r="A234" s="17">
        <v>33208</v>
      </c>
      <c r="B234" s="58">
        <f>VLOOKUP(Table16[[#This Row],[Date]],database!A:H,4,)</f>
        <v>42.129100000000001</v>
      </c>
      <c r="C234" s="66">
        <f t="shared" si="3"/>
        <v>-8.7643759293768442E-3</v>
      </c>
      <c r="D234" s="66">
        <f>(Table16[[#This Row],[Index]]-B222)/B222</f>
        <v>9.155170803101657E-3</v>
      </c>
    </row>
    <row r="235" spans="1:4" x14ac:dyDescent="0.35">
      <c r="A235" s="17">
        <v>33239</v>
      </c>
      <c r="B235" s="58">
        <f>VLOOKUP(Table16[[#This Row],[Date]],database!A:H,4,)</f>
        <v>42.008099999999999</v>
      </c>
      <c r="C235" s="66">
        <f t="shared" si="3"/>
        <v>-2.87212401878989E-3</v>
      </c>
      <c r="D235" s="66">
        <f>(Table16[[#This Row],[Index]]-B223)/B223</f>
        <v>1.5841655986264535E-2</v>
      </c>
    </row>
    <row r="236" spans="1:4" x14ac:dyDescent="0.35">
      <c r="A236" s="17">
        <v>33270</v>
      </c>
      <c r="B236" s="58">
        <f>VLOOKUP(Table16[[#This Row],[Date]],database!A:H,4,)</f>
        <v>41.704799999999999</v>
      </c>
      <c r="C236" s="66">
        <f t="shared" si="3"/>
        <v>-7.2200361358880638E-3</v>
      </c>
      <c r="D236" s="66">
        <f>(Table16[[#This Row],[Index]]-B224)/B224</f>
        <v>-8.8433320895789178E-3</v>
      </c>
    </row>
    <row r="237" spans="1:4" x14ac:dyDescent="0.35">
      <c r="A237" s="17">
        <v>33298</v>
      </c>
      <c r="B237" s="58">
        <f>VLOOKUP(Table16[[#This Row],[Date]],database!A:H,4,)</f>
        <v>41.649299999999997</v>
      </c>
      <c r="C237" s="66">
        <f t="shared" si="3"/>
        <v>-1.3307820682512128E-3</v>
      </c>
      <c r="D237" s="66">
        <f>(Table16[[#This Row],[Index]]-B225)/B225</f>
        <v>-2.6746802698515537E-2</v>
      </c>
    </row>
    <row r="238" spans="1:4" x14ac:dyDescent="0.35">
      <c r="A238" s="17">
        <v>33329</v>
      </c>
      <c r="B238" s="58">
        <f>VLOOKUP(Table16[[#This Row],[Date]],database!A:H,4,)</f>
        <v>41.642699999999998</v>
      </c>
      <c r="C238" s="66">
        <f t="shared" si="3"/>
        <v>-1.5846604864899749E-4</v>
      </c>
      <c r="D238" s="66">
        <f>(Table16[[#This Row],[Index]]-B226)/B226</f>
        <v>-2.1863365708715631E-2</v>
      </c>
    </row>
    <row r="239" spans="1:4" x14ac:dyDescent="0.35">
      <c r="A239" s="17">
        <v>33359</v>
      </c>
      <c r="B239" s="58">
        <f>VLOOKUP(Table16[[#This Row],[Date]],database!A:H,4,)</f>
        <v>41.936300000000003</v>
      </c>
      <c r="C239" s="66">
        <f t="shared" si="3"/>
        <v>7.0504554219588123E-3</v>
      </c>
      <c r="D239" s="66">
        <f>(Table16[[#This Row],[Index]]-B227)/B227</f>
        <v>-2.8181514817252281E-2</v>
      </c>
    </row>
    <row r="240" spans="1:4" x14ac:dyDescent="0.35">
      <c r="A240" s="17">
        <v>33390</v>
      </c>
      <c r="B240" s="58">
        <f>VLOOKUP(Table16[[#This Row],[Date]],database!A:H,4,)</f>
        <v>42.366</v>
      </c>
      <c r="C240" s="66">
        <f t="shared" si="3"/>
        <v>1.0246492895176651E-2</v>
      </c>
      <c r="D240" s="66">
        <f>(Table16[[#This Row],[Index]]-B228)/B228</f>
        <v>-1.9373654607319012E-2</v>
      </c>
    </row>
    <row r="241" spans="1:4" x14ac:dyDescent="0.35">
      <c r="A241" s="17">
        <v>33420</v>
      </c>
      <c r="B241" s="58">
        <f>VLOOKUP(Table16[[#This Row],[Date]],database!A:H,4,)</f>
        <v>42.619300000000003</v>
      </c>
      <c r="C241" s="66">
        <f t="shared" si="3"/>
        <v>5.9788509653968536E-3</v>
      </c>
      <c r="D241" s="66">
        <f>(Table16[[#This Row],[Index]]-B229)/B229</f>
        <v>-1.7789321337045187E-2</v>
      </c>
    </row>
    <row r="242" spans="1:4" x14ac:dyDescent="0.35">
      <c r="A242" s="17">
        <v>33451</v>
      </c>
      <c r="B242" s="58">
        <f>VLOOKUP(Table16[[#This Row],[Date]],database!A:H,4,)</f>
        <v>42.422199999999997</v>
      </c>
      <c r="C242" s="66">
        <f t="shared" si="3"/>
        <v>-4.6246653511439195E-3</v>
      </c>
      <c r="D242" s="66">
        <f>(Table16[[#This Row],[Index]]-B230)/B230</f>
        <v>-2.7930093421110032E-2</v>
      </c>
    </row>
    <row r="243" spans="1:4" x14ac:dyDescent="0.35">
      <c r="A243" s="17">
        <v>33482</v>
      </c>
      <c r="B243" s="58">
        <f>VLOOKUP(Table16[[#This Row],[Date]],database!A:H,4,)</f>
        <v>43.043900000000001</v>
      </c>
      <c r="C243" s="66">
        <f t="shared" si="3"/>
        <v>1.4655062679446162E-2</v>
      </c>
      <c r="D243" s="66">
        <f>(Table16[[#This Row],[Index]]-B231)/B231</f>
        <v>-1.343793977566001E-2</v>
      </c>
    </row>
    <row r="244" spans="1:4" x14ac:dyDescent="0.35">
      <c r="A244" s="17">
        <v>33512</v>
      </c>
      <c r="B244" s="58">
        <f>VLOOKUP(Table16[[#This Row],[Date]],database!A:H,4,)</f>
        <v>42.755499999999998</v>
      </c>
      <c r="C244" s="66">
        <f t="shared" si="3"/>
        <v>-6.7001363724012997E-3</v>
      </c>
      <c r="D244" s="66">
        <f>(Table16[[#This Row],[Index]]-B232)/B232</f>
        <v>-1.8056254119614094E-2</v>
      </c>
    </row>
    <row r="245" spans="1:4" x14ac:dyDescent="0.35">
      <c r="A245" s="17">
        <v>33543</v>
      </c>
      <c r="B245" s="58">
        <f>VLOOKUP(Table16[[#This Row],[Date]],database!A:H,4,)</f>
        <v>42.739800000000002</v>
      </c>
      <c r="C245" s="66">
        <f t="shared" si="3"/>
        <v>-3.6720421934011149E-4</v>
      </c>
      <c r="D245" s="66">
        <f>(Table16[[#This Row],[Index]]-B233)/B233</f>
        <v>5.6044948896041341E-3</v>
      </c>
    </row>
    <row r="246" spans="1:4" x14ac:dyDescent="0.35">
      <c r="A246" s="17">
        <v>33573</v>
      </c>
      <c r="B246" s="58">
        <f>VLOOKUP(Table16[[#This Row],[Date]],database!A:H,4,)</f>
        <v>42.682499999999997</v>
      </c>
      <c r="C246" s="66">
        <f t="shared" si="3"/>
        <v>-1.3406707565315479E-3</v>
      </c>
      <c r="D246" s="66">
        <f>(Table16[[#This Row],[Index]]-B234)/B234</f>
        <v>1.3135813487589252E-2</v>
      </c>
    </row>
    <row r="247" spans="1:4" x14ac:dyDescent="0.35">
      <c r="A247" s="17">
        <v>33604</v>
      </c>
      <c r="B247" s="58">
        <f>VLOOKUP(Table16[[#This Row],[Date]],database!A:H,4,)</f>
        <v>41.960099999999997</v>
      </c>
      <c r="C247" s="66">
        <f t="shared" si="3"/>
        <v>-1.6924969249692556E-2</v>
      </c>
      <c r="D247" s="66">
        <f>(Table16[[#This Row],[Index]]-B235)/B235</f>
        <v>-1.1426367771930133E-3</v>
      </c>
    </row>
    <row r="248" spans="1:4" x14ac:dyDescent="0.35">
      <c r="A248" s="17">
        <v>33635</v>
      </c>
      <c r="B248" s="58">
        <f>VLOOKUP(Table16[[#This Row],[Date]],database!A:H,4,)</f>
        <v>42.804299999999998</v>
      </c>
      <c r="C248" s="66">
        <f t="shared" si="3"/>
        <v>2.0119113157499591E-2</v>
      </c>
      <c r="D248" s="66">
        <f>(Table16[[#This Row],[Index]]-B236)/B236</f>
        <v>2.6363871784542765E-2</v>
      </c>
    </row>
    <row r="249" spans="1:4" x14ac:dyDescent="0.35">
      <c r="A249" s="17">
        <v>33664</v>
      </c>
      <c r="B249" s="58">
        <f>VLOOKUP(Table16[[#This Row],[Date]],database!A:H,4,)</f>
        <v>43.31</v>
      </c>
      <c r="C249" s="66">
        <f t="shared" si="3"/>
        <v>1.1814233616716185E-2</v>
      </c>
      <c r="D249" s="66">
        <f>(Table16[[#This Row],[Index]]-B237)/B237</f>
        <v>3.9873419241139844E-2</v>
      </c>
    </row>
    <row r="250" spans="1:4" x14ac:dyDescent="0.35">
      <c r="A250" s="17">
        <v>33695</v>
      </c>
      <c r="B250" s="58">
        <f>VLOOKUP(Table16[[#This Row],[Date]],database!A:H,4,)</f>
        <v>43.7271</v>
      </c>
      <c r="C250" s="66">
        <f t="shared" si="3"/>
        <v>9.6305703070884707E-3</v>
      </c>
      <c r="D250" s="66">
        <f>(Table16[[#This Row],[Index]]-B238)/B238</f>
        <v>5.0054391285867687E-2</v>
      </c>
    </row>
    <row r="251" spans="1:4" x14ac:dyDescent="0.35">
      <c r="A251" s="17">
        <v>33725</v>
      </c>
      <c r="B251" s="58">
        <f>VLOOKUP(Table16[[#This Row],[Date]],database!A:H,4,)</f>
        <v>44.075000000000003</v>
      </c>
      <c r="C251" s="66">
        <f t="shared" si="3"/>
        <v>7.9561644838099799E-3</v>
      </c>
      <c r="D251" s="66">
        <f>(Table16[[#This Row],[Index]]-B239)/B239</f>
        <v>5.0998776716114677E-2</v>
      </c>
    </row>
    <row r="252" spans="1:4" x14ac:dyDescent="0.35">
      <c r="A252" s="17">
        <v>33756</v>
      </c>
      <c r="B252" s="58">
        <f>VLOOKUP(Table16[[#This Row],[Date]],database!A:H,4,)</f>
        <v>44.184100000000001</v>
      </c>
      <c r="C252" s="66">
        <f t="shared" si="3"/>
        <v>2.4753261486103462E-3</v>
      </c>
      <c r="D252" s="66">
        <f>(Table16[[#This Row],[Index]]-B240)/B240</f>
        <v>4.2914129254590976E-2</v>
      </c>
    </row>
    <row r="253" spans="1:4" x14ac:dyDescent="0.35">
      <c r="A253" s="17">
        <v>33786</v>
      </c>
      <c r="B253" s="58">
        <f>VLOOKUP(Table16[[#This Row],[Date]],database!A:H,4,)</f>
        <v>44.635199999999998</v>
      </c>
      <c r="C253" s="66">
        <f t="shared" si="3"/>
        <v>1.02095550209238E-2</v>
      </c>
      <c r="D253" s="66">
        <f>(Table16[[#This Row],[Index]]-B241)/B241</f>
        <v>4.7300166825827612E-2</v>
      </c>
    </row>
    <row r="254" spans="1:4" x14ac:dyDescent="0.35">
      <c r="A254" s="17">
        <v>33817</v>
      </c>
      <c r="B254" s="58">
        <f>VLOOKUP(Table16[[#This Row],[Date]],database!A:H,4,)</f>
        <v>44.409100000000002</v>
      </c>
      <c r="C254" s="66">
        <f t="shared" si="3"/>
        <v>-5.065508836075483E-3</v>
      </c>
      <c r="D254" s="66">
        <f>(Table16[[#This Row],[Index]]-B242)/B242</f>
        <v>4.6836326263135948E-2</v>
      </c>
    </row>
    <row r="255" spans="1:4" x14ac:dyDescent="0.35">
      <c r="A255" s="17">
        <v>33848</v>
      </c>
      <c r="B255" s="58">
        <f>VLOOKUP(Table16[[#This Row],[Date]],database!A:H,4,)</f>
        <v>44.592700000000001</v>
      </c>
      <c r="C255" s="66">
        <f t="shared" si="3"/>
        <v>4.1342877923669086E-3</v>
      </c>
      <c r="D255" s="66">
        <f>(Table16[[#This Row],[Index]]-B243)/B243</f>
        <v>3.5981869672590074E-2</v>
      </c>
    </row>
    <row r="256" spans="1:4" x14ac:dyDescent="0.35">
      <c r="A256" s="17">
        <v>33878</v>
      </c>
      <c r="B256" s="58">
        <f>VLOOKUP(Table16[[#This Row],[Date]],database!A:H,4,)</f>
        <v>44.745800000000003</v>
      </c>
      <c r="C256" s="66">
        <f t="shared" si="3"/>
        <v>3.4332973782704723E-3</v>
      </c>
      <c r="D256" s="66">
        <f>(Table16[[#This Row],[Index]]-B244)/B244</f>
        <v>4.6550736162599082E-2</v>
      </c>
    </row>
    <row r="257" spans="1:4" x14ac:dyDescent="0.35">
      <c r="A257" s="17">
        <v>33909</v>
      </c>
      <c r="B257" s="58">
        <f>VLOOKUP(Table16[[#This Row],[Date]],database!A:H,4,)</f>
        <v>45.075800000000001</v>
      </c>
      <c r="C257" s="66">
        <f t="shared" si="3"/>
        <v>7.3749938541718407E-3</v>
      </c>
      <c r="D257" s="66">
        <f>(Table16[[#This Row],[Index]]-B245)/B245</f>
        <v>5.4656315658940809E-2</v>
      </c>
    </row>
    <row r="258" spans="1:4" x14ac:dyDescent="0.35">
      <c r="A258" s="17">
        <v>33939</v>
      </c>
      <c r="B258" s="58">
        <f>VLOOKUP(Table16[[#This Row],[Date]],database!A:H,4,)</f>
        <v>45.491500000000002</v>
      </c>
      <c r="C258" s="66">
        <f t="shared" si="3"/>
        <v>9.2222434210817994E-3</v>
      </c>
      <c r="D258" s="66">
        <f>(Table16[[#This Row],[Index]]-B246)/B246</f>
        <v>6.5811515258009837E-2</v>
      </c>
    </row>
    <row r="259" spans="1:4" x14ac:dyDescent="0.35">
      <c r="A259" s="17">
        <v>33970</v>
      </c>
      <c r="B259" s="58">
        <f>VLOOKUP(Table16[[#This Row],[Date]],database!A:H,4,)</f>
        <v>45.654000000000003</v>
      </c>
      <c r="C259" s="66">
        <f t="shared" si="3"/>
        <v>3.5720958860445684E-3</v>
      </c>
      <c r="D259" s="66">
        <f>(Table16[[#This Row],[Index]]-B247)/B247</f>
        <v>8.8033631950352992E-2</v>
      </c>
    </row>
    <row r="260" spans="1:4" x14ac:dyDescent="0.35">
      <c r="A260" s="17">
        <v>34001</v>
      </c>
      <c r="B260" s="58">
        <f>VLOOKUP(Table16[[#This Row],[Date]],database!A:H,4,)</f>
        <v>45.705399999999997</v>
      </c>
      <c r="C260" s="66">
        <f t="shared" si="3"/>
        <v>1.1258597275154436E-3</v>
      </c>
      <c r="D260" s="66">
        <f>(Table16[[#This Row],[Index]]-B248)/B248</f>
        <v>6.7775901019290111E-2</v>
      </c>
    </row>
    <row r="261" spans="1:4" x14ac:dyDescent="0.35">
      <c r="A261" s="17">
        <v>34029</v>
      </c>
      <c r="B261" s="58">
        <f>VLOOKUP(Table16[[#This Row],[Date]],database!A:H,4,)</f>
        <v>45.810499999999998</v>
      </c>
      <c r="C261" s="66">
        <f t="shared" si="3"/>
        <v>2.2995094671527383E-3</v>
      </c>
      <c r="D261" s="66">
        <f>(Table16[[#This Row],[Index]]-B249)/B249</f>
        <v>5.7734934195335839E-2</v>
      </c>
    </row>
    <row r="262" spans="1:4" x14ac:dyDescent="0.35">
      <c r="A262" s="17">
        <v>34060</v>
      </c>
      <c r="B262" s="58">
        <f>VLOOKUP(Table16[[#This Row],[Date]],database!A:H,4,)</f>
        <v>46.112400000000001</v>
      </c>
      <c r="C262" s="66">
        <f t="shared" si="3"/>
        <v>6.5901922048439143E-3</v>
      </c>
      <c r="D262" s="66">
        <f>(Table16[[#This Row],[Index]]-B250)/B250</f>
        <v>5.4549695726448834E-2</v>
      </c>
    </row>
    <row r="263" spans="1:4" x14ac:dyDescent="0.35">
      <c r="A263" s="17">
        <v>34090</v>
      </c>
      <c r="B263" s="58">
        <f>VLOOKUP(Table16[[#This Row],[Date]],database!A:H,4,)</f>
        <v>46.158999999999999</v>
      </c>
      <c r="C263" s="66">
        <f t="shared" si="3"/>
        <v>1.0105741622643549E-3</v>
      </c>
      <c r="D263" s="66">
        <f>(Table16[[#This Row],[Index]]-B251)/B251</f>
        <v>4.7283040272263092E-2</v>
      </c>
    </row>
    <row r="264" spans="1:4" x14ac:dyDescent="0.35">
      <c r="A264" s="17">
        <v>34121</v>
      </c>
      <c r="B264" s="58">
        <f>VLOOKUP(Table16[[#This Row],[Date]],database!A:H,4,)</f>
        <v>45.8491</v>
      </c>
      <c r="C264" s="66">
        <f t="shared" ref="C264:C327" si="4">B264/B263-1</f>
        <v>-6.7137502978833474E-3</v>
      </c>
      <c r="D264" s="66">
        <f>(Table16[[#This Row],[Index]]-B252)/B252</f>
        <v>3.7683238993212471E-2</v>
      </c>
    </row>
    <row r="265" spans="1:4" x14ac:dyDescent="0.35">
      <c r="A265" s="17">
        <v>34151</v>
      </c>
      <c r="B265" s="58">
        <f>VLOOKUP(Table16[[#This Row],[Date]],database!A:H,4,)</f>
        <v>45.846200000000003</v>
      </c>
      <c r="C265" s="66">
        <f t="shared" si="4"/>
        <v>-6.3250968939332353E-5</v>
      </c>
      <c r="D265" s="66">
        <f>(Table16[[#This Row],[Index]]-B253)/B253</f>
        <v>2.7131053518299586E-2</v>
      </c>
    </row>
    <row r="266" spans="1:4" x14ac:dyDescent="0.35">
      <c r="A266" s="17">
        <v>34182</v>
      </c>
      <c r="B266" s="58">
        <f>VLOOKUP(Table16[[#This Row],[Date]],database!A:H,4,)</f>
        <v>45.4345</v>
      </c>
      <c r="C266" s="66">
        <f t="shared" si="4"/>
        <v>-8.9800245167539483E-3</v>
      </c>
      <c r="D266" s="66">
        <f>(Table16[[#This Row],[Index]]-B254)/B254</f>
        <v>2.3089862212924774E-2</v>
      </c>
    </row>
    <row r="267" spans="1:4" x14ac:dyDescent="0.35">
      <c r="A267" s="17">
        <v>34213</v>
      </c>
      <c r="B267" s="58">
        <f>VLOOKUP(Table16[[#This Row],[Date]],database!A:H,4,)</f>
        <v>46.215699999999998</v>
      </c>
      <c r="C267" s="66">
        <f t="shared" si="4"/>
        <v>1.7193982546302777E-2</v>
      </c>
      <c r="D267" s="66">
        <f>(Table16[[#This Row],[Index]]-B255)/B255</f>
        <v>3.6396091736988288E-2</v>
      </c>
    </row>
    <row r="268" spans="1:4" x14ac:dyDescent="0.35">
      <c r="A268" s="17">
        <v>34243</v>
      </c>
      <c r="B268" s="58">
        <f>VLOOKUP(Table16[[#This Row],[Date]],database!A:H,4,)</f>
        <v>47.205399999999997</v>
      </c>
      <c r="C268" s="66">
        <f t="shared" si="4"/>
        <v>2.141480059806522E-2</v>
      </c>
      <c r="D268" s="66">
        <f>(Table16[[#This Row],[Index]]-B256)/B256</f>
        <v>5.4968287526426941E-2</v>
      </c>
    </row>
    <row r="269" spans="1:4" x14ac:dyDescent="0.35">
      <c r="A269" s="17">
        <v>34274</v>
      </c>
      <c r="B269" s="58">
        <f>VLOOKUP(Table16[[#This Row],[Date]],database!A:H,4,)</f>
        <v>47.484699999999997</v>
      </c>
      <c r="C269" s="66">
        <f t="shared" si="4"/>
        <v>5.9166959712235734E-3</v>
      </c>
      <c r="D269" s="66">
        <f>(Table16[[#This Row],[Index]]-B257)/B257</f>
        <v>5.3441092559643875E-2</v>
      </c>
    </row>
    <row r="270" spans="1:4" x14ac:dyDescent="0.35">
      <c r="A270" s="17">
        <v>34304</v>
      </c>
      <c r="B270" s="58">
        <f>VLOOKUP(Table16[[#This Row],[Date]],database!A:H,4,)</f>
        <v>47.768099999999997</v>
      </c>
      <c r="C270" s="66">
        <f t="shared" si="4"/>
        <v>5.968238190406705E-3</v>
      </c>
      <c r="D270" s="66">
        <f>(Table16[[#This Row],[Index]]-B258)/B258</f>
        <v>5.0044513810272133E-2</v>
      </c>
    </row>
    <row r="271" spans="1:4" x14ac:dyDescent="0.35">
      <c r="A271" s="17">
        <v>34335</v>
      </c>
      <c r="B271" s="58">
        <f>VLOOKUP(Table16[[#This Row],[Date]],database!A:H,4,)</f>
        <v>48.027200000000001</v>
      </c>
      <c r="C271" s="66">
        <f t="shared" si="4"/>
        <v>5.4241219558659459E-3</v>
      </c>
      <c r="D271" s="66">
        <f>(Table16[[#This Row],[Index]]-B259)/B259</f>
        <v>5.1982301660314471E-2</v>
      </c>
    </row>
    <row r="272" spans="1:4" x14ac:dyDescent="0.35">
      <c r="A272" s="17">
        <v>34366</v>
      </c>
      <c r="B272" s="58">
        <f>VLOOKUP(Table16[[#This Row],[Date]],database!A:H,4,)</f>
        <v>47.595700000000001</v>
      </c>
      <c r="C272" s="66">
        <f t="shared" si="4"/>
        <v>-8.9844921211313933E-3</v>
      </c>
      <c r="D272" s="66">
        <f>(Table16[[#This Row],[Index]]-B260)/B260</f>
        <v>4.1358351529578639E-2</v>
      </c>
    </row>
    <row r="273" spans="1:4" x14ac:dyDescent="0.35">
      <c r="A273" s="17">
        <v>34394</v>
      </c>
      <c r="B273" s="58">
        <f>VLOOKUP(Table16[[#This Row],[Date]],database!A:H,4,)</f>
        <v>48.118299999999998</v>
      </c>
      <c r="C273" s="66">
        <f t="shared" si="4"/>
        <v>1.0979983485903011E-2</v>
      </c>
      <c r="D273" s="66">
        <f>(Table16[[#This Row],[Index]]-B261)/B261</f>
        <v>5.0377096953755154E-2</v>
      </c>
    </row>
    <row r="274" spans="1:4" x14ac:dyDescent="0.35">
      <c r="A274" s="17">
        <v>34425</v>
      </c>
      <c r="B274" s="58">
        <f>VLOOKUP(Table16[[#This Row],[Date]],database!A:H,4,)</f>
        <v>48.460900000000002</v>
      </c>
      <c r="C274" s="66">
        <f t="shared" si="4"/>
        <v>7.1199522842662066E-3</v>
      </c>
      <c r="D274" s="66">
        <f>(Table16[[#This Row],[Index]]-B262)/B262</f>
        <v>5.0929901718409824E-2</v>
      </c>
    </row>
    <row r="275" spans="1:4" x14ac:dyDescent="0.35">
      <c r="A275" s="17">
        <v>34455</v>
      </c>
      <c r="B275" s="58">
        <f>VLOOKUP(Table16[[#This Row],[Date]],database!A:H,4,)</f>
        <v>48.610399999999998</v>
      </c>
      <c r="C275" s="66">
        <f t="shared" si="4"/>
        <v>3.0849612780612379E-3</v>
      </c>
      <c r="D275" s="66">
        <f>(Table16[[#This Row],[Index]]-B263)/B263</f>
        <v>5.3107736302779512E-2</v>
      </c>
    </row>
    <row r="276" spans="1:4" x14ac:dyDescent="0.35">
      <c r="A276" s="17">
        <v>34486</v>
      </c>
      <c r="B276" s="58">
        <f>VLOOKUP(Table16[[#This Row],[Date]],database!A:H,4,)</f>
        <v>48.902099999999997</v>
      </c>
      <c r="C276" s="66">
        <f t="shared" si="4"/>
        <v>6.0007734970293214E-3</v>
      </c>
      <c r="D276" s="66">
        <f>(Table16[[#This Row],[Index]]-B264)/B264</f>
        <v>6.6588002817939654E-2</v>
      </c>
    </row>
    <row r="277" spans="1:4" x14ac:dyDescent="0.35">
      <c r="A277" s="17">
        <v>34516</v>
      </c>
      <c r="B277" s="58">
        <f>VLOOKUP(Table16[[#This Row],[Date]],database!A:H,4,)</f>
        <v>49.464799999999997</v>
      </c>
      <c r="C277" s="66">
        <f t="shared" si="4"/>
        <v>1.150666331302741E-2</v>
      </c>
      <c r="D277" s="66">
        <f>(Table16[[#This Row],[Index]]-B265)/B265</f>
        <v>7.8929115172031564E-2</v>
      </c>
    </row>
    <row r="278" spans="1:4" x14ac:dyDescent="0.35">
      <c r="A278" s="17">
        <v>34547</v>
      </c>
      <c r="B278" s="58">
        <f>VLOOKUP(Table16[[#This Row],[Date]],database!A:H,4,)</f>
        <v>49.639299999999999</v>
      </c>
      <c r="C278" s="66">
        <f t="shared" si="4"/>
        <v>3.5277611554074273E-3</v>
      </c>
      <c r="D278" s="66">
        <f>(Table16[[#This Row],[Index]]-B266)/B266</f>
        <v>9.2546412968118913E-2</v>
      </c>
    </row>
    <row r="279" spans="1:4" x14ac:dyDescent="0.35">
      <c r="A279" s="17">
        <v>34578</v>
      </c>
      <c r="B279" s="58">
        <f>VLOOKUP(Table16[[#This Row],[Date]],database!A:H,4,)</f>
        <v>50.112900000000003</v>
      </c>
      <c r="C279" s="66">
        <f t="shared" si="4"/>
        <v>9.5408275298001222E-3</v>
      </c>
      <c r="D279" s="66">
        <f>(Table16[[#This Row],[Index]]-B267)/B267</f>
        <v>8.4326322007456447E-2</v>
      </c>
    </row>
    <row r="280" spans="1:4" x14ac:dyDescent="0.35">
      <c r="A280" s="17">
        <v>34608</v>
      </c>
      <c r="B280" s="58">
        <f>VLOOKUP(Table16[[#This Row],[Date]],database!A:H,4,)</f>
        <v>50.99</v>
      </c>
      <c r="C280" s="66">
        <f t="shared" si="4"/>
        <v>1.7502479401511284E-2</v>
      </c>
      <c r="D280" s="66">
        <f>(Table16[[#This Row],[Index]]-B268)/B268</f>
        <v>8.017303105153234E-2</v>
      </c>
    </row>
    <row r="281" spans="1:4" x14ac:dyDescent="0.35">
      <c r="A281" s="17">
        <v>34639</v>
      </c>
      <c r="B281" s="58">
        <f>VLOOKUP(Table16[[#This Row],[Date]],database!A:H,4,)</f>
        <v>51.633000000000003</v>
      </c>
      <c r="C281" s="66">
        <f t="shared" si="4"/>
        <v>1.261031574818583E-2</v>
      </c>
      <c r="D281" s="66">
        <f>(Table16[[#This Row],[Index]]-B269)/B269</f>
        <v>8.73607709430618E-2</v>
      </c>
    </row>
    <row r="282" spans="1:4" x14ac:dyDescent="0.35">
      <c r="A282" s="17">
        <v>34669</v>
      </c>
      <c r="B282" s="58">
        <f>VLOOKUP(Table16[[#This Row],[Date]],database!A:H,4,)</f>
        <v>52.099899999999998</v>
      </c>
      <c r="C282" s="66">
        <f t="shared" si="4"/>
        <v>9.0426665117269156E-3</v>
      </c>
      <c r="D282" s="66">
        <f>(Table16[[#This Row],[Index]]-B270)/B270</f>
        <v>9.068395016758049E-2</v>
      </c>
    </row>
    <row r="283" spans="1:4" x14ac:dyDescent="0.35">
      <c r="A283" s="17">
        <v>34700</v>
      </c>
      <c r="B283" s="58">
        <f>VLOOKUP(Table16[[#This Row],[Date]],database!A:H,4,)</f>
        <v>52.441499999999998</v>
      </c>
      <c r="C283" s="66">
        <f t="shared" si="4"/>
        <v>6.556634465709088E-3</v>
      </c>
      <c r="D283" s="66">
        <f>(Table16[[#This Row],[Index]]-B271)/B271</f>
        <v>9.1912499583569257E-2</v>
      </c>
    </row>
    <row r="284" spans="1:4" x14ac:dyDescent="0.35">
      <c r="A284" s="17">
        <v>34731</v>
      </c>
      <c r="B284" s="58">
        <f>VLOOKUP(Table16[[#This Row],[Date]],database!A:H,4,)</f>
        <v>52.456899999999997</v>
      </c>
      <c r="C284" s="66">
        <f t="shared" si="4"/>
        <v>2.9366055509472133E-4</v>
      </c>
      <c r="D284" s="66">
        <f>(Table16[[#This Row],[Index]]-B272)/B272</f>
        <v>0.10213527692627689</v>
      </c>
    </row>
    <row r="285" spans="1:4" x14ac:dyDescent="0.35">
      <c r="A285" s="17">
        <v>34759</v>
      </c>
      <c r="B285" s="58">
        <f>VLOOKUP(Table16[[#This Row],[Date]],database!A:H,4,)</f>
        <v>52.941499999999998</v>
      </c>
      <c r="C285" s="66">
        <f t="shared" si="4"/>
        <v>9.2380601979911159E-3</v>
      </c>
      <c r="D285" s="66">
        <f>(Table16[[#This Row],[Index]]-B273)/B273</f>
        <v>0.1002362926371048</v>
      </c>
    </row>
    <row r="286" spans="1:4" x14ac:dyDescent="0.35">
      <c r="A286" s="17">
        <v>34790</v>
      </c>
      <c r="B286" s="58">
        <f>VLOOKUP(Table16[[#This Row],[Date]],database!A:H,4,)</f>
        <v>52.869399999999999</v>
      </c>
      <c r="C286" s="66">
        <f t="shared" si="4"/>
        <v>-1.3618805662853894E-3</v>
      </c>
      <c r="D286" s="66">
        <f>(Table16[[#This Row],[Index]]-B274)/B274</f>
        <v>9.0970246115940817E-2</v>
      </c>
    </row>
    <row r="287" spans="1:4" x14ac:dyDescent="0.35">
      <c r="A287" s="17">
        <v>34820</v>
      </c>
      <c r="B287" s="58">
        <f>VLOOKUP(Table16[[#This Row],[Date]],database!A:H,4,)</f>
        <v>53.519300000000001</v>
      </c>
      <c r="C287" s="66">
        <f t="shared" si="4"/>
        <v>1.2292554861602412E-2</v>
      </c>
      <c r="D287" s="66">
        <f>(Table16[[#This Row],[Index]]-B275)/B275</f>
        <v>0.10098456297417842</v>
      </c>
    </row>
    <row r="288" spans="1:4" x14ac:dyDescent="0.35">
      <c r="A288" s="17">
        <v>34851</v>
      </c>
      <c r="B288" s="58">
        <f>VLOOKUP(Table16[[#This Row],[Date]],database!A:H,4,)</f>
        <v>54.198399999999999</v>
      </c>
      <c r="C288" s="66">
        <f t="shared" si="4"/>
        <v>1.2688880459946095E-2</v>
      </c>
      <c r="D288" s="66">
        <f>(Table16[[#This Row],[Index]]-B276)/B276</f>
        <v>0.10830414235789471</v>
      </c>
    </row>
    <row r="289" spans="1:4" x14ac:dyDescent="0.35">
      <c r="A289" s="17">
        <v>34881</v>
      </c>
      <c r="B289" s="58">
        <f>VLOOKUP(Table16[[#This Row],[Date]],database!A:H,4,)</f>
        <v>53.902200000000001</v>
      </c>
      <c r="C289" s="66">
        <f t="shared" si="4"/>
        <v>-5.4651059809883717E-3</v>
      </c>
      <c r="D289" s="66">
        <f>(Table16[[#This Row],[Index]]-B277)/B277</f>
        <v>8.9708236968511018E-2</v>
      </c>
    </row>
    <row r="290" spans="1:4" x14ac:dyDescent="0.35">
      <c r="A290" s="17">
        <v>34912</v>
      </c>
      <c r="B290" s="58">
        <f>VLOOKUP(Table16[[#This Row],[Date]],database!A:H,4,)</f>
        <v>54.940800000000003</v>
      </c>
      <c r="C290" s="66">
        <f t="shared" si="4"/>
        <v>1.9268230239211093E-2</v>
      </c>
      <c r="D290" s="66">
        <f>(Table16[[#This Row],[Index]]-B278)/B278</f>
        <v>0.10680045850767446</v>
      </c>
    </row>
    <row r="291" spans="1:4" x14ac:dyDescent="0.35">
      <c r="A291" s="17">
        <v>34943</v>
      </c>
      <c r="B291" s="58">
        <f>VLOOKUP(Table16[[#This Row],[Date]],database!A:H,4,)</f>
        <v>55.4377</v>
      </c>
      <c r="C291" s="66">
        <f t="shared" si="4"/>
        <v>9.0442803890733448E-3</v>
      </c>
      <c r="D291" s="66">
        <f>(Table16[[#This Row],[Index]]-B279)/B279</f>
        <v>0.10625607378539251</v>
      </c>
    </row>
    <row r="292" spans="1:4" x14ac:dyDescent="0.35">
      <c r="A292" s="17">
        <v>34973</v>
      </c>
      <c r="B292" s="58">
        <f>VLOOKUP(Table16[[#This Row],[Date]],database!A:H,4,)</f>
        <v>55.4116</v>
      </c>
      <c r="C292" s="66">
        <f t="shared" si="4"/>
        <v>-4.7079875247346692E-4</v>
      </c>
      <c r="D292" s="66">
        <f>(Table16[[#This Row],[Index]]-B280)/B280</f>
        <v>8.6715042165130374E-2</v>
      </c>
    </row>
    <row r="293" spans="1:4" x14ac:dyDescent="0.35">
      <c r="A293" s="17">
        <v>35004</v>
      </c>
      <c r="B293" s="58">
        <f>VLOOKUP(Table16[[#This Row],[Date]],database!A:H,4,)</f>
        <v>55.6038</v>
      </c>
      <c r="C293" s="66">
        <f t="shared" si="4"/>
        <v>3.4685878047195917E-3</v>
      </c>
      <c r="D293" s="66">
        <f>(Table16[[#This Row],[Index]]-B281)/B281</f>
        <v>7.6904305386090235E-2</v>
      </c>
    </row>
    <row r="294" spans="1:4" x14ac:dyDescent="0.35">
      <c r="A294" s="17">
        <v>35034</v>
      </c>
      <c r="B294" s="58">
        <f>VLOOKUP(Table16[[#This Row],[Date]],database!A:H,4,)</f>
        <v>56.008899999999997</v>
      </c>
      <c r="C294" s="66">
        <f t="shared" si="4"/>
        <v>7.2854732949905188E-3</v>
      </c>
      <c r="D294" s="66">
        <f>(Table16[[#This Row],[Index]]-B282)/B282</f>
        <v>7.5028934796419935E-2</v>
      </c>
    </row>
    <row r="295" spans="1:4" x14ac:dyDescent="0.35">
      <c r="A295" s="17">
        <v>35065</v>
      </c>
      <c r="B295" s="58">
        <f>VLOOKUP(Table16[[#This Row],[Date]],database!A:H,4,)</f>
        <v>55.412999999999997</v>
      </c>
      <c r="C295" s="66">
        <f t="shared" si="4"/>
        <v>-1.0639380527023401E-2</v>
      </c>
      <c r="D295" s="66">
        <f>(Table16[[#This Row],[Index]]-B283)/B283</f>
        <v>5.6663138926232072E-2</v>
      </c>
    </row>
    <row r="296" spans="1:4" x14ac:dyDescent="0.35">
      <c r="A296" s="17">
        <v>35096</v>
      </c>
      <c r="B296" s="58">
        <f>VLOOKUP(Table16[[#This Row],[Date]],database!A:H,4,)</f>
        <v>56.789900000000003</v>
      </c>
      <c r="C296" s="66">
        <f t="shared" si="4"/>
        <v>2.4847959865013758E-2</v>
      </c>
      <c r="D296" s="66">
        <f>(Table16[[#This Row],[Index]]-B284)/B284</f>
        <v>8.2601144939941279E-2</v>
      </c>
    </row>
    <row r="297" spans="1:4" x14ac:dyDescent="0.35">
      <c r="A297" s="17">
        <v>35125</v>
      </c>
      <c r="B297" s="58">
        <f>VLOOKUP(Table16[[#This Row],[Date]],database!A:H,4,)</f>
        <v>56.642000000000003</v>
      </c>
      <c r="C297" s="66">
        <f t="shared" si="4"/>
        <v>-2.6043363344537829E-3</v>
      </c>
      <c r="D297" s="66">
        <f>(Table16[[#This Row],[Index]]-B285)/B285</f>
        <v>6.9897906179462344E-2</v>
      </c>
    </row>
    <row r="298" spans="1:4" x14ac:dyDescent="0.35">
      <c r="A298" s="17">
        <v>35156</v>
      </c>
      <c r="B298" s="58">
        <f>VLOOKUP(Table16[[#This Row],[Date]],database!A:H,4,)</f>
        <v>58.036499999999997</v>
      </c>
      <c r="C298" s="66">
        <f t="shared" si="4"/>
        <v>2.461954027047053E-2</v>
      </c>
      <c r="D298" s="66">
        <f>(Table16[[#This Row],[Index]]-B286)/B286</f>
        <v>9.7733282390191634E-2</v>
      </c>
    </row>
    <row r="299" spans="1:4" x14ac:dyDescent="0.35">
      <c r="A299" s="17">
        <v>35186</v>
      </c>
      <c r="B299" s="58">
        <f>VLOOKUP(Table16[[#This Row],[Date]],database!A:H,4,)</f>
        <v>58.833199999999998</v>
      </c>
      <c r="C299" s="66">
        <f t="shared" si="4"/>
        <v>1.3727567996002499E-2</v>
      </c>
      <c r="D299" s="66">
        <f>(Table16[[#This Row],[Index]]-B287)/B287</f>
        <v>9.9289415220303642E-2</v>
      </c>
    </row>
    <row r="300" spans="1:4" x14ac:dyDescent="0.35">
      <c r="A300" s="17">
        <v>35217</v>
      </c>
      <c r="B300" s="58">
        <f>VLOOKUP(Table16[[#This Row],[Date]],database!A:H,4,)</f>
        <v>59.692900000000002</v>
      </c>
      <c r="C300" s="66">
        <f t="shared" si="4"/>
        <v>1.4612497705377203E-2</v>
      </c>
      <c r="D300" s="66">
        <f>(Table16[[#This Row],[Index]]-B288)/B288</f>
        <v>0.10137753144004255</v>
      </c>
    </row>
    <row r="301" spans="1:4" x14ac:dyDescent="0.35">
      <c r="A301" s="17">
        <v>35247</v>
      </c>
      <c r="B301" s="58">
        <f>VLOOKUP(Table16[[#This Row],[Date]],database!A:H,4,)</f>
        <v>60.462600000000002</v>
      </c>
      <c r="C301" s="66">
        <f t="shared" si="4"/>
        <v>1.2894330816562771E-2</v>
      </c>
      <c r="D301" s="66">
        <f>(Table16[[#This Row],[Index]]-B289)/B289</f>
        <v>0.12170931798702096</v>
      </c>
    </row>
    <row r="302" spans="1:4" x14ac:dyDescent="0.35">
      <c r="A302" s="17">
        <v>35278</v>
      </c>
      <c r="B302" s="58">
        <f>VLOOKUP(Table16[[#This Row],[Date]],database!A:H,4,)</f>
        <v>60.738300000000002</v>
      </c>
      <c r="C302" s="66">
        <f t="shared" si="4"/>
        <v>4.5598436057991965E-3</v>
      </c>
      <c r="D302" s="66">
        <f>(Table16[[#This Row],[Index]]-B290)/B290</f>
        <v>0.10552267167569455</v>
      </c>
    </row>
    <row r="303" spans="1:4" x14ac:dyDescent="0.35">
      <c r="A303" s="17">
        <v>35309</v>
      </c>
      <c r="B303" s="58">
        <f>VLOOKUP(Table16[[#This Row],[Date]],database!A:H,4,)</f>
        <v>61.4313</v>
      </c>
      <c r="C303" s="66">
        <f t="shared" si="4"/>
        <v>1.1409604812778751E-2</v>
      </c>
      <c r="D303" s="66">
        <f>(Table16[[#This Row],[Index]]-B291)/B291</f>
        <v>0.10811415336494841</v>
      </c>
    </row>
    <row r="304" spans="1:4" x14ac:dyDescent="0.35">
      <c r="A304" s="17">
        <v>35339</v>
      </c>
      <c r="B304" s="58">
        <f>VLOOKUP(Table16[[#This Row],[Date]],database!A:H,4,)</f>
        <v>61.301000000000002</v>
      </c>
      <c r="C304" s="66">
        <f t="shared" si="4"/>
        <v>-2.1210685757911962E-3</v>
      </c>
      <c r="D304" s="66">
        <f>(Table16[[#This Row],[Index]]-B292)/B292</f>
        <v>0.10628460466761476</v>
      </c>
    </row>
    <row r="305" spans="1:4" x14ac:dyDescent="0.35">
      <c r="A305" s="17">
        <v>35370</v>
      </c>
      <c r="B305" s="58">
        <f>VLOOKUP(Table16[[#This Row],[Date]],database!A:H,4,)</f>
        <v>62.211500000000001</v>
      </c>
      <c r="C305" s="66">
        <f t="shared" si="4"/>
        <v>1.4852938777507596E-2</v>
      </c>
      <c r="D305" s="66">
        <f>(Table16[[#This Row],[Index]]-B293)/B293</f>
        <v>0.11883540333574326</v>
      </c>
    </row>
    <row r="306" spans="1:4" x14ac:dyDescent="0.35">
      <c r="A306" s="17">
        <v>35400</v>
      </c>
      <c r="B306" s="58">
        <f>VLOOKUP(Table16[[#This Row],[Date]],database!A:H,4,)</f>
        <v>63.326500000000003</v>
      </c>
      <c r="C306" s="66">
        <f t="shared" si="4"/>
        <v>1.7922731327809194E-2</v>
      </c>
      <c r="D306" s="66">
        <f>(Table16[[#This Row],[Index]]-B294)/B294</f>
        <v>0.13065066444797177</v>
      </c>
    </row>
    <row r="307" spans="1:4" x14ac:dyDescent="0.35">
      <c r="A307" s="17">
        <v>35431</v>
      </c>
      <c r="B307" s="58">
        <f>VLOOKUP(Table16[[#This Row],[Date]],database!A:H,4,)</f>
        <v>63.670400000000001</v>
      </c>
      <c r="C307" s="66">
        <f t="shared" si="4"/>
        <v>5.4305859316399197E-3</v>
      </c>
      <c r="D307" s="66">
        <f>(Table16[[#This Row],[Index]]-B295)/B295</f>
        <v>0.14901557396278861</v>
      </c>
    </row>
    <row r="308" spans="1:4" x14ac:dyDescent="0.35">
      <c r="A308" s="17">
        <v>35462</v>
      </c>
      <c r="B308" s="58">
        <f>VLOOKUP(Table16[[#This Row],[Date]],database!A:H,4,)</f>
        <v>64.726399999999998</v>
      </c>
      <c r="C308" s="66">
        <f t="shared" si="4"/>
        <v>1.6585414886666205E-2</v>
      </c>
      <c r="D308" s="66">
        <f>(Table16[[#This Row],[Index]]-B296)/B296</f>
        <v>0.13975196293707146</v>
      </c>
    </row>
    <row r="309" spans="1:4" x14ac:dyDescent="0.35">
      <c r="A309" s="17">
        <v>35490</v>
      </c>
      <c r="B309" s="58">
        <f>VLOOKUP(Table16[[#This Row],[Date]],database!A:H,4,)</f>
        <v>65.677899999999994</v>
      </c>
      <c r="C309" s="66">
        <f t="shared" si="4"/>
        <v>1.4700338656251422E-2</v>
      </c>
      <c r="D309" s="66">
        <f>(Table16[[#This Row],[Index]]-B297)/B297</f>
        <v>0.15952649977048816</v>
      </c>
    </row>
    <row r="310" spans="1:4" x14ac:dyDescent="0.35">
      <c r="A310" s="17">
        <v>35521</v>
      </c>
      <c r="B310" s="58">
        <f>VLOOKUP(Table16[[#This Row],[Date]],database!A:H,4,)</f>
        <v>66.219300000000004</v>
      </c>
      <c r="C310" s="66">
        <f t="shared" si="4"/>
        <v>8.2432599093456016E-3</v>
      </c>
      <c r="D310" s="66">
        <f>(Table16[[#This Row],[Index]]-B298)/B298</f>
        <v>0.14099402961929144</v>
      </c>
    </row>
    <row r="311" spans="1:4" x14ac:dyDescent="0.35">
      <c r="A311" s="17">
        <v>35551</v>
      </c>
      <c r="B311" s="58">
        <f>VLOOKUP(Table16[[#This Row],[Date]],database!A:H,4,)</f>
        <v>66.992900000000006</v>
      </c>
      <c r="C311" s="66">
        <f t="shared" si="4"/>
        <v>1.1682394709699562E-2</v>
      </c>
      <c r="D311" s="66">
        <f>(Table16[[#This Row],[Index]]-B299)/B299</f>
        <v>0.13869209901892143</v>
      </c>
    </row>
    <row r="312" spans="1:4" x14ac:dyDescent="0.35">
      <c r="A312" s="17">
        <v>35582</v>
      </c>
      <c r="B312" s="58">
        <f>VLOOKUP(Table16[[#This Row],[Date]],database!A:H,4,)</f>
        <v>68.104799999999997</v>
      </c>
      <c r="C312" s="66">
        <f t="shared" si="4"/>
        <v>1.659728120442594E-2</v>
      </c>
      <c r="D312" s="66">
        <f>(Table16[[#This Row],[Index]]-B300)/B300</f>
        <v>0.14091960685441646</v>
      </c>
    </row>
    <row r="313" spans="1:4" x14ac:dyDescent="0.35">
      <c r="A313" s="17">
        <v>35612</v>
      </c>
      <c r="B313" s="58">
        <f>VLOOKUP(Table16[[#This Row],[Date]],database!A:H,4,)</f>
        <v>68.527500000000003</v>
      </c>
      <c r="C313" s="66">
        <f t="shared" si="4"/>
        <v>6.2066109877718656E-3</v>
      </c>
      <c r="D313" s="66">
        <f>(Table16[[#This Row],[Index]]-B301)/B301</f>
        <v>0.13338658939575873</v>
      </c>
    </row>
    <row r="314" spans="1:4" x14ac:dyDescent="0.35">
      <c r="A314" s="17">
        <v>35643</v>
      </c>
      <c r="B314" s="58">
        <f>VLOOKUP(Table16[[#This Row],[Date]],database!A:H,4,)</f>
        <v>70.021900000000002</v>
      </c>
      <c r="C314" s="66">
        <f t="shared" si="4"/>
        <v>2.1807303637225939E-2</v>
      </c>
      <c r="D314" s="66">
        <f>(Table16[[#This Row],[Index]]-B302)/B302</f>
        <v>0.15284589789309216</v>
      </c>
    </row>
    <row r="315" spans="1:4" x14ac:dyDescent="0.35">
      <c r="A315" s="17">
        <v>35674</v>
      </c>
      <c r="B315" s="58">
        <f>VLOOKUP(Table16[[#This Row],[Date]],database!A:H,4,)</f>
        <v>70.613900000000001</v>
      </c>
      <c r="C315" s="66">
        <f t="shared" si="4"/>
        <v>8.4544978071146026E-3</v>
      </c>
      <c r="D315" s="66">
        <f>(Table16[[#This Row],[Index]]-B303)/B303</f>
        <v>0.14947754646247111</v>
      </c>
    </row>
    <row r="316" spans="1:4" x14ac:dyDescent="0.35">
      <c r="A316" s="17">
        <v>35704</v>
      </c>
      <c r="B316" s="58">
        <f>VLOOKUP(Table16[[#This Row],[Date]],database!A:H,4,)</f>
        <v>71.600899999999996</v>
      </c>
      <c r="C316" s="66">
        <f t="shared" si="4"/>
        <v>1.3977418043756185E-2</v>
      </c>
      <c r="D316" s="66">
        <f>(Table16[[#This Row],[Index]]-B304)/B304</f>
        <v>0.1680217288461851</v>
      </c>
    </row>
    <row r="317" spans="1:4" x14ac:dyDescent="0.35">
      <c r="A317" s="17">
        <v>35735</v>
      </c>
      <c r="B317" s="58">
        <f>VLOOKUP(Table16[[#This Row],[Date]],database!A:H,4,)</f>
        <v>72.877600000000001</v>
      </c>
      <c r="C317" s="66">
        <f t="shared" si="4"/>
        <v>1.783078145665784E-2</v>
      </c>
      <c r="D317" s="66">
        <f>(Table16[[#This Row],[Index]]-B305)/B305</f>
        <v>0.17144900862380749</v>
      </c>
    </row>
    <row r="318" spans="1:4" x14ac:dyDescent="0.35">
      <c r="A318" s="17">
        <v>35765</v>
      </c>
      <c r="B318" s="58">
        <f>VLOOKUP(Table16[[#This Row],[Date]],database!A:H,4,)</f>
        <v>73.400999999999996</v>
      </c>
      <c r="C318" s="66">
        <f t="shared" si="4"/>
        <v>7.181905002360045E-3</v>
      </c>
      <c r="D318" s="66">
        <f>(Table16[[#This Row],[Index]]-B306)/B306</f>
        <v>0.15908821741293128</v>
      </c>
    </row>
    <row r="319" spans="1:4" x14ac:dyDescent="0.35">
      <c r="A319" s="17">
        <v>35796</v>
      </c>
      <c r="B319" s="58">
        <f>VLOOKUP(Table16[[#This Row],[Date]],database!A:H,4,)</f>
        <v>74.3673</v>
      </c>
      <c r="C319" s="66">
        <f t="shared" si="4"/>
        <v>1.316467078105199E-2</v>
      </c>
      <c r="D319" s="66">
        <f>(Table16[[#This Row],[Index]]-B307)/B307</f>
        <v>0.16800428456551239</v>
      </c>
    </row>
    <row r="320" spans="1:4" x14ac:dyDescent="0.35">
      <c r="A320" s="17">
        <v>35827</v>
      </c>
      <c r="B320" s="58">
        <f>VLOOKUP(Table16[[#This Row],[Date]],database!A:H,4,)</f>
        <v>74.691299999999998</v>
      </c>
      <c r="C320" s="66">
        <f t="shared" si="4"/>
        <v>4.356753573143024E-3</v>
      </c>
      <c r="D320" s="66">
        <f>(Table16[[#This Row],[Index]]-B308)/B308</f>
        <v>0.15395418252830376</v>
      </c>
    </row>
    <row r="321" spans="1:4" x14ac:dyDescent="0.35">
      <c r="A321" s="17">
        <v>35855</v>
      </c>
      <c r="B321" s="58">
        <f>VLOOKUP(Table16[[#This Row],[Date]],database!A:H,4,)</f>
        <v>75.062299999999993</v>
      </c>
      <c r="C321" s="66">
        <f t="shared" si="4"/>
        <v>4.9671112967641928E-3</v>
      </c>
      <c r="D321" s="66">
        <f>(Table16[[#This Row],[Index]]-B309)/B309</f>
        <v>0.14288520187155801</v>
      </c>
    </row>
    <row r="322" spans="1:4" x14ac:dyDescent="0.35">
      <c r="A322" s="17">
        <v>35886</v>
      </c>
      <c r="B322" s="58">
        <f>VLOOKUP(Table16[[#This Row],[Date]],database!A:H,4,)</f>
        <v>75.271199999999993</v>
      </c>
      <c r="C322" s="66">
        <f t="shared" si="4"/>
        <v>2.7830215700823668E-3</v>
      </c>
      <c r="D322" s="66">
        <f>(Table16[[#This Row],[Index]]-B310)/B310</f>
        <v>0.13669579714675312</v>
      </c>
    </row>
    <row r="323" spans="1:4" x14ac:dyDescent="0.35">
      <c r="A323" s="17">
        <v>35916</v>
      </c>
      <c r="B323" s="58">
        <f>VLOOKUP(Table16[[#This Row],[Date]],database!A:H,4,)</f>
        <v>75.7042</v>
      </c>
      <c r="C323" s="66">
        <f t="shared" si="4"/>
        <v>5.7525321769813509E-3</v>
      </c>
      <c r="D323" s="66">
        <f>(Table16[[#This Row],[Index]]-B311)/B311</f>
        <v>0.13003318262084479</v>
      </c>
    </row>
    <row r="324" spans="1:4" x14ac:dyDescent="0.35">
      <c r="A324" s="17">
        <v>35947</v>
      </c>
      <c r="B324" s="58">
        <f>VLOOKUP(Table16[[#This Row],[Date]],database!A:H,4,)</f>
        <v>75.781700000000001</v>
      </c>
      <c r="C324" s="66">
        <f t="shared" si="4"/>
        <v>1.023721273060163E-3</v>
      </c>
      <c r="D324" s="66">
        <f>(Table16[[#This Row],[Index]]-B312)/B312</f>
        <v>0.11272186395085226</v>
      </c>
    </row>
    <row r="325" spans="1:4" x14ac:dyDescent="0.35">
      <c r="A325" s="17">
        <v>35977</v>
      </c>
      <c r="B325" s="58">
        <f>VLOOKUP(Table16[[#This Row],[Date]],database!A:H,4,)</f>
        <v>75.317300000000003</v>
      </c>
      <c r="C325" s="66">
        <f t="shared" si="4"/>
        <v>-6.1281285587416745E-3</v>
      </c>
      <c r="D325" s="66">
        <f>(Table16[[#This Row],[Index]]-B313)/B313</f>
        <v>9.9081390682572684E-2</v>
      </c>
    </row>
    <row r="326" spans="1:4" x14ac:dyDescent="0.35">
      <c r="A326" s="17">
        <v>36008</v>
      </c>
      <c r="B326" s="58">
        <f>VLOOKUP(Table16[[#This Row],[Date]],database!A:H,4,)</f>
        <v>77.593900000000005</v>
      </c>
      <c r="C326" s="66">
        <f t="shared" si="4"/>
        <v>3.0226787205595462E-2</v>
      </c>
      <c r="D326" s="66">
        <f>(Table16[[#This Row],[Index]]-B314)/B314</f>
        <v>0.10813759695181083</v>
      </c>
    </row>
    <row r="327" spans="1:4" x14ac:dyDescent="0.35">
      <c r="A327" s="17">
        <v>36039</v>
      </c>
      <c r="B327" s="58">
        <f>VLOOKUP(Table16[[#This Row],[Date]],database!A:H,4,)</f>
        <v>77.634900000000002</v>
      </c>
      <c r="C327" s="66">
        <f t="shared" si="4"/>
        <v>5.2839205143695445E-4</v>
      </c>
      <c r="D327" s="66">
        <f>(Table16[[#This Row],[Index]]-B315)/B315</f>
        <v>9.9428016297074664E-2</v>
      </c>
    </row>
    <row r="328" spans="1:4" x14ac:dyDescent="0.35">
      <c r="A328" s="17">
        <v>36069</v>
      </c>
      <c r="B328" s="58">
        <f>VLOOKUP(Table16[[#This Row],[Date]],database!A:H,4,)</f>
        <v>78.498199999999997</v>
      </c>
      <c r="C328" s="66">
        <f t="shared" ref="C328:C391" si="5">B328/B327-1</f>
        <v>1.1119998866489178E-2</v>
      </c>
      <c r="D328" s="66">
        <f>(Table16[[#This Row],[Index]]-B316)/B316</f>
        <v>9.632979473721702E-2</v>
      </c>
    </row>
    <row r="329" spans="1:4" x14ac:dyDescent="0.35">
      <c r="A329" s="17">
        <v>36100</v>
      </c>
      <c r="B329" s="58">
        <f>VLOOKUP(Table16[[#This Row],[Date]],database!A:H,4,)</f>
        <v>78.501099999999994</v>
      </c>
      <c r="C329" s="66">
        <f t="shared" si="5"/>
        <v>3.6943522271792872E-5</v>
      </c>
      <c r="D329" s="66">
        <f>(Table16[[#This Row],[Index]]-B317)/B317</f>
        <v>7.7163627781375796E-2</v>
      </c>
    </row>
    <row r="330" spans="1:4" x14ac:dyDescent="0.35">
      <c r="A330" s="17">
        <v>36130</v>
      </c>
      <c r="B330" s="58">
        <f>VLOOKUP(Table16[[#This Row],[Date]],database!A:H,4,)</f>
        <v>78.677300000000002</v>
      </c>
      <c r="C330" s="66">
        <f t="shared" si="5"/>
        <v>2.2445545349047968E-3</v>
      </c>
      <c r="D330" s="66">
        <f>(Table16[[#This Row],[Index]]-B318)/B318</f>
        <v>7.188321684990677E-2</v>
      </c>
    </row>
    <row r="331" spans="1:4" x14ac:dyDescent="0.35">
      <c r="A331" s="17">
        <v>36161</v>
      </c>
      <c r="B331" s="58">
        <f>VLOOKUP(Table16[[#This Row],[Date]],database!A:H,4,)</f>
        <v>78.625900000000001</v>
      </c>
      <c r="C331" s="66">
        <f t="shared" si="5"/>
        <v>-6.5330152407361286E-4</v>
      </c>
      <c r="D331" s="66">
        <f>(Table16[[#This Row],[Index]]-B319)/B319</f>
        <v>5.7264415946255968E-2</v>
      </c>
    </row>
    <row r="332" spans="1:4" x14ac:dyDescent="0.35">
      <c r="A332" s="17">
        <v>36192</v>
      </c>
      <c r="B332" s="58">
        <f>VLOOKUP(Table16[[#This Row],[Date]],database!A:H,4,)</f>
        <v>79.2667</v>
      </c>
      <c r="C332" s="66">
        <f t="shared" si="5"/>
        <v>8.1499862004759116E-3</v>
      </c>
      <c r="D332" s="66">
        <f>(Table16[[#This Row],[Index]]-B320)/B320</f>
        <v>6.1257469076050383E-2</v>
      </c>
    </row>
    <row r="333" spans="1:4" x14ac:dyDescent="0.35">
      <c r="A333" s="17">
        <v>36220</v>
      </c>
      <c r="B333" s="58">
        <f>VLOOKUP(Table16[[#This Row],[Date]],database!A:H,4,)</f>
        <v>79.240399999999994</v>
      </c>
      <c r="C333" s="66">
        <f t="shared" si="5"/>
        <v>-3.3179128183724593E-4</v>
      </c>
      <c r="D333" s="66">
        <f>(Table16[[#This Row],[Index]]-B321)/B321</f>
        <v>5.5661763628346066E-2</v>
      </c>
    </row>
    <row r="334" spans="1:4" x14ac:dyDescent="0.35">
      <c r="A334" s="17">
        <v>36251</v>
      </c>
      <c r="B334" s="58">
        <f>VLOOKUP(Table16[[#This Row],[Date]],database!A:H,4,)</f>
        <v>79.656300000000002</v>
      </c>
      <c r="C334" s="66">
        <f t="shared" si="5"/>
        <v>5.2485853175905373E-3</v>
      </c>
      <c r="D334" s="66">
        <f>(Table16[[#This Row],[Index]]-B322)/B322</f>
        <v>5.8257341453304967E-2</v>
      </c>
    </row>
    <row r="335" spans="1:4" x14ac:dyDescent="0.35">
      <c r="A335" s="17">
        <v>36281</v>
      </c>
      <c r="B335" s="58">
        <f>VLOOKUP(Table16[[#This Row],[Date]],database!A:H,4,)</f>
        <v>80.491500000000002</v>
      </c>
      <c r="C335" s="66">
        <f t="shared" si="5"/>
        <v>1.0485046380512175E-2</v>
      </c>
      <c r="D335" s="66">
        <f>(Table16[[#This Row],[Index]]-B323)/B323</f>
        <v>6.3236914200268959E-2</v>
      </c>
    </row>
    <row r="336" spans="1:4" x14ac:dyDescent="0.35">
      <c r="A336" s="17">
        <v>36312</v>
      </c>
      <c r="B336" s="58">
        <f>VLOOKUP(Table16[[#This Row],[Date]],database!A:H,4,)</f>
        <v>80.268000000000001</v>
      </c>
      <c r="C336" s="66">
        <f t="shared" si="5"/>
        <v>-2.7766907064721291E-3</v>
      </c>
      <c r="D336" s="66">
        <f>(Table16[[#This Row],[Index]]-B324)/B324</f>
        <v>5.9200308253839644E-2</v>
      </c>
    </row>
    <row r="337" spans="1:4" x14ac:dyDescent="0.35">
      <c r="A337" s="17">
        <v>36342</v>
      </c>
      <c r="B337" s="58">
        <f>VLOOKUP(Table16[[#This Row],[Date]],database!A:H,4,)</f>
        <v>80.832499999999996</v>
      </c>
      <c r="C337" s="66">
        <f t="shared" si="5"/>
        <v>7.0326904868689422E-3</v>
      </c>
      <c r="D337" s="66">
        <f>(Table16[[#This Row],[Index]]-B325)/B325</f>
        <v>7.3226204338179848E-2</v>
      </c>
    </row>
    <row r="338" spans="1:4" x14ac:dyDescent="0.35">
      <c r="A338" s="17">
        <v>36373</v>
      </c>
      <c r="B338" s="58">
        <f>VLOOKUP(Table16[[#This Row],[Date]],database!A:H,4,)</f>
        <v>81.3904</v>
      </c>
      <c r="C338" s="66">
        <f t="shared" si="5"/>
        <v>6.9019268239878251E-3</v>
      </c>
      <c r="D338" s="66">
        <f>(Table16[[#This Row],[Index]]-B326)/B326</f>
        <v>4.8927815201968122E-2</v>
      </c>
    </row>
    <row r="339" spans="1:4" x14ac:dyDescent="0.35">
      <c r="A339" s="17">
        <v>36404</v>
      </c>
      <c r="B339" s="58">
        <f>VLOOKUP(Table16[[#This Row],[Date]],database!A:H,4,)</f>
        <v>81.022300000000001</v>
      </c>
      <c r="C339" s="66">
        <f t="shared" si="5"/>
        <v>-4.522646405472841E-3</v>
      </c>
      <c r="D339" s="66">
        <f>(Table16[[#This Row],[Index]]-B327)/B327</f>
        <v>4.363243850381722E-2</v>
      </c>
    </row>
    <row r="340" spans="1:4" x14ac:dyDescent="0.35">
      <c r="A340" s="17">
        <v>36434</v>
      </c>
      <c r="B340" s="58">
        <f>VLOOKUP(Table16[[#This Row],[Date]],database!A:H,4,)</f>
        <v>81.685199999999995</v>
      </c>
      <c r="C340" s="66">
        <f t="shared" si="5"/>
        <v>8.1816981250839582E-3</v>
      </c>
      <c r="D340" s="66">
        <f>(Table16[[#This Row],[Index]]-B328)/B328</f>
        <v>4.0599657062200124E-2</v>
      </c>
    </row>
    <row r="341" spans="1:4" x14ac:dyDescent="0.35">
      <c r="A341" s="17">
        <v>36465</v>
      </c>
      <c r="B341" s="58">
        <f>VLOOKUP(Table16[[#This Row],[Date]],database!A:H,4,)</f>
        <v>81.791399999999996</v>
      </c>
      <c r="C341" s="66">
        <f t="shared" si="5"/>
        <v>1.3001131171865854E-3</v>
      </c>
      <c r="D341" s="66">
        <f>(Table16[[#This Row],[Index]]-B329)/B329</f>
        <v>4.1914062350718678E-2</v>
      </c>
    </row>
    <row r="342" spans="1:4" x14ac:dyDescent="0.35">
      <c r="A342" s="17">
        <v>36495</v>
      </c>
      <c r="B342" s="58">
        <f>VLOOKUP(Table16[[#This Row],[Date]],database!A:H,4,)</f>
        <v>82.462299999999999</v>
      </c>
      <c r="C342" s="66">
        <f t="shared" si="5"/>
        <v>8.2025738647339974E-3</v>
      </c>
      <c r="D342" s="66">
        <f>(Table16[[#This Row],[Index]]-B330)/B330</f>
        <v>4.8107904058730999E-2</v>
      </c>
    </row>
    <row r="343" spans="1:4" x14ac:dyDescent="0.35">
      <c r="A343" s="17">
        <v>36526</v>
      </c>
      <c r="B343" s="58">
        <f>VLOOKUP(Table16[[#This Row],[Date]],database!A:H,4,)</f>
        <v>83.721900000000005</v>
      </c>
      <c r="C343" s="66">
        <f t="shared" si="5"/>
        <v>1.5274858935537816E-2</v>
      </c>
      <c r="D343" s="66">
        <f>(Table16[[#This Row],[Index]]-B331)/B331</f>
        <v>6.4813248560588857E-2</v>
      </c>
    </row>
    <row r="344" spans="1:4" x14ac:dyDescent="0.35">
      <c r="A344" s="17">
        <v>36557</v>
      </c>
      <c r="B344" s="58">
        <f>VLOOKUP(Table16[[#This Row],[Date]],database!A:H,4,)</f>
        <v>84.365099999999998</v>
      </c>
      <c r="C344" s="66">
        <f t="shared" si="5"/>
        <v>7.6825776768085774E-3</v>
      </c>
      <c r="D344" s="66">
        <f>(Table16[[#This Row],[Index]]-B332)/B332</f>
        <v>6.4319569251652942E-2</v>
      </c>
    </row>
    <row r="345" spans="1:4" x14ac:dyDescent="0.35">
      <c r="A345" s="17">
        <v>36586</v>
      </c>
      <c r="B345" s="58">
        <f>VLOOKUP(Table16[[#This Row],[Date]],database!A:H,4,)</f>
        <v>85.528499999999994</v>
      </c>
      <c r="C345" s="66">
        <f t="shared" si="5"/>
        <v>1.3790062478441945E-2</v>
      </c>
      <c r="D345" s="66">
        <f>(Table16[[#This Row],[Index]]-B333)/B333</f>
        <v>7.9354723095794583E-2</v>
      </c>
    </row>
    <row r="346" spans="1:4" x14ac:dyDescent="0.35">
      <c r="A346" s="17">
        <v>36617</v>
      </c>
      <c r="B346" s="58">
        <f>VLOOKUP(Table16[[#This Row],[Date]],database!A:H,4,)</f>
        <v>86.474999999999994</v>
      </c>
      <c r="C346" s="66">
        <f t="shared" si="5"/>
        <v>1.1066486609726534E-2</v>
      </c>
      <c r="D346" s="66">
        <f>(Table16[[#This Row],[Index]]-B334)/B334</f>
        <v>8.5601515511014095E-2</v>
      </c>
    </row>
    <row r="347" spans="1:4" x14ac:dyDescent="0.35">
      <c r="A347" s="17">
        <v>36647</v>
      </c>
      <c r="B347" s="58">
        <f>VLOOKUP(Table16[[#This Row],[Date]],database!A:H,4,)</f>
        <v>87.251800000000003</v>
      </c>
      <c r="C347" s="66">
        <f t="shared" si="5"/>
        <v>8.9829430471235483E-3</v>
      </c>
      <c r="D347" s="66">
        <f>(Table16[[#This Row],[Index]]-B335)/B335</f>
        <v>8.3987750259344157E-2</v>
      </c>
    </row>
    <row r="348" spans="1:4" x14ac:dyDescent="0.35">
      <c r="A348" s="17">
        <v>36678</v>
      </c>
      <c r="B348" s="58">
        <f>VLOOKUP(Table16[[#This Row],[Date]],database!A:H,4,)</f>
        <v>87.361400000000003</v>
      </c>
      <c r="C348" s="66">
        <f t="shared" si="5"/>
        <v>1.2561345439292548E-3</v>
      </c>
      <c r="D348" s="66">
        <f>(Table16[[#This Row],[Index]]-B336)/B336</f>
        <v>8.8371455623660763E-2</v>
      </c>
    </row>
    <row r="349" spans="1:4" x14ac:dyDescent="0.35">
      <c r="A349" s="17">
        <v>36708</v>
      </c>
      <c r="B349" s="58">
        <f>VLOOKUP(Table16[[#This Row],[Date]],database!A:H,4,)</f>
        <v>87.881299999999996</v>
      </c>
      <c r="C349" s="66">
        <f t="shared" si="5"/>
        <v>5.9511408928885068E-3</v>
      </c>
      <c r="D349" s="66">
        <f>(Table16[[#This Row],[Index]]-B337)/B337</f>
        <v>8.7202548479881237E-2</v>
      </c>
    </row>
    <row r="350" spans="1:4" x14ac:dyDescent="0.35">
      <c r="A350" s="17">
        <v>36739</v>
      </c>
      <c r="B350" s="58">
        <f>VLOOKUP(Table16[[#This Row],[Date]],database!A:H,4,)</f>
        <v>87.456100000000006</v>
      </c>
      <c r="C350" s="66">
        <f t="shared" si="5"/>
        <v>-4.838344448705123E-3</v>
      </c>
      <c r="D350" s="66">
        <f>(Table16[[#This Row],[Index]]-B338)/B338</f>
        <v>7.4525988322947267E-2</v>
      </c>
    </row>
    <row r="351" spans="1:4" x14ac:dyDescent="0.35">
      <c r="A351" s="17">
        <v>36770</v>
      </c>
      <c r="B351" s="58">
        <f>VLOOKUP(Table16[[#This Row],[Date]],database!A:H,4,)</f>
        <v>88.231499999999997</v>
      </c>
      <c r="C351" s="66">
        <f t="shared" si="5"/>
        <v>8.8661625661330401E-3</v>
      </c>
      <c r="D351" s="66">
        <f>(Table16[[#This Row],[Index]]-B339)/B339</f>
        <v>8.8977972730964139E-2</v>
      </c>
    </row>
    <row r="352" spans="1:4" x14ac:dyDescent="0.35">
      <c r="A352" s="17">
        <v>36800</v>
      </c>
      <c r="B352" s="58">
        <f>VLOOKUP(Table16[[#This Row],[Date]],database!A:H,4,)</f>
        <v>88.269300000000001</v>
      </c>
      <c r="C352" s="66">
        <f t="shared" si="5"/>
        <v>4.2841842199226043E-4</v>
      </c>
      <c r="D352" s="66">
        <f>(Table16[[#This Row],[Index]]-B340)/B340</f>
        <v>8.0603340629636783E-2</v>
      </c>
    </row>
    <row r="353" spans="1:4" x14ac:dyDescent="0.35">
      <c r="A353" s="17">
        <v>36831</v>
      </c>
      <c r="B353" s="58">
        <f>VLOOKUP(Table16[[#This Row],[Date]],database!A:H,4,)</f>
        <v>88.028599999999997</v>
      </c>
      <c r="C353" s="66">
        <f t="shared" si="5"/>
        <v>-2.7268823928591202E-3</v>
      </c>
      <c r="D353" s="66">
        <f>(Table16[[#This Row],[Index]]-B341)/B341</f>
        <v>7.6257406035353373E-2</v>
      </c>
    </row>
    <row r="354" spans="1:4" x14ac:dyDescent="0.35">
      <c r="A354" s="17">
        <v>36861</v>
      </c>
      <c r="B354" s="58">
        <f>VLOOKUP(Table16[[#This Row],[Date]],database!A:H,4,)</f>
        <v>87.350999999999999</v>
      </c>
      <c r="C354" s="66">
        <f t="shared" si="5"/>
        <v>-7.6974983130482233E-3</v>
      </c>
      <c r="D354" s="66">
        <f>(Table16[[#This Row],[Index]]-B342)/B342</f>
        <v>5.9284060716230325E-2</v>
      </c>
    </row>
    <row r="355" spans="1:4" x14ac:dyDescent="0.35">
      <c r="A355" s="17">
        <v>36892</v>
      </c>
      <c r="B355" s="58">
        <f>VLOOKUP(Table16[[#This Row],[Date]],database!A:H,4,)</f>
        <v>87.345100000000002</v>
      </c>
      <c r="C355" s="66">
        <f t="shared" si="5"/>
        <v>-6.7543588510687869E-5</v>
      </c>
      <c r="D355" s="66">
        <f>(Table16[[#This Row],[Index]]-B343)/B343</f>
        <v>4.3276609823713952E-2</v>
      </c>
    </row>
    <row r="356" spans="1:4" x14ac:dyDescent="0.35">
      <c r="A356" s="17">
        <v>36923</v>
      </c>
      <c r="B356" s="58">
        <f>VLOOKUP(Table16[[#This Row],[Date]],database!A:H,4,)</f>
        <v>86.743200000000002</v>
      </c>
      <c r="C356" s="66">
        <f t="shared" si="5"/>
        <v>-6.89105628134834E-3</v>
      </c>
      <c r="D356" s="66">
        <f>(Table16[[#This Row],[Index]]-B344)/B344</f>
        <v>2.8188196303921925E-2</v>
      </c>
    </row>
    <row r="357" spans="1:4" x14ac:dyDescent="0.35">
      <c r="A357" s="17">
        <v>36951</v>
      </c>
      <c r="B357" s="58">
        <f>VLOOKUP(Table16[[#This Row],[Date]],database!A:H,4,)</f>
        <v>86.126300000000001</v>
      </c>
      <c r="C357" s="66">
        <f t="shared" si="5"/>
        <v>-7.1117966595652948E-3</v>
      </c>
      <c r="D357" s="66">
        <f>(Table16[[#This Row],[Index]]-B345)/B345</f>
        <v>6.9894830378178802E-3</v>
      </c>
    </row>
    <row r="358" spans="1:4" x14ac:dyDescent="0.35">
      <c r="A358" s="17">
        <v>36982</v>
      </c>
      <c r="B358" s="58">
        <f>VLOOKUP(Table16[[#This Row],[Date]],database!A:H,4,)</f>
        <v>84.181399999999996</v>
      </c>
      <c r="C358" s="66">
        <f t="shared" si="5"/>
        <v>-2.2581952318861953E-2</v>
      </c>
      <c r="D358" s="66">
        <f>(Table16[[#This Row],[Index]]-B346)/B346</f>
        <v>-2.6523272622145107E-2</v>
      </c>
    </row>
    <row r="359" spans="1:4" x14ac:dyDescent="0.35">
      <c r="A359" s="17">
        <v>37012</v>
      </c>
      <c r="B359" s="58">
        <f>VLOOKUP(Table16[[#This Row],[Date]],database!A:H,4,)</f>
        <v>82.766800000000003</v>
      </c>
      <c r="C359" s="66">
        <f t="shared" si="5"/>
        <v>-1.6804187148229843E-2</v>
      </c>
      <c r="D359" s="66">
        <f>(Table16[[#This Row],[Index]]-B347)/B347</f>
        <v>-5.1402950999291694E-2</v>
      </c>
    </row>
    <row r="360" spans="1:4" x14ac:dyDescent="0.35">
      <c r="A360" s="17">
        <v>37043</v>
      </c>
      <c r="B360" s="58">
        <f>VLOOKUP(Table16[[#This Row],[Date]],database!A:H,4,)</f>
        <v>81.718599999999995</v>
      </c>
      <c r="C360" s="66">
        <f t="shared" si="5"/>
        <v>-1.2664498325415607E-2</v>
      </c>
      <c r="D360" s="66">
        <f>(Table16[[#This Row],[Index]]-B348)/B348</f>
        <v>-6.4591455723008201E-2</v>
      </c>
    </row>
    <row r="361" spans="1:4" x14ac:dyDescent="0.35">
      <c r="A361" s="17">
        <v>37073</v>
      </c>
      <c r="B361" s="58">
        <f>VLOOKUP(Table16[[#This Row],[Date]],database!A:H,4,)</f>
        <v>80.889300000000006</v>
      </c>
      <c r="C361" s="66">
        <f t="shared" si="5"/>
        <v>-1.0148240425068344E-2</v>
      </c>
      <c r="D361" s="66">
        <f>(Table16[[#This Row],[Index]]-B349)/B349</f>
        <v>-7.9561863559141605E-2</v>
      </c>
    </row>
    <row r="362" spans="1:4" x14ac:dyDescent="0.35">
      <c r="A362" s="17">
        <v>37104</v>
      </c>
      <c r="B362" s="58">
        <f>VLOOKUP(Table16[[#This Row],[Date]],database!A:H,4,)</f>
        <v>79.374700000000004</v>
      </c>
      <c r="C362" s="66">
        <f t="shared" si="5"/>
        <v>-1.8724355384457492E-2</v>
      </c>
      <c r="D362" s="66">
        <f>(Table16[[#This Row],[Index]]-B350)/B350</f>
        <v>-9.2405218160883026E-2</v>
      </c>
    </row>
    <row r="363" spans="1:4" x14ac:dyDescent="0.35">
      <c r="A363" s="17">
        <v>37135</v>
      </c>
      <c r="B363" s="58">
        <f>VLOOKUP(Table16[[#This Row],[Date]],database!A:H,4,)</f>
        <v>78.086100000000002</v>
      </c>
      <c r="C363" s="66">
        <f t="shared" si="5"/>
        <v>-1.6234392066993619E-2</v>
      </c>
      <c r="D363" s="66">
        <f>(Table16[[#This Row],[Index]]-B351)/B351</f>
        <v>-0.11498614440420933</v>
      </c>
    </row>
    <row r="364" spans="1:4" x14ac:dyDescent="0.35">
      <c r="A364" s="17">
        <v>37165</v>
      </c>
      <c r="B364" s="58">
        <f>VLOOKUP(Table16[[#This Row],[Date]],database!A:H,4,)</f>
        <v>77.004900000000006</v>
      </c>
      <c r="C364" s="66">
        <f t="shared" si="5"/>
        <v>-1.384625432695441E-2</v>
      </c>
      <c r="D364" s="66">
        <f>(Table16[[#This Row],[Index]]-B352)/B352</f>
        <v>-0.12761401755763324</v>
      </c>
    </row>
    <row r="365" spans="1:4" x14ac:dyDescent="0.35">
      <c r="A365" s="17">
        <v>37196</v>
      </c>
      <c r="B365" s="58">
        <f>VLOOKUP(Table16[[#This Row],[Date]],database!A:H,4,)</f>
        <v>76.343299999999999</v>
      </c>
      <c r="C365" s="66">
        <f t="shared" si="5"/>
        <v>-8.5916610501410862E-3</v>
      </c>
      <c r="D365" s="66">
        <f>(Table16[[#This Row],[Index]]-B353)/B353</f>
        <v>-0.13274435808362281</v>
      </c>
    </row>
    <row r="366" spans="1:4" x14ac:dyDescent="0.35">
      <c r="A366" s="17">
        <v>37226</v>
      </c>
      <c r="B366" s="58">
        <f>VLOOKUP(Table16[[#This Row],[Date]],database!A:H,4,)</f>
        <v>75.575299999999999</v>
      </c>
      <c r="C366" s="66">
        <f t="shared" si="5"/>
        <v>-1.0059821883518283E-2</v>
      </c>
      <c r="D366" s="66">
        <f>(Table16[[#This Row],[Index]]-B354)/B354</f>
        <v>-0.13480898902130486</v>
      </c>
    </row>
    <row r="367" spans="1:4" x14ac:dyDescent="0.35">
      <c r="A367" s="17">
        <v>37257</v>
      </c>
      <c r="B367" s="58">
        <f>VLOOKUP(Table16[[#This Row],[Date]],database!A:H,4,)</f>
        <v>75.394400000000005</v>
      </c>
      <c r="C367" s="66">
        <f t="shared" si="5"/>
        <v>-2.3936391916405952E-3</v>
      </c>
      <c r="D367" s="66">
        <f>(Table16[[#This Row],[Index]]-B355)/B355</f>
        <v>-0.13682164196961247</v>
      </c>
    </row>
    <row r="368" spans="1:4" x14ac:dyDescent="0.35">
      <c r="A368" s="17">
        <v>37288</v>
      </c>
      <c r="B368" s="58">
        <f>VLOOKUP(Table16[[#This Row],[Date]],database!A:H,4,)</f>
        <v>75.209599999999995</v>
      </c>
      <c r="C368" s="66">
        <f t="shared" si="5"/>
        <v>-2.4511104272997297E-3</v>
      </c>
      <c r="D368" s="66">
        <f>(Table16[[#This Row],[Index]]-B356)/B356</f>
        <v>-0.13296258381060425</v>
      </c>
    </row>
    <row r="369" spans="1:4" x14ac:dyDescent="0.35">
      <c r="A369" s="17">
        <v>37316</v>
      </c>
      <c r="B369" s="58">
        <f>VLOOKUP(Table16[[#This Row],[Date]],database!A:H,4,)</f>
        <v>75.509699999999995</v>
      </c>
      <c r="C369" s="66">
        <f t="shared" si="5"/>
        <v>3.9901821044121544E-3</v>
      </c>
      <c r="D369" s="66">
        <f>(Table16[[#This Row],[Index]]-B357)/B357</f>
        <v>-0.12326780553675248</v>
      </c>
    </row>
    <row r="370" spans="1:4" x14ac:dyDescent="0.35">
      <c r="A370" s="17">
        <v>37347</v>
      </c>
      <c r="B370" s="58">
        <f>VLOOKUP(Table16[[#This Row],[Date]],database!A:H,4,)</f>
        <v>75.190299999999993</v>
      </c>
      <c r="C370" s="66">
        <f t="shared" si="5"/>
        <v>-4.2299201294668798E-3</v>
      </c>
      <c r="D370" s="66">
        <f>(Table16[[#This Row],[Index]]-B358)/B358</f>
        <v>-0.10680625411314142</v>
      </c>
    </row>
    <row r="371" spans="1:4" x14ac:dyDescent="0.35">
      <c r="A371" s="17">
        <v>37377</v>
      </c>
      <c r="B371" s="58">
        <f>VLOOKUP(Table16[[#This Row],[Date]],database!A:H,4,)</f>
        <v>75.532399999999996</v>
      </c>
      <c r="C371" s="66">
        <f t="shared" si="5"/>
        <v>4.5497890020389509E-3</v>
      </c>
      <c r="D371" s="66">
        <f>(Table16[[#This Row],[Index]]-B359)/B359</f>
        <v>-8.7407027938738807E-2</v>
      </c>
    </row>
    <row r="372" spans="1:4" x14ac:dyDescent="0.35">
      <c r="A372" s="17">
        <v>37408</v>
      </c>
      <c r="B372" s="58">
        <f>VLOOKUP(Table16[[#This Row],[Date]],database!A:H,4,)</f>
        <v>76.034400000000005</v>
      </c>
      <c r="C372" s="66">
        <f t="shared" si="5"/>
        <v>6.6461544979374843E-3</v>
      </c>
      <c r="D372" s="66">
        <f>(Table16[[#This Row],[Index]]-B360)/B360</f>
        <v>-6.9558215632671019E-2</v>
      </c>
    </row>
    <row r="373" spans="1:4" x14ac:dyDescent="0.35">
      <c r="A373" s="17">
        <v>37438</v>
      </c>
      <c r="B373" s="58">
        <f>VLOOKUP(Table16[[#This Row],[Date]],database!A:H,4,)</f>
        <v>75.849800000000002</v>
      </c>
      <c r="C373" s="66">
        <f t="shared" si="5"/>
        <v>-2.4278484475448447E-3</v>
      </c>
      <c r="D373" s="66">
        <f>(Table16[[#This Row],[Index]]-B361)/B361</f>
        <v>-6.230119434832547E-2</v>
      </c>
    </row>
    <row r="374" spans="1:4" x14ac:dyDescent="0.35">
      <c r="A374" s="17">
        <v>37469</v>
      </c>
      <c r="B374" s="58">
        <f>VLOOKUP(Table16[[#This Row],[Date]],database!A:H,4,)</f>
        <v>76.166600000000003</v>
      </c>
      <c r="C374" s="66">
        <f t="shared" si="5"/>
        <v>4.1766754823349128E-3</v>
      </c>
      <c r="D374" s="66">
        <f>(Table16[[#This Row],[Index]]-B362)/B362</f>
        <v>-4.0417160631788233E-2</v>
      </c>
    </row>
    <row r="375" spans="1:4" x14ac:dyDescent="0.35">
      <c r="A375" s="17">
        <v>37500</v>
      </c>
      <c r="B375" s="58">
        <f>VLOOKUP(Table16[[#This Row],[Date]],database!A:H,4,)</f>
        <v>76.222399999999993</v>
      </c>
      <c r="C375" s="66">
        <f t="shared" si="5"/>
        <v>7.3260457996005002E-4</v>
      </c>
      <c r="D375" s="66">
        <f>(Table16[[#This Row],[Index]]-B363)/B363</f>
        <v>-2.3867243978121695E-2</v>
      </c>
    </row>
    <row r="376" spans="1:4" x14ac:dyDescent="0.35">
      <c r="A376" s="17">
        <v>37530</v>
      </c>
      <c r="B376" s="58">
        <f>VLOOKUP(Table16[[#This Row],[Date]],database!A:H,4,)</f>
        <v>75.906700000000001</v>
      </c>
      <c r="C376" s="66">
        <f t="shared" si="5"/>
        <v>-4.1418270744556507E-3</v>
      </c>
      <c r="D376" s="66">
        <f>(Table16[[#This Row],[Index]]-B364)/B364</f>
        <v>-1.4261430116784848E-2</v>
      </c>
    </row>
    <row r="377" spans="1:4" x14ac:dyDescent="0.35">
      <c r="A377" s="17">
        <v>37561</v>
      </c>
      <c r="B377" s="58">
        <f>VLOOKUP(Table16[[#This Row],[Date]],database!A:H,4,)</f>
        <v>76.201999999999998</v>
      </c>
      <c r="C377" s="66">
        <f t="shared" si="5"/>
        <v>3.8903021735894328E-3</v>
      </c>
      <c r="D377" s="66">
        <f>(Table16[[#This Row],[Index]]-B365)/B365</f>
        <v>-1.8508500418504452E-3</v>
      </c>
    </row>
    <row r="378" spans="1:4" x14ac:dyDescent="0.35">
      <c r="A378" s="17">
        <v>37591</v>
      </c>
      <c r="B378" s="58">
        <f>VLOOKUP(Table16[[#This Row],[Date]],database!A:H,4,)</f>
        <v>75.353200000000001</v>
      </c>
      <c r="C378" s="66">
        <f t="shared" si="5"/>
        <v>-1.1138815254192802E-2</v>
      </c>
      <c r="D378" s="66">
        <f>(Table16[[#This Row],[Index]]-B366)/B366</f>
        <v>-2.9387908483326898E-3</v>
      </c>
    </row>
    <row r="379" spans="1:4" x14ac:dyDescent="0.35">
      <c r="A379" s="17">
        <v>37622</v>
      </c>
      <c r="B379" s="58">
        <f>VLOOKUP(Table16[[#This Row],[Date]],database!A:H,4,)</f>
        <v>75.582999999999998</v>
      </c>
      <c r="C379" s="66">
        <f t="shared" si="5"/>
        <v>3.0496382369957775E-3</v>
      </c>
      <c r="D379" s="66">
        <f>(Table16[[#This Row],[Index]]-B367)/B367</f>
        <v>2.5015120486401362E-3</v>
      </c>
    </row>
    <row r="380" spans="1:4" x14ac:dyDescent="0.35">
      <c r="A380" s="17">
        <v>37653</v>
      </c>
      <c r="B380" s="58">
        <f>VLOOKUP(Table16[[#This Row],[Date]],database!A:H,4,)</f>
        <v>75.572400000000002</v>
      </c>
      <c r="C380" s="66">
        <f t="shared" si="5"/>
        <v>-1.4024317637562067E-4</v>
      </c>
      <c r="D380" s="66">
        <f>(Table16[[#This Row],[Index]]-B368)/B368</f>
        <v>4.8238522741778592E-3</v>
      </c>
    </row>
    <row r="381" spans="1:4" x14ac:dyDescent="0.35">
      <c r="A381" s="17">
        <v>37681</v>
      </c>
      <c r="B381" s="58">
        <f>VLOOKUP(Table16[[#This Row],[Date]],database!A:H,4,)</f>
        <v>75.6875</v>
      </c>
      <c r="C381" s="66">
        <f t="shared" si="5"/>
        <v>1.5230428039865185E-3</v>
      </c>
      <c r="D381" s="66">
        <f>(Table16[[#This Row],[Index]]-B369)/B369</f>
        <v>2.3546643676243561E-3</v>
      </c>
    </row>
    <row r="382" spans="1:4" x14ac:dyDescent="0.35">
      <c r="A382" s="17">
        <v>37712</v>
      </c>
      <c r="B382" s="58">
        <f>VLOOKUP(Table16[[#This Row],[Date]],database!A:H,4,)</f>
        <v>74.978499999999997</v>
      </c>
      <c r="C382" s="66">
        <f t="shared" si="5"/>
        <v>-9.3674649050371483E-3</v>
      </c>
      <c r="D382" s="66">
        <f>(Table16[[#This Row],[Index]]-B370)/B370</f>
        <v>-2.8168527057346052E-3</v>
      </c>
    </row>
    <row r="383" spans="1:4" x14ac:dyDescent="0.35">
      <c r="A383" s="17">
        <v>37742</v>
      </c>
      <c r="B383" s="58">
        <f>VLOOKUP(Table16[[#This Row],[Date]],database!A:H,4,)</f>
        <v>74.928100000000001</v>
      </c>
      <c r="C383" s="66">
        <f t="shared" si="5"/>
        <v>-6.7219269523921543E-4</v>
      </c>
      <c r="D383" s="66">
        <f>(Table16[[#This Row],[Index]]-B371)/B371</f>
        <v>-8.0005401655447866E-3</v>
      </c>
    </row>
    <row r="384" spans="1:4" x14ac:dyDescent="0.35">
      <c r="A384" s="17">
        <v>37773</v>
      </c>
      <c r="B384" s="58">
        <f>VLOOKUP(Table16[[#This Row],[Date]],database!A:H,4,)</f>
        <v>75.217699999999994</v>
      </c>
      <c r="C384" s="66">
        <f t="shared" si="5"/>
        <v>3.8650386170206996E-3</v>
      </c>
      <c r="D384" s="66">
        <f>(Table16[[#This Row],[Index]]-B372)/B372</f>
        <v>-1.0741190829414205E-2</v>
      </c>
    </row>
    <row r="385" spans="1:4" x14ac:dyDescent="0.35">
      <c r="A385" s="17">
        <v>37803</v>
      </c>
      <c r="B385" s="58">
        <f>VLOOKUP(Table16[[#This Row],[Date]],database!A:H,4,)</f>
        <v>75.5899</v>
      </c>
      <c r="C385" s="66">
        <f t="shared" si="5"/>
        <v>4.9483033913562124E-3</v>
      </c>
      <c r="D385" s="66">
        <f>(Table16[[#This Row],[Index]]-B373)/B373</f>
        <v>-3.4265087053624637E-3</v>
      </c>
    </row>
    <row r="386" spans="1:4" x14ac:dyDescent="0.35">
      <c r="A386" s="17">
        <v>37834</v>
      </c>
      <c r="B386" s="58">
        <f>VLOOKUP(Table16[[#This Row],[Date]],database!A:H,4,)</f>
        <v>75.667199999999994</v>
      </c>
      <c r="C386" s="66">
        <f t="shared" si="5"/>
        <v>1.0226233928076756E-3</v>
      </c>
      <c r="D386" s="66">
        <f>(Table16[[#This Row],[Index]]-B374)/B374</f>
        <v>-6.5566796995009426E-3</v>
      </c>
    </row>
    <row r="387" spans="1:4" x14ac:dyDescent="0.35">
      <c r="A387" s="17">
        <v>37865</v>
      </c>
      <c r="B387" s="58">
        <f>VLOOKUP(Table16[[#This Row],[Date]],database!A:H,4,)</f>
        <v>76.548100000000005</v>
      </c>
      <c r="C387" s="66">
        <f t="shared" si="5"/>
        <v>1.1641768163748845E-2</v>
      </c>
      <c r="D387" s="66">
        <f>(Table16[[#This Row],[Index]]-B375)/B375</f>
        <v>4.27302210373869E-3</v>
      </c>
    </row>
    <row r="388" spans="1:4" x14ac:dyDescent="0.35">
      <c r="A388" s="17">
        <v>37895</v>
      </c>
      <c r="B388" s="58">
        <f>VLOOKUP(Table16[[#This Row],[Date]],database!A:H,4,)</f>
        <v>76.364400000000003</v>
      </c>
      <c r="C388" s="66">
        <f t="shared" si="5"/>
        <v>-2.3997982967571829E-3</v>
      </c>
      <c r="D388" s="66">
        <f>(Table16[[#This Row],[Index]]-B376)/B376</f>
        <v>6.0297707580490613E-3</v>
      </c>
    </row>
    <row r="389" spans="1:4" x14ac:dyDescent="0.35">
      <c r="A389" s="17">
        <v>37926</v>
      </c>
      <c r="B389" s="58">
        <f>VLOOKUP(Table16[[#This Row],[Date]],database!A:H,4,)</f>
        <v>77.644599999999997</v>
      </c>
      <c r="C389" s="66">
        <f t="shared" si="5"/>
        <v>1.6764356165962058E-2</v>
      </c>
      <c r="D389" s="66">
        <f>(Table16[[#This Row],[Index]]-B377)/B377</f>
        <v>1.8931261646675926E-2</v>
      </c>
    </row>
    <row r="390" spans="1:4" x14ac:dyDescent="0.35">
      <c r="A390" s="17">
        <v>37956</v>
      </c>
      <c r="B390" s="58">
        <f>VLOOKUP(Table16[[#This Row],[Date]],database!A:H,4,)</f>
        <v>77.554100000000005</v>
      </c>
      <c r="C390" s="66">
        <f t="shared" si="5"/>
        <v>-1.1655672126585914E-3</v>
      </c>
      <c r="D390" s="66">
        <f>(Table16[[#This Row],[Index]]-B378)/B378</f>
        <v>2.9207784141881223E-2</v>
      </c>
    </row>
    <row r="391" spans="1:4" x14ac:dyDescent="0.35">
      <c r="A391" s="17">
        <v>37987</v>
      </c>
      <c r="B391" s="58">
        <f>VLOOKUP(Table16[[#This Row],[Date]],database!A:H,4,)</f>
        <v>77.711799999999997</v>
      </c>
      <c r="C391" s="66">
        <f t="shared" si="5"/>
        <v>2.0334192518511873E-3</v>
      </c>
      <c r="D391" s="66">
        <f>(Table16[[#This Row],[Index]]-B379)/B379</f>
        <v>2.816506357249644E-2</v>
      </c>
    </row>
    <row r="392" spans="1:4" x14ac:dyDescent="0.35">
      <c r="A392" s="17">
        <v>38018</v>
      </c>
      <c r="B392" s="58">
        <f>VLOOKUP(Table16[[#This Row],[Date]],database!A:H,4,)</f>
        <v>78.707999999999998</v>
      </c>
      <c r="C392" s="66">
        <f t="shared" ref="C392:C455" si="6">B392/B391-1</f>
        <v>1.2819160024603704E-2</v>
      </c>
      <c r="D392" s="66">
        <f>(Table16[[#This Row],[Index]]-B380)/B380</f>
        <v>4.1491338107563031E-2</v>
      </c>
    </row>
    <row r="393" spans="1:4" x14ac:dyDescent="0.35">
      <c r="A393" s="17">
        <v>38047</v>
      </c>
      <c r="B393" s="58">
        <f>VLOOKUP(Table16[[#This Row],[Date]],database!A:H,4,)</f>
        <v>78.634799999999998</v>
      </c>
      <c r="C393" s="66">
        <f t="shared" si="6"/>
        <v>-9.3001982009455197E-4</v>
      </c>
      <c r="D393" s="66">
        <f>(Table16[[#This Row],[Index]]-B381)/B381</f>
        <v>3.8940379851362492E-2</v>
      </c>
    </row>
    <row r="394" spans="1:4" x14ac:dyDescent="0.35">
      <c r="A394" s="17">
        <v>38078</v>
      </c>
      <c r="B394" s="58">
        <f>VLOOKUP(Table16[[#This Row],[Date]],database!A:H,4,)</f>
        <v>78.767799999999994</v>
      </c>
      <c r="C394" s="66">
        <f t="shared" si="6"/>
        <v>1.6913631114976457E-3</v>
      </c>
      <c r="D394" s="66">
        <f>(Table16[[#This Row],[Index]]-B382)/B382</f>
        <v>5.053848769980724E-2</v>
      </c>
    </row>
    <row r="395" spans="1:4" x14ac:dyDescent="0.35">
      <c r="A395" s="17">
        <v>38108</v>
      </c>
      <c r="B395" s="58">
        <f>VLOOKUP(Table16[[#This Row],[Date]],database!A:H,4,)</f>
        <v>79.483400000000003</v>
      </c>
      <c r="C395" s="66">
        <f t="shared" si="6"/>
        <v>9.0849306442482014E-3</v>
      </c>
      <c r="D395" s="66">
        <f>(Table16[[#This Row],[Index]]-B383)/B383</f>
        <v>6.0795616063933328E-2</v>
      </c>
    </row>
    <row r="396" spans="1:4" x14ac:dyDescent="0.35">
      <c r="A396" s="17">
        <v>38139</v>
      </c>
      <c r="B396" s="58">
        <f>VLOOKUP(Table16[[#This Row],[Date]],database!A:H,4,)</f>
        <v>79.423000000000002</v>
      </c>
      <c r="C396" s="66">
        <f t="shared" si="6"/>
        <v>-7.5990710009887774E-4</v>
      </c>
      <c r="D396" s="66">
        <f>(Table16[[#This Row],[Index]]-B384)/B384</f>
        <v>5.590838326617284E-2</v>
      </c>
    </row>
    <row r="397" spans="1:4" x14ac:dyDescent="0.35">
      <c r="A397" s="17">
        <v>38169</v>
      </c>
      <c r="B397" s="58">
        <f>VLOOKUP(Table16[[#This Row],[Date]],database!A:H,4,)</f>
        <v>81.005899999999997</v>
      </c>
      <c r="C397" s="66">
        <f t="shared" si="6"/>
        <v>1.9929995089583485E-2</v>
      </c>
      <c r="D397" s="66">
        <f>(Table16[[#This Row],[Index]]-B385)/B385</f>
        <v>7.164978389970085E-2</v>
      </c>
    </row>
    <row r="398" spans="1:4" x14ac:dyDescent="0.35">
      <c r="A398" s="17">
        <v>38200</v>
      </c>
      <c r="B398" s="58">
        <f>VLOOKUP(Table16[[#This Row],[Date]],database!A:H,4,)</f>
        <v>80.715599999999995</v>
      </c>
      <c r="C398" s="66">
        <f t="shared" si="6"/>
        <v>-3.5836895831045101E-3</v>
      </c>
      <c r="D398" s="66">
        <f>(Table16[[#This Row],[Index]]-B386)/B386</f>
        <v>6.6718472468916531E-2</v>
      </c>
    </row>
    <row r="399" spans="1:4" x14ac:dyDescent="0.35">
      <c r="A399" s="17">
        <v>38231</v>
      </c>
      <c r="B399" s="58">
        <f>VLOOKUP(Table16[[#This Row],[Date]],database!A:H,4,)</f>
        <v>80.959800000000001</v>
      </c>
      <c r="C399" s="66">
        <f t="shared" si="6"/>
        <v>3.0254374619034241E-3</v>
      </c>
      <c r="D399" s="66">
        <f>(Table16[[#This Row],[Index]]-B387)/B387</f>
        <v>5.7633043798605003E-2</v>
      </c>
    </row>
    <row r="400" spans="1:4" x14ac:dyDescent="0.35">
      <c r="A400" s="17">
        <v>38261</v>
      </c>
      <c r="B400" s="58">
        <f>VLOOKUP(Table16[[#This Row],[Date]],database!A:H,4,)</f>
        <v>81.556899999999999</v>
      </c>
      <c r="C400" s="66">
        <f t="shared" si="6"/>
        <v>7.3752652551017928E-3</v>
      </c>
      <c r="D400" s="66">
        <f>(Table16[[#This Row],[Index]]-B388)/B388</f>
        <v>6.7996343846085286E-2</v>
      </c>
    </row>
    <row r="401" spans="1:4" x14ac:dyDescent="0.35">
      <c r="A401" s="17">
        <v>38292</v>
      </c>
      <c r="B401" s="58">
        <f>VLOOKUP(Table16[[#This Row],[Date]],database!A:H,4,)</f>
        <v>81.262600000000006</v>
      </c>
      <c r="C401" s="66">
        <f t="shared" si="6"/>
        <v>-3.6085236197058723E-3</v>
      </c>
      <c r="D401" s="66">
        <f>(Table16[[#This Row],[Index]]-B389)/B389</f>
        <v>4.6596930114908307E-2</v>
      </c>
    </row>
    <row r="402" spans="1:4" x14ac:dyDescent="0.35">
      <c r="A402" s="17">
        <v>38322</v>
      </c>
      <c r="B402" s="58">
        <f>VLOOKUP(Table16[[#This Row],[Date]],database!A:H,4,)</f>
        <v>82.098299999999995</v>
      </c>
      <c r="C402" s="66">
        <f t="shared" si="6"/>
        <v>1.0283943659198602E-2</v>
      </c>
      <c r="D402" s="66">
        <f>(Table16[[#This Row],[Index]]-B390)/B390</f>
        <v>5.8593936361842756E-2</v>
      </c>
    </row>
    <row r="403" spans="1:4" x14ac:dyDescent="0.35">
      <c r="A403" s="17">
        <v>38353</v>
      </c>
      <c r="B403" s="58">
        <f>VLOOKUP(Table16[[#This Row],[Date]],database!A:H,4,)</f>
        <v>83.449399999999997</v>
      </c>
      <c r="C403" s="66">
        <f t="shared" si="6"/>
        <v>1.6457100816947623E-2</v>
      </c>
      <c r="D403" s="66">
        <f>(Table16[[#This Row],[Index]]-B391)/B391</f>
        <v>7.3831773295689976E-2</v>
      </c>
    </row>
    <row r="404" spans="1:4" x14ac:dyDescent="0.35">
      <c r="A404" s="17">
        <v>38384</v>
      </c>
      <c r="B404" s="58">
        <f>VLOOKUP(Table16[[#This Row],[Date]],database!A:H,4,)</f>
        <v>84.333699999999993</v>
      </c>
      <c r="C404" s="66">
        <f t="shared" si="6"/>
        <v>1.0596840720244805E-2</v>
      </c>
      <c r="D404" s="66">
        <f>(Table16[[#This Row],[Index]]-B392)/B392</f>
        <v>7.1475580627128055E-2</v>
      </c>
    </row>
    <row r="405" spans="1:4" x14ac:dyDescent="0.35">
      <c r="A405" s="17">
        <v>38412</v>
      </c>
      <c r="B405" s="58">
        <f>VLOOKUP(Table16[[#This Row],[Date]],database!A:H,4,)</f>
        <v>84.339399999999998</v>
      </c>
      <c r="C405" s="66">
        <f t="shared" si="6"/>
        <v>6.7588638942739365E-5</v>
      </c>
      <c r="D405" s="66">
        <f>(Table16[[#This Row],[Index]]-B393)/B393</f>
        <v>7.254548876578816E-2</v>
      </c>
    </row>
    <row r="406" spans="1:4" x14ac:dyDescent="0.35">
      <c r="A406" s="17">
        <v>38443</v>
      </c>
      <c r="B406" s="58">
        <f>VLOOKUP(Table16[[#This Row],[Date]],database!A:H,4,)</f>
        <v>85.342699999999994</v>
      </c>
      <c r="C406" s="66">
        <f t="shared" si="6"/>
        <v>1.1895982186261644E-2</v>
      </c>
      <c r="D406" s="66">
        <f>(Table16[[#This Row],[Index]]-B394)/B394</f>
        <v>8.3471926345537142E-2</v>
      </c>
    </row>
    <row r="407" spans="1:4" x14ac:dyDescent="0.35">
      <c r="A407" s="17">
        <v>38473</v>
      </c>
      <c r="B407" s="58">
        <f>VLOOKUP(Table16[[#This Row],[Date]],database!A:H,4,)</f>
        <v>86.06</v>
      </c>
      <c r="C407" s="66">
        <f t="shared" si="6"/>
        <v>8.4049368018590531E-3</v>
      </c>
      <c r="D407" s="66">
        <f>(Table16[[#This Row],[Index]]-B395)/B395</f>
        <v>8.2741805207124999E-2</v>
      </c>
    </row>
    <row r="408" spans="1:4" x14ac:dyDescent="0.35">
      <c r="A408" s="17">
        <v>38504</v>
      </c>
      <c r="B408" s="58">
        <f>VLOOKUP(Table16[[#This Row],[Date]],database!A:H,4,)</f>
        <v>85.8553</v>
      </c>
      <c r="C408" s="66">
        <f t="shared" si="6"/>
        <v>-2.3785730885429457E-3</v>
      </c>
      <c r="D408" s="66">
        <f>(Table16[[#This Row],[Index]]-B396)/B396</f>
        <v>8.0987875048789362E-2</v>
      </c>
    </row>
    <row r="409" spans="1:4" x14ac:dyDescent="0.35">
      <c r="A409" s="17">
        <v>38534</v>
      </c>
      <c r="B409" s="58">
        <f>VLOOKUP(Table16[[#This Row],[Date]],database!A:H,4,)</f>
        <v>85.418499999999995</v>
      </c>
      <c r="C409" s="66">
        <f t="shared" si="6"/>
        <v>-5.0876300007105524E-3</v>
      </c>
      <c r="D409" s="66">
        <f>(Table16[[#This Row],[Index]]-B397)/B397</f>
        <v>5.4472575454380459E-2</v>
      </c>
    </row>
    <row r="410" spans="1:4" x14ac:dyDescent="0.35">
      <c r="A410" s="17">
        <v>38565</v>
      </c>
      <c r="B410" s="58">
        <f>VLOOKUP(Table16[[#This Row],[Date]],database!A:H,4,)</f>
        <v>86.521500000000003</v>
      </c>
      <c r="C410" s="66">
        <f t="shared" si="6"/>
        <v>1.2912893576918494E-2</v>
      </c>
      <c r="D410" s="66">
        <f>(Table16[[#This Row],[Index]]-B398)/B398</f>
        <v>7.1930333169796287E-2</v>
      </c>
    </row>
    <row r="411" spans="1:4" x14ac:dyDescent="0.35">
      <c r="A411" s="17">
        <v>38596</v>
      </c>
      <c r="B411" s="58">
        <f>VLOOKUP(Table16[[#This Row],[Date]],database!A:H,4,)</f>
        <v>83.894099999999995</v>
      </c>
      <c r="C411" s="66">
        <f t="shared" si="6"/>
        <v>-3.0367018602312834E-2</v>
      </c>
      <c r="D411" s="66">
        <f>(Table16[[#This Row],[Index]]-B399)/B399</f>
        <v>3.6243913646031647E-2</v>
      </c>
    </row>
    <row r="412" spans="1:4" x14ac:dyDescent="0.35">
      <c r="A412" s="17">
        <v>38626</v>
      </c>
      <c r="B412" s="58">
        <f>VLOOKUP(Table16[[#This Row],[Date]],database!A:H,4,)</f>
        <v>88.3566</v>
      </c>
      <c r="C412" s="66">
        <f t="shared" si="6"/>
        <v>5.319205998991583E-2</v>
      </c>
      <c r="D412" s="66">
        <f>(Table16[[#This Row],[Index]]-B400)/B400</f>
        <v>8.337369370341445E-2</v>
      </c>
    </row>
    <row r="413" spans="1:4" x14ac:dyDescent="0.35">
      <c r="A413" s="17">
        <v>38657</v>
      </c>
      <c r="B413" s="58">
        <f>VLOOKUP(Table16[[#This Row],[Date]],database!A:H,4,)</f>
        <v>89.606300000000005</v>
      </c>
      <c r="C413" s="66">
        <f t="shared" si="6"/>
        <v>1.4143821740537854E-2</v>
      </c>
      <c r="D413" s="66">
        <f>(Table16[[#This Row],[Index]]-B401)/B401</f>
        <v>0.10267576966525804</v>
      </c>
    </row>
    <row r="414" spans="1:4" x14ac:dyDescent="0.35">
      <c r="A414" s="17">
        <v>38687</v>
      </c>
      <c r="B414" s="58">
        <f>VLOOKUP(Table16[[#This Row],[Date]],database!A:H,4,)</f>
        <v>88.916200000000003</v>
      </c>
      <c r="C414" s="66">
        <f t="shared" si="6"/>
        <v>-7.7014674191435706E-3</v>
      </c>
      <c r="D414" s="66">
        <f>(Table16[[#This Row],[Index]]-B402)/B402</f>
        <v>8.304556854405036E-2</v>
      </c>
    </row>
    <row r="415" spans="1:4" x14ac:dyDescent="0.35">
      <c r="A415" s="17">
        <v>38718</v>
      </c>
      <c r="B415" s="58">
        <f>VLOOKUP(Table16[[#This Row],[Date]],database!A:H,4,)</f>
        <v>90.540099999999995</v>
      </c>
      <c r="C415" s="66">
        <f t="shared" si="6"/>
        <v>1.8263263612255054E-2</v>
      </c>
      <c r="D415" s="66">
        <f>(Table16[[#This Row],[Index]]-B403)/B403</f>
        <v>8.4970053709193819E-2</v>
      </c>
    </row>
    <row r="416" spans="1:4" x14ac:dyDescent="0.35">
      <c r="A416" s="17">
        <v>38749</v>
      </c>
      <c r="B416" s="58">
        <f>VLOOKUP(Table16[[#This Row],[Date]],database!A:H,4,)</f>
        <v>90.876499999999993</v>
      </c>
      <c r="C416" s="66">
        <f t="shared" si="6"/>
        <v>3.7154807648764887E-3</v>
      </c>
      <c r="D416" s="66">
        <f>(Table16[[#This Row],[Index]]-B404)/B404</f>
        <v>7.7582271381428786E-2</v>
      </c>
    </row>
    <row r="417" spans="1:4" x14ac:dyDescent="0.35">
      <c r="A417" s="17">
        <v>38777</v>
      </c>
      <c r="B417" s="58">
        <f>VLOOKUP(Table16[[#This Row],[Date]],database!A:H,4,)</f>
        <v>91.690299999999993</v>
      </c>
      <c r="C417" s="66">
        <f t="shared" si="6"/>
        <v>8.9550103712181528E-3</v>
      </c>
      <c r="D417" s="66">
        <f>(Table16[[#This Row],[Index]]-B405)/B405</f>
        <v>8.7158552230630001E-2</v>
      </c>
    </row>
    <row r="418" spans="1:4" x14ac:dyDescent="0.35">
      <c r="A418" s="17">
        <v>38808</v>
      </c>
      <c r="B418" s="58">
        <f>VLOOKUP(Table16[[#This Row],[Date]],database!A:H,4,)</f>
        <v>93.152199999999993</v>
      </c>
      <c r="C418" s="66">
        <f t="shared" si="6"/>
        <v>1.5943889375430009E-2</v>
      </c>
      <c r="D418" s="66">
        <f>(Table16[[#This Row],[Index]]-B406)/B406</f>
        <v>9.1507533743366454E-2</v>
      </c>
    </row>
    <row r="419" spans="1:4" x14ac:dyDescent="0.35">
      <c r="A419" s="17">
        <v>38838</v>
      </c>
      <c r="B419" s="58">
        <f>VLOOKUP(Table16[[#This Row],[Date]],database!A:H,4,)</f>
        <v>93.225899999999996</v>
      </c>
      <c r="C419" s="66">
        <f t="shared" si="6"/>
        <v>7.9117830818820067E-4</v>
      </c>
      <c r="D419" s="66">
        <f>(Table16[[#This Row],[Index]]-B407)/B407</f>
        <v>8.3266325819195838E-2</v>
      </c>
    </row>
    <row r="420" spans="1:4" x14ac:dyDescent="0.35">
      <c r="A420" s="17">
        <v>38869</v>
      </c>
      <c r="B420" s="58">
        <f>VLOOKUP(Table16[[#This Row],[Date]],database!A:H,4,)</f>
        <v>93.961600000000004</v>
      </c>
      <c r="C420" s="66">
        <f t="shared" si="6"/>
        <v>7.8915837766115882E-3</v>
      </c>
      <c r="D420" s="66">
        <f>(Table16[[#This Row],[Index]]-B408)/B408</f>
        <v>9.4418166379943977E-2</v>
      </c>
    </row>
    <row r="421" spans="1:4" x14ac:dyDescent="0.35">
      <c r="A421" s="17">
        <v>38899</v>
      </c>
      <c r="B421" s="58">
        <f>VLOOKUP(Table16[[#This Row],[Date]],database!A:H,4,)</f>
        <v>94.717299999999994</v>
      </c>
      <c r="C421" s="66">
        <f t="shared" si="6"/>
        <v>8.0426472090724399E-3</v>
      </c>
      <c r="D421" s="66">
        <f>(Table16[[#This Row],[Index]]-B409)/B409</f>
        <v>0.10886166345697947</v>
      </c>
    </row>
    <row r="422" spans="1:4" x14ac:dyDescent="0.35">
      <c r="A422" s="17">
        <v>38930</v>
      </c>
      <c r="B422" s="58">
        <f>VLOOKUP(Table16[[#This Row],[Date]],database!A:H,4,)</f>
        <v>95.498400000000004</v>
      </c>
      <c r="C422" s="66">
        <f t="shared" si="6"/>
        <v>8.246645544161435E-3</v>
      </c>
      <c r="D422" s="66">
        <f>(Table16[[#This Row],[Index]]-B410)/B410</f>
        <v>0.10375340233352404</v>
      </c>
    </row>
    <row r="423" spans="1:4" x14ac:dyDescent="0.35">
      <c r="A423" s="17">
        <v>38961</v>
      </c>
      <c r="B423" s="58">
        <f>VLOOKUP(Table16[[#This Row],[Date]],database!A:H,4,)</f>
        <v>95.570599999999999</v>
      </c>
      <c r="C423" s="66">
        <f t="shared" si="6"/>
        <v>7.5603360894005434E-4</v>
      </c>
      <c r="D423" s="66">
        <f>(Table16[[#This Row],[Index]]-B411)/B411</f>
        <v>0.139181420385939</v>
      </c>
    </row>
    <row r="424" spans="1:4" x14ac:dyDescent="0.35">
      <c r="A424" s="17">
        <v>38991</v>
      </c>
      <c r="B424" s="58">
        <f>VLOOKUP(Table16[[#This Row],[Date]],database!A:H,4,)</f>
        <v>95.825900000000004</v>
      </c>
      <c r="C424" s="66">
        <f t="shared" si="6"/>
        <v>2.6713236078879099E-3</v>
      </c>
      <c r="D424" s="66">
        <f>(Table16[[#This Row],[Index]]-B412)/B412</f>
        <v>8.4535846784507374E-2</v>
      </c>
    </row>
    <row r="425" spans="1:4" x14ac:dyDescent="0.35">
      <c r="A425" s="17">
        <v>39022</v>
      </c>
      <c r="B425" s="58">
        <f>VLOOKUP(Table16[[#This Row],[Date]],database!A:H,4,)</f>
        <v>96.222999999999999</v>
      </c>
      <c r="C425" s="66">
        <f t="shared" si="6"/>
        <v>4.1439736021262608E-3</v>
      </c>
      <c r="D425" s="66">
        <f>(Table16[[#This Row],[Index]]-B413)/B413</f>
        <v>7.3841906205255589E-2</v>
      </c>
    </row>
    <row r="426" spans="1:4" x14ac:dyDescent="0.35">
      <c r="A426" s="17">
        <v>39052</v>
      </c>
      <c r="B426" s="58">
        <f>VLOOKUP(Table16[[#This Row],[Date]],database!A:H,4,)</f>
        <v>97.725300000000004</v>
      </c>
      <c r="C426" s="66">
        <f t="shared" si="6"/>
        <v>1.5612691352379526E-2</v>
      </c>
      <c r="D426" s="66">
        <f>(Table16[[#This Row],[Index]]-B414)/B414</f>
        <v>9.907193514792581E-2</v>
      </c>
    </row>
    <row r="427" spans="1:4" x14ac:dyDescent="0.35">
      <c r="A427" s="17">
        <v>39083</v>
      </c>
      <c r="B427" s="58">
        <f>VLOOKUP(Table16[[#This Row],[Date]],database!A:H,4,)</f>
        <v>96.005399999999995</v>
      </c>
      <c r="C427" s="66">
        <f t="shared" si="6"/>
        <v>-1.7599332005120538E-2</v>
      </c>
      <c r="D427" s="66">
        <f>(Table16[[#This Row],[Index]]-B415)/B415</f>
        <v>6.0363308633412154E-2</v>
      </c>
    </row>
    <row r="428" spans="1:4" x14ac:dyDescent="0.35">
      <c r="A428" s="17">
        <v>39114</v>
      </c>
      <c r="B428" s="58">
        <f>VLOOKUP(Table16[[#This Row],[Date]],database!A:H,4,)</f>
        <v>96.770799999999994</v>
      </c>
      <c r="C428" s="66">
        <f t="shared" si="6"/>
        <v>7.9724682153294868E-3</v>
      </c>
      <c r="D428" s="66">
        <f>(Table16[[#This Row],[Index]]-B416)/B416</f>
        <v>6.4860552508074168E-2</v>
      </c>
    </row>
    <row r="429" spans="1:4" x14ac:dyDescent="0.35">
      <c r="A429" s="17">
        <v>39142</v>
      </c>
      <c r="B429" s="58">
        <f>VLOOKUP(Table16[[#This Row],[Date]],database!A:H,4,)</f>
        <v>98.581199999999995</v>
      </c>
      <c r="C429" s="66">
        <f t="shared" si="6"/>
        <v>1.8708122698169349E-2</v>
      </c>
      <c r="D429" s="66">
        <f>(Table16[[#This Row],[Index]]-B417)/B417</f>
        <v>7.5154078457590409E-2</v>
      </c>
    </row>
    <row r="430" spans="1:4" x14ac:dyDescent="0.35">
      <c r="A430" s="17">
        <v>39173</v>
      </c>
      <c r="B430" s="58">
        <f>VLOOKUP(Table16[[#This Row],[Date]],database!A:H,4,)</f>
        <v>99.577600000000004</v>
      </c>
      <c r="C430" s="66">
        <f t="shared" si="6"/>
        <v>1.0107403845763807E-2</v>
      </c>
      <c r="D430" s="66">
        <f>(Table16[[#This Row],[Index]]-B418)/B418</f>
        <v>6.8977436925805408E-2</v>
      </c>
    </row>
    <row r="431" spans="1:4" x14ac:dyDescent="0.35">
      <c r="A431" s="17">
        <v>39203</v>
      </c>
      <c r="B431" s="58">
        <f>VLOOKUP(Table16[[#This Row],[Date]],database!A:H,4,)</f>
        <v>99.6995</v>
      </c>
      <c r="C431" s="66">
        <f t="shared" si="6"/>
        <v>1.224170897872634E-3</v>
      </c>
      <c r="D431" s="66">
        <f>(Table16[[#This Row],[Index]]-B419)/B419</f>
        <v>6.9439930319793161E-2</v>
      </c>
    </row>
    <row r="432" spans="1:4" x14ac:dyDescent="0.35">
      <c r="A432" s="17">
        <v>39234</v>
      </c>
      <c r="B432" s="58">
        <f>VLOOKUP(Table16[[#This Row],[Date]],database!A:H,4,)</f>
        <v>99.687799999999996</v>
      </c>
      <c r="C432" s="66">
        <f t="shared" si="6"/>
        <v>-1.1735264469736606E-4</v>
      </c>
      <c r="D432" s="66">
        <f>(Table16[[#This Row],[Index]]-B420)/B420</f>
        <v>6.0941916697884999E-2</v>
      </c>
    </row>
    <row r="433" spans="1:4" x14ac:dyDescent="0.35">
      <c r="A433" s="17">
        <v>39264</v>
      </c>
      <c r="B433" s="58">
        <f>VLOOKUP(Table16[[#This Row],[Date]],database!A:H,4,)</f>
        <v>99.761700000000005</v>
      </c>
      <c r="C433" s="66">
        <f t="shared" si="6"/>
        <v>7.4131438350533152E-4</v>
      </c>
      <c r="D433" s="66">
        <f>(Table16[[#This Row],[Index]]-B421)/B421</f>
        <v>5.3257430268810559E-2</v>
      </c>
    </row>
    <row r="434" spans="1:4" x14ac:dyDescent="0.35">
      <c r="A434" s="17">
        <v>39295</v>
      </c>
      <c r="B434" s="58">
        <f>VLOOKUP(Table16[[#This Row],[Date]],database!A:H,4,)</f>
        <v>99.950100000000006</v>
      </c>
      <c r="C434" s="66">
        <f t="shared" si="6"/>
        <v>1.8885002962059083E-3</v>
      </c>
      <c r="D434" s="66">
        <f>(Table16[[#This Row],[Index]]-B422)/B422</f>
        <v>4.6615440677540171E-2</v>
      </c>
    </row>
    <row r="435" spans="1:4" x14ac:dyDescent="0.35">
      <c r="A435" s="17">
        <v>39326</v>
      </c>
      <c r="B435" s="58">
        <f>VLOOKUP(Table16[[#This Row],[Date]],database!A:H,4,)</f>
        <v>101.4502</v>
      </c>
      <c r="C435" s="66">
        <f t="shared" si="6"/>
        <v>1.500848923612863E-2</v>
      </c>
      <c r="D435" s="66">
        <f>(Table16[[#This Row],[Index]]-B423)/B423</f>
        <v>6.1521011691880102E-2</v>
      </c>
    </row>
    <row r="436" spans="1:4" x14ac:dyDescent="0.35">
      <c r="A436" s="17">
        <v>39356</v>
      </c>
      <c r="B436" s="58">
        <f>VLOOKUP(Table16[[#This Row],[Date]],database!A:H,4,)</f>
        <v>101.1163</v>
      </c>
      <c r="C436" s="66">
        <f t="shared" si="6"/>
        <v>-3.2912700024247954E-3</v>
      </c>
      <c r="D436" s="66">
        <f>(Table16[[#This Row],[Index]]-B424)/B424</f>
        <v>5.5208456168947963E-2</v>
      </c>
    </row>
    <row r="437" spans="1:4" x14ac:dyDescent="0.35">
      <c r="A437" s="17">
        <v>39387</v>
      </c>
      <c r="B437" s="58">
        <f>VLOOKUP(Table16[[#This Row],[Date]],database!A:H,4,)</f>
        <v>101.8745</v>
      </c>
      <c r="C437" s="66">
        <f t="shared" si="6"/>
        <v>7.4982965159919868E-3</v>
      </c>
      <c r="D437" s="66">
        <f>(Table16[[#This Row],[Index]]-B425)/B425</f>
        <v>5.8733358968230037E-2</v>
      </c>
    </row>
    <row r="438" spans="1:4" x14ac:dyDescent="0.35">
      <c r="A438" s="17">
        <v>39417</v>
      </c>
      <c r="B438" s="58">
        <f>VLOOKUP(Table16[[#This Row],[Date]],database!A:H,4,)</f>
        <v>102.8506</v>
      </c>
      <c r="C438" s="66">
        <f t="shared" si="6"/>
        <v>9.5813967185114368E-3</v>
      </c>
      <c r="D438" s="66">
        <f>(Table16[[#This Row],[Index]]-B426)/B426</f>
        <v>5.2445988909729575E-2</v>
      </c>
    </row>
    <row r="439" spans="1:4" x14ac:dyDescent="0.35">
      <c r="A439" s="17">
        <v>39448</v>
      </c>
      <c r="B439" s="58">
        <f>VLOOKUP(Table16[[#This Row],[Date]],database!A:H,4,)</f>
        <v>103.3248</v>
      </c>
      <c r="C439" s="66">
        <f t="shared" si="6"/>
        <v>4.6105710613257855E-3</v>
      </c>
      <c r="D439" s="66">
        <f>(Table16[[#This Row],[Index]]-B427)/B427</f>
        <v>7.6239461530288946E-2</v>
      </c>
    </row>
    <row r="440" spans="1:4" x14ac:dyDescent="0.35">
      <c r="A440" s="17">
        <v>39479</v>
      </c>
      <c r="B440" s="58">
        <f>VLOOKUP(Table16[[#This Row],[Date]],database!A:H,4,)</f>
        <v>103.3305</v>
      </c>
      <c r="C440" s="66">
        <f t="shared" si="6"/>
        <v>5.5165845953775161E-5</v>
      </c>
      <c r="D440" s="66">
        <f>(Table16[[#This Row],[Index]]-B428)/B428</f>
        <v>6.7785943693758927E-2</v>
      </c>
    </row>
    <row r="441" spans="1:4" x14ac:dyDescent="0.35">
      <c r="A441" s="17">
        <v>39508</v>
      </c>
      <c r="B441" s="58">
        <f>VLOOKUP(Table16[[#This Row],[Date]],database!A:H,4,)</f>
        <v>104.0532</v>
      </c>
      <c r="C441" s="66">
        <f t="shared" si="6"/>
        <v>6.9940627404299072E-3</v>
      </c>
      <c r="D441" s="66">
        <f>(Table16[[#This Row],[Index]]-B429)/B429</f>
        <v>5.550754099158875E-2</v>
      </c>
    </row>
    <row r="442" spans="1:4" x14ac:dyDescent="0.35">
      <c r="A442" s="17">
        <v>39539</v>
      </c>
      <c r="B442" s="58">
        <f>VLOOKUP(Table16[[#This Row],[Date]],database!A:H,4,)</f>
        <v>102.1516</v>
      </c>
      <c r="C442" s="66">
        <f t="shared" si="6"/>
        <v>-1.8275266882709973E-2</v>
      </c>
      <c r="D442" s="66">
        <f>(Table16[[#This Row],[Index]]-B430)/B430</f>
        <v>2.584918696574328E-2</v>
      </c>
    </row>
    <row r="443" spans="1:4" x14ac:dyDescent="0.35">
      <c r="A443" s="17">
        <v>39569</v>
      </c>
      <c r="B443" s="58">
        <f>VLOOKUP(Table16[[#This Row],[Date]],database!A:H,4,)</f>
        <v>102.49</v>
      </c>
      <c r="C443" s="66">
        <f t="shared" si="6"/>
        <v>3.312723442413068E-3</v>
      </c>
      <c r="D443" s="66">
        <f>(Table16[[#This Row],[Index]]-B431)/B431</f>
        <v>2.7989107267338297E-2</v>
      </c>
    </row>
    <row r="444" spans="1:4" x14ac:dyDescent="0.35">
      <c r="A444" s="17">
        <v>39600</v>
      </c>
      <c r="B444" s="58">
        <f>VLOOKUP(Table16[[#This Row],[Date]],database!A:H,4,)</f>
        <v>101.8044</v>
      </c>
      <c r="C444" s="66">
        <f t="shared" si="6"/>
        <v>-6.6894331154258024E-3</v>
      </c>
      <c r="D444" s="66">
        <f>(Table16[[#This Row],[Index]]-B432)/B432</f>
        <v>2.1232287200640455E-2</v>
      </c>
    </row>
    <row r="445" spans="1:4" x14ac:dyDescent="0.35">
      <c r="A445" s="17">
        <v>39630</v>
      </c>
      <c r="B445" s="58">
        <f>VLOOKUP(Table16[[#This Row],[Date]],database!A:H,4,)</f>
        <v>99.914100000000005</v>
      </c>
      <c r="C445" s="66">
        <f t="shared" si="6"/>
        <v>-1.8567959734549722E-2</v>
      </c>
      <c r="D445" s="66">
        <f>(Table16[[#This Row],[Index]]-B433)/B433</f>
        <v>1.5276403669945489E-3</v>
      </c>
    </row>
    <row r="446" spans="1:4" x14ac:dyDescent="0.35">
      <c r="A446" s="17">
        <v>39661</v>
      </c>
      <c r="B446" s="58">
        <f>VLOOKUP(Table16[[#This Row],[Date]],database!A:H,4,)</f>
        <v>98.005799999999994</v>
      </c>
      <c r="C446" s="66">
        <f t="shared" si="6"/>
        <v>-1.9099406390089224E-2</v>
      </c>
      <c r="D446" s="66">
        <f>(Table16[[#This Row],[Index]]-B434)/B434</f>
        <v>-1.9452706900743594E-2</v>
      </c>
    </row>
    <row r="447" spans="1:4" x14ac:dyDescent="0.35">
      <c r="A447" s="17">
        <v>39692</v>
      </c>
      <c r="B447" s="58">
        <f>VLOOKUP(Table16[[#This Row],[Date]],database!A:H,4,)</f>
        <v>90.203100000000006</v>
      </c>
      <c r="C447" s="66">
        <f t="shared" si="6"/>
        <v>-7.9614675866122031E-2</v>
      </c>
      <c r="D447" s="66">
        <f>(Table16[[#This Row],[Index]]-B435)/B435</f>
        <v>-0.11086326098913546</v>
      </c>
    </row>
    <row r="448" spans="1:4" x14ac:dyDescent="0.35">
      <c r="A448" s="17">
        <v>39722</v>
      </c>
      <c r="B448" s="58">
        <f>VLOOKUP(Table16[[#This Row],[Date]],database!A:H,4,)</f>
        <v>87.6828</v>
      </c>
      <c r="C448" s="66">
        <f t="shared" si="6"/>
        <v>-2.7940281431569458E-2</v>
      </c>
      <c r="D448" s="66">
        <f>(Table16[[#This Row],[Index]]-B436)/B436</f>
        <v>-0.13285197342070462</v>
      </c>
    </row>
    <row r="449" spans="1:4" x14ac:dyDescent="0.35">
      <c r="A449" s="17">
        <v>39753</v>
      </c>
      <c r="B449" s="58">
        <f>VLOOKUP(Table16[[#This Row],[Date]],database!A:H,4,)</f>
        <v>88.882099999999994</v>
      </c>
      <c r="C449" s="66">
        <f t="shared" si="6"/>
        <v>1.3677711022001882E-2</v>
      </c>
      <c r="D449" s="66">
        <f>(Table16[[#This Row],[Index]]-B437)/B437</f>
        <v>-0.12753338666692846</v>
      </c>
    </row>
    <row r="450" spans="1:4" x14ac:dyDescent="0.35">
      <c r="A450" s="17">
        <v>39783</v>
      </c>
      <c r="B450" s="58">
        <f>VLOOKUP(Table16[[#This Row],[Date]],database!A:H,4,)</f>
        <v>89.748800000000003</v>
      </c>
      <c r="C450" s="66">
        <f t="shared" si="6"/>
        <v>9.7511197417703421E-3</v>
      </c>
      <c r="D450" s="66">
        <f>(Table16[[#This Row],[Index]]-B438)/B438</f>
        <v>-0.12738671432154988</v>
      </c>
    </row>
    <row r="451" spans="1:4" x14ac:dyDescent="0.35">
      <c r="A451" s="17">
        <v>39814</v>
      </c>
      <c r="B451" s="58">
        <f>VLOOKUP(Table16[[#This Row],[Date]],database!A:H,4,)</f>
        <v>84.732399999999998</v>
      </c>
      <c r="C451" s="66">
        <f t="shared" si="6"/>
        <v>-5.5893783538052966E-2</v>
      </c>
      <c r="D451" s="66">
        <f>(Table16[[#This Row],[Index]]-B439)/B439</f>
        <v>-0.17994131128248009</v>
      </c>
    </row>
    <row r="452" spans="1:4" x14ac:dyDescent="0.35">
      <c r="A452" s="17">
        <v>39845</v>
      </c>
      <c r="B452" s="58">
        <f>VLOOKUP(Table16[[#This Row],[Date]],database!A:H,4,)</f>
        <v>84.274799999999999</v>
      </c>
      <c r="C452" s="66">
        <f t="shared" si="6"/>
        <v>-5.4005315558157685E-3</v>
      </c>
      <c r="D452" s="66">
        <f>(Table16[[#This Row],[Index]]-B440)/B440</f>
        <v>-0.18441505654187293</v>
      </c>
    </row>
    <row r="453" spans="1:4" x14ac:dyDescent="0.35">
      <c r="A453" s="17">
        <v>39873</v>
      </c>
      <c r="B453" s="58">
        <f>VLOOKUP(Table16[[#This Row],[Date]],database!A:H,4,)</f>
        <v>82.531999999999996</v>
      </c>
      <c r="C453" s="66">
        <f t="shared" si="6"/>
        <v>-2.0679966015938356E-2</v>
      </c>
      <c r="D453" s="66">
        <f>(Table16[[#This Row],[Index]]-B441)/B441</f>
        <v>-0.20682881449104887</v>
      </c>
    </row>
    <row r="454" spans="1:4" x14ac:dyDescent="0.35">
      <c r="A454" s="17">
        <v>39904</v>
      </c>
      <c r="B454" s="58">
        <f>VLOOKUP(Table16[[#This Row],[Date]],database!A:H,4,)</f>
        <v>80.879199999999997</v>
      </c>
      <c r="C454" s="66">
        <f t="shared" si="6"/>
        <v>-2.0026171666747472E-2</v>
      </c>
      <c r="D454" s="66">
        <f>(Table16[[#This Row],[Index]]-B442)/B442</f>
        <v>-0.20824343426828365</v>
      </c>
    </row>
    <row r="455" spans="1:4" x14ac:dyDescent="0.35">
      <c r="A455" s="17">
        <v>39934</v>
      </c>
      <c r="B455" s="58">
        <f>VLOOKUP(Table16[[#This Row],[Date]],database!A:H,4,)</f>
        <v>78.614699999999999</v>
      </c>
      <c r="C455" s="66">
        <f t="shared" si="6"/>
        <v>-2.7998545979683209E-2</v>
      </c>
      <c r="D455" s="66">
        <f>(Table16[[#This Row],[Index]]-B443)/B443</f>
        <v>-0.23295248316908965</v>
      </c>
    </row>
    <row r="456" spans="1:4" x14ac:dyDescent="0.35">
      <c r="A456" s="17">
        <v>39965</v>
      </c>
      <c r="B456" s="58">
        <f>VLOOKUP(Table16[[#This Row],[Date]],database!A:H,4,)</f>
        <v>77.972499999999997</v>
      </c>
      <c r="C456" s="66">
        <f t="shared" ref="C456:C519" si="7">B456/B455-1</f>
        <v>-8.168955678772627E-3</v>
      </c>
      <c r="D456" s="66">
        <f>(Table16[[#This Row],[Index]]-B444)/B444</f>
        <v>-0.23409499000043224</v>
      </c>
    </row>
    <row r="457" spans="1:4" x14ac:dyDescent="0.35">
      <c r="A457" s="17">
        <v>39995</v>
      </c>
      <c r="B457" s="58">
        <f>VLOOKUP(Table16[[#This Row],[Date]],database!A:H,4,)</f>
        <v>78.925799999999995</v>
      </c>
      <c r="C457" s="66">
        <f t="shared" si="7"/>
        <v>1.2226105357658223E-2</v>
      </c>
      <c r="D457" s="66">
        <f>(Table16[[#This Row],[Index]]-B445)/B445</f>
        <v>-0.21006344449882458</v>
      </c>
    </row>
    <row r="458" spans="1:4" x14ac:dyDescent="0.35">
      <c r="A458" s="17">
        <v>40026</v>
      </c>
      <c r="B458" s="58">
        <f>VLOOKUP(Table16[[#This Row],[Date]],database!A:H,4,)</f>
        <v>79.759200000000007</v>
      </c>
      <c r="C458" s="66">
        <f t="shared" si="7"/>
        <v>1.0559284796606505E-2</v>
      </c>
      <c r="D458" s="66">
        <f>(Table16[[#This Row],[Index]]-B446)/B446</f>
        <v>-0.186178777174412</v>
      </c>
    </row>
    <row r="459" spans="1:4" x14ac:dyDescent="0.35">
      <c r="A459" s="17">
        <v>40057</v>
      </c>
      <c r="B459" s="58">
        <f>VLOOKUP(Table16[[#This Row],[Date]],database!A:H,4,)</f>
        <v>80.260000000000005</v>
      </c>
      <c r="C459" s="66">
        <f t="shared" si="7"/>
        <v>6.2788994874571902E-3</v>
      </c>
      <c r="D459" s="66">
        <f>(Table16[[#This Row],[Index]]-B447)/B447</f>
        <v>-0.11023013621483076</v>
      </c>
    </row>
    <row r="460" spans="1:4" x14ac:dyDescent="0.35">
      <c r="A460" s="17">
        <v>40087</v>
      </c>
      <c r="B460" s="58">
        <f>VLOOKUP(Table16[[#This Row],[Date]],database!A:H,4,)</f>
        <v>80.600399999999993</v>
      </c>
      <c r="C460" s="66">
        <f t="shared" si="7"/>
        <v>4.2412160478444427E-3</v>
      </c>
      <c r="D460" s="66">
        <f>(Table16[[#This Row],[Index]]-B448)/B448</f>
        <v>-8.0772968016532401E-2</v>
      </c>
    </row>
    <row r="461" spans="1:4" x14ac:dyDescent="0.35">
      <c r="A461" s="17">
        <v>40118</v>
      </c>
      <c r="B461" s="58">
        <f>VLOOKUP(Table16[[#This Row],[Date]],database!A:H,4,)</f>
        <v>80.487099999999998</v>
      </c>
      <c r="C461" s="66">
        <f t="shared" si="7"/>
        <v>-1.4057002198499813E-3</v>
      </c>
      <c r="D461" s="66">
        <f>(Table16[[#This Row],[Index]]-B449)/B449</f>
        <v>-9.4450963692351966E-2</v>
      </c>
    </row>
    <row r="462" spans="1:4" x14ac:dyDescent="0.35">
      <c r="A462" s="17">
        <v>40148</v>
      </c>
      <c r="B462" s="58">
        <f>VLOOKUP(Table16[[#This Row],[Date]],database!A:H,4,)</f>
        <v>81.911000000000001</v>
      </c>
      <c r="C462" s="66">
        <f t="shared" si="7"/>
        <v>1.7691033718446825E-2</v>
      </c>
      <c r="D462" s="66">
        <f>(Table16[[#This Row],[Index]]-B450)/B450</f>
        <v>-8.7330415559873795E-2</v>
      </c>
    </row>
    <row r="463" spans="1:4" x14ac:dyDescent="0.35">
      <c r="A463" s="17">
        <v>40179</v>
      </c>
      <c r="B463" s="58">
        <f>VLOOKUP(Table16[[#This Row],[Date]],database!A:H,4,)</f>
        <v>83.106999999999999</v>
      </c>
      <c r="C463" s="66">
        <f t="shared" si="7"/>
        <v>1.4601213512226652E-2</v>
      </c>
      <c r="D463" s="66">
        <f>(Table16[[#This Row],[Index]]-B451)/B451</f>
        <v>-1.9182744735189834E-2</v>
      </c>
    </row>
    <row r="464" spans="1:4" x14ac:dyDescent="0.35">
      <c r="A464" s="17">
        <v>40210</v>
      </c>
      <c r="B464" s="58">
        <f>VLOOKUP(Table16[[#This Row],[Date]],database!A:H,4,)</f>
        <v>82.713300000000004</v>
      </c>
      <c r="C464" s="66">
        <f t="shared" si="7"/>
        <v>-4.7372664155846955E-3</v>
      </c>
      <c r="D464" s="66">
        <f>(Table16[[#This Row],[Index]]-B452)/B452</f>
        <v>-1.8528670492246737E-2</v>
      </c>
    </row>
    <row r="465" spans="1:4" x14ac:dyDescent="0.35">
      <c r="A465" s="17">
        <v>40238</v>
      </c>
      <c r="B465" s="58">
        <f>VLOOKUP(Table16[[#This Row],[Date]],database!A:H,4,)</f>
        <v>84.289000000000001</v>
      </c>
      <c r="C465" s="66">
        <f t="shared" si="7"/>
        <v>1.9050140666615922E-2</v>
      </c>
      <c r="D465" s="66">
        <f>(Table16[[#This Row],[Index]]-B453)/B453</f>
        <v>2.1288712257063989E-2</v>
      </c>
    </row>
    <row r="466" spans="1:4" x14ac:dyDescent="0.35">
      <c r="A466" s="17">
        <v>40269</v>
      </c>
      <c r="B466" s="58">
        <f>VLOOKUP(Table16[[#This Row],[Date]],database!A:H,4,)</f>
        <v>85.296400000000006</v>
      </c>
      <c r="C466" s="66">
        <f t="shared" si="7"/>
        <v>1.1951737474640955E-2</v>
      </c>
      <c r="D466" s="66">
        <f>(Table16[[#This Row],[Index]]-B454)/B454</f>
        <v>5.461478352901622E-2</v>
      </c>
    </row>
    <row r="467" spans="1:4" x14ac:dyDescent="0.35">
      <c r="A467" s="17">
        <v>40299</v>
      </c>
      <c r="B467" s="58">
        <f>VLOOKUP(Table16[[#This Row],[Date]],database!A:H,4,)</f>
        <v>86.831100000000006</v>
      </c>
      <c r="C467" s="66">
        <f t="shared" si="7"/>
        <v>1.7992553026856983E-2</v>
      </c>
      <c r="D467" s="66">
        <f>(Table16[[#This Row],[Index]]-B455)/B455</f>
        <v>0.10451480448313111</v>
      </c>
    </row>
    <row r="468" spans="1:4" x14ac:dyDescent="0.35">
      <c r="A468" s="17">
        <v>40330</v>
      </c>
      <c r="B468" s="58">
        <f>VLOOKUP(Table16[[#This Row],[Date]],database!A:H,4,)</f>
        <v>87.328599999999994</v>
      </c>
      <c r="C468" s="66">
        <f t="shared" si="7"/>
        <v>5.729513964466415E-3</v>
      </c>
      <c r="D468" s="66">
        <f>(Table16[[#This Row],[Index]]-B456)/B456</f>
        <v>0.11999230497931961</v>
      </c>
    </row>
    <row r="469" spans="1:4" x14ac:dyDescent="0.35">
      <c r="A469" s="17">
        <v>40360</v>
      </c>
      <c r="B469" s="58">
        <f>VLOOKUP(Table16[[#This Row],[Date]],database!A:H,4,)</f>
        <v>88.130499999999998</v>
      </c>
      <c r="C469" s="66">
        <f t="shared" si="7"/>
        <v>9.1825587493674643E-3</v>
      </c>
      <c r="D469" s="66">
        <f>(Table16[[#This Row],[Index]]-B457)/B457</f>
        <v>0.11662472854250452</v>
      </c>
    </row>
    <row r="470" spans="1:4" x14ac:dyDescent="0.35">
      <c r="A470" s="17">
        <v>40391</v>
      </c>
      <c r="B470" s="58">
        <f>VLOOKUP(Table16[[#This Row],[Date]],database!A:H,4,)</f>
        <v>88.183199999999999</v>
      </c>
      <c r="C470" s="66">
        <f t="shared" si="7"/>
        <v>5.9797686385532067E-4</v>
      </c>
      <c r="D470" s="66">
        <f>(Table16[[#This Row],[Index]]-B458)/B458</f>
        <v>0.10561790990882546</v>
      </c>
    </row>
    <row r="471" spans="1:4" x14ac:dyDescent="0.35">
      <c r="A471" s="17">
        <v>40422</v>
      </c>
      <c r="B471" s="58">
        <f>VLOOKUP(Table16[[#This Row],[Date]],database!A:H,4,)</f>
        <v>88.552599999999998</v>
      </c>
      <c r="C471" s="66">
        <f t="shared" si="7"/>
        <v>4.189006522784311E-3</v>
      </c>
      <c r="D471" s="66">
        <f>(Table16[[#This Row],[Index]]-B459)/B459</f>
        <v>0.10332170446050327</v>
      </c>
    </row>
    <row r="472" spans="1:4" x14ac:dyDescent="0.35">
      <c r="A472" s="17">
        <v>40452</v>
      </c>
      <c r="B472" s="58">
        <f>VLOOKUP(Table16[[#This Row],[Date]],database!A:H,4,)</f>
        <v>88.837599999999995</v>
      </c>
      <c r="C472" s="66">
        <f t="shared" si="7"/>
        <v>3.2184261105827616E-3</v>
      </c>
      <c r="D472" s="66">
        <f>(Table16[[#This Row],[Index]]-B460)/B460</f>
        <v>0.10219800398012915</v>
      </c>
    </row>
    <row r="473" spans="1:4" x14ac:dyDescent="0.35">
      <c r="A473" s="17">
        <v>40483</v>
      </c>
      <c r="B473" s="58">
        <f>VLOOKUP(Table16[[#This Row],[Date]],database!A:H,4,)</f>
        <v>88.806600000000003</v>
      </c>
      <c r="C473" s="66">
        <f t="shared" si="7"/>
        <v>-3.4895134492596291E-4</v>
      </c>
      <c r="D473" s="66">
        <f>(Table16[[#This Row],[Index]]-B461)/B461</f>
        <v>0.10336439006996159</v>
      </c>
    </row>
    <row r="474" spans="1:4" x14ac:dyDescent="0.35">
      <c r="A474" s="17">
        <v>40513</v>
      </c>
      <c r="B474" s="58">
        <f>VLOOKUP(Table16[[#This Row],[Date]],database!A:H,4,)</f>
        <v>89.521900000000002</v>
      </c>
      <c r="C474" s="66">
        <f t="shared" si="7"/>
        <v>8.054581528850413E-3</v>
      </c>
      <c r="D474" s="66">
        <f>(Table16[[#This Row],[Index]]-B462)/B462</f>
        <v>9.291670227441981E-2</v>
      </c>
    </row>
    <row r="475" spans="1:4" x14ac:dyDescent="0.35">
      <c r="A475" s="17">
        <v>40544</v>
      </c>
      <c r="B475" s="58">
        <f>VLOOKUP(Table16[[#This Row],[Date]],database!A:H,4,)</f>
        <v>90.212900000000005</v>
      </c>
      <c r="C475" s="66">
        <f t="shared" si="7"/>
        <v>7.718781661247176E-3</v>
      </c>
      <c r="D475" s="66">
        <f>(Table16[[#This Row],[Index]]-B463)/B463</f>
        <v>8.550302621921145E-2</v>
      </c>
    </row>
    <row r="476" spans="1:4" x14ac:dyDescent="0.35">
      <c r="A476" s="17">
        <v>40575</v>
      </c>
      <c r="B476" s="58">
        <f>VLOOKUP(Table16[[#This Row],[Date]],database!A:H,4,)</f>
        <v>90.376199999999997</v>
      </c>
      <c r="C476" s="66">
        <f t="shared" si="7"/>
        <v>1.8101624047115461E-3</v>
      </c>
      <c r="D476" s="66">
        <f>(Table16[[#This Row],[Index]]-B464)/B464</f>
        <v>9.264410923031717E-2</v>
      </c>
    </row>
    <row r="477" spans="1:4" x14ac:dyDescent="0.35">
      <c r="A477" s="17">
        <v>40603</v>
      </c>
      <c r="B477" s="58">
        <f>VLOOKUP(Table16[[#This Row],[Date]],database!A:H,4,)</f>
        <v>90.097200000000001</v>
      </c>
      <c r="C477" s="66">
        <f t="shared" si="7"/>
        <v>-3.0870959389750485E-3</v>
      </c>
      <c r="D477" s="66">
        <f>(Table16[[#This Row],[Index]]-B465)/B465</f>
        <v>6.8908161207274957E-2</v>
      </c>
    </row>
    <row r="478" spans="1:4" x14ac:dyDescent="0.35">
      <c r="A478" s="17">
        <v>40634</v>
      </c>
      <c r="B478" s="58">
        <f>VLOOKUP(Table16[[#This Row],[Date]],database!A:H,4,)</f>
        <v>89.505499999999998</v>
      </c>
      <c r="C478" s="67">
        <f t="shared" si="7"/>
        <v>-6.5673517046035412E-3</v>
      </c>
      <c r="D478" s="66">
        <f>(Table16[[#This Row],[Index]]-B466)/B466</f>
        <v>4.9346748514591379E-2</v>
      </c>
    </row>
    <row r="479" spans="1:4" x14ac:dyDescent="0.35">
      <c r="A479" s="17">
        <v>40664</v>
      </c>
      <c r="B479" s="58">
        <f>VLOOKUP(Table16[[#This Row],[Date]],database!A:H,4,)</f>
        <v>90.233900000000006</v>
      </c>
      <c r="C479" s="66">
        <f t="shared" si="7"/>
        <v>8.1380473825631849E-3</v>
      </c>
      <c r="D479" s="66">
        <f>(Table16[[#This Row],[Index]]-B467)/B467</f>
        <v>3.918872385585348E-2</v>
      </c>
    </row>
    <row r="480" spans="1:4" x14ac:dyDescent="0.35">
      <c r="A480" s="17">
        <v>40695</v>
      </c>
      <c r="B480" s="58">
        <f>VLOOKUP(Table16[[#This Row],[Date]],database!A:H,4,)</f>
        <v>90.284999999999997</v>
      </c>
      <c r="C480" s="66">
        <f t="shared" si="7"/>
        <v>5.6630601137697134E-4</v>
      </c>
      <c r="D480" s="66">
        <f>(Table16[[#This Row],[Index]]-B468)/B468</f>
        <v>3.3853743218143911E-2</v>
      </c>
    </row>
    <row r="481" spans="1:4" x14ac:dyDescent="0.35">
      <c r="A481" s="17">
        <v>40725</v>
      </c>
      <c r="B481" s="58">
        <f>VLOOKUP(Table16[[#This Row],[Date]],database!A:H,4,)</f>
        <v>91.530199999999994</v>
      </c>
      <c r="C481" s="66">
        <f t="shared" si="7"/>
        <v>1.3791881264883399E-2</v>
      </c>
      <c r="D481" s="66">
        <f>(Table16[[#This Row],[Index]]-B469)/B469</f>
        <v>3.8575748463925606E-2</v>
      </c>
    </row>
    <row r="482" spans="1:4" x14ac:dyDescent="0.35">
      <c r="A482" s="17">
        <v>40756</v>
      </c>
      <c r="B482" s="58">
        <f>VLOOKUP(Table16[[#This Row],[Date]],database!A:H,4,)</f>
        <v>92.632000000000005</v>
      </c>
      <c r="C482" s="66">
        <f t="shared" si="7"/>
        <v>1.2037557003043986E-2</v>
      </c>
      <c r="D482" s="66">
        <f>(Table16[[#This Row],[Index]]-B470)/B470</f>
        <v>5.0449518729191109E-2</v>
      </c>
    </row>
    <row r="483" spans="1:4" x14ac:dyDescent="0.35">
      <c r="A483" s="17">
        <v>40787</v>
      </c>
      <c r="B483" s="58">
        <f>VLOOKUP(Table16[[#This Row],[Date]],database!A:H,4,)</f>
        <v>93.129400000000004</v>
      </c>
      <c r="C483" s="66">
        <f t="shared" si="7"/>
        <v>5.3696346834786191E-3</v>
      </c>
      <c r="D483" s="66">
        <f>(Table16[[#This Row],[Index]]-B471)/B471</f>
        <v>5.1684535519002331E-2</v>
      </c>
    </row>
    <row r="484" spans="1:4" x14ac:dyDescent="0.35">
      <c r="A484" s="17">
        <v>40817</v>
      </c>
      <c r="B484" s="58">
        <f>VLOOKUP(Table16[[#This Row],[Date]],database!A:H,4,)</f>
        <v>94.350800000000007</v>
      </c>
      <c r="C484" s="66">
        <f t="shared" si="7"/>
        <v>1.3115085032223917E-2</v>
      </c>
      <c r="D484" s="66">
        <f>(Table16[[#This Row],[Index]]-B472)/B472</f>
        <v>6.2059308220843566E-2</v>
      </c>
    </row>
    <row r="485" spans="1:4" x14ac:dyDescent="0.35">
      <c r="A485" s="17">
        <v>40848</v>
      </c>
      <c r="B485" s="58">
        <f>VLOOKUP(Table16[[#This Row],[Date]],database!A:H,4,)</f>
        <v>95.235799999999998</v>
      </c>
      <c r="C485" s="66">
        <f t="shared" si="7"/>
        <v>9.379888670790093E-3</v>
      </c>
      <c r="D485" s="66">
        <f>(Table16[[#This Row],[Index]]-B473)/B473</f>
        <v>7.2395520152781376E-2</v>
      </c>
    </row>
    <row r="486" spans="1:4" x14ac:dyDescent="0.35">
      <c r="A486" s="17">
        <v>40878</v>
      </c>
      <c r="B486" s="58">
        <f>VLOOKUP(Table16[[#This Row],[Date]],database!A:H,4,)</f>
        <v>96.719399999999993</v>
      </c>
      <c r="C486" s="66">
        <f t="shared" si="7"/>
        <v>1.5578175434027841E-2</v>
      </c>
      <c r="D486" s="66">
        <f>(Table16[[#This Row],[Index]]-B474)/B474</f>
        <v>8.0399321283395359E-2</v>
      </c>
    </row>
    <row r="487" spans="1:4" x14ac:dyDescent="0.35">
      <c r="A487" s="17">
        <v>40909</v>
      </c>
      <c r="B487" s="58">
        <f>VLOOKUP(Table16[[#This Row],[Date]],database!A:H,4,)</f>
        <v>98.266000000000005</v>
      </c>
      <c r="C487" s="66">
        <f t="shared" si="7"/>
        <v>1.5990587203808193E-2</v>
      </c>
      <c r="D487" s="66">
        <f>(Table16[[#This Row],[Index]]-B475)/B475</f>
        <v>8.9267721135225672E-2</v>
      </c>
    </row>
    <row r="488" spans="1:4" x14ac:dyDescent="0.35">
      <c r="A488" s="17">
        <v>40940</v>
      </c>
      <c r="B488" s="58">
        <f>VLOOKUP(Table16[[#This Row],[Date]],database!A:H,4,)</f>
        <v>98.981999999999999</v>
      </c>
      <c r="C488" s="66">
        <f t="shared" si="7"/>
        <v>7.2863452262226236E-3</v>
      </c>
      <c r="D488" s="66">
        <f>(Table16[[#This Row],[Index]]-B476)/B476</f>
        <v>9.5221972156386336E-2</v>
      </c>
    </row>
    <row r="489" spans="1:4" x14ac:dyDescent="0.35">
      <c r="A489" s="17">
        <v>40969</v>
      </c>
      <c r="B489" s="58">
        <f>VLOOKUP(Table16[[#This Row],[Date]],database!A:H,4,)</f>
        <v>99.855099999999993</v>
      </c>
      <c r="C489" s="66">
        <f t="shared" si="7"/>
        <v>8.8207957002282011E-3</v>
      </c>
      <c r="D489" s="66">
        <f>(Table16[[#This Row],[Index]]-B477)/B477</f>
        <v>0.10830414263706299</v>
      </c>
    </row>
    <row r="490" spans="1:4" x14ac:dyDescent="0.35">
      <c r="A490" s="17">
        <v>41000</v>
      </c>
      <c r="B490" s="58">
        <f>VLOOKUP(Table16[[#This Row],[Date]],database!A:H,4,)</f>
        <v>100.78959999999999</v>
      </c>
      <c r="C490" s="66">
        <f t="shared" si="7"/>
        <v>9.3585605542430006E-3</v>
      </c>
      <c r="D490" s="66">
        <f>(Table16[[#This Row],[Index]]-B478)/B478</f>
        <v>0.126071582193273</v>
      </c>
    </row>
    <row r="491" spans="1:4" x14ac:dyDescent="0.35">
      <c r="A491" s="17">
        <v>41030</v>
      </c>
      <c r="B491" s="58">
        <f>VLOOKUP(Table16[[#This Row],[Date]],database!A:H,4,)</f>
        <v>101.5129</v>
      </c>
      <c r="C491" s="66">
        <f t="shared" si="7"/>
        <v>7.1763356536787004E-3</v>
      </c>
      <c r="D491" s="66">
        <f>(Table16[[#This Row],[Index]]-B479)/B479</f>
        <v>0.12499736795151263</v>
      </c>
    </row>
    <row r="492" spans="1:4" x14ac:dyDescent="0.35">
      <c r="A492" s="17">
        <v>41061</v>
      </c>
      <c r="B492" s="58">
        <f>VLOOKUP(Table16[[#This Row],[Date]],database!A:H,4,)</f>
        <v>102.8094</v>
      </c>
      <c r="C492" s="66">
        <f t="shared" si="7"/>
        <v>1.2771775803863239E-2</v>
      </c>
      <c r="D492" s="66">
        <f>(Table16[[#This Row],[Index]]-B480)/B480</f>
        <v>0.13872071772719721</v>
      </c>
    </row>
    <row r="493" spans="1:4" x14ac:dyDescent="0.35">
      <c r="A493" s="17">
        <v>41091</v>
      </c>
      <c r="B493" s="58">
        <f>VLOOKUP(Table16[[#This Row],[Date]],database!A:H,4,)</f>
        <v>101.6597</v>
      </c>
      <c r="C493" s="66">
        <f t="shared" si="7"/>
        <v>-1.1182829585621556E-2</v>
      </c>
      <c r="D493" s="66">
        <f>(Table16[[#This Row],[Index]]-B481)/B481</f>
        <v>0.11066839141616655</v>
      </c>
    </row>
    <row r="494" spans="1:4" x14ac:dyDescent="0.35">
      <c r="A494" s="17">
        <v>41122</v>
      </c>
      <c r="B494" s="58">
        <f>VLOOKUP(Table16[[#This Row],[Date]],database!A:H,4,)</f>
        <v>102.39660000000001</v>
      </c>
      <c r="C494" s="66">
        <f t="shared" si="7"/>
        <v>7.2486934350584065E-3</v>
      </c>
      <c r="D494" s="66">
        <f>(Table16[[#This Row],[Index]]-B482)/B482</f>
        <v>0.10541281630538044</v>
      </c>
    </row>
    <row r="495" spans="1:4" x14ac:dyDescent="0.35">
      <c r="A495" s="17">
        <v>41153</v>
      </c>
      <c r="B495" s="58">
        <f>VLOOKUP(Table16[[#This Row],[Date]],database!A:H,4,)</f>
        <v>102.0977</v>
      </c>
      <c r="C495" s="66">
        <f t="shared" si="7"/>
        <v>-2.9190422338242206E-3</v>
      </c>
      <c r="D495" s="66">
        <f>(Table16[[#This Row],[Index]]-B483)/B483</f>
        <v>9.629934263508623E-2</v>
      </c>
    </row>
    <row r="496" spans="1:4" x14ac:dyDescent="0.35">
      <c r="A496" s="17">
        <v>41183</v>
      </c>
      <c r="B496" s="58">
        <f>VLOOKUP(Table16[[#This Row],[Date]],database!A:H,4,)</f>
        <v>101.1114</v>
      </c>
      <c r="C496" s="66">
        <f t="shared" si="7"/>
        <v>-9.6603547386473476E-3</v>
      </c>
      <c r="D496" s="66">
        <f>(Table16[[#This Row],[Index]]-B484)/B484</f>
        <v>7.1653870449429113E-2</v>
      </c>
    </row>
    <row r="497" spans="1:4" x14ac:dyDescent="0.35">
      <c r="A497" s="17">
        <v>41214</v>
      </c>
      <c r="B497" s="58">
        <f>VLOOKUP(Table16[[#This Row],[Date]],database!A:H,4,)</f>
        <v>102.2604</v>
      </c>
      <c r="C497" s="66">
        <f t="shared" si="7"/>
        <v>1.1363703796011038E-2</v>
      </c>
      <c r="D497" s="66">
        <f>(Table16[[#This Row],[Index]]-B485)/B485</f>
        <v>7.3760077617870665E-2</v>
      </c>
    </row>
    <row r="498" spans="1:4" x14ac:dyDescent="0.35">
      <c r="A498" s="17">
        <v>41244</v>
      </c>
      <c r="B498" s="58">
        <f>VLOOKUP(Table16[[#This Row],[Date]],database!A:H,4,)</f>
        <v>103.0612</v>
      </c>
      <c r="C498" s="66">
        <f t="shared" si="7"/>
        <v>7.8309883395721869E-3</v>
      </c>
      <c r="D498" s="66">
        <f>(Table16[[#This Row],[Index]]-B486)/B486</f>
        <v>6.5569058534275512E-2</v>
      </c>
    </row>
    <row r="499" spans="1:4" x14ac:dyDescent="0.35">
      <c r="A499" s="17">
        <v>41275</v>
      </c>
      <c r="B499" s="58">
        <f>VLOOKUP(Table16[[#This Row],[Date]],database!A:H,4,)</f>
        <v>101.1361</v>
      </c>
      <c r="C499" s="66">
        <f t="shared" si="7"/>
        <v>-1.867919255743189E-2</v>
      </c>
      <c r="D499" s="66">
        <f>(Table16[[#This Row],[Index]]-B487)/B487</f>
        <v>2.9207457309751019E-2</v>
      </c>
    </row>
    <row r="500" spans="1:4" x14ac:dyDescent="0.35">
      <c r="A500" s="17">
        <v>41306</v>
      </c>
      <c r="B500" s="58">
        <f>VLOOKUP(Table16[[#This Row],[Date]],database!A:H,4,)</f>
        <v>102.0342</v>
      </c>
      <c r="C500" s="66">
        <f t="shared" si="7"/>
        <v>8.8801130358002744E-3</v>
      </c>
      <c r="D500" s="66">
        <f>(Table16[[#This Row],[Index]]-B488)/B488</f>
        <v>3.0835909559313805E-2</v>
      </c>
    </row>
    <row r="501" spans="1:4" x14ac:dyDescent="0.35">
      <c r="A501" s="17">
        <v>41334</v>
      </c>
      <c r="B501" s="58">
        <f>VLOOKUP(Table16[[#This Row],[Date]],database!A:H,4,)</f>
        <v>102.4492</v>
      </c>
      <c r="C501" s="66">
        <f t="shared" si="7"/>
        <v>4.0672637213796659E-3</v>
      </c>
      <c r="D501" s="66">
        <f>(Table16[[#This Row],[Index]]-B489)/B489</f>
        <v>2.5978643053785052E-2</v>
      </c>
    </row>
    <row r="502" spans="1:4" x14ac:dyDescent="0.35">
      <c r="A502" s="17">
        <v>41365</v>
      </c>
      <c r="B502" s="58">
        <f>VLOOKUP(Table16[[#This Row],[Date]],database!A:H,4,)</f>
        <v>101.78149999999999</v>
      </c>
      <c r="C502" s="66">
        <f t="shared" si="7"/>
        <v>-6.517376416799836E-3</v>
      </c>
      <c r="D502" s="66">
        <f>(Table16[[#This Row],[Index]]-B490)/B490</f>
        <v>9.8412931492931933E-3</v>
      </c>
    </row>
    <row r="503" spans="1:4" x14ac:dyDescent="0.35">
      <c r="A503" s="17">
        <v>41395</v>
      </c>
      <c r="B503" s="58">
        <f>VLOOKUP(Table16[[#This Row],[Date]],database!A:H,4,)</f>
        <v>101.2597</v>
      </c>
      <c r="C503" s="66">
        <f t="shared" si="7"/>
        <v>-5.1266684024110498E-3</v>
      </c>
      <c r="D503" s="66">
        <f>(Table16[[#This Row],[Index]]-B491)/B491</f>
        <v>-2.4942642757719144E-3</v>
      </c>
    </row>
    <row r="504" spans="1:4" x14ac:dyDescent="0.35">
      <c r="A504" s="17">
        <v>41426</v>
      </c>
      <c r="B504" s="58">
        <f>VLOOKUP(Table16[[#This Row],[Date]],database!A:H,4,)</f>
        <v>101.1508</v>
      </c>
      <c r="C504" s="66">
        <f t="shared" si="7"/>
        <v>-1.0754525245482149E-3</v>
      </c>
      <c r="D504" s="66">
        <f>(Table16[[#This Row],[Index]]-B492)/B492</f>
        <v>-1.6132766070028545E-2</v>
      </c>
    </row>
    <row r="505" spans="1:4" x14ac:dyDescent="0.35">
      <c r="A505" s="17">
        <v>41456</v>
      </c>
      <c r="B505" s="58">
        <f>VLOOKUP(Table16[[#This Row],[Date]],database!A:H,4,)</f>
        <v>99.379499999999993</v>
      </c>
      <c r="C505" s="66">
        <f t="shared" si="7"/>
        <v>-1.7511477912186657E-2</v>
      </c>
      <c r="D505" s="66">
        <f>(Table16[[#This Row],[Index]]-B493)/B493</f>
        <v>-2.242973370962149E-2</v>
      </c>
    </row>
    <row r="506" spans="1:4" x14ac:dyDescent="0.35">
      <c r="A506" s="17">
        <v>41487</v>
      </c>
      <c r="B506" s="58">
        <f>VLOOKUP(Table16[[#This Row],[Date]],database!A:H,4,)</f>
        <v>100.8737</v>
      </c>
      <c r="C506" s="66">
        <f t="shared" si="7"/>
        <v>1.5035293999265509E-2</v>
      </c>
      <c r="D506" s="66">
        <f>(Table16[[#This Row],[Index]]-B494)/B494</f>
        <v>-1.4872564128105883E-2</v>
      </c>
    </row>
    <row r="507" spans="1:4" x14ac:dyDescent="0.35">
      <c r="A507" s="17">
        <v>41518</v>
      </c>
      <c r="B507" s="58">
        <f>VLOOKUP(Table16[[#This Row],[Date]],database!A:H,4,)</f>
        <v>101.68040000000001</v>
      </c>
      <c r="C507" s="66">
        <f t="shared" si="7"/>
        <v>7.9971290832001607E-3</v>
      </c>
      <c r="D507" s="66">
        <f>(Table16[[#This Row],[Index]]-B495)/B495</f>
        <v>-4.0872615151957125E-3</v>
      </c>
    </row>
    <row r="508" spans="1:4" x14ac:dyDescent="0.35">
      <c r="A508" s="17">
        <v>41548</v>
      </c>
      <c r="B508" s="58">
        <f>VLOOKUP(Table16[[#This Row],[Date]],database!A:H,4,)</f>
        <v>101.28</v>
      </c>
      <c r="C508" s="66">
        <f t="shared" si="7"/>
        <v>-3.9378287260868339E-3</v>
      </c>
      <c r="D508" s="66">
        <f>(Table16[[#This Row],[Index]]-B496)/B496</f>
        <v>1.6674677632788969E-3</v>
      </c>
    </row>
    <row r="509" spans="1:4" x14ac:dyDescent="0.35">
      <c r="A509" s="17">
        <v>41579</v>
      </c>
      <c r="B509" s="58">
        <f>VLOOKUP(Table16[[#This Row],[Date]],database!A:H,4,)</f>
        <v>101.0061</v>
      </c>
      <c r="C509" s="66">
        <f t="shared" si="7"/>
        <v>-2.7043838862559344E-3</v>
      </c>
      <c r="D509" s="66">
        <f>(Table16[[#This Row],[Index]]-B497)/B497</f>
        <v>-1.2265745097809129E-2</v>
      </c>
    </row>
    <row r="510" spans="1:4" x14ac:dyDescent="0.35">
      <c r="A510" s="17">
        <v>41609</v>
      </c>
      <c r="B510" s="58">
        <f>VLOOKUP(Table16[[#This Row],[Date]],database!A:H,4,)</f>
        <v>100.2</v>
      </c>
      <c r="C510" s="66">
        <f t="shared" si="7"/>
        <v>-7.9807061157692871E-3</v>
      </c>
      <c r="D510" s="66">
        <f>(Table16[[#This Row],[Index]]-B498)/B498</f>
        <v>-2.7762145210806749E-2</v>
      </c>
    </row>
    <row r="511" spans="1:4" x14ac:dyDescent="0.35">
      <c r="A511" s="17">
        <v>41640</v>
      </c>
      <c r="B511" s="58">
        <f>VLOOKUP(Table16[[#This Row],[Date]],database!A:H,4,)</f>
        <v>100.3523</v>
      </c>
      <c r="C511" s="66">
        <f t="shared" si="7"/>
        <v>1.5199600798403434E-3</v>
      </c>
      <c r="D511" s="66">
        <f>(Table16[[#This Row],[Index]]-B499)/B499</f>
        <v>-7.7499527863937739E-3</v>
      </c>
    </row>
    <row r="512" spans="1:4" x14ac:dyDescent="0.35">
      <c r="A512" s="17">
        <v>41671</v>
      </c>
      <c r="B512" s="58">
        <f>VLOOKUP(Table16[[#This Row],[Date]],database!A:H,4,)</f>
        <v>101.7779</v>
      </c>
      <c r="C512" s="66">
        <f t="shared" si="7"/>
        <v>1.4205952429590551E-2</v>
      </c>
      <c r="D512" s="66">
        <f>(Table16[[#This Row],[Index]]-B500)/B500</f>
        <v>-2.5119028717821667E-3</v>
      </c>
    </row>
    <row r="513" spans="1:4" x14ac:dyDescent="0.35">
      <c r="A513" s="17">
        <v>41699</v>
      </c>
      <c r="B513" s="58">
        <f>VLOOKUP(Table16[[#This Row],[Date]],database!A:H,4,)</f>
        <v>102.8844</v>
      </c>
      <c r="C513" s="66">
        <f t="shared" si="7"/>
        <v>1.0871711835280573E-2</v>
      </c>
      <c r="D513" s="66">
        <f>(Table16[[#This Row],[Index]]-B501)/B501</f>
        <v>4.2479589884547144E-3</v>
      </c>
    </row>
    <row r="514" spans="1:4" x14ac:dyDescent="0.35">
      <c r="A514" s="17">
        <v>41730</v>
      </c>
      <c r="B514" s="58">
        <f>VLOOKUP(Table16[[#This Row],[Date]],database!A:H,4,)</f>
        <v>102.7176</v>
      </c>
      <c r="C514" s="66">
        <f t="shared" si="7"/>
        <v>-1.6212370388513087E-3</v>
      </c>
      <c r="D514" s="66">
        <f>(Table16[[#This Row],[Index]]-B502)/B502</f>
        <v>9.1971527242181578E-3</v>
      </c>
    </row>
    <row r="515" spans="1:4" x14ac:dyDescent="0.35">
      <c r="A515" s="17">
        <v>41760</v>
      </c>
      <c r="B515" s="58">
        <f>VLOOKUP(Table16[[#This Row],[Date]],database!A:H,4,)</f>
        <v>103.3156</v>
      </c>
      <c r="C515" s="66">
        <f t="shared" si="7"/>
        <v>5.821787113406085E-3</v>
      </c>
      <c r="D515" s="66">
        <f>(Table16[[#This Row],[Index]]-B503)/B503</f>
        <v>2.0303240084653701E-2</v>
      </c>
    </row>
    <row r="516" spans="1:4" x14ac:dyDescent="0.35">
      <c r="A516" s="17">
        <v>41791</v>
      </c>
      <c r="B516" s="58">
        <f>VLOOKUP(Table16[[#This Row],[Date]],database!A:H,4,)</f>
        <v>102.8759</v>
      </c>
      <c r="C516" s="66">
        <f t="shared" si="7"/>
        <v>-4.255891656245514E-3</v>
      </c>
      <c r="D516" s="66">
        <f>(Table16[[#This Row],[Index]]-B504)/B504</f>
        <v>1.7054734119749893E-2</v>
      </c>
    </row>
    <row r="517" spans="1:4" x14ac:dyDescent="0.35">
      <c r="A517" s="17">
        <v>41821</v>
      </c>
      <c r="B517" s="58">
        <f>VLOOKUP(Table16[[#This Row],[Date]],database!A:H,4,)</f>
        <v>104.196</v>
      </c>
      <c r="C517" s="66">
        <f t="shared" si="7"/>
        <v>1.283196550406851E-2</v>
      </c>
      <c r="D517" s="66">
        <f>(Table16[[#This Row],[Index]]-B505)/B505</f>
        <v>4.8465729853742527E-2</v>
      </c>
    </row>
    <row r="518" spans="1:4" x14ac:dyDescent="0.35">
      <c r="A518" s="17">
        <v>41852</v>
      </c>
      <c r="B518" s="58">
        <f>VLOOKUP(Table16[[#This Row],[Date]],database!A:H,4,)</f>
        <v>103.2897</v>
      </c>
      <c r="C518" s="66">
        <f t="shared" si="7"/>
        <v>-8.6980306345733061E-3</v>
      </c>
      <c r="D518" s="66">
        <f>(Table16[[#This Row],[Index]]-B506)/B506</f>
        <v>2.3950742363965997E-2</v>
      </c>
    </row>
    <row r="519" spans="1:4" x14ac:dyDescent="0.35">
      <c r="A519" s="17">
        <v>41883</v>
      </c>
      <c r="B519" s="58">
        <f>VLOOKUP(Table16[[#This Row],[Date]],database!A:H,4,)</f>
        <v>102.83629999999999</v>
      </c>
      <c r="C519" s="66">
        <f t="shared" si="7"/>
        <v>-4.3895954775742263E-3</v>
      </c>
      <c r="D519" s="66">
        <f>(Table16[[#This Row],[Index]]-B507)/B507</f>
        <v>1.1367972588620701E-2</v>
      </c>
    </row>
    <row r="520" spans="1:4" x14ac:dyDescent="0.35">
      <c r="A520" s="17">
        <v>41913</v>
      </c>
      <c r="B520" s="58">
        <f>VLOOKUP(Table16[[#This Row],[Date]],database!A:H,4,)</f>
        <v>103.9594</v>
      </c>
      <c r="C520" s="66">
        <f t="shared" ref="C520:C583" si="8">B520/B519-1</f>
        <v>1.0921240845888081E-2</v>
      </c>
      <c r="D520" s="66">
        <f>(Table16[[#This Row],[Index]]-B508)/B508</f>
        <v>2.6455371248025286E-2</v>
      </c>
    </row>
    <row r="521" spans="1:4" x14ac:dyDescent="0.35">
      <c r="A521" s="17">
        <v>41944</v>
      </c>
      <c r="B521" s="58">
        <f>VLOOKUP(Table16[[#This Row],[Date]],database!A:H,4,)</f>
        <v>105.1203</v>
      </c>
      <c r="C521" s="67">
        <f t="shared" si="8"/>
        <v>1.1166859370100202E-2</v>
      </c>
      <c r="D521" s="66">
        <f>(Table16[[#This Row],[Index]]-B509)/B509</f>
        <v>4.0732193402180629E-2</v>
      </c>
    </row>
    <row r="522" spans="1:4" x14ac:dyDescent="0.35">
      <c r="A522" s="17">
        <v>41974</v>
      </c>
      <c r="B522" s="58">
        <f>VLOOKUP(Table16[[#This Row],[Date]],database!A:H,4,)</f>
        <v>104.0367</v>
      </c>
      <c r="C522" s="66">
        <f t="shared" si="8"/>
        <v>-1.0308189759732467E-2</v>
      </c>
      <c r="D522" s="66">
        <f>(Table16[[#This Row],[Index]]-B510)/B510</f>
        <v>3.8290419161676581E-2</v>
      </c>
    </row>
    <row r="523" spans="1:4" x14ac:dyDescent="0.35">
      <c r="A523" s="17">
        <v>42005</v>
      </c>
      <c r="B523" s="58">
        <f>VLOOKUP(Table16[[#This Row],[Date]],database!A:H,4,)</f>
        <v>103.36069999999999</v>
      </c>
      <c r="C523" s="67">
        <f t="shared" si="8"/>
        <v>-6.4977070591435426E-3</v>
      </c>
      <c r="D523" s="66">
        <f>(Table16[[#This Row],[Index]]-B511)/B511</f>
        <v>2.9978386145608965E-2</v>
      </c>
    </row>
    <row r="524" spans="1:4" x14ac:dyDescent="0.35">
      <c r="A524" s="17">
        <v>42036</v>
      </c>
      <c r="B524" s="58">
        <f>VLOOKUP(Table16[[#This Row],[Date]],database!A:H,4,)</f>
        <v>102.6604</v>
      </c>
      <c r="C524" s="66">
        <f t="shared" si="8"/>
        <v>-6.7753024118450966E-3</v>
      </c>
      <c r="D524" s="66">
        <f>(Table16[[#This Row],[Index]]-B512)/B512</f>
        <v>8.670841115802087E-3</v>
      </c>
    </row>
    <row r="525" spans="1:4" x14ac:dyDescent="0.35">
      <c r="A525" s="17">
        <v>42064</v>
      </c>
      <c r="B525" s="58">
        <f>VLOOKUP(Table16[[#This Row],[Date]],database!A:H,4,)</f>
        <v>102.6665</v>
      </c>
      <c r="C525" s="67">
        <f t="shared" si="8"/>
        <v>5.9419211302591535E-5</v>
      </c>
      <c r="D525" s="66">
        <f>(Table16[[#This Row],[Index]]-B513)/B513</f>
        <v>-2.1179109758136336E-3</v>
      </c>
    </row>
    <row r="526" spans="1:4" x14ac:dyDescent="0.35">
      <c r="A526" s="17">
        <v>42095</v>
      </c>
      <c r="B526" s="58">
        <f>VLOOKUP(Table16[[#This Row],[Date]],database!A:H,4,)</f>
        <v>101.92100000000001</v>
      </c>
      <c r="C526" s="66">
        <f t="shared" si="8"/>
        <v>-7.261375424310712E-3</v>
      </c>
      <c r="D526" s="66">
        <f>(Table16[[#This Row],[Index]]-B514)/B514</f>
        <v>-7.7552435025740277E-3</v>
      </c>
    </row>
    <row r="527" spans="1:4" x14ac:dyDescent="0.35">
      <c r="A527" s="17">
        <v>42125</v>
      </c>
      <c r="B527" s="58">
        <f>VLOOKUP(Table16[[#This Row],[Date]],database!A:H,4,)</f>
        <v>102.12779999999999</v>
      </c>
      <c r="C527" s="66">
        <f t="shared" si="8"/>
        <v>2.0290224781938093E-3</v>
      </c>
      <c r="D527" s="66">
        <f>(Table16[[#This Row],[Index]]-B515)/B515</f>
        <v>-1.1496811710913065E-2</v>
      </c>
    </row>
    <row r="528" spans="1:4" x14ac:dyDescent="0.35">
      <c r="A528" s="17">
        <v>42156</v>
      </c>
      <c r="B528" s="58">
        <f>VLOOKUP(Table16[[#This Row],[Date]],database!A:H,4,)</f>
        <v>101.5732</v>
      </c>
      <c r="C528" s="66">
        <f t="shared" si="8"/>
        <v>-5.4304508664633211E-3</v>
      </c>
      <c r="D528" s="66">
        <f>(Table16[[#This Row],[Index]]-B516)/B516</f>
        <v>-1.266282968119843E-2</v>
      </c>
    </row>
    <row r="529" spans="1:4" x14ac:dyDescent="0.35">
      <c r="A529" s="17">
        <v>42186</v>
      </c>
      <c r="B529" s="58">
        <f>VLOOKUP(Table16[[#This Row],[Date]],database!A:H,4,)</f>
        <v>101.3236</v>
      </c>
      <c r="C529" s="66">
        <f t="shared" si="8"/>
        <v>-2.4573411096627806E-3</v>
      </c>
      <c r="D529" s="66">
        <f>(Table16[[#This Row],[Index]]-B517)/B517</f>
        <v>-2.7567277054781365E-2</v>
      </c>
    </row>
    <row r="530" spans="1:4" x14ac:dyDescent="0.35">
      <c r="A530" s="17">
        <v>42217</v>
      </c>
      <c r="B530" s="58">
        <f>VLOOKUP(Table16[[#This Row],[Date]],database!A:H,4,)</f>
        <v>100.98609999999999</v>
      </c>
      <c r="C530" s="66">
        <f t="shared" si="8"/>
        <v>-3.3309120481309629E-3</v>
      </c>
      <c r="D530" s="66">
        <f>(Table16[[#This Row],[Index]]-B518)/B518</f>
        <v>-2.2302320560520585E-2</v>
      </c>
    </row>
    <row r="531" spans="1:4" x14ac:dyDescent="0.35">
      <c r="A531" s="17">
        <v>42248</v>
      </c>
      <c r="B531" s="58">
        <f>VLOOKUP(Table16[[#This Row],[Date]],database!A:H,4,)</f>
        <v>99.960599999999999</v>
      </c>
      <c r="C531" s="66">
        <f t="shared" si="8"/>
        <v>-1.0154862896972872E-2</v>
      </c>
      <c r="D531" s="66">
        <f>(Table16[[#This Row],[Index]]-B519)/B519</f>
        <v>-2.7963861010168539E-2</v>
      </c>
    </row>
    <row r="532" spans="1:4" x14ac:dyDescent="0.35">
      <c r="A532" s="17">
        <v>42278</v>
      </c>
      <c r="B532" s="58">
        <f>VLOOKUP(Table16[[#This Row],[Date]],database!A:H,4,)</f>
        <v>99.144599999999997</v>
      </c>
      <c r="C532" s="66">
        <f t="shared" si="8"/>
        <v>-8.1632163072250519E-3</v>
      </c>
      <c r="D532" s="66">
        <f>(Table16[[#This Row],[Index]]-B520)/B520</f>
        <v>-4.6314234210663059E-2</v>
      </c>
    </row>
    <row r="533" spans="1:4" x14ac:dyDescent="0.35">
      <c r="A533" s="17">
        <v>42309</v>
      </c>
      <c r="B533" s="58">
        <f>VLOOKUP(Table16[[#This Row],[Date]],database!A:H,4,)</f>
        <v>97.668099999999995</v>
      </c>
      <c r="C533" s="66">
        <f t="shared" si="8"/>
        <v>-1.4892389499781111E-2</v>
      </c>
      <c r="D533" s="66">
        <f>(Table16[[#This Row],[Index]]-B521)/B521</f>
        <v>-7.0892111228754148E-2</v>
      </c>
    </row>
    <row r="534" spans="1:4" x14ac:dyDescent="0.35">
      <c r="A534" s="17">
        <v>42339</v>
      </c>
      <c r="B534" s="58">
        <f>VLOOKUP(Table16[[#This Row],[Date]],database!A:H,4,)</f>
        <v>96.662599999999998</v>
      </c>
      <c r="C534" s="66">
        <f t="shared" si="8"/>
        <v>-1.0295070754934299E-2</v>
      </c>
      <c r="D534" s="66">
        <f>(Table16[[#This Row],[Index]]-B522)/B522</f>
        <v>-7.0879795303003645E-2</v>
      </c>
    </row>
    <row r="535" spans="1:4" x14ac:dyDescent="0.35">
      <c r="A535" s="17">
        <v>42370</v>
      </c>
      <c r="B535" s="58">
        <f>VLOOKUP(Table16[[#This Row],[Date]],database!A:H,4,)</f>
        <v>96.655799999999999</v>
      </c>
      <c r="C535" s="66">
        <f t="shared" si="8"/>
        <v>-7.0347787044844345E-5</v>
      </c>
      <c r="D535" s="66">
        <f>(Table16[[#This Row],[Index]]-B523)/B523</f>
        <v>-6.4868949223447547E-2</v>
      </c>
    </row>
    <row r="536" spans="1:4" x14ac:dyDescent="0.35">
      <c r="A536" s="17">
        <v>42401</v>
      </c>
      <c r="B536" s="58">
        <f>VLOOKUP(Table16[[#This Row],[Date]],database!A:H,4,)</f>
        <v>96.192400000000006</v>
      </c>
      <c r="C536" s="66">
        <f t="shared" si="8"/>
        <v>-4.7943320524995725E-3</v>
      </c>
      <c r="D536" s="66">
        <f>(Table16[[#This Row],[Index]]-B524)/B524</f>
        <v>-6.3003845689282231E-2</v>
      </c>
    </row>
    <row r="537" spans="1:4" x14ac:dyDescent="0.35">
      <c r="A537" s="17">
        <v>42430</v>
      </c>
      <c r="B537" s="58">
        <f>VLOOKUP(Table16[[#This Row],[Date]],database!A:H,4,)</f>
        <v>95.569599999999994</v>
      </c>
      <c r="C537" s="66">
        <f t="shared" si="8"/>
        <v>-6.4745239748671413E-3</v>
      </c>
      <c r="D537" s="66">
        <f>(Table16[[#This Row],[Index]]-B525)/B525</f>
        <v>-6.9125761567794805E-2</v>
      </c>
    </row>
    <row r="538" spans="1:4" x14ac:dyDescent="0.35">
      <c r="A538" s="17">
        <v>42461</v>
      </c>
      <c r="B538" s="58">
        <f>VLOOKUP(Table16[[#This Row],[Date]],database!A:H,4,)</f>
        <v>95.416300000000007</v>
      </c>
      <c r="C538" s="66">
        <f t="shared" si="8"/>
        <v>-1.6040665651000374E-3</v>
      </c>
      <c r="D538" s="66">
        <f>(Table16[[#This Row],[Index]]-B526)/B526</f>
        <v>-6.3820998616575572E-2</v>
      </c>
    </row>
    <row r="539" spans="1:4" x14ac:dyDescent="0.35">
      <c r="A539" s="17">
        <v>42491</v>
      </c>
      <c r="B539" s="58">
        <f>VLOOKUP(Table16[[#This Row],[Date]],database!A:H,4,)</f>
        <v>95.200699999999998</v>
      </c>
      <c r="C539" s="66">
        <f t="shared" si="8"/>
        <v>-2.2595720018487864E-3</v>
      </c>
      <c r="D539" s="66">
        <f>(Table16[[#This Row],[Index]]-B527)/B527</f>
        <v>-6.782776090349539E-2</v>
      </c>
    </row>
    <row r="540" spans="1:4" x14ac:dyDescent="0.35">
      <c r="A540" s="17">
        <v>42522</v>
      </c>
      <c r="B540" s="58">
        <f>VLOOKUP(Table16[[#This Row],[Date]],database!A:H,4,)</f>
        <v>95.261600000000001</v>
      </c>
      <c r="C540" s="66">
        <f t="shared" si="8"/>
        <v>6.3970117866785081E-4</v>
      </c>
      <c r="D540" s="66">
        <f>(Table16[[#This Row],[Index]]-B528)/B528</f>
        <v>-6.2138438091937621E-2</v>
      </c>
    </row>
    <row r="541" spans="1:4" x14ac:dyDescent="0.35">
      <c r="A541" s="17">
        <v>42552</v>
      </c>
      <c r="B541" s="58">
        <f>VLOOKUP(Table16[[#This Row],[Date]],database!A:H,4,)</f>
        <v>95.320099999999996</v>
      </c>
      <c r="C541" s="66">
        <f t="shared" si="8"/>
        <v>6.1409844050475115E-4</v>
      </c>
      <c r="D541" s="66">
        <f>(Table16[[#This Row],[Index]]-B529)/B529</f>
        <v>-5.9250756980604738E-2</v>
      </c>
    </row>
    <row r="542" spans="1:4" x14ac:dyDescent="0.35">
      <c r="A542" s="17">
        <v>42583</v>
      </c>
      <c r="B542" s="58">
        <f>VLOOKUP(Table16[[#This Row],[Date]],database!A:H,4,)</f>
        <v>95.073800000000006</v>
      </c>
      <c r="C542" s="66">
        <f t="shared" si="8"/>
        <v>-2.5839251112828032E-3</v>
      </c>
      <c r="D542" s="66">
        <f>(Table16[[#This Row],[Index]]-B530)/B530</f>
        <v>-5.8545681039271623E-2</v>
      </c>
    </row>
    <row r="543" spans="1:4" x14ac:dyDescent="0.35">
      <c r="A543" s="17">
        <v>42614</v>
      </c>
      <c r="B543" s="58">
        <f>VLOOKUP(Table16[[#This Row],[Date]],database!A:H,4,)</f>
        <v>94.640600000000006</v>
      </c>
      <c r="C543" s="66">
        <f t="shared" si="8"/>
        <v>-4.556460349749325E-3</v>
      </c>
      <c r="D543" s="66">
        <f>(Table16[[#This Row],[Index]]-B531)/B531</f>
        <v>-5.3220969061810286E-2</v>
      </c>
    </row>
    <row r="544" spans="1:4" x14ac:dyDescent="0.35">
      <c r="A544" s="17">
        <v>42644</v>
      </c>
      <c r="B544" s="58">
        <f>VLOOKUP(Table16[[#This Row],[Date]],database!A:H,4,)</f>
        <v>95.117099999999994</v>
      </c>
      <c r="C544" s="66">
        <f t="shared" si="8"/>
        <v>5.0348370572459444E-3</v>
      </c>
      <c r="D544" s="66">
        <f>(Table16[[#This Row],[Index]]-B532)/B532</f>
        <v>-4.0622484734418249E-2</v>
      </c>
    </row>
    <row r="545" spans="1:4" x14ac:dyDescent="0.35">
      <c r="A545" s="17">
        <v>42675</v>
      </c>
      <c r="B545" s="58">
        <f>VLOOKUP(Table16[[#This Row],[Date]],database!A:H,4,)</f>
        <v>95.037099999999995</v>
      </c>
      <c r="C545" s="66">
        <f t="shared" si="8"/>
        <v>-8.4106853552090577E-4</v>
      </c>
      <c r="D545" s="66">
        <f>(Table16[[#This Row],[Index]]-B533)/B533</f>
        <v>-2.6938171214552144E-2</v>
      </c>
    </row>
    <row r="546" spans="1:4" x14ac:dyDescent="0.35">
      <c r="A546" s="17">
        <v>42705</v>
      </c>
      <c r="B546" s="58">
        <f>VLOOKUP(Table16[[#This Row],[Date]],database!A:H,4,)</f>
        <v>96.107900000000001</v>
      </c>
      <c r="C546" s="66">
        <f t="shared" si="8"/>
        <v>1.1267178817535584E-2</v>
      </c>
      <c r="D546" s="66">
        <f>(Table16[[#This Row],[Index]]-B534)/B534</f>
        <v>-5.7385172755543183E-3</v>
      </c>
    </row>
    <row r="547" spans="1:4" x14ac:dyDescent="0.35">
      <c r="A547" s="17">
        <v>42736</v>
      </c>
      <c r="B547" s="58">
        <f>VLOOKUP(Table16[[#This Row],[Date]],database!A:H,4,)</f>
        <v>96.186599999999999</v>
      </c>
      <c r="C547" s="66">
        <f t="shared" si="8"/>
        <v>8.1887128945701271E-4</v>
      </c>
      <c r="D547" s="66">
        <f>(Table16[[#This Row],[Index]]-B535)/B535</f>
        <v>-4.8543387980855852E-3</v>
      </c>
    </row>
    <row r="548" spans="1:4" x14ac:dyDescent="0.35">
      <c r="A548" s="17">
        <v>42767</v>
      </c>
      <c r="B548" s="58">
        <f>VLOOKUP(Table16[[#This Row],[Date]],database!A:H,4,)</f>
        <v>96.248900000000006</v>
      </c>
      <c r="C548" s="66">
        <f t="shared" si="8"/>
        <v>6.4769936768738212E-4</v>
      </c>
      <c r="D548" s="66">
        <f>(Table16[[#This Row],[Index]]-B536)/B536</f>
        <v>5.8736449033395329E-4</v>
      </c>
    </row>
    <row r="549" spans="1:4" x14ac:dyDescent="0.35">
      <c r="A549" s="17">
        <v>42795</v>
      </c>
      <c r="B549" s="58">
        <f>VLOOKUP(Table16[[#This Row],[Date]],database!A:H,4,)</f>
        <v>97.005600000000001</v>
      </c>
      <c r="C549" s="66">
        <f t="shared" si="8"/>
        <v>7.8619080321955526E-3</v>
      </c>
      <c r="D549" s="66">
        <f>(Table16[[#This Row],[Index]]-B537)/B537</f>
        <v>1.5025698548492483E-2</v>
      </c>
    </row>
    <row r="550" spans="1:4" x14ac:dyDescent="0.35">
      <c r="A550" s="17">
        <v>42826</v>
      </c>
      <c r="B550" s="58">
        <f>VLOOKUP(Table16[[#This Row],[Date]],database!A:H,4,)</f>
        <v>99.969700000000003</v>
      </c>
      <c r="C550" s="66">
        <f t="shared" si="8"/>
        <v>3.0555967902883951E-2</v>
      </c>
      <c r="D550" s="66">
        <f>(Table16[[#This Row],[Index]]-B538)/B538</f>
        <v>4.7721406090992798E-2</v>
      </c>
    </row>
    <row r="551" spans="1:4" x14ac:dyDescent="0.35">
      <c r="A551" s="17">
        <v>42856</v>
      </c>
      <c r="B551" s="58">
        <f>VLOOKUP(Table16[[#This Row],[Date]],database!A:H,4,)</f>
        <v>99.862300000000005</v>
      </c>
      <c r="C551" s="66">
        <f t="shared" si="8"/>
        <v>-1.0743255206326907E-3</v>
      </c>
      <c r="D551" s="66">
        <f>(Table16[[#This Row],[Index]]-B539)/B539</f>
        <v>4.8966026510309346E-2</v>
      </c>
    </row>
    <row r="552" spans="1:4" x14ac:dyDescent="0.35">
      <c r="A552" s="17">
        <v>42887</v>
      </c>
      <c r="B552" s="58">
        <f>VLOOKUP(Table16[[#This Row],[Date]],database!A:H,4,)</f>
        <v>99.853099999999998</v>
      </c>
      <c r="C552" s="66">
        <f t="shared" si="8"/>
        <v>-9.2126858684427049E-5</v>
      </c>
      <c r="D552" s="66">
        <f>(Table16[[#This Row],[Index]]-B540)/B540</f>
        <v>4.8198854522703755E-2</v>
      </c>
    </row>
    <row r="553" spans="1:4" x14ac:dyDescent="0.35">
      <c r="A553" s="17">
        <v>42917</v>
      </c>
      <c r="B553" s="58">
        <f>VLOOKUP(Table16[[#This Row],[Date]],database!A:H,4,)</f>
        <v>99.758399999999995</v>
      </c>
      <c r="C553" s="66">
        <f t="shared" si="8"/>
        <v>-9.4839318959549779E-4</v>
      </c>
      <c r="D553" s="66">
        <f>(Table16[[#This Row],[Index]]-B541)/B541</f>
        <v>4.6562057740182801E-2</v>
      </c>
    </row>
    <row r="554" spans="1:4" x14ac:dyDescent="0.35">
      <c r="A554" s="17">
        <v>42948</v>
      </c>
      <c r="B554" s="58">
        <f>VLOOKUP(Table16[[#This Row],[Date]],database!A:H,4,)</f>
        <v>100.1024</v>
      </c>
      <c r="C554" s="66">
        <f t="shared" si="8"/>
        <v>3.44833116810217E-3</v>
      </c>
      <c r="D554" s="66">
        <f>(Table16[[#This Row],[Index]]-B542)/B542</f>
        <v>5.2891543201176318E-2</v>
      </c>
    </row>
    <row r="555" spans="1:4" x14ac:dyDescent="0.35">
      <c r="A555" s="17">
        <v>42979</v>
      </c>
      <c r="B555" s="58">
        <f>VLOOKUP(Table16[[#This Row],[Date]],database!A:H,4,)</f>
        <v>101.6281</v>
      </c>
      <c r="C555" s="66">
        <f t="shared" si="8"/>
        <v>1.5241392813758692E-2</v>
      </c>
      <c r="D555" s="66">
        <f>(Table16[[#This Row],[Index]]-B543)/B543</f>
        <v>7.3831949501588084E-2</v>
      </c>
    </row>
    <row r="556" spans="1:4" x14ac:dyDescent="0.35">
      <c r="A556" s="17">
        <v>43009</v>
      </c>
      <c r="B556" s="58">
        <f>VLOOKUP(Table16[[#This Row],[Date]],database!A:H,4,)</f>
        <v>102.87220000000001</v>
      </c>
      <c r="C556" s="66">
        <f t="shared" si="8"/>
        <v>1.2241692996326936E-2</v>
      </c>
      <c r="D556" s="66">
        <f>(Table16[[#This Row],[Index]]-B544)/B544</f>
        <v>8.1532132497731891E-2</v>
      </c>
    </row>
    <row r="557" spans="1:4" x14ac:dyDescent="0.35">
      <c r="A557" s="17">
        <v>43040</v>
      </c>
      <c r="B557" s="58">
        <f>VLOOKUP(Table16[[#This Row],[Date]],database!A:H,4,)</f>
        <v>103.2946</v>
      </c>
      <c r="C557" s="66">
        <f t="shared" si="8"/>
        <v>4.1060655842879434E-3</v>
      </c>
      <c r="D557" s="66">
        <f>(Table16[[#This Row],[Index]]-B545)/B545</f>
        <v>8.6887120924354883E-2</v>
      </c>
    </row>
    <row r="558" spans="1:4" x14ac:dyDescent="0.35">
      <c r="A558" s="17">
        <v>43070</v>
      </c>
      <c r="B558" s="58">
        <f>VLOOKUP(Table16[[#This Row],[Date]],database!A:H,4,)</f>
        <v>103.2182</v>
      </c>
      <c r="C558" s="66">
        <f t="shared" si="8"/>
        <v>-7.3963208144478543E-4</v>
      </c>
      <c r="D558" s="66">
        <f>(Table16[[#This Row],[Index]]-B546)/B546</f>
        <v>7.3982471784317369E-2</v>
      </c>
    </row>
    <row r="559" spans="1:4" x14ac:dyDescent="0.35">
      <c r="A559" s="17">
        <v>43101</v>
      </c>
      <c r="B559" s="58">
        <f>VLOOKUP(Table16[[#This Row],[Date]],database!A:H,4,)</f>
        <v>103.7684</v>
      </c>
      <c r="C559" s="66">
        <f t="shared" si="8"/>
        <v>5.3304552879240852E-3</v>
      </c>
      <c r="D559" s="66">
        <f>(Table16[[#This Row],[Index]]-B547)/B547</f>
        <v>7.882386943711496E-2</v>
      </c>
    </row>
    <row r="560" spans="1:4" x14ac:dyDescent="0.35">
      <c r="A560" s="17">
        <v>43132</v>
      </c>
      <c r="B560" s="58">
        <f>VLOOKUP(Table16[[#This Row],[Date]],database!A:H,4,)</f>
        <v>104.41589999999999</v>
      </c>
      <c r="C560" s="66">
        <f t="shared" si="8"/>
        <v>6.2398572205024649E-3</v>
      </c>
      <c r="D560" s="66">
        <f>(Table16[[#This Row],[Index]]-B548)/B548</f>
        <v>8.4852917799579916E-2</v>
      </c>
    </row>
    <row r="561" spans="1:4" x14ac:dyDescent="0.35">
      <c r="A561" s="17">
        <v>43160</v>
      </c>
      <c r="B561" s="58">
        <f>VLOOKUP(Table16[[#This Row],[Date]],database!A:H,4,)</f>
        <v>104.5989</v>
      </c>
      <c r="C561" s="66">
        <f t="shared" si="8"/>
        <v>1.7526066432411724E-3</v>
      </c>
      <c r="D561" s="66">
        <f>(Table16[[#This Row],[Index]]-B549)/B549</f>
        <v>7.8276924218807983E-2</v>
      </c>
    </row>
    <row r="562" spans="1:4" x14ac:dyDescent="0.35">
      <c r="A562" s="17">
        <v>43191</v>
      </c>
      <c r="B562" s="58">
        <f>VLOOKUP(Table16[[#This Row],[Date]],database!A:H,4,)</f>
        <v>105.72709999999999</v>
      </c>
      <c r="C562" s="66">
        <f t="shared" si="8"/>
        <v>1.0785964288343219E-2</v>
      </c>
      <c r="D562" s="66">
        <f>(Table16[[#This Row],[Index]]-B550)/B550</f>
        <v>5.759145020941335E-2</v>
      </c>
    </row>
    <row r="563" spans="1:4" x14ac:dyDescent="0.35">
      <c r="A563" s="17">
        <v>43221</v>
      </c>
      <c r="B563" s="58">
        <f>VLOOKUP(Table16[[#This Row],[Date]],database!A:H,4,)</f>
        <v>103.6131</v>
      </c>
      <c r="C563" s="66">
        <f t="shared" si="8"/>
        <v>-1.999487359437635E-2</v>
      </c>
      <c r="D563" s="66">
        <f>(Table16[[#This Row],[Index]]-B551)/B551</f>
        <v>3.75597197340738E-2</v>
      </c>
    </row>
    <row r="564" spans="1:4" x14ac:dyDescent="0.35">
      <c r="A564" s="17">
        <v>43252</v>
      </c>
      <c r="B564" s="58">
        <f>VLOOKUP(Table16[[#This Row],[Date]],database!A:H,4,)</f>
        <v>104.9924</v>
      </c>
      <c r="C564" s="66">
        <f t="shared" si="8"/>
        <v>1.3312023286630836E-2</v>
      </c>
      <c r="D564" s="66">
        <f>(Table16[[#This Row],[Index]]-B552)/B552</f>
        <v>5.1468607384247515E-2</v>
      </c>
    </row>
    <row r="565" spans="1:4" x14ac:dyDescent="0.35">
      <c r="A565" s="17">
        <v>43282</v>
      </c>
      <c r="B565" s="58">
        <f>VLOOKUP(Table16[[#This Row],[Date]],database!A:H,4,)</f>
        <v>104.4686</v>
      </c>
      <c r="C565" s="66">
        <f t="shared" si="8"/>
        <v>-4.9889325322595157E-3</v>
      </c>
      <c r="D565" s="66">
        <f>(Table16[[#This Row],[Index]]-B553)/B553</f>
        <v>4.7216074034868251E-2</v>
      </c>
    </row>
    <row r="566" spans="1:4" x14ac:dyDescent="0.35">
      <c r="A566" s="17">
        <v>43313</v>
      </c>
      <c r="B566" s="58">
        <f>VLOOKUP(Table16[[#This Row],[Date]],database!A:H,4,)</f>
        <v>104.7217</v>
      </c>
      <c r="C566" s="66">
        <f t="shared" si="8"/>
        <v>2.4227375498475645E-3</v>
      </c>
      <c r="D566" s="66">
        <f>(Table16[[#This Row],[Index]]-B554)/B554</f>
        <v>4.61457467553225E-2</v>
      </c>
    </row>
    <row r="567" spans="1:4" x14ac:dyDescent="0.35">
      <c r="A567" s="17">
        <v>43344</v>
      </c>
      <c r="B567" s="58">
        <f>VLOOKUP(Table16[[#This Row],[Date]],database!A:H,4,)</f>
        <v>104.1682</v>
      </c>
      <c r="C567" s="66">
        <f t="shared" si="8"/>
        <v>-5.2854374976724072E-3</v>
      </c>
      <c r="D567" s="66">
        <f>(Table16[[#This Row],[Index]]-B555)/B555</f>
        <v>2.4994071521557474E-2</v>
      </c>
    </row>
    <row r="568" spans="1:4" x14ac:dyDescent="0.35">
      <c r="A568" s="17">
        <v>43374</v>
      </c>
      <c r="B568" s="58">
        <f>VLOOKUP(Table16[[#This Row],[Date]],database!A:H,4,)</f>
        <v>103.2689</v>
      </c>
      <c r="C568" s="66">
        <f t="shared" si="8"/>
        <v>-8.6331529199890067E-3</v>
      </c>
      <c r="D568" s="66">
        <f>(Table16[[#This Row],[Index]]-B556)/B556</f>
        <v>3.8562410447136892E-3</v>
      </c>
    </row>
    <row r="569" spans="1:4" x14ac:dyDescent="0.35">
      <c r="A569" s="17">
        <v>43405</v>
      </c>
      <c r="B569" s="58">
        <f>VLOOKUP(Table16[[#This Row],[Date]],database!A:H,4,)</f>
        <v>101.8002</v>
      </c>
      <c r="C569" s="66">
        <f t="shared" si="8"/>
        <v>-1.4222093970207905E-2</v>
      </c>
      <c r="D569" s="66">
        <f>(Table16[[#This Row],[Index]]-B557)/B557</f>
        <v>-1.4467358409829737E-2</v>
      </c>
    </row>
    <row r="570" spans="1:4" x14ac:dyDescent="0.35">
      <c r="A570" s="17">
        <v>43435</v>
      </c>
      <c r="B570" s="58">
        <f>VLOOKUP(Table16[[#This Row],[Date]],database!A:H,4,)</f>
        <v>100.938</v>
      </c>
      <c r="C570" s="66">
        <f t="shared" si="8"/>
        <v>-8.4695314940442801E-3</v>
      </c>
      <c r="D570" s="66">
        <f>(Table16[[#This Row],[Index]]-B558)/B558</f>
        <v>-2.2091065335376837E-2</v>
      </c>
    </row>
    <row r="571" spans="1:4" x14ac:dyDescent="0.35">
      <c r="A571" s="17">
        <v>43466</v>
      </c>
      <c r="B571" s="58">
        <f>VLOOKUP(Table16[[#This Row],[Date]],database!A:H,4,)</f>
        <v>99.531999999999996</v>
      </c>
      <c r="C571" s="66">
        <f t="shared" si="8"/>
        <v>-1.3929342764865571E-2</v>
      </c>
      <c r="D571" s="66">
        <f>(Table16[[#This Row],[Index]]-B559)/B559</f>
        <v>-4.0825530701061243E-2</v>
      </c>
    </row>
    <row r="572" spans="1:4" x14ac:dyDescent="0.35">
      <c r="A572" s="17">
        <v>43497</v>
      </c>
      <c r="B572" s="58">
        <f>VLOOKUP(Table16[[#This Row],[Date]],database!A:H,4,)</f>
        <v>98.608599999999996</v>
      </c>
      <c r="C572" s="66">
        <f t="shared" si="8"/>
        <v>-9.2774183177269931E-3</v>
      </c>
      <c r="D572" s="66">
        <f>(Table16[[#This Row],[Index]]-B560)/B560</f>
        <v>-5.5617008520732938E-2</v>
      </c>
    </row>
    <row r="573" spans="1:4" x14ac:dyDescent="0.35">
      <c r="A573" s="17">
        <v>43525</v>
      </c>
      <c r="B573" s="58">
        <f>VLOOKUP(Table16[[#This Row],[Date]],database!A:H,4,)</f>
        <v>98.302499999999995</v>
      </c>
      <c r="C573" s="66">
        <f t="shared" si="8"/>
        <v>-3.1041917236427352E-3</v>
      </c>
      <c r="D573" s="66">
        <f>(Table16[[#This Row],[Index]]-B561)/B561</f>
        <v>-6.0195661713459754E-2</v>
      </c>
    </row>
    <row r="574" spans="1:4" x14ac:dyDescent="0.35">
      <c r="A574" s="17">
        <v>43556</v>
      </c>
      <c r="B574" s="58">
        <f>VLOOKUP(Table16[[#This Row],[Date]],database!A:H,4,)</f>
        <v>96.176699999999997</v>
      </c>
      <c r="C574" s="66">
        <f t="shared" si="8"/>
        <v>-2.1625085831998181E-2</v>
      </c>
      <c r="D574" s="66">
        <f>(Table16[[#This Row],[Index]]-B562)/B562</f>
        <v>-9.0330672079343866E-2</v>
      </c>
    </row>
    <row r="575" spans="1:4" x14ac:dyDescent="0.35">
      <c r="A575" s="17">
        <v>43586</v>
      </c>
      <c r="B575" s="58">
        <f>VLOOKUP(Table16[[#This Row],[Date]],database!A:H,4,)</f>
        <v>95.727699999999999</v>
      </c>
      <c r="C575" s="66">
        <f t="shared" si="8"/>
        <v>-4.6684903932032729E-3</v>
      </c>
      <c r="D575" s="66">
        <f>(Table16[[#This Row],[Index]]-B563)/B563</f>
        <v>-7.6104276389761569E-2</v>
      </c>
    </row>
    <row r="576" spans="1:4" x14ac:dyDescent="0.35">
      <c r="A576" s="17">
        <v>43617</v>
      </c>
      <c r="B576" s="58">
        <f>VLOOKUP(Table16[[#This Row],[Date]],database!A:H,4,)</f>
        <v>95.794899999999998</v>
      </c>
      <c r="C576" s="66">
        <f t="shared" si="8"/>
        <v>7.0199116870028888E-4</v>
      </c>
      <c r="D576" s="66">
        <f>(Table16[[#This Row],[Index]]-B564)/B564</f>
        <v>-8.7601578780940381E-2</v>
      </c>
    </row>
    <row r="577" spans="1:4" x14ac:dyDescent="0.35">
      <c r="A577" s="17">
        <v>43647</v>
      </c>
      <c r="B577" s="58">
        <f>VLOOKUP(Table16[[#This Row],[Date]],database!A:H,4,)</f>
        <v>94.399900000000002</v>
      </c>
      <c r="C577" s="66">
        <f t="shared" si="8"/>
        <v>-1.4562361879390195E-2</v>
      </c>
      <c r="D577" s="66">
        <f>(Table16[[#This Row],[Index]]-B565)/B565</f>
        <v>-9.6380156334056291E-2</v>
      </c>
    </row>
    <row r="578" spans="1:4" x14ac:dyDescent="0.35">
      <c r="A578" s="17">
        <v>43678</v>
      </c>
      <c r="B578" s="58">
        <f>VLOOKUP(Table16[[#This Row],[Date]],database!A:H,4,)</f>
        <v>95.301199999999994</v>
      </c>
      <c r="C578" s="66">
        <f t="shared" si="8"/>
        <v>9.5476796055926627E-3</v>
      </c>
      <c r="D578" s="66">
        <f>(Table16[[#This Row],[Index]]-B566)/B566</f>
        <v>-8.9957477772037733E-2</v>
      </c>
    </row>
    <row r="579" spans="1:4" x14ac:dyDescent="0.35">
      <c r="A579" s="17">
        <v>43709</v>
      </c>
      <c r="B579" s="58">
        <f>VLOOKUP(Table16[[#This Row],[Date]],database!A:H,4,)</f>
        <v>93.722499999999997</v>
      </c>
      <c r="C579" s="66">
        <f t="shared" si="8"/>
        <v>-1.6565373783331117E-2</v>
      </c>
      <c r="D579" s="66">
        <f>(Table16[[#This Row],[Index]]-B567)/B567</f>
        <v>-0.10027724391896954</v>
      </c>
    </row>
    <row r="580" spans="1:4" x14ac:dyDescent="0.35">
      <c r="A580" s="17">
        <v>43739</v>
      </c>
      <c r="B580" s="58">
        <f>VLOOKUP(Table16[[#This Row],[Date]],database!A:H,4,)</f>
        <v>93.109800000000007</v>
      </c>
      <c r="C580" s="66">
        <f t="shared" si="8"/>
        <v>-6.5373842993944331E-3</v>
      </c>
      <c r="D580" s="66">
        <f>(Table16[[#This Row],[Index]]-B568)/B568</f>
        <v>-9.8375212672934392E-2</v>
      </c>
    </row>
    <row r="581" spans="1:4" x14ac:dyDescent="0.35">
      <c r="A581" s="17">
        <v>43770</v>
      </c>
      <c r="B581" s="58">
        <f>VLOOKUP(Table16[[#This Row],[Date]],database!A:H,4,)</f>
        <v>94.523700000000005</v>
      </c>
      <c r="C581" s="66">
        <f t="shared" si="8"/>
        <v>1.5185297358602412E-2</v>
      </c>
      <c r="D581" s="66">
        <f>(Table16[[#This Row],[Index]]-B569)/B569</f>
        <v>-7.1478248569256234E-2</v>
      </c>
    </row>
    <row r="582" spans="1:4" x14ac:dyDescent="0.35">
      <c r="A582" s="17">
        <v>43800</v>
      </c>
      <c r="B582" s="58">
        <f>VLOOKUP(Table16[[#This Row],[Date]],database!A:H,4,)</f>
        <v>94.229600000000005</v>
      </c>
      <c r="C582" s="66">
        <f t="shared" si="8"/>
        <v>-3.1113889955640683E-3</v>
      </c>
      <c r="D582" s="66">
        <f>(Table16[[#This Row],[Index]]-B570)/B570</f>
        <v>-6.6460599575977303E-2</v>
      </c>
    </row>
    <row r="583" spans="1:4" x14ac:dyDescent="0.35">
      <c r="A583" s="17">
        <v>43831</v>
      </c>
      <c r="B583" s="58">
        <f>VLOOKUP(Table16[[#This Row],[Date]],database!A:H,4,)</f>
        <v>91.699399999999997</v>
      </c>
      <c r="C583" s="66">
        <f t="shared" si="8"/>
        <v>-2.6851435217808528E-2</v>
      </c>
      <c r="D583" s="66">
        <f>(Table16[[#This Row],[Index]]-B571)/B571</f>
        <v>-7.8694289273801385E-2</v>
      </c>
    </row>
    <row r="584" spans="1:4" x14ac:dyDescent="0.35">
      <c r="A584" s="17">
        <v>43862</v>
      </c>
      <c r="B584" s="58">
        <f>VLOOKUP(Table16[[#This Row],[Date]],database!A:H,4,)</f>
        <v>91.452100000000002</v>
      </c>
      <c r="C584" s="66">
        <f t="shared" ref="C584:C647" si="9">B584/B583-1</f>
        <v>-2.6968551593575807E-3</v>
      </c>
      <c r="D584" s="66">
        <f>(Table16[[#This Row],[Index]]-B572)/B572</f>
        <v>-7.2574805848577048E-2</v>
      </c>
    </row>
    <row r="585" spans="1:4" x14ac:dyDescent="0.35">
      <c r="A585" s="17">
        <v>43891</v>
      </c>
      <c r="B585" s="58">
        <f>VLOOKUP(Table16[[#This Row],[Date]],database!A:H,4,)</f>
        <v>85.345600000000005</v>
      </c>
      <c r="C585" s="66">
        <f t="shared" si="9"/>
        <v>-6.6772660223220592E-2</v>
      </c>
      <c r="D585" s="66">
        <f>(Table16[[#This Row],[Index]]-B573)/B573</f>
        <v>-0.13180641387553715</v>
      </c>
    </row>
    <row r="586" spans="1:4" x14ac:dyDescent="0.35">
      <c r="A586" s="17">
        <v>43922</v>
      </c>
      <c r="B586" s="58">
        <f>VLOOKUP(Table16[[#This Row],[Date]],database!A:H,4,)</f>
        <v>65.439599999999999</v>
      </c>
      <c r="C586" s="66">
        <f t="shared" si="9"/>
        <v>-0.2332399092630435</v>
      </c>
      <c r="D586" s="66">
        <f>(Table16[[#This Row],[Index]]-B574)/B574</f>
        <v>-0.31958987987735077</v>
      </c>
    </row>
    <row r="587" spans="1:4" x14ac:dyDescent="0.35">
      <c r="A587" s="17">
        <v>43952</v>
      </c>
      <c r="B587" s="58">
        <f>VLOOKUP(Table16[[#This Row],[Date]],database!A:H,4,)</f>
        <v>71.249799999999993</v>
      </c>
      <c r="C587" s="66">
        <f t="shared" si="9"/>
        <v>8.8787217525779338E-2</v>
      </c>
      <c r="D587" s="66">
        <f>(Table16[[#This Row],[Index]]-B575)/B575</f>
        <v>-0.25570341708826189</v>
      </c>
    </row>
    <row r="588" spans="1:4" x14ac:dyDescent="0.35">
      <c r="A588" s="17">
        <v>43983</v>
      </c>
      <c r="B588" s="58">
        <f>VLOOKUP(Table16[[#This Row],[Date]],database!A:H,4,)</f>
        <v>79.391400000000004</v>
      </c>
      <c r="C588" s="66">
        <f t="shared" si="9"/>
        <v>0.11426839092881691</v>
      </c>
      <c r="D588" s="66">
        <f>(Table16[[#This Row],[Index]]-B576)/B576</f>
        <v>-0.17123562945417756</v>
      </c>
    </row>
    <row r="589" spans="1:4" x14ac:dyDescent="0.35">
      <c r="A589" s="17">
        <v>44013</v>
      </c>
      <c r="B589" s="58">
        <f>VLOOKUP(Table16[[#This Row],[Date]],database!A:H,4,)</f>
        <v>83.608599999999996</v>
      </c>
      <c r="C589" s="66">
        <f t="shared" si="9"/>
        <v>5.3119103580488547E-2</v>
      </c>
      <c r="D589" s="66">
        <f>(Table16[[#This Row],[Index]]-B577)/B577</f>
        <v>-0.11431473974019048</v>
      </c>
    </row>
    <row r="590" spans="1:4" x14ac:dyDescent="0.35">
      <c r="A590" s="17">
        <v>44044</v>
      </c>
      <c r="B590" s="58">
        <f>VLOOKUP(Table16[[#This Row],[Date]],database!A:H,4,)</f>
        <v>85.692099999999996</v>
      </c>
      <c r="C590" s="66">
        <f t="shared" si="9"/>
        <v>2.491968529553179E-2</v>
      </c>
      <c r="D590" s="66">
        <f>(Table16[[#This Row],[Index]]-B578)/B578</f>
        <v>-0.10082874087629536</v>
      </c>
    </row>
    <row r="591" spans="1:4" x14ac:dyDescent="0.35">
      <c r="A591" s="17">
        <v>44075</v>
      </c>
      <c r="B591" s="58">
        <f>VLOOKUP(Table16[[#This Row],[Date]],database!A:H,4,)</f>
        <v>85.483000000000004</v>
      </c>
      <c r="C591" s="66">
        <f t="shared" si="9"/>
        <v>-2.4401315873924245E-3</v>
      </c>
      <c r="D591" s="66">
        <f>(Table16[[#This Row],[Index]]-B579)/B579</f>
        <v>-8.7913788044492971E-2</v>
      </c>
    </row>
    <row r="592" spans="1:4" x14ac:dyDescent="0.35">
      <c r="A592" s="17">
        <v>44105</v>
      </c>
      <c r="B592" s="58">
        <f>VLOOKUP(Table16[[#This Row],[Date]],database!A:H,4,)</f>
        <v>86.008700000000005</v>
      </c>
      <c r="C592" s="66">
        <f t="shared" si="9"/>
        <v>6.1497607711475943E-3</v>
      </c>
      <c r="D592" s="66">
        <f>(Table16[[#This Row],[Index]]-B580)/B580</f>
        <v>-7.6265871046871561E-2</v>
      </c>
    </row>
    <row r="593" spans="1:4" x14ac:dyDescent="0.35">
      <c r="A593" s="17">
        <v>44136</v>
      </c>
      <c r="B593" s="58">
        <f>VLOOKUP(Table16[[#This Row],[Date]],database!A:H,4,)</f>
        <v>86.807900000000004</v>
      </c>
      <c r="C593" s="66">
        <f t="shared" si="9"/>
        <v>9.2920832427416666E-3</v>
      </c>
      <c r="D593" s="66">
        <f>(Table16[[#This Row],[Index]]-B581)/B581</f>
        <v>-8.1628205413033991E-2</v>
      </c>
    </row>
    <row r="594" spans="1:4" x14ac:dyDescent="0.35">
      <c r="A594" s="17">
        <v>44166</v>
      </c>
      <c r="B594" s="58">
        <f>VLOOKUP(Table16[[#This Row],[Date]],database!A:H,4,)</f>
        <v>87.642399999999995</v>
      </c>
      <c r="C594" s="66">
        <f t="shared" si="9"/>
        <v>9.613180367224583E-3</v>
      </c>
      <c r="D594" s="66">
        <f>(Table16[[#This Row],[Index]]-B582)/B582</f>
        <v>-6.9905846994999549E-2</v>
      </c>
    </row>
    <row r="595" spans="1:4" x14ac:dyDescent="0.35">
      <c r="A595" s="17">
        <v>44197</v>
      </c>
      <c r="B595" s="58">
        <f>VLOOKUP(Table16[[#This Row],[Date]],database!A:H,4,)</f>
        <v>90.296099999999996</v>
      </c>
      <c r="C595" s="66">
        <f t="shared" si="9"/>
        <v>3.0278723540204222E-2</v>
      </c>
      <c r="D595" s="66">
        <f>(Table16[[#This Row],[Index]]-B583)/B583</f>
        <v>-1.5303262616767411E-2</v>
      </c>
    </row>
    <row r="596" spans="1:4" x14ac:dyDescent="0.35">
      <c r="A596" s="17">
        <v>44228</v>
      </c>
      <c r="B596" s="58">
        <f>VLOOKUP(Table16[[#This Row],[Date]],database!A:H,4,)</f>
        <v>88.100099999999998</v>
      </c>
      <c r="C596" s="66">
        <f t="shared" si="9"/>
        <v>-2.4319987241973928E-2</v>
      </c>
      <c r="D596" s="66">
        <f>(Table16[[#This Row],[Index]]-B584)/B584</f>
        <v>-3.6653067562144599E-2</v>
      </c>
    </row>
    <row r="597" spans="1:4" x14ac:dyDescent="0.35">
      <c r="A597" s="17">
        <v>44256</v>
      </c>
      <c r="B597" s="58">
        <f>VLOOKUP(Table16[[#This Row],[Date]],database!A:H,4,)</f>
        <v>90.433700000000002</v>
      </c>
      <c r="C597" s="66">
        <f t="shared" si="9"/>
        <v>2.6488051659419254E-2</v>
      </c>
      <c r="D597" s="66">
        <f>(Table16[[#This Row],[Index]]-B585)/B585</f>
        <v>5.9617601844734781E-2</v>
      </c>
    </row>
    <row r="598" spans="1:4" x14ac:dyDescent="0.35">
      <c r="A598" s="17">
        <v>44287</v>
      </c>
      <c r="B598" s="58">
        <f>VLOOKUP(Table16[[#This Row],[Date]],database!A:H,4,)</f>
        <v>89.203599999999994</v>
      </c>
      <c r="C598" s="66">
        <f t="shared" si="9"/>
        <v>-1.3602230142082061E-2</v>
      </c>
      <c r="D598" s="66">
        <f>(Table16[[#This Row],[Index]]-B586)/B586</f>
        <v>0.36314402899773218</v>
      </c>
    </row>
    <row r="599" spans="1:4" x14ac:dyDescent="0.35">
      <c r="A599" s="17">
        <v>44317</v>
      </c>
      <c r="B599" s="58">
        <f>VLOOKUP(Table16[[#This Row],[Date]],database!A:H,4,)</f>
        <v>90.915400000000005</v>
      </c>
      <c r="C599" s="66">
        <f t="shared" si="9"/>
        <v>1.9189808483065729E-2</v>
      </c>
      <c r="D599" s="66">
        <f>(Table16[[#This Row],[Index]]-B587)/B587</f>
        <v>0.27600919581528671</v>
      </c>
    </row>
    <row r="600" spans="1:4" x14ac:dyDescent="0.35">
      <c r="A600" s="17">
        <v>44348</v>
      </c>
      <c r="B600" s="58">
        <f>VLOOKUP(Table16[[#This Row],[Date]],database!A:H,4,)</f>
        <v>90.157300000000006</v>
      </c>
      <c r="C600" s="66">
        <f t="shared" si="9"/>
        <v>-8.3385213066212716E-3</v>
      </c>
      <c r="D600" s="66">
        <f>(Table16[[#This Row],[Index]]-B588)/B588</f>
        <v>0.13560536783581095</v>
      </c>
    </row>
    <row r="601" spans="1:4" x14ac:dyDescent="0.35">
      <c r="A601" s="17">
        <v>44378</v>
      </c>
      <c r="B601" s="58">
        <f>VLOOKUP(Table16[[#This Row],[Date]],database!A:H,4,)</f>
        <v>92.664199999999994</v>
      </c>
      <c r="C601" s="66">
        <f t="shared" si="9"/>
        <v>2.7805846004705037E-2</v>
      </c>
      <c r="D601" s="66">
        <f>(Table16[[#This Row],[Index]]-B589)/B589</f>
        <v>0.10830943228328185</v>
      </c>
    </row>
    <row r="602" spans="1:4" x14ac:dyDescent="0.35">
      <c r="A602" s="17">
        <v>44409</v>
      </c>
      <c r="B602" s="58">
        <f>VLOOKUP(Table16[[#This Row],[Date]],database!A:H,4,)</f>
        <v>92.696600000000004</v>
      </c>
      <c r="C602" s="66">
        <f t="shared" si="9"/>
        <v>3.4964959498928749E-4</v>
      </c>
      <c r="D602" s="66">
        <f>(Table16[[#This Row],[Index]]-B590)/B590</f>
        <v>8.1740323787140329E-2</v>
      </c>
    </row>
    <row r="603" spans="1:4" x14ac:dyDescent="0.35">
      <c r="A603" s="17">
        <v>44440</v>
      </c>
      <c r="B603" s="58">
        <f>VLOOKUP(Table16[[#This Row],[Date]],database!A:H,4,)</f>
        <v>92.233500000000006</v>
      </c>
      <c r="C603" s="66">
        <f t="shared" si="9"/>
        <v>-4.9958682411220812E-3</v>
      </c>
      <c r="D603" s="66">
        <f>(Table16[[#This Row],[Index]]-B591)/B591</f>
        <v>7.8968917796520974E-2</v>
      </c>
    </row>
    <row r="604" spans="1:4" x14ac:dyDescent="0.35">
      <c r="A604" s="17">
        <v>44470</v>
      </c>
      <c r="B604" s="58">
        <f>VLOOKUP(Table16[[#This Row],[Date]],database!A:H,4,)</f>
        <v>92.906000000000006</v>
      </c>
      <c r="C604" s="66">
        <f t="shared" si="9"/>
        <v>7.2912770305799679E-3</v>
      </c>
      <c r="D604" s="66">
        <f>(Table16[[#This Row],[Index]]-B592)/B592</f>
        <v>8.0193050237941058E-2</v>
      </c>
    </row>
    <row r="605" spans="1:4" x14ac:dyDescent="0.35">
      <c r="A605" s="17">
        <v>44501</v>
      </c>
      <c r="B605" s="58">
        <f>VLOOKUP(Table16[[#This Row],[Date]],database!A:H,4,)</f>
        <v>93.415599999999998</v>
      </c>
      <c r="C605" s="66">
        <f t="shared" si="9"/>
        <v>5.4851139861795684E-3</v>
      </c>
      <c r="D605" s="66">
        <f>(Table16[[#This Row],[Index]]-B593)/B593</f>
        <v>7.6118648187549681E-2</v>
      </c>
    </row>
    <row r="606" spans="1:4" x14ac:dyDescent="0.35">
      <c r="A606" s="17">
        <v>44531</v>
      </c>
      <c r="B606" s="58">
        <f>VLOOKUP(Table16[[#This Row],[Date]],database!A:H,4,)</f>
        <v>94.230599999999995</v>
      </c>
      <c r="C606" s="66">
        <f t="shared" si="9"/>
        <v>8.7244528751087014E-3</v>
      </c>
      <c r="D606" s="66">
        <f>(Table16[[#This Row],[Index]]-B594)/B594</f>
        <v>7.5171378237017708E-2</v>
      </c>
    </row>
    <row r="607" spans="1:4" x14ac:dyDescent="0.35">
      <c r="A607" s="17">
        <v>44562</v>
      </c>
      <c r="B607" s="58">
        <f>VLOOKUP(Table16[[#This Row],[Date]],database!A:H,4,)</f>
        <v>93.428200000000004</v>
      </c>
      <c r="C607" s="66">
        <f t="shared" si="9"/>
        <v>-8.5152805988711888E-3</v>
      </c>
      <c r="D607" s="66">
        <f>(Table16[[#This Row],[Index]]-B595)/B595</f>
        <v>3.4686990911013967E-2</v>
      </c>
    </row>
    <row r="608" spans="1:4" x14ac:dyDescent="0.35">
      <c r="A608" s="17">
        <v>44593</v>
      </c>
      <c r="B608" s="58">
        <f>VLOOKUP(Table16[[#This Row],[Date]],database!A:H,4,)</f>
        <v>95.267799999999994</v>
      </c>
      <c r="C608" s="66">
        <f t="shared" si="9"/>
        <v>1.9689986535114556E-2</v>
      </c>
      <c r="D608" s="66">
        <f>(Table16[[#This Row],[Index]]-B596)/B596</f>
        <v>8.1358590966412028E-2</v>
      </c>
    </row>
    <row r="609" spans="1:4" x14ac:dyDescent="0.35">
      <c r="A609" s="17">
        <v>44621</v>
      </c>
      <c r="B609" s="58">
        <f>VLOOKUP(Table16[[#This Row],[Date]],database!A:H,4,)</f>
        <v>96.392099999999999</v>
      </c>
      <c r="C609" s="66">
        <f t="shared" si="9"/>
        <v>1.1801469121780928E-2</v>
      </c>
      <c r="D609" s="66">
        <f>(Table16[[#This Row],[Index]]-B597)/B597</f>
        <v>6.5886942588880004E-2</v>
      </c>
    </row>
    <row r="610" spans="1:4" x14ac:dyDescent="0.35">
      <c r="A610" s="17">
        <v>44652</v>
      </c>
      <c r="B610" s="58">
        <f>VLOOKUP(Table16[[#This Row],[Date]],database!A:H,4,)</f>
        <v>97.269099999999995</v>
      </c>
      <c r="C610" s="66">
        <f t="shared" si="9"/>
        <v>9.0982559774088756E-3</v>
      </c>
      <c r="D610" s="66">
        <f>(Table16[[#This Row],[Index]]-B598)/B598</f>
        <v>9.0416754480760878E-2</v>
      </c>
    </row>
    <row r="611" spans="1:4" x14ac:dyDescent="0.35">
      <c r="A611" s="17">
        <v>44682</v>
      </c>
      <c r="B611" s="58">
        <f>VLOOKUP(Table16[[#This Row],[Date]],database!A:H,4,)</f>
        <v>97.018100000000004</v>
      </c>
      <c r="C611" s="66">
        <f t="shared" si="9"/>
        <v>-2.5804700567805261E-3</v>
      </c>
      <c r="D611" s="66">
        <f>(Table16[[#This Row],[Index]]-B599)/B599</f>
        <v>6.7125041522118345E-2</v>
      </c>
    </row>
    <row r="612" spans="1:4" x14ac:dyDescent="0.35">
      <c r="A612" s="17">
        <v>44713</v>
      </c>
      <c r="B612" s="58">
        <f>VLOOKUP(Table16[[#This Row],[Date]],database!A:H,4,)</f>
        <v>96.824700000000007</v>
      </c>
      <c r="C612" s="66">
        <f t="shared" si="9"/>
        <v>-1.9934424607366275E-3</v>
      </c>
      <c r="D612" s="66">
        <f>(Table16[[#This Row],[Index]]-B600)/B600</f>
        <v>7.3952968866636423E-2</v>
      </c>
    </row>
    <row r="613" spans="1:4" x14ac:dyDescent="0.35">
      <c r="A613" s="17">
        <v>44743</v>
      </c>
      <c r="B613" s="58">
        <f>VLOOKUP(Table16[[#This Row],[Date]],database!A:H,4,)</f>
        <v>97.495099999999994</v>
      </c>
      <c r="C613" s="66">
        <f t="shared" si="9"/>
        <v>6.9238531077295828E-3</v>
      </c>
      <c r="D613" s="66">
        <f>(Table16[[#This Row],[Index]]-B601)/B601</f>
        <v>5.2133402112142554E-2</v>
      </c>
    </row>
    <row r="614" spans="1:4" x14ac:dyDescent="0.35">
      <c r="A614" s="17">
        <v>44774</v>
      </c>
      <c r="B614" s="58">
        <f>VLOOKUP(Table16[[#This Row],[Date]],database!A:H,4,)</f>
        <v>98.011399999999995</v>
      </c>
      <c r="C614" s="66">
        <f t="shared" si="9"/>
        <v>5.2956507557815335E-3</v>
      </c>
      <c r="D614" s="66">
        <f>(Table16[[#This Row],[Index]]-B602)/B602</f>
        <v>5.7335436251167687E-2</v>
      </c>
    </row>
    <row r="615" spans="1:4" x14ac:dyDescent="0.35">
      <c r="A615" s="17">
        <v>44805</v>
      </c>
      <c r="B615" s="58">
        <f>VLOOKUP(Table16[[#This Row],[Date]],database!A:H,4,)</f>
        <v>98.501999999999995</v>
      </c>
      <c r="C615" s="66">
        <f t="shared" si="9"/>
        <v>5.0055401718576142E-3</v>
      </c>
      <c r="D615" s="66">
        <f>(Table16[[#This Row],[Index]]-B603)/B603</f>
        <v>6.7963375563108719E-2</v>
      </c>
    </row>
    <row r="616" spans="1:4" x14ac:dyDescent="0.35">
      <c r="A616" s="17">
        <v>44835</v>
      </c>
      <c r="B616" s="58">
        <f>VLOOKUP(Table16[[#This Row],[Date]],database!A:H,4,)</f>
        <v>98.882300000000001</v>
      </c>
      <c r="C616" s="66">
        <f t="shared" si="9"/>
        <v>3.8608353129885309E-3</v>
      </c>
      <c r="D616" s="66">
        <f>(Table16[[#This Row],[Index]]-B604)/B604</f>
        <v>6.4326308311626751E-2</v>
      </c>
    </row>
    <row r="617" spans="1:4" x14ac:dyDescent="0.35">
      <c r="A617" s="17">
        <v>44866</v>
      </c>
      <c r="B617" s="58">
        <f>VLOOKUP(Table16[[#This Row],[Date]],database!A:H,4,)</f>
        <v>97.626099999999994</v>
      </c>
      <c r="C617" s="66">
        <f t="shared" si="9"/>
        <v>-1.2703992524445762E-2</v>
      </c>
      <c r="D617" s="66">
        <f>(Table16[[#This Row],[Index]]-B605)/B605</f>
        <v>4.5072771571343505E-2</v>
      </c>
    </row>
    <row r="618" spans="1:4" x14ac:dyDescent="0.35">
      <c r="A618" s="17">
        <v>44896</v>
      </c>
      <c r="B618" s="58">
        <f>VLOOKUP(Table16[[#This Row],[Date]],database!A:H,4,)</f>
        <v>95.696299999999994</v>
      </c>
      <c r="C618" s="66">
        <f t="shared" si="9"/>
        <v>-1.9767254863197414E-2</v>
      </c>
      <c r="D618" s="66">
        <f>(Table16[[#This Row],[Index]]-B606)/B606</f>
        <v>1.5554395281362937E-2</v>
      </c>
    </row>
    <row r="619" spans="1:4" x14ac:dyDescent="0.35">
      <c r="A619" s="17">
        <v>44927</v>
      </c>
      <c r="B619" s="58">
        <f>VLOOKUP(Table16[[#This Row],[Date]],database!A:H,4,)</f>
        <v>96.868200000000002</v>
      </c>
      <c r="C619" s="66">
        <f t="shared" si="9"/>
        <v>1.2246032500734083E-2</v>
      </c>
      <c r="D619" s="66">
        <f>(Table16[[#This Row],[Index]]-B607)/B607</f>
        <v>3.6819718243528157E-2</v>
      </c>
    </row>
  </sheetData>
  <conditionalFormatting sqref="D463:D61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19"/>
  <sheetViews>
    <sheetView zoomScale="80" zoomScaleNormal="80" workbookViewId="0">
      <pane ySplit="6" topLeftCell="A590" activePane="bottomLeft" state="frozen"/>
      <selection pane="bottomLeft" activeCell="A608" sqref="A608:D619"/>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31" width="9.1796875" style="74" customWidth="1"/>
    <col min="32" max="16384" width="9.1796875" style="74"/>
  </cols>
  <sheetData>
    <row r="1" spans="1:27" x14ac:dyDescent="0.35">
      <c r="A1" s="15" t="s">
        <v>16</v>
      </c>
      <c r="B1" s="74"/>
      <c r="C1" s="74"/>
      <c r="U1" s="74" t="s">
        <v>69</v>
      </c>
      <c r="V1" s="74" t="s">
        <v>67</v>
      </c>
      <c r="W1" s="74" t="str">
        <f>U1&amp;V1</f>
        <v xml:space="preserve">Industrial Production: Construction supplies since 2010 </v>
      </c>
      <c r="AA1" s="74" t="str">
        <f>W2&amp; V1</f>
        <v xml:space="preserve">Industrial Production: Construction supplies yoy since 2010 </v>
      </c>
    </row>
    <row r="2" spans="1:27" x14ac:dyDescent="0.35">
      <c r="A2" s="16"/>
      <c r="B2" s="74"/>
      <c r="C2" s="74"/>
      <c r="W2" s="74" t="str">
        <f>U1&amp;Table110[[#Headers],[ yoy]]</f>
        <v>Industrial Production: Construction supplies yoy</v>
      </c>
    </row>
    <row r="3" spans="1:27" x14ac:dyDescent="0.35">
      <c r="A3" s="16"/>
      <c r="B3" s="55"/>
      <c r="C3" s="62"/>
    </row>
    <row r="4" spans="1:27" x14ac:dyDescent="0.35">
      <c r="A4" s="16"/>
      <c r="B4" s="55"/>
      <c r="C4" s="62"/>
    </row>
    <row r="5" spans="1:27" x14ac:dyDescent="0.35">
      <c r="A5" s="16"/>
      <c r="B5" s="55"/>
      <c r="C5" s="62"/>
    </row>
    <row r="6" spans="1:27" x14ac:dyDescent="0.35">
      <c r="A6" s="19" t="s">
        <v>57</v>
      </c>
      <c r="B6" s="59" t="s">
        <v>58</v>
      </c>
      <c r="C6" s="69" t="s">
        <v>11</v>
      </c>
      <c r="D6" s="70" t="s">
        <v>65</v>
      </c>
    </row>
    <row r="7" spans="1:27" x14ac:dyDescent="0.35">
      <c r="A7" s="17">
        <v>26299</v>
      </c>
      <c r="B7" s="58">
        <f>VLOOKUP(Table110[[#This Row],[Date]],database!A:H,3,)</f>
        <v>64.271600000000007</v>
      </c>
      <c r="C7" s="66"/>
      <c r="D7" s="66"/>
    </row>
    <row r="8" spans="1:27" x14ac:dyDescent="0.35">
      <c r="A8" s="17">
        <v>26330</v>
      </c>
      <c r="B8" s="58">
        <f>VLOOKUP(Table110[[#This Row],[Date]],database!A:H,3,)</f>
        <v>64.565899999999999</v>
      </c>
      <c r="C8" s="66">
        <f t="shared" ref="C8:C71" si="0">B8/B7-1</f>
        <v>4.5790053460625924E-3</v>
      </c>
      <c r="D8" s="66"/>
    </row>
    <row r="9" spans="1:27" x14ac:dyDescent="0.35">
      <c r="A9" s="17">
        <v>26359</v>
      </c>
      <c r="B9" s="58">
        <f>VLOOKUP(Table110[[#This Row],[Date]],database!A:H,3,)</f>
        <v>65.025199999999998</v>
      </c>
      <c r="C9" s="66">
        <f t="shared" si="0"/>
        <v>7.1136621653224985E-3</v>
      </c>
      <c r="D9" s="66"/>
    </row>
    <row r="10" spans="1:27" x14ac:dyDescent="0.35">
      <c r="A10" s="17">
        <v>26390</v>
      </c>
      <c r="B10" s="58">
        <f>VLOOKUP(Table110[[#This Row],[Date]],database!A:H,3,)</f>
        <v>65.741200000000006</v>
      </c>
      <c r="C10" s="66">
        <f t="shared" si="0"/>
        <v>1.1011115690532369E-2</v>
      </c>
      <c r="D10" s="66"/>
    </row>
    <row r="11" spans="1:27" x14ac:dyDescent="0.35">
      <c r="A11" s="17">
        <v>26420</v>
      </c>
      <c r="B11" s="58">
        <f>VLOOKUP(Table110[[#This Row],[Date]],database!A:H,3,)</f>
        <v>66.084199999999996</v>
      </c>
      <c r="C11" s="66">
        <f t="shared" si="0"/>
        <v>5.217428340218655E-3</v>
      </c>
      <c r="D11" s="66"/>
    </row>
    <row r="12" spans="1:27" x14ac:dyDescent="0.35">
      <c r="A12" s="17">
        <v>26451</v>
      </c>
      <c r="B12" s="58">
        <f>VLOOKUP(Table110[[#This Row],[Date]],database!A:H,3,)</f>
        <v>66.650700000000001</v>
      </c>
      <c r="C12" s="66">
        <f t="shared" si="0"/>
        <v>8.5723970328763777E-3</v>
      </c>
      <c r="D12" s="66"/>
    </row>
    <row r="13" spans="1:27" x14ac:dyDescent="0.35">
      <c r="A13" s="17">
        <v>26481</v>
      </c>
      <c r="B13" s="58">
        <f>VLOOKUP(Table110[[#This Row],[Date]],database!A:H,3,)</f>
        <v>67.556299999999993</v>
      </c>
      <c r="C13" s="66">
        <f t="shared" si="0"/>
        <v>1.3587254147368277E-2</v>
      </c>
      <c r="D13" s="66"/>
    </row>
    <row r="14" spans="1:27" x14ac:dyDescent="0.35">
      <c r="A14" s="17">
        <v>26512</v>
      </c>
      <c r="B14" s="58">
        <f>VLOOKUP(Table110[[#This Row],[Date]],database!A:H,3,)</f>
        <v>68.041799999999995</v>
      </c>
      <c r="C14" s="66">
        <f t="shared" si="0"/>
        <v>7.1865984371553004E-3</v>
      </c>
      <c r="D14" s="66"/>
    </row>
    <row r="15" spans="1:27" x14ac:dyDescent="0.35">
      <c r="A15" s="17">
        <v>26543</v>
      </c>
      <c r="B15" s="58">
        <f>VLOOKUP(Table110[[#This Row],[Date]],database!A:H,3,)</f>
        <v>68.652799999999999</v>
      </c>
      <c r="C15" s="66">
        <f t="shared" si="0"/>
        <v>8.979774197625634E-3</v>
      </c>
      <c r="D15" s="66"/>
    </row>
    <row r="16" spans="1:27" x14ac:dyDescent="0.35">
      <c r="A16" s="17">
        <v>26573</v>
      </c>
      <c r="B16" s="58">
        <f>VLOOKUP(Table110[[#This Row],[Date]],database!A:H,3,)</f>
        <v>69.696299999999994</v>
      </c>
      <c r="C16" s="66">
        <f t="shared" si="0"/>
        <v>1.5199671389950486E-2</v>
      </c>
      <c r="D16" s="66"/>
    </row>
    <row r="17" spans="1:4" x14ac:dyDescent="0.35">
      <c r="A17" s="17">
        <v>26604</v>
      </c>
      <c r="B17" s="58">
        <f>VLOOKUP(Table110[[#This Row],[Date]],database!A:H,3,)</f>
        <v>70.174000000000007</v>
      </c>
      <c r="C17" s="66">
        <f t="shared" si="0"/>
        <v>6.8540223799542499E-3</v>
      </c>
      <c r="D17" s="66"/>
    </row>
    <row r="18" spans="1:4" x14ac:dyDescent="0.35">
      <c r="A18" s="17">
        <v>26634</v>
      </c>
      <c r="B18" s="58">
        <f>VLOOKUP(Table110[[#This Row],[Date]],database!A:H,3,)</f>
        <v>69.948099999999997</v>
      </c>
      <c r="C18" s="66">
        <f t="shared" si="0"/>
        <v>-3.2191409923905123E-3</v>
      </c>
      <c r="D18" s="66"/>
    </row>
    <row r="19" spans="1:4" x14ac:dyDescent="0.35">
      <c r="A19" s="17">
        <v>26665</v>
      </c>
      <c r="B19" s="58">
        <f>VLOOKUP(Table110[[#This Row],[Date]],database!A:H,3,)</f>
        <v>70.778499999999994</v>
      </c>
      <c r="C19" s="66">
        <f t="shared" si="0"/>
        <v>1.1871659130126444E-2</v>
      </c>
      <c r="D19" s="66"/>
    </row>
    <row r="20" spans="1:4" x14ac:dyDescent="0.35">
      <c r="A20" s="17">
        <v>26696</v>
      </c>
      <c r="B20" s="58">
        <f>VLOOKUP(Table110[[#This Row],[Date]],database!A:H,3,)</f>
        <v>72.088300000000004</v>
      </c>
      <c r="C20" s="66">
        <f t="shared" si="0"/>
        <v>1.8505619644383575E-2</v>
      </c>
      <c r="D20" s="66">
        <f>(Table110[[#This Row],[Index]]-B8)/B8</f>
        <v>0.11650732042765616</v>
      </c>
    </row>
    <row r="21" spans="1:4" x14ac:dyDescent="0.35">
      <c r="A21" s="17">
        <v>26724</v>
      </c>
      <c r="B21" s="58">
        <f>VLOOKUP(Table110[[#This Row],[Date]],database!A:H,3,)</f>
        <v>72.508700000000005</v>
      </c>
      <c r="C21" s="66">
        <f t="shared" si="0"/>
        <v>5.8317369115377105E-3</v>
      </c>
      <c r="D21" s="66">
        <f>(Table110[[#This Row],[Index]]-B9)/B9</f>
        <v>0.11508615121522128</v>
      </c>
    </row>
    <row r="22" spans="1:4" x14ac:dyDescent="0.35">
      <c r="A22" s="17">
        <v>26755</v>
      </c>
      <c r="B22" s="58">
        <f>VLOOKUP(Table110[[#This Row],[Date]],database!A:H,3,)</f>
        <v>72.387200000000007</v>
      </c>
      <c r="C22" s="66">
        <f t="shared" si="0"/>
        <v>-1.6756609896467767E-3</v>
      </c>
      <c r="D22" s="66">
        <f>(Table110[[#This Row],[Index]]-B10)/B10</f>
        <v>0.10109337827724471</v>
      </c>
    </row>
    <row r="23" spans="1:4" x14ac:dyDescent="0.35">
      <c r="A23" s="17">
        <v>26785</v>
      </c>
      <c r="B23" s="58">
        <f>VLOOKUP(Table110[[#This Row],[Date]],database!A:H,3,)</f>
        <v>72.709199999999996</v>
      </c>
      <c r="C23" s="66">
        <f t="shared" si="0"/>
        <v>4.4483002519781767E-3</v>
      </c>
      <c r="D23" s="66">
        <f>(Table110[[#This Row],[Index]]-B11)/B11</f>
        <v>0.10025089204378657</v>
      </c>
    </row>
    <row r="24" spans="1:4" x14ac:dyDescent="0.35">
      <c r="A24" s="17">
        <v>26816</v>
      </c>
      <c r="B24" s="58">
        <f>VLOOKUP(Table110[[#This Row],[Date]],database!A:H,3,)</f>
        <v>72.888000000000005</v>
      </c>
      <c r="C24" s="66">
        <f t="shared" si="0"/>
        <v>2.4591110891056811E-3</v>
      </c>
      <c r="D24" s="66">
        <f>(Table110[[#This Row],[Index]]-B12)/B12</f>
        <v>9.3581912868131986E-2</v>
      </c>
    </row>
    <row r="25" spans="1:4" x14ac:dyDescent="0.35">
      <c r="A25" s="17">
        <v>26846</v>
      </c>
      <c r="B25" s="58">
        <f>VLOOKUP(Table110[[#This Row],[Date]],database!A:H,3,)</f>
        <v>73.473600000000005</v>
      </c>
      <c r="C25" s="66">
        <f t="shared" si="0"/>
        <v>8.0342443200527303E-3</v>
      </c>
      <c r="D25" s="66">
        <f>(Table110[[#This Row],[Index]]-B13)/B13</f>
        <v>8.7590646616229909E-2</v>
      </c>
    </row>
    <row r="26" spans="1:4" x14ac:dyDescent="0.35">
      <c r="A26" s="17">
        <v>26877</v>
      </c>
      <c r="B26" s="58">
        <f>VLOOKUP(Table110[[#This Row],[Date]],database!A:H,3,)</f>
        <v>73.5398</v>
      </c>
      <c r="C26" s="66">
        <f t="shared" si="0"/>
        <v>9.0100389799863123E-4</v>
      </c>
      <c r="D26" s="66">
        <f>(Table110[[#This Row],[Index]]-B14)/B14</f>
        <v>8.0803270930516313E-2</v>
      </c>
    </row>
    <row r="27" spans="1:4" x14ac:dyDescent="0.35">
      <c r="A27" s="17">
        <v>26908</v>
      </c>
      <c r="B27" s="58">
        <f>VLOOKUP(Table110[[#This Row],[Date]],database!A:H,3,)</f>
        <v>73.428700000000006</v>
      </c>
      <c r="C27" s="66">
        <f t="shared" si="0"/>
        <v>-1.5107465617256732E-3</v>
      </c>
      <c r="D27" s="66">
        <f>(Table110[[#This Row],[Index]]-B15)/B15</f>
        <v>6.9565990025170235E-2</v>
      </c>
    </row>
    <row r="28" spans="1:4" x14ac:dyDescent="0.35">
      <c r="A28" s="17">
        <v>26938</v>
      </c>
      <c r="B28" s="58">
        <f>VLOOKUP(Table110[[#This Row],[Date]],database!A:H,3,)</f>
        <v>73.403999999999996</v>
      </c>
      <c r="C28" s="66">
        <f t="shared" si="0"/>
        <v>-3.3638073396380364E-4</v>
      </c>
      <c r="D28" s="66">
        <f>(Table110[[#This Row],[Index]]-B16)/B16</f>
        <v>5.3197945945480649E-2</v>
      </c>
    </row>
    <row r="29" spans="1:4" x14ac:dyDescent="0.35">
      <c r="A29" s="17">
        <v>26969</v>
      </c>
      <c r="B29" s="58">
        <f>VLOOKUP(Table110[[#This Row],[Date]],database!A:H,3,)</f>
        <v>73.910300000000007</v>
      </c>
      <c r="C29" s="66">
        <f t="shared" si="0"/>
        <v>6.8974442809657255E-3</v>
      </c>
      <c r="D29" s="66">
        <f>(Table110[[#This Row],[Index]]-B17)/B17</f>
        <v>5.3243366489013018E-2</v>
      </c>
    </row>
    <row r="30" spans="1:4" x14ac:dyDescent="0.35">
      <c r="A30" s="17">
        <v>26999</v>
      </c>
      <c r="B30" s="58">
        <f>VLOOKUP(Table110[[#This Row],[Date]],database!A:H,3,)</f>
        <v>74.466999999999999</v>
      </c>
      <c r="C30" s="66">
        <f t="shared" si="0"/>
        <v>7.5321031033561692E-3</v>
      </c>
      <c r="D30" s="66">
        <f>(Table110[[#This Row],[Index]]-B18)/B18</f>
        <v>6.4603613250395681E-2</v>
      </c>
    </row>
    <row r="31" spans="1:4" x14ac:dyDescent="0.35">
      <c r="A31" s="17">
        <v>27030</v>
      </c>
      <c r="B31" s="58">
        <f>VLOOKUP(Table110[[#This Row],[Date]],database!A:H,3,)</f>
        <v>74.625</v>
      </c>
      <c r="C31" s="66">
        <f t="shared" si="0"/>
        <v>2.1217452025730221E-3</v>
      </c>
      <c r="D31" s="66">
        <f>(Table110[[#This Row],[Index]]-B19)/B19</f>
        <v>5.4345599299222308E-2</v>
      </c>
    </row>
    <row r="32" spans="1:4" x14ac:dyDescent="0.35">
      <c r="A32" s="17">
        <v>27061</v>
      </c>
      <c r="B32" s="58">
        <f>VLOOKUP(Table110[[#This Row],[Date]],database!A:H,3,)</f>
        <v>73.718199999999996</v>
      </c>
      <c r="C32" s="66">
        <f t="shared" si="0"/>
        <v>-1.2151423785594639E-2</v>
      </c>
      <c r="D32" s="66">
        <f>(Table110[[#This Row],[Index]]-B20)/B20</f>
        <v>2.2609771627295858E-2</v>
      </c>
    </row>
    <row r="33" spans="1:4" x14ac:dyDescent="0.35">
      <c r="A33" s="17">
        <v>27089</v>
      </c>
      <c r="B33" s="58">
        <f>VLOOKUP(Table110[[#This Row],[Date]],database!A:H,3,)</f>
        <v>73.888199999999998</v>
      </c>
      <c r="C33" s="66">
        <f t="shared" si="0"/>
        <v>2.306079095800051E-3</v>
      </c>
      <c r="D33" s="66">
        <f>(Table110[[#This Row],[Index]]-B21)/B21</f>
        <v>1.9025303170515994E-2</v>
      </c>
    </row>
    <row r="34" spans="1:4" x14ac:dyDescent="0.35">
      <c r="A34" s="17">
        <v>27120</v>
      </c>
      <c r="B34" s="58">
        <f>VLOOKUP(Table110[[#This Row],[Date]],database!A:H,3,)</f>
        <v>73.2333</v>
      </c>
      <c r="C34" s="66">
        <f t="shared" si="0"/>
        <v>-8.8633909068024375E-3</v>
      </c>
      <c r="D34" s="66">
        <f>(Table110[[#This Row],[Index]]-B22)/B22</f>
        <v>1.1688530568940264E-2</v>
      </c>
    </row>
    <row r="35" spans="1:4" x14ac:dyDescent="0.35">
      <c r="A35" s="17">
        <v>27150</v>
      </c>
      <c r="B35" s="58">
        <f>VLOOKUP(Table110[[#This Row],[Date]],database!A:H,3,)</f>
        <v>73.554299999999998</v>
      </c>
      <c r="C35" s="66">
        <f t="shared" si="0"/>
        <v>4.3832518813162746E-3</v>
      </c>
      <c r="D35" s="66">
        <f>(Table110[[#This Row],[Index]]-B23)/B23</f>
        <v>1.1623013318809754E-2</v>
      </c>
    </row>
    <row r="36" spans="1:4" x14ac:dyDescent="0.35">
      <c r="A36" s="17">
        <v>27181</v>
      </c>
      <c r="B36" s="58">
        <f>VLOOKUP(Table110[[#This Row],[Date]],database!A:H,3,)</f>
        <v>73.125100000000003</v>
      </c>
      <c r="C36" s="66">
        <f t="shared" si="0"/>
        <v>-5.8351449201473615E-3</v>
      </c>
      <c r="D36" s="66">
        <f>(Table110[[#This Row],[Index]]-B24)/B24</f>
        <v>3.2529360114147469E-3</v>
      </c>
    </row>
    <row r="37" spans="1:4" x14ac:dyDescent="0.35">
      <c r="A37" s="17">
        <v>27211</v>
      </c>
      <c r="B37" s="58">
        <f>VLOOKUP(Table110[[#This Row],[Date]],database!A:H,3,)</f>
        <v>71.787300000000002</v>
      </c>
      <c r="C37" s="66">
        <f t="shared" si="0"/>
        <v>-1.8294675836340701E-2</v>
      </c>
      <c r="D37" s="66">
        <f>(Table110[[#This Row],[Index]]-B25)/B25</f>
        <v>-2.2951100803553965E-2</v>
      </c>
    </row>
    <row r="38" spans="1:4" x14ac:dyDescent="0.35">
      <c r="A38" s="17">
        <v>27242</v>
      </c>
      <c r="B38" s="58">
        <f>VLOOKUP(Table110[[#This Row],[Date]],database!A:H,3,)</f>
        <v>70.847399999999993</v>
      </c>
      <c r="C38" s="66">
        <f t="shared" si="0"/>
        <v>-1.3092845113272245E-2</v>
      </c>
      <c r="D38" s="66">
        <f>(Table110[[#This Row],[Index]]-B26)/B26</f>
        <v>-3.6611467531867184E-2</v>
      </c>
    </row>
    <row r="39" spans="1:4" x14ac:dyDescent="0.35">
      <c r="A39" s="17">
        <v>27273</v>
      </c>
      <c r="B39" s="58">
        <f>VLOOKUP(Table110[[#This Row],[Date]],database!A:H,3,)</f>
        <v>70.371300000000005</v>
      </c>
      <c r="C39" s="66">
        <f t="shared" si="0"/>
        <v>-6.7200772364263139E-3</v>
      </c>
      <c r="D39" s="66">
        <f>(Table110[[#This Row],[Index]]-B27)/B27</f>
        <v>-4.1637670284234922E-2</v>
      </c>
    </row>
    <row r="40" spans="1:4" x14ac:dyDescent="0.35">
      <c r="A40" s="17">
        <v>27303</v>
      </c>
      <c r="B40" s="58">
        <f>VLOOKUP(Table110[[#This Row],[Date]],database!A:H,3,)</f>
        <v>69.118799999999993</v>
      </c>
      <c r="C40" s="66">
        <f t="shared" si="0"/>
        <v>-1.7798449083646473E-2</v>
      </c>
      <c r="D40" s="66">
        <f>(Table110[[#This Row],[Index]]-B28)/B28</f>
        <v>-5.8378290011443568E-2</v>
      </c>
    </row>
    <row r="41" spans="1:4" x14ac:dyDescent="0.35">
      <c r="A41" s="17">
        <v>27334</v>
      </c>
      <c r="B41" s="58">
        <f>VLOOKUP(Table110[[#This Row],[Date]],database!A:H,3,)</f>
        <v>66.942099999999996</v>
      </c>
      <c r="C41" s="66">
        <f t="shared" si="0"/>
        <v>-3.1492155535107647E-2</v>
      </c>
      <c r="D41" s="66">
        <f>(Table110[[#This Row],[Index]]-B29)/B29</f>
        <v>-9.4279146478907672E-2</v>
      </c>
    </row>
    <row r="42" spans="1:4" x14ac:dyDescent="0.35">
      <c r="A42" s="17">
        <v>27364</v>
      </c>
      <c r="B42" s="58">
        <f>VLOOKUP(Table110[[#This Row],[Date]],database!A:H,3,)</f>
        <v>63.830500000000001</v>
      </c>
      <c r="C42" s="66">
        <f t="shared" si="0"/>
        <v>-4.6481959783155835E-2</v>
      </c>
      <c r="D42" s="66">
        <f>(Table110[[#This Row],[Index]]-B30)/B30</f>
        <v>-0.1428350813111848</v>
      </c>
    </row>
    <row r="43" spans="1:4" x14ac:dyDescent="0.35">
      <c r="A43" s="17">
        <v>27395</v>
      </c>
      <c r="B43" s="58">
        <f>VLOOKUP(Table110[[#This Row],[Date]],database!A:H,3,)</f>
        <v>63.444000000000003</v>
      </c>
      <c r="C43" s="66">
        <f t="shared" si="0"/>
        <v>-6.0550990513938974E-3</v>
      </c>
      <c r="D43" s="66">
        <f>(Table110[[#This Row],[Index]]-B31)/B31</f>
        <v>-0.14982914572864317</v>
      </c>
    </row>
    <row r="44" spans="1:4" x14ac:dyDescent="0.35">
      <c r="A44" s="17">
        <v>27426</v>
      </c>
      <c r="B44" s="58">
        <f>VLOOKUP(Table110[[#This Row],[Date]],database!A:H,3,)</f>
        <v>61.563899999999997</v>
      </c>
      <c r="C44" s="66">
        <f t="shared" si="0"/>
        <v>-2.9634007944013718E-2</v>
      </c>
      <c r="D44" s="66">
        <f>(Table110[[#This Row],[Index]]-B32)/B32</f>
        <v>-0.16487515972989031</v>
      </c>
    </row>
    <row r="45" spans="1:4" x14ac:dyDescent="0.35">
      <c r="A45" s="17">
        <v>27454</v>
      </c>
      <c r="B45" s="58">
        <f>VLOOKUP(Table110[[#This Row],[Date]],database!A:H,3,)</f>
        <v>59.207799999999999</v>
      </c>
      <c r="C45" s="66">
        <f t="shared" si="0"/>
        <v>-3.8270804806063263E-2</v>
      </c>
      <c r="D45" s="66">
        <f>(Table110[[#This Row],[Index]]-B33)/B33</f>
        <v>-0.19868395765494354</v>
      </c>
    </row>
    <row r="46" spans="1:4" x14ac:dyDescent="0.35">
      <c r="A46" s="17">
        <v>27485</v>
      </c>
      <c r="B46" s="58">
        <f>VLOOKUP(Table110[[#This Row],[Date]],database!A:H,3,)</f>
        <v>58.7667</v>
      </c>
      <c r="C46" s="66">
        <f t="shared" si="0"/>
        <v>-7.4500319214697575E-3</v>
      </c>
      <c r="D46" s="66">
        <f>(Table110[[#This Row],[Index]]-B34)/B34</f>
        <v>-0.19754128244937752</v>
      </c>
    </row>
    <row r="47" spans="1:4" x14ac:dyDescent="0.35">
      <c r="A47" s="17">
        <v>27515</v>
      </c>
      <c r="B47" s="58">
        <f>VLOOKUP(Table110[[#This Row],[Date]],database!A:H,3,)</f>
        <v>58.735599999999998</v>
      </c>
      <c r="C47" s="66">
        <f t="shared" si="0"/>
        <v>-5.2921127100891141E-4</v>
      </c>
      <c r="D47" s="66">
        <f>(Table110[[#This Row],[Index]]-B35)/B35</f>
        <v>-0.20146612774508085</v>
      </c>
    </row>
    <row r="48" spans="1:4" x14ac:dyDescent="0.35">
      <c r="A48" s="17">
        <v>27546</v>
      </c>
      <c r="B48" s="58">
        <f>VLOOKUP(Table110[[#This Row],[Date]],database!A:H,3,)</f>
        <v>58.452100000000002</v>
      </c>
      <c r="C48" s="66">
        <f t="shared" si="0"/>
        <v>-4.8267149735423676E-3</v>
      </c>
      <c r="D48" s="66">
        <f>(Table110[[#This Row],[Index]]-B36)/B36</f>
        <v>-0.20065613585485698</v>
      </c>
    </row>
    <row r="49" spans="1:4" x14ac:dyDescent="0.35">
      <c r="A49" s="17">
        <v>27576</v>
      </c>
      <c r="B49" s="58">
        <f>VLOOKUP(Table110[[#This Row],[Date]],database!A:H,3,)</f>
        <v>59.186599999999999</v>
      </c>
      <c r="C49" s="66">
        <f t="shared" si="0"/>
        <v>1.2565844512002045E-2</v>
      </c>
      <c r="D49" s="66">
        <f>(Table110[[#This Row],[Index]]-B37)/B37</f>
        <v>-0.1755282619627706</v>
      </c>
    </row>
    <row r="50" spans="1:4" x14ac:dyDescent="0.35">
      <c r="A50" s="17">
        <v>27607</v>
      </c>
      <c r="B50" s="58">
        <f>VLOOKUP(Table110[[#This Row],[Date]],database!A:H,3,)</f>
        <v>59.916499999999999</v>
      </c>
      <c r="C50" s="66">
        <f t="shared" si="0"/>
        <v>1.2332183298246591E-2</v>
      </c>
      <c r="D50" s="66">
        <f>(Table110[[#This Row],[Index]]-B38)/B38</f>
        <v>-0.15428794846388147</v>
      </c>
    </row>
    <row r="51" spans="1:4" x14ac:dyDescent="0.35">
      <c r="A51" s="17">
        <v>27638</v>
      </c>
      <c r="B51" s="58">
        <f>VLOOKUP(Table110[[#This Row],[Date]],database!A:H,3,)</f>
        <v>60.567399999999999</v>
      </c>
      <c r="C51" s="66">
        <f t="shared" si="0"/>
        <v>1.086345163686131E-2</v>
      </c>
      <c r="D51" s="66">
        <f>(Table110[[#This Row],[Index]]-B39)/B39</f>
        <v>-0.13931673849992832</v>
      </c>
    </row>
    <row r="52" spans="1:4" x14ac:dyDescent="0.35">
      <c r="A52" s="17">
        <v>27668</v>
      </c>
      <c r="B52" s="58">
        <f>VLOOKUP(Table110[[#This Row],[Date]],database!A:H,3,)</f>
        <v>60.906500000000001</v>
      </c>
      <c r="C52" s="66">
        <f t="shared" si="0"/>
        <v>5.5987214243966577E-3</v>
      </c>
      <c r="D52" s="66">
        <f>(Table110[[#This Row],[Index]]-B40)/B40</f>
        <v>-0.11881427339595006</v>
      </c>
    </row>
    <row r="53" spans="1:4" x14ac:dyDescent="0.35">
      <c r="A53" s="17">
        <v>27699</v>
      </c>
      <c r="B53" s="58">
        <f>VLOOKUP(Table110[[#This Row],[Date]],database!A:H,3,)</f>
        <v>61.1569</v>
      </c>
      <c r="C53" s="66">
        <f t="shared" si="0"/>
        <v>4.1112196563584114E-3</v>
      </c>
      <c r="D53" s="66">
        <f>(Table110[[#This Row],[Index]]-B41)/B41</f>
        <v>-8.6420951837483384E-2</v>
      </c>
    </row>
    <row r="54" spans="1:4" x14ac:dyDescent="0.35">
      <c r="A54" s="17">
        <v>27729</v>
      </c>
      <c r="B54" s="58">
        <f>VLOOKUP(Table110[[#This Row],[Date]],database!A:H,3,)</f>
        <v>61.234499999999997</v>
      </c>
      <c r="C54" s="66">
        <f t="shared" si="0"/>
        <v>1.2688674540402012E-3</v>
      </c>
      <c r="D54" s="66">
        <f>(Table110[[#This Row],[Index]]-B42)/B42</f>
        <v>-4.0670212515960293E-2</v>
      </c>
    </row>
    <row r="55" spans="1:4" x14ac:dyDescent="0.35">
      <c r="A55" s="17">
        <v>27760</v>
      </c>
      <c r="B55" s="58">
        <f>VLOOKUP(Table110[[#This Row],[Date]],database!A:H,3,)</f>
        <v>62.6477</v>
      </c>
      <c r="C55" s="66">
        <f t="shared" si="0"/>
        <v>2.3078493333006822E-2</v>
      </c>
      <c r="D55" s="66">
        <f>(Table110[[#This Row],[Index]]-B43)/B43</f>
        <v>-1.2551226278292702E-2</v>
      </c>
    </row>
    <row r="56" spans="1:4" x14ac:dyDescent="0.35">
      <c r="A56" s="17">
        <v>27791</v>
      </c>
      <c r="B56" s="58">
        <f>VLOOKUP(Table110[[#This Row],[Date]],database!A:H,3,)</f>
        <v>63.766100000000002</v>
      </c>
      <c r="C56" s="66">
        <f t="shared" si="0"/>
        <v>1.7852211653420547E-2</v>
      </c>
      <c r="D56" s="66">
        <f>(Table110[[#This Row],[Index]]-B44)/B44</f>
        <v>3.5770963178096332E-2</v>
      </c>
    </row>
    <row r="57" spans="1:4" x14ac:dyDescent="0.35">
      <c r="A57" s="17">
        <v>27820</v>
      </c>
      <c r="B57" s="58">
        <f>VLOOKUP(Table110[[#This Row],[Date]],database!A:H,3,)</f>
        <v>62.821399999999997</v>
      </c>
      <c r="C57" s="66">
        <f t="shared" si="0"/>
        <v>-1.4815081994978607E-2</v>
      </c>
      <c r="D57" s="66">
        <f>(Table110[[#This Row],[Index]]-B45)/B45</f>
        <v>6.1032499096402806E-2</v>
      </c>
    </row>
    <row r="58" spans="1:4" x14ac:dyDescent="0.35">
      <c r="A58" s="17">
        <v>27851</v>
      </c>
      <c r="B58" s="58">
        <f>VLOOKUP(Table110[[#This Row],[Date]],database!A:H,3,)</f>
        <v>63.640900000000002</v>
      </c>
      <c r="C58" s="66">
        <f t="shared" si="0"/>
        <v>1.304491781463013E-2</v>
      </c>
      <c r="D58" s="66">
        <f>(Table110[[#This Row],[Index]]-B46)/B46</f>
        <v>8.2941529811951353E-2</v>
      </c>
    </row>
    <row r="59" spans="1:4" x14ac:dyDescent="0.35">
      <c r="A59" s="17">
        <v>27881</v>
      </c>
      <c r="B59" s="58">
        <f>VLOOKUP(Table110[[#This Row],[Date]],database!A:H,3,)</f>
        <v>64.331900000000005</v>
      </c>
      <c r="C59" s="66">
        <f t="shared" si="0"/>
        <v>1.0857797422726634E-2</v>
      </c>
      <c r="D59" s="66">
        <f>(Table110[[#This Row],[Index]]-B47)/B47</f>
        <v>9.5279523832224516E-2</v>
      </c>
    </row>
    <row r="60" spans="1:4" x14ac:dyDescent="0.35">
      <c r="A60" s="17">
        <v>27912</v>
      </c>
      <c r="B60" s="58">
        <f>VLOOKUP(Table110[[#This Row],[Date]],database!A:H,3,)</f>
        <v>64.845699999999994</v>
      </c>
      <c r="C60" s="66">
        <f t="shared" si="0"/>
        <v>7.9867064395733323E-3</v>
      </c>
      <c r="D60" s="66">
        <f>(Table110[[#This Row],[Index]]-B48)/B48</f>
        <v>0.10938186994137065</v>
      </c>
    </row>
    <row r="61" spans="1:4" x14ac:dyDescent="0.35">
      <c r="A61" s="17">
        <v>27942</v>
      </c>
      <c r="B61" s="58">
        <f>VLOOKUP(Table110[[#This Row],[Date]],database!A:H,3,)</f>
        <v>66.203999999999994</v>
      </c>
      <c r="C61" s="66">
        <f t="shared" si="0"/>
        <v>2.0946647194802326E-2</v>
      </c>
      <c r="D61" s="66">
        <f>(Table110[[#This Row],[Index]]-B49)/B49</f>
        <v>0.11856399928362155</v>
      </c>
    </row>
    <row r="62" spans="1:4" x14ac:dyDescent="0.35">
      <c r="A62" s="17">
        <v>27973</v>
      </c>
      <c r="B62" s="58">
        <f>VLOOKUP(Table110[[#This Row],[Date]],database!A:H,3,)</f>
        <v>65.555099999999996</v>
      </c>
      <c r="C62" s="66">
        <f t="shared" si="0"/>
        <v>-9.8015225666122641E-3</v>
      </c>
      <c r="D62" s="66">
        <f>(Table110[[#This Row],[Index]]-B50)/B50</f>
        <v>9.4107633122762463E-2</v>
      </c>
    </row>
    <row r="63" spans="1:4" x14ac:dyDescent="0.35">
      <c r="A63" s="17">
        <v>28004</v>
      </c>
      <c r="B63" s="58">
        <f>VLOOKUP(Table110[[#This Row],[Date]],database!A:H,3,)</f>
        <v>65.971900000000005</v>
      </c>
      <c r="C63" s="66">
        <f t="shared" si="0"/>
        <v>6.3580102844784658E-3</v>
      </c>
      <c r="D63" s="66">
        <f>(Table110[[#This Row],[Index]]-B51)/B51</f>
        <v>8.923117056370268E-2</v>
      </c>
    </row>
    <row r="64" spans="1:4" x14ac:dyDescent="0.35">
      <c r="A64" s="17">
        <v>28034</v>
      </c>
      <c r="B64" s="58">
        <f>VLOOKUP(Table110[[#This Row],[Date]],database!A:H,3,)</f>
        <v>65.941400000000002</v>
      </c>
      <c r="C64" s="66">
        <f t="shared" si="0"/>
        <v>-4.6231804753238404E-4</v>
      </c>
      <c r="D64" s="66">
        <f>(Table110[[#This Row],[Index]]-B52)/B52</f>
        <v>8.2666053705269554E-2</v>
      </c>
    </row>
    <row r="65" spans="1:4" x14ac:dyDescent="0.35">
      <c r="A65" s="17">
        <v>28065</v>
      </c>
      <c r="B65" s="58">
        <f>VLOOKUP(Table110[[#This Row],[Date]],database!A:H,3,)</f>
        <v>66.218500000000006</v>
      </c>
      <c r="C65" s="66">
        <f t="shared" si="0"/>
        <v>4.2022159068506593E-3</v>
      </c>
      <c r="D65" s="66">
        <f>(Table110[[#This Row],[Index]]-B53)/B53</f>
        <v>8.2764168883642006E-2</v>
      </c>
    </row>
    <row r="66" spans="1:4" x14ac:dyDescent="0.35">
      <c r="A66" s="17">
        <v>28095</v>
      </c>
      <c r="B66" s="58">
        <f>VLOOKUP(Table110[[#This Row],[Date]],database!A:H,3,)</f>
        <v>66.6845</v>
      </c>
      <c r="C66" s="66">
        <f t="shared" si="0"/>
        <v>7.0373083050807583E-3</v>
      </c>
      <c r="D66" s="66">
        <f>(Table110[[#This Row],[Index]]-B54)/B54</f>
        <v>8.9002114820893499E-2</v>
      </c>
    </row>
    <row r="67" spans="1:4" x14ac:dyDescent="0.35">
      <c r="A67" s="17">
        <v>28126</v>
      </c>
      <c r="B67" s="58">
        <f>VLOOKUP(Table110[[#This Row],[Date]],database!A:H,3,)</f>
        <v>65.534099999999995</v>
      </c>
      <c r="C67" s="66">
        <f t="shared" si="0"/>
        <v>-1.7251385254444473E-2</v>
      </c>
      <c r="D67" s="66">
        <f>(Table110[[#This Row],[Index]]-B55)/B55</f>
        <v>4.6073519059757893E-2</v>
      </c>
    </row>
    <row r="68" spans="1:4" x14ac:dyDescent="0.35">
      <c r="A68" s="17">
        <v>28157</v>
      </c>
      <c r="B68" s="58">
        <f>VLOOKUP(Table110[[#This Row],[Date]],database!A:H,3,)</f>
        <v>67.066500000000005</v>
      </c>
      <c r="C68" s="66">
        <f t="shared" si="0"/>
        <v>2.3383246279418124E-2</v>
      </c>
      <c r="D68" s="66">
        <f>(Table110[[#This Row],[Index]]-B56)/B56</f>
        <v>5.1757908982986309E-2</v>
      </c>
    </row>
    <row r="69" spans="1:4" x14ac:dyDescent="0.35">
      <c r="A69" s="17">
        <v>28185</v>
      </c>
      <c r="B69" s="58">
        <f>VLOOKUP(Table110[[#This Row],[Date]],database!A:H,3,)</f>
        <v>68.452299999999994</v>
      </c>
      <c r="C69" s="66">
        <f t="shared" si="0"/>
        <v>2.0663073218372574E-2</v>
      </c>
      <c r="D69" s="66">
        <f>(Table110[[#This Row],[Index]]-B57)/B57</f>
        <v>8.9633468849786804E-2</v>
      </c>
    </row>
    <row r="70" spans="1:4" x14ac:dyDescent="0.35">
      <c r="A70" s="17">
        <v>28216</v>
      </c>
      <c r="B70" s="58">
        <f>VLOOKUP(Table110[[#This Row],[Date]],database!A:H,3,)</f>
        <v>70.068600000000004</v>
      </c>
      <c r="C70" s="66">
        <f t="shared" si="0"/>
        <v>2.3612062706439563E-2</v>
      </c>
      <c r="D70" s="66">
        <f>(Table110[[#This Row],[Index]]-B58)/B58</f>
        <v>0.10099951446318328</v>
      </c>
    </row>
    <row r="71" spans="1:4" x14ac:dyDescent="0.35">
      <c r="A71" s="17">
        <v>28246</v>
      </c>
      <c r="B71" s="58">
        <f>VLOOKUP(Table110[[#This Row],[Date]],database!A:H,3,)</f>
        <v>71.106200000000001</v>
      </c>
      <c r="C71" s="66">
        <f t="shared" si="0"/>
        <v>1.4808344964791553E-2</v>
      </c>
      <c r="D71" s="66">
        <f>(Table110[[#This Row],[Index]]-B59)/B59</f>
        <v>0.10530234611444705</v>
      </c>
    </row>
    <row r="72" spans="1:4" x14ac:dyDescent="0.35">
      <c r="A72" s="17">
        <v>28277</v>
      </c>
      <c r="B72" s="58">
        <f>VLOOKUP(Table110[[#This Row],[Date]],database!A:H,3,)</f>
        <v>71.641599999999997</v>
      </c>
      <c r="C72" s="66">
        <f t="shared" ref="C72:C135" si="1">B72/B71-1</f>
        <v>7.5295825117922544E-3</v>
      </c>
      <c r="D72" s="66">
        <f>(Table110[[#This Row],[Index]]-B60)/B60</f>
        <v>0.10480108935519246</v>
      </c>
    </row>
    <row r="73" spans="1:4" x14ac:dyDescent="0.35">
      <c r="A73" s="17">
        <v>28307</v>
      </c>
      <c r="B73" s="58">
        <f>VLOOKUP(Table110[[#This Row],[Date]],database!A:H,3,)</f>
        <v>71.6815</v>
      </c>
      <c r="C73" s="66">
        <f t="shared" si="1"/>
        <v>5.5693898517072959E-4</v>
      </c>
      <c r="D73" s="66">
        <f>(Table110[[#This Row],[Index]]-B61)/B61</f>
        <v>8.2736692646970075E-2</v>
      </c>
    </row>
    <row r="74" spans="1:4" x14ac:dyDescent="0.35">
      <c r="A74" s="17">
        <v>28338</v>
      </c>
      <c r="B74" s="58">
        <f>VLOOKUP(Table110[[#This Row],[Date]],database!A:H,3,)</f>
        <v>72.269900000000007</v>
      </c>
      <c r="C74" s="66">
        <f t="shared" si="1"/>
        <v>8.2085335825841099E-3</v>
      </c>
      <c r="D74" s="66">
        <f>(Table110[[#This Row],[Index]]-B62)/B62</f>
        <v>0.10242986434312527</v>
      </c>
    </row>
    <row r="75" spans="1:4" x14ac:dyDescent="0.35">
      <c r="A75" s="17">
        <v>28369</v>
      </c>
      <c r="B75" s="58">
        <f>VLOOKUP(Table110[[#This Row],[Date]],database!A:H,3,)</f>
        <v>71.954700000000003</v>
      </c>
      <c r="C75" s="66">
        <f t="shared" si="1"/>
        <v>-4.361428478522944E-3</v>
      </c>
      <c r="D75" s="66">
        <f>(Table110[[#This Row],[Index]]-B63)/B63</f>
        <v>9.0687095566445663E-2</v>
      </c>
    </row>
    <row r="76" spans="1:4" x14ac:dyDescent="0.35">
      <c r="A76" s="17">
        <v>28399</v>
      </c>
      <c r="B76" s="58">
        <f>VLOOKUP(Table110[[#This Row],[Date]],database!A:H,3,)</f>
        <v>71.928600000000003</v>
      </c>
      <c r="C76" s="66">
        <f t="shared" si="1"/>
        <v>-3.6272821650285003E-4</v>
      </c>
      <c r="D76" s="66">
        <f>(Table110[[#This Row],[Index]]-B64)/B64</f>
        <v>9.0795767150833942E-2</v>
      </c>
    </row>
    <row r="77" spans="1:4" x14ac:dyDescent="0.35">
      <c r="A77" s="17">
        <v>28430</v>
      </c>
      <c r="B77" s="58">
        <f>VLOOKUP(Table110[[#This Row],[Date]],database!A:H,3,)</f>
        <v>72.263300000000001</v>
      </c>
      <c r="C77" s="66">
        <f t="shared" si="1"/>
        <v>4.6532255597913075E-3</v>
      </c>
      <c r="D77" s="66">
        <f>(Table110[[#This Row],[Index]]-B65)/B65</f>
        <v>9.1285667902474305E-2</v>
      </c>
    </row>
    <row r="78" spans="1:4" x14ac:dyDescent="0.35">
      <c r="A78" s="17">
        <v>28460</v>
      </c>
      <c r="B78" s="58">
        <f>VLOOKUP(Table110[[#This Row],[Date]],database!A:H,3,)</f>
        <v>72.997299999999996</v>
      </c>
      <c r="C78" s="66">
        <f t="shared" si="1"/>
        <v>1.0157299763503769E-2</v>
      </c>
      <c r="D78" s="66">
        <f>(Table110[[#This Row],[Index]]-B66)/B66</f>
        <v>9.4666676663992325E-2</v>
      </c>
    </row>
    <row r="79" spans="1:4" x14ac:dyDescent="0.35">
      <c r="A79" s="17">
        <v>28491</v>
      </c>
      <c r="B79" s="58">
        <f>VLOOKUP(Table110[[#This Row],[Date]],database!A:H,3,)</f>
        <v>71.593699999999998</v>
      </c>
      <c r="C79" s="66">
        <f t="shared" si="1"/>
        <v>-1.9228108436887381E-2</v>
      </c>
      <c r="D79" s="66">
        <f>(Table110[[#This Row],[Index]]-B67)/B67</f>
        <v>9.246483891592322E-2</v>
      </c>
    </row>
    <row r="80" spans="1:4" x14ac:dyDescent="0.35">
      <c r="A80" s="17">
        <v>28522</v>
      </c>
      <c r="B80" s="58">
        <f>VLOOKUP(Table110[[#This Row],[Date]],database!A:H,3,)</f>
        <v>71.366</v>
      </c>
      <c r="C80" s="66">
        <f t="shared" si="1"/>
        <v>-3.1804474416045059E-3</v>
      </c>
      <c r="D80" s="66">
        <f>(Table110[[#This Row],[Index]]-B68)/B68</f>
        <v>6.4108012196849307E-2</v>
      </c>
    </row>
    <row r="81" spans="1:4" x14ac:dyDescent="0.35">
      <c r="A81" s="17">
        <v>28550</v>
      </c>
      <c r="B81" s="58">
        <f>VLOOKUP(Table110[[#This Row],[Date]],database!A:H,3,)</f>
        <v>72.692400000000006</v>
      </c>
      <c r="C81" s="66">
        <f t="shared" si="1"/>
        <v>1.8585881231959256E-2</v>
      </c>
      <c r="D81" s="66">
        <f>(Table110[[#This Row],[Index]]-B69)/B69</f>
        <v>6.1942403688408025E-2</v>
      </c>
    </row>
    <row r="82" spans="1:4" x14ac:dyDescent="0.35">
      <c r="A82" s="17">
        <v>28581</v>
      </c>
      <c r="B82" s="58">
        <f>VLOOKUP(Table110[[#This Row],[Date]],database!A:H,3,)</f>
        <v>74.316999999999993</v>
      </c>
      <c r="C82" s="66">
        <f t="shared" si="1"/>
        <v>2.2348966329354791E-2</v>
      </c>
      <c r="D82" s="66">
        <f>(Table110[[#This Row],[Index]]-B70)/B70</f>
        <v>6.0632009202410055E-2</v>
      </c>
    </row>
    <row r="83" spans="1:4" x14ac:dyDescent="0.35">
      <c r="A83" s="17">
        <v>28611</v>
      </c>
      <c r="B83" s="58">
        <f>VLOOKUP(Table110[[#This Row],[Date]],database!A:H,3,)</f>
        <v>74.287199999999999</v>
      </c>
      <c r="C83" s="66">
        <f t="shared" si="1"/>
        <v>-4.0098496979146248E-4</v>
      </c>
      <c r="D83" s="66">
        <f>(Table110[[#This Row],[Index]]-B71)/B71</f>
        <v>4.4735902073236897E-2</v>
      </c>
    </row>
    <row r="84" spans="1:4" x14ac:dyDescent="0.35">
      <c r="A84" s="17">
        <v>28642</v>
      </c>
      <c r="B84" s="58">
        <f>VLOOKUP(Table110[[#This Row],[Date]],database!A:H,3,)</f>
        <v>74.912999999999997</v>
      </c>
      <c r="C84" s="66">
        <f t="shared" si="1"/>
        <v>8.4240622879849791E-3</v>
      </c>
      <c r="D84" s="66">
        <f>(Table110[[#This Row],[Index]]-B72)/B72</f>
        <v>4.5663413435769164E-2</v>
      </c>
    </row>
    <row r="85" spans="1:4" x14ac:dyDescent="0.35">
      <c r="A85" s="17">
        <v>28672</v>
      </c>
      <c r="B85" s="58">
        <f>VLOOKUP(Table110[[#This Row],[Date]],database!A:H,3,)</f>
        <v>74.765500000000003</v>
      </c>
      <c r="C85" s="66">
        <f t="shared" si="1"/>
        <v>-1.9689506494199316E-3</v>
      </c>
      <c r="D85" s="66">
        <f>(Table110[[#This Row],[Index]]-B73)/B73</f>
        <v>4.3023653243863522E-2</v>
      </c>
    </row>
    <row r="86" spans="1:4" x14ac:dyDescent="0.35">
      <c r="A86" s="17">
        <v>28703</v>
      </c>
      <c r="B86" s="58">
        <f>VLOOKUP(Table110[[#This Row],[Date]],database!A:H,3,)</f>
        <v>74.903400000000005</v>
      </c>
      <c r="C86" s="66">
        <f t="shared" si="1"/>
        <v>1.8444335957092939E-3</v>
      </c>
      <c r="D86" s="66">
        <f>(Table110[[#This Row],[Index]]-B74)/B74</f>
        <v>3.6439790286135691E-2</v>
      </c>
    </row>
    <row r="87" spans="1:4" x14ac:dyDescent="0.35">
      <c r="A87" s="17">
        <v>28734</v>
      </c>
      <c r="B87" s="58">
        <f>VLOOKUP(Table110[[#This Row],[Date]],database!A:H,3,)</f>
        <v>75.191100000000006</v>
      </c>
      <c r="C87" s="66">
        <f t="shared" si="1"/>
        <v>3.8409471399161177E-3</v>
      </c>
      <c r="D87" s="66">
        <f>(Table110[[#This Row],[Index]]-B75)/B75</f>
        <v>4.4978298846357546E-2</v>
      </c>
    </row>
    <row r="88" spans="1:4" x14ac:dyDescent="0.35">
      <c r="A88" s="17">
        <v>28764</v>
      </c>
      <c r="B88" s="58">
        <f>VLOOKUP(Table110[[#This Row],[Date]],database!A:H,3,)</f>
        <v>75.919899999999998</v>
      </c>
      <c r="C88" s="66">
        <f t="shared" si="1"/>
        <v>9.6926364955425282E-3</v>
      </c>
      <c r="D88" s="66">
        <f>(Table110[[#This Row],[Index]]-B76)/B76</f>
        <v>5.5489749557199715E-2</v>
      </c>
    </row>
    <row r="89" spans="1:4" x14ac:dyDescent="0.35">
      <c r="A89" s="17">
        <v>28795</v>
      </c>
      <c r="B89" s="58">
        <f>VLOOKUP(Table110[[#This Row],[Date]],database!A:H,3,)</f>
        <v>76.426599999999993</v>
      </c>
      <c r="C89" s="66">
        <f t="shared" si="1"/>
        <v>6.6741394548728294E-3</v>
      </c>
      <c r="D89" s="66">
        <f>(Table110[[#This Row],[Index]]-B77)/B77</f>
        <v>5.7612923849312062E-2</v>
      </c>
    </row>
    <row r="90" spans="1:4" x14ac:dyDescent="0.35">
      <c r="A90" s="17">
        <v>28825</v>
      </c>
      <c r="B90" s="58">
        <f>VLOOKUP(Table110[[#This Row],[Date]],database!A:H,3,)</f>
        <v>77.658600000000007</v>
      </c>
      <c r="C90" s="66">
        <f t="shared" si="1"/>
        <v>1.6120041974914567E-2</v>
      </c>
      <c r="D90" s="66">
        <f>(Table110[[#This Row],[Index]]-B78)/B78</f>
        <v>6.3855786446896143E-2</v>
      </c>
    </row>
    <row r="91" spans="1:4" x14ac:dyDescent="0.35">
      <c r="A91" s="17">
        <v>28856</v>
      </c>
      <c r="B91" s="58">
        <f>VLOOKUP(Table110[[#This Row],[Date]],database!A:H,3,)</f>
        <v>75.808599999999998</v>
      </c>
      <c r="C91" s="66">
        <f t="shared" si="1"/>
        <v>-2.3822216728089485E-2</v>
      </c>
      <c r="D91" s="66">
        <f>(Table110[[#This Row],[Index]]-B79)/B79</f>
        <v>5.8872498557834003E-2</v>
      </c>
    </row>
    <row r="92" spans="1:4" x14ac:dyDescent="0.35">
      <c r="A92" s="17">
        <v>28887</v>
      </c>
      <c r="B92" s="58">
        <f>VLOOKUP(Table110[[#This Row],[Date]],database!A:H,3,)</f>
        <v>76.250600000000006</v>
      </c>
      <c r="C92" s="66">
        <f t="shared" si="1"/>
        <v>5.8304730597849019E-3</v>
      </c>
      <c r="D92" s="66">
        <f>(Table110[[#This Row],[Index]]-B80)/B80</f>
        <v>6.8444357256957175E-2</v>
      </c>
    </row>
    <row r="93" spans="1:4" x14ac:dyDescent="0.35">
      <c r="A93" s="17">
        <v>28915</v>
      </c>
      <c r="B93" s="58">
        <f>VLOOKUP(Table110[[#This Row],[Date]],database!A:H,3,)</f>
        <v>77.22</v>
      </c>
      <c r="C93" s="66">
        <f t="shared" si="1"/>
        <v>1.2713342583533738E-2</v>
      </c>
      <c r="D93" s="66">
        <f>(Table110[[#This Row],[Index]]-B81)/B81</f>
        <v>6.2284365353186745E-2</v>
      </c>
    </row>
    <row r="94" spans="1:4" x14ac:dyDescent="0.35">
      <c r="A94" s="17">
        <v>28946</v>
      </c>
      <c r="B94" s="58">
        <f>VLOOKUP(Table110[[#This Row],[Date]],database!A:H,3,)</f>
        <v>75.941199999999995</v>
      </c>
      <c r="C94" s="66">
        <f t="shared" si="1"/>
        <v>-1.6560476560476656E-2</v>
      </c>
      <c r="D94" s="66">
        <f>(Table110[[#This Row],[Index]]-B82)/B82</f>
        <v>2.1855026440787465E-2</v>
      </c>
    </row>
    <row r="95" spans="1:4" x14ac:dyDescent="0.35">
      <c r="A95" s="17">
        <v>28976</v>
      </c>
      <c r="B95" s="58">
        <f>VLOOKUP(Table110[[#This Row],[Date]],database!A:H,3,)</f>
        <v>76.488699999999994</v>
      </c>
      <c r="C95" s="66">
        <f t="shared" si="1"/>
        <v>7.2095252642834229E-3</v>
      </c>
      <c r="D95" s="66">
        <f>(Table110[[#This Row],[Index]]-B83)/B83</f>
        <v>2.9634984223392398E-2</v>
      </c>
    </row>
    <row r="96" spans="1:4" x14ac:dyDescent="0.35">
      <c r="A96" s="17">
        <v>29007</v>
      </c>
      <c r="B96" s="58">
        <f>VLOOKUP(Table110[[#This Row],[Date]],database!A:H,3,)</f>
        <v>76.791300000000007</v>
      </c>
      <c r="C96" s="66">
        <f t="shared" si="1"/>
        <v>3.9561399265513053E-3</v>
      </c>
      <c r="D96" s="66">
        <f>(Table110[[#This Row],[Index]]-B84)/B84</f>
        <v>2.5073084778343014E-2</v>
      </c>
    </row>
    <row r="97" spans="1:4" x14ac:dyDescent="0.35">
      <c r="A97" s="17">
        <v>29037</v>
      </c>
      <c r="B97" s="58">
        <f>VLOOKUP(Table110[[#This Row],[Date]],database!A:H,3,)</f>
        <v>76.8429</v>
      </c>
      <c r="C97" s="66">
        <f t="shared" si="1"/>
        <v>6.7195111946261044E-4</v>
      </c>
      <c r="D97" s="66">
        <f>(Table110[[#This Row],[Index]]-B85)/B85</f>
        <v>2.7785542797145703E-2</v>
      </c>
    </row>
    <row r="98" spans="1:4" x14ac:dyDescent="0.35">
      <c r="A98" s="17">
        <v>29068</v>
      </c>
      <c r="B98" s="58">
        <f>VLOOKUP(Table110[[#This Row],[Date]],database!A:H,3,)</f>
        <v>76.093100000000007</v>
      </c>
      <c r="C98" s="66">
        <f t="shared" si="1"/>
        <v>-9.7575703155398097E-3</v>
      </c>
      <c r="D98" s="66">
        <f>(Table110[[#This Row],[Index]]-B86)/B86</f>
        <v>1.5883124130546836E-2</v>
      </c>
    </row>
    <row r="99" spans="1:4" x14ac:dyDescent="0.35">
      <c r="A99" s="17">
        <v>29099</v>
      </c>
      <c r="B99" s="58">
        <f>VLOOKUP(Table110[[#This Row],[Date]],database!A:H,3,)</f>
        <v>76.1554</v>
      </c>
      <c r="C99" s="66">
        <f t="shared" si="1"/>
        <v>8.1873389308606548E-4</v>
      </c>
      <c r="D99" s="66">
        <f>(Table110[[#This Row],[Index]]-B87)/B87</f>
        <v>1.2824656109566084E-2</v>
      </c>
    </row>
    <row r="100" spans="1:4" x14ac:dyDescent="0.35">
      <c r="A100" s="17">
        <v>29129</v>
      </c>
      <c r="B100" s="58">
        <f>VLOOKUP(Table110[[#This Row],[Date]],database!A:H,3,)</f>
        <v>76.816400000000002</v>
      </c>
      <c r="C100" s="66">
        <f t="shared" si="1"/>
        <v>8.6796208804629238E-3</v>
      </c>
      <c r="D100" s="66">
        <f>(Table110[[#This Row],[Index]]-B88)/B88</f>
        <v>1.1808498167147258E-2</v>
      </c>
    </row>
    <row r="101" spans="1:4" x14ac:dyDescent="0.35">
      <c r="A101" s="17">
        <v>29160</v>
      </c>
      <c r="B101" s="58">
        <f>VLOOKUP(Table110[[#This Row],[Date]],database!A:H,3,)</f>
        <v>76.658199999999994</v>
      </c>
      <c r="C101" s="66">
        <f t="shared" si="1"/>
        <v>-2.0594560536553175E-3</v>
      </c>
      <c r="D101" s="66">
        <f>(Table110[[#This Row],[Index]]-B89)/B89</f>
        <v>3.0303585400894488E-3</v>
      </c>
    </row>
    <row r="102" spans="1:4" x14ac:dyDescent="0.35">
      <c r="A102" s="17">
        <v>29190</v>
      </c>
      <c r="B102" s="58">
        <f>VLOOKUP(Table110[[#This Row],[Date]],database!A:H,3,)</f>
        <v>76.903099999999995</v>
      </c>
      <c r="C102" s="66">
        <f t="shared" si="1"/>
        <v>3.1947006321568772E-3</v>
      </c>
      <c r="D102" s="66">
        <f>(Table110[[#This Row],[Index]]-B90)/B90</f>
        <v>-9.7284782367955645E-3</v>
      </c>
    </row>
    <row r="103" spans="1:4" x14ac:dyDescent="0.35">
      <c r="A103" s="17">
        <v>29221</v>
      </c>
      <c r="B103" s="58">
        <f>VLOOKUP(Table110[[#This Row],[Date]],database!A:H,3,)</f>
        <v>76.713999999999999</v>
      </c>
      <c r="C103" s="66">
        <f t="shared" si="1"/>
        <v>-2.4589385863508229E-3</v>
      </c>
      <c r="D103" s="66">
        <f>(Table110[[#This Row],[Index]]-B91)/B91</f>
        <v>1.1943235991694877E-2</v>
      </c>
    </row>
    <row r="104" spans="1:4" x14ac:dyDescent="0.35">
      <c r="A104" s="17">
        <v>29252</v>
      </c>
      <c r="B104" s="58">
        <f>VLOOKUP(Table110[[#This Row],[Date]],database!A:H,3,)</f>
        <v>75.557299999999998</v>
      </c>
      <c r="C104" s="66">
        <f t="shared" si="1"/>
        <v>-1.5078082227494294E-2</v>
      </c>
      <c r="D104" s="66">
        <f>(Table110[[#This Row],[Index]]-B92)/B92</f>
        <v>-9.092387469738044E-3</v>
      </c>
    </row>
    <row r="105" spans="1:4" x14ac:dyDescent="0.35">
      <c r="A105" s="17">
        <v>29281</v>
      </c>
      <c r="B105" s="58">
        <f>VLOOKUP(Table110[[#This Row],[Date]],database!A:H,3,)</f>
        <v>74.575999999999993</v>
      </c>
      <c r="C105" s="66">
        <f t="shared" si="1"/>
        <v>-1.2987494259323773E-2</v>
      </c>
      <c r="D105" s="66">
        <f>(Table110[[#This Row],[Index]]-B93)/B93</f>
        <v>-3.4239834239834309E-2</v>
      </c>
    </row>
    <row r="106" spans="1:4" x14ac:dyDescent="0.35">
      <c r="A106" s="17">
        <v>29312</v>
      </c>
      <c r="B106" s="58">
        <f>VLOOKUP(Table110[[#This Row],[Date]],database!A:H,3,)</f>
        <v>71.169399999999996</v>
      </c>
      <c r="C106" s="66">
        <f t="shared" si="1"/>
        <v>-4.5679575198455225E-2</v>
      </c>
      <c r="D106" s="66">
        <f>(Table110[[#This Row],[Index]]-B94)/B94</f>
        <v>-6.2835456906132625E-2</v>
      </c>
    </row>
    <row r="107" spans="1:4" x14ac:dyDescent="0.35">
      <c r="A107" s="17">
        <v>29342</v>
      </c>
      <c r="B107" s="58">
        <f>VLOOKUP(Table110[[#This Row],[Date]],database!A:H,3,)</f>
        <v>68.251800000000003</v>
      </c>
      <c r="C107" s="66">
        <f t="shared" si="1"/>
        <v>-4.0995146790615E-2</v>
      </c>
      <c r="D107" s="66">
        <f>(Table110[[#This Row],[Index]]-B95)/B95</f>
        <v>-0.1076878022505284</v>
      </c>
    </row>
    <row r="108" spans="1:4" x14ac:dyDescent="0.35">
      <c r="A108" s="17">
        <v>29373</v>
      </c>
      <c r="B108" s="58">
        <f>VLOOKUP(Table110[[#This Row],[Date]],database!A:H,3,)</f>
        <v>66.935000000000002</v>
      </c>
      <c r="C108" s="66">
        <f t="shared" si="1"/>
        <v>-1.9293264060435078E-2</v>
      </c>
      <c r="D108" s="66">
        <f>(Table110[[#This Row],[Index]]-B96)/B96</f>
        <v>-0.1283517794333473</v>
      </c>
    </row>
    <row r="109" spans="1:4" x14ac:dyDescent="0.35">
      <c r="A109" s="17">
        <v>29403</v>
      </c>
      <c r="B109" s="58">
        <f>VLOOKUP(Table110[[#This Row],[Date]],database!A:H,3,)</f>
        <v>66.327799999999996</v>
      </c>
      <c r="C109" s="66">
        <f t="shared" si="1"/>
        <v>-9.0714872637633892E-3</v>
      </c>
      <c r="D109" s="66">
        <f>(Table110[[#This Row],[Index]]-B97)/B97</f>
        <v>-0.13683892721383503</v>
      </c>
    </row>
    <row r="110" spans="1:4" x14ac:dyDescent="0.35">
      <c r="A110" s="17">
        <v>29434</v>
      </c>
      <c r="B110" s="58">
        <f>VLOOKUP(Table110[[#This Row],[Date]],database!A:H,3,)</f>
        <v>67.293199999999999</v>
      </c>
      <c r="C110" s="66">
        <f t="shared" si="1"/>
        <v>1.455498297847968E-2</v>
      </c>
      <c r="D110" s="66">
        <f>(Table110[[#This Row],[Index]]-B98)/B98</f>
        <v>-0.11564649094333136</v>
      </c>
    </row>
    <row r="111" spans="1:4" x14ac:dyDescent="0.35">
      <c r="A111" s="17">
        <v>29465</v>
      </c>
      <c r="B111" s="58">
        <f>VLOOKUP(Table110[[#This Row],[Date]],database!A:H,3,)</f>
        <v>68.9876</v>
      </c>
      <c r="C111" s="66">
        <f t="shared" si="1"/>
        <v>2.5179364333989263E-2</v>
      </c>
      <c r="D111" s="66">
        <f>(Table110[[#This Row],[Index]]-B99)/B99</f>
        <v>-9.4120705819941849E-2</v>
      </c>
    </row>
    <row r="112" spans="1:4" x14ac:dyDescent="0.35">
      <c r="A112" s="17">
        <v>29495</v>
      </c>
      <c r="B112" s="58">
        <f>VLOOKUP(Table110[[#This Row],[Date]],database!A:H,3,)</f>
        <v>70.4298</v>
      </c>
      <c r="C112" s="66">
        <f t="shared" si="1"/>
        <v>2.0905206152989741E-2</v>
      </c>
      <c r="D112" s="66">
        <f>(Table110[[#This Row],[Index]]-B100)/B100</f>
        <v>-8.3141100077587612E-2</v>
      </c>
    </row>
    <row r="113" spans="1:4" x14ac:dyDescent="0.35">
      <c r="A113" s="17">
        <v>29526</v>
      </c>
      <c r="B113" s="58">
        <f>VLOOKUP(Table110[[#This Row],[Date]],database!A:H,3,)</f>
        <v>71.842500000000001</v>
      </c>
      <c r="C113" s="66">
        <f t="shared" si="1"/>
        <v>2.0058270788785526E-2</v>
      </c>
      <c r="D113" s="66">
        <f>(Table110[[#This Row],[Index]]-B101)/B101</f>
        <v>-6.2820415819833927E-2</v>
      </c>
    </row>
    <row r="114" spans="1:4" x14ac:dyDescent="0.35">
      <c r="A114" s="17">
        <v>29556</v>
      </c>
      <c r="B114" s="58">
        <f>VLOOKUP(Table110[[#This Row],[Date]],database!A:H,3,)</f>
        <v>71.8733</v>
      </c>
      <c r="C114" s="66">
        <f t="shared" si="1"/>
        <v>4.2871559313772956E-4</v>
      </c>
      <c r="D114" s="66">
        <f>(Table110[[#This Row],[Index]]-B102)/B102</f>
        <v>-6.5404385518919195E-2</v>
      </c>
    </row>
    <row r="115" spans="1:4" x14ac:dyDescent="0.35">
      <c r="A115" s="17">
        <v>29587</v>
      </c>
      <c r="B115" s="58">
        <f>VLOOKUP(Table110[[#This Row],[Date]],database!A:H,3,)</f>
        <v>71.6096</v>
      </c>
      <c r="C115" s="66">
        <f t="shared" si="1"/>
        <v>-3.6689563440108763E-3</v>
      </c>
      <c r="D115" s="66">
        <f>(Table110[[#This Row],[Index]]-B103)/B103</f>
        <v>-6.6538050421044381E-2</v>
      </c>
    </row>
    <row r="116" spans="1:4" x14ac:dyDescent="0.35">
      <c r="A116" s="17">
        <v>29618</v>
      </c>
      <c r="B116" s="58">
        <f>VLOOKUP(Table110[[#This Row],[Date]],database!A:H,3,)</f>
        <v>71.013999999999996</v>
      </c>
      <c r="C116" s="66">
        <f t="shared" si="1"/>
        <v>-8.3173205827152819E-3</v>
      </c>
      <c r="D116" s="66">
        <f>(Table110[[#This Row],[Index]]-B104)/B104</f>
        <v>-6.013052345703198E-2</v>
      </c>
    </row>
    <row r="117" spans="1:4" x14ac:dyDescent="0.35">
      <c r="A117" s="17">
        <v>29646</v>
      </c>
      <c r="B117" s="58">
        <f>VLOOKUP(Table110[[#This Row],[Date]],database!A:H,3,)</f>
        <v>71.263999999999996</v>
      </c>
      <c r="C117" s="66">
        <f t="shared" si="1"/>
        <v>3.5204325907567391E-3</v>
      </c>
      <c r="D117" s="66">
        <f>(Table110[[#This Row],[Index]]-B105)/B105</f>
        <v>-4.4411070585711192E-2</v>
      </c>
    </row>
    <row r="118" spans="1:4" x14ac:dyDescent="0.35">
      <c r="A118" s="17">
        <v>29677</v>
      </c>
      <c r="B118" s="58">
        <f>VLOOKUP(Table110[[#This Row],[Date]],database!A:H,3,)</f>
        <v>71.272900000000007</v>
      </c>
      <c r="C118" s="66">
        <f t="shared" si="1"/>
        <v>1.2488774135621661E-4</v>
      </c>
      <c r="D118" s="66">
        <f>(Table110[[#This Row],[Index]]-B106)/B106</f>
        <v>1.454276697569616E-3</v>
      </c>
    </row>
    <row r="119" spans="1:4" x14ac:dyDescent="0.35">
      <c r="A119" s="17">
        <v>29707</v>
      </c>
      <c r="B119" s="58">
        <f>VLOOKUP(Table110[[#This Row],[Date]],database!A:H,3,)</f>
        <v>71.253600000000006</v>
      </c>
      <c r="C119" s="66">
        <f t="shared" si="1"/>
        <v>-2.7079016007491852E-4</v>
      </c>
      <c r="D119" s="66">
        <f>(Table110[[#This Row],[Index]]-B107)/B107</f>
        <v>4.3981257637161257E-2</v>
      </c>
    </row>
    <row r="120" spans="1:4" x14ac:dyDescent="0.35">
      <c r="A120" s="17">
        <v>29738</v>
      </c>
      <c r="B120" s="58">
        <f>VLOOKUP(Table110[[#This Row],[Date]],database!A:H,3,)</f>
        <v>70.159599999999998</v>
      </c>
      <c r="C120" s="66">
        <f t="shared" si="1"/>
        <v>-1.5353610203554746E-2</v>
      </c>
      <c r="D120" s="66">
        <f>(Table110[[#This Row],[Index]]-B108)/B108</f>
        <v>4.8175095241652276E-2</v>
      </c>
    </row>
    <row r="121" spans="1:4" x14ac:dyDescent="0.35">
      <c r="A121" s="17">
        <v>29768</v>
      </c>
      <c r="B121" s="58">
        <f>VLOOKUP(Table110[[#This Row],[Date]],database!A:H,3,)</f>
        <v>70.362499999999997</v>
      </c>
      <c r="C121" s="66">
        <f t="shared" si="1"/>
        <v>2.8919777193712193E-3</v>
      </c>
      <c r="D121" s="66">
        <f>(Table110[[#This Row],[Index]]-B109)/B109</f>
        <v>6.0829697351638394E-2</v>
      </c>
    </row>
    <row r="122" spans="1:4" x14ac:dyDescent="0.35">
      <c r="A122" s="17">
        <v>29799</v>
      </c>
      <c r="B122" s="58">
        <f>VLOOKUP(Table110[[#This Row],[Date]],database!A:H,3,)</f>
        <v>70.135000000000005</v>
      </c>
      <c r="C122" s="66">
        <f t="shared" si="1"/>
        <v>-3.2332563510391044E-3</v>
      </c>
      <c r="D122" s="66">
        <f>(Table110[[#This Row],[Index]]-B110)/B110</f>
        <v>4.2230121319836271E-2</v>
      </c>
    </row>
    <row r="123" spans="1:4" x14ac:dyDescent="0.35">
      <c r="A123" s="17">
        <v>29830</v>
      </c>
      <c r="B123" s="58">
        <f>VLOOKUP(Table110[[#This Row],[Date]],database!A:H,3,)</f>
        <v>69.756600000000006</v>
      </c>
      <c r="C123" s="66">
        <f t="shared" si="1"/>
        <v>-5.3953090468382703E-3</v>
      </c>
      <c r="D123" s="66">
        <f>(Table110[[#This Row],[Index]]-B111)/B111</f>
        <v>1.1146930752773041E-2</v>
      </c>
    </row>
    <row r="124" spans="1:4" x14ac:dyDescent="0.35">
      <c r="A124" s="17">
        <v>29860</v>
      </c>
      <c r="B124" s="58">
        <f>VLOOKUP(Table110[[#This Row],[Date]],database!A:H,3,)</f>
        <v>67.570599999999999</v>
      </c>
      <c r="C124" s="66">
        <f t="shared" si="1"/>
        <v>-3.1337536519841946E-2</v>
      </c>
      <c r="D124" s="66">
        <f>(Table110[[#This Row],[Index]]-B112)/B112</f>
        <v>-4.059645207000448E-2</v>
      </c>
    </row>
    <row r="125" spans="1:4" x14ac:dyDescent="0.35">
      <c r="A125" s="17">
        <v>29891</v>
      </c>
      <c r="B125" s="58">
        <f>VLOOKUP(Table110[[#This Row],[Date]],database!A:H,3,)</f>
        <v>66.510300000000001</v>
      </c>
      <c r="C125" s="66">
        <f t="shared" si="1"/>
        <v>-1.5691735754899239E-2</v>
      </c>
      <c r="D125" s="66">
        <f>(Table110[[#This Row],[Index]]-B113)/B113</f>
        <v>-7.4220691095103875E-2</v>
      </c>
    </row>
    <row r="126" spans="1:4" x14ac:dyDescent="0.35">
      <c r="A126" s="17">
        <v>29921</v>
      </c>
      <c r="B126" s="58">
        <f>VLOOKUP(Table110[[#This Row],[Date]],database!A:H,3,)</f>
        <v>65.265900000000002</v>
      </c>
      <c r="C126" s="66">
        <f t="shared" si="1"/>
        <v>-1.8709884032999335E-2</v>
      </c>
      <c r="D126" s="66">
        <f>(Table110[[#This Row],[Index]]-B114)/B114</f>
        <v>-9.1931217851413505E-2</v>
      </c>
    </row>
    <row r="127" spans="1:4" x14ac:dyDescent="0.35">
      <c r="A127" s="17">
        <v>29952</v>
      </c>
      <c r="B127" s="58">
        <f>VLOOKUP(Table110[[#This Row],[Date]],database!A:H,3,)</f>
        <v>63.032800000000002</v>
      </c>
      <c r="C127" s="66">
        <f t="shared" si="1"/>
        <v>-3.4215417239324086E-2</v>
      </c>
      <c r="D127" s="66">
        <f>(Table110[[#This Row],[Index]]-B115)/B115</f>
        <v>-0.11977165072839394</v>
      </c>
    </row>
    <row r="128" spans="1:4" x14ac:dyDescent="0.35">
      <c r="A128" s="17">
        <v>29983</v>
      </c>
      <c r="B128" s="58">
        <f>VLOOKUP(Table110[[#This Row],[Date]],database!A:H,3,)</f>
        <v>65.308899999999994</v>
      </c>
      <c r="C128" s="66">
        <f t="shared" si="1"/>
        <v>3.6109771420593573E-2</v>
      </c>
      <c r="D128" s="66">
        <f>(Table110[[#This Row],[Index]]-B116)/B116</f>
        <v>-8.033767989410541E-2</v>
      </c>
    </row>
    <row r="129" spans="1:4" x14ac:dyDescent="0.35">
      <c r="A129" s="17">
        <v>30011</v>
      </c>
      <c r="B129" s="58">
        <f>VLOOKUP(Table110[[#This Row],[Date]],database!A:H,3,)</f>
        <v>63.933100000000003</v>
      </c>
      <c r="C129" s="66">
        <f t="shared" si="1"/>
        <v>-2.1066041534920865E-2</v>
      </c>
      <c r="D129" s="66">
        <f>(Table110[[#This Row],[Index]]-B117)/B117</f>
        <v>-0.10286961158509196</v>
      </c>
    </row>
    <row r="130" spans="1:4" x14ac:dyDescent="0.35">
      <c r="A130" s="17">
        <v>30042</v>
      </c>
      <c r="B130" s="58">
        <f>VLOOKUP(Table110[[#This Row],[Date]],database!A:H,3,)</f>
        <v>63.440399999999997</v>
      </c>
      <c r="C130" s="66">
        <f t="shared" si="1"/>
        <v>-7.7064931936665637E-3</v>
      </c>
      <c r="D130" s="66">
        <f>(Table110[[#This Row],[Index]]-B118)/B118</f>
        <v>-0.10989450408219688</v>
      </c>
    </row>
    <row r="131" spans="1:4" x14ac:dyDescent="0.35">
      <c r="A131" s="17">
        <v>30072</v>
      </c>
      <c r="B131" s="58">
        <f>VLOOKUP(Table110[[#This Row],[Date]],database!A:H,3,)</f>
        <v>63.784199999999998</v>
      </c>
      <c r="C131" s="66">
        <f t="shared" si="1"/>
        <v>5.419259651578523E-3</v>
      </c>
      <c r="D131" s="66">
        <f>(Table110[[#This Row],[Index]]-B119)/B119</f>
        <v>-0.10482838761830991</v>
      </c>
    </row>
    <row r="132" spans="1:4" x14ac:dyDescent="0.35">
      <c r="A132" s="17">
        <v>30103</v>
      </c>
      <c r="B132" s="58">
        <f>VLOOKUP(Table110[[#This Row],[Date]],database!A:H,3,)</f>
        <v>63.290100000000002</v>
      </c>
      <c r="C132" s="66">
        <f t="shared" si="1"/>
        <v>-7.7464325020929481E-3</v>
      </c>
      <c r="D132" s="66">
        <f>(Table110[[#This Row],[Index]]-B120)/B120</f>
        <v>-9.7912473845346834E-2</v>
      </c>
    </row>
    <row r="133" spans="1:4" x14ac:dyDescent="0.35">
      <c r="A133" s="17">
        <v>30133</v>
      </c>
      <c r="B133" s="58">
        <f>VLOOKUP(Table110[[#This Row],[Date]],database!A:H,3,)</f>
        <v>63.144399999999997</v>
      </c>
      <c r="C133" s="66">
        <f t="shared" si="1"/>
        <v>-2.3020978004459902E-3</v>
      </c>
      <c r="D133" s="66">
        <f>(Table110[[#This Row],[Index]]-B121)/B121</f>
        <v>-0.1025844732634571</v>
      </c>
    </row>
    <row r="134" spans="1:4" x14ac:dyDescent="0.35">
      <c r="A134" s="17">
        <v>30164</v>
      </c>
      <c r="B134" s="58">
        <f>VLOOKUP(Table110[[#This Row],[Date]],database!A:H,3,)</f>
        <v>63.1556</v>
      </c>
      <c r="C134" s="66">
        <f t="shared" si="1"/>
        <v>1.7737123165328939E-4</v>
      </c>
      <c r="D134" s="66">
        <f>(Table110[[#This Row],[Index]]-B122)/B122</f>
        <v>-9.951379482426756E-2</v>
      </c>
    </row>
    <row r="135" spans="1:4" x14ac:dyDescent="0.35">
      <c r="A135" s="17">
        <v>30195</v>
      </c>
      <c r="B135" s="58">
        <f>VLOOKUP(Table110[[#This Row],[Date]],database!A:H,3,)</f>
        <v>63.348799999999997</v>
      </c>
      <c r="C135" s="66">
        <f t="shared" si="1"/>
        <v>3.0591111477049626E-3</v>
      </c>
      <c r="D135" s="66">
        <f>(Table110[[#This Row],[Index]]-B123)/B123</f>
        <v>-9.1859408285381E-2</v>
      </c>
    </row>
    <row r="136" spans="1:4" x14ac:dyDescent="0.35">
      <c r="A136" s="17">
        <v>30225</v>
      </c>
      <c r="B136" s="58">
        <f>VLOOKUP(Table110[[#This Row],[Date]],database!A:H,3,)</f>
        <v>62.433100000000003</v>
      </c>
      <c r="C136" s="66">
        <f t="shared" ref="C136:C199" si="2">B136/B135-1</f>
        <v>-1.4454891016088656E-2</v>
      </c>
      <c r="D136" s="66">
        <f>(Table110[[#This Row],[Index]]-B124)/B124</f>
        <v>-7.6031587702343861E-2</v>
      </c>
    </row>
    <row r="137" spans="1:4" x14ac:dyDescent="0.35">
      <c r="A137" s="17">
        <v>30256</v>
      </c>
      <c r="B137" s="58">
        <f>VLOOKUP(Table110[[#This Row],[Date]],database!A:H,3,)</f>
        <v>62.065600000000003</v>
      </c>
      <c r="C137" s="66">
        <f t="shared" si="2"/>
        <v>-5.8863006962652786E-3</v>
      </c>
      <c r="D137" s="66">
        <f>(Table110[[#This Row],[Index]]-B125)/B125</f>
        <v>-6.6827243299158137E-2</v>
      </c>
    </row>
    <row r="138" spans="1:4" x14ac:dyDescent="0.35">
      <c r="A138" s="17">
        <v>30286</v>
      </c>
      <c r="B138" s="58">
        <f>VLOOKUP(Table110[[#This Row],[Date]],database!A:H,3,)</f>
        <v>61.616199999999999</v>
      </c>
      <c r="C138" s="66">
        <f t="shared" si="2"/>
        <v>-7.240725941584425E-3</v>
      </c>
      <c r="D138" s="66">
        <f>(Table110[[#This Row],[Index]]-B126)/B126</f>
        <v>-5.59204730188353E-2</v>
      </c>
    </row>
    <row r="139" spans="1:4" x14ac:dyDescent="0.35">
      <c r="A139" s="17">
        <v>30317</v>
      </c>
      <c r="B139" s="58">
        <f>VLOOKUP(Table110[[#This Row],[Date]],database!A:H,3,)</f>
        <v>63.8125</v>
      </c>
      <c r="C139" s="66">
        <f t="shared" si="2"/>
        <v>3.5644846647472583E-2</v>
      </c>
      <c r="D139" s="66">
        <f>(Table110[[#This Row],[Index]]-B127)/B127</f>
        <v>1.2369750352197558E-2</v>
      </c>
    </row>
    <row r="140" spans="1:4" x14ac:dyDescent="0.35">
      <c r="A140" s="17">
        <v>30348</v>
      </c>
      <c r="B140" s="58">
        <f>VLOOKUP(Table110[[#This Row],[Date]],database!A:H,3,)</f>
        <v>63.498100000000001</v>
      </c>
      <c r="C140" s="66">
        <f t="shared" si="2"/>
        <v>-4.9269343780606878E-3</v>
      </c>
      <c r="D140" s="66">
        <f>(Table110[[#This Row],[Index]]-B128)/B128</f>
        <v>-2.7726695748971325E-2</v>
      </c>
    </row>
    <row r="141" spans="1:4" x14ac:dyDescent="0.35">
      <c r="A141" s="17">
        <v>30376</v>
      </c>
      <c r="B141" s="58">
        <f>VLOOKUP(Table110[[#This Row],[Date]],database!A:H,3,)</f>
        <v>64.2196</v>
      </c>
      <c r="C141" s="66">
        <f t="shared" si="2"/>
        <v>1.1362544706062128E-2</v>
      </c>
      <c r="D141" s="66">
        <f>(Table110[[#This Row],[Index]]-B129)/B129</f>
        <v>4.4812468032990205E-3</v>
      </c>
    </row>
    <row r="142" spans="1:4" x14ac:dyDescent="0.35">
      <c r="A142" s="17">
        <v>30407</v>
      </c>
      <c r="B142" s="58">
        <f>VLOOKUP(Table110[[#This Row],[Date]],database!A:H,3,)</f>
        <v>65.092200000000005</v>
      </c>
      <c r="C142" s="66">
        <f t="shared" si="2"/>
        <v>1.3587752025861377E-2</v>
      </c>
      <c r="D142" s="66">
        <f>(Table110[[#This Row],[Index]]-B130)/B130</f>
        <v>2.6037036336467121E-2</v>
      </c>
    </row>
    <row r="143" spans="1:4" x14ac:dyDescent="0.35">
      <c r="A143" s="17">
        <v>30437</v>
      </c>
      <c r="B143" s="58">
        <f>VLOOKUP(Table110[[#This Row],[Date]],database!A:H,3,)</f>
        <v>66.320599999999999</v>
      </c>
      <c r="C143" s="66">
        <f t="shared" si="2"/>
        <v>1.8871692768104298E-2</v>
      </c>
      <c r="D143" s="66">
        <f>(Table110[[#This Row],[Index]]-B131)/B131</f>
        <v>3.9765333734686652E-2</v>
      </c>
    </row>
    <row r="144" spans="1:4" x14ac:dyDescent="0.35">
      <c r="A144" s="17">
        <v>30468</v>
      </c>
      <c r="B144" s="58">
        <f>VLOOKUP(Table110[[#This Row],[Date]],database!A:H,3,)</f>
        <v>67.479500000000002</v>
      </c>
      <c r="C144" s="66">
        <f t="shared" si="2"/>
        <v>1.7474208616930609E-2</v>
      </c>
      <c r="D144" s="66">
        <f>(Table110[[#This Row],[Index]]-B132)/B132</f>
        <v>6.6193606899025259E-2</v>
      </c>
    </row>
    <row r="145" spans="1:4" x14ac:dyDescent="0.35">
      <c r="A145" s="17">
        <v>30498</v>
      </c>
      <c r="B145" s="58">
        <f>VLOOKUP(Table110[[#This Row],[Date]],database!A:H,3,)</f>
        <v>68.888400000000004</v>
      </c>
      <c r="C145" s="66">
        <f t="shared" si="2"/>
        <v>2.0878933602056948E-2</v>
      </c>
      <c r="D145" s="66">
        <f>(Table110[[#This Row],[Index]]-B133)/B133</f>
        <v>9.096610309069382E-2</v>
      </c>
    </row>
    <row r="146" spans="1:4" x14ac:dyDescent="0.35">
      <c r="A146" s="17">
        <v>30529</v>
      </c>
      <c r="B146" s="58">
        <f>VLOOKUP(Table110[[#This Row],[Date]],database!A:H,3,)</f>
        <v>69.1858</v>
      </c>
      <c r="C146" s="66">
        <f t="shared" si="2"/>
        <v>4.3171274118718461E-3</v>
      </c>
      <c r="D146" s="66">
        <f>(Table110[[#This Row],[Index]]-B134)/B134</f>
        <v>9.5481635832768599E-2</v>
      </c>
    </row>
    <row r="147" spans="1:4" x14ac:dyDescent="0.35">
      <c r="A147" s="17">
        <v>30560</v>
      </c>
      <c r="B147" s="58">
        <f>VLOOKUP(Table110[[#This Row],[Date]],database!A:H,3,)</f>
        <v>70.041600000000003</v>
      </c>
      <c r="C147" s="66">
        <f t="shared" si="2"/>
        <v>1.2369590291649413E-2</v>
      </c>
      <c r="D147" s="66">
        <f>(Table110[[#This Row],[Index]]-B135)/B135</f>
        <v>0.10564998863435465</v>
      </c>
    </row>
    <row r="148" spans="1:4" x14ac:dyDescent="0.35">
      <c r="A148" s="17">
        <v>30590</v>
      </c>
      <c r="B148" s="58">
        <f>VLOOKUP(Table110[[#This Row],[Date]],database!A:H,3,)</f>
        <v>71.167400000000001</v>
      </c>
      <c r="C148" s="66">
        <f t="shared" si="2"/>
        <v>1.6073305007309857E-2</v>
      </c>
      <c r="D148" s="66">
        <f>(Table110[[#This Row],[Index]]-B136)/B136</f>
        <v>0.1398985474051424</v>
      </c>
    </row>
    <row r="149" spans="1:4" x14ac:dyDescent="0.35">
      <c r="A149" s="17">
        <v>30621</v>
      </c>
      <c r="B149" s="58">
        <f>VLOOKUP(Table110[[#This Row],[Date]],database!A:H,3,)</f>
        <v>70.991600000000005</v>
      </c>
      <c r="C149" s="66">
        <f t="shared" si="2"/>
        <v>-2.4702321568582652E-3</v>
      </c>
      <c r="D149" s="66">
        <f>(Table110[[#This Row],[Index]]-B137)/B137</f>
        <v>0.14381557577788665</v>
      </c>
    </row>
    <row r="150" spans="1:4" x14ac:dyDescent="0.35">
      <c r="A150" s="17">
        <v>30651</v>
      </c>
      <c r="B150" s="58">
        <f>VLOOKUP(Table110[[#This Row],[Date]],database!A:H,3,)</f>
        <v>71.186800000000005</v>
      </c>
      <c r="C150" s="66">
        <f t="shared" si="2"/>
        <v>2.7496210819308864E-3</v>
      </c>
      <c r="D150" s="66">
        <f>(Table110[[#This Row],[Index]]-B138)/B138</f>
        <v>0.15532603438706064</v>
      </c>
    </row>
    <row r="151" spans="1:4" x14ac:dyDescent="0.35">
      <c r="A151" s="17">
        <v>30682</v>
      </c>
      <c r="B151" s="58">
        <f>VLOOKUP(Table110[[#This Row],[Date]],database!A:H,3,)</f>
        <v>71.633399999999995</v>
      </c>
      <c r="C151" s="66">
        <f t="shared" si="2"/>
        <v>6.2736349997469798E-3</v>
      </c>
      <c r="D151" s="66">
        <f>(Table110[[#This Row],[Index]]-B139)/B139</f>
        <v>0.12256062683643479</v>
      </c>
    </row>
    <row r="152" spans="1:4" x14ac:dyDescent="0.35">
      <c r="A152" s="17">
        <v>30713</v>
      </c>
      <c r="B152" s="58">
        <f>VLOOKUP(Table110[[#This Row],[Date]],database!A:H,3,)</f>
        <v>73.218800000000002</v>
      </c>
      <c r="C152" s="66">
        <f t="shared" si="2"/>
        <v>2.2132133892849071E-2</v>
      </c>
      <c r="D152" s="66">
        <f>(Table110[[#This Row],[Index]]-B140)/B140</f>
        <v>0.15308647030383588</v>
      </c>
    </row>
    <row r="153" spans="1:4" x14ac:dyDescent="0.35">
      <c r="A153" s="17">
        <v>30742</v>
      </c>
      <c r="B153" s="58">
        <f>VLOOKUP(Table110[[#This Row],[Date]],database!A:H,3,)</f>
        <v>72.754800000000003</v>
      </c>
      <c r="C153" s="66">
        <f t="shared" si="2"/>
        <v>-6.3371702349669379E-3</v>
      </c>
      <c r="D153" s="66">
        <f>(Table110[[#This Row],[Index]]-B141)/B141</f>
        <v>0.13290646469302211</v>
      </c>
    </row>
    <row r="154" spans="1:4" x14ac:dyDescent="0.35">
      <c r="A154" s="17">
        <v>30773</v>
      </c>
      <c r="B154" s="58">
        <f>VLOOKUP(Table110[[#This Row],[Date]],database!A:H,3,)</f>
        <v>73.250799999999998</v>
      </c>
      <c r="C154" s="66">
        <f t="shared" si="2"/>
        <v>6.8174196066788095E-3</v>
      </c>
      <c r="D154" s="66">
        <f>(Table110[[#This Row],[Index]]-B142)/B142</f>
        <v>0.12533913433560384</v>
      </c>
    </row>
    <row r="155" spans="1:4" x14ac:dyDescent="0.35">
      <c r="A155" s="17">
        <v>30803</v>
      </c>
      <c r="B155" s="58">
        <f>VLOOKUP(Table110[[#This Row],[Date]],database!A:H,3,)</f>
        <v>73.447100000000006</v>
      </c>
      <c r="C155" s="66">
        <f t="shared" si="2"/>
        <v>2.6798342134148889E-3</v>
      </c>
      <c r="D155" s="66">
        <f>(Table110[[#This Row],[Index]]-B143)/B143</f>
        <v>0.10745530046471242</v>
      </c>
    </row>
    <row r="156" spans="1:4" x14ac:dyDescent="0.35">
      <c r="A156" s="17">
        <v>30834</v>
      </c>
      <c r="B156" s="58">
        <f>VLOOKUP(Table110[[#This Row],[Date]],database!A:H,3,)</f>
        <v>73.956800000000001</v>
      </c>
      <c r="C156" s="66">
        <f t="shared" si="2"/>
        <v>6.9396885649670725E-3</v>
      </c>
      <c r="D156" s="66">
        <f>(Table110[[#This Row],[Index]]-B144)/B144</f>
        <v>9.5989152261057059E-2</v>
      </c>
    </row>
    <row r="157" spans="1:4" x14ac:dyDescent="0.35">
      <c r="A157" s="17">
        <v>30864</v>
      </c>
      <c r="B157" s="58">
        <f>VLOOKUP(Table110[[#This Row],[Date]],database!A:H,3,)</f>
        <v>73.710999999999999</v>
      </c>
      <c r="C157" s="66">
        <f t="shared" si="2"/>
        <v>-3.3235618631417552E-3</v>
      </c>
      <c r="D157" s="66">
        <f>(Table110[[#This Row],[Index]]-B145)/B145</f>
        <v>7.0005980687604788E-2</v>
      </c>
    </row>
    <row r="158" spans="1:4" x14ac:dyDescent="0.35">
      <c r="A158" s="17">
        <v>30895</v>
      </c>
      <c r="B158" s="58">
        <f>VLOOKUP(Table110[[#This Row],[Date]],database!A:H,3,)</f>
        <v>73.963200000000001</v>
      </c>
      <c r="C158" s="66">
        <f t="shared" si="2"/>
        <v>3.4214703368560251E-3</v>
      </c>
      <c r="D158" s="66">
        <f>(Table110[[#This Row],[Index]]-B146)/B146</f>
        <v>6.9051741831416269E-2</v>
      </c>
    </row>
    <row r="159" spans="1:4" x14ac:dyDescent="0.35">
      <c r="A159" s="17">
        <v>30926</v>
      </c>
      <c r="B159" s="58">
        <f>VLOOKUP(Table110[[#This Row],[Date]],database!A:H,3,)</f>
        <v>74.156899999999993</v>
      </c>
      <c r="C159" s="66">
        <f t="shared" si="2"/>
        <v>2.6188699245028868E-3</v>
      </c>
      <c r="D159" s="66">
        <f>(Table110[[#This Row],[Index]]-B147)/B147</f>
        <v>5.8755082693713316E-2</v>
      </c>
    </row>
    <row r="160" spans="1:4" x14ac:dyDescent="0.35">
      <c r="A160" s="17">
        <v>30956</v>
      </c>
      <c r="B160" s="58">
        <f>VLOOKUP(Table110[[#This Row],[Date]],database!A:H,3,)</f>
        <v>73.977500000000006</v>
      </c>
      <c r="C160" s="66">
        <f t="shared" si="2"/>
        <v>-2.4191949771361632E-3</v>
      </c>
      <c r="D160" s="66">
        <f>(Table110[[#This Row],[Index]]-B148)/B148</f>
        <v>3.9485775790600829E-2</v>
      </c>
    </row>
    <row r="161" spans="1:4" x14ac:dyDescent="0.35">
      <c r="A161" s="17">
        <v>30987</v>
      </c>
      <c r="B161" s="58">
        <f>VLOOKUP(Table110[[#This Row],[Date]],database!A:H,3,)</f>
        <v>73.837400000000002</v>
      </c>
      <c r="C161" s="66">
        <f t="shared" si="2"/>
        <v>-1.8938190666081267E-3</v>
      </c>
      <c r="D161" s="66">
        <f>(Table110[[#This Row],[Index]]-B149)/B149</f>
        <v>4.0086432761059013E-2</v>
      </c>
    </row>
    <row r="162" spans="1:4" x14ac:dyDescent="0.35">
      <c r="A162" s="17">
        <v>31017</v>
      </c>
      <c r="B162" s="58">
        <f>VLOOKUP(Table110[[#This Row],[Date]],database!A:H,3,)</f>
        <v>74.507400000000004</v>
      </c>
      <c r="C162" s="66">
        <f t="shared" si="2"/>
        <v>9.0739923128386746E-3</v>
      </c>
      <c r="D162" s="66">
        <f>(Table110[[#This Row],[Index]]-B150)/B150</f>
        <v>4.6646288356830178E-2</v>
      </c>
    </row>
    <row r="163" spans="1:4" x14ac:dyDescent="0.35">
      <c r="A163" s="17">
        <v>31048</v>
      </c>
      <c r="B163" s="58">
        <f>VLOOKUP(Table110[[#This Row],[Date]],database!A:H,3,)</f>
        <v>73.253799999999998</v>
      </c>
      <c r="C163" s="66">
        <f t="shared" si="2"/>
        <v>-1.6825174412206101E-2</v>
      </c>
      <c r="D163" s="66">
        <f>(Table110[[#This Row],[Index]]-B151)/B151</f>
        <v>2.2620732786661022E-2</v>
      </c>
    </row>
    <row r="164" spans="1:4" x14ac:dyDescent="0.35">
      <c r="A164" s="17">
        <v>31079</v>
      </c>
      <c r="B164" s="58">
        <f>VLOOKUP(Table110[[#This Row],[Date]],database!A:H,3,)</f>
        <v>73.349299999999999</v>
      </c>
      <c r="C164" s="66">
        <f t="shared" si="2"/>
        <v>1.3036866346864961E-3</v>
      </c>
      <c r="D164" s="66">
        <f>(Table110[[#This Row],[Index]]-B152)/B152</f>
        <v>1.7823291285844324E-3</v>
      </c>
    </row>
    <row r="165" spans="1:4" x14ac:dyDescent="0.35">
      <c r="A165" s="17">
        <v>31107</v>
      </c>
      <c r="B165" s="58">
        <f>VLOOKUP(Table110[[#This Row],[Date]],database!A:H,3,)</f>
        <v>75.337599999999995</v>
      </c>
      <c r="C165" s="66">
        <f t="shared" si="2"/>
        <v>2.710727982407457E-2</v>
      </c>
      <c r="D165" s="66">
        <f>(Table110[[#This Row],[Index]]-B153)/B153</f>
        <v>3.5500063226068822E-2</v>
      </c>
    </row>
    <row r="166" spans="1:4" x14ac:dyDescent="0.35">
      <c r="A166" s="17">
        <v>31138</v>
      </c>
      <c r="B166" s="58">
        <f>VLOOKUP(Table110[[#This Row],[Date]],database!A:H,3,)</f>
        <v>75.2714</v>
      </c>
      <c r="C166" s="66">
        <f t="shared" si="2"/>
        <v>-8.7871129422756322E-4</v>
      </c>
      <c r="D166" s="66">
        <f>(Table110[[#This Row],[Index]]-B154)/B154</f>
        <v>2.7584681669005687E-2</v>
      </c>
    </row>
    <row r="167" spans="1:4" x14ac:dyDescent="0.35">
      <c r="A167" s="17">
        <v>31168</v>
      </c>
      <c r="B167" s="58">
        <f>VLOOKUP(Table110[[#This Row],[Date]],database!A:H,3,)</f>
        <v>75.58</v>
      </c>
      <c r="C167" s="66">
        <f t="shared" si="2"/>
        <v>4.0998307458077754E-3</v>
      </c>
      <c r="D167" s="66">
        <f>(Table110[[#This Row],[Index]]-B155)/B155</f>
        <v>2.9039948479926261E-2</v>
      </c>
    </row>
    <row r="168" spans="1:4" x14ac:dyDescent="0.35">
      <c r="A168" s="17">
        <v>31199</v>
      </c>
      <c r="B168" s="58">
        <f>VLOOKUP(Table110[[#This Row],[Date]],database!A:H,3,)</f>
        <v>75.971199999999996</v>
      </c>
      <c r="C168" s="66">
        <f t="shared" si="2"/>
        <v>5.1759724794919748E-3</v>
      </c>
      <c r="D168" s="66">
        <f>(Table110[[#This Row],[Index]]-B156)/B156</f>
        <v>2.7237522445535702E-2</v>
      </c>
    </row>
    <row r="169" spans="1:4" x14ac:dyDescent="0.35">
      <c r="A169" s="17">
        <v>31229</v>
      </c>
      <c r="B169" s="58">
        <f>VLOOKUP(Table110[[#This Row],[Date]],database!A:H,3,)</f>
        <v>75.695899999999995</v>
      </c>
      <c r="C169" s="66">
        <f t="shared" si="2"/>
        <v>-3.6237416284066182E-3</v>
      </c>
      <c r="D169" s="66">
        <f>(Table110[[#This Row],[Index]]-B157)/B157</f>
        <v>2.6928138269729025E-2</v>
      </c>
    </row>
    <row r="170" spans="1:4" x14ac:dyDescent="0.35">
      <c r="A170" s="17">
        <v>31260</v>
      </c>
      <c r="B170" s="58">
        <f>VLOOKUP(Table110[[#This Row],[Date]],database!A:H,3,)</f>
        <v>75.761099999999999</v>
      </c>
      <c r="C170" s="66">
        <f t="shared" si="2"/>
        <v>8.6134123512637828E-4</v>
      </c>
      <c r="D170" s="66">
        <f>(Table110[[#This Row],[Index]]-B158)/B158</f>
        <v>2.4308034265688862E-2</v>
      </c>
    </row>
    <row r="171" spans="1:4" x14ac:dyDescent="0.35">
      <c r="A171" s="17">
        <v>31291</v>
      </c>
      <c r="B171" s="58">
        <f>VLOOKUP(Table110[[#This Row],[Date]],database!A:H,3,)</f>
        <v>75.738</v>
      </c>
      <c r="C171" s="66">
        <f t="shared" si="2"/>
        <v>-3.0490581578146436E-4</v>
      </c>
      <c r="D171" s="66">
        <f>(Table110[[#This Row],[Index]]-B159)/B159</f>
        <v>2.1321009912766128E-2</v>
      </c>
    </row>
    <row r="172" spans="1:4" x14ac:dyDescent="0.35">
      <c r="A172" s="17">
        <v>31321</v>
      </c>
      <c r="B172" s="58">
        <f>VLOOKUP(Table110[[#This Row],[Date]],database!A:H,3,)</f>
        <v>75.858500000000006</v>
      </c>
      <c r="C172" s="66">
        <f t="shared" si="2"/>
        <v>1.5910111172727781E-3</v>
      </c>
      <c r="D172" s="66">
        <f>(Table110[[#This Row],[Index]]-B160)/B160</f>
        <v>2.5426649994930894E-2</v>
      </c>
    </row>
    <row r="173" spans="1:4" x14ac:dyDescent="0.35">
      <c r="A173" s="17">
        <v>31352</v>
      </c>
      <c r="B173" s="58">
        <f>VLOOKUP(Table110[[#This Row],[Date]],database!A:H,3,)</f>
        <v>75.807500000000005</v>
      </c>
      <c r="C173" s="66">
        <f t="shared" si="2"/>
        <v>-6.7230435613674366E-4</v>
      </c>
      <c r="D173" s="66">
        <f>(Table110[[#This Row],[Index]]-B161)/B161</f>
        <v>2.6681600381378571E-2</v>
      </c>
    </row>
    <row r="174" spans="1:4" x14ac:dyDescent="0.35">
      <c r="A174" s="17">
        <v>31382</v>
      </c>
      <c r="B174" s="58">
        <f>VLOOKUP(Table110[[#This Row],[Date]],database!A:H,3,)</f>
        <v>75.561099999999996</v>
      </c>
      <c r="C174" s="66">
        <f t="shared" si="2"/>
        <v>-3.2503380272401738E-3</v>
      </c>
      <c r="D174" s="66">
        <f>(Table110[[#This Row],[Index]]-B162)/B162</f>
        <v>1.4142219430553099E-2</v>
      </c>
    </row>
    <row r="175" spans="1:4" x14ac:dyDescent="0.35">
      <c r="A175" s="17">
        <v>31413</v>
      </c>
      <c r="B175" s="58">
        <f>VLOOKUP(Table110[[#This Row],[Date]],database!A:H,3,)</f>
        <v>77.175899999999999</v>
      </c>
      <c r="C175" s="66">
        <f t="shared" si="2"/>
        <v>2.1370784702710921E-2</v>
      </c>
      <c r="D175" s="66">
        <f>(Table110[[#This Row],[Index]]-B163)/B163</f>
        <v>5.3541249737215003E-2</v>
      </c>
    </row>
    <row r="176" spans="1:4" x14ac:dyDescent="0.35">
      <c r="A176" s="17">
        <v>31444</v>
      </c>
      <c r="B176" s="58">
        <f>VLOOKUP(Table110[[#This Row],[Date]],database!A:H,3,)</f>
        <v>76.445999999999998</v>
      </c>
      <c r="C176" s="66">
        <f t="shared" si="2"/>
        <v>-9.4576156546279933E-3</v>
      </c>
      <c r="D176" s="66">
        <f>(Table110[[#This Row],[Index]]-B164)/B164</f>
        <v>4.2218535146211329E-2</v>
      </c>
    </row>
    <row r="177" spans="1:4" x14ac:dyDescent="0.35">
      <c r="A177" s="17">
        <v>31472</v>
      </c>
      <c r="B177" s="58">
        <f>VLOOKUP(Table110[[#This Row],[Date]],database!A:H,3,)</f>
        <v>76.6143</v>
      </c>
      <c r="C177" s="66">
        <f t="shared" si="2"/>
        <v>2.2015540381445931E-3</v>
      </c>
      <c r="D177" s="66">
        <f>(Table110[[#This Row],[Index]]-B165)/B165</f>
        <v>1.6946385337467684E-2</v>
      </c>
    </row>
    <row r="178" spans="1:4" x14ac:dyDescent="0.35">
      <c r="A178" s="17">
        <v>31503</v>
      </c>
      <c r="B178" s="58">
        <f>VLOOKUP(Table110[[#This Row],[Date]],database!A:H,3,)</f>
        <v>77.347499999999997</v>
      </c>
      <c r="C178" s="66">
        <f t="shared" si="2"/>
        <v>9.5700149972002269E-3</v>
      </c>
      <c r="D178" s="66">
        <f>(Table110[[#This Row],[Index]]-B166)/B166</f>
        <v>2.7581524988242501E-2</v>
      </c>
    </row>
    <row r="179" spans="1:4" x14ac:dyDescent="0.35">
      <c r="A179" s="17">
        <v>31533</v>
      </c>
      <c r="B179" s="58">
        <f>VLOOKUP(Table110[[#This Row],[Date]],database!A:H,3,)</f>
        <v>77.795199999999994</v>
      </c>
      <c r="C179" s="66">
        <f t="shared" si="2"/>
        <v>5.7881638061991758E-3</v>
      </c>
      <c r="D179" s="66">
        <f>(Table110[[#This Row],[Index]]-B167)/B167</f>
        <v>2.9309341095527863E-2</v>
      </c>
    </row>
    <row r="180" spans="1:4" x14ac:dyDescent="0.35">
      <c r="A180" s="17">
        <v>31564</v>
      </c>
      <c r="B180" s="58">
        <f>VLOOKUP(Table110[[#This Row],[Date]],database!A:H,3,)</f>
        <v>77.025599999999997</v>
      </c>
      <c r="C180" s="66">
        <f t="shared" si="2"/>
        <v>-9.8926411912302337E-3</v>
      </c>
      <c r="D180" s="66">
        <f>(Table110[[#This Row],[Index]]-B168)/B168</f>
        <v>1.3878943599679894E-2</v>
      </c>
    </row>
    <row r="181" spans="1:4" x14ac:dyDescent="0.35">
      <c r="A181" s="17">
        <v>31594</v>
      </c>
      <c r="B181" s="58">
        <f>VLOOKUP(Table110[[#This Row],[Date]],database!A:H,3,)</f>
        <v>77.440299999999993</v>
      </c>
      <c r="C181" s="66">
        <f t="shared" si="2"/>
        <v>5.3839243056852393E-3</v>
      </c>
      <c r="D181" s="66">
        <f>(Table110[[#This Row],[Index]]-B169)/B169</f>
        <v>2.3044841266171602E-2</v>
      </c>
    </row>
    <row r="182" spans="1:4" x14ac:dyDescent="0.35">
      <c r="A182" s="17">
        <v>31625</v>
      </c>
      <c r="B182" s="58">
        <f>VLOOKUP(Table110[[#This Row],[Date]],database!A:H,3,)</f>
        <v>78.2196</v>
      </c>
      <c r="C182" s="66">
        <f t="shared" si="2"/>
        <v>1.0063235808745574E-2</v>
      </c>
      <c r="D182" s="66">
        <f>(Table110[[#This Row],[Index]]-B170)/B170</f>
        <v>3.2450690393882889E-2</v>
      </c>
    </row>
    <row r="183" spans="1:4" x14ac:dyDescent="0.35">
      <c r="A183" s="17">
        <v>31656</v>
      </c>
      <c r="B183" s="58">
        <f>VLOOKUP(Table110[[#This Row],[Date]],database!A:H,3,)</f>
        <v>78.313100000000006</v>
      </c>
      <c r="C183" s="66">
        <f t="shared" si="2"/>
        <v>1.195352571478292E-3</v>
      </c>
      <c r="D183" s="66">
        <f>(Table110[[#This Row],[Index]]-B171)/B171</f>
        <v>3.4000105627294178E-2</v>
      </c>
    </row>
    <row r="184" spans="1:4" x14ac:dyDescent="0.35">
      <c r="A184" s="17">
        <v>31686</v>
      </c>
      <c r="B184" s="58">
        <f>VLOOKUP(Table110[[#This Row],[Date]],database!A:H,3,)</f>
        <v>78.304699999999997</v>
      </c>
      <c r="C184" s="66">
        <f t="shared" si="2"/>
        <v>-1.0726174803465938E-4</v>
      </c>
      <c r="D184" s="66">
        <f>(Table110[[#This Row],[Index]]-B172)/B172</f>
        <v>3.2246880705523971E-2</v>
      </c>
    </row>
    <row r="185" spans="1:4" x14ac:dyDescent="0.35">
      <c r="A185" s="17">
        <v>31717</v>
      </c>
      <c r="B185" s="58">
        <f>VLOOKUP(Table110[[#This Row],[Date]],database!A:H,3,)</f>
        <v>78.485100000000003</v>
      </c>
      <c r="C185" s="66">
        <f t="shared" si="2"/>
        <v>2.3038208434487117E-3</v>
      </c>
      <c r="D185" s="66">
        <f>(Table110[[#This Row],[Index]]-B173)/B173</f>
        <v>3.532104343237804E-2</v>
      </c>
    </row>
    <row r="186" spans="1:4" x14ac:dyDescent="0.35">
      <c r="A186" s="17">
        <v>31747</v>
      </c>
      <c r="B186" s="58">
        <f>VLOOKUP(Table110[[#This Row],[Date]],database!A:H,3,)</f>
        <v>79.035600000000002</v>
      </c>
      <c r="C186" s="66">
        <f t="shared" si="2"/>
        <v>7.0140701865704091E-3</v>
      </c>
      <c r="D186" s="66">
        <f>(Table110[[#This Row],[Index]]-B174)/B174</f>
        <v>4.5982655096339337E-2</v>
      </c>
    </row>
    <row r="187" spans="1:4" x14ac:dyDescent="0.35">
      <c r="A187" s="17">
        <v>31778</v>
      </c>
      <c r="B187" s="58">
        <f>VLOOKUP(Table110[[#This Row],[Date]],database!A:H,3,)</f>
        <v>79.822299999999998</v>
      </c>
      <c r="C187" s="66">
        <f t="shared" si="2"/>
        <v>9.9537423642004352E-3</v>
      </c>
      <c r="D187" s="66">
        <f>(Table110[[#This Row],[Index]]-B175)/B175</f>
        <v>3.4290497422122708E-2</v>
      </c>
    </row>
    <row r="188" spans="1:4" x14ac:dyDescent="0.35">
      <c r="A188" s="17">
        <v>31809</v>
      </c>
      <c r="B188" s="58">
        <f>VLOOKUP(Table110[[#This Row],[Date]],database!A:H,3,)</f>
        <v>81.433999999999997</v>
      </c>
      <c r="C188" s="66">
        <f t="shared" si="2"/>
        <v>2.0191099479719421E-2</v>
      </c>
      <c r="D188" s="66">
        <f>(Table110[[#This Row],[Index]]-B176)/B176</f>
        <v>6.524867226538994E-2</v>
      </c>
    </row>
    <row r="189" spans="1:4" x14ac:dyDescent="0.35">
      <c r="A189" s="17">
        <v>31837</v>
      </c>
      <c r="B189" s="58">
        <f>VLOOKUP(Table110[[#This Row],[Date]],database!A:H,3,)</f>
        <v>81.038200000000003</v>
      </c>
      <c r="C189" s="66">
        <f t="shared" si="2"/>
        <v>-4.8603777292040018E-3</v>
      </c>
      <c r="D189" s="66">
        <f>(Table110[[#This Row],[Index]]-B177)/B177</f>
        <v>5.7742484105447724E-2</v>
      </c>
    </row>
    <row r="190" spans="1:4" x14ac:dyDescent="0.35">
      <c r="A190" s="17">
        <v>31868</v>
      </c>
      <c r="B190" s="58">
        <f>VLOOKUP(Table110[[#This Row],[Date]],database!A:H,3,)</f>
        <v>81.435199999999995</v>
      </c>
      <c r="C190" s="66">
        <f t="shared" si="2"/>
        <v>4.8989242110508702E-3</v>
      </c>
      <c r="D190" s="66">
        <f>(Table110[[#This Row],[Index]]-B178)/B178</f>
        <v>5.2848508355150432E-2</v>
      </c>
    </row>
    <row r="191" spans="1:4" x14ac:dyDescent="0.35">
      <c r="A191" s="17">
        <v>31898</v>
      </c>
      <c r="B191" s="58">
        <f>VLOOKUP(Table110[[#This Row],[Date]],database!A:H,3,)</f>
        <v>82.0976</v>
      </c>
      <c r="C191" s="66">
        <f t="shared" si="2"/>
        <v>8.1340746998841418E-3</v>
      </c>
      <c r="D191" s="66">
        <f>(Table110[[#This Row],[Index]]-B179)/B179</f>
        <v>5.5304183291514208E-2</v>
      </c>
    </row>
    <row r="192" spans="1:4" x14ac:dyDescent="0.35">
      <c r="A192" s="17">
        <v>31929</v>
      </c>
      <c r="B192" s="58">
        <f>VLOOKUP(Table110[[#This Row],[Date]],database!A:H,3,)</f>
        <v>82.302499999999995</v>
      </c>
      <c r="C192" s="66">
        <f t="shared" si="2"/>
        <v>2.4958098653309335E-3</v>
      </c>
      <c r="D192" s="66">
        <f>(Table110[[#This Row],[Index]]-B180)/B180</f>
        <v>6.8508392015122224E-2</v>
      </c>
    </row>
    <row r="193" spans="1:4" x14ac:dyDescent="0.35">
      <c r="A193" s="17">
        <v>31959</v>
      </c>
      <c r="B193" s="58">
        <f>VLOOKUP(Table110[[#This Row],[Date]],database!A:H,3,)</f>
        <v>82.653899999999993</v>
      </c>
      <c r="C193" s="66">
        <f t="shared" si="2"/>
        <v>4.2696151392727089E-3</v>
      </c>
      <c r="D193" s="66">
        <f>(Table110[[#This Row],[Index]]-B181)/B181</f>
        <v>6.7324119353876472E-2</v>
      </c>
    </row>
    <row r="194" spans="1:4" x14ac:dyDescent="0.35">
      <c r="A194" s="17">
        <v>31990</v>
      </c>
      <c r="B194" s="58">
        <f>VLOOKUP(Table110[[#This Row],[Date]],database!A:H,3,)</f>
        <v>83.257099999999994</v>
      </c>
      <c r="C194" s="66">
        <f t="shared" si="2"/>
        <v>7.2979012484588601E-3</v>
      </c>
      <c r="D194" s="66">
        <f>(Table110[[#This Row],[Index]]-B182)/B182</f>
        <v>6.4402016885793265E-2</v>
      </c>
    </row>
    <row r="195" spans="1:4" x14ac:dyDescent="0.35">
      <c r="A195" s="17">
        <v>32021</v>
      </c>
      <c r="B195" s="58">
        <f>VLOOKUP(Table110[[#This Row],[Date]],database!A:H,3,)</f>
        <v>83.738299999999995</v>
      </c>
      <c r="C195" s="66">
        <f t="shared" si="2"/>
        <v>5.7796872579034542E-3</v>
      </c>
      <c r="D195" s="66">
        <f>(Table110[[#This Row],[Index]]-B183)/B183</f>
        <v>6.9275766123419832E-2</v>
      </c>
    </row>
    <row r="196" spans="1:4" x14ac:dyDescent="0.35">
      <c r="A196" s="17">
        <v>32051</v>
      </c>
      <c r="B196" s="58">
        <f>VLOOKUP(Table110[[#This Row],[Date]],database!A:H,3,)</f>
        <v>84.737799999999993</v>
      </c>
      <c r="C196" s="66">
        <f t="shared" si="2"/>
        <v>1.1935995834641888E-2</v>
      </c>
      <c r="D196" s="66">
        <f>(Table110[[#This Row],[Index]]-B184)/B184</f>
        <v>8.215471101990042E-2</v>
      </c>
    </row>
    <row r="197" spans="1:4" x14ac:dyDescent="0.35">
      <c r="A197" s="17">
        <v>32082</v>
      </c>
      <c r="B197" s="58">
        <f>VLOOKUP(Table110[[#This Row],[Date]],database!A:H,3,)</f>
        <v>84.743899999999996</v>
      </c>
      <c r="C197" s="66">
        <f t="shared" si="2"/>
        <v>7.1986763876319415E-5</v>
      </c>
      <c r="D197" s="66">
        <f>(Table110[[#This Row],[Index]]-B185)/B185</f>
        <v>7.9745072631620437E-2</v>
      </c>
    </row>
    <row r="198" spans="1:4" x14ac:dyDescent="0.35">
      <c r="A198" s="17">
        <v>32112</v>
      </c>
      <c r="B198" s="58">
        <f>VLOOKUP(Table110[[#This Row],[Date]],database!A:H,3,)</f>
        <v>85.526600000000002</v>
      </c>
      <c r="C198" s="66">
        <f t="shared" si="2"/>
        <v>9.2360630086649742E-3</v>
      </c>
      <c r="D198" s="66">
        <f>(Table110[[#This Row],[Index]]-B186)/B186</f>
        <v>8.212754758615104E-2</v>
      </c>
    </row>
    <row r="199" spans="1:4" x14ac:dyDescent="0.35">
      <c r="A199" s="17">
        <v>32143</v>
      </c>
      <c r="B199" s="58">
        <f>VLOOKUP(Table110[[#This Row],[Date]],database!A:H,3,)</f>
        <v>83.990499999999997</v>
      </c>
      <c r="C199" s="66">
        <f t="shared" si="2"/>
        <v>-1.7960494162050256E-2</v>
      </c>
      <c r="D199" s="66">
        <f>(Table110[[#This Row],[Index]]-B187)/B187</f>
        <v>5.2218490321626898E-2</v>
      </c>
    </row>
    <row r="200" spans="1:4" x14ac:dyDescent="0.35">
      <c r="A200" s="17">
        <v>32174</v>
      </c>
      <c r="B200" s="58">
        <f>VLOOKUP(Table110[[#This Row],[Date]],database!A:H,3,)</f>
        <v>84.837000000000003</v>
      </c>
      <c r="C200" s="66">
        <f t="shared" ref="C200:C263" si="3">B200/B199-1</f>
        <v>1.0078520785088863E-2</v>
      </c>
      <c r="D200" s="66">
        <f>(Table110[[#This Row],[Index]]-B188)/B188</f>
        <v>4.1788442174030577E-2</v>
      </c>
    </row>
    <row r="201" spans="1:4" x14ac:dyDescent="0.35">
      <c r="A201" s="17">
        <v>32203</v>
      </c>
      <c r="B201" s="58">
        <f>VLOOKUP(Table110[[#This Row],[Date]],database!A:H,3,)</f>
        <v>85.145499999999998</v>
      </c>
      <c r="C201" s="66">
        <f t="shared" si="3"/>
        <v>3.6363850678358123E-3</v>
      </c>
      <c r="D201" s="66">
        <f>(Table110[[#This Row],[Index]]-B189)/B189</f>
        <v>5.0683504816247088E-2</v>
      </c>
    </row>
    <row r="202" spans="1:4" x14ac:dyDescent="0.35">
      <c r="A202" s="17">
        <v>32234</v>
      </c>
      <c r="B202" s="58">
        <f>VLOOKUP(Table110[[#This Row],[Date]],database!A:H,3,)</f>
        <v>84.850399999999993</v>
      </c>
      <c r="C202" s="66">
        <f t="shared" si="3"/>
        <v>-3.4658320169592693E-3</v>
      </c>
      <c r="D202" s="66">
        <f>(Table110[[#This Row],[Index]]-B190)/B190</f>
        <v>4.1937638760634208E-2</v>
      </c>
    </row>
    <row r="203" spans="1:4" x14ac:dyDescent="0.35">
      <c r="A203" s="17">
        <v>32264</v>
      </c>
      <c r="B203" s="58">
        <f>VLOOKUP(Table110[[#This Row],[Date]],database!A:H,3,)</f>
        <v>84.985699999999994</v>
      </c>
      <c r="C203" s="66">
        <f t="shared" si="3"/>
        <v>1.5945711511082816E-3</v>
      </c>
      <c r="D203" s="66">
        <f>(Table110[[#This Row],[Index]]-B191)/B191</f>
        <v>3.5178860283369966E-2</v>
      </c>
    </row>
    <row r="204" spans="1:4" x14ac:dyDescent="0.35">
      <c r="A204" s="17">
        <v>32295</v>
      </c>
      <c r="B204" s="58">
        <f>VLOOKUP(Table110[[#This Row],[Date]],database!A:H,3,)</f>
        <v>84.331400000000002</v>
      </c>
      <c r="C204" s="66">
        <f t="shared" si="3"/>
        <v>-7.6989422926444506E-3</v>
      </c>
      <c r="D204" s="66">
        <f>(Table110[[#This Row],[Index]]-B192)/B192</f>
        <v>2.4651742049148051E-2</v>
      </c>
    </row>
    <row r="205" spans="1:4" x14ac:dyDescent="0.35">
      <c r="A205" s="17">
        <v>32325</v>
      </c>
      <c r="B205" s="58">
        <f>VLOOKUP(Table110[[#This Row],[Date]],database!A:H,3,)</f>
        <v>84.355000000000004</v>
      </c>
      <c r="C205" s="66">
        <f t="shared" si="3"/>
        <v>2.7984831272820365E-4</v>
      </c>
      <c r="D205" s="66">
        <f>(Table110[[#This Row],[Index]]-B193)/B193</f>
        <v>2.0581001017495982E-2</v>
      </c>
    </row>
    <row r="206" spans="1:4" x14ac:dyDescent="0.35">
      <c r="A206" s="17">
        <v>32356</v>
      </c>
      <c r="B206" s="58">
        <f>VLOOKUP(Table110[[#This Row],[Date]],database!A:H,3,)</f>
        <v>83.85</v>
      </c>
      <c r="C206" s="66">
        <f t="shared" si="3"/>
        <v>-5.9866042321143897E-3</v>
      </c>
      <c r="D206" s="66">
        <f>(Table110[[#This Row],[Index]]-B194)/B194</f>
        <v>7.1213145785764846E-3</v>
      </c>
    </row>
    <row r="207" spans="1:4" x14ac:dyDescent="0.35">
      <c r="A207" s="17">
        <v>32387</v>
      </c>
      <c r="B207" s="58">
        <f>VLOOKUP(Table110[[#This Row],[Date]],database!A:H,3,)</f>
        <v>84.158699999999996</v>
      </c>
      <c r="C207" s="66">
        <f t="shared" si="3"/>
        <v>3.6815742397138251E-3</v>
      </c>
      <c r="D207" s="66">
        <f>(Table110[[#This Row],[Index]]-B195)/B195</f>
        <v>5.0204028503086501E-3</v>
      </c>
    </row>
    <row r="208" spans="1:4" x14ac:dyDescent="0.35">
      <c r="A208" s="17">
        <v>32417</v>
      </c>
      <c r="B208" s="58">
        <f>VLOOKUP(Table110[[#This Row],[Date]],database!A:H,3,)</f>
        <v>84.482100000000003</v>
      </c>
      <c r="C208" s="66">
        <f t="shared" si="3"/>
        <v>3.8427399662781525E-3</v>
      </c>
      <c r="D208" s="66">
        <f>(Table110[[#This Row],[Index]]-B196)/B196</f>
        <v>-3.0175435283898129E-3</v>
      </c>
    </row>
    <row r="209" spans="1:4" x14ac:dyDescent="0.35">
      <c r="A209" s="17">
        <v>32448</v>
      </c>
      <c r="B209" s="58">
        <f>VLOOKUP(Table110[[#This Row],[Date]],database!A:H,3,)</f>
        <v>84.869299999999996</v>
      </c>
      <c r="C209" s="66">
        <f t="shared" si="3"/>
        <v>4.5832194038737395E-3</v>
      </c>
      <c r="D209" s="66">
        <f>(Table110[[#This Row],[Index]]-B197)/B197</f>
        <v>1.4797525249604876E-3</v>
      </c>
    </row>
    <row r="210" spans="1:4" x14ac:dyDescent="0.35">
      <c r="A210" s="17">
        <v>32478</v>
      </c>
      <c r="B210" s="58">
        <f>VLOOKUP(Table110[[#This Row],[Date]],database!A:H,3,)</f>
        <v>84.808999999999997</v>
      </c>
      <c r="C210" s="66">
        <f t="shared" si="3"/>
        <v>-7.1050426950614032E-4</v>
      </c>
      <c r="D210" s="66">
        <f>(Table110[[#This Row],[Index]]-B198)/B198</f>
        <v>-8.3903721181480904E-3</v>
      </c>
    </row>
    <row r="211" spans="1:4" x14ac:dyDescent="0.35">
      <c r="A211" s="17">
        <v>32509</v>
      </c>
      <c r="B211" s="58">
        <f>VLOOKUP(Table110[[#This Row],[Date]],database!A:H,3,)</f>
        <v>86.419700000000006</v>
      </c>
      <c r="C211" s="66">
        <f t="shared" si="3"/>
        <v>1.8992088103856997E-2</v>
      </c>
      <c r="D211" s="66">
        <f>(Table110[[#This Row],[Index]]-B199)/B199</f>
        <v>2.8922318595555555E-2</v>
      </c>
    </row>
    <row r="212" spans="1:4" x14ac:dyDescent="0.35">
      <c r="A212" s="17">
        <v>32540</v>
      </c>
      <c r="B212" s="58">
        <f>VLOOKUP(Table110[[#This Row],[Date]],database!A:H,3,)</f>
        <v>84.261099999999999</v>
      </c>
      <c r="C212" s="66">
        <f t="shared" si="3"/>
        <v>-2.4978101057976487E-2</v>
      </c>
      <c r="D212" s="66">
        <f>(Table110[[#This Row],[Index]]-B200)/B200</f>
        <v>-6.7883117036199331E-3</v>
      </c>
    </row>
    <row r="213" spans="1:4" x14ac:dyDescent="0.35">
      <c r="A213" s="17">
        <v>32568</v>
      </c>
      <c r="B213" s="58">
        <f>VLOOKUP(Table110[[#This Row],[Date]],database!A:H,3,)</f>
        <v>84.495599999999996</v>
      </c>
      <c r="C213" s="66">
        <f t="shared" si="3"/>
        <v>2.7830161248785235E-3</v>
      </c>
      <c r="D213" s="66">
        <f>(Table110[[#This Row],[Index]]-B201)/B201</f>
        <v>-7.6328167665936824E-3</v>
      </c>
    </row>
    <row r="214" spans="1:4" x14ac:dyDescent="0.35">
      <c r="A214" s="17">
        <v>32599</v>
      </c>
      <c r="B214" s="58">
        <f>VLOOKUP(Table110[[#This Row],[Date]],database!A:H,3,)</f>
        <v>84.472499999999997</v>
      </c>
      <c r="C214" s="66">
        <f t="shared" si="3"/>
        <v>-2.7338701660206688E-4</v>
      </c>
      <c r="D214" s="66">
        <f>(Table110[[#This Row],[Index]]-B202)/B202</f>
        <v>-4.4537209017281804E-3</v>
      </c>
    </row>
    <row r="215" spans="1:4" x14ac:dyDescent="0.35">
      <c r="A215" s="17">
        <v>32629</v>
      </c>
      <c r="B215" s="58">
        <f>VLOOKUP(Table110[[#This Row],[Date]],database!A:H,3,)</f>
        <v>83.797499999999999</v>
      </c>
      <c r="C215" s="66">
        <f t="shared" si="3"/>
        <v>-7.9907662256947232E-3</v>
      </c>
      <c r="D215" s="66">
        <f>(Table110[[#This Row],[Index]]-B203)/B203</f>
        <v>-1.3981175656610405E-2</v>
      </c>
    </row>
    <row r="216" spans="1:4" x14ac:dyDescent="0.35">
      <c r="A216" s="17">
        <v>32660</v>
      </c>
      <c r="B216" s="58">
        <f>VLOOKUP(Table110[[#This Row],[Date]],database!A:H,3,)</f>
        <v>83.996700000000004</v>
      </c>
      <c r="C216" s="66">
        <f t="shared" si="3"/>
        <v>2.377159223127201E-3</v>
      </c>
      <c r="D216" s="66">
        <f>(Table110[[#This Row],[Index]]-B204)/B204</f>
        <v>-3.968865689411038E-3</v>
      </c>
    </row>
    <row r="217" spans="1:4" x14ac:dyDescent="0.35">
      <c r="A217" s="17">
        <v>32690</v>
      </c>
      <c r="B217" s="58">
        <f>VLOOKUP(Table110[[#This Row],[Date]],database!A:H,3,)</f>
        <v>83.95</v>
      </c>
      <c r="C217" s="66">
        <f t="shared" si="3"/>
        <v>-5.5597422279685116E-4</v>
      </c>
      <c r="D217" s="66">
        <f>(Table110[[#This Row],[Index]]-B205)/B205</f>
        <v>-4.8011380475372076E-3</v>
      </c>
    </row>
    <row r="218" spans="1:4" x14ac:dyDescent="0.35">
      <c r="A218" s="17">
        <v>32721</v>
      </c>
      <c r="B218" s="58">
        <f>VLOOKUP(Table110[[#This Row],[Date]],database!A:H,3,)</f>
        <v>83.9298</v>
      </c>
      <c r="C218" s="66">
        <f t="shared" si="3"/>
        <v>-2.4061941631925432E-4</v>
      </c>
      <c r="D218" s="66">
        <f>(Table110[[#This Row],[Index]]-B206)/B206</f>
        <v>9.5169946332744029E-4</v>
      </c>
    </row>
    <row r="219" spans="1:4" x14ac:dyDescent="0.35">
      <c r="A219" s="17">
        <v>32752</v>
      </c>
      <c r="B219" s="58">
        <f>VLOOKUP(Table110[[#This Row],[Date]],database!A:H,3,)</f>
        <v>83.7226</v>
      </c>
      <c r="C219" s="66">
        <f t="shared" si="3"/>
        <v>-2.4687298194443485E-3</v>
      </c>
      <c r="D219" s="66">
        <f>(Table110[[#This Row],[Index]]-B207)/B207</f>
        <v>-5.1818766211930104E-3</v>
      </c>
    </row>
    <row r="220" spans="1:4" x14ac:dyDescent="0.35">
      <c r="A220" s="17">
        <v>32782</v>
      </c>
      <c r="B220" s="58">
        <f>VLOOKUP(Table110[[#This Row],[Date]],database!A:H,3,)</f>
        <v>84.125200000000007</v>
      </c>
      <c r="C220" s="66">
        <f t="shared" si="3"/>
        <v>4.8087374257370641E-3</v>
      </c>
      <c r="D220" s="66">
        <f>(Table110[[#This Row],[Index]]-B208)/B208</f>
        <v>-4.2245635465973973E-3</v>
      </c>
    </row>
    <row r="221" spans="1:4" x14ac:dyDescent="0.35">
      <c r="A221" s="17">
        <v>32813</v>
      </c>
      <c r="B221" s="58">
        <f>VLOOKUP(Table110[[#This Row],[Date]],database!A:H,3,)</f>
        <v>84.113</v>
      </c>
      <c r="C221" s="66">
        <f t="shared" si="3"/>
        <v>-1.4502194348431363E-4</v>
      </c>
      <c r="D221" s="66">
        <f>(Table110[[#This Row],[Index]]-B209)/B209</f>
        <v>-8.9113495692788331E-3</v>
      </c>
    </row>
    <row r="222" spans="1:4" x14ac:dyDescent="0.35">
      <c r="A222" s="17">
        <v>32843</v>
      </c>
      <c r="B222" s="58">
        <f>VLOOKUP(Table110[[#This Row],[Date]],database!A:H,3,)</f>
        <v>83.054699999999997</v>
      </c>
      <c r="C222" s="66">
        <f t="shared" si="3"/>
        <v>-1.2581883894285051E-2</v>
      </c>
      <c r="D222" s="66">
        <f>(Table110[[#This Row],[Index]]-B210)/B210</f>
        <v>-2.0685304625688319E-2</v>
      </c>
    </row>
    <row r="223" spans="1:4" x14ac:dyDescent="0.35">
      <c r="A223" s="17">
        <v>32874</v>
      </c>
      <c r="B223" s="58">
        <f>VLOOKUP(Table110[[#This Row],[Date]],database!A:H,3,)</f>
        <v>84.912599999999998</v>
      </c>
      <c r="C223" s="66">
        <f t="shared" si="3"/>
        <v>2.2369594977767582E-2</v>
      </c>
      <c r="D223" s="66">
        <f>(Table110[[#This Row],[Index]]-B211)/B211</f>
        <v>-1.7439310712719532E-2</v>
      </c>
    </row>
    <row r="224" spans="1:4" x14ac:dyDescent="0.35">
      <c r="A224" s="17">
        <v>32905</v>
      </c>
      <c r="B224" s="58">
        <f>VLOOKUP(Table110[[#This Row],[Date]],database!A:H,3,)</f>
        <v>85.238299999999995</v>
      </c>
      <c r="C224" s="66">
        <f t="shared" si="3"/>
        <v>3.8357087169631487E-3</v>
      </c>
      <c r="D224" s="66">
        <f>(Table110[[#This Row],[Index]]-B212)/B212</f>
        <v>1.1597285105463807E-2</v>
      </c>
    </row>
    <row r="225" spans="1:4" x14ac:dyDescent="0.35">
      <c r="A225" s="17">
        <v>32933</v>
      </c>
      <c r="B225" s="58">
        <f>VLOOKUP(Table110[[#This Row],[Date]],database!A:H,3,)</f>
        <v>85.069400000000002</v>
      </c>
      <c r="C225" s="66">
        <f t="shared" si="3"/>
        <v>-1.9815036198516101E-3</v>
      </c>
      <c r="D225" s="66">
        <f>(Table110[[#This Row],[Index]]-B213)/B213</f>
        <v>6.790886152651803E-3</v>
      </c>
    </row>
    <row r="226" spans="1:4" x14ac:dyDescent="0.35">
      <c r="A226" s="17">
        <v>32964</v>
      </c>
      <c r="B226" s="58">
        <f>VLOOKUP(Table110[[#This Row],[Date]],database!A:H,3,)</f>
        <v>84.250699999999995</v>
      </c>
      <c r="C226" s="66">
        <f t="shared" si="3"/>
        <v>-9.6239070688168837E-3</v>
      </c>
      <c r="D226" s="66">
        <f>(Table110[[#This Row],[Index]]-B214)/B214</f>
        <v>-2.6257065909023858E-3</v>
      </c>
    </row>
    <row r="227" spans="1:4" x14ac:dyDescent="0.35">
      <c r="A227" s="17">
        <v>32994</v>
      </c>
      <c r="B227" s="58">
        <f>VLOOKUP(Table110[[#This Row],[Date]],database!A:H,3,)</f>
        <v>83.7791</v>
      </c>
      <c r="C227" s="66">
        <f t="shared" si="3"/>
        <v>-5.5975796046797699E-3</v>
      </c>
      <c r="D227" s="66">
        <f>(Table110[[#This Row],[Index]]-B215)/B215</f>
        <v>-2.1957695635311017E-4</v>
      </c>
    </row>
    <row r="228" spans="1:4" x14ac:dyDescent="0.35">
      <c r="A228" s="17">
        <v>33025</v>
      </c>
      <c r="B228" s="58">
        <f>VLOOKUP(Table110[[#This Row],[Date]],database!A:H,3,)</f>
        <v>84.1447</v>
      </c>
      <c r="C228" s="66">
        <f t="shared" si="3"/>
        <v>4.3638568569011049E-3</v>
      </c>
      <c r="D228" s="66">
        <f>(Table110[[#This Row],[Index]]-B216)/B216</f>
        <v>1.7619739823111638E-3</v>
      </c>
    </row>
    <row r="229" spans="1:4" x14ac:dyDescent="0.35">
      <c r="A229" s="17">
        <v>33055</v>
      </c>
      <c r="B229" s="58">
        <f>VLOOKUP(Table110[[#This Row],[Date]],database!A:H,3,)</f>
        <v>83.4054</v>
      </c>
      <c r="C229" s="66">
        <f t="shared" si="3"/>
        <v>-8.7860554497193322E-3</v>
      </c>
      <c r="D229" s="66">
        <f>(Table110[[#This Row],[Index]]-B217)/B217</f>
        <v>-6.4871947587850226E-3</v>
      </c>
    </row>
    <row r="230" spans="1:4" x14ac:dyDescent="0.35">
      <c r="A230" s="17">
        <v>33086</v>
      </c>
      <c r="B230" s="58">
        <f>VLOOKUP(Table110[[#This Row],[Date]],database!A:H,3,)</f>
        <v>83.349599999999995</v>
      </c>
      <c r="C230" s="66">
        <f t="shared" si="3"/>
        <v>-6.6902143026714711E-4</v>
      </c>
      <c r="D230" s="66">
        <f>(Table110[[#This Row],[Index]]-B218)/B218</f>
        <v>-6.9129200832124581E-3</v>
      </c>
    </row>
    <row r="231" spans="1:4" x14ac:dyDescent="0.35">
      <c r="A231" s="17">
        <v>33117</v>
      </c>
      <c r="B231" s="58">
        <f>VLOOKUP(Table110[[#This Row],[Date]],database!A:H,3,)</f>
        <v>82.962299999999999</v>
      </c>
      <c r="C231" s="66">
        <f t="shared" si="3"/>
        <v>-4.6466929655331057E-3</v>
      </c>
      <c r="D231" s="66">
        <f>(Table110[[#This Row],[Index]]-B219)/B219</f>
        <v>-9.0811799920212811E-3</v>
      </c>
    </row>
    <row r="232" spans="1:4" x14ac:dyDescent="0.35">
      <c r="A232" s="17">
        <v>33147</v>
      </c>
      <c r="B232" s="58">
        <f>VLOOKUP(Table110[[#This Row],[Date]],database!A:H,3,)</f>
        <v>82.163300000000007</v>
      </c>
      <c r="C232" s="66">
        <f t="shared" si="3"/>
        <v>-9.6308805324827329E-3</v>
      </c>
      <c r="D232" s="66">
        <f>(Table110[[#This Row],[Index]]-B220)/B220</f>
        <v>-2.3321192698501754E-2</v>
      </c>
    </row>
    <row r="233" spans="1:4" x14ac:dyDescent="0.35">
      <c r="A233" s="17">
        <v>33178</v>
      </c>
      <c r="B233" s="58">
        <f>VLOOKUP(Table110[[#This Row],[Date]],database!A:H,3,)</f>
        <v>82.128799999999998</v>
      </c>
      <c r="C233" s="66">
        <f t="shared" si="3"/>
        <v>-4.1989550078935789E-4</v>
      </c>
      <c r="D233" s="66">
        <f>(Table110[[#This Row],[Index]]-B221)/B221</f>
        <v>-2.3589694815307993E-2</v>
      </c>
    </row>
    <row r="234" spans="1:4" x14ac:dyDescent="0.35">
      <c r="A234" s="17">
        <v>33208</v>
      </c>
      <c r="B234" s="58">
        <f>VLOOKUP(Table110[[#This Row],[Date]],database!A:H,3,)</f>
        <v>81.574100000000001</v>
      </c>
      <c r="C234" s="66">
        <f t="shared" si="3"/>
        <v>-6.7540253845179699E-3</v>
      </c>
      <c r="D234" s="66">
        <f>(Table110[[#This Row],[Index]]-B222)/B222</f>
        <v>-1.7826805707563755E-2</v>
      </c>
    </row>
    <row r="235" spans="1:4" x14ac:dyDescent="0.35">
      <c r="A235" s="17">
        <v>33239</v>
      </c>
      <c r="B235" s="58">
        <f>VLOOKUP(Table110[[#This Row],[Date]],database!A:H,3,)</f>
        <v>78.604399999999998</v>
      </c>
      <c r="C235" s="66">
        <f t="shared" si="3"/>
        <v>-3.6404937351438793E-2</v>
      </c>
      <c r="D235" s="66">
        <f>(Table110[[#This Row],[Index]]-B223)/B223</f>
        <v>-7.4290505767106413E-2</v>
      </c>
    </row>
    <row r="236" spans="1:4" x14ac:dyDescent="0.35">
      <c r="A236" s="17">
        <v>33270</v>
      </c>
      <c r="B236" s="58">
        <f>VLOOKUP(Table110[[#This Row],[Date]],database!A:H,3,)</f>
        <v>78.297899999999998</v>
      </c>
      <c r="C236" s="66">
        <f t="shared" si="3"/>
        <v>-3.8992728142445143E-3</v>
      </c>
      <c r="D236" s="66">
        <f>(Table110[[#This Row],[Index]]-B224)/B224</f>
        <v>-8.1423491552506291E-2</v>
      </c>
    </row>
    <row r="237" spans="1:4" x14ac:dyDescent="0.35">
      <c r="A237" s="17">
        <v>33298</v>
      </c>
      <c r="B237" s="58">
        <f>VLOOKUP(Table110[[#This Row],[Date]],database!A:H,3,)</f>
        <v>77.349800000000002</v>
      </c>
      <c r="C237" s="66">
        <f t="shared" si="3"/>
        <v>-1.2108881591971099E-2</v>
      </c>
      <c r="D237" s="66">
        <f>(Table110[[#This Row],[Index]]-B225)/B225</f>
        <v>-9.074473312377894E-2</v>
      </c>
    </row>
    <row r="238" spans="1:4" x14ac:dyDescent="0.35">
      <c r="A238" s="17">
        <v>33329</v>
      </c>
      <c r="B238" s="58">
        <f>VLOOKUP(Table110[[#This Row],[Date]],database!A:H,3,)</f>
        <v>77.977500000000006</v>
      </c>
      <c r="C238" s="66">
        <f t="shared" si="3"/>
        <v>8.1150823919389214E-3</v>
      </c>
      <c r="D238" s="66">
        <f>(Table110[[#This Row],[Index]]-B226)/B226</f>
        <v>-7.4458728532819179E-2</v>
      </c>
    </row>
    <row r="239" spans="1:4" x14ac:dyDescent="0.35">
      <c r="A239" s="17">
        <v>33359</v>
      </c>
      <c r="B239" s="58">
        <f>VLOOKUP(Table110[[#This Row],[Date]],database!A:H,3,)</f>
        <v>78.090599999999995</v>
      </c>
      <c r="C239" s="66">
        <f t="shared" si="3"/>
        <v>1.4504183899199941E-3</v>
      </c>
      <c r="D239" s="66">
        <f>(Table110[[#This Row],[Index]]-B227)/B227</f>
        <v>-6.7898795761711511E-2</v>
      </c>
    </row>
    <row r="240" spans="1:4" x14ac:dyDescent="0.35">
      <c r="A240" s="17">
        <v>33390</v>
      </c>
      <c r="B240" s="58">
        <f>VLOOKUP(Table110[[#This Row],[Date]],database!A:H,3,)</f>
        <v>79.400499999999994</v>
      </c>
      <c r="C240" s="66">
        <f t="shared" si="3"/>
        <v>1.6774105974342701E-2</v>
      </c>
      <c r="D240" s="66">
        <f>(Table110[[#This Row],[Index]]-B228)/B228</f>
        <v>-5.6381447672877866E-2</v>
      </c>
    </row>
    <row r="241" spans="1:4" x14ac:dyDescent="0.35">
      <c r="A241" s="17">
        <v>33420</v>
      </c>
      <c r="B241" s="58">
        <f>VLOOKUP(Table110[[#This Row],[Date]],database!A:H,3,)</f>
        <v>79.208299999999994</v>
      </c>
      <c r="C241" s="66">
        <f t="shared" si="3"/>
        <v>-2.4206396685159115E-3</v>
      </c>
      <c r="D241" s="66">
        <f>(Table110[[#This Row],[Index]]-B229)/B229</f>
        <v>-5.0321681809571153E-2</v>
      </c>
    </row>
    <row r="242" spans="1:4" x14ac:dyDescent="0.35">
      <c r="A242" s="17">
        <v>33451</v>
      </c>
      <c r="B242" s="58">
        <f>VLOOKUP(Table110[[#This Row],[Date]],database!A:H,3,)</f>
        <v>79.968599999999995</v>
      </c>
      <c r="C242" s="66">
        <f t="shared" si="3"/>
        <v>9.5987415460248027E-3</v>
      </c>
      <c r="D242" s="66">
        <f>(Table110[[#This Row],[Index]]-B230)/B230</f>
        <v>-4.056408189121484E-2</v>
      </c>
    </row>
    <row r="243" spans="1:4" x14ac:dyDescent="0.35">
      <c r="A243" s="17">
        <v>33482</v>
      </c>
      <c r="B243" s="58">
        <f>VLOOKUP(Table110[[#This Row],[Date]],database!A:H,3,)</f>
        <v>80.314800000000005</v>
      </c>
      <c r="C243" s="66">
        <f t="shared" si="3"/>
        <v>4.3291992106904154E-3</v>
      </c>
      <c r="D243" s="66">
        <f>(Table110[[#This Row],[Index]]-B231)/B231</f>
        <v>-3.1912085368896399E-2</v>
      </c>
    </row>
    <row r="244" spans="1:4" x14ac:dyDescent="0.35">
      <c r="A244" s="17">
        <v>33512</v>
      </c>
      <c r="B244" s="58">
        <f>VLOOKUP(Table110[[#This Row],[Date]],database!A:H,3,)</f>
        <v>79.454300000000003</v>
      </c>
      <c r="C244" s="66">
        <f t="shared" si="3"/>
        <v>-1.0714090055631065E-2</v>
      </c>
      <c r="D244" s="66">
        <f>(Table110[[#This Row],[Index]]-B232)/B232</f>
        <v>-3.2970924975019293E-2</v>
      </c>
    </row>
    <row r="245" spans="1:4" x14ac:dyDescent="0.35">
      <c r="A245" s="17">
        <v>33543</v>
      </c>
      <c r="B245" s="58">
        <f>VLOOKUP(Table110[[#This Row],[Date]],database!A:H,3,)</f>
        <v>80.191199999999995</v>
      </c>
      <c r="C245" s="66">
        <f t="shared" si="3"/>
        <v>9.2745137771019781E-3</v>
      </c>
      <c r="D245" s="66">
        <f>(Table110[[#This Row],[Index]]-B233)/B233</f>
        <v>-2.3592211258413653E-2</v>
      </c>
    </row>
    <row r="246" spans="1:4" x14ac:dyDescent="0.35">
      <c r="A246" s="17">
        <v>33573</v>
      </c>
      <c r="B246" s="58">
        <f>VLOOKUP(Table110[[#This Row],[Date]],database!A:H,3,)</f>
        <v>80.169899999999998</v>
      </c>
      <c r="C246" s="66">
        <f t="shared" si="3"/>
        <v>-2.6561517972045756E-4</v>
      </c>
      <c r="D246" s="66">
        <f>(Table110[[#This Row],[Index]]-B234)/B234</f>
        <v>-1.7213797026262048E-2</v>
      </c>
    </row>
    <row r="247" spans="1:4" x14ac:dyDescent="0.35">
      <c r="A247" s="17">
        <v>33604</v>
      </c>
      <c r="B247" s="58">
        <f>VLOOKUP(Table110[[#This Row],[Date]],database!A:H,3,)</f>
        <v>80.289500000000004</v>
      </c>
      <c r="C247" s="66">
        <f t="shared" si="3"/>
        <v>1.4918317223797661E-3</v>
      </c>
      <c r="D247" s="66">
        <f>(Table110[[#This Row],[Index]]-B235)/B235</f>
        <v>2.1437731221153087E-2</v>
      </c>
    </row>
    <row r="248" spans="1:4" x14ac:dyDescent="0.35">
      <c r="A248" s="17">
        <v>33635</v>
      </c>
      <c r="B248" s="58">
        <f>VLOOKUP(Table110[[#This Row],[Date]],database!A:H,3,)</f>
        <v>80.940700000000007</v>
      </c>
      <c r="C248" s="66">
        <f t="shared" si="3"/>
        <v>8.1106495868077388E-3</v>
      </c>
      <c r="D248" s="66">
        <f>(Table110[[#This Row],[Index]]-B236)/B236</f>
        <v>3.3753140250249475E-2</v>
      </c>
    </row>
    <row r="249" spans="1:4" x14ac:dyDescent="0.35">
      <c r="A249" s="17">
        <v>33664</v>
      </c>
      <c r="B249" s="58">
        <f>VLOOKUP(Table110[[#This Row],[Date]],database!A:H,3,)</f>
        <v>81.520600000000002</v>
      </c>
      <c r="C249" s="66">
        <f t="shared" si="3"/>
        <v>7.1645043840737888E-3</v>
      </c>
      <c r="D249" s="66">
        <f>(Table110[[#This Row],[Index]]-B237)/B237</f>
        <v>5.392127710737455E-2</v>
      </c>
    </row>
    <row r="250" spans="1:4" x14ac:dyDescent="0.35">
      <c r="A250" s="17">
        <v>33695</v>
      </c>
      <c r="B250" s="58">
        <f>VLOOKUP(Table110[[#This Row],[Date]],database!A:H,3,)</f>
        <v>82.058800000000005</v>
      </c>
      <c r="C250" s="66">
        <f t="shared" si="3"/>
        <v>6.6020122521179836E-3</v>
      </c>
      <c r="D250" s="66">
        <f>(Table110[[#This Row],[Index]]-B238)/B238</f>
        <v>5.2339456894617019E-2</v>
      </c>
    </row>
    <row r="251" spans="1:4" x14ac:dyDescent="0.35">
      <c r="A251" s="17">
        <v>33725</v>
      </c>
      <c r="B251" s="58">
        <f>VLOOKUP(Table110[[#This Row],[Date]],database!A:H,3,)</f>
        <v>82.902100000000004</v>
      </c>
      <c r="C251" s="66">
        <f t="shared" si="3"/>
        <v>1.0276777140294513E-2</v>
      </c>
      <c r="D251" s="66">
        <f>(Table110[[#This Row],[Index]]-B239)/B239</f>
        <v>6.1614330021795324E-2</v>
      </c>
    </row>
    <row r="252" spans="1:4" x14ac:dyDescent="0.35">
      <c r="A252" s="17">
        <v>33756</v>
      </c>
      <c r="B252" s="58">
        <f>VLOOKUP(Table110[[#This Row],[Date]],database!A:H,3,)</f>
        <v>82.550399999999996</v>
      </c>
      <c r="C252" s="66">
        <f t="shared" si="3"/>
        <v>-4.2423533300122163E-3</v>
      </c>
      <c r="D252" s="66">
        <f>(Table110[[#This Row],[Index]]-B240)/B240</f>
        <v>3.9671034817161131E-2</v>
      </c>
    </row>
    <row r="253" spans="1:4" x14ac:dyDescent="0.35">
      <c r="A253" s="17">
        <v>33786</v>
      </c>
      <c r="B253" s="58">
        <f>VLOOKUP(Table110[[#This Row],[Date]],database!A:H,3,)</f>
        <v>83.091700000000003</v>
      </c>
      <c r="C253" s="66">
        <f t="shared" si="3"/>
        <v>6.5572062642944573E-3</v>
      </c>
      <c r="D253" s="66">
        <f>(Table110[[#This Row],[Index]]-B241)/B241</f>
        <v>4.9027690279932902E-2</v>
      </c>
    </row>
    <row r="254" spans="1:4" x14ac:dyDescent="0.35">
      <c r="A254" s="17">
        <v>33817</v>
      </c>
      <c r="B254" s="58">
        <f>VLOOKUP(Table110[[#This Row],[Date]],database!A:H,3,)</f>
        <v>83.275000000000006</v>
      </c>
      <c r="C254" s="66">
        <f t="shared" si="3"/>
        <v>2.2059965074729959E-3</v>
      </c>
      <c r="D254" s="66">
        <f>(Table110[[#This Row],[Index]]-B242)/B242</f>
        <v>4.1346228394645031E-2</v>
      </c>
    </row>
    <row r="255" spans="1:4" x14ac:dyDescent="0.35">
      <c r="A255" s="17">
        <v>33848</v>
      </c>
      <c r="B255" s="58">
        <f>VLOOKUP(Table110[[#This Row],[Date]],database!A:H,3,)</f>
        <v>83.241600000000005</v>
      </c>
      <c r="C255" s="66">
        <f t="shared" si="3"/>
        <v>-4.0108075652955932E-4</v>
      </c>
      <c r="D255" s="66">
        <f>(Table110[[#This Row],[Index]]-B243)/B243</f>
        <v>3.6441602294969296E-2</v>
      </c>
    </row>
    <row r="256" spans="1:4" x14ac:dyDescent="0.35">
      <c r="A256" s="17">
        <v>33878</v>
      </c>
      <c r="B256" s="58">
        <f>VLOOKUP(Table110[[#This Row],[Date]],database!A:H,3,)</f>
        <v>83.191100000000006</v>
      </c>
      <c r="C256" s="66">
        <f t="shared" si="3"/>
        <v>-6.066678199362352E-4</v>
      </c>
      <c r="D256" s="66">
        <f>(Table110[[#This Row],[Index]]-B244)/B244</f>
        <v>4.7030808905244928E-2</v>
      </c>
    </row>
    <row r="257" spans="1:4" x14ac:dyDescent="0.35">
      <c r="A257" s="17">
        <v>33909</v>
      </c>
      <c r="B257" s="58">
        <f>VLOOKUP(Table110[[#This Row],[Date]],database!A:H,3,)</f>
        <v>82.931600000000003</v>
      </c>
      <c r="C257" s="66">
        <f t="shared" si="3"/>
        <v>-3.1193240623096363E-3</v>
      </c>
      <c r="D257" s="66">
        <f>(Table110[[#This Row],[Index]]-B245)/B245</f>
        <v>3.4173325751454126E-2</v>
      </c>
    </row>
    <row r="258" spans="1:4" x14ac:dyDescent="0.35">
      <c r="A258" s="17">
        <v>33939</v>
      </c>
      <c r="B258" s="58">
        <f>VLOOKUP(Table110[[#This Row],[Date]],database!A:H,3,)</f>
        <v>83.31</v>
      </c>
      <c r="C258" s="66">
        <f t="shared" si="3"/>
        <v>4.5627963285406192E-3</v>
      </c>
      <c r="D258" s="66">
        <f>(Table110[[#This Row],[Index]]-B246)/B246</f>
        <v>3.9168066818095121E-2</v>
      </c>
    </row>
    <row r="259" spans="1:4" x14ac:dyDescent="0.35">
      <c r="A259" s="17">
        <v>33970</v>
      </c>
      <c r="B259" s="58">
        <f>VLOOKUP(Table110[[#This Row],[Date]],database!A:H,3,)</f>
        <v>83.549499999999995</v>
      </c>
      <c r="C259" s="66">
        <f t="shared" si="3"/>
        <v>2.8748049453846125E-3</v>
      </c>
      <c r="D259" s="66">
        <f>(Table110[[#This Row],[Index]]-B247)/B247</f>
        <v>4.0603067648945265E-2</v>
      </c>
    </row>
    <row r="260" spans="1:4" x14ac:dyDescent="0.35">
      <c r="A260" s="17">
        <v>34001</v>
      </c>
      <c r="B260" s="58">
        <f>VLOOKUP(Table110[[#This Row],[Date]],database!A:H,3,)</f>
        <v>85.068200000000004</v>
      </c>
      <c r="C260" s="66">
        <f t="shared" si="3"/>
        <v>1.8177248218122388E-2</v>
      </c>
      <c r="D260" s="66">
        <f>(Table110[[#This Row],[Index]]-B248)/B248</f>
        <v>5.0994122857845277E-2</v>
      </c>
    </row>
    <row r="261" spans="1:4" x14ac:dyDescent="0.35">
      <c r="A261" s="17">
        <v>34029</v>
      </c>
      <c r="B261" s="58">
        <f>VLOOKUP(Table110[[#This Row],[Date]],database!A:H,3,)</f>
        <v>84.352000000000004</v>
      </c>
      <c r="C261" s="66">
        <f t="shared" si="3"/>
        <v>-8.4191272414368967E-3</v>
      </c>
      <c r="D261" s="66">
        <f>(Table110[[#This Row],[Index]]-B249)/B249</f>
        <v>3.4732325326359254E-2</v>
      </c>
    </row>
    <row r="262" spans="1:4" x14ac:dyDescent="0.35">
      <c r="A262" s="17">
        <v>34060</v>
      </c>
      <c r="B262" s="58">
        <f>VLOOKUP(Table110[[#This Row],[Date]],database!A:H,3,)</f>
        <v>84.628399999999999</v>
      </c>
      <c r="C262" s="66">
        <f t="shared" si="3"/>
        <v>3.2767450682851251E-3</v>
      </c>
      <c r="D262" s="66">
        <f>(Table110[[#This Row],[Index]]-B250)/B250</f>
        <v>3.131413084276146E-2</v>
      </c>
    </row>
    <row r="263" spans="1:4" x14ac:dyDescent="0.35">
      <c r="A263" s="17">
        <v>34090</v>
      </c>
      <c r="B263" s="58">
        <f>VLOOKUP(Table110[[#This Row],[Date]],database!A:H,3,)</f>
        <v>85.572599999999994</v>
      </c>
      <c r="C263" s="66">
        <f t="shared" si="3"/>
        <v>1.1157011121561977E-2</v>
      </c>
      <c r="D263" s="66">
        <f>(Table110[[#This Row],[Index]]-B251)/B251</f>
        <v>3.2212694250205842E-2</v>
      </c>
    </row>
    <row r="264" spans="1:4" x14ac:dyDescent="0.35">
      <c r="A264" s="17">
        <v>34121</v>
      </c>
      <c r="B264" s="58">
        <f>VLOOKUP(Table110[[#This Row],[Date]],database!A:H,3,)</f>
        <v>85.547600000000003</v>
      </c>
      <c r="C264" s="66">
        <f t="shared" ref="C264:C327" si="4">B264/B263-1</f>
        <v>-2.921495899387283E-4</v>
      </c>
      <c r="D264" s="66">
        <f>(Table110[[#This Row],[Index]]-B252)/B252</f>
        <v>3.6307516377873474E-2</v>
      </c>
    </row>
    <row r="265" spans="1:4" x14ac:dyDescent="0.35">
      <c r="A265" s="17">
        <v>34151</v>
      </c>
      <c r="B265" s="58">
        <f>VLOOKUP(Table110[[#This Row],[Date]],database!A:H,3,)</f>
        <v>85.972499999999997</v>
      </c>
      <c r="C265" s="66">
        <f t="shared" si="4"/>
        <v>4.9668254866295225E-3</v>
      </c>
      <c r="D265" s="66">
        <f>(Table110[[#This Row],[Index]]-B253)/B253</f>
        <v>3.467012950751993E-2</v>
      </c>
    </row>
    <row r="266" spans="1:4" x14ac:dyDescent="0.35">
      <c r="A266" s="17">
        <v>34182</v>
      </c>
      <c r="B266" s="58">
        <f>VLOOKUP(Table110[[#This Row],[Date]],database!A:H,3,)</f>
        <v>86.279300000000006</v>
      </c>
      <c r="C266" s="66">
        <f t="shared" si="4"/>
        <v>3.5685829771148203E-3</v>
      </c>
      <c r="D266" s="66">
        <f>(Table110[[#This Row],[Index]]-B254)/B254</f>
        <v>3.6076853797658369E-2</v>
      </c>
    </row>
    <row r="267" spans="1:4" x14ac:dyDescent="0.35">
      <c r="A267" s="17">
        <v>34213</v>
      </c>
      <c r="B267" s="58">
        <f>VLOOKUP(Table110[[#This Row],[Date]],database!A:H,3,)</f>
        <v>86.733000000000004</v>
      </c>
      <c r="C267" s="66">
        <f t="shared" si="4"/>
        <v>5.2585034880903159E-3</v>
      </c>
      <c r="D267" s="66">
        <f>(Table110[[#This Row],[Index]]-B255)/B255</f>
        <v>4.1942970822281149E-2</v>
      </c>
    </row>
    <row r="268" spans="1:4" x14ac:dyDescent="0.35">
      <c r="A268" s="17">
        <v>34243</v>
      </c>
      <c r="B268" s="58">
        <f>VLOOKUP(Table110[[#This Row],[Date]],database!A:H,3,)</f>
        <v>87.521000000000001</v>
      </c>
      <c r="C268" s="66">
        <f t="shared" si="4"/>
        <v>9.0853539022055507E-3</v>
      </c>
      <c r="D268" s="66">
        <f>(Table110[[#This Row],[Index]]-B256)/B256</f>
        <v>5.2047634903252808E-2</v>
      </c>
    </row>
    <row r="269" spans="1:4" x14ac:dyDescent="0.35">
      <c r="A269" s="17">
        <v>34274</v>
      </c>
      <c r="B269" s="58">
        <f>VLOOKUP(Table110[[#This Row],[Date]],database!A:H,3,)</f>
        <v>88.247299999999996</v>
      </c>
      <c r="C269" s="66">
        <f t="shared" si="4"/>
        <v>8.2985797694266061E-3</v>
      </c>
      <c r="D269" s="66">
        <f>(Table110[[#This Row],[Index]]-B257)/B257</f>
        <v>6.4097400749533254E-2</v>
      </c>
    </row>
    <row r="270" spans="1:4" x14ac:dyDescent="0.35">
      <c r="A270" s="17">
        <v>34304</v>
      </c>
      <c r="B270" s="58">
        <f>VLOOKUP(Table110[[#This Row],[Date]],database!A:H,3,)</f>
        <v>89.416300000000007</v>
      </c>
      <c r="C270" s="66">
        <f t="shared" si="4"/>
        <v>1.3246864210009868E-2</v>
      </c>
      <c r="D270" s="66">
        <f>(Table110[[#This Row],[Index]]-B258)/B258</f>
        <v>7.329612291441609E-2</v>
      </c>
    </row>
    <row r="271" spans="1:4" x14ac:dyDescent="0.35">
      <c r="A271" s="17">
        <v>34335</v>
      </c>
      <c r="B271" s="58">
        <f>VLOOKUP(Table110[[#This Row],[Date]],database!A:H,3,)</f>
        <v>89.018299999999996</v>
      </c>
      <c r="C271" s="66">
        <f t="shared" si="4"/>
        <v>-4.451090013789516E-3</v>
      </c>
      <c r="D271" s="66">
        <f>(Table110[[#This Row],[Index]]-B259)/B259</f>
        <v>6.5455807634994853E-2</v>
      </c>
    </row>
    <row r="272" spans="1:4" x14ac:dyDescent="0.35">
      <c r="A272" s="17">
        <v>34366</v>
      </c>
      <c r="B272" s="58">
        <f>VLOOKUP(Table110[[#This Row],[Date]],database!A:H,3,)</f>
        <v>88.431600000000003</v>
      </c>
      <c r="C272" s="66">
        <f t="shared" si="4"/>
        <v>-6.590779648678935E-3</v>
      </c>
      <c r="D272" s="66">
        <f>(Table110[[#This Row],[Index]]-B260)/B260</f>
        <v>3.9537688583983183E-2</v>
      </c>
    </row>
    <row r="273" spans="1:4" x14ac:dyDescent="0.35">
      <c r="A273" s="17">
        <v>34394</v>
      </c>
      <c r="B273" s="58">
        <f>VLOOKUP(Table110[[#This Row],[Date]],database!A:H,3,)</f>
        <v>90.031700000000001</v>
      </c>
      <c r="C273" s="66">
        <f t="shared" si="4"/>
        <v>1.809421066677519E-2</v>
      </c>
      <c r="D273" s="66">
        <f>(Table110[[#This Row],[Index]]-B261)/B261</f>
        <v>6.7333317526555345E-2</v>
      </c>
    </row>
    <row r="274" spans="1:4" x14ac:dyDescent="0.35">
      <c r="A274" s="17">
        <v>34425</v>
      </c>
      <c r="B274" s="58">
        <f>VLOOKUP(Table110[[#This Row],[Date]],database!A:H,3,)</f>
        <v>91.473399999999998</v>
      </c>
      <c r="C274" s="66">
        <f t="shared" si="4"/>
        <v>1.6013248666858493E-2</v>
      </c>
      <c r="D274" s="66">
        <f>(Table110[[#This Row],[Index]]-B262)/B262</f>
        <v>8.0883013267413761E-2</v>
      </c>
    </row>
    <row r="275" spans="1:4" x14ac:dyDescent="0.35">
      <c r="A275" s="17">
        <v>34455</v>
      </c>
      <c r="B275" s="58">
        <f>VLOOKUP(Table110[[#This Row],[Date]],database!A:H,3,)</f>
        <v>92.194199999999995</v>
      </c>
      <c r="C275" s="66">
        <f t="shared" si="4"/>
        <v>7.8798863932028063E-3</v>
      </c>
      <c r="D275" s="66">
        <f>(Table110[[#This Row],[Index]]-B263)/B263</f>
        <v>7.7379908989559751E-2</v>
      </c>
    </row>
    <row r="276" spans="1:4" x14ac:dyDescent="0.35">
      <c r="A276" s="17">
        <v>34486</v>
      </c>
      <c r="B276" s="58">
        <f>VLOOKUP(Table110[[#This Row],[Date]],database!A:H,3,)</f>
        <v>92.275599999999997</v>
      </c>
      <c r="C276" s="66">
        <f t="shared" si="4"/>
        <v>8.8291888209890423E-4</v>
      </c>
      <c r="D276" s="66">
        <f>(Table110[[#This Row],[Index]]-B264)/B264</f>
        <v>7.8646274121074042E-2</v>
      </c>
    </row>
    <row r="277" spans="1:4" x14ac:dyDescent="0.35">
      <c r="A277" s="17">
        <v>34516</v>
      </c>
      <c r="B277" s="58">
        <f>VLOOKUP(Table110[[#This Row],[Date]],database!A:H,3,)</f>
        <v>93.206000000000003</v>
      </c>
      <c r="C277" s="66">
        <f t="shared" si="4"/>
        <v>1.0082838800289595E-2</v>
      </c>
      <c r="D277" s="66">
        <f>(Table110[[#This Row],[Index]]-B265)/B265</f>
        <v>8.413736950769149E-2</v>
      </c>
    </row>
    <row r="278" spans="1:4" x14ac:dyDescent="0.35">
      <c r="A278" s="17">
        <v>34547</v>
      </c>
      <c r="B278" s="58">
        <f>VLOOKUP(Table110[[#This Row],[Date]],database!A:H,3,)</f>
        <v>93.1601</v>
      </c>
      <c r="C278" s="66">
        <f t="shared" si="4"/>
        <v>-4.9245756710947219E-4</v>
      </c>
      <c r="D278" s="66">
        <f>(Table110[[#This Row],[Index]]-B266)/B266</f>
        <v>7.9750299318608206E-2</v>
      </c>
    </row>
    <row r="279" spans="1:4" x14ac:dyDescent="0.35">
      <c r="A279" s="17">
        <v>34578</v>
      </c>
      <c r="B279" s="58">
        <f>VLOOKUP(Table110[[#This Row],[Date]],database!A:H,3,)</f>
        <v>93.999799999999993</v>
      </c>
      <c r="C279" s="66">
        <f t="shared" si="4"/>
        <v>9.0135154427699593E-3</v>
      </c>
      <c r="D279" s="66">
        <f>(Table110[[#This Row],[Index]]-B267)/B267</f>
        <v>8.3783565655517381E-2</v>
      </c>
    </row>
    <row r="280" spans="1:4" x14ac:dyDescent="0.35">
      <c r="A280" s="17">
        <v>34608</v>
      </c>
      <c r="B280" s="58">
        <f>VLOOKUP(Table110[[#This Row],[Date]],database!A:H,3,)</f>
        <v>94.403700000000001</v>
      </c>
      <c r="C280" s="66">
        <f t="shared" si="4"/>
        <v>4.2968176528035418E-3</v>
      </c>
      <c r="D280" s="66">
        <f>(Table110[[#This Row],[Index]]-B268)/B268</f>
        <v>7.8640554838267387E-2</v>
      </c>
    </row>
    <row r="281" spans="1:4" x14ac:dyDescent="0.35">
      <c r="A281" s="17">
        <v>34639</v>
      </c>
      <c r="B281" s="58">
        <f>VLOOKUP(Table110[[#This Row],[Date]],database!A:H,3,)</f>
        <v>94.6233</v>
      </c>
      <c r="C281" s="66">
        <f t="shared" si="4"/>
        <v>2.3261800120122356E-3</v>
      </c>
      <c r="D281" s="66">
        <f>(Table110[[#This Row],[Index]]-B269)/B269</f>
        <v>7.2251502312252108E-2</v>
      </c>
    </row>
    <row r="282" spans="1:4" x14ac:dyDescent="0.35">
      <c r="A282" s="17">
        <v>34669</v>
      </c>
      <c r="B282" s="58">
        <f>VLOOKUP(Table110[[#This Row],[Date]],database!A:H,3,)</f>
        <v>95.292299999999997</v>
      </c>
      <c r="C282" s="66">
        <f t="shared" si="4"/>
        <v>7.0701402297319582E-3</v>
      </c>
      <c r="D282" s="66">
        <f>(Table110[[#This Row],[Index]]-B270)/B270</f>
        <v>6.5715087741273007E-2</v>
      </c>
    </row>
    <row r="283" spans="1:4" x14ac:dyDescent="0.35">
      <c r="A283" s="17">
        <v>34700</v>
      </c>
      <c r="B283" s="58">
        <f>VLOOKUP(Table110[[#This Row],[Date]],database!A:H,3,)</f>
        <v>95.633600000000001</v>
      </c>
      <c r="C283" s="66">
        <f t="shared" si="4"/>
        <v>3.5816115258000547E-3</v>
      </c>
      <c r="D283" s="66">
        <f>(Table110[[#This Row],[Index]]-B271)/B271</f>
        <v>7.4313933202498864E-2</v>
      </c>
    </row>
    <row r="284" spans="1:4" x14ac:dyDescent="0.35">
      <c r="A284" s="17">
        <v>34731</v>
      </c>
      <c r="B284" s="58">
        <f>VLOOKUP(Table110[[#This Row],[Date]],database!A:H,3,)</f>
        <v>94.3279</v>
      </c>
      <c r="C284" s="66">
        <f t="shared" si="4"/>
        <v>-1.3653151193722679E-2</v>
      </c>
      <c r="D284" s="66">
        <f>(Table110[[#This Row],[Index]]-B272)/B272</f>
        <v>6.6676391697085613E-2</v>
      </c>
    </row>
    <row r="285" spans="1:4" x14ac:dyDescent="0.35">
      <c r="A285" s="17">
        <v>34759</v>
      </c>
      <c r="B285" s="58">
        <f>VLOOKUP(Table110[[#This Row],[Date]],database!A:H,3,)</f>
        <v>94.342299999999994</v>
      </c>
      <c r="C285" s="66">
        <f t="shared" si="4"/>
        <v>1.5265896940341861E-4</v>
      </c>
      <c r="D285" s="66">
        <f>(Table110[[#This Row],[Index]]-B273)/B273</f>
        <v>4.7878691616397268E-2</v>
      </c>
    </row>
    <row r="286" spans="1:4" x14ac:dyDescent="0.35">
      <c r="A286" s="17">
        <v>34790</v>
      </c>
      <c r="B286" s="58">
        <f>VLOOKUP(Table110[[#This Row],[Date]],database!A:H,3,)</f>
        <v>93.606499999999997</v>
      </c>
      <c r="C286" s="66">
        <f t="shared" si="4"/>
        <v>-7.799258657039343E-3</v>
      </c>
      <c r="D286" s="66">
        <f>(Table110[[#This Row],[Index]]-B274)/B274</f>
        <v>2.3319347482437507E-2</v>
      </c>
    </row>
    <row r="287" spans="1:4" x14ac:dyDescent="0.35">
      <c r="A287" s="17">
        <v>34820</v>
      </c>
      <c r="B287" s="58">
        <f>VLOOKUP(Table110[[#This Row],[Date]],database!A:H,3,)</f>
        <v>93.188699999999997</v>
      </c>
      <c r="C287" s="66">
        <f t="shared" si="4"/>
        <v>-4.4633652577544813E-3</v>
      </c>
      <c r="D287" s="66">
        <f>(Table110[[#This Row],[Index]]-B275)/B275</f>
        <v>1.0787012632031107E-2</v>
      </c>
    </row>
    <row r="288" spans="1:4" x14ac:dyDescent="0.35">
      <c r="A288" s="17">
        <v>34851</v>
      </c>
      <c r="B288" s="58">
        <f>VLOOKUP(Table110[[#This Row],[Date]],database!A:H,3,)</f>
        <v>93.351500000000001</v>
      </c>
      <c r="C288" s="66">
        <f t="shared" si="4"/>
        <v>1.7469929294002817E-3</v>
      </c>
      <c r="D288" s="66">
        <f>(Table110[[#This Row],[Index]]-B276)/B276</f>
        <v>1.1659637000463874E-2</v>
      </c>
    </row>
    <row r="289" spans="1:4" x14ac:dyDescent="0.35">
      <c r="A289" s="17">
        <v>34881</v>
      </c>
      <c r="B289" s="58">
        <f>VLOOKUP(Table110[[#This Row],[Date]],database!A:H,3,)</f>
        <v>93.084699999999998</v>
      </c>
      <c r="C289" s="66">
        <f t="shared" si="4"/>
        <v>-2.8580151363395423E-3</v>
      </c>
      <c r="D289" s="66">
        <f>(Table110[[#This Row],[Index]]-B277)/B277</f>
        <v>-1.3014183636247138E-3</v>
      </c>
    </row>
    <row r="290" spans="1:4" x14ac:dyDescent="0.35">
      <c r="A290" s="17">
        <v>34912</v>
      </c>
      <c r="B290" s="58">
        <f>VLOOKUP(Table110[[#This Row],[Date]],database!A:H,3,)</f>
        <v>93.952799999999996</v>
      </c>
      <c r="C290" s="66">
        <f t="shared" si="4"/>
        <v>9.3259149999946889E-3</v>
      </c>
      <c r="D290" s="66">
        <f>(Table110[[#This Row],[Index]]-B278)/B278</f>
        <v>8.5090076116276867E-3</v>
      </c>
    </row>
    <row r="291" spans="1:4" x14ac:dyDescent="0.35">
      <c r="A291" s="17">
        <v>34943</v>
      </c>
      <c r="B291" s="58">
        <f>VLOOKUP(Table110[[#This Row],[Date]],database!A:H,3,)</f>
        <v>95.452100000000002</v>
      </c>
      <c r="C291" s="66">
        <f t="shared" si="4"/>
        <v>1.5958012959699008E-2</v>
      </c>
      <c r="D291" s="66">
        <f>(Table110[[#This Row],[Index]]-B279)/B279</f>
        <v>1.5450032872410455E-2</v>
      </c>
    </row>
    <row r="292" spans="1:4" x14ac:dyDescent="0.35">
      <c r="A292" s="17">
        <v>34973</v>
      </c>
      <c r="B292" s="58">
        <f>VLOOKUP(Table110[[#This Row],[Date]],database!A:H,3,)</f>
        <v>95.398200000000003</v>
      </c>
      <c r="C292" s="66">
        <f t="shared" si="4"/>
        <v>-5.6468113325947034E-4</v>
      </c>
      <c r="D292" s="66">
        <f>(Table110[[#This Row],[Index]]-B280)/B280</f>
        <v>1.0534544726530868E-2</v>
      </c>
    </row>
    <row r="293" spans="1:4" x14ac:dyDescent="0.35">
      <c r="A293" s="17">
        <v>35004</v>
      </c>
      <c r="B293" s="58">
        <f>VLOOKUP(Table110[[#This Row],[Date]],database!A:H,3,)</f>
        <v>95.446600000000004</v>
      </c>
      <c r="C293" s="66">
        <f t="shared" si="4"/>
        <v>5.0734709879218798E-4</v>
      </c>
      <c r="D293" s="66">
        <f>(Table110[[#This Row],[Index]]-B281)/B281</f>
        <v>8.7008168178451112E-3</v>
      </c>
    </row>
    <row r="294" spans="1:4" x14ac:dyDescent="0.35">
      <c r="A294" s="17">
        <v>35034</v>
      </c>
      <c r="B294" s="58">
        <f>VLOOKUP(Table110[[#This Row],[Date]],database!A:H,3,)</f>
        <v>95.798000000000002</v>
      </c>
      <c r="C294" s="66">
        <f t="shared" si="4"/>
        <v>3.6816397860164329E-3</v>
      </c>
      <c r="D294" s="66">
        <f>(Table110[[#This Row],[Index]]-B282)/B282</f>
        <v>5.3068296179230061E-3</v>
      </c>
    </row>
    <row r="295" spans="1:4" x14ac:dyDescent="0.35">
      <c r="A295" s="17">
        <v>35065</v>
      </c>
      <c r="B295" s="58">
        <f>VLOOKUP(Table110[[#This Row],[Date]],database!A:H,3,)</f>
        <v>94.536199999999994</v>
      </c>
      <c r="C295" s="66">
        <f t="shared" si="4"/>
        <v>-1.3171464957514867E-2</v>
      </c>
      <c r="D295" s="66">
        <f>(Table110[[#This Row],[Index]]-B283)/B283</f>
        <v>-1.1475046427197214E-2</v>
      </c>
    </row>
    <row r="296" spans="1:4" x14ac:dyDescent="0.35">
      <c r="A296" s="17">
        <v>35096</v>
      </c>
      <c r="B296" s="58">
        <f>VLOOKUP(Table110[[#This Row],[Date]],database!A:H,3,)</f>
        <v>95.484499999999997</v>
      </c>
      <c r="C296" s="66">
        <f t="shared" si="4"/>
        <v>1.0031078042062269E-2</v>
      </c>
      <c r="D296" s="66">
        <f>(Table110[[#This Row],[Index]]-B284)/B284</f>
        <v>1.2261483611953594E-2</v>
      </c>
    </row>
    <row r="297" spans="1:4" x14ac:dyDescent="0.35">
      <c r="A297" s="17">
        <v>35125</v>
      </c>
      <c r="B297" s="58">
        <f>VLOOKUP(Table110[[#This Row],[Date]],database!A:H,3,)</f>
        <v>96.651300000000006</v>
      </c>
      <c r="C297" s="66">
        <f t="shared" si="4"/>
        <v>1.2219784362907271E-2</v>
      </c>
      <c r="D297" s="66">
        <f>(Table110[[#This Row],[Index]]-B285)/B285</f>
        <v>2.4474705407860651E-2</v>
      </c>
    </row>
    <row r="298" spans="1:4" x14ac:dyDescent="0.35">
      <c r="A298" s="17">
        <v>35156</v>
      </c>
      <c r="B298" s="58">
        <f>VLOOKUP(Table110[[#This Row],[Date]],database!A:H,3,)</f>
        <v>97.227800000000002</v>
      </c>
      <c r="C298" s="66">
        <f t="shared" si="4"/>
        <v>5.9647412916328246E-3</v>
      </c>
      <c r="D298" s="66">
        <f>(Table110[[#This Row],[Index]]-B286)/B286</f>
        <v>3.8686416007435435E-2</v>
      </c>
    </row>
    <row r="299" spans="1:4" x14ac:dyDescent="0.35">
      <c r="A299" s="17">
        <v>35186</v>
      </c>
      <c r="B299" s="58">
        <f>VLOOKUP(Table110[[#This Row],[Date]],database!A:H,3,)</f>
        <v>98.231200000000001</v>
      </c>
      <c r="C299" s="66">
        <f t="shared" si="4"/>
        <v>1.03200936357708E-2</v>
      </c>
      <c r="D299" s="66">
        <f>(Table110[[#This Row],[Index]]-B287)/B287</f>
        <v>5.4110637877768486E-2</v>
      </c>
    </row>
    <row r="300" spans="1:4" x14ac:dyDescent="0.35">
      <c r="A300" s="17">
        <v>35217</v>
      </c>
      <c r="B300" s="58">
        <f>VLOOKUP(Table110[[#This Row],[Date]],database!A:H,3,)</f>
        <v>99.761600000000001</v>
      </c>
      <c r="C300" s="66">
        <f t="shared" si="4"/>
        <v>1.5579571459984232E-2</v>
      </c>
      <c r="D300" s="66">
        <f>(Table110[[#This Row],[Index]]-B288)/B288</f>
        <v>6.8666277456709321E-2</v>
      </c>
    </row>
    <row r="301" spans="1:4" x14ac:dyDescent="0.35">
      <c r="A301" s="17">
        <v>35247</v>
      </c>
      <c r="B301" s="58">
        <f>VLOOKUP(Table110[[#This Row],[Date]],database!A:H,3,)</f>
        <v>99.384600000000006</v>
      </c>
      <c r="C301" s="66">
        <f t="shared" si="4"/>
        <v>-3.7790091578322471E-3</v>
      </c>
      <c r="D301" s="66">
        <f>(Table110[[#This Row],[Index]]-B289)/B289</f>
        <v>6.767922118242857E-2</v>
      </c>
    </row>
    <row r="302" spans="1:4" x14ac:dyDescent="0.35">
      <c r="A302" s="17">
        <v>35278</v>
      </c>
      <c r="B302" s="58">
        <f>VLOOKUP(Table110[[#This Row],[Date]],database!A:H,3,)</f>
        <v>100.1738</v>
      </c>
      <c r="C302" s="66">
        <f t="shared" si="4"/>
        <v>7.9408681023014349E-3</v>
      </c>
      <c r="D302" s="66">
        <f>(Table110[[#This Row],[Index]]-B290)/B290</f>
        <v>6.6214098994388709E-2</v>
      </c>
    </row>
    <row r="303" spans="1:4" x14ac:dyDescent="0.35">
      <c r="A303" s="17">
        <v>35309</v>
      </c>
      <c r="B303" s="58">
        <f>VLOOKUP(Table110[[#This Row],[Date]],database!A:H,3,)</f>
        <v>100.5264</v>
      </c>
      <c r="C303" s="66">
        <f t="shared" si="4"/>
        <v>3.5198824443116727E-3</v>
      </c>
      <c r="D303" s="66">
        <f>(Table110[[#This Row],[Index]]-B291)/B291</f>
        <v>5.3160695259716589E-2</v>
      </c>
    </row>
    <row r="304" spans="1:4" x14ac:dyDescent="0.35">
      <c r="A304" s="17">
        <v>35339</v>
      </c>
      <c r="B304" s="58">
        <f>VLOOKUP(Table110[[#This Row],[Date]],database!A:H,3,)</f>
        <v>100.67189999999999</v>
      </c>
      <c r="C304" s="66">
        <f t="shared" si="4"/>
        <v>1.4473809864872234E-3</v>
      </c>
      <c r="D304" s="66">
        <f>(Table110[[#This Row],[Index]]-B292)/B292</f>
        <v>5.5280917250010907E-2</v>
      </c>
    </row>
    <row r="305" spans="1:4" x14ac:dyDescent="0.35">
      <c r="A305" s="17">
        <v>35370</v>
      </c>
      <c r="B305" s="58">
        <f>VLOOKUP(Table110[[#This Row],[Date]],database!A:H,3,)</f>
        <v>101.4128</v>
      </c>
      <c r="C305" s="66">
        <f t="shared" si="4"/>
        <v>7.3595511756510135E-3</v>
      </c>
      <c r="D305" s="66">
        <f>(Table110[[#This Row],[Index]]-B293)/B293</f>
        <v>6.250825068677146E-2</v>
      </c>
    </row>
    <row r="306" spans="1:4" x14ac:dyDescent="0.35">
      <c r="A306" s="17">
        <v>35400</v>
      </c>
      <c r="B306" s="58">
        <f>VLOOKUP(Table110[[#This Row],[Date]],database!A:H,3,)</f>
        <v>100.9579</v>
      </c>
      <c r="C306" s="66">
        <f t="shared" si="4"/>
        <v>-4.4856270608839566E-3</v>
      </c>
      <c r="D306" s="66">
        <f>(Table110[[#This Row],[Index]]-B294)/B294</f>
        <v>5.3862293576066235E-2</v>
      </c>
    </row>
    <row r="307" spans="1:4" x14ac:dyDescent="0.35">
      <c r="A307" s="17">
        <v>35431</v>
      </c>
      <c r="B307" s="58">
        <f>VLOOKUP(Table110[[#This Row],[Date]],database!A:H,3,)</f>
        <v>100.02079999999999</v>
      </c>
      <c r="C307" s="66">
        <f t="shared" si="4"/>
        <v>-9.2820868896836828E-3</v>
      </c>
      <c r="D307" s="66">
        <f>(Table110[[#This Row],[Index]]-B295)/B295</f>
        <v>5.8015871168927889E-2</v>
      </c>
    </row>
    <row r="308" spans="1:4" x14ac:dyDescent="0.35">
      <c r="A308" s="17">
        <v>35462</v>
      </c>
      <c r="B308" s="58">
        <f>VLOOKUP(Table110[[#This Row],[Date]],database!A:H,3,)</f>
        <v>102.01519999999999</v>
      </c>
      <c r="C308" s="66">
        <f t="shared" si="4"/>
        <v>1.9939852510677758E-2</v>
      </c>
      <c r="D308" s="66">
        <f>(Table110[[#This Row],[Index]]-B296)/B296</f>
        <v>6.8395394016829911E-2</v>
      </c>
    </row>
    <row r="309" spans="1:4" x14ac:dyDescent="0.35">
      <c r="A309" s="17">
        <v>35490</v>
      </c>
      <c r="B309" s="58">
        <f>VLOOKUP(Table110[[#This Row],[Date]],database!A:H,3,)</f>
        <v>102.8965</v>
      </c>
      <c r="C309" s="66">
        <f t="shared" si="4"/>
        <v>8.6389087116429675E-3</v>
      </c>
      <c r="D309" s="66">
        <f>(Table110[[#This Row],[Index]]-B297)/B297</f>
        <v>6.4615788923687495E-2</v>
      </c>
    </row>
    <row r="310" spans="1:4" x14ac:dyDescent="0.35">
      <c r="A310" s="17">
        <v>35521</v>
      </c>
      <c r="B310" s="58">
        <f>VLOOKUP(Table110[[#This Row],[Date]],database!A:H,3,)</f>
        <v>102.6622</v>
      </c>
      <c r="C310" s="66">
        <f t="shared" si="4"/>
        <v>-2.2770453805524005E-3</v>
      </c>
      <c r="D310" s="66">
        <f>(Table110[[#This Row],[Index]]-B298)/B298</f>
        <v>5.5893479025546158E-2</v>
      </c>
    </row>
    <row r="311" spans="1:4" x14ac:dyDescent="0.35">
      <c r="A311" s="17">
        <v>35551</v>
      </c>
      <c r="B311" s="58">
        <f>VLOOKUP(Table110[[#This Row],[Date]],database!A:H,3,)</f>
        <v>103.1818</v>
      </c>
      <c r="C311" s="66">
        <f t="shared" si="4"/>
        <v>5.0612591586776112E-3</v>
      </c>
      <c r="D311" s="66">
        <f>(Table110[[#This Row],[Index]]-B299)/B299</f>
        <v>5.0397429737191385E-2</v>
      </c>
    </row>
    <row r="312" spans="1:4" x14ac:dyDescent="0.35">
      <c r="A312" s="17">
        <v>35582</v>
      </c>
      <c r="B312" s="58">
        <f>VLOOKUP(Table110[[#This Row],[Date]],database!A:H,3,)</f>
        <v>103.0868</v>
      </c>
      <c r="C312" s="66">
        <f t="shared" si="4"/>
        <v>-9.20705008053746E-4</v>
      </c>
      <c r="D312" s="66">
        <f>(Table110[[#This Row],[Index]]-B300)/B300</f>
        <v>3.3331462205898818E-2</v>
      </c>
    </row>
    <row r="313" spans="1:4" x14ac:dyDescent="0.35">
      <c r="A313" s="17">
        <v>35612</v>
      </c>
      <c r="B313" s="58">
        <f>VLOOKUP(Table110[[#This Row],[Date]],database!A:H,3,)</f>
        <v>103.137</v>
      </c>
      <c r="C313" s="66">
        <f t="shared" si="4"/>
        <v>4.8696826363814338E-4</v>
      </c>
      <c r="D313" s="66">
        <f>(Table110[[#This Row],[Index]]-B301)/B301</f>
        <v>3.775635259386257E-2</v>
      </c>
    </row>
    <row r="314" spans="1:4" x14ac:dyDescent="0.35">
      <c r="A314" s="17">
        <v>35643</v>
      </c>
      <c r="B314" s="58">
        <f>VLOOKUP(Table110[[#This Row],[Date]],database!A:H,3,)</f>
        <v>103.88930000000001</v>
      </c>
      <c r="C314" s="66">
        <f t="shared" si="4"/>
        <v>7.2941815255438414E-3</v>
      </c>
      <c r="D314" s="66">
        <f>(Table110[[#This Row],[Index]]-B302)/B302</f>
        <v>3.7090536647307042E-2</v>
      </c>
    </row>
    <row r="315" spans="1:4" x14ac:dyDescent="0.35">
      <c r="A315" s="17">
        <v>35674</v>
      </c>
      <c r="B315" s="58">
        <f>VLOOKUP(Table110[[#This Row],[Date]],database!A:H,3,)</f>
        <v>104.35550000000001</v>
      </c>
      <c r="C315" s="66">
        <f t="shared" si="4"/>
        <v>4.4874688731177947E-3</v>
      </c>
      <c r="D315" s="66">
        <f>(Table110[[#This Row],[Index]]-B303)/B303</f>
        <v>3.809049165194428E-2</v>
      </c>
    </row>
    <row r="316" spans="1:4" x14ac:dyDescent="0.35">
      <c r="A316" s="17">
        <v>35704</v>
      </c>
      <c r="B316" s="58">
        <f>VLOOKUP(Table110[[#This Row],[Date]],database!A:H,3,)</f>
        <v>104.95350000000001</v>
      </c>
      <c r="C316" s="66">
        <f t="shared" si="4"/>
        <v>5.7304119092909112E-3</v>
      </c>
      <c r="D316" s="66">
        <f>(Table110[[#This Row],[Index]]-B304)/B304</f>
        <v>4.2530239321995629E-2</v>
      </c>
    </row>
    <row r="317" spans="1:4" x14ac:dyDescent="0.35">
      <c r="A317" s="17">
        <v>35735</v>
      </c>
      <c r="B317" s="58">
        <f>VLOOKUP(Table110[[#This Row],[Date]],database!A:H,3,)</f>
        <v>105.27670000000001</v>
      </c>
      <c r="C317" s="66">
        <f t="shared" si="4"/>
        <v>3.0794589985088106E-3</v>
      </c>
      <c r="D317" s="66">
        <f>(Table110[[#This Row],[Index]]-B305)/B305</f>
        <v>3.8100713124970424E-2</v>
      </c>
    </row>
    <row r="318" spans="1:4" x14ac:dyDescent="0.35">
      <c r="A318" s="17">
        <v>35765</v>
      </c>
      <c r="B318" s="58">
        <f>VLOOKUP(Table110[[#This Row],[Date]],database!A:H,3,)</f>
        <v>106.7137</v>
      </c>
      <c r="C318" s="66">
        <f t="shared" si="4"/>
        <v>1.3649743960439498E-2</v>
      </c>
      <c r="D318" s="66">
        <f>(Table110[[#This Row],[Index]]-B306)/B306</f>
        <v>5.7011883171104075E-2</v>
      </c>
    </row>
    <row r="319" spans="1:4" x14ac:dyDescent="0.35">
      <c r="A319" s="17">
        <v>35796</v>
      </c>
      <c r="B319" s="58">
        <f>VLOOKUP(Table110[[#This Row],[Date]],database!A:H,3,)</f>
        <v>107.3002</v>
      </c>
      <c r="C319" s="66">
        <f t="shared" si="4"/>
        <v>5.4960141012823094E-3</v>
      </c>
      <c r="D319" s="66">
        <f>(Table110[[#This Row],[Index]]-B307)/B307</f>
        <v>7.2778861996704788E-2</v>
      </c>
    </row>
    <row r="320" spans="1:4" x14ac:dyDescent="0.35">
      <c r="A320" s="17">
        <v>35827</v>
      </c>
      <c r="B320" s="58">
        <f>VLOOKUP(Table110[[#This Row],[Date]],database!A:H,3,)</f>
        <v>107.97369999999999</v>
      </c>
      <c r="C320" s="66">
        <f t="shared" si="4"/>
        <v>6.2767823359135555E-3</v>
      </c>
      <c r="D320" s="66">
        <f>(Table110[[#This Row],[Index]]-B308)/B308</f>
        <v>5.8407962734964999E-2</v>
      </c>
    </row>
    <row r="321" spans="1:4" x14ac:dyDescent="0.35">
      <c r="A321" s="17">
        <v>35855</v>
      </c>
      <c r="B321" s="58">
        <f>VLOOKUP(Table110[[#This Row],[Date]],database!A:H,3,)</f>
        <v>107.2033</v>
      </c>
      <c r="C321" s="66">
        <f t="shared" si="4"/>
        <v>-7.1350708552174735E-3</v>
      </c>
      <c r="D321" s="66">
        <f>(Table110[[#This Row],[Index]]-B309)/B309</f>
        <v>4.185565106684868E-2</v>
      </c>
    </row>
    <row r="322" spans="1:4" x14ac:dyDescent="0.35">
      <c r="A322" s="17">
        <v>35886</v>
      </c>
      <c r="B322" s="58">
        <f>VLOOKUP(Table110[[#This Row],[Date]],database!A:H,3,)</f>
        <v>107.6558</v>
      </c>
      <c r="C322" s="66">
        <f t="shared" si="4"/>
        <v>4.2209521535250261E-3</v>
      </c>
      <c r="D322" s="66">
        <f>(Table110[[#This Row],[Index]]-B310)/B310</f>
        <v>4.8641077241672208E-2</v>
      </c>
    </row>
    <row r="323" spans="1:4" x14ac:dyDescent="0.35">
      <c r="A323" s="17">
        <v>35916</v>
      </c>
      <c r="B323" s="58">
        <f>VLOOKUP(Table110[[#This Row],[Date]],database!A:H,3,)</f>
        <v>108.9911</v>
      </c>
      <c r="C323" s="66">
        <f t="shared" si="4"/>
        <v>1.2403419044770603E-2</v>
      </c>
      <c r="D323" s="66">
        <f>(Table110[[#This Row],[Index]]-B311)/B311</f>
        <v>5.6301595824069822E-2</v>
      </c>
    </row>
    <row r="324" spans="1:4" x14ac:dyDescent="0.35">
      <c r="A324" s="17">
        <v>35947</v>
      </c>
      <c r="B324" s="58">
        <f>VLOOKUP(Table110[[#This Row],[Date]],database!A:H,3,)</f>
        <v>108.54770000000001</v>
      </c>
      <c r="C324" s="66">
        <f t="shared" si="4"/>
        <v>-4.0682220841884442E-3</v>
      </c>
      <c r="D324" s="66">
        <f>(Table110[[#This Row],[Index]]-B312)/B312</f>
        <v>5.2973804599619055E-2</v>
      </c>
    </row>
    <row r="325" spans="1:4" x14ac:dyDescent="0.35">
      <c r="A325" s="17">
        <v>35977</v>
      </c>
      <c r="B325" s="58">
        <f>VLOOKUP(Table110[[#This Row],[Date]],database!A:H,3,)</f>
        <v>109.2122</v>
      </c>
      <c r="C325" s="66">
        <f t="shared" si="4"/>
        <v>6.1217326576241682E-3</v>
      </c>
      <c r="D325" s="66">
        <f>(Table110[[#This Row],[Index]]-B313)/B313</f>
        <v>5.8904175998914017E-2</v>
      </c>
    </row>
    <row r="326" spans="1:4" x14ac:dyDescent="0.35">
      <c r="A326" s="17">
        <v>36008</v>
      </c>
      <c r="B326" s="58">
        <f>VLOOKUP(Table110[[#This Row],[Date]],database!A:H,3,)</f>
        <v>109.5201</v>
      </c>
      <c r="C326" s="66">
        <f t="shared" si="4"/>
        <v>2.8192820948576003E-3</v>
      </c>
      <c r="D326" s="66">
        <f>(Table110[[#This Row],[Index]]-B314)/B314</f>
        <v>5.4199999422462113E-2</v>
      </c>
    </row>
    <row r="327" spans="1:4" x14ac:dyDescent="0.35">
      <c r="A327" s="17">
        <v>36039</v>
      </c>
      <c r="B327" s="58">
        <f>VLOOKUP(Table110[[#This Row],[Date]],database!A:H,3,)</f>
        <v>109.2503</v>
      </c>
      <c r="C327" s="66">
        <f t="shared" si="4"/>
        <v>-2.4634747411662605E-3</v>
      </c>
      <c r="D327" s="66">
        <f>(Table110[[#This Row],[Index]]-B315)/B315</f>
        <v>4.6905050524409249E-2</v>
      </c>
    </row>
    <row r="328" spans="1:4" x14ac:dyDescent="0.35">
      <c r="A328" s="17">
        <v>36069</v>
      </c>
      <c r="B328" s="58">
        <f>VLOOKUP(Table110[[#This Row],[Date]],database!A:H,3,)</f>
        <v>110.1781</v>
      </c>
      <c r="C328" s="66">
        <f t="shared" ref="C328:C391" si="5">B328/B327-1</f>
        <v>8.4924251924252125E-3</v>
      </c>
      <c r="D328" s="66">
        <f>(Table110[[#This Row],[Index]]-B316)/B316</f>
        <v>4.978014072898946E-2</v>
      </c>
    </row>
    <row r="329" spans="1:4" x14ac:dyDescent="0.35">
      <c r="A329" s="17">
        <v>36100</v>
      </c>
      <c r="B329" s="58">
        <f>VLOOKUP(Table110[[#This Row],[Date]],database!A:H,3,)</f>
        <v>110.3879</v>
      </c>
      <c r="C329" s="66">
        <f t="shared" si="5"/>
        <v>1.9041896710871864E-3</v>
      </c>
      <c r="D329" s="66">
        <f>(Table110[[#This Row],[Index]]-B317)/B317</f>
        <v>4.8550154022684949E-2</v>
      </c>
    </row>
    <row r="330" spans="1:4" x14ac:dyDescent="0.35">
      <c r="A330" s="17">
        <v>36130</v>
      </c>
      <c r="B330" s="58">
        <f>VLOOKUP(Table110[[#This Row],[Date]],database!A:H,3,)</f>
        <v>111.81959999999999</v>
      </c>
      <c r="C330" s="66">
        <f t="shared" si="5"/>
        <v>1.2969718601404612E-2</v>
      </c>
      <c r="D330" s="66">
        <f>(Table110[[#This Row],[Index]]-B318)/B318</f>
        <v>4.7846715089065329E-2</v>
      </c>
    </row>
    <row r="331" spans="1:4" x14ac:dyDescent="0.35">
      <c r="A331" s="17">
        <v>36161</v>
      </c>
      <c r="B331" s="58">
        <f>VLOOKUP(Table110[[#This Row],[Date]],database!A:H,3,)</f>
        <v>111.0729</v>
      </c>
      <c r="C331" s="66">
        <f t="shared" si="5"/>
        <v>-6.6777201850122259E-3</v>
      </c>
      <c r="D331" s="66">
        <f>(Table110[[#This Row],[Index]]-B319)/B319</f>
        <v>3.5160232692949316E-2</v>
      </c>
    </row>
    <row r="332" spans="1:4" x14ac:dyDescent="0.35">
      <c r="A332" s="17">
        <v>36192</v>
      </c>
      <c r="B332" s="58">
        <f>VLOOKUP(Table110[[#This Row],[Date]],database!A:H,3,)</f>
        <v>111.2581</v>
      </c>
      <c r="C332" s="66">
        <f t="shared" si="5"/>
        <v>1.6673734097154558E-3</v>
      </c>
      <c r="D332" s="66">
        <f>(Table110[[#This Row],[Index]]-B320)/B320</f>
        <v>3.041851858369219E-2</v>
      </c>
    </row>
    <row r="333" spans="1:4" x14ac:dyDescent="0.35">
      <c r="A333" s="17">
        <v>36220</v>
      </c>
      <c r="B333" s="58">
        <f>VLOOKUP(Table110[[#This Row],[Date]],database!A:H,3,)</f>
        <v>110.1279</v>
      </c>
      <c r="C333" s="66">
        <f t="shared" si="5"/>
        <v>-1.0158361503566971E-2</v>
      </c>
      <c r="D333" s="66">
        <f>(Table110[[#This Row],[Index]]-B321)/B321</f>
        <v>2.7280876614805685E-2</v>
      </c>
    </row>
    <row r="334" spans="1:4" x14ac:dyDescent="0.35">
      <c r="A334" s="17">
        <v>36251</v>
      </c>
      <c r="B334" s="58">
        <f>VLOOKUP(Table110[[#This Row],[Date]],database!A:H,3,)</f>
        <v>110.47410000000001</v>
      </c>
      <c r="C334" s="66">
        <f t="shared" si="5"/>
        <v>3.1436175574037772E-3</v>
      </c>
      <c r="D334" s="66">
        <f>(Table110[[#This Row],[Index]]-B322)/B322</f>
        <v>2.6178803185708598E-2</v>
      </c>
    </row>
    <row r="335" spans="1:4" x14ac:dyDescent="0.35">
      <c r="A335" s="17">
        <v>36281</v>
      </c>
      <c r="B335" s="58">
        <f>VLOOKUP(Table110[[#This Row],[Date]],database!A:H,3,)</f>
        <v>110.72069999999999</v>
      </c>
      <c r="C335" s="66">
        <f t="shared" si="5"/>
        <v>2.2321974109766884E-3</v>
      </c>
      <c r="D335" s="66">
        <f>(Table110[[#This Row],[Index]]-B323)/B323</f>
        <v>1.5869185649103373E-2</v>
      </c>
    </row>
    <row r="336" spans="1:4" x14ac:dyDescent="0.35">
      <c r="A336" s="17">
        <v>36312</v>
      </c>
      <c r="B336" s="58">
        <f>VLOOKUP(Table110[[#This Row],[Date]],database!A:H,3,)</f>
        <v>110.8252</v>
      </c>
      <c r="C336" s="66">
        <f t="shared" si="5"/>
        <v>9.4381628728856803E-4</v>
      </c>
      <c r="D336" s="66">
        <f>(Table110[[#This Row],[Index]]-B324)/B324</f>
        <v>2.0981559259201154E-2</v>
      </c>
    </row>
    <row r="337" spans="1:4" x14ac:dyDescent="0.35">
      <c r="A337" s="17">
        <v>36342</v>
      </c>
      <c r="B337" s="58">
        <f>VLOOKUP(Table110[[#This Row],[Date]],database!A:H,3,)</f>
        <v>111.57080000000001</v>
      </c>
      <c r="C337" s="66">
        <f t="shared" si="5"/>
        <v>6.7277117478696802E-3</v>
      </c>
      <c r="D337" s="66">
        <f>(Table110[[#This Row],[Index]]-B325)/B325</f>
        <v>2.1596488304420292E-2</v>
      </c>
    </row>
    <row r="338" spans="1:4" x14ac:dyDescent="0.35">
      <c r="A338" s="17">
        <v>36373</v>
      </c>
      <c r="B338" s="58">
        <f>VLOOKUP(Table110[[#This Row],[Date]],database!A:H,3,)</f>
        <v>111.559</v>
      </c>
      <c r="C338" s="66">
        <f t="shared" si="5"/>
        <v>-1.0576243963478227E-4</v>
      </c>
      <c r="D338" s="66">
        <f>(Table110[[#This Row],[Index]]-B326)/B326</f>
        <v>1.8616674016915601E-2</v>
      </c>
    </row>
    <row r="339" spans="1:4" x14ac:dyDescent="0.35">
      <c r="A339" s="17">
        <v>36404</v>
      </c>
      <c r="B339" s="58">
        <f>VLOOKUP(Table110[[#This Row],[Date]],database!A:H,3,)</f>
        <v>111.6039</v>
      </c>
      <c r="C339" s="66">
        <f t="shared" si="5"/>
        <v>4.0247761274292415E-4</v>
      </c>
      <c r="D339" s="66">
        <f>(Table110[[#This Row],[Index]]-B327)/B327</f>
        <v>2.1543190270415735E-2</v>
      </c>
    </row>
    <row r="340" spans="1:4" x14ac:dyDescent="0.35">
      <c r="A340" s="17">
        <v>36434</v>
      </c>
      <c r="B340" s="58">
        <f>VLOOKUP(Table110[[#This Row],[Date]],database!A:H,3,)</f>
        <v>112.98390000000001</v>
      </c>
      <c r="C340" s="66">
        <f t="shared" si="5"/>
        <v>1.2365159282068161E-2</v>
      </c>
      <c r="D340" s="66">
        <f>(Table110[[#This Row],[Index]]-B328)/B328</f>
        <v>2.5466040891974039E-2</v>
      </c>
    </row>
    <row r="341" spans="1:4" x14ac:dyDescent="0.35">
      <c r="A341" s="17">
        <v>36465</v>
      </c>
      <c r="B341" s="58">
        <f>VLOOKUP(Table110[[#This Row],[Date]],database!A:H,3,)</f>
        <v>113.6375</v>
      </c>
      <c r="C341" s="66">
        <f t="shared" si="5"/>
        <v>5.7848950160155344E-3</v>
      </c>
      <c r="D341" s="66">
        <f>(Table110[[#This Row],[Index]]-B329)/B329</f>
        <v>2.9438009057152104E-2</v>
      </c>
    </row>
    <row r="342" spans="1:4" x14ac:dyDescent="0.35">
      <c r="A342" s="17">
        <v>36495</v>
      </c>
      <c r="B342" s="58">
        <f>VLOOKUP(Table110[[#This Row],[Date]],database!A:H,3,)</f>
        <v>114.7782</v>
      </c>
      <c r="C342" s="66">
        <f t="shared" si="5"/>
        <v>1.003805961940385E-2</v>
      </c>
      <c r="D342" s="66">
        <f>(Table110[[#This Row],[Index]]-B330)/B330</f>
        <v>2.6458688816629682E-2</v>
      </c>
    </row>
    <row r="343" spans="1:4" x14ac:dyDescent="0.35">
      <c r="A343" s="17">
        <v>36526</v>
      </c>
      <c r="B343" s="58">
        <f>VLOOKUP(Table110[[#This Row],[Date]],database!A:H,3,)</f>
        <v>115.1358</v>
      </c>
      <c r="C343" s="66">
        <f t="shared" si="5"/>
        <v>3.1155742118276208E-3</v>
      </c>
      <c r="D343" s="66">
        <f>(Table110[[#This Row],[Index]]-B331)/B331</f>
        <v>3.6578679407848348E-2</v>
      </c>
    </row>
    <row r="344" spans="1:4" x14ac:dyDescent="0.35">
      <c r="A344" s="17">
        <v>36557</v>
      </c>
      <c r="B344" s="58">
        <f>VLOOKUP(Table110[[#This Row],[Date]],database!A:H,3,)</f>
        <v>115.4297</v>
      </c>
      <c r="C344" s="66">
        <f t="shared" si="5"/>
        <v>2.5526378415747786E-3</v>
      </c>
      <c r="D344" s="66">
        <f>(Table110[[#This Row],[Index]]-B332)/B332</f>
        <v>3.7494798131551751E-2</v>
      </c>
    </row>
    <row r="345" spans="1:4" x14ac:dyDescent="0.35">
      <c r="A345" s="17">
        <v>36586</v>
      </c>
      <c r="B345" s="58">
        <f>VLOOKUP(Table110[[#This Row],[Date]],database!A:H,3,)</f>
        <v>115.54510000000001</v>
      </c>
      <c r="C345" s="66">
        <f t="shared" si="5"/>
        <v>9.9974270053548864E-4</v>
      </c>
      <c r="D345" s="66">
        <f>(Table110[[#This Row],[Index]]-B333)/B333</f>
        <v>4.9190078081939349E-2</v>
      </c>
    </row>
    <row r="346" spans="1:4" x14ac:dyDescent="0.35">
      <c r="A346" s="17">
        <v>36617</v>
      </c>
      <c r="B346" s="58">
        <f>VLOOKUP(Table110[[#This Row],[Date]],database!A:H,3,)</f>
        <v>115.9894</v>
      </c>
      <c r="C346" s="66">
        <f t="shared" si="5"/>
        <v>3.8452517674916198E-3</v>
      </c>
      <c r="D346" s="66">
        <f>(Table110[[#This Row],[Index]]-B334)/B334</f>
        <v>4.9923918818981061E-2</v>
      </c>
    </row>
    <row r="347" spans="1:4" x14ac:dyDescent="0.35">
      <c r="A347" s="17">
        <v>36647</v>
      </c>
      <c r="B347" s="58">
        <f>VLOOKUP(Table110[[#This Row],[Date]],database!A:H,3,)</f>
        <v>114.3001</v>
      </c>
      <c r="C347" s="66">
        <f t="shared" si="5"/>
        <v>-1.4564261906691467E-2</v>
      </c>
      <c r="D347" s="66">
        <f>(Table110[[#This Row],[Index]]-B335)/B335</f>
        <v>3.2328191566708006E-2</v>
      </c>
    </row>
    <row r="348" spans="1:4" x14ac:dyDescent="0.35">
      <c r="A348" s="17">
        <v>36678</v>
      </c>
      <c r="B348" s="58">
        <f>VLOOKUP(Table110[[#This Row],[Date]],database!A:H,3,)</f>
        <v>113.7782</v>
      </c>
      <c r="C348" s="66">
        <f t="shared" si="5"/>
        <v>-4.5660502484250465E-3</v>
      </c>
      <c r="D348" s="66">
        <f>(Table110[[#This Row],[Index]]-B336)/B336</f>
        <v>2.6645564366227205E-2</v>
      </c>
    </row>
    <row r="349" spans="1:4" x14ac:dyDescent="0.35">
      <c r="A349" s="17">
        <v>36708</v>
      </c>
      <c r="B349" s="58">
        <f>VLOOKUP(Table110[[#This Row],[Date]],database!A:H,3,)</f>
        <v>114.325</v>
      </c>
      <c r="C349" s="66">
        <f t="shared" si="5"/>
        <v>4.8058415408225308E-3</v>
      </c>
      <c r="D349" s="66">
        <f>(Table110[[#This Row],[Index]]-B337)/B337</f>
        <v>2.4685670444238073E-2</v>
      </c>
    </row>
    <row r="350" spans="1:4" x14ac:dyDescent="0.35">
      <c r="A350" s="17">
        <v>36739</v>
      </c>
      <c r="B350" s="58">
        <f>VLOOKUP(Table110[[#This Row],[Date]],database!A:H,3,)</f>
        <v>113.47280000000001</v>
      </c>
      <c r="C350" s="66">
        <f t="shared" si="5"/>
        <v>-7.4541876230045379E-3</v>
      </c>
      <c r="D350" s="66">
        <f>(Table110[[#This Row],[Index]]-B338)/B338</f>
        <v>1.715504800150601E-2</v>
      </c>
    </row>
    <row r="351" spans="1:4" x14ac:dyDescent="0.35">
      <c r="A351" s="17">
        <v>36770</v>
      </c>
      <c r="B351" s="58">
        <f>VLOOKUP(Table110[[#This Row],[Date]],database!A:H,3,)</f>
        <v>113.62649999999999</v>
      </c>
      <c r="C351" s="66">
        <f t="shared" si="5"/>
        <v>1.3545096269764745E-3</v>
      </c>
      <c r="D351" s="66">
        <f>(Table110[[#This Row],[Index]]-B339)/B339</f>
        <v>1.8123022582544134E-2</v>
      </c>
    </row>
    <row r="352" spans="1:4" x14ac:dyDescent="0.35">
      <c r="A352" s="17">
        <v>36800</v>
      </c>
      <c r="B352" s="58">
        <f>VLOOKUP(Table110[[#This Row],[Date]],database!A:H,3,)</f>
        <v>113.23</v>
      </c>
      <c r="C352" s="66">
        <f t="shared" si="5"/>
        <v>-3.4895028888506374E-3</v>
      </c>
      <c r="D352" s="66">
        <f>(Table110[[#This Row],[Index]]-B340)/B340</f>
        <v>2.1781864495737748E-3</v>
      </c>
    </row>
    <row r="353" spans="1:4" x14ac:dyDescent="0.35">
      <c r="A353" s="17">
        <v>36831</v>
      </c>
      <c r="B353" s="58">
        <f>VLOOKUP(Table110[[#This Row],[Date]],database!A:H,3,)</f>
        <v>112.93219999999999</v>
      </c>
      <c r="C353" s="66">
        <f t="shared" si="5"/>
        <v>-2.6300450410668974E-3</v>
      </c>
      <c r="D353" s="66">
        <f>(Table110[[#This Row],[Index]]-B341)/B341</f>
        <v>-6.2065779342207299E-3</v>
      </c>
    </row>
    <row r="354" spans="1:4" x14ac:dyDescent="0.35">
      <c r="A354" s="17">
        <v>36861</v>
      </c>
      <c r="B354" s="58">
        <f>VLOOKUP(Table110[[#This Row],[Date]],database!A:H,3,)</f>
        <v>111.17959999999999</v>
      </c>
      <c r="C354" s="66">
        <f t="shared" si="5"/>
        <v>-1.551904594083886E-2</v>
      </c>
      <c r="D354" s="66">
        <f>(Table110[[#This Row],[Index]]-B342)/B342</f>
        <v>-3.1352643620478494E-2</v>
      </c>
    </row>
    <row r="355" spans="1:4" x14ac:dyDescent="0.35">
      <c r="A355" s="17">
        <v>36892</v>
      </c>
      <c r="B355" s="58">
        <f>VLOOKUP(Table110[[#This Row],[Date]],database!A:H,3,)</f>
        <v>111.9186</v>
      </c>
      <c r="C355" s="66">
        <f t="shared" si="5"/>
        <v>6.6469028490838689E-3</v>
      </c>
      <c r="D355" s="66">
        <f>(Table110[[#This Row],[Index]]-B343)/B343</f>
        <v>-2.7942655542411703E-2</v>
      </c>
    </row>
    <row r="356" spans="1:4" x14ac:dyDescent="0.35">
      <c r="A356" s="17">
        <v>36923</v>
      </c>
      <c r="B356" s="58">
        <f>VLOOKUP(Table110[[#This Row],[Date]],database!A:H,3,)</f>
        <v>110.5078</v>
      </c>
      <c r="C356" s="66">
        <f t="shared" si="5"/>
        <v>-1.2605590134258216E-2</v>
      </c>
      <c r="D356" s="66">
        <f>(Table110[[#This Row],[Index]]-B344)/B344</f>
        <v>-4.2639805873185097E-2</v>
      </c>
    </row>
    <row r="357" spans="1:4" x14ac:dyDescent="0.35">
      <c r="A357" s="17">
        <v>36951</v>
      </c>
      <c r="B357" s="58">
        <f>VLOOKUP(Table110[[#This Row],[Date]],database!A:H,3,)</f>
        <v>110.62260000000001</v>
      </c>
      <c r="C357" s="66">
        <f t="shared" si="5"/>
        <v>1.0388406972177133E-3</v>
      </c>
      <c r="D357" s="66">
        <f>(Table110[[#This Row],[Index]]-B345)/B345</f>
        <v>-4.2602412391351943E-2</v>
      </c>
    </row>
    <row r="358" spans="1:4" x14ac:dyDescent="0.35">
      <c r="A358" s="17">
        <v>36982</v>
      </c>
      <c r="B358" s="58">
        <f>VLOOKUP(Table110[[#This Row],[Date]],database!A:H,3,)</f>
        <v>110.4067</v>
      </c>
      <c r="C358" s="66">
        <f t="shared" si="5"/>
        <v>-1.9516807596278163E-3</v>
      </c>
      <c r="D358" s="66">
        <f>(Table110[[#This Row],[Index]]-B346)/B346</f>
        <v>-4.8131122326695391E-2</v>
      </c>
    </row>
    <row r="359" spans="1:4" x14ac:dyDescent="0.35">
      <c r="A359" s="17">
        <v>37012</v>
      </c>
      <c r="B359" s="58">
        <f>VLOOKUP(Table110[[#This Row],[Date]],database!A:H,3,)</f>
        <v>109.71040000000001</v>
      </c>
      <c r="C359" s="66">
        <f t="shared" si="5"/>
        <v>-6.3066824748859718E-3</v>
      </c>
      <c r="D359" s="66">
        <f>(Table110[[#This Row],[Index]]-B347)/B347</f>
        <v>-4.0154820511967997E-2</v>
      </c>
    </row>
    <row r="360" spans="1:4" x14ac:dyDescent="0.35">
      <c r="A360" s="17">
        <v>37043</v>
      </c>
      <c r="B360" s="58">
        <f>VLOOKUP(Table110[[#This Row],[Date]],database!A:H,3,)</f>
        <v>108.95820000000001</v>
      </c>
      <c r="C360" s="66">
        <f t="shared" si="5"/>
        <v>-6.8562324082311887E-3</v>
      </c>
      <c r="D360" s="66">
        <f>(Table110[[#This Row],[Index]]-B348)/B348</f>
        <v>-4.2363124043094315E-2</v>
      </c>
    </row>
    <row r="361" spans="1:4" x14ac:dyDescent="0.35">
      <c r="A361" s="17">
        <v>37073</v>
      </c>
      <c r="B361" s="58">
        <f>VLOOKUP(Table110[[#This Row],[Date]],database!A:H,3,)</f>
        <v>109.0355</v>
      </c>
      <c r="C361" s="66">
        <f t="shared" si="5"/>
        <v>7.09446374848266E-4</v>
      </c>
      <c r="D361" s="66">
        <f>(Table110[[#This Row],[Index]]-B349)/B349</f>
        <v>-4.6267220642904033E-2</v>
      </c>
    </row>
    <row r="362" spans="1:4" x14ac:dyDescent="0.35">
      <c r="A362" s="17">
        <v>37104</v>
      </c>
      <c r="B362" s="58">
        <f>VLOOKUP(Table110[[#This Row],[Date]],database!A:H,3,)</f>
        <v>107.7281</v>
      </c>
      <c r="C362" s="66">
        <f t="shared" si="5"/>
        <v>-1.1990590220616215E-2</v>
      </c>
      <c r="D362" s="66">
        <f>(Table110[[#This Row],[Index]]-B350)/B350</f>
        <v>-5.0626229369505366E-2</v>
      </c>
    </row>
    <row r="363" spans="1:4" x14ac:dyDescent="0.35">
      <c r="A363" s="17">
        <v>37135</v>
      </c>
      <c r="B363" s="58">
        <f>VLOOKUP(Table110[[#This Row],[Date]],database!A:H,3,)</f>
        <v>107.52889999999999</v>
      </c>
      <c r="C363" s="66">
        <f t="shared" si="5"/>
        <v>-1.8490997242130991E-3</v>
      </c>
      <c r="D363" s="66">
        <f>(Table110[[#This Row],[Index]]-B351)/B351</f>
        <v>-5.366353799509798E-2</v>
      </c>
    </row>
    <row r="364" spans="1:4" x14ac:dyDescent="0.35">
      <c r="A364" s="17">
        <v>37165</v>
      </c>
      <c r="B364" s="58">
        <f>VLOOKUP(Table110[[#This Row],[Date]],database!A:H,3,)</f>
        <v>106.48860000000001</v>
      </c>
      <c r="C364" s="66">
        <f t="shared" si="5"/>
        <v>-9.6746084076000383E-3</v>
      </c>
      <c r="D364" s="66">
        <f>(Table110[[#This Row],[Index]]-B352)/B352</f>
        <v>-5.9537225117018443E-2</v>
      </c>
    </row>
    <row r="365" spans="1:4" x14ac:dyDescent="0.35">
      <c r="A365" s="17">
        <v>37196</v>
      </c>
      <c r="B365" s="58">
        <f>VLOOKUP(Table110[[#This Row],[Date]],database!A:H,3,)</f>
        <v>106.137</v>
      </c>
      <c r="C365" s="66">
        <f t="shared" si="5"/>
        <v>-3.3017618787363201E-3</v>
      </c>
      <c r="D365" s="66">
        <f>(Table110[[#This Row],[Index]]-B353)/B353</f>
        <v>-6.0170615643722468E-2</v>
      </c>
    </row>
    <row r="366" spans="1:4" x14ac:dyDescent="0.35">
      <c r="A366" s="17">
        <v>37226</v>
      </c>
      <c r="B366" s="58">
        <f>VLOOKUP(Table110[[#This Row],[Date]],database!A:H,3,)</f>
        <v>106.90179999999999</v>
      </c>
      <c r="C366" s="66">
        <f t="shared" si="5"/>
        <v>7.2057812073074157E-3</v>
      </c>
      <c r="D366" s="66">
        <f>(Table110[[#This Row],[Index]]-B354)/B354</f>
        <v>-3.8476483095819733E-2</v>
      </c>
    </row>
    <row r="367" spans="1:4" x14ac:dyDescent="0.35">
      <c r="A367" s="17">
        <v>37257</v>
      </c>
      <c r="B367" s="58">
        <f>VLOOKUP(Table110[[#This Row],[Date]],database!A:H,3,)</f>
        <v>106.76519999999999</v>
      </c>
      <c r="C367" s="66">
        <f t="shared" si="5"/>
        <v>-1.2778082314797157E-3</v>
      </c>
      <c r="D367" s="66">
        <f>(Table110[[#This Row],[Index]]-B355)/B355</f>
        <v>-4.6045965549962251E-2</v>
      </c>
    </row>
    <row r="368" spans="1:4" x14ac:dyDescent="0.35">
      <c r="A368" s="17">
        <v>37288</v>
      </c>
      <c r="B368" s="58">
        <f>VLOOKUP(Table110[[#This Row],[Date]],database!A:H,3,)</f>
        <v>107.04300000000001</v>
      </c>
      <c r="C368" s="66">
        <f t="shared" si="5"/>
        <v>2.6019714288927354E-3</v>
      </c>
      <c r="D368" s="66">
        <f>(Table110[[#This Row],[Index]]-B356)/B356</f>
        <v>-3.135344292439083E-2</v>
      </c>
    </row>
    <row r="369" spans="1:4" x14ac:dyDescent="0.35">
      <c r="A369" s="17">
        <v>37316</v>
      </c>
      <c r="B369" s="58">
        <f>VLOOKUP(Table110[[#This Row],[Date]],database!A:H,3,)</f>
        <v>108.6831</v>
      </c>
      <c r="C369" s="66">
        <f t="shared" si="5"/>
        <v>1.5321879992152621E-2</v>
      </c>
      <c r="D369" s="66">
        <f>(Table110[[#This Row],[Index]]-B357)/B357</f>
        <v>-1.7532583757749406E-2</v>
      </c>
    </row>
    <row r="370" spans="1:4" x14ac:dyDescent="0.35">
      <c r="A370" s="17">
        <v>37347</v>
      </c>
      <c r="B370" s="58">
        <f>VLOOKUP(Table110[[#This Row],[Date]],database!A:H,3,)</f>
        <v>108.6516</v>
      </c>
      <c r="C370" s="66">
        <f t="shared" si="5"/>
        <v>-2.8983346996902526E-4</v>
      </c>
      <c r="D370" s="66">
        <f>(Table110[[#This Row],[Index]]-B358)/B358</f>
        <v>-1.5896680183358426E-2</v>
      </c>
    </row>
    <row r="371" spans="1:4" x14ac:dyDescent="0.35">
      <c r="A371" s="17">
        <v>37377</v>
      </c>
      <c r="B371" s="58">
        <f>VLOOKUP(Table110[[#This Row],[Date]],database!A:H,3,)</f>
        <v>109.14570000000001</v>
      </c>
      <c r="C371" s="66">
        <f t="shared" si="5"/>
        <v>4.5475630363474018E-3</v>
      </c>
      <c r="D371" s="66">
        <f>(Table110[[#This Row],[Index]]-B359)/B359</f>
        <v>-5.1471875045574706E-3</v>
      </c>
    </row>
    <row r="372" spans="1:4" x14ac:dyDescent="0.35">
      <c r="A372" s="17">
        <v>37408</v>
      </c>
      <c r="B372" s="58">
        <f>VLOOKUP(Table110[[#This Row],[Date]],database!A:H,3,)</f>
        <v>109.8729</v>
      </c>
      <c r="C372" s="66">
        <f t="shared" si="5"/>
        <v>6.6626536821881022E-3</v>
      </c>
      <c r="D372" s="66">
        <f>(Table110[[#This Row],[Index]]-B360)/B360</f>
        <v>8.3949624718469666E-3</v>
      </c>
    </row>
    <row r="373" spans="1:4" x14ac:dyDescent="0.35">
      <c r="A373" s="17">
        <v>37438</v>
      </c>
      <c r="B373" s="58">
        <f>VLOOKUP(Table110[[#This Row],[Date]],database!A:H,3,)</f>
        <v>108.61190000000001</v>
      </c>
      <c r="C373" s="66">
        <f t="shared" si="5"/>
        <v>-1.1476897396901276E-2</v>
      </c>
      <c r="D373" s="66">
        <f>(Table110[[#This Row],[Index]]-B361)/B361</f>
        <v>-3.8849732426594397E-3</v>
      </c>
    </row>
    <row r="374" spans="1:4" x14ac:dyDescent="0.35">
      <c r="A374" s="17">
        <v>37469</v>
      </c>
      <c r="B374" s="58">
        <f>VLOOKUP(Table110[[#This Row],[Date]],database!A:H,3,)</f>
        <v>108.9087</v>
      </c>
      <c r="C374" s="66">
        <f t="shared" si="5"/>
        <v>2.7326655734776217E-3</v>
      </c>
      <c r="D374" s="66">
        <f>(Table110[[#This Row],[Index]]-B362)/B362</f>
        <v>1.0959071959869322E-2</v>
      </c>
    </row>
    <row r="375" spans="1:4" x14ac:dyDescent="0.35">
      <c r="A375" s="17">
        <v>37500</v>
      </c>
      <c r="B375" s="58">
        <f>VLOOKUP(Table110[[#This Row],[Date]],database!A:H,3,)</f>
        <v>109.85169999999999</v>
      </c>
      <c r="C375" s="66">
        <f t="shared" si="5"/>
        <v>8.6586287413219498E-3</v>
      </c>
      <c r="D375" s="66">
        <f>(Table110[[#This Row],[Index]]-B363)/B363</f>
        <v>2.1601634537319742E-2</v>
      </c>
    </row>
    <row r="376" spans="1:4" x14ac:dyDescent="0.35">
      <c r="A376" s="17">
        <v>37530</v>
      </c>
      <c r="B376" s="58">
        <f>VLOOKUP(Table110[[#This Row],[Date]],database!A:H,3,)</f>
        <v>109.4211</v>
      </c>
      <c r="C376" s="66">
        <f t="shared" si="5"/>
        <v>-3.9198300982141721E-3</v>
      </c>
      <c r="D376" s="66">
        <f>(Table110[[#This Row],[Index]]-B364)/B364</f>
        <v>2.7538159014204245E-2</v>
      </c>
    </row>
    <row r="377" spans="1:4" x14ac:dyDescent="0.35">
      <c r="A377" s="17">
        <v>37561</v>
      </c>
      <c r="B377" s="58">
        <f>VLOOKUP(Table110[[#This Row],[Date]],database!A:H,3,)</f>
        <v>109.4365</v>
      </c>
      <c r="C377" s="66">
        <f t="shared" si="5"/>
        <v>1.4074067981395544E-4</v>
      </c>
      <c r="D377" s="66">
        <f>(Table110[[#This Row],[Index]]-B365)/B365</f>
        <v>3.1087179777080517E-2</v>
      </c>
    </row>
    <row r="378" spans="1:4" x14ac:dyDescent="0.35">
      <c r="A378" s="17">
        <v>37591</v>
      </c>
      <c r="B378" s="58">
        <f>VLOOKUP(Table110[[#This Row],[Date]],database!A:H,3,)</f>
        <v>108.6027</v>
      </c>
      <c r="C378" s="66">
        <f t="shared" si="5"/>
        <v>-7.6190302138683386E-3</v>
      </c>
      <c r="D378" s="66">
        <f>(Table110[[#This Row],[Index]]-B366)/B366</f>
        <v>1.5910863989193863E-2</v>
      </c>
    </row>
    <row r="379" spans="1:4" x14ac:dyDescent="0.35">
      <c r="A379" s="17">
        <v>37622</v>
      </c>
      <c r="B379" s="58">
        <f>VLOOKUP(Table110[[#This Row],[Date]],database!A:H,3,)</f>
        <v>109.02970000000001</v>
      </c>
      <c r="C379" s="66">
        <f t="shared" si="5"/>
        <v>3.9317622858363599E-3</v>
      </c>
      <c r="D379" s="66">
        <f>(Table110[[#This Row],[Index]]-B367)/B367</f>
        <v>2.1210094675044047E-2</v>
      </c>
    </row>
    <row r="380" spans="1:4" x14ac:dyDescent="0.35">
      <c r="A380" s="17">
        <v>37653</v>
      </c>
      <c r="B380" s="58">
        <f>VLOOKUP(Table110[[#This Row],[Date]],database!A:H,3,)</f>
        <v>108.16330000000001</v>
      </c>
      <c r="C380" s="66">
        <f t="shared" si="5"/>
        <v>-7.946458625493813E-3</v>
      </c>
      <c r="D380" s="66">
        <f>(Table110[[#This Row],[Index]]-B368)/B368</f>
        <v>1.0465887540521102E-2</v>
      </c>
    </row>
    <row r="381" spans="1:4" x14ac:dyDescent="0.35">
      <c r="A381" s="17">
        <v>37681</v>
      </c>
      <c r="B381" s="58">
        <f>VLOOKUP(Table110[[#This Row],[Date]],database!A:H,3,)</f>
        <v>107.6896</v>
      </c>
      <c r="C381" s="66">
        <f t="shared" si="5"/>
        <v>-4.3794891612960463E-3</v>
      </c>
      <c r="D381" s="66">
        <f>(Table110[[#This Row],[Index]]-B369)/B369</f>
        <v>-9.1412556322003832E-3</v>
      </c>
    </row>
    <row r="382" spans="1:4" x14ac:dyDescent="0.35">
      <c r="A382" s="17">
        <v>37712</v>
      </c>
      <c r="B382" s="58">
        <f>VLOOKUP(Table110[[#This Row],[Date]],database!A:H,3,)</f>
        <v>106.57850000000001</v>
      </c>
      <c r="C382" s="66">
        <f t="shared" si="5"/>
        <v>-1.0317616557216192E-2</v>
      </c>
      <c r="D382" s="66">
        <f>(Table110[[#This Row],[Index]]-B370)/B370</f>
        <v>-1.9080252844872938E-2</v>
      </c>
    </row>
    <row r="383" spans="1:4" x14ac:dyDescent="0.35">
      <c r="A383" s="17">
        <v>37742</v>
      </c>
      <c r="B383" s="58">
        <f>VLOOKUP(Table110[[#This Row],[Date]],database!A:H,3,)</f>
        <v>107.952</v>
      </c>
      <c r="C383" s="66">
        <f t="shared" si="5"/>
        <v>1.2887214588308105E-2</v>
      </c>
      <c r="D383" s="66">
        <f>(Table110[[#This Row],[Index]]-B371)/B371</f>
        <v>-1.0936757013789886E-2</v>
      </c>
    </row>
    <row r="384" spans="1:4" x14ac:dyDescent="0.35">
      <c r="A384" s="17">
        <v>37773</v>
      </c>
      <c r="B384" s="58">
        <f>VLOOKUP(Table110[[#This Row],[Date]],database!A:H,3,)</f>
        <v>108.39230000000001</v>
      </c>
      <c r="C384" s="66">
        <f t="shared" si="5"/>
        <v>4.078664591670389E-3</v>
      </c>
      <c r="D384" s="66">
        <f>(Table110[[#This Row],[Index]]-B372)/B372</f>
        <v>-1.3475570409081724E-2</v>
      </c>
    </row>
    <row r="385" spans="1:4" x14ac:dyDescent="0.35">
      <c r="A385" s="17">
        <v>37803</v>
      </c>
      <c r="B385" s="58">
        <f>VLOOKUP(Table110[[#This Row],[Date]],database!A:H,3,)</f>
        <v>107.8937</v>
      </c>
      <c r="C385" s="66">
        <f t="shared" si="5"/>
        <v>-4.5999577460761332E-3</v>
      </c>
      <c r="D385" s="66">
        <f>(Table110[[#This Row],[Index]]-B373)/B373</f>
        <v>-6.6125350905380546E-3</v>
      </c>
    </row>
    <row r="386" spans="1:4" x14ac:dyDescent="0.35">
      <c r="A386" s="17">
        <v>37834</v>
      </c>
      <c r="B386" s="58">
        <f>VLOOKUP(Table110[[#This Row],[Date]],database!A:H,3,)</f>
        <v>108.56</v>
      </c>
      <c r="C386" s="66">
        <f t="shared" si="5"/>
        <v>6.1755227599016305E-3</v>
      </c>
      <c r="D386" s="66">
        <f>(Table110[[#This Row],[Index]]-B374)/B374</f>
        <v>-3.2017644136785564E-3</v>
      </c>
    </row>
    <row r="387" spans="1:4" x14ac:dyDescent="0.35">
      <c r="A387" s="17">
        <v>37865</v>
      </c>
      <c r="B387" s="58">
        <f>VLOOKUP(Table110[[#This Row],[Date]],database!A:H,3,)</f>
        <v>108.2989</v>
      </c>
      <c r="C387" s="66">
        <f t="shared" si="5"/>
        <v>-2.4051215917464397E-3</v>
      </c>
      <c r="D387" s="66">
        <f>(Table110[[#This Row],[Index]]-B375)/B375</f>
        <v>-1.4135420753615928E-2</v>
      </c>
    </row>
    <row r="388" spans="1:4" x14ac:dyDescent="0.35">
      <c r="A388" s="17">
        <v>37895</v>
      </c>
      <c r="B388" s="58">
        <f>VLOOKUP(Table110[[#This Row],[Date]],database!A:H,3,)</f>
        <v>108.8664</v>
      </c>
      <c r="C388" s="66">
        <f t="shared" si="5"/>
        <v>5.2401270927036059E-3</v>
      </c>
      <c r="D388" s="66">
        <f>(Table110[[#This Row],[Index]]-B376)/B376</f>
        <v>-5.0694061748602134E-3</v>
      </c>
    </row>
    <row r="389" spans="1:4" x14ac:dyDescent="0.35">
      <c r="A389" s="17">
        <v>37926</v>
      </c>
      <c r="B389" s="58">
        <f>VLOOKUP(Table110[[#This Row],[Date]],database!A:H,3,)</f>
        <v>110.1212</v>
      </c>
      <c r="C389" s="66">
        <f t="shared" si="5"/>
        <v>1.1526053952367388E-2</v>
      </c>
      <c r="D389" s="66">
        <f>(Table110[[#This Row],[Index]]-B377)/B377</f>
        <v>6.2565962909998636E-3</v>
      </c>
    </row>
    <row r="390" spans="1:4" x14ac:dyDescent="0.35">
      <c r="A390" s="17">
        <v>37956</v>
      </c>
      <c r="B390" s="58">
        <f>VLOOKUP(Table110[[#This Row],[Date]],database!A:H,3,)</f>
        <v>110.1865</v>
      </c>
      <c r="C390" s="66">
        <f t="shared" si="5"/>
        <v>5.9298300418086924E-4</v>
      </c>
      <c r="D390" s="66">
        <f>(Table110[[#This Row],[Index]]-B378)/B378</f>
        <v>1.4583431166996737E-2</v>
      </c>
    </row>
    <row r="391" spans="1:4" x14ac:dyDescent="0.35">
      <c r="A391" s="17">
        <v>37987</v>
      </c>
      <c r="B391" s="58">
        <f>VLOOKUP(Table110[[#This Row],[Date]],database!A:H,3,)</f>
        <v>109.9603</v>
      </c>
      <c r="C391" s="66">
        <f t="shared" si="5"/>
        <v>-2.0528830664372499E-3</v>
      </c>
      <c r="D391" s="66">
        <f>(Table110[[#This Row],[Index]]-B379)/B379</f>
        <v>8.5352890084077846E-3</v>
      </c>
    </row>
    <row r="392" spans="1:4" x14ac:dyDescent="0.35">
      <c r="A392" s="17">
        <v>38018</v>
      </c>
      <c r="B392" s="58">
        <f>VLOOKUP(Table110[[#This Row],[Date]],database!A:H,3,)</f>
        <v>109.96040000000001</v>
      </c>
      <c r="C392" s="66">
        <f t="shared" ref="C392:C455" si="6">B392/B391-1</f>
        <v>9.0941912667119595E-7</v>
      </c>
      <c r="D392" s="66">
        <f>(Table110[[#This Row],[Index]]-B380)/B380</f>
        <v>1.6614692783966468E-2</v>
      </c>
    </row>
    <row r="393" spans="1:4" x14ac:dyDescent="0.35">
      <c r="A393" s="17">
        <v>38047</v>
      </c>
      <c r="B393" s="58">
        <f>VLOOKUP(Table110[[#This Row],[Date]],database!A:H,3,)</f>
        <v>110.06950000000001</v>
      </c>
      <c r="C393" s="66">
        <f t="shared" si="6"/>
        <v>9.9217536494955461E-4</v>
      </c>
      <c r="D393" s="66">
        <f>(Table110[[#This Row],[Index]]-B381)/B381</f>
        <v>2.2099627076337978E-2</v>
      </c>
    </row>
    <row r="394" spans="1:4" x14ac:dyDescent="0.35">
      <c r="A394" s="17">
        <v>38078</v>
      </c>
      <c r="B394" s="58">
        <f>VLOOKUP(Table110[[#This Row],[Date]],database!A:H,3,)</f>
        <v>109.8387</v>
      </c>
      <c r="C394" s="66">
        <f t="shared" si="6"/>
        <v>-2.0968569858135222E-3</v>
      </c>
      <c r="D394" s="66">
        <f>(Table110[[#This Row],[Index]]-B382)/B382</f>
        <v>3.0589659265236397E-2</v>
      </c>
    </row>
    <row r="395" spans="1:4" x14ac:dyDescent="0.35">
      <c r="A395" s="17">
        <v>38108</v>
      </c>
      <c r="B395" s="58">
        <f>VLOOKUP(Table110[[#This Row],[Date]],database!A:H,3,)</f>
        <v>111.05889999999999</v>
      </c>
      <c r="C395" s="66">
        <f t="shared" si="6"/>
        <v>1.1109017131484489E-2</v>
      </c>
      <c r="D395" s="66">
        <f>(Table110[[#This Row],[Index]]-B383)/B383</f>
        <v>2.8780383874314475E-2</v>
      </c>
    </row>
    <row r="396" spans="1:4" x14ac:dyDescent="0.35">
      <c r="A396" s="17">
        <v>38139</v>
      </c>
      <c r="B396" s="58">
        <f>VLOOKUP(Table110[[#This Row],[Date]],database!A:H,3,)</f>
        <v>110.346</v>
      </c>
      <c r="C396" s="66">
        <f t="shared" si="6"/>
        <v>-6.4191163427693709E-3</v>
      </c>
      <c r="D396" s="66">
        <f>(Table110[[#This Row],[Index]]-B384)/B384</f>
        <v>1.8024343057578791E-2</v>
      </c>
    </row>
    <row r="397" spans="1:4" x14ac:dyDescent="0.35">
      <c r="A397" s="17">
        <v>38169</v>
      </c>
      <c r="B397" s="58">
        <f>VLOOKUP(Table110[[#This Row],[Date]],database!A:H,3,)</f>
        <v>111.58540000000001</v>
      </c>
      <c r="C397" s="66">
        <f t="shared" si="6"/>
        <v>1.1231943160604052E-2</v>
      </c>
      <c r="D397" s="66">
        <f>(Table110[[#This Row],[Index]]-B385)/B385</f>
        <v>3.4216084905791644E-2</v>
      </c>
    </row>
    <row r="398" spans="1:4" x14ac:dyDescent="0.35">
      <c r="A398" s="17">
        <v>38200</v>
      </c>
      <c r="B398" s="58">
        <f>VLOOKUP(Table110[[#This Row],[Date]],database!A:H,3,)</f>
        <v>111.8463</v>
      </c>
      <c r="C398" s="66">
        <f t="shared" si="6"/>
        <v>2.3381195030891533E-3</v>
      </c>
      <c r="D398" s="66">
        <f>(Table110[[#This Row],[Index]]-B386)/B386</f>
        <v>3.0271739130434756E-2</v>
      </c>
    </row>
    <row r="399" spans="1:4" x14ac:dyDescent="0.35">
      <c r="A399" s="17">
        <v>38231</v>
      </c>
      <c r="B399" s="58">
        <f>VLOOKUP(Table110[[#This Row],[Date]],database!A:H,3,)</f>
        <v>110.923</v>
      </c>
      <c r="C399" s="66">
        <f t="shared" si="6"/>
        <v>-8.2550786212864935E-3</v>
      </c>
      <c r="D399" s="66">
        <f>(Table110[[#This Row],[Index]]-B387)/B387</f>
        <v>2.423016300257896E-2</v>
      </c>
    </row>
    <row r="400" spans="1:4" x14ac:dyDescent="0.35">
      <c r="A400" s="17">
        <v>38261</v>
      </c>
      <c r="B400" s="58">
        <f>VLOOKUP(Table110[[#This Row],[Date]],database!A:H,3,)</f>
        <v>112.6966</v>
      </c>
      <c r="C400" s="66">
        <f t="shared" si="6"/>
        <v>1.5989470173003006E-2</v>
      </c>
      <c r="D400" s="66">
        <f>(Table110[[#This Row],[Index]]-B388)/B388</f>
        <v>3.5182572400667286E-2</v>
      </c>
    </row>
    <row r="401" spans="1:4" x14ac:dyDescent="0.35">
      <c r="A401" s="17">
        <v>38292</v>
      </c>
      <c r="B401" s="58">
        <f>VLOOKUP(Table110[[#This Row],[Date]],database!A:H,3,)</f>
        <v>112.3314</v>
      </c>
      <c r="C401" s="66">
        <f t="shared" si="6"/>
        <v>-3.240559165050283E-3</v>
      </c>
      <c r="D401" s="66">
        <f>(Table110[[#This Row],[Index]]-B389)/B389</f>
        <v>2.0070613106286533E-2</v>
      </c>
    </row>
    <row r="402" spans="1:4" x14ac:dyDescent="0.35">
      <c r="A402" s="17">
        <v>38322</v>
      </c>
      <c r="B402" s="58">
        <f>VLOOKUP(Table110[[#This Row],[Date]],database!A:H,3,)</f>
        <v>112.3801</v>
      </c>
      <c r="C402" s="66">
        <f t="shared" si="6"/>
        <v>4.3353861876549438E-4</v>
      </c>
      <c r="D402" s="66">
        <f>(Table110[[#This Row],[Index]]-B390)/B390</f>
        <v>1.9908064962586194E-2</v>
      </c>
    </row>
    <row r="403" spans="1:4" x14ac:dyDescent="0.35">
      <c r="A403" s="17">
        <v>38353</v>
      </c>
      <c r="B403" s="58">
        <f>VLOOKUP(Table110[[#This Row],[Date]],database!A:H,3,)</f>
        <v>113.5749</v>
      </c>
      <c r="C403" s="66">
        <f t="shared" si="6"/>
        <v>1.0631775554568845E-2</v>
      </c>
      <c r="D403" s="66">
        <f>(Table110[[#This Row],[Index]]-B391)/B391</f>
        <v>3.2871863754464069E-2</v>
      </c>
    </row>
    <row r="404" spans="1:4" x14ac:dyDescent="0.35">
      <c r="A404" s="17">
        <v>38384</v>
      </c>
      <c r="B404" s="58">
        <f>VLOOKUP(Table110[[#This Row],[Date]],database!A:H,3,)</f>
        <v>114.5326</v>
      </c>
      <c r="C404" s="66">
        <f t="shared" si="6"/>
        <v>8.4323208737142608E-3</v>
      </c>
      <c r="D404" s="66">
        <f>(Table110[[#This Row],[Index]]-B392)/B392</f>
        <v>4.158042349791375E-2</v>
      </c>
    </row>
    <row r="405" spans="1:4" x14ac:dyDescent="0.35">
      <c r="A405" s="17">
        <v>38412</v>
      </c>
      <c r="B405" s="58">
        <f>VLOOKUP(Table110[[#This Row],[Date]],database!A:H,3,)</f>
        <v>113.3353</v>
      </c>
      <c r="C405" s="66">
        <f t="shared" si="6"/>
        <v>-1.0453792195409872E-2</v>
      </c>
      <c r="D405" s="66">
        <f>(Table110[[#This Row],[Index]]-B393)/B393</f>
        <v>2.9670344645882814E-2</v>
      </c>
    </row>
    <row r="406" spans="1:4" x14ac:dyDescent="0.35">
      <c r="A406" s="17">
        <v>38443</v>
      </c>
      <c r="B406" s="58">
        <f>VLOOKUP(Table110[[#This Row],[Date]],database!A:H,3,)</f>
        <v>115.4324</v>
      </c>
      <c r="C406" s="66">
        <f t="shared" si="6"/>
        <v>1.8503502439222386E-2</v>
      </c>
      <c r="D406" s="66">
        <f>(Table110[[#This Row],[Index]]-B394)/B394</f>
        <v>5.092649494212876E-2</v>
      </c>
    </row>
    <row r="407" spans="1:4" x14ac:dyDescent="0.35">
      <c r="A407" s="17">
        <v>38473</v>
      </c>
      <c r="B407" s="58">
        <f>VLOOKUP(Table110[[#This Row],[Date]],database!A:H,3,)</f>
        <v>115.5461</v>
      </c>
      <c r="C407" s="66">
        <f t="shared" si="6"/>
        <v>9.8499208194580135E-4</v>
      </c>
      <c r="D407" s="66">
        <f>(Table110[[#This Row],[Index]]-B395)/B395</f>
        <v>4.0403785738918729E-2</v>
      </c>
    </row>
    <row r="408" spans="1:4" x14ac:dyDescent="0.35">
      <c r="A408" s="17">
        <v>38504</v>
      </c>
      <c r="B408" s="58">
        <f>VLOOKUP(Table110[[#This Row],[Date]],database!A:H,3,)</f>
        <v>114.5201</v>
      </c>
      <c r="C408" s="66">
        <f t="shared" si="6"/>
        <v>-8.8795727419618276E-3</v>
      </c>
      <c r="D408" s="66">
        <f>(Table110[[#This Row],[Index]]-B396)/B396</f>
        <v>3.7827379334094538E-2</v>
      </c>
    </row>
    <row r="409" spans="1:4" x14ac:dyDescent="0.35">
      <c r="A409" s="17">
        <v>38534</v>
      </c>
      <c r="B409" s="58">
        <f>VLOOKUP(Table110[[#This Row],[Date]],database!A:H,3,)</f>
        <v>115.41630000000001</v>
      </c>
      <c r="C409" s="66">
        <f t="shared" si="6"/>
        <v>7.8257004665556185E-3</v>
      </c>
      <c r="D409" s="66">
        <f>(Table110[[#This Row],[Index]]-B397)/B397</f>
        <v>3.433155233569983E-2</v>
      </c>
    </row>
    <row r="410" spans="1:4" x14ac:dyDescent="0.35">
      <c r="A410" s="17">
        <v>38565</v>
      </c>
      <c r="B410" s="58">
        <f>VLOOKUP(Table110[[#This Row],[Date]],database!A:H,3,)</f>
        <v>115.85899999999999</v>
      </c>
      <c r="C410" s="66">
        <f t="shared" si="6"/>
        <v>3.835680055589874E-3</v>
      </c>
      <c r="D410" s="66">
        <f>(Table110[[#This Row],[Index]]-B398)/B398</f>
        <v>3.5876913228242643E-2</v>
      </c>
    </row>
    <row r="411" spans="1:4" x14ac:dyDescent="0.35">
      <c r="A411" s="17">
        <v>38596</v>
      </c>
      <c r="B411" s="58">
        <f>VLOOKUP(Table110[[#This Row],[Date]],database!A:H,3,)</f>
        <v>117.5813</v>
      </c>
      <c r="C411" s="66">
        <f t="shared" si="6"/>
        <v>1.4865483044044892E-2</v>
      </c>
      <c r="D411" s="66">
        <f>(Table110[[#This Row],[Index]]-B399)/B399</f>
        <v>6.0026324567492739E-2</v>
      </c>
    </row>
    <row r="412" spans="1:4" x14ac:dyDescent="0.35">
      <c r="A412" s="17">
        <v>38626</v>
      </c>
      <c r="B412" s="58">
        <f>VLOOKUP(Table110[[#This Row],[Date]],database!A:H,3,)</f>
        <v>120.03789999999999</v>
      </c>
      <c r="C412" s="66">
        <f t="shared" si="6"/>
        <v>2.0892778018273273E-2</v>
      </c>
      <c r="D412" s="66">
        <f>(Table110[[#This Row],[Index]]-B400)/B400</f>
        <v>6.5142160455594844E-2</v>
      </c>
    </row>
    <row r="413" spans="1:4" x14ac:dyDescent="0.35">
      <c r="A413" s="17">
        <v>38657</v>
      </c>
      <c r="B413" s="58">
        <f>VLOOKUP(Table110[[#This Row],[Date]],database!A:H,3,)</f>
        <v>120.8832</v>
      </c>
      <c r="C413" s="66">
        <f t="shared" si="6"/>
        <v>7.0419425864665097E-3</v>
      </c>
      <c r="D413" s="66">
        <f>(Table110[[#This Row],[Index]]-B401)/B401</f>
        <v>7.6130093633658982E-2</v>
      </c>
    </row>
    <row r="414" spans="1:4" x14ac:dyDescent="0.35">
      <c r="A414" s="17">
        <v>38687</v>
      </c>
      <c r="B414" s="58">
        <f>VLOOKUP(Table110[[#This Row],[Date]],database!A:H,3,)</f>
        <v>120.76479999999999</v>
      </c>
      <c r="C414" s="66">
        <f t="shared" si="6"/>
        <v>-9.7945785684039333E-4</v>
      </c>
      <c r="D414" s="66">
        <f>(Table110[[#This Row],[Index]]-B402)/B402</f>
        <v>7.461018454334882E-2</v>
      </c>
    </row>
    <row r="415" spans="1:4" x14ac:dyDescent="0.35">
      <c r="A415" s="17">
        <v>38718</v>
      </c>
      <c r="B415" s="58">
        <f>VLOOKUP(Table110[[#This Row],[Date]],database!A:H,3,)</f>
        <v>122.3293</v>
      </c>
      <c r="C415" s="66">
        <f t="shared" si="6"/>
        <v>1.2954933888020381E-2</v>
      </c>
      <c r="D415" s="66">
        <f>(Table110[[#This Row],[Index]]-B403)/B403</f>
        <v>7.7080411252838474E-2</v>
      </c>
    </row>
    <row r="416" spans="1:4" x14ac:dyDescent="0.35">
      <c r="A416" s="17">
        <v>38749</v>
      </c>
      <c r="B416" s="58">
        <f>VLOOKUP(Table110[[#This Row],[Date]],database!A:H,3,)</f>
        <v>121.1469</v>
      </c>
      <c r="C416" s="66">
        <f t="shared" si="6"/>
        <v>-9.665713774214324E-3</v>
      </c>
      <c r="D416" s="66">
        <f>(Table110[[#This Row],[Index]]-B404)/B404</f>
        <v>5.7750369763717925E-2</v>
      </c>
    </row>
    <row r="417" spans="1:4" x14ac:dyDescent="0.35">
      <c r="A417" s="17">
        <v>38777</v>
      </c>
      <c r="B417" s="58">
        <f>VLOOKUP(Table110[[#This Row],[Date]],database!A:H,3,)</f>
        <v>120.9145</v>
      </c>
      <c r="C417" s="66">
        <f t="shared" si="6"/>
        <v>-1.9183322066020914E-3</v>
      </c>
      <c r="D417" s="66">
        <f>(Table110[[#This Row],[Index]]-B405)/B405</f>
        <v>6.6874133654739515E-2</v>
      </c>
    </row>
    <row r="418" spans="1:4" x14ac:dyDescent="0.35">
      <c r="A418" s="17">
        <v>38808</v>
      </c>
      <c r="B418" s="58">
        <f>VLOOKUP(Table110[[#This Row],[Date]],database!A:H,3,)</f>
        <v>120.2957</v>
      </c>
      <c r="C418" s="66">
        <f t="shared" si="6"/>
        <v>-5.1176657886358168E-3</v>
      </c>
      <c r="D418" s="66">
        <f>(Table110[[#This Row],[Index]]-B406)/B406</f>
        <v>4.2131152085549593E-2</v>
      </c>
    </row>
    <row r="419" spans="1:4" x14ac:dyDescent="0.35">
      <c r="A419" s="17">
        <v>38838</v>
      </c>
      <c r="B419" s="58">
        <f>VLOOKUP(Table110[[#This Row],[Date]],database!A:H,3,)</f>
        <v>119.4182</v>
      </c>
      <c r="C419" s="66">
        <f t="shared" si="6"/>
        <v>-7.2945250744623769E-3</v>
      </c>
      <c r="D419" s="66">
        <f>(Table110[[#This Row],[Index]]-B407)/B407</f>
        <v>3.351129981886021E-2</v>
      </c>
    </row>
    <row r="420" spans="1:4" x14ac:dyDescent="0.35">
      <c r="A420" s="17">
        <v>38869</v>
      </c>
      <c r="B420" s="58">
        <f>VLOOKUP(Table110[[#This Row],[Date]],database!A:H,3,)</f>
        <v>118.9088</v>
      </c>
      <c r="C420" s="66">
        <f t="shared" si="6"/>
        <v>-4.2656814455418468E-3</v>
      </c>
      <c r="D420" s="66">
        <f>(Table110[[#This Row],[Index]]-B408)/B408</f>
        <v>3.8322530280710546E-2</v>
      </c>
    </row>
    <row r="421" spans="1:4" x14ac:dyDescent="0.35">
      <c r="A421" s="17">
        <v>38899</v>
      </c>
      <c r="B421" s="58">
        <f>VLOOKUP(Table110[[#This Row],[Date]],database!A:H,3,)</f>
        <v>119.2728</v>
      </c>
      <c r="C421" s="66">
        <f t="shared" si="6"/>
        <v>3.0611695686106888E-3</v>
      </c>
      <c r="D421" s="66">
        <f>(Table110[[#This Row],[Index]]-B409)/B409</f>
        <v>3.3413824563774758E-2</v>
      </c>
    </row>
    <row r="422" spans="1:4" x14ac:dyDescent="0.35">
      <c r="A422" s="17">
        <v>38930</v>
      </c>
      <c r="B422" s="58">
        <f>VLOOKUP(Table110[[#This Row],[Date]],database!A:H,3,)</f>
        <v>118.3672</v>
      </c>
      <c r="C422" s="66">
        <f t="shared" si="6"/>
        <v>-7.5926782971473816E-3</v>
      </c>
      <c r="D422" s="66">
        <f>(Table110[[#This Row],[Index]]-B410)/B410</f>
        <v>2.1648728195479007E-2</v>
      </c>
    </row>
    <row r="423" spans="1:4" x14ac:dyDescent="0.35">
      <c r="A423" s="17">
        <v>38961</v>
      </c>
      <c r="B423" s="58">
        <f>VLOOKUP(Table110[[#This Row],[Date]],database!A:H,3,)</f>
        <v>118.2364</v>
      </c>
      <c r="C423" s="66">
        <f t="shared" si="6"/>
        <v>-1.1050358545272587E-3</v>
      </c>
      <c r="D423" s="66">
        <f>(Table110[[#This Row],[Index]]-B411)/B411</f>
        <v>5.5714641698978024E-3</v>
      </c>
    </row>
    <row r="424" spans="1:4" x14ac:dyDescent="0.35">
      <c r="A424" s="17">
        <v>38991</v>
      </c>
      <c r="B424" s="58">
        <f>VLOOKUP(Table110[[#This Row],[Date]],database!A:H,3,)</f>
        <v>116.9911</v>
      </c>
      <c r="C424" s="66">
        <f t="shared" si="6"/>
        <v>-1.053228954873453E-2</v>
      </c>
      <c r="D424" s="66">
        <f>(Table110[[#This Row],[Index]]-B412)/B412</f>
        <v>-2.5381983523537072E-2</v>
      </c>
    </row>
    <row r="425" spans="1:4" x14ac:dyDescent="0.35">
      <c r="A425" s="17">
        <v>39022</v>
      </c>
      <c r="B425" s="58">
        <f>VLOOKUP(Table110[[#This Row],[Date]],database!A:H,3,)</f>
        <v>116.72110000000001</v>
      </c>
      <c r="C425" s="66">
        <f t="shared" si="6"/>
        <v>-2.3078678634528282E-3</v>
      </c>
      <c r="D425" s="66">
        <f>(Table110[[#This Row],[Index]]-B413)/B413</f>
        <v>-3.4430756300296447E-2</v>
      </c>
    </row>
    <row r="426" spans="1:4" x14ac:dyDescent="0.35">
      <c r="A426" s="17">
        <v>39052</v>
      </c>
      <c r="B426" s="58">
        <f>VLOOKUP(Table110[[#This Row],[Date]],database!A:H,3,)</f>
        <v>119.8078</v>
      </c>
      <c r="C426" s="66">
        <f t="shared" si="6"/>
        <v>2.6445090047986231E-2</v>
      </c>
      <c r="D426" s="66">
        <f>(Table110[[#This Row],[Index]]-B414)/B414</f>
        <v>-7.9244945547046301E-3</v>
      </c>
    </row>
    <row r="427" spans="1:4" x14ac:dyDescent="0.35">
      <c r="A427" s="17">
        <v>39083</v>
      </c>
      <c r="B427" s="58">
        <f>VLOOKUP(Table110[[#This Row],[Date]],database!A:H,3,)</f>
        <v>117.91119999999999</v>
      </c>
      <c r="C427" s="66">
        <f t="shared" si="6"/>
        <v>-1.5830354951847925E-2</v>
      </c>
      <c r="D427" s="66">
        <f>(Table110[[#This Row],[Index]]-B415)/B415</f>
        <v>-3.6116449615913843E-2</v>
      </c>
    </row>
    <row r="428" spans="1:4" x14ac:dyDescent="0.35">
      <c r="A428" s="17">
        <v>39114</v>
      </c>
      <c r="B428" s="58">
        <f>VLOOKUP(Table110[[#This Row],[Date]],database!A:H,3,)</f>
        <v>118.083</v>
      </c>
      <c r="C428" s="66">
        <f t="shared" si="6"/>
        <v>1.4570286792094933E-3</v>
      </c>
      <c r="D428" s="66">
        <f>(Table110[[#This Row],[Index]]-B416)/B416</f>
        <v>-2.5290783338244756E-2</v>
      </c>
    </row>
    <row r="429" spans="1:4" x14ac:dyDescent="0.35">
      <c r="A429" s="17">
        <v>39142</v>
      </c>
      <c r="B429" s="58">
        <f>VLOOKUP(Table110[[#This Row],[Date]],database!A:H,3,)</f>
        <v>119.4777</v>
      </c>
      <c r="C429" s="66">
        <f t="shared" si="6"/>
        <v>1.181118365895184E-2</v>
      </c>
      <c r="D429" s="66">
        <f>(Table110[[#This Row],[Index]]-B417)/B417</f>
        <v>-1.1882776672772953E-2</v>
      </c>
    </row>
    <row r="430" spans="1:4" x14ac:dyDescent="0.35">
      <c r="A430" s="17">
        <v>39173</v>
      </c>
      <c r="B430" s="58">
        <f>VLOOKUP(Table110[[#This Row],[Date]],database!A:H,3,)</f>
        <v>118.9952</v>
      </c>
      <c r="C430" s="66">
        <f t="shared" si="6"/>
        <v>-4.0384105151003435E-3</v>
      </c>
      <c r="D430" s="66">
        <f>(Table110[[#This Row],[Index]]-B418)/B418</f>
        <v>-1.0810860238562139E-2</v>
      </c>
    </row>
    <row r="431" spans="1:4" x14ac:dyDescent="0.35">
      <c r="A431" s="17">
        <v>39203</v>
      </c>
      <c r="B431" s="58">
        <f>VLOOKUP(Table110[[#This Row],[Date]],database!A:H,3,)</f>
        <v>118.6664</v>
      </c>
      <c r="C431" s="66">
        <f t="shared" si="6"/>
        <v>-2.76313666433603E-3</v>
      </c>
      <c r="D431" s="66">
        <f>(Table110[[#This Row],[Index]]-B419)/B419</f>
        <v>-6.2955227930081258E-3</v>
      </c>
    </row>
    <row r="432" spans="1:4" x14ac:dyDescent="0.35">
      <c r="A432" s="17">
        <v>39234</v>
      </c>
      <c r="B432" s="58">
        <f>VLOOKUP(Table110[[#This Row],[Date]],database!A:H,3,)</f>
        <v>119.29649999999999</v>
      </c>
      <c r="C432" s="66">
        <f t="shared" si="6"/>
        <v>5.3098433929064104E-3</v>
      </c>
      <c r="D432" s="66">
        <f>(Table110[[#This Row],[Index]]-B420)/B420</f>
        <v>3.2604819828304992E-3</v>
      </c>
    </row>
    <row r="433" spans="1:4" x14ac:dyDescent="0.35">
      <c r="A433" s="17">
        <v>39264</v>
      </c>
      <c r="B433" s="58">
        <f>VLOOKUP(Table110[[#This Row],[Date]],database!A:H,3,)</f>
        <v>118.8425</v>
      </c>
      <c r="C433" s="66">
        <f t="shared" si="6"/>
        <v>-3.8056439208190573E-3</v>
      </c>
      <c r="D433" s="66">
        <f>(Table110[[#This Row],[Index]]-B421)/B421</f>
        <v>-3.6076959709171125E-3</v>
      </c>
    </row>
    <row r="434" spans="1:4" x14ac:dyDescent="0.35">
      <c r="A434" s="17">
        <v>39295</v>
      </c>
      <c r="B434" s="58">
        <f>VLOOKUP(Table110[[#This Row],[Date]],database!A:H,3,)</f>
        <v>118.2568</v>
      </c>
      <c r="C434" s="66">
        <f t="shared" si="6"/>
        <v>-4.9283715842396436E-3</v>
      </c>
      <c r="D434" s="66">
        <f>(Table110[[#This Row],[Index]]-B422)/B422</f>
        <v>-9.3269081299547933E-4</v>
      </c>
    </row>
    <row r="435" spans="1:4" x14ac:dyDescent="0.35">
      <c r="A435" s="17">
        <v>39326</v>
      </c>
      <c r="B435" s="58">
        <f>VLOOKUP(Table110[[#This Row],[Date]],database!A:H,3,)</f>
        <v>118.41889999999999</v>
      </c>
      <c r="C435" s="66">
        <f t="shared" si="6"/>
        <v>1.3707456991902678E-3</v>
      </c>
      <c r="D435" s="66">
        <f>(Table110[[#This Row],[Index]]-B423)/B423</f>
        <v>1.5435179014245217E-3</v>
      </c>
    </row>
    <row r="436" spans="1:4" x14ac:dyDescent="0.35">
      <c r="A436" s="17">
        <v>39356</v>
      </c>
      <c r="B436" s="58">
        <f>VLOOKUP(Table110[[#This Row],[Date]],database!A:H,3,)</f>
        <v>117.6798</v>
      </c>
      <c r="C436" s="66">
        <f t="shared" si="6"/>
        <v>-6.2414023437136201E-3</v>
      </c>
      <c r="D436" s="66">
        <f>(Table110[[#This Row],[Index]]-B424)/B424</f>
        <v>5.8867725835554776E-3</v>
      </c>
    </row>
    <row r="437" spans="1:4" x14ac:dyDescent="0.35">
      <c r="A437" s="17">
        <v>39387</v>
      </c>
      <c r="B437" s="58">
        <f>VLOOKUP(Table110[[#This Row],[Date]],database!A:H,3,)</f>
        <v>117.65300000000001</v>
      </c>
      <c r="C437" s="66">
        <f t="shared" si="6"/>
        <v>-2.2773662089836666E-4</v>
      </c>
      <c r="D437" s="66">
        <f>(Table110[[#This Row],[Index]]-B425)/B425</f>
        <v>7.9839891844747761E-3</v>
      </c>
    </row>
    <row r="438" spans="1:4" x14ac:dyDescent="0.35">
      <c r="A438" s="17">
        <v>39417</v>
      </c>
      <c r="B438" s="58">
        <f>VLOOKUP(Table110[[#This Row],[Date]],database!A:H,3,)</f>
        <v>117.75449999999999</v>
      </c>
      <c r="C438" s="66">
        <f t="shared" si="6"/>
        <v>8.627064333250889E-4</v>
      </c>
      <c r="D438" s="66">
        <f>(Table110[[#This Row],[Index]]-B426)/B426</f>
        <v>-1.7138283150178929E-2</v>
      </c>
    </row>
    <row r="439" spans="1:4" x14ac:dyDescent="0.35">
      <c r="A439" s="17">
        <v>39448</v>
      </c>
      <c r="B439" s="58">
        <f>VLOOKUP(Table110[[#This Row],[Date]],database!A:H,3,)</f>
        <v>117.79179999999999</v>
      </c>
      <c r="C439" s="66">
        <f t="shared" si="6"/>
        <v>3.1676071827413388E-4</v>
      </c>
      <c r="D439" s="66">
        <f>(Table110[[#This Row],[Index]]-B427)/B427</f>
        <v>-1.0126264510919984E-3</v>
      </c>
    </row>
    <row r="440" spans="1:4" x14ac:dyDescent="0.35">
      <c r="A440" s="17">
        <v>39479</v>
      </c>
      <c r="B440" s="58">
        <f>VLOOKUP(Table110[[#This Row],[Date]],database!A:H,3,)</f>
        <v>115.3884</v>
      </c>
      <c r="C440" s="66">
        <f t="shared" si="6"/>
        <v>-2.040379720829455E-2</v>
      </c>
      <c r="D440" s="66">
        <f>(Table110[[#This Row],[Index]]-B428)/B428</f>
        <v>-2.2819542186428142E-2</v>
      </c>
    </row>
    <row r="441" spans="1:4" x14ac:dyDescent="0.35">
      <c r="A441" s="17">
        <v>39508</v>
      </c>
      <c r="B441" s="58">
        <f>VLOOKUP(Table110[[#This Row],[Date]],database!A:H,3,)</f>
        <v>113.8871</v>
      </c>
      <c r="C441" s="66">
        <f t="shared" si="6"/>
        <v>-1.3010839911117622E-2</v>
      </c>
      <c r="D441" s="66">
        <f>(Table110[[#This Row],[Index]]-B429)/B429</f>
        <v>-4.6791995493719707E-2</v>
      </c>
    </row>
    <row r="442" spans="1:4" x14ac:dyDescent="0.35">
      <c r="A442" s="17">
        <v>39539</v>
      </c>
      <c r="B442" s="58">
        <f>VLOOKUP(Table110[[#This Row],[Date]],database!A:H,3,)</f>
        <v>111.764</v>
      </c>
      <c r="C442" s="66">
        <f t="shared" si="6"/>
        <v>-1.8642146476642307E-2</v>
      </c>
      <c r="D442" s="66">
        <f>(Table110[[#This Row],[Index]]-B430)/B430</f>
        <v>-6.0768837734631327E-2</v>
      </c>
    </row>
    <row r="443" spans="1:4" x14ac:dyDescent="0.35">
      <c r="A443" s="17">
        <v>39569</v>
      </c>
      <c r="B443" s="58">
        <f>VLOOKUP(Table110[[#This Row],[Date]],database!A:H,3,)</f>
        <v>110.6193</v>
      </c>
      <c r="C443" s="66">
        <f t="shared" si="6"/>
        <v>-1.0242117318635668E-2</v>
      </c>
      <c r="D443" s="66">
        <f>(Table110[[#This Row],[Index]]-B431)/B431</f>
        <v>-6.7812792837736724E-2</v>
      </c>
    </row>
    <row r="444" spans="1:4" x14ac:dyDescent="0.35">
      <c r="A444" s="17">
        <v>39600</v>
      </c>
      <c r="B444" s="58">
        <f>VLOOKUP(Table110[[#This Row],[Date]],database!A:H,3,)</f>
        <v>109.43340000000001</v>
      </c>
      <c r="C444" s="66">
        <f t="shared" si="6"/>
        <v>-1.0720552381003889E-2</v>
      </c>
      <c r="D444" s="66">
        <f>(Table110[[#This Row],[Index]]-B432)/B432</f>
        <v>-8.2677195056015798E-2</v>
      </c>
    </row>
    <row r="445" spans="1:4" x14ac:dyDescent="0.35">
      <c r="A445" s="17">
        <v>39630</v>
      </c>
      <c r="B445" s="58">
        <f>VLOOKUP(Table110[[#This Row],[Date]],database!A:H,3,)</f>
        <v>109.16840000000001</v>
      </c>
      <c r="C445" s="66">
        <f t="shared" si="6"/>
        <v>-2.4215641659676157E-3</v>
      </c>
      <c r="D445" s="66">
        <f>(Table110[[#This Row],[Index]]-B433)/B433</f>
        <v>-8.1402696846666775E-2</v>
      </c>
    </row>
    <row r="446" spans="1:4" x14ac:dyDescent="0.35">
      <c r="A446" s="17">
        <v>39661</v>
      </c>
      <c r="B446" s="58">
        <f>VLOOKUP(Table110[[#This Row],[Date]],database!A:H,3,)</f>
        <v>106.91630000000001</v>
      </c>
      <c r="C446" s="66">
        <f t="shared" si="6"/>
        <v>-2.0629596110229742E-2</v>
      </c>
      <c r="D446" s="66">
        <f>(Table110[[#This Row],[Index]]-B434)/B434</f>
        <v>-9.5897233816575389E-2</v>
      </c>
    </row>
    <row r="447" spans="1:4" x14ac:dyDescent="0.35">
      <c r="A447" s="17">
        <v>39692</v>
      </c>
      <c r="B447" s="58">
        <f>VLOOKUP(Table110[[#This Row],[Date]],database!A:H,3,)</f>
        <v>104.12909999999999</v>
      </c>
      <c r="C447" s="66">
        <f t="shared" si="6"/>
        <v>-2.6068990415867521E-2</v>
      </c>
      <c r="D447" s="66">
        <f>(Table110[[#This Row],[Index]]-B435)/B435</f>
        <v>-0.12067161576403768</v>
      </c>
    </row>
    <row r="448" spans="1:4" x14ac:dyDescent="0.35">
      <c r="A448" s="17">
        <v>39722</v>
      </c>
      <c r="B448" s="58">
        <f>VLOOKUP(Table110[[#This Row],[Date]],database!A:H,3,)</f>
        <v>102.4148</v>
      </c>
      <c r="C448" s="66">
        <f t="shared" si="6"/>
        <v>-1.646321729468514E-2</v>
      </c>
      <c r="D448" s="66">
        <f>(Table110[[#This Row],[Index]]-B436)/B436</f>
        <v>-0.12971639992590062</v>
      </c>
    </row>
    <row r="449" spans="1:4" x14ac:dyDescent="0.35">
      <c r="A449" s="17">
        <v>39753</v>
      </c>
      <c r="B449" s="58">
        <f>VLOOKUP(Table110[[#This Row],[Date]],database!A:H,3,)</f>
        <v>97.335999999999999</v>
      </c>
      <c r="C449" s="66">
        <f t="shared" si="6"/>
        <v>-4.9590488874654892E-2</v>
      </c>
      <c r="D449" s="66">
        <f>(Table110[[#This Row],[Index]]-B437)/B437</f>
        <v>-0.17268577936814197</v>
      </c>
    </row>
    <row r="450" spans="1:4" x14ac:dyDescent="0.35">
      <c r="A450" s="17">
        <v>39783</v>
      </c>
      <c r="B450" s="58">
        <f>VLOOKUP(Table110[[#This Row],[Date]],database!A:H,3,)</f>
        <v>91.8626</v>
      </c>
      <c r="C450" s="66">
        <f t="shared" si="6"/>
        <v>-5.6232021040519387E-2</v>
      </c>
      <c r="D450" s="66">
        <f>(Table110[[#This Row],[Index]]-B438)/B438</f>
        <v>-0.21988034427559028</v>
      </c>
    </row>
    <row r="451" spans="1:4" x14ac:dyDescent="0.35">
      <c r="A451" s="17">
        <v>39814</v>
      </c>
      <c r="B451" s="58">
        <f>VLOOKUP(Table110[[#This Row],[Date]],database!A:H,3,)</f>
        <v>87.807500000000005</v>
      </c>
      <c r="C451" s="66">
        <f t="shared" si="6"/>
        <v>-4.4143100674267854E-2</v>
      </c>
      <c r="D451" s="66">
        <f>(Table110[[#This Row],[Index]]-B439)/B439</f>
        <v>-0.25455337298521624</v>
      </c>
    </row>
    <row r="452" spans="1:4" x14ac:dyDescent="0.35">
      <c r="A452" s="17">
        <v>39845</v>
      </c>
      <c r="B452" s="58">
        <f>VLOOKUP(Table110[[#This Row],[Date]],database!A:H,3,)</f>
        <v>86.311000000000007</v>
      </c>
      <c r="C452" s="66">
        <f t="shared" si="6"/>
        <v>-1.7042963300401448E-2</v>
      </c>
      <c r="D452" s="66">
        <f>(Table110[[#This Row],[Index]]-B440)/B440</f>
        <v>-0.25199586786886718</v>
      </c>
    </row>
    <row r="453" spans="1:4" x14ac:dyDescent="0.35">
      <c r="A453" s="17">
        <v>39873</v>
      </c>
      <c r="B453" s="58">
        <f>VLOOKUP(Table110[[#This Row],[Date]],database!A:H,3,)</f>
        <v>83.435400000000001</v>
      </c>
      <c r="C453" s="66">
        <f t="shared" si="6"/>
        <v>-3.3316726720811984E-2</v>
      </c>
      <c r="D453" s="66">
        <f>(Table110[[#This Row],[Index]]-B441)/B441</f>
        <v>-0.26738498038847247</v>
      </c>
    </row>
    <row r="454" spans="1:4" x14ac:dyDescent="0.35">
      <c r="A454" s="17">
        <v>39904</v>
      </c>
      <c r="B454" s="58">
        <f>VLOOKUP(Table110[[#This Row],[Date]],database!A:H,3,)</f>
        <v>81.883899999999997</v>
      </c>
      <c r="C454" s="66">
        <f t="shared" si="6"/>
        <v>-1.8595224568948021E-2</v>
      </c>
      <c r="D454" s="66">
        <f>(Table110[[#This Row],[Index]]-B442)/B442</f>
        <v>-0.26734995168390535</v>
      </c>
    </row>
    <row r="455" spans="1:4" x14ac:dyDescent="0.35">
      <c r="A455" s="17">
        <v>39934</v>
      </c>
      <c r="B455" s="58">
        <f>VLOOKUP(Table110[[#This Row],[Date]],database!A:H,3,)</f>
        <v>81.555499999999995</v>
      </c>
      <c r="C455" s="66">
        <f t="shared" si="6"/>
        <v>-4.0105564097460134E-3</v>
      </c>
      <c r="D455" s="66">
        <f>(Table110[[#This Row],[Index]]-B443)/B443</f>
        <v>-0.26273715346237053</v>
      </c>
    </row>
    <row r="456" spans="1:4" x14ac:dyDescent="0.35">
      <c r="A456" s="17">
        <v>39965</v>
      </c>
      <c r="B456" s="58">
        <f>VLOOKUP(Table110[[#This Row],[Date]],database!A:H,3,)</f>
        <v>81.588300000000004</v>
      </c>
      <c r="C456" s="66">
        <f t="shared" ref="C456:C519" si="7">B456/B455-1</f>
        <v>4.0218011047699065E-4</v>
      </c>
      <c r="D456" s="66">
        <f>(Table110[[#This Row],[Index]]-B444)/B444</f>
        <v>-0.25444791078409335</v>
      </c>
    </row>
    <row r="457" spans="1:4" x14ac:dyDescent="0.35">
      <c r="A457" s="17">
        <v>39995</v>
      </c>
      <c r="B457" s="58">
        <f>VLOOKUP(Table110[[#This Row],[Date]],database!A:H,3,)</f>
        <v>81.906999999999996</v>
      </c>
      <c r="C457" s="66">
        <f t="shared" si="7"/>
        <v>3.9061973346667944E-3</v>
      </c>
      <c r="D457" s="66">
        <f>(Table110[[#This Row],[Index]]-B445)/B445</f>
        <v>-0.2497187830910777</v>
      </c>
    </row>
    <row r="458" spans="1:4" x14ac:dyDescent="0.35">
      <c r="A458" s="17">
        <v>40026</v>
      </c>
      <c r="B458" s="58">
        <f>VLOOKUP(Table110[[#This Row],[Date]],database!A:H,3,)</f>
        <v>82.510400000000004</v>
      </c>
      <c r="C458" s="66">
        <f t="shared" si="7"/>
        <v>7.3668917186566762E-3</v>
      </c>
      <c r="D458" s="66">
        <f>(Table110[[#This Row],[Index]]-B446)/B446</f>
        <v>-0.2282710868221216</v>
      </c>
    </row>
    <row r="459" spans="1:4" x14ac:dyDescent="0.35">
      <c r="A459" s="17">
        <v>40057</v>
      </c>
      <c r="B459" s="58">
        <f>VLOOKUP(Table110[[#This Row],[Date]],database!A:H,3,)</f>
        <v>82.250299999999996</v>
      </c>
      <c r="C459" s="66">
        <f t="shared" si="7"/>
        <v>-3.152329888111205E-3</v>
      </c>
      <c r="D459" s="66">
        <f>(Table110[[#This Row],[Index]]-B447)/B447</f>
        <v>-0.21011225488360122</v>
      </c>
    </row>
    <row r="460" spans="1:4" x14ac:dyDescent="0.35">
      <c r="A460" s="17">
        <v>40087</v>
      </c>
      <c r="B460" s="58">
        <f>VLOOKUP(Table110[[#This Row],[Date]],database!A:H,3,)</f>
        <v>80.840500000000006</v>
      </c>
      <c r="C460" s="66">
        <f t="shared" si="7"/>
        <v>-1.7140363013873339E-2</v>
      </c>
      <c r="D460" s="66">
        <f>(Table110[[#This Row],[Index]]-B448)/B448</f>
        <v>-0.2106560770513636</v>
      </c>
    </row>
    <row r="461" spans="1:4" x14ac:dyDescent="0.35">
      <c r="A461" s="17">
        <v>40118</v>
      </c>
      <c r="B461" s="58">
        <f>VLOOKUP(Table110[[#This Row],[Date]],database!A:H,3,)</f>
        <v>82.480999999999995</v>
      </c>
      <c r="C461" s="66">
        <f t="shared" si="7"/>
        <v>2.0293046183534003E-2</v>
      </c>
      <c r="D461" s="66">
        <f>(Table110[[#This Row],[Index]]-B449)/B449</f>
        <v>-0.15261568176214355</v>
      </c>
    </row>
    <row r="462" spans="1:4" x14ac:dyDescent="0.35">
      <c r="A462" s="17">
        <v>40148</v>
      </c>
      <c r="B462" s="58">
        <f>VLOOKUP(Table110[[#This Row],[Date]],database!A:H,3,)</f>
        <v>80.649199999999993</v>
      </c>
      <c r="C462" s="66">
        <f t="shared" si="7"/>
        <v>-2.2208751106315372E-2</v>
      </c>
      <c r="D462" s="66">
        <f>(Table110[[#This Row],[Index]]-B450)/B450</f>
        <v>-0.1220670871497215</v>
      </c>
    </row>
    <row r="463" spans="1:4" x14ac:dyDescent="0.35">
      <c r="A463" s="17">
        <v>40179</v>
      </c>
      <c r="B463" s="58">
        <f>VLOOKUP(Table110[[#This Row],[Date]],database!A:H,3,)</f>
        <v>82.170400000000001</v>
      </c>
      <c r="C463" s="66">
        <f t="shared" si="7"/>
        <v>1.8861935394275609E-2</v>
      </c>
      <c r="D463" s="66">
        <f>(Table110[[#This Row],[Index]]-B451)/B451</f>
        <v>-6.4198388520342833E-2</v>
      </c>
    </row>
    <row r="464" spans="1:4" x14ac:dyDescent="0.35">
      <c r="A464" s="17">
        <v>40210</v>
      </c>
      <c r="B464" s="58">
        <f>VLOOKUP(Table110[[#This Row],[Date]],database!A:H,3,)</f>
        <v>82.273899999999998</v>
      </c>
      <c r="C464" s="66">
        <f t="shared" si="7"/>
        <v>1.2595776581347806E-3</v>
      </c>
      <c r="D464" s="66">
        <f>(Table110[[#This Row],[Index]]-B452)/B452</f>
        <v>-4.6773875867502507E-2</v>
      </c>
    </row>
    <row r="465" spans="1:4" x14ac:dyDescent="0.35">
      <c r="A465" s="17">
        <v>40238</v>
      </c>
      <c r="B465" s="58">
        <f>VLOOKUP(Table110[[#This Row],[Date]],database!A:H,3,)</f>
        <v>83.715800000000002</v>
      </c>
      <c r="C465" s="66">
        <f t="shared" si="7"/>
        <v>1.7525606541078043E-2</v>
      </c>
      <c r="D465" s="66">
        <f>(Table110[[#This Row],[Index]]-B453)/B453</f>
        <v>3.360683834439581E-3</v>
      </c>
    </row>
    <row r="466" spans="1:4" x14ac:dyDescent="0.35">
      <c r="A466" s="17">
        <v>40269</v>
      </c>
      <c r="B466" s="58">
        <f>VLOOKUP(Table110[[#This Row],[Date]],database!A:H,3,)</f>
        <v>86.223500000000001</v>
      </c>
      <c r="C466" s="66">
        <f t="shared" si="7"/>
        <v>2.9954918904197214E-2</v>
      </c>
      <c r="D466" s="66">
        <f>(Table110[[#This Row],[Index]]-B454)/B454</f>
        <v>5.2996987197727566E-2</v>
      </c>
    </row>
    <row r="467" spans="1:4" x14ac:dyDescent="0.35">
      <c r="A467" s="17">
        <v>40299</v>
      </c>
      <c r="B467" s="58">
        <f>VLOOKUP(Table110[[#This Row],[Date]],database!A:H,3,)</f>
        <v>86.477400000000003</v>
      </c>
      <c r="C467" s="66">
        <f t="shared" si="7"/>
        <v>2.9446728560078572E-3</v>
      </c>
      <c r="D467" s="66">
        <f>(Table110[[#This Row],[Index]]-B455)/B455</f>
        <v>6.0350313590131974E-2</v>
      </c>
    </row>
    <row r="468" spans="1:4" x14ac:dyDescent="0.35">
      <c r="A468" s="17">
        <v>40330</v>
      </c>
      <c r="B468" s="58">
        <f>VLOOKUP(Table110[[#This Row],[Date]],database!A:H,3,)</f>
        <v>86.444500000000005</v>
      </c>
      <c r="C468" s="66">
        <f t="shared" si="7"/>
        <v>-3.8044622063104772E-4</v>
      </c>
      <c r="D468" s="66">
        <f>(Table110[[#This Row],[Index]]-B456)/B456</f>
        <v>5.9520789132755568E-2</v>
      </c>
    </row>
    <row r="469" spans="1:4" x14ac:dyDescent="0.35">
      <c r="A469" s="17">
        <v>40360</v>
      </c>
      <c r="B469" s="58">
        <f>VLOOKUP(Table110[[#This Row],[Date]],database!A:H,3,)</f>
        <v>85.976500000000001</v>
      </c>
      <c r="C469" s="66">
        <f t="shared" si="7"/>
        <v>-5.4138782687157549E-3</v>
      </c>
      <c r="D469" s="66">
        <f>(Table110[[#This Row],[Index]]-B457)/B457</f>
        <v>4.9684398158887581E-2</v>
      </c>
    </row>
    <row r="470" spans="1:4" x14ac:dyDescent="0.35">
      <c r="A470" s="17">
        <v>40391</v>
      </c>
      <c r="B470" s="58">
        <f>VLOOKUP(Table110[[#This Row],[Date]],database!A:H,3,)</f>
        <v>86.521500000000003</v>
      </c>
      <c r="C470" s="66">
        <f t="shared" si="7"/>
        <v>6.3389414549324119E-3</v>
      </c>
      <c r="D470" s="66">
        <f>(Table110[[#This Row],[Index]]-B458)/B458</f>
        <v>4.8613265721654468E-2</v>
      </c>
    </row>
    <row r="471" spans="1:4" x14ac:dyDescent="0.35">
      <c r="A471" s="17">
        <v>40422</v>
      </c>
      <c r="B471" s="58">
        <f>VLOOKUP(Table110[[#This Row],[Date]],database!A:H,3,)</f>
        <v>86.567300000000003</v>
      </c>
      <c r="C471" s="66">
        <f t="shared" si="7"/>
        <v>5.2934819669103739E-4</v>
      </c>
      <c r="D471" s="66">
        <f>(Table110[[#This Row],[Index]]-B459)/B459</f>
        <v>5.2486130749675168E-2</v>
      </c>
    </row>
    <row r="472" spans="1:4" x14ac:dyDescent="0.35">
      <c r="A472" s="17">
        <v>40452</v>
      </c>
      <c r="B472" s="58">
        <f>VLOOKUP(Table110[[#This Row],[Date]],database!A:H,3,)</f>
        <v>86.703000000000003</v>
      </c>
      <c r="C472" s="66">
        <f t="shared" si="7"/>
        <v>1.5675665060594923E-3</v>
      </c>
      <c r="D472" s="66">
        <f>(Table110[[#This Row],[Index]]-B460)/B460</f>
        <v>7.2519343645821049E-2</v>
      </c>
    </row>
    <row r="473" spans="1:4" x14ac:dyDescent="0.35">
      <c r="A473" s="17">
        <v>40483</v>
      </c>
      <c r="B473" s="58">
        <f>VLOOKUP(Table110[[#This Row],[Date]],database!A:H,3,)</f>
        <v>87.399100000000004</v>
      </c>
      <c r="C473" s="66">
        <f t="shared" si="7"/>
        <v>8.0285572586877851E-3</v>
      </c>
      <c r="D473" s="66">
        <f>(Table110[[#This Row],[Index]]-B461)/B461</f>
        <v>5.9627065627235486E-2</v>
      </c>
    </row>
    <row r="474" spans="1:4" x14ac:dyDescent="0.35">
      <c r="A474" s="17">
        <v>40513</v>
      </c>
      <c r="B474" s="58">
        <f>VLOOKUP(Table110[[#This Row],[Date]],database!A:H,3,)</f>
        <v>86.274799999999999</v>
      </c>
      <c r="C474" s="66">
        <f t="shared" si="7"/>
        <v>-1.2863976860173709E-2</v>
      </c>
      <c r="D474" s="66">
        <f>(Table110[[#This Row],[Index]]-B462)/B462</f>
        <v>6.975394672234822E-2</v>
      </c>
    </row>
    <row r="475" spans="1:4" x14ac:dyDescent="0.35">
      <c r="A475" s="17">
        <v>40544</v>
      </c>
      <c r="B475" s="58">
        <f>VLOOKUP(Table110[[#This Row],[Date]],database!A:H,3,)</f>
        <v>85.867999999999995</v>
      </c>
      <c r="C475" s="66">
        <f t="shared" si="7"/>
        <v>-4.7151659580781935E-3</v>
      </c>
      <c r="D475" s="66">
        <f>(Table110[[#This Row],[Index]]-B463)/B463</f>
        <v>4.4999172451393621E-2</v>
      </c>
    </row>
    <row r="476" spans="1:4" x14ac:dyDescent="0.35">
      <c r="A476" s="17">
        <v>40575</v>
      </c>
      <c r="B476" s="58">
        <f>VLOOKUP(Table110[[#This Row],[Date]],database!A:H,3,)</f>
        <v>85.498400000000004</v>
      </c>
      <c r="C476" s="66">
        <f t="shared" si="7"/>
        <v>-4.3042809894254797E-3</v>
      </c>
      <c r="D476" s="66">
        <f>(Table110[[#This Row],[Index]]-B464)/B464</f>
        <v>3.9192259027468083E-2</v>
      </c>
    </row>
    <row r="477" spans="1:4" x14ac:dyDescent="0.35">
      <c r="A477" s="17">
        <v>40603</v>
      </c>
      <c r="B477" s="58">
        <f>VLOOKUP(Table110[[#This Row],[Date]],database!A:H,3,)</f>
        <v>86.262100000000004</v>
      </c>
      <c r="C477" s="66">
        <f t="shared" si="7"/>
        <v>8.9323308974202931E-3</v>
      </c>
      <c r="D477" s="66">
        <f>(Table110[[#This Row],[Index]]-B465)/B465</f>
        <v>3.041600271394411E-2</v>
      </c>
    </row>
    <row r="478" spans="1:4" x14ac:dyDescent="0.35">
      <c r="A478" s="17">
        <v>40634</v>
      </c>
      <c r="B478" s="58">
        <f>VLOOKUP(Table110[[#This Row],[Date]],database!A:H,3,)</f>
        <v>86.292199999999994</v>
      </c>
      <c r="C478" s="67">
        <f t="shared" si="7"/>
        <v>3.4893655498757781E-4</v>
      </c>
      <c r="D478" s="66">
        <f>(Table110[[#This Row],[Index]]-B466)/B466</f>
        <v>7.9676654276377844E-4</v>
      </c>
    </row>
    <row r="479" spans="1:4" x14ac:dyDescent="0.35">
      <c r="A479" s="17">
        <v>40664</v>
      </c>
      <c r="B479" s="58">
        <f>VLOOKUP(Table110[[#This Row],[Date]],database!A:H,3,)</f>
        <v>87.358400000000003</v>
      </c>
      <c r="C479" s="66">
        <f t="shared" si="7"/>
        <v>1.2355693793877132E-2</v>
      </c>
      <c r="D479" s="66">
        <f>(Table110[[#This Row],[Index]]-B467)/B467</f>
        <v>1.0187632838175063E-2</v>
      </c>
    </row>
    <row r="480" spans="1:4" x14ac:dyDescent="0.35">
      <c r="A480" s="17">
        <v>40695</v>
      </c>
      <c r="B480" s="58">
        <f>VLOOKUP(Table110[[#This Row],[Date]],database!A:H,3,)</f>
        <v>87.635499999999993</v>
      </c>
      <c r="C480" s="66">
        <f t="shared" si="7"/>
        <v>3.1719903294931129E-3</v>
      </c>
      <c r="D480" s="66">
        <f>(Table110[[#This Row],[Index]]-B468)/B468</f>
        <v>1.3777626106923959E-2</v>
      </c>
    </row>
    <row r="481" spans="1:4" x14ac:dyDescent="0.35">
      <c r="A481" s="17">
        <v>40725</v>
      </c>
      <c r="B481" s="58">
        <f>VLOOKUP(Table110[[#This Row],[Date]],database!A:H,3,)</f>
        <v>88.484399999999994</v>
      </c>
      <c r="C481" s="66">
        <f t="shared" si="7"/>
        <v>9.6867137176144258E-3</v>
      </c>
      <c r="D481" s="66">
        <f>(Table110[[#This Row],[Index]]-B469)/B469</f>
        <v>2.916959866940376E-2</v>
      </c>
    </row>
    <row r="482" spans="1:4" x14ac:dyDescent="0.35">
      <c r="A482" s="17">
        <v>40756</v>
      </c>
      <c r="B482" s="58">
        <f>VLOOKUP(Table110[[#This Row],[Date]],database!A:H,3,)</f>
        <v>88.276899999999998</v>
      </c>
      <c r="C482" s="66">
        <f t="shared" si="7"/>
        <v>-2.3450461324255878E-3</v>
      </c>
      <c r="D482" s="66">
        <f>(Table110[[#This Row],[Index]]-B470)/B470</f>
        <v>2.0288598787584523E-2</v>
      </c>
    </row>
    <row r="483" spans="1:4" x14ac:dyDescent="0.35">
      <c r="A483" s="17">
        <v>40787</v>
      </c>
      <c r="B483" s="58">
        <f>VLOOKUP(Table110[[#This Row],[Date]],database!A:H,3,)</f>
        <v>88.514700000000005</v>
      </c>
      <c r="C483" s="66">
        <f t="shared" si="7"/>
        <v>2.6937964518465307E-3</v>
      </c>
      <c r="D483" s="66">
        <f>(Table110[[#This Row],[Index]]-B471)/B471</f>
        <v>2.2495792291084529E-2</v>
      </c>
    </row>
    <row r="484" spans="1:4" x14ac:dyDescent="0.35">
      <c r="A484" s="17">
        <v>40817</v>
      </c>
      <c r="B484" s="58">
        <f>VLOOKUP(Table110[[#This Row],[Date]],database!A:H,3,)</f>
        <v>88.716999999999999</v>
      </c>
      <c r="C484" s="66">
        <f t="shared" si="7"/>
        <v>2.2854960814417957E-3</v>
      </c>
      <c r="D484" s="66">
        <f>(Table110[[#This Row],[Index]]-B472)/B472</f>
        <v>2.3228723342906193E-2</v>
      </c>
    </row>
    <row r="485" spans="1:4" x14ac:dyDescent="0.35">
      <c r="A485" s="17">
        <v>40848</v>
      </c>
      <c r="B485" s="58">
        <f>VLOOKUP(Table110[[#This Row],[Date]],database!A:H,3,)</f>
        <v>88.842500000000001</v>
      </c>
      <c r="C485" s="66">
        <f t="shared" si="7"/>
        <v>1.414610503060354E-3</v>
      </c>
      <c r="D485" s="66">
        <f>(Table110[[#This Row],[Index]]-B473)/B473</f>
        <v>1.6515044205260659E-2</v>
      </c>
    </row>
    <row r="486" spans="1:4" x14ac:dyDescent="0.35">
      <c r="A486" s="17">
        <v>40878</v>
      </c>
      <c r="B486" s="58">
        <f>VLOOKUP(Table110[[#This Row],[Date]],database!A:H,3,)</f>
        <v>89.421199999999999</v>
      </c>
      <c r="C486" s="66">
        <f t="shared" si="7"/>
        <v>6.5137743760024236E-3</v>
      </c>
      <c r="D486" s="66">
        <f>(Table110[[#This Row],[Index]]-B474)/B474</f>
        <v>3.6469513693453942E-2</v>
      </c>
    </row>
    <row r="487" spans="1:4" x14ac:dyDescent="0.35">
      <c r="A487" s="17">
        <v>40909</v>
      </c>
      <c r="B487" s="58">
        <f>VLOOKUP(Table110[[#This Row],[Date]],database!A:H,3,)</f>
        <v>90.6922</v>
      </c>
      <c r="C487" s="66">
        <f t="shared" si="7"/>
        <v>1.4213631666763593E-2</v>
      </c>
      <c r="D487" s="66">
        <f>(Table110[[#This Row],[Index]]-B475)/B475</f>
        <v>5.61815810313505E-2</v>
      </c>
    </row>
    <row r="488" spans="1:4" x14ac:dyDescent="0.35">
      <c r="A488" s="17">
        <v>40940</v>
      </c>
      <c r="B488" s="58">
        <f>VLOOKUP(Table110[[#This Row],[Date]],database!A:H,3,)</f>
        <v>91.4876</v>
      </c>
      <c r="C488" s="66">
        <f t="shared" si="7"/>
        <v>8.7703242395706926E-3</v>
      </c>
      <c r="D488" s="66">
        <f>(Table110[[#This Row],[Index]]-B476)/B476</f>
        <v>7.0050433692326358E-2</v>
      </c>
    </row>
    <row r="489" spans="1:4" x14ac:dyDescent="0.35">
      <c r="A489" s="17">
        <v>40969</v>
      </c>
      <c r="B489" s="58">
        <f>VLOOKUP(Table110[[#This Row],[Date]],database!A:H,3,)</f>
        <v>91.222300000000004</v>
      </c>
      <c r="C489" s="66">
        <f t="shared" si="7"/>
        <v>-2.8998465365798198E-3</v>
      </c>
      <c r="D489" s="66">
        <f>(Table110[[#This Row],[Index]]-B477)/B477</f>
        <v>5.7501498340522664E-2</v>
      </c>
    </row>
    <row r="490" spans="1:4" x14ac:dyDescent="0.35">
      <c r="A490" s="17">
        <v>41000</v>
      </c>
      <c r="B490" s="58">
        <f>VLOOKUP(Table110[[#This Row],[Date]],database!A:H,3,)</f>
        <v>92.562899999999999</v>
      </c>
      <c r="C490" s="66">
        <f t="shared" si="7"/>
        <v>1.4695967981513292E-2</v>
      </c>
      <c r="D490" s="66">
        <f>(Table110[[#This Row],[Index]]-B478)/B478</f>
        <v>7.2668213349526445E-2</v>
      </c>
    </row>
    <row r="491" spans="1:4" x14ac:dyDescent="0.35">
      <c r="A491" s="17">
        <v>41030</v>
      </c>
      <c r="B491" s="58">
        <f>VLOOKUP(Table110[[#This Row],[Date]],database!A:H,3,)</f>
        <v>91.588499999999996</v>
      </c>
      <c r="C491" s="66">
        <f t="shared" si="7"/>
        <v>-1.052689576493393E-2</v>
      </c>
      <c r="D491" s="66">
        <f>(Table110[[#This Row],[Index]]-B479)/B479</f>
        <v>4.8422361215406794E-2</v>
      </c>
    </row>
    <row r="492" spans="1:4" x14ac:dyDescent="0.35">
      <c r="A492" s="17">
        <v>41061</v>
      </c>
      <c r="B492" s="58">
        <f>VLOOKUP(Table110[[#This Row],[Date]],database!A:H,3,)</f>
        <v>90.915199999999999</v>
      </c>
      <c r="C492" s="66">
        <f t="shared" si="7"/>
        <v>-7.3513596139253012E-3</v>
      </c>
      <c r="D492" s="66">
        <f>(Table110[[#This Row],[Index]]-B480)/B480</f>
        <v>3.7424331463847479E-2</v>
      </c>
    </row>
    <row r="493" spans="1:4" x14ac:dyDescent="0.35">
      <c r="A493" s="17">
        <v>41091</v>
      </c>
      <c r="B493" s="58">
        <f>VLOOKUP(Table110[[#This Row],[Date]],database!A:H,3,)</f>
        <v>90.505899999999997</v>
      </c>
      <c r="C493" s="66">
        <f t="shared" si="7"/>
        <v>-4.501997465770291E-3</v>
      </c>
      <c r="D493" s="66">
        <f>(Table110[[#This Row],[Index]]-B481)/B481</f>
        <v>2.2845834972040308E-2</v>
      </c>
    </row>
    <row r="494" spans="1:4" x14ac:dyDescent="0.35">
      <c r="A494" s="17">
        <v>41122</v>
      </c>
      <c r="B494" s="58">
        <f>VLOOKUP(Table110[[#This Row],[Date]],database!A:H,3,)</f>
        <v>90.999700000000004</v>
      </c>
      <c r="C494" s="66">
        <f t="shared" si="7"/>
        <v>5.4559978962698263E-3</v>
      </c>
      <c r="D494" s="66">
        <f>(Table110[[#This Row],[Index]]-B482)/B482</f>
        <v>3.0843856093723348E-2</v>
      </c>
    </row>
    <row r="495" spans="1:4" x14ac:dyDescent="0.35">
      <c r="A495" s="17">
        <v>41153</v>
      </c>
      <c r="B495" s="58">
        <f>VLOOKUP(Table110[[#This Row],[Date]],database!A:H,3,)</f>
        <v>90.795199999999994</v>
      </c>
      <c r="C495" s="66">
        <f t="shared" si="7"/>
        <v>-2.2472601558027883E-3</v>
      </c>
      <c r="D495" s="66">
        <f>(Table110[[#This Row],[Index]]-B483)/B483</f>
        <v>2.5764082124212013E-2</v>
      </c>
    </row>
    <row r="496" spans="1:4" x14ac:dyDescent="0.35">
      <c r="A496" s="17">
        <v>41183</v>
      </c>
      <c r="B496" s="58">
        <f>VLOOKUP(Table110[[#This Row],[Date]],database!A:H,3,)</f>
        <v>90.539000000000001</v>
      </c>
      <c r="C496" s="66">
        <f t="shared" si="7"/>
        <v>-2.8217350696951859E-3</v>
      </c>
      <c r="D496" s="66">
        <f>(Table110[[#This Row],[Index]]-B484)/B484</f>
        <v>2.0537213837257828E-2</v>
      </c>
    </row>
    <row r="497" spans="1:4" x14ac:dyDescent="0.35">
      <c r="A497" s="17">
        <v>41214</v>
      </c>
      <c r="B497" s="58">
        <f>VLOOKUP(Table110[[#This Row],[Date]],database!A:H,3,)</f>
        <v>91.832800000000006</v>
      </c>
      <c r="C497" s="66">
        <f t="shared" si="7"/>
        <v>1.4289974486133117E-2</v>
      </c>
      <c r="D497" s="66">
        <f>(Table110[[#This Row],[Index]]-B485)/B485</f>
        <v>3.3658440498635277E-2</v>
      </c>
    </row>
    <row r="498" spans="1:4" x14ac:dyDescent="0.35">
      <c r="A498" s="17">
        <v>41244</v>
      </c>
      <c r="B498" s="58">
        <f>VLOOKUP(Table110[[#This Row],[Date]],database!A:H,3,)</f>
        <v>92.2316</v>
      </c>
      <c r="C498" s="66">
        <f t="shared" si="7"/>
        <v>4.3426749483843619E-3</v>
      </c>
      <c r="D498" s="66">
        <f>(Table110[[#This Row],[Index]]-B486)/B486</f>
        <v>3.1428788698876789E-2</v>
      </c>
    </row>
    <row r="499" spans="1:4" x14ac:dyDescent="0.35">
      <c r="A499" s="17">
        <v>41275</v>
      </c>
      <c r="B499" s="58">
        <f>VLOOKUP(Table110[[#This Row],[Date]],database!A:H,3,)</f>
        <v>92.697500000000005</v>
      </c>
      <c r="C499" s="66">
        <f t="shared" si="7"/>
        <v>5.0514140489810178E-3</v>
      </c>
      <c r="D499" s="66">
        <f>(Table110[[#This Row],[Index]]-B487)/B487</f>
        <v>2.2111052549171874E-2</v>
      </c>
    </row>
    <row r="500" spans="1:4" x14ac:dyDescent="0.35">
      <c r="A500" s="17">
        <v>41306</v>
      </c>
      <c r="B500" s="58">
        <f>VLOOKUP(Table110[[#This Row],[Date]],database!A:H,3,)</f>
        <v>94.058999999999997</v>
      </c>
      <c r="C500" s="66">
        <f t="shared" si="7"/>
        <v>1.4687558995657879E-2</v>
      </c>
      <c r="D500" s="66">
        <f>(Table110[[#This Row],[Index]]-B488)/B488</f>
        <v>2.8106541214328467E-2</v>
      </c>
    </row>
    <row r="501" spans="1:4" x14ac:dyDescent="0.35">
      <c r="A501" s="17">
        <v>41334</v>
      </c>
      <c r="B501" s="58">
        <f>VLOOKUP(Table110[[#This Row],[Date]],database!A:H,3,)</f>
        <v>93.721000000000004</v>
      </c>
      <c r="C501" s="66">
        <f t="shared" si="7"/>
        <v>-3.5934891929533253E-3</v>
      </c>
      <c r="D501" s="66">
        <f>(Table110[[#This Row],[Index]]-B489)/B489</f>
        <v>2.7391328655383601E-2</v>
      </c>
    </row>
    <row r="502" spans="1:4" x14ac:dyDescent="0.35">
      <c r="A502" s="17">
        <v>41365</v>
      </c>
      <c r="B502" s="58">
        <f>VLOOKUP(Table110[[#This Row],[Date]],database!A:H,3,)</f>
        <v>93.254099999999994</v>
      </c>
      <c r="C502" s="66">
        <f t="shared" si="7"/>
        <v>-4.9818077058504384E-3</v>
      </c>
      <c r="D502" s="66">
        <f>(Table110[[#This Row],[Index]]-B490)/B490</f>
        <v>7.4673546312831055E-3</v>
      </c>
    </row>
    <row r="503" spans="1:4" x14ac:dyDescent="0.35">
      <c r="A503" s="17">
        <v>41395</v>
      </c>
      <c r="B503" s="58">
        <f>VLOOKUP(Table110[[#This Row],[Date]],database!A:H,3,)</f>
        <v>93.218500000000006</v>
      </c>
      <c r="C503" s="66">
        <f t="shared" si="7"/>
        <v>-3.8175265216211507E-4</v>
      </c>
      <c r="D503" s="66">
        <f>(Table110[[#This Row],[Index]]-B491)/B491</f>
        <v>1.7796994164114597E-2</v>
      </c>
    </row>
    <row r="504" spans="1:4" x14ac:dyDescent="0.35">
      <c r="A504" s="17">
        <v>41426</v>
      </c>
      <c r="B504" s="58">
        <f>VLOOKUP(Table110[[#This Row],[Date]],database!A:H,3,)</f>
        <v>93.969499999999996</v>
      </c>
      <c r="C504" s="66">
        <f t="shared" si="7"/>
        <v>8.0563407478129179E-3</v>
      </c>
      <c r="D504" s="66">
        <f>(Table110[[#This Row],[Index]]-B492)/B492</f>
        <v>3.3595042413149812E-2</v>
      </c>
    </row>
    <row r="505" spans="1:4" x14ac:dyDescent="0.35">
      <c r="A505" s="17">
        <v>41456</v>
      </c>
      <c r="B505" s="58">
        <f>VLOOKUP(Table110[[#This Row],[Date]],database!A:H,3,)</f>
        <v>93.929500000000004</v>
      </c>
      <c r="C505" s="66">
        <f t="shared" si="7"/>
        <v>-4.2567003123350489E-4</v>
      </c>
      <c r="D505" s="66">
        <f>(Table110[[#This Row],[Index]]-B493)/B493</f>
        <v>3.7827368160528847E-2</v>
      </c>
    </row>
    <row r="506" spans="1:4" x14ac:dyDescent="0.35">
      <c r="A506" s="17">
        <v>41487</v>
      </c>
      <c r="B506" s="58">
        <f>VLOOKUP(Table110[[#This Row],[Date]],database!A:H,3,)</f>
        <v>94.358900000000006</v>
      </c>
      <c r="C506" s="66">
        <f t="shared" si="7"/>
        <v>4.5715137416892926E-3</v>
      </c>
      <c r="D506" s="66">
        <f>(Table110[[#This Row],[Index]]-B494)/B494</f>
        <v>3.6914407410134333E-2</v>
      </c>
    </row>
    <row r="507" spans="1:4" x14ac:dyDescent="0.35">
      <c r="A507" s="17">
        <v>41518</v>
      </c>
      <c r="B507" s="58">
        <f>VLOOKUP(Table110[[#This Row],[Date]],database!A:H,3,)</f>
        <v>95.401499999999999</v>
      </c>
      <c r="C507" s="66">
        <f t="shared" si="7"/>
        <v>1.1049302185591303E-2</v>
      </c>
      <c r="D507" s="66">
        <f>(Table110[[#This Row],[Index]]-B495)/B495</f>
        <v>5.0732858124658622E-2</v>
      </c>
    </row>
    <row r="508" spans="1:4" x14ac:dyDescent="0.35">
      <c r="A508" s="17">
        <v>41548</v>
      </c>
      <c r="B508" s="58">
        <f>VLOOKUP(Table110[[#This Row],[Date]],database!A:H,3,)</f>
        <v>95.251000000000005</v>
      </c>
      <c r="C508" s="66">
        <f t="shared" si="7"/>
        <v>-1.5775433300314612E-3</v>
      </c>
      <c r="D508" s="66">
        <f>(Table110[[#This Row],[Index]]-B496)/B496</f>
        <v>5.2043870597201239E-2</v>
      </c>
    </row>
    <row r="509" spans="1:4" x14ac:dyDescent="0.35">
      <c r="A509" s="17">
        <v>41579</v>
      </c>
      <c r="B509" s="58">
        <f>VLOOKUP(Table110[[#This Row],[Date]],database!A:H,3,)</f>
        <v>95.988200000000006</v>
      </c>
      <c r="C509" s="66">
        <f t="shared" si="7"/>
        <v>7.7395512908000619E-3</v>
      </c>
      <c r="D509" s="66">
        <f>(Table110[[#This Row],[Index]]-B497)/B497</f>
        <v>4.5249627584044043E-2</v>
      </c>
    </row>
    <row r="510" spans="1:4" x14ac:dyDescent="0.35">
      <c r="A510" s="17">
        <v>41609</v>
      </c>
      <c r="B510" s="58">
        <f>VLOOKUP(Table110[[#This Row],[Date]],database!A:H,3,)</f>
        <v>94.430499999999995</v>
      </c>
      <c r="C510" s="66">
        <f t="shared" si="7"/>
        <v>-1.6228036362803011E-2</v>
      </c>
      <c r="D510" s="66">
        <f>(Table110[[#This Row],[Index]]-B498)/B498</f>
        <v>2.3841069655085617E-2</v>
      </c>
    </row>
    <row r="511" spans="1:4" x14ac:dyDescent="0.35">
      <c r="A511" s="17">
        <v>41640</v>
      </c>
      <c r="B511" s="58">
        <f>VLOOKUP(Table110[[#This Row],[Date]],database!A:H,3,)</f>
        <v>94.070499999999996</v>
      </c>
      <c r="C511" s="66">
        <f t="shared" si="7"/>
        <v>-3.812327584837516E-3</v>
      </c>
      <c r="D511" s="66">
        <f>(Table110[[#This Row],[Index]]-B499)/B499</f>
        <v>1.4811618436311555E-2</v>
      </c>
    </row>
    <row r="512" spans="1:4" x14ac:dyDescent="0.35">
      <c r="A512" s="17">
        <v>41671</v>
      </c>
      <c r="B512" s="58">
        <f>VLOOKUP(Table110[[#This Row],[Date]],database!A:H,3,)</f>
        <v>94.643799999999999</v>
      </c>
      <c r="C512" s="66">
        <f t="shared" si="7"/>
        <v>6.0943653961655908E-3</v>
      </c>
      <c r="D512" s="66">
        <f>(Table110[[#This Row],[Index]]-B500)/B500</f>
        <v>6.217374201299199E-3</v>
      </c>
    </row>
    <row r="513" spans="1:4" x14ac:dyDescent="0.35">
      <c r="A513" s="17">
        <v>41699</v>
      </c>
      <c r="B513" s="58">
        <f>VLOOKUP(Table110[[#This Row],[Date]],database!A:H,3,)</f>
        <v>95.926100000000005</v>
      </c>
      <c r="C513" s="66">
        <f t="shared" si="7"/>
        <v>1.3548695212998618E-2</v>
      </c>
      <c r="D513" s="66">
        <f>(Table110[[#This Row],[Index]]-B501)/B501</f>
        <v>2.3528344767981577E-2</v>
      </c>
    </row>
    <row r="514" spans="1:4" x14ac:dyDescent="0.35">
      <c r="A514" s="17">
        <v>41730</v>
      </c>
      <c r="B514" s="58">
        <f>VLOOKUP(Table110[[#This Row],[Date]],database!A:H,3,)</f>
        <v>95.328100000000006</v>
      </c>
      <c r="C514" s="66">
        <f t="shared" si="7"/>
        <v>-6.2339655213753398E-3</v>
      </c>
      <c r="D514" s="66">
        <f>(Table110[[#This Row],[Index]]-B502)/B502</f>
        <v>2.2240309005180602E-2</v>
      </c>
    </row>
    <row r="515" spans="1:4" x14ac:dyDescent="0.35">
      <c r="A515" s="17">
        <v>41760</v>
      </c>
      <c r="B515" s="58">
        <f>VLOOKUP(Table110[[#This Row],[Date]],database!A:H,3,)</f>
        <v>96.851900000000001</v>
      </c>
      <c r="C515" s="66">
        <f t="shared" si="7"/>
        <v>1.5984793570835931E-2</v>
      </c>
      <c r="D515" s="66">
        <f>(Table110[[#This Row],[Index]]-B503)/B503</f>
        <v>3.8977241641948691E-2</v>
      </c>
    </row>
    <row r="516" spans="1:4" x14ac:dyDescent="0.35">
      <c r="A516" s="17">
        <v>41791</v>
      </c>
      <c r="B516" s="58">
        <f>VLOOKUP(Table110[[#This Row],[Date]],database!A:H,3,)</f>
        <v>97.6036</v>
      </c>
      <c r="C516" s="66">
        <f t="shared" si="7"/>
        <v>7.7613345737150841E-3</v>
      </c>
      <c r="D516" s="66">
        <f>(Table110[[#This Row],[Index]]-B504)/B504</f>
        <v>3.8673186512645098E-2</v>
      </c>
    </row>
    <row r="517" spans="1:4" x14ac:dyDescent="0.35">
      <c r="A517" s="17">
        <v>41821</v>
      </c>
      <c r="B517" s="58">
        <f>VLOOKUP(Table110[[#This Row],[Date]],database!A:H,3,)</f>
        <v>98.484399999999994</v>
      </c>
      <c r="C517" s="66">
        <f t="shared" si="7"/>
        <v>9.0242573019847505E-3</v>
      </c>
      <c r="D517" s="66">
        <f>(Table110[[#This Row],[Index]]-B505)/B505</f>
        <v>4.8492752543130638E-2</v>
      </c>
    </row>
    <row r="518" spans="1:4" x14ac:dyDescent="0.35">
      <c r="A518" s="17">
        <v>41852</v>
      </c>
      <c r="B518" s="58">
        <f>VLOOKUP(Table110[[#This Row],[Date]],database!A:H,3,)</f>
        <v>98.383399999999995</v>
      </c>
      <c r="C518" s="66">
        <f t="shared" si="7"/>
        <v>-1.0255431317041097E-3</v>
      </c>
      <c r="D518" s="66">
        <f>(Table110[[#This Row],[Index]]-B506)/B506</f>
        <v>4.2650984697786734E-2</v>
      </c>
    </row>
    <row r="519" spans="1:4" x14ac:dyDescent="0.35">
      <c r="A519" s="17">
        <v>41883</v>
      </c>
      <c r="B519" s="58">
        <f>VLOOKUP(Table110[[#This Row],[Date]],database!A:H,3,)</f>
        <v>98.815200000000004</v>
      </c>
      <c r="C519" s="66">
        <f t="shared" si="7"/>
        <v>4.388951794713325E-3</v>
      </c>
      <c r="D519" s="66">
        <f>(Table110[[#This Row],[Index]]-B507)/B507</f>
        <v>3.578245625068794E-2</v>
      </c>
    </row>
    <row r="520" spans="1:4" x14ac:dyDescent="0.35">
      <c r="A520" s="17">
        <v>41913</v>
      </c>
      <c r="B520" s="58">
        <f>VLOOKUP(Table110[[#This Row],[Date]],database!A:H,3,)</f>
        <v>98.216800000000006</v>
      </c>
      <c r="C520" s="66">
        <f t="shared" ref="C520:C583" si="8">B520/B519-1</f>
        <v>-6.055748508326686E-3</v>
      </c>
      <c r="D520" s="66">
        <f>(Table110[[#This Row],[Index]]-B508)/B508</f>
        <v>3.1136680979727261E-2</v>
      </c>
    </row>
    <row r="521" spans="1:4" x14ac:dyDescent="0.35">
      <c r="A521" s="17">
        <v>41944</v>
      </c>
      <c r="B521" s="58">
        <f>VLOOKUP(Table110[[#This Row],[Date]],database!A:H,3,)</f>
        <v>98.091300000000004</v>
      </c>
      <c r="C521" s="67">
        <f t="shared" si="8"/>
        <v>-1.2777854705101621E-3</v>
      </c>
      <c r="D521" s="66">
        <f>(Table110[[#This Row],[Index]]-B509)/B509</f>
        <v>2.1909984768961159E-2</v>
      </c>
    </row>
    <row r="522" spans="1:4" x14ac:dyDescent="0.35">
      <c r="A522" s="17">
        <v>41974</v>
      </c>
      <c r="B522" s="58">
        <f>VLOOKUP(Table110[[#This Row],[Date]],database!A:H,3,)</f>
        <v>98.928299999999993</v>
      </c>
      <c r="C522" s="66">
        <f t="shared" si="8"/>
        <v>8.5328668291682064E-3</v>
      </c>
      <c r="D522" s="66">
        <f>(Table110[[#This Row],[Index]]-B510)/B510</f>
        <v>4.763079725300616E-2</v>
      </c>
    </row>
    <row r="523" spans="1:4" x14ac:dyDescent="0.35">
      <c r="A523" s="17">
        <v>42005</v>
      </c>
      <c r="B523" s="58">
        <f>VLOOKUP(Table110[[#This Row],[Date]],database!A:H,3,)</f>
        <v>97.926299999999998</v>
      </c>
      <c r="C523" s="67">
        <f t="shared" si="8"/>
        <v>-1.0128547645112618E-2</v>
      </c>
      <c r="D523" s="66">
        <f>(Table110[[#This Row],[Index]]-B511)/B511</f>
        <v>4.09884076304474E-2</v>
      </c>
    </row>
    <row r="524" spans="1:4" x14ac:dyDescent="0.35">
      <c r="A524" s="17">
        <v>42036</v>
      </c>
      <c r="B524" s="58">
        <f>VLOOKUP(Table110[[#This Row],[Date]],database!A:H,3,)</f>
        <v>96.764700000000005</v>
      </c>
      <c r="C524" s="66">
        <f t="shared" si="8"/>
        <v>-1.1861981919055409E-2</v>
      </c>
      <c r="D524" s="66">
        <f>(Table110[[#This Row],[Index]]-B512)/B512</f>
        <v>2.2409286186733903E-2</v>
      </c>
    </row>
    <row r="525" spans="1:4" x14ac:dyDescent="0.35">
      <c r="A525" s="17">
        <v>42064</v>
      </c>
      <c r="B525" s="58">
        <f>VLOOKUP(Table110[[#This Row],[Date]],database!A:H,3,)</f>
        <v>96.224800000000002</v>
      </c>
      <c r="C525" s="67">
        <f t="shared" si="8"/>
        <v>-5.579514016991749E-3</v>
      </c>
      <c r="D525" s="66">
        <f>(Table110[[#This Row],[Index]]-B513)/B513</f>
        <v>3.113855353235424E-3</v>
      </c>
    </row>
    <row r="526" spans="1:4" x14ac:dyDescent="0.35">
      <c r="A526" s="17">
        <v>42095</v>
      </c>
      <c r="B526" s="58">
        <f>VLOOKUP(Table110[[#This Row],[Date]],database!A:H,3,)</f>
        <v>96.926500000000004</v>
      </c>
      <c r="C526" s="66">
        <f t="shared" si="8"/>
        <v>7.2922988668202571E-3</v>
      </c>
      <c r="D526" s="66">
        <f>(Table110[[#This Row],[Index]]-B514)/B514</f>
        <v>1.6767354012090851E-2</v>
      </c>
    </row>
    <row r="527" spans="1:4" x14ac:dyDescent="0.35">
      <c r="A527" s="17">
        <v>42125</v>
      </c>
      <c r="B527" s="58">
        <f>VLOOKUP(Table110[[#This Row],[Date]],database!A:H,3,)</f>
        <v>97.444199999999995</v>
      </c>
      <c r="C527" s="66">
        <f t="shared" si="8"/>
        <v>5.3411605701225717E-3</v>
      </c>
      <c r="D527" s="66">
        <f>(Table110[[#This Row],[Index]]-B515)/B515</f>
        <v>6.1155227723978002E-3</v>
      </c>
    </row>
    <row r="528" spans="1:4" x14ac:dyDescent="0.35">
      <c r="A528" s="17">
        <v>42156</v>
      </c>
      <c r="B528" s="58">
        <f>VLOOKUP(Table110[[#This Row],[Date]],database!A:H,3,)</f>
        <v>97.809299999999993</v>
      </c>
      <c r="C528" s="66">
        <f t="shared" si="8"/>
        <v>3.7467596840037309E-3</v>
      </c>
      <c r="D528" s="66">
        <f>(Table110[[#This Row],[Index]]-B516)/B516</f>
        <v>2.1075042314012303E-3</v>
      </c>
    </row>
    <row r="529" spans="1:4" x14ac:dyDescent="0.35">
      <c r="A529" s="17">
        <v>42186</v>
      </c>
      <c r="B529" s="58">
        <f>VLOOKUP(Table110[[#This Row],[Date]],database!A:H,3,)</f>
        <v>97.742099999999994</v>
      </c>
      <c r="C529" s="66">
        <f t="shared" si="8"/>
        <v>-6.870512313246202E-4</v>
      </c>
      <c r="D529" s="66">
        <f>(Table110[[#This Row],[Index]]-B517)/B517</f>
        <v>-7.537234323405537E-3</v>
      </c>
    </row>
    <row r="530" spans="1:4" x14ac:dyDescent="0.35">
      <c r="A530" s="17">
        <v>42217</v>
      </c>
      <c r="B530" s="58">
        <f>VLOOKUP(Table110[[#This Row],[Date]],database!A:H,3,)</f>
        <v>98.337900000000005</v>
      </c>
      <c r="C530" s="66">
        <f t="shared" si="8"/>
        <v>6.0956333043797883E-3</v>
      </c>
      <c r="D530" s="66">
        <f>(Table110[[#This Row],[Index]]-B518)/B518</f>
        <v>-4.6247639337520239E-4</v>
      </c>
    </row>
    <row r="531" spans="1:4" x14ac:dyDescent="0.35">
      <c r="A531" s="17">
        <v>42248</v>
      </c>
      <c r="B531" s="58">
        <f>VLOOKUP(Table110[[#This Row],[Date]],database!A:H,3,)</f>
        <v>97.584599999999995</v>
      </c>
      <c r="C531" s="66">
        <f t="shared" si="8"/>
        <v>-7.6603222155446904E-3</v>
      </c>
      <c r="D531" s="66">
        <f>(Table110[[#This Row],[Index]]-B519)/B519</f>
        <v>-1.2453549656328274E-2</v>
      </c>
    </row>
    <row r="532" spans="1:4" x14ac:dyDescent="0.35">
      <c r="A532" s="17">
        <v>42278</v>
      </c>
      <c r="B532" s="58">
        <f>VLOOKUP(Table110[[#This Row],[Date]],database!A:H,3,)</f>
        <v>98.560299999999998</v>
      </c>
      <c r="C532" s="66">
        <f t="shared" si="8"/>
        <v>9.9985038622898426E-3</v>
      </c>
      <c r="D532" s="66">
        <f>(Table110[[#This Row],[Index]]-B520)/B520</f>
        <v>3.4973650129101301E-3</v>
      </c>
    </row>
    <row r="533" spans="1:4" x14ac:dyDescent="0.35">
      <c r="A533" s="17">
        <v>42309</v>
      </c>
      <c r="B533" s="58">
        <f>VLOOKUP(Table110[[#This Row],[Date]],database!A:H,3,)</f>
        <v>98.670199999999994</v>
      </c>
      <c r="C533" s="66">
        <f t="shared" si="8"/>
        <v>1.1150534241473053E-3</v>
      </c>
      <c r="D533" s="66">
        <f>(Table110[[#This Row],[Index]]-B521)/B521</f>
        <v>5.9016446922406998E-3</v>
      </c>
    </row>
    <row r="534" spans="1:4" x14ac:dyDescent="0.35">
      <c r="A534" s="17">
        <v>42339</v>
      </c>
      <c r="B534" s="58">
        <f>VLOOKUP(Table110[[#This Row],[Date]],database!A:H,3,)</f>
        <v>99.069699999999997</v>
      </c>
      <c r="C534" s="66">
        <f t="shared" si="8"/>
        <v>4.0488414941897144E-3</v>
      </c>
      <c r="D534" s="66">
        <f>(Table110[[#This Row],[Index]]-B522)/B522</f>
        <v>1.4293180010169428E-3</v>
      </c>
    </row>
    <row r="535" spans="1:4" x14ac:dyDescent="0.35">
      <c r="A535" s="17">
        <v>42370</v>
      </c>
      <c r="B535" s="58">
        <f>VLOOKUP(Table110[[#This Row],[Date]],database!A:H,3,)</f>
        <v>99.033799999999999</v>
      </c>
      <c r="C535" s="66">
        <f t="shared" si="8"/>
        <v>-3.6237113870329907E-4</v>
      </c>
      <c r="D535" s="66">
        <f>(Table110[[#This Row],[Index]]-B523)/B523</f>
        <v>1.130952563305263E-2</v>
      </c>
    </row>
    <row r="536" spans="1:4" x14ac:dyDescent="0.35">
      <c r="A536" s="17">
        <v>42401</v>
      </c>
      <c r="B536" s="58">
        <f>VLOOKUP(Table110[[#This Row],[Date]],database!A:H,3,)</f>
        <v>98.959900000000005</v>
      </c>
      <c r="C536" s="66">
        <f t="shared" si="8"/>
        <v>-7.4620987985918319E-4</v>
      </c>
      <c r="D536" s="66">
        <f>(Table110[[#This Row],[Index]]-B524)/B524</f>
        <v>2.2685958825894151E-2</v>
      </c>
    </row>
    <row r="537" spans="1:4" x14ac:dyDescent="0.35">
      <c r="A537" s="17">
        <v>42430</v>
      </c>
      <c r="B537" s="58">
        <f>VLOOKUP(Table110[[#This Row],[Date]],database!A:H,3,)</f>
        <v>98.780100000000004</v>
      </c>
      <c r="C537" s="66">
        <f t="shared" si="8"/>
        <v>-1.8168975514324393E-3</v>
      </c>
      <c r="D537" s="66">
        <f>(Table110[[#This Row],[Index]]-B525)/B525</f>
        <v>2.6555524147621013E-2</v>
      </c>
    </row>
    <row r="538" spans="1:4" x14ac:dyDescent="0.35">
      <c r="A538" s="17">
        <v>42461</v>
      </c>
      <c r="B538" s="58">
        <f>VLOOKUP(Table110[[#This Row],[Date]],database!A:H,3,)</f>
        <v>99.149299999999997</v>
      </c>
      <c r="C538" s="66">
        <f t="shared" si="8"/>
        <v>3.7375949204343506E-3</v>
      </c>
      <c r="D538" s="66">
        <f>(Table110[[#This Row],[Index]]-B526)/B526</f>
        <v>2.2932840863953533E-2</v>
      </c>
    </row>
    <row r="539" spans="1:4" x14ac:dyDescent="0.35">
      <c r="A539" s="17">
        <v>42491</v>
      </c>
      <c r="B539" s="58">
        <f>VLOOKUP(Table110[[#This Row],[Date]],database!A:H,3,)</f>
        <v>98.514499999999998</v>
      </c>
      <c r="C539" s="66">
        <f t="shared" si="8"/>
        <v>-6.4024657763595005E-3</v>
      </c>
      <c r="D539" s="66">
        <f>(Table110[[#This Row],[Index]]-B527)/B527</f>
        <v>1.0983721966007245E-2</v>
      </c>
    </row>
    <row r="540" spans="1:4" x14ac:dyDescent="0.35">
      <c r="A540" s="17">
        <v>42522</v>
      </c>
      <c r="B540" s="58">
        <f>VLOOKUP(Table110[[#This Row],[Date]],database!A:H,3,)</f>
        <v>98.195599999999999</v>
      </c>
      <c r="C540" s="66">
        <f t="shared" si="8"/>
        <v>-3.2370869262899893E-3</v>
      </c>
      <c r="D540" s="66">
        <f>(Table110[[#This Row],[Index]]-B528)/B528</f>
        <v>3.9495221824510113E-3</v>
      </c>
    </row>
    <row r="541" spans="1:4" x14ac:dyDescent="0.35">
      <c r="A541" s="17">
        <v>42552</v>
      </c>
      <c r="B541" s="58">
        <f>VLOOKUP(Table110[[#This Row],[Date]],database!A:H,3,)</f>
        <v>99.049000000000007</v>
      </c>
      <c r="C541" s="66">
        <f t="shared" si="8"/>
        <v>8.6908171038213577E-3</v>
      </c>
      <c r="D541" s="66">
        <f>(Table110[[#This Row],[Index]]-B529)/B529</f>
        <v>1.3370901586931458E-2</v>
      </c>
    </row>
    <row r="542" spans="1:4" x14ac:dyDescent="0.35">
      <c r="A542" s="17">
        <v>42583</v>
      </c>
      <c r="B542" s="58">
        <f>VLOOKUP(Table110[[#This Row],[Date]],database!A:H,3,)</f>
        <v>98.245500000000007</v>
      </c>
      <c r="C542" s="66">
        <f t="shared" si="8"/>
        <v>-8.1121465133419113E-3</v>
      </c>
      <c r="D542" s="66">
        <f>(Table110[[#This Row],[Index]]-B530)/B530</f>
        <v>-9.3961738048095199E-4</v>
      </c>
    </row>
    <row r="543" spans="1:4" x14ac:dyDescent="0.35">
      <c r="A543" s="17">
        <v>42614</v>
      </c>
      <c r="B543" s="58">
        <f>VLOOKUP(Table110[[#This Row],[Date]],database!A:H,3,)</f>
        <v>98.598399999999998</v>
      </c>
      <c r="C543" s="66">
        <f t="shared" si="8"/>
        <v>3.5920220264540337E-3</v>
      </c>
      <c r="D543" s="66">
        <f>(Table110[[#This Row],[Index]]-B531)/B531</f>
        <v>1.0388934319554555E-2</v>
      </c>
    </row>
    <row r="544" spans="1:4" x14ac:dyDescent="0.35">
      <c r="A544" s="17">
        <v>42644</v>
      </c>
      <c r="B544" s="58">
        <f>VLOOKUP(Table110[[#This Row],[Date]],database!A:H,3,)</f>
        <v>99.0608</v>
      </c>
      <c r="C544" s="66">
        <f t="shared" si="8"/>
        <v>4.6897312735298957E-3</v>
      </c>
      <c r="D544" s="66">
        <f>(Table110[[#This Row],[Index]]-B532)/B532</f>
        <v>5.0781095430919186E-3</v>
      </c>
    </row>
    <row r="545" spans="1:4" x14ac:dyDescent="0.35">
      <c r="A545" s="17">
        <v>42675</v>
      </c>
      <c r="B545" s="58">
        <f>VLOOKUP(Table110[[#This Row],[Date]],database!A:H,3,)</f>
        <v>99.630899999999997</v>
      </c>
      <c r="C545" s="66">
        <f t="shared" si="8"/>
        <v>5.7550514431541355E-3</v>
      </c>
      <c r="D545" s="66">
        <f>(Table110[[#This Row],[Index]]-B533)/B533</f>
        <v>9.7364756532367716E-3</v>
      </c>
    </row>
    <row r="546" spans="1:4" x14ac:dyDescent="0.35">
      <c r="A546" s="17">
        <v>42705</v>
      </c>
      <c r="B546" s="58">
        <f>VLOOKUP(Table110[[#This Row],[Date]],database!A:H,3,)</f>
        <v>97.929500000000004</v>
      </c>
      <c r="C546" s="66">
        <f t="shared" si="8"/>
        <v>-1.7077031322611735E-2</v>
      </c>
      <c r="D546" s="66">
        <f>(Table110[[#This Row],[Index]]-B534)/B534</f>
        <v>-1.150906886767592E-2</v>
      </c>
    </row>
    <row r="547" spans="1:4" x14ac:dyDescent="0.35">
      <c r="A547" s="17">
        <v>42736</v>
      </c>
      <c r="B547" s="58">
        <f>VLOOKUP(Table110[[#This Row],[Date]],database!A:H,3,)</f>
        <v>99.684200000000004</v>
      </c>
      <c r="C547" s="66">
        <f t="shared" si="8"/>
        <v>1.7917992024875096E-2</v>
      </c>
      <c r="D547" s="66">
        <f>(Table110[[#This Row],[Index]]-B535)/B535</f>
        <v>6.5674547477730305E-3</v>
      </c>
    </row>
    <row r="548" spans="1:4" x14ac:dyDescent="0.35">
      <c r="A548" s="17">
        <v>42767</v>
      </c>
      <c r="B548" s="58">
        <f>VLOOKUP(Table110[[#This Row],[Date]],database!A:H,3,)</f>
        <v>99.953999999999994</v>
      </c>
      <c r="C548" s="66">
        <f t="shared" si="8"/>
        <v>2.7065472762983767E-3</v>
      </c>
      <c r="D548" s="66">
        <f>(Table110[[#This Row],[Index]]-B536)/B536</f>
        <v>1.0045483069404768E-2</v>
      </c>
    </row>
    <row r="549" spans="1:4" x14ac:dyDescent="0.35">
      <c r="A549" s="17">
        <v>42795</v>
      </c>
      <c r="B549" s="58">
        <f>VLOOKUP(Table110[[#This Row],[Date]],database!A:H,3,)</f>
        <v>99.224100000000007</v>
      </c>
      <c r="C549" s="66">
        <f t="shared" si="8"/>
        <v>-7.3023590851790665E-3</v>
      </c>
      <c r="D549" s="66">
        <f>(Table110[[#This Row],[Index]]-B537)/B537</f>
        <v>4.4948324611941331E-3</v>
      </c>
    </row>
    <row r="550" spans="1:4" x14ac:dyDescent="0.35">
      <c r="A550" s="17">
        <v>42826</v>
      </c>
      <c r="B550" s="58">
        <f>VLOOKUP(Table110[[#This Row],[Date]],database!A:H,3,)</f>
        <v>99.938900000000004</v>
      </c>
      <c r="C550" s="66">
        <f t="shared" si="8"/>
        <v>7.2038950214716735E-3</v>
      </c>
      <c r="D550" s="66">
        <f>(Table110[[#This Row],[Index]]-B538)/B538</f>
        <v>7.963747600840421E-3</v>
      </c>
    </row>
    <row r="551" spans="1:4" x14ac:dyDescent="0.35">
      <c r="A551" s="17">
        <v>42856</v>
      </c>
      <c r="B551" s="58">
        <f>VLOOKUP(Table110[[#This Row],[Date]],database!A:H,3,)</f>
        <v>99.773099999999999</v>
      </c>
      <c r="C551" s="66">
        <f t="shared" si="8"/>
        <v>-1.6590136573446657E-3</v>
      </c>
      <c r="D551" s="66">
        <f>(Table110[[#This Row],[Index]]-B539)/B539</f>
        <v>1.2775784275411248E-2</v>
      </c>
    </row>
    <row r="552" spans="1:4" x14ac:dyDescent="0.35">
      <c r="A552" s="17">
        <v>42887</v>
      </c>
      <c r="B552" s="58">
        <f>VLOOKUP(Table110[[#This Row],[Date]],database!A:H,3,)</f>
        <v>99.795000000000002</v>
      </c>
      <c r="C552" s="66">
        <f t="shared" si="8"/>
        <v>2.1949804105525494E-4</v>
      </c>
      <c r="D552" s="66">
        <f>(Table110[[#This Row],[Index]]-B540)/B540</f>
        <v>1.6287898846791535E-2</v>
      </c>
    </row>
    <row r="553" spans="1:4" x14ac:dyDescent="0.35">
      <c r="A553" s="17">
        <v>42917</v>
      </c>
      <c r="B553" s="58">
        <f>VLOOKUP(Table110[[#This Row],[Date]],database!A:H,3,)</f>
        <v>99.654899999999998</v>
      </c>
      <c r="C553" s="66">
        <f t="shared" si="8"/>
        <v>-1.4038779497971277E-3</v>
      </c>
      <c r="D553" s="66">
        <f>(Table110[[#This Row],[Index]]-B541)/B541</f>
        <v>6.1171743278578402E-3</v>
      </c>
    </row>
    <row r="554" spans="1:4" x14ac:dyDescent="0.35">
      <c r="A554" s="17">
        <v>42948</v>
      </c>
      <c r="B554" s="58">
        <f>VLOOKUP(Table110[[#This Row],[Date]],database!A:H,3,)</f>
        <v>98.850300000000004</v>
      </c>
      <c r="C554" s="66">
        <f t="shared" si="8"/>
        <v>-8.0738629008708651E-3</v>
      </c>
      <c r="D554" s="66">
        <f>(Table110[[#This Row],[Index]]-B542)/B542</f>
        <v>6.1560071453654087E-3</v>
      </c>
    </row>
    <row r="555" spans="1:4" x14ac:dyDescent="0.35">
      <c r="A555" s="17">
        <v>42979</v>
      </c>
      <c r="B555" s="58">
        <f>VLOOKUP(Table110[[#This Row],[Date]],database!A:H,3,)</f>
        <v>100.5587</v>
      </c>
      <c r="C555" s="66">
        <f t="shared" si="8"/>
        <v>1.7282699192617601E-2</v>
      </c>
      <c r="D555" s="66">
        <f>(Table110[[#This Row],[Index]]-B543)/B543</f>
        <v>1.9881661365701714E-2</v>
      </c>
    </row>
    <row r="556" spans="1:4" x14ac:dyDescent="0.35">
      <c r="A556" s="17">
        <v>43009</v>
      </c>
      <c r="B556" s="58">
        <f>VLOOKUP(Table110[[#This Row],[Date]],database!A:H,3,)</f>
        <v>100.9723</v>
      </c>
      <c r="C556" s="66">
        <f t="shared" si="8"/>
        <v>4.1130205541639597E-3</v>
      </c>
      <c r="D556" s="66">
        <f>(Table110[[#This Row],[Index]]-B544)/B544</f>
        <v>1.9296230193981915E-2</v>
      </c>
    </row>
    <row r="557" spans="1:4" x14ac:dyDescent="0.35">
      <c r="A557" s="17">
        <v>43040</v>
      </c>
      <c r="B557" s="58">
        <f>VLOOKUP(Table110[[#This Row],[Date]],database!A:H,3,)</f>
        <v>100.974</v>
      </c>
      <c r="C557" s="66">
        <f t="shared" si="8"/>
        <v>1.6836300648748193E-5</v>
      </c>
      <c r="D557" s="66">
        <f>(Table110[[#This Row],[Index]]-B545)/B545</f>
        <v>1.3480757475843408E-2</v>
      </c>
    </row>
    <row r="558" spans="1:4" x14ac:dyDescent="0.35">
      <c r="A558" s="17">
        <v>43070</v>
      </c>
      <c r="B558" s="58">
        <f>VLOOKUP(Table110[[#This Row],[Date]],database!A:H,3,)</f>
        <v>100.6206</v>
      </c>
      <c r="C558" s="66">
        <f t="shared" si="8"/>
        <v>-3.4999108681443847E-3</v>
      </c>
      <c r="D558" s="66">
        <f>(Table110[[#This Row],[Index]]-B546)/B546</f>
        <v>2.7479972837602475E-2</v>
      </c>
    </row>
    <row r="559" spans="1:4" x14ac:dyDescent="0.35">
      <c r="A559" s="17">
        <v>43101</v>
      </c>
      <c r="B559" s="58">
        <f>VLOOKUP(Table110[[#This Row],[Date]],database!A:H,3,)</f>
        <v>98.775199999999998</v>
      </c>
      <c r="C559" s="66">
        <f t="shared" si="8"/>
        <v>-1.8340180837721043E-2</v>
      </c>
      <c r="D559" s="66">
        <f>(Table110[[#This Row],[Index]]-B547)/B547</f>
        <v>-9.1187971614358748E-3</v>
      </c>
    </row>
    <row r="560" spans="1:4" x14ac:dyDescent="0.35">
      <c r="A560" s="17">
        <v>43132</v>
      </c>
      <c r="B560" s="58">
        <f>VLOOKUP(Table110[[#This Row],[Date]],database!A:H,3,)</f>
        <v>101.6777</v>
      </c>
      <c r="C560" s="66">
        <f t="shared" si="8"/>
        <v>2.9384906332763805E-2</v>
      </c>
      <c r="D560" s="66">
        <f>(Table110[[#This Row],[Index]]-B548)/B548</f>
        <v>1.7244932669027834E-2</v>
      </c>
    </row>
    <row r="561" spans="1:4" x14ac:dyDescent="0.35">
      <c r="A561" s="17">
        <v>43160</v>
      </c>
      <c r="B561" s="58">
        <f>VLOOKUP(Table110[[#This Row],[Date]],database!A:H,3,)</f>
        <v>100.9468</v>
      </c>
      <c r="C561" s="66">
        <f t="shared" si="8"/>
        <v>-7.1884002096822552E-3</v>
      </c>
      <c r="D561" s="66">
        <f>(Table110[[#This Row],[Index]]-B549)/B549</f>
        <v>1.7361709504041749E-2</v>
      </c>
    </row>
    <row r="562" spans="1:4" x14ac:dyDescent="0.35">
      <c r="A562" s="17">
        <v>43191</v>
      </c>
      <c r="B562" s="58">
        <f>VLOOKUP(Table110[[#This Row],[Date]],database!A:H,3,)</f>
        <v>101.8806</v>
      </c>
      <c r="C562" s="66">
        <f t="shared" si="8"/>
        <v>9.2504170513578732E-3</v>
      </c>
      <c r="D562" s="66">
        <f>(Table110[[#This Row],[Index]]-B550)/B550</f>
        <v>1.9428871040205537E-2</v>
      </c>
    </row>
    <row r="563" spans="1:4" x14ac:dyDescent="0.35">
      <c r="A563" s="17">
        <v>43221</v>
      </c>
      <c r="B563" s="58">
        <f>VLOOKUP(Table110[[#This Row],[Date]],database!A:H,3,)</f>
        <v>102.54219999999999</v>
      </c>
      <c r="C563" s="66">
        <f t="shared" si="8"/>
        <v>6.4938761648438703E-3</v>
      </c>
      <c r="D563" s="66">
        <f>(Table110[[#This Row],[Index]]-B551)/B551</f>
        <v>2.7753973766476082E-2</v>
      </c>
    </row>
    <row r="564" spans="1:4" x14ac:dyDescent="0.35">
      <c r="A564" s="17">
        <v>43252</v>
      </c>
      <c r="B564" s="58">
        <f>VLOOKUP(Table110[[#This Row],[Date]],database!A:H,3,)</f>
        <v>102.3398</v>
      </c>
      <c r="C564" s="66">
        <f t="shared" si="8"/>
        <v>-1.9738215095833622E-3</v>
      </c>
      <c r="D564" s="66">
        <f>(Table110[[#This Row],[Index]]-B552)/B552</f>
        <v>2.5500275564908012E-2</v>
      </c>
    </row>
    <row r="565" spans="1:4" x14ac:dyDescent="0.35">
      <c r="A565" s="17">
        <v>43282</v>
      </c>
      <c r="B565" s="58">
        <f>VLOOKUP(Table110[[#This Row],[Date]],database!A:H,3,)</f>
        <v>102.2436</v>
      </c>
      <c r="C565" s="66">
        <f t="shared" si="8"/>
        <v>-9.4000574556518668E-4</v>
      </c>
      <c r="D565" s="66">
        <f>(Table110[[#This Row],[Index]]-B553)/B553</f>
        <v>2.5976645403286772E-2</v>
      </c>
    </row>
    <row r="566" spans="1:4" x14ac:dyDescent="0.35">
      <c r="A566" s="17">
        <v>43313</v>
      </c>
      <c r="B566" s="58">
        <f>VLOOKUP(Table110[[#This Row],[Date]],database!A:H,3,)</f>
        <v>102.49639999999999</v>
      </c>
      <c r="C566" s="66">
        <f t="shared" si="8"/>
        <v>2.4725263977403156E-3</v>
      </c>
      <c r="D566" s="66">
        <f>(Table110[[#This Row],[Index]]-B554)/B554</f>
        <v>3.6885067622455268E-2</v>
      </c>
    </row>
    <row r="567" spans="1:4" x14ac:dyDescent="0.35">
      <c r="A567" s="17">
        <v>43344</v>
      </c>
      <c r="B567" s="58">
        <f>VLOOKUP(Table110[[#This Row],[Date]],database!A:H,3,)</f>
        <v>101.8092</v>
      </c>
      <c r="C567" s="66">
        <f t="shared" si="8"/>
        <v>-6.7046257234399942E-3</v>
      </c>
      <c r="D567" s="66">
        <f>(Table110[[#This Row],[Index]]-B555)/B555</f>
        <v>1.2435522734482471E-2</v>
      </c>
    </row>
    <row r="568" spans="1:4" x14ac:dyDescent="0.35">
      <c r="A568" s="17">
        <v>43374</v>
      </c>
      <c r="B568" s="58">
        <f>VLOOKUP(Table110[[#This Row],[Date]],database!A:H,3,)</f>
        <v>101.792</v>
      </c>
      <c r="C568" s="66">
        <f t="shared" si="8"/>
        <v>-1.6894347465656878E-4</v>
      </c>
      <c r="D568" s="66">
        <f>(Table110[[#This Row],[Index]]-B556)/B556</f>
        <v>8.1180680245968185E-3</v>
      </c>
    </row>
    <row r="569" spans="1:4" x14ac:dyDescent="0.35">
      <c r="A569" s="17">
        <v>43405</v>
      </c>
      <c r="B569" s="58">
        <f>VLOOKUP(Table110[[#This Row],[Date]],database!A:H,3,)</f>
        <v>101.3634</v>
      </c>
      <c r="C569" s="66">
        <f t="shared" si="8"/>
        <v>-4.2105469977994359E-3</v>
      </c>
      <c r="D569" s="66">
        <f>(Table110[[#This Row],[Index]]-B557)/B557</f>
        <v>3.8564382910451687E-3</v>
      </c>
    </row>
    <row r="570" spans="1:4" x14ac:dyDescent="0.35">
      <c r="A570" s="17">
        <v>43435</v>
      </c>
      <c r="B570" s="58">
        <f>VLOOKUP(Table110[[#This Row],[Date]],database!A:H,3,)</f>
        <v>102.2179</v>
      </c>
      <c r="C570" s="66">
        <f t="shared" si="8"/>
        <v>8.4300645005987995E-3</v>
      </c>
      <c r="D570" s="66">
        <f>(Table110[[#This Row],[Index]]-B558)/B558</f>
        <v>1.5874482958757988E-2</v>
      </c>
    </row>
    <row r="571" spans="1:4" x14ac:dyDescent="0.35">
      <c r="A571" s="17">
        <v>43466</v>
      </c>
      <c r="B571" s="58">
        <f>VLOOKUP(Table110[[#This Row],[Date]],database!A:H,3,)</f>
        <v>101.9348</v>
      </c>
      <c r="C571" s="66">
        <f t="shared" si="8"/>
        <v>-2.7695736265370696E-3</v>
      </c>
      <c r="D571" s="66">
        <f>(Table110[[#This Row],[Index]]-B559)/B559</f>
        <v>3.1987786407924233E-2</v>
      </c>
    </row>
    <row r="572" spans="1:4" x14ac:dyDescent="0.35">
      <c r="A572" s="17">
        <v>43497</v>
      </c>
      <c r="B572" s="58">
        <f>VLOOKUP(Table110[[#This Row],[Date]],database!A:H,3,)</f>
        <v>100.1206</v>
      </c>
      <c r="C572" s="66">
        <f t="shared" si="8"/>
        <v>-1.7797651047532392E-2</v>
      </c>
      <c r="D572" s="66">
        <f>(Table110[[#This Row],[Index]]-B560)/B560</f>
        <v>-1.5314075751123457E-2</v>
      </c>
    </row>
    <row r="573" spans="1:4" x14ac:dyDescent="0.35">
      <c r="A573" s="17">
        <v>43525</v>
      </c>
      <c r="B573" s="58">
        <f>VLOOKUP(Table110[[#This Row],[Date]],database!A:H,3,)</f>
        <v>100.0899</v>
      </c>
      <c r="C573" s="66">
        <f t="shared" si="8"/>
        <v>-3.0663020397392327E-4</v>
      </c>
      <c r="D573" s="66">
        <f>(Table110[[#This Row],[Index]]-B561)/B561</f>
        <v>-8.4886296544317997E-3</v>
      </c>
    </row>
    <row r="574" spans="1:4" x14ac:dyDescent="0.35">
      <c r="A574" s="17">
        <v>43556</v>
      </c>
      <c r="B574" s="58">
        <f>VLOOKUP(Table110[[#This Row],[Date]],database!A:H,3,)</f>
        <v>99.672700000000006</v>
      </c>
      <c r="C574" s="66">
        <f t="shared" si="8"/>
        <v>-4.168252740786027E-3</v>
      </c>
      <c r="D574" s="66">
        <f>(Table110[[#This Row],[Index]]-B562)/B562</f>
        <v>-2.1671446772005613E-2</v>
      </c>
    </row>
    <row r="575" spans="1:4" x14ac:dyDescent="0.35">
      <c r="A575" s="17">
        <v>43586</v>
      </c>
      <c r="B575" s="58">
        <f>VLOOKUP(Table110[[#This Row],[Date]],database!A:H,3,)</f>
        <v>100.443</v>
      </c>
      <c r="C575" s="66">
        <f t="shared" si="8"/>
        <v>7.7282947085810516E-3</v>
      </c>
      <c r="D575" s="66">
        <f>(Table110[[#This Row],[Index]]-B563)/B563</f>
        <v>-2.0471571704137381E-2</v>
      </c>
    </row>
    <row r="576" spans="1:4" x14ac:dyDescent="0.35">
      <c r="A576" s="17">
        <v>43617</v>
      </c>
      <c r="B576" s="58">
        <f>VLOOKUP(Table110[[#This Row],[Date]],database!A:H,3,)</f>
        <v>101.2953</v>
      </c>
      <c r="C576" s="66">
        <f t="shared" si="8"/>
        <v>8.4854096353155217E-3</v>
      </c>
      <c r="D576" s="66">
        <f>(Table110[[#This Row],[Index]]-B564)/B564</f>
        <v>-1.0206195439115568E-2</v>
      </c>
    </row>
    <row r="577" spans="1:4" x14ac:dyDescent="0.35">
      <c r="A577" s="17">
        <v>43647</v>
      </c>
      <c r="B577" s="58">
        <f>VLOOKUP(Table110[[#This Row],[Date]],database!A:H,3,)</f>
        <v>100.55840000000001</v>
      </c>
      <c r="C577" s="66">
        <f t="shared" si="8"/>
        <v>-7.2747699054150905E-3</v>
      </c>
      <c r="D577" s="66">
        <f>(Table110[[#This Row],[Index]]-B565)/B565</f>
        <v>-1.6482205243164311E-2</v>
      </c>
    </row>
    <row r="578" spans="1:4" x14ac:dyDescent="0.35">
      <c r="A578" s="17">
        <v>43678</v>
      </c>
      <c r="B578" s="58">
        <f>VLOOKUP(Table110[[#This Row],[Date]],database!A:H,3,)</f>
        <v>100.8668</v>
      </c>
      <c r="C578" s="66">
        <f t="shared" si="8"/>
        <v>3.0668745723876345E-3</v>
      </c>
      <c r="D578" s="66">
        <f>(Table110[[#This Row],[Index]]-B566)/B566</f>
        <v>-1.5899094992604584E-2</v>
      </c>
    </row>
    <row r="579" spans="1:4" x14ac:dyDescent="0.35">
      <c r="A579" s="17">
        <v>43709</v>
      </c>
      <c r="B579" s="58">
        <f>VLOOKUP(Table110[[#This Row],[Date]],database!A:H,3,)</f>
        <v>100.6456</v>
      </c>
      <c r="C579" s="66">
        <f t="shared" si="8"/>
        <v>-2.1929911526884505E-3</v>
      </c>
      <c r="D579" s="66">
        <f>(Table110[[#This Row],[Index]]-B567)/B567</f>
        <v>-1.1429222506413981E-2</v>
      </c>
    </row>
    <row r="580" spans="1:4" x14ac:dyDescent="0.35">
      <c r="A580" s="17">
        <v>43739</v>
      </c>
      <c r="B580" s="58">
        <f>VLOOKUP(Table110[[#This Row],[Date]],database!A:H,3,)</f>
        <v>99.744200000000006</v>
      </c>
      <c r="C580" s="66">
        <f t="shared" si="8"/>
        <v>-8.9561789089637189E-3</v>
      </c>
      <c r="D580" s="66">
        <f>(Table110[[#This Row],[Index]]-B568)/B568</f>
        <v>-2.0117494498585301E-2</v>
      </c>
    </row>
    <row r="581" spans="1:4" x14ac:dyDescent="0.35">
      <c r="A581" s="17">
        <v>43770</v>
      </c>
      <c r="B581" s="58">
        <f>VLOOKUP(Table110[[#This Row],[Date]],database!A:H,3,)</f>
        <v>99.238200000000006</v>
      </c>
      <c r="C581" s="66">
        <f t="shared" si="8"/>
        <v>-5.0729766743329296E-3</v>
      </c>
      <c r="D581" s="66">
        <f>(Table110[[#This Row],[Index]]-B569)/B569</f>
        <v>-2.0966147544379851E-2</v>
      </c>
    </row>
    <row r="582" spans="1:4" x14ac:dyDescent="0.35">
      <c r="A582" s="17">
        <v>43800</v>
      </c>
      <c r="B582" s="58">
        <f>VLOOKUP(Table110[[#This Row],[Date]],database!A:H,3,)</f>
        <v>100.0692</v>
      </c>
      <c r="C582" s="66">
        <f t="shared" si="8"/>
        <v>8.3737915439818789E-3</v>
      </c>
      <c r="D582" s="66">
        <f>(Table110[[#This Row],[Index]]-B570)/B570</f>
        <v>-2.1020780117768072E-2</v>
      </c>
    </row>
    <row r="583" spans="1:4" x14ac:dyDescent="0.35">
      <c r="A583" s="17">
        <v>43831</v>
      </c>
      <c r="B583" s="58">
        <f>VLOOKUP(Table110[[#This Row],[Date]],database!A:H,3,)</f>
        <v>102.36669999999999</v>
      </c>
      <c r="C583" s="66">
        <f t="shared" si="8"/>
        <v>2.2959112294292261E-2</v>
      </c>
      <c r="D583" s="66">
        <f>(Table110[[#This Row],[Index]]-B571)/B571</f>
        <v>4.2370220964773452E-3</v>
      </c>
    </row>
    <row r="584" spans="1:4" x14ac:dyDescent="0.35">
      <c r="A584" s="17">
        <v>43862</v>
      </c>
      <c r="B584" s="58">
        <f>VLOOKUP(Table110[[#This Row],[Date]],database!A:H,3,)</f>
        <v>102.39019999999999</v>
      </c>
      <c r="C584" s="66">
        <f t="shared" ref="C584:C647" si="9">B584/B583-1</f>
        <v>2.295668415608354E-4</v>
      </c>
      <c r="D584" s="66">
        <f>(Table110[[#This Row],[Index]]-B572)/B572</f>
        <v>2.2668661594117463E-2</v>
      </c>
    </row>
    <row r="585" spans="1:4" x14ac:dyDescent="0.35">
      <c r="A585" s="17">
        <v>43891</v>
      </c>
      <c r="B585" s="58">
        <f>VLOOKUP(Table110[[#This Row],[Date]],database!A:H,3,)</f>
        <v>99.006399999999999</v>
      </c>
      <c r="C585" s="66">
        <f t="shared" si="9"/>
        <v>-3.3048084679979106E-2</v>
      </c>
      <c r="D585" s="66">
        <f>(Table110[[#This Row],[Index]]-B573)/B573</f>
        <v>-1.0825268083992499E-2</v>
      </c>
    </row>
    <row r="586" spans="1:4" x14ac:dyDescent="0.35">
      <c r="A586" s="17">
        <v>43922</v>
      </c>
      <c r="B586" s="58">
        <f>VLOOKUP(Table110[[#This Row],[Date]],database!A:H,3,)</f>
        <v>88.207300000000004</v>
      </c>
      <c r="C586" s="66">
        <f t="shared" si="9"/>
        <v>-0.10907476688375695</v>
      </c>
      <c r="D586" s="66">
        <f>(Table110[[#This Row],[Index]]-B574)/B574</f>
        <v>-0.11503049480951155</v>
      </c>
    </row>
    <row r="587" spans="1:4" x14ac:dyDescent="0.35">
      <c r="A587" s="17">
        <v>43952</v>
      </c>
      <c r="B587" s="58">
        <f>VLOOKUP(Table110[[#This Row],[Date]],database!A:H,3,)</f>
        <v>91.625299999999996</v>
      </c>
      <c r="C587" s="66">
        <f t="shared" si="9"/>
        <v>3.8749627298420686E-2</v>
      </c>
      <c r="D587" s="66">
        <f>(Table110[[#This Row],[Index]]-B575)/B575</f>
        <v>-8.778809872265865E-2</v>
      </c>
    </row>
    <row r="588" spans="1:4" x14ac:dyDescent="0.35">
      <c r="A588" s="17">
        <v>43983</v>
      </c>
      <c r="B588" s="58">
        <f>VLOOKUP(Table110[[#This Row],[Date]],database!A:H,3,)</f>
        <v>92.928399999999996</v>
      </c>
      <c r="C588" s="66">
        <f t="shared" si="9"/>
        <v>1.4222054388907779E-2</v>
      </c>
      <c r="D588" s="66">
        <f>(Table110[[#This Row],[Index]]-B576)/B576</f>
        <v>-8.2599093936243845E-2</v>
      </c>
    </row>
    <row r="589" spans="1:4" x14ac:dyDescent="0.35">
      <c r="A589" s="17">
        <v>44013</v>
      </c>
      <c r="B589" s="58">
        <f>VLOOKUP(Table110[[#This Row],[Date]],database!A:H,3,)</f>
        <v>94.430499999999995</v>
      </c>
      <c r="C589" s="66">
        <f t="shared" si="9"/>
        <v>1.6164057489421957E-2</v>
      </c>
      <c r="D589" s="66">
        <f>(Table110[[#This Row],[Index]]-B577)/B577</f>
        <v>-6.0938718197584792E-2</v>
      </c>
    </row>
    <row r="590" spans="1:4" x14ac:dyDescent="0.35">
      <c r="A590" s="17">
        <v>44044</v>
      </c>
      <c r="B590" s="58">
        <f>VLOOKUP(Table110[[#This Row],[Date]],database!A:H,3,)</f>
        <v>95.561000000000007</v>
      </c>
      <c r="C590" s="66">
        <f t="shared" si="9"/>
        <v>1.1971767596274718E-2</v>
      </c>
      <c r="D590" s="66">
        <f>(Table110[[#This Row],[Index]]-B578)/B578</f>
        <v>-5.2602045469867104E-2</v>
      </c>
    </row>
    <row r="591" spans="1:4" x14ac:dyDescent="0.35">
      <c r="A591" s="17">
        <v>44075</v>
      </c>
      <c r="B591" s="58">
        <f>VLOOKUP(Table110[[#This Row],[Date]],database!A:H,3,)</f>
        <v>96.009600000000006</v>
      </c>
      <c r="C591" s="66">
        <f t="shared" si="9"/>
        <v>4.6943836920918525E-3</v>
      </c>
      <c r="D591" s="66">
        <f>(Table110[[#This Row],[Index]]-B579)/B579</f>
        <v>-4.6062619727042169E-2</v>
      </c>
    </row>
    <row r="592" spans="1:4" x14ac:dyDescent="0.35">
      <c r="A592" s="17">
        <v>44105</v>
      </c>
      <c r="B592" s="58">
        <f>VLOOKUP(Table110[[#This Row],[Date]],database!A:H,3,)</f>
        <v>98.072000000000003</v>
      </c>
      <c r="C592" s="66">
        <f t="shared" si="9"/>
        <v>2.1481185214811793E-2</v>
      </c>
      <c r="D592" s="66">
        <f>(Table110[[#This Row],[Index]]-B580)/B580</f>
        <v>-1.6764884574742227E-2</v>
      </c>
    </row>
    <row r="593" spans="1:4" x14ac:dyDescent="0.35">
      <c r="A593" s="17">
        <v>44136</v>
      </c>
      <c r="B593" s="58">
        <f>VLOOKUP(Table110[[#This Row],[Date]],database!A:H,3,)</f>
        <v>98.147999999999996</v>
      </c>
      <c r="C593" s="66">
        <f t="shared" si="9"/>
        <v>7.7494085977636296E-4</v>
      </c>
      <c r="D593" s="66">
        <f>(Table110[[#This Row],[Index]]-B581)/B581</f>
        <v>-1.0985688978639375E-2</v>
      </c>
    </row>
    <row r="594" spans="1:4" x14ac:dyDescent="0.35">
      <c r="A594" s="17">
        <v>44166</v>
      </c>
      <c r="B594" s="58">
        <f>VLOOKUP(Table110[[#This Row],[Date]],database!A:H,3,)</f>
        <v>99.424400000000006</v>
      </c>
      <c r="C594" s="66">
        <f t="shared" si="9"/>
        <v>1.3004849818641251E-2</v>
      </c>
      <c r="D594" s="66">
        <f>(Table110[[#This Row],[Index]]-B582)/B582</f>
        <v>-6.4435410695797453E-3</v>
      </c>
    </row>
    <row r="595" spans="1:4" x14ac:dyDescent="0.35">
      <c r="A595" s="17">
        <v>44197</v>
      </c>
      <c r="B595" s="58">
        <f>VLOOKUP(Table110[[#This Row],[Date]],database!A:H,3,)</f>
        <v>100.37479999999999</v>
      </c>
      <c r="C595" s="66">
        <f t="shared" si="9"/>
        <v>9.5590217290724144E-3</v>
      </c>
      <c r="D595" s="66">
        <f>(Table110[[#This Row],[Index]]-B583)/B583</f>
        <v>-1.9458476242762552E-2</v>
      </c>
    </row>
    <row r="596" spans="1:4" x14ac:dyDescent="0.35">
      <c r="A596" s="17">
        <v>44228</v>
      </c>
      <c r="B596" s="58">
        <f>VLOOKUP(Table110[[#This Row],[Date]],database!A:H,3,)</f>
        <v>97.013199999999998</v>
      </c>
      <c r="C596" s="66">
        <f t="shared" si="9"/>
        <v>-3.3490477689619214E-2</v>
      </c>
      <c r="D596" s="66">
        <f>(Table110[[#This Row],[Index]]-B584)/B584</f>
        <v>-5.2514791454650891E-2</v>
      </c>
    </row>
    <row r="597" spans="1:4" x14ac:dyDescent="0.35">
      <c r="A597" s="17">
        <v>44256</v>
      </c>
      <c r="B597" s="58">
        <f>VLOOKUP(Table110[[#This Row],[Date]],database!A:H,3,)</f>
        <v>100.6644</v>
      </c>
      <c r="C597" s="66">
        <f t="shared" si="9"/>
        <v>3.7636115497684974E-2</v>
      </c>
      <c r="D597" s="66">
        <f>(Table110[[#This Row],[Index]]-B585)/B585</f>
        <v>1.6746392152426522E-2</v>
      </c>
    </row>
    <row r="598" spans="1:4" x14ac:dyDescent="0.35">
      <c r="A598" s="17">
        <v>44287</v>
      </c>
      <c r="B598" s="58">
        <f>VLOOKUP(Table110[[#This Row],[Date]],database!A:H,3,)</f>
        <v>99.752300000000005</v>
      </c>
      <c r="C598" s="66">
        <f t="shared" si="9"/>
        <v>-9.0608000445042691E-3</v>
      </c>
      <c r="D598" s="66">
        <f>(Table110[[#This Row],[Index]]-B586)/B586</f>
        <v>0.13088485873618172</v>
      </c>
    </row>
    <row r="599" spans="1:4" x14ac:dyDescent="0.35">
      <c r="A599" s="17">
        <v>44317</v>
      </c>
      <c r="B599" s="58">
        <f>VLOOKUP(Table110[[#This Row],[Date]],database!A:H,3,)</f>
        <v>99.451499999999996</v>
      </c>
      <c r="C599" s="66">
        <f t="shared" si="9"/>
        <v>-3.0154693174995195E-3</v>
      </c>
      <c r="D599" s="66">
        <f>(Table110[[#This Row],[Index]]-B587)/B587</f>
        <v>8.5415272855859689E-2</v>
      </c>
    </row>
    <row r="600" spans="1:4" x14ac:dyDescent="0.35">
      <c r="A600" s="17">
        <v>44348</v>
      </c>
      <c r="B600" s="58">
        <f>VLOOKUP(Table110[[#This Row],[Date]],database!A:H,3,)</f>
        <v>99.070499999999996</v>
      </c>
      <c r="C600" s="66">
        <f t="shared" si="9"/>
        <v>-3.8310131068912678E-3</v>
      </c>
      <c r="D600" s="66">
        <f>(Table110[[#This Row],[Index]]-B588)/B588</f>
        <v>6.6094972042992237E-2</v>
      </c>
    </row>
    <row r="601" spans="1:4" x14ac:dyDescent="0.35">
      <c r="A601" s="17">
        <v>44378</v>
      </c>
      <c r="B601" s="58">
        <f>VLOOKUP(Table110[[#This Row],[Date]],database!A:H,3,)</f>
        <v>100.2358</v>
      </c>
      <c r="C601" s="66">
        <f t="shared" si="9"/>
        <v>1.17623308653938E-2</v>
      </c>
      <c r="D601" s="66">
        <f>(Table110[[#This Row],[Index]]-B589)/B589</f>
        <v>6.1476959245159168E-2</v>
      </c>
    </row>
    <row r="602" spans="1:4" x14ac:dyDescent="0.35">
      <c r="A602" s="17">
        <v>44409</v>
      </c>
      <c r="B602" s="58">
        <f>VLOOKUP(Table110[[#This Row],[Date]],database!A:H,3,)</f>
        <v>100.61539999999999</v>
      </c>
      <c r="C602" s="66">
        <f t="shared" si="9"/>
        <v>3.787070088730804E-3</v>
      </c>
      <c r="D602" s="66">
        <f>(Table110[[#This Row],[Index]]-B590)/B590</f>
        <v>5.2891870114377064E-2</v>
      </c>
    </row>
    <row r="603" spans="1:4" x14ac:dyDescent="0.35">
      <c r="A603" s="17">
        <v>44440</v>
      </c>
      <c r="B603" s="58">
        <f>VLOOKUP(Table110[[#This Row],[Date]],database!A:H,3,)</f>
        <v>101.93300000000001</v>
      </c>
      <c r="C603" s="66">
        <f t="shared" si="9"/>
        <v>1.3095410841680533E-2</v>
      </c>
      <c r="D603" s="66">
        <f>(Table110[[#This Row],[Index]]-B591)/B591</f>
        <v>6.1695913741959145E-2</v>
      </c>
    </row>
    <row r="604" spans="1:4" x14ac:dyDescent="0.35">
      <c r="A604" s="17">
        <v>44470</v>
      </c>
      <c r="B604" s="58">
        <f>VLOOKUP(Table110[[#This Row],[Date]],database!A:H,3,)</f>
        <v>103.2902</v>
      </c>
      <c r="C604" s="66">
        <f t="shared" si="9"/>
        <v>1.3314628236194226E-2</v>
      </c>
      <c r="D604" s="66">
        <f>(Table110[[#This Row],[Index]]-B592)/B592</f>
        <v>5.3207847295864218E-2</v>
      </c>
    </row>
    <row r="605" spans="1:4" x14ac:dyDescent="0.35">
      <c r="A605" s="17">
        <v>44501</v>
      </c>
      <c r="B605" s="58">
        <f>VLOOKUP(Table110[[#This Row],[Date]],database!A:H,3,)</f>
        <v>104.8263</v>
      </c>
      <c r="C605" s="66">
        <f t="shared" si="9"/>
        <v>1.4871691602881931E-2</v>
      </c>
      <c r="D605" s="66">
        <f>(Table110[[#This Row],[Index]]-B593)/B593</f>
        <v>6.804315931042923E-2</v>
      </c>
    </row>
    <row r="606" spans="1:4" x14ac:dyDescent="0.35">
      <c r="A606" s="17">
        <v>44531</v>
      </c>
      <c r="B606" s="58">
        <f>VLOOKUP(Table110[[#This Row],[Date]],database!A:H,3,)</f>
        <v>104.95480000000001</v>
      </c>
      <c r="C606" s="66">
        <f t="shared" si="9"/>
        <v>1.2258374091234092E-3</v>
      </c>
      <c r="D606" s="66">
        <f>(Table110[[#This Row],[Index]]-B594)/B594</f>
        <v>5.5624172738281547E-2</v>
      </c>
    </row>
    <row r="607" spans="1:4" x14ac:dyDescent="0.35">
      <c r="A607" s="17">
        <v>44562</v>
      </c>
      <c r="B607" s="58">
        <f>VLOOKUP(Table110[[#This Row],[Date]],database!A:H,3,)</f>
        <v>103.7324</v>
      </c>
      <c r="C607" s="66">
        <f t="shared" si="9"/>
        <v>-1.1646918483004143E-2</v>
      </c>
      <c r="D607" s="66">
        <f>(Table110[[#This Row],[Index]]-B595)/B595</f>
        <v>3.3450627049817334E-2</v>
      </c>
    </row>
    <row r="608" spans="1:4" x14ac:dyDescent="0.35">
      <c r="A608" s="17">
        <v>44593</v>
      </c>
      <c r="B608" s="58">
        <f>VLOOKUP(Table110[[#This Row],[Date]],database!A:H,3,)</f>
        <v>105.8214</v>
      </c>
      <c r="C608" s="66">
        <f t="shared" si="9"/>
        <v>2.0138356000632296E-2</v>
      </c>
      <c r="D608" s="66">
        <f>(Table110[[#This Row],[Index]]-B596)/B596</f>
        <v>9.0793830117963326E-2</v>
      </c>
    </row>
    <row r="609" spans="1:4" x14ac:dyDescent="0.35">
      <c r="A609" s="17">
        <v>44621</v>
      </c>
      <c r="B609" s="58">
        <f>VLOOKUP(Table110[[#This Row],[Date]],database!A:H,3,)</f>
        <v>105.2346</v>
      </c>
      <c r="C609" s="66">
        <f t="shared" si="9"/>
        <v>-5.5451921822995409E-3</v>
      </c>
      <c r="D609" s="66">
        <f>(Table110[[#This Row],[Index]]-B597)/B597</f>
        <v>4.5400360008106141E-2</v>
      </c>
    </row>
    <row r="610" spans="1:4" x14ac:dyDescent="0.35">
      <c r="A610" s="17">
        <v>44652</v>
      </c>
      <c r="B610" s="58">
        <f>VLOOKUP(Table110[[#This Row],[Date]],database!A:H,3,)</f>
        <v>104.9628</v>
      </c>
      <c r="C610" s="66">
        <f t="shared" si="9"/>
        <v>-2.5828007138336551E-3</v>
      </c>
      <c r="D610" s="66">
        <f>(Table110[[#This Row],[Index]]-B598)/B598</f>
        <v>5.2234384570581285E-2</v>
      </c>
    </row>
    <row r="611" spans="1:4" x14ac:dyDescent="0.35">
      <c r="A611" s="17">
        <v>44682</v>
      </c>
      <c r="B611" s="58">
        <f>VLOOKUP(Table110[[#This Row],[Date]],database!A:H,3,)</f>
        <v>105.1437</v>
      </c>
      <c r="C611" s="66">
        <f t="shared" si="9"/>
        <v>1.7234677428574763E-3</v>
      </c>
      <c r="D611" s="66">
        <f>(Table110[[#This Row],[Index]]-B599)/B599</f>
        <v>5.7235939126106694E-2</v>
      </c>
    </row>
    <row r="612" spans="1:4" x14ac:dyDescent="0.35">
      <c r="A612" s="17">
        <v>44713</v>
      </c>
      <c r="B612" s="58">
        <f>VLOOKUP(Table110[[#This Row],[Date]],database!A:H,3,)</f>
        <v>103.86239999999999</v>
      </c>
      <c r="C612" s="66">
        <f t="shared" si="9"/>
        <v>-1.2186179485789483E-2</v>
      </c>
      <c r="D612" s="66">
        <f>(Table110[[#This Row],[Index]]-B600)/B600</f>
        <v>4.8368586006934437E-2</v>
      </c>
    </row>
    <row r="613" spans="1:4" x14ac:dyDescent="0.35">
      <c r="A613" s="17">
        <v>44743</v>
      </c>
      <c r="B613" s="58">
        <f>VLOOKUP(Table110[[#This Row],[Date]],database!A:H,3,)</f>
        <v>104.45010000000001</v>
      </c>
      <c r="C613" s="66">
        <f t="shared" si="9"/>
        <v>5.6584481005639287E-3</v>
      </c>
      <c r="D613" s="66">
        <f>(Table110[[#This Row],[Index]]-B601)/B601</f>
        <v>4.2043860576760086E-2</v>
      </c>
    </row>
    <row r="614" spans="1:4" x14ac:dyDescent="0.35">
      <c r="A614" s="17">
        <v>44774</v>
      </c>
      <c r="B614" s="58">
        <f>VLOOKUP(Table110[[#This Row],[Date]],database!A:H,3,)</f>
        <v>104.1187</v>
      </c>
      <c r="C614" s="66">
        <f t="shared" si="9"/>
        <v>-3.1728069192848984E-3</v>
      </c>
      <c r="D614" s="66">
        <f>(Table110[[#This Row],[Index]]-B602)/B602</f>
        <v>3.4818725562886101E-2</v>
      </c>
    </row>
    <row r="615" spans="1:4" x14ac:dyDescent="0.35">
      <c r="A615" s="17">
        <v>44805</v>
      </c>
      <c r="B615" s="58">
        <f>VLOOKUP(Table110[[#This Row],[Date]],database!A:H,3,)</f>
        <v>104.2709</v>
      </c>
      <c r="C615" s="66">
        <f t="shared" si="9"/>
        <v>1.461793126498856E-3</v>
      </c>
      <c r="D615" s="66">
        <f>(Table110[[#This Row],[Index]]-B603)/B603</f>
        <v>2.2935653811817471E-2</v>
      </c>
    </row>
    <row r="616" spans="1:4" x14ac:dyDescent="0.35">
      <c r="A616" s="17">
        <v>44835</v>
      </c>
      <c r="B616" s="58">
        <f>VLOOKUP(Table110[[#This Row],[Date]],database!A:H,3,)</f>
        <v>104.2469</v>
      </c>
      <c r="C616" s="66">
        <f t="shared" si="9"/>
        <v>-2.3016968300837437E-4</v>
      </c>
      <c r="D616" s="66">
        <f>(Table110[[#This Row],[Index]]-B604)/B604</f>
        <v>9.2622533405879535E-3</v>
      </c>
    </row>
    <row r="617" spans="1:4" x14ac:dyDescent="0.35">
      <c r="A617" s="17">
        <v>44866</v>
      </c>
      <c r="B617" s="58">
        <f>VLOOKUP(Table110[[#This Row],[Date]],database!A:H,3,)</f>
        <v>103.80589999999999</v>
      </c>
      <c r="C617" s="66">
        <f t="shared" si="9"/>
        <v>-4.2303416216693535E-3</v>
      </c>
      <c r="D617" s="66">
        <f>(Table110[[#This Row],[Index]]-B605)/B605</f>
        <v>-9.7341983834210426E-3</v>
      </c>
    </row>
    <row r="618" spans="1:4" x14ac:dyDescent="0.35">
      <c r="A618" s="17">
        <v>44896</v>
      </c>
      <c r="B618" s="58">
        <f>VLOOKUP(Table110[[#This Row],[Date]],database!A:H,3,)</f>
        <v>102.4845</v>
      </c>
      <c r="C618" s="66">
        <f t="shared" si="9"/>
        <v>-1.2729526934403546E-2</v>
      </c>
      <c r="D618" s="66">
        <f>(Table110[[#This Row],[Index]]-B606)/B606</f>
        <v>-2.3536798698106313E-2</v>
      </c>
    </row>
    <row r="619" spans="1:4" x14ac:dyDescent="0.35">
      <c r="A619" s="17">
        <v>44927</v>
      </c>
      <c r="B619" s="58">
        <f>VLOOKUP(Table110[[#This Row],[Date]],database!A:H,3,)</f>
        <v>103.34869999999999</v>
      </c>
      <c r="C619" s="66">
        <f t="shared" si="9"/>
        <v>8.4324946699256831E-3</v>
      </c>
      <c r="D619" s="66">
        <f>(Table110[[#This Row],[Index]]-B607)/B607</f>
        <v>-3.6989407359706763E-3</v>
      </c>
    </row>
  </sheetData>
  <conditionalFormatting sqref="D463:D61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19"/>
  <sheetViews>
    <sheetView zoomScale="90" zoomScaleNormal="90" workbookViewId="0">
      <pane ySplit="6" topLeftCell="A593" activePane="bottomLeft" state="frozen"/>
      <selection activeCell="J582" sqref="J582"/>
      <selection pane="bottomLeft" activeCell="L620" sqref="L620"/>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31" width="9.1796875" style="74" customWidth="1"/>
    <col min="32" max="16384" width="9.1796875" style="74"/>
  </cols>
  <sheetData>
    <row r="1" spans="1:25" x14ac:dyDescent="0.35">
      <c r="A1" s="15" t="s">
        <v>19</v>
      </c>
      <c r="B1" s="74"/>
      <c r="C1" s="74"/>
      <c r="S1" s="74" t="s">
        <v>70</v>
      </c>
      <c r="T1" s="74" t="s">
        <v>64</v>
      </c>
      <c r="U1" s="74" t="str">
        <f>S1&amp;T1</f>
        <v>Industrial Production: Manufacturing (NAICS) since 2010</v>
      </c>
      <c r="Y1" s="74" t="str">
        <f>U2&amp; T1</f>
        <v>Industrial Production: Manufacturing (NAICS) yoy since 2010</v>
      </c>
    </row>
    <row r="2" spans="1:25" x14ac:dyDescent="0.35">
      <c r="A2" s="16"/>
      <c r="B2" s="74"/>
      <c r="C2" s="74"/>
      <c r="U2" s="74" t="str">
        <f>S1&amp;Table13[[#Headers],[ yoy]]</f>
        <v>Industrial Production: Manufacturing (NAICS)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VLOOKUP(Table13[[#This Row],[Date]],database!A:F,6,)</f>
        <v>36.042700000000004</v>
      </c>
      <c r="C7" s="66"/>
      <c r="D7" s="66"/>
    </row>
    <row r="8" spans="1:25" x14ac:dyDescent="0.35">
      <c r="A8" s="17">
        <v>26330</v>
      </c>
      <c r="B8" s="58">
        <f>VLOOKUP(Table13[[#This Row],[Date]],database!A:F,6,)</f>
        <v>36.328800000000001</v>
      </c>
      <c r="C8" s="66">
        <f t="shared" ref="C8:C71" si="0">B8/B7-1</f>
        <v>7.9378071010218765E-3</v>
      </c>
      <c r="D8" s="66"/>
    </row>
    <row r="9" spans="1:25" x14ac:dyDescent="0.35">
      <c r="A9" s="17">
        <v>26359</v>
      </c>
      <c r="B9" s="58">
        <f>VLOOKUP(Table13[[#This Row],[Date]],database!A:F,6,)</f>
        <v>36.573399999999999</v>
      </c>
      <c r="C9" s="66">
        <f t="shared" si="0"/>
        <v>6.7329501662591884E-3</v>
      </c>
      <c r="D9" s="66"/>
    </row>
    <row r="10" spans="1:25" x14ac:dyDescent="0.35">
      <c r="A10" s="17">
        <v>26390</v>
      </c>
      <c r="B10" s="58">
        <f>VLOOKUP(Table13[[#This Row],[Date]],database!A:F,6,)</f>
        <v>36.981999999999999</v>
      </c>
      <c r="C10" s="66">
        <f t="shared" si="0"/>
        <v>1.1172054006463705E-2</v>
      </c>
      <c r="D10" s="66"/>
    </row>
    <row r="11" spans="1:25" x14ac:dyDescent="0.35">
      <c r="A11" s="17">
        <v>26420</v>
      </c>
      <c r="B11" s="58">
        <f>VLOOKUP(Table13[[#This Row],[Date]],database!A:F,6,)</f>
        <v>37.053699999999999</v>
      </c>
      <c r="C11" s="66">
        <f t="shared" si="0"/>
        <v>1.9387810286084495E-3</v>
      </c>
      <c r="D11" s="66"/>
    </row>
    <row r="12" spans="1:25" x14ac:dyDescent="0.35">
      <c r="A12" s="17">
        <v>26451</v>
      </c>
      <c r="B12" s="58">
        <f>VLOOKUP(Table13[[#This Row],[Date]],database!A:F,6,)</f>
        <v>37.163400000000003</v>
      </c>
      <c r="C12" s="66">
        <f t="shared" si="0"/>
        <v>2.9605680404387602E-3</v>
      </c>
      <c r="D12" s="66"/>
    </row>
    <row r="13" spans="1:25" x14ac:dyDescent="0.35">
      <c r="A13" s="17">
        <v>26481</v>
      </c>
      <c r="B13" s="58">
        <f>VLOOKUP(Table13[[#This Row],[Date]],database!A:F,6,)</f>
        <v>37.153399999999998</v>
      </c>
      <c r="C13" s="66">
        <f t="shared" si="0"/>
        <v>-2.6908194621599879E-4</v>
      </c>
      <c r="D13" s="66"/>
    </row>
    <row r="14" spans="1:25" x14ac:dyDescent="0.35">
      <c r="A14" s="17">
        <v>26512</v>
      </c>
      <c r="B14" s="58">
        <f>VLOOKUP(Table13[[#This Row],[Date]],database!A:F,6,)</f>
        <v>37.650799999999997</v>
      </c>
      <c r="C14" s="66">
        <f t="shared" si="0"/>
        <v>1.3387738403483951E-2</v>
      </c>
      <c r="D14" s="66"/>
    </row>
    <row r="15" spans="1:25" x14ac:dyDescent="0.35">
      <c r="A15" s="17">
        <v>26543</v>
      </c>
      <c r="B15" s="58">
        <f>VLOOKUP(Table13[[#This Row],[Date]],database!A:F,6,)</f>
        <v>37.918900000000001</v>
      </c>
      <c r="C15" s="66">
        <f t="shared" si="0"/>
        <v>7.1206986305736297E-3</v>
      </c>
      <c r="D15" s="66"/>
    </row>
    <row r="16" spans="1:25" x14ac:dyDescent="0.35">
      <c r="A16" s="17">
        <v>26573</v>
      </c>
      <c r="B16" s="58">
        <f>VLOOKUP(Table13[[#This Row],[Date]],database!A:F,6,)</f>
        <v>38.487000000000002</v>
      </c>
      <c r="C16" s="66">
        <f t="shared" si="0"/>
        <v>1.4981974688084376E-2</v>
      </c>
      <c r="D16" s="66"/>
    </row>
    <row r="17" spans="1:4" x14ac:dyDescent="0.35">
      <c r="A17" s="17">
        <v>26604</v>
      </c>
      <c r="B17" s="58">
        <f>VLOOKUP(Table13[[#This Row],[Date]],database!A:F,6,)</f>
        <v>38.985300000000002</v>
      </c>
      <c r="C17" s="66">
        <f t="shared" si="0"/>
        <v>1.2947228934445443E-2</v>
      </c>
      <c r="D17" s="66"/>
    </row>
    <row r="18" spans="1:4" x14ac:dyDescent="0.35">
      <c r="A18" s="17">
        <v>26634</v>
      </c>
      <c r="B18" s="58">
        <f>VLOOKUP(Table13[[#This Row],[Date]],database!A:F,6,)</f>
        <v>39.549300000000002</v>
      </c>
      <c r="C18" s="66">
        <f t="shared" si="0"/>
        <v>1.4466991404452401E-2</v>
      </c>
      <c r="D18" s="66"/>
    </row>
    <row r="19" spans="1:4" x14ac:dyDescent="0.35">
      <c r="A19" s="17">
        <v>26665</v>
      </c>
      <c r="B19" s="58">
        <f>VLOOKUP(Table13[[#This Row],[Date]],database!A:F,6,)</f>
        <v>39.8491</v>
      </c>
      <c r="C19" s="66">
        <f t="shared" si="0"/>
        <v>7.5804122955398512E-3</v>
      </c>
      <c r="D19" s="66"/>
    </row>
    <row r="20" spans="1:4" x14ac:dyDescent="0.35">
      <c r="A20" s="17">
        <v>26696</v>
      </c>
      <c r="B20" s="58">
        <f>VLOOKUP(Table13[[#This Row],[Date]],database!A:F,6,)</f>
        <v>40.485900000000001</v>
      </c>
      <c r="C20" s="66">
        <f t="shared" si="0"/>
        <v>1.5980285627529955E-2</v>
      </c>
      <c r="D20" s="66">
        <f>(Table13[[#This Row],[Index]]-B8)/B8</f>
        <v>0.1144298738191187</v>
      </c>
    </row>
    <row r="21" spans="1:4" x14ac:dyDescent="0.35">
      <c r="A21" s="17">
        <v>26724</v>
      </c>
      <c r="B21" s="58">
        <f>VLOOKUP(Table13[[#This Row],[Date]],database!A:F,6,)</f>
        <v>40.561</v>
      </c>
      <c r="C21" s="66">
        <f t="shared" si="0"/>
        <v>1.8549667909073531E-3</v>
      </c>
      <c r="D21" s="66">
        <f>(Table13[[#This Row],[Index]]-B9)/B9</f>
        <v>0.10903006009832283</v>
      </c>
    </row>
    <row r="22" spans="1:4" x14ac:dyDescent="0.35">
      <c r="A22" s="17">
        <v>26755</v>
      </c>
      <c r="B22" s="58">
        <f>VLOOKUP(Table13[[#This Row],[Date]],database!A:F,6,)</f>
        <v>40.4985</v>
      </c>
      <c r="C22" s="66">
        <f t="shared" si="0"/>
        <v>-1.540889031335535E-3</v>
      </c>
      <c r="D22" s="66">
        <f>(Table13[[#This Row],[Index]]-B10)/B10</f>
        <v>9.5086798983289186E-2</v>
      </c>
    </row>
    <row r="23" spans="1:4" x14ac:dyDescent="0.35">
      <c r="A23" s="17">
        <v>26785</v>
      </c>
      <c r="B23" s="58">
        <f>VLOOKUP(Table13[[#This Row],[Date]],database!A:F,6,)</f>
        <v>40.768000000000001</v>
      </c>
      <c r="C23" s="66">
        <f t="shared" si="0"/>
        <v>6.6545674531155452E-3</v>
      </c>
      <c r="D23" s="66">
        <f>(Table13[[#This Row],[Index]]-B11)/B11</f>
        <v>0.10024100157339218</v>
      </c>
    </row>
    <row r="24" spans="1:4" x14ac:dyDescent="0.35">
      <c r="A24" s="17">
        <v>26816</v>
      </c>
      <c r="B24" s="58">
        <f>VLOOKUP(Table13[[#This Row],[Date]],database!A:F,6,)</f>
        <v>40.7744</v>
      </c>
      <c r="C24" s="66">
        <f t="shared" si="0"/>
        <v>1.5698587127155328E-4</v>
      </c>
      <c r="D24" s="66">
        <f>(Table13[[#This Row],[Index]]-B12)/B12</f>
        <v>9.7165490778561611E-2</v>
      </c>
    </row>
    <row r="25" spans="1:4" x14ac:dyDescent="0.35">
      <c r="A25" s="17">
        <v>26846</v>
      </c>
      <c r="B25" s="58">
        <f>VLOOKUP(Table13[[#This Row],[Date]],database!A:F,6,)</f>
        <v>40.9621</v>
      </c>
      <c r="C25" s="66">
        <f t="shared" si="0"/>
        <v>4.6033785904882052E-3</v>
      </c>
      <c r="D25" s="66">
        <f>(Table13[[#This Row],[Index]]-B13)/B13</f>
        <v>0.10251282520576857</v>
      </c>
    </row>
    <row r="26" spans="1:4" x14ac:dyDescent="0.35">
      <c r="A26" s="17">
        <v>26877</v>
      </c>
      <c r="B26" s="58">
        <f>VLOOKUP(Table13[[#This Row],[Date]],database!A:F,6,)</f>
        <v>40.8521</v>
      </c>
      <c r="C26" s="66">
        <f t="shared" si="0"/>
        <v>-2.6854091953293358E-3</v>
      </c>
      <c r="D26" s="66">
        <f>(Table13[[#This Row],[Index]]-B14)/B14</f>
        <v>8.5026081783122903E-2</v>
      </c>
    </row>
    <row r="27" spans="1:4" x14ac:dyDescent="0.35">
      <c r="A27" s="17">
        <v>26908</v>
      </c>
      <c r="B27" s="58">
        <f>VLOOKUP(Table13[[#This Row],[Date]],database!A:F,6,)</f>
        <v>41.189399999999999</v>
      </c>
      <c r="C27" s="66">
        <f t="shared" si="0"/>
        <v>8.2566134911057354E-3</v>
      </c>
      <c r="D27" s="66">
        <f>(Table13[[#This Row],[Index]]-B15)/B15</f>
        <v>8.6249864843125676E-2</v>
      </c>
    </row>
    <row r="28" spans="1:4" x14ac:dyDescent="0.35">
      <c r="A28" s="17">
        <v>26938</v>
      </c>
      <c r="B28" s="58">
        <f>VLOOKUP(Table13[[#This Row],[Date]],database!A:F,6,)</f>
        <v>41.597099999999998</v>
      </c>
      <c r="C28" s="66">
        <f t="shared" si="0"/>
        <v>9.8981776864921489E-3</v>
      </c>
      <c r="D28" s="66">
        <f>(Table13[[#This Row],[Index]]-B16)/B16</f>
        <v>8.0809104372905019E-2</v>
      </c>
    </row>
    <row r="29" spans="1:4" x14ac:dyDescent="0.35">
      <c r="A29" s="17">
        <v>26969</v>
      </c>
      <c r="B29" s="58">
        <f>VLOOKUP(Table13[[#This Row],[Date]],database!A:F,6,)</f>
        <v>41.885599999999997</v>
      </c>
      <c r="C29" s="66">
        <f t="shared" si="0"/>
        <v>6.9355796437731154E-3</v>
      </c>
      <c r="D29" s="66">
        <f>(Table13[[#This Row],[Index]]-B17)/B17</f>
        <v>7.4394707748817998E-2</v>
      </c>
    </row>
    <row r="30" spans="1:4" x14ac:dyDescent="0.35">
      <c r="A30" s="17">
        <v>26999</v>
      </c>
      <c r="B30" s="58">
        <f>VLOOKUP(Table13[[#This Row],[Date]],database!A:F,6,)</f>
        <v>41.890099999999997</v>
      </c>
      <c r="C30" s="66">
        <f t="shared" si="0"/>
        <v>1.074354909562647E-4</v>
      </c>
      <c r="D30" s="66">
        <f>(Table13[[#This Row],[Index]]-B18)/B18</f>
        <v>5.9186888263508944E-2</v>
      </c>
    </row>
    <row r="31" spans="1:4" x14ac:dyDescent="0.35">
      <c r="A31" s="17">
        <v>27030</v>
      </c>
      <c r="B31" s="58">
        <f>VLOOKUP(Table13[[#This Row],[Date]],database!A:F,6,)</f>
        <v>41.5396</v>
      </c>
      <c r="C31" s="66">
        <f t="shared" si="0"/>
        <v>-8.3671320908758062E-3</v>
      </c>
      <c r="D31" s="66">
        <f>(Table13[[#This Row],[Index]]-B19)/B19</f>
        <v>4.242253902848496E-2</v>
      </c>
    </row>
    <row r="32" spans="1:4" x14ac:dyDescent="0.35">
      <c r="A32" s="17">
        <v>27061</v>
      </c>
      <c r="B32" s="58">
        <f>VLOOKUP(Table13[[#This Row],[Date]],database!A:F,6,)</f>
        <v>41.368299999999998</v>
      </c>
      <c r="C32" s="66">
        <f t="shared" si="0"/>
        <v>-4.1237758668837277E-3</v>
      </c>
      <c r="D32" s="66">
        <f>(Table13[[#This Row],[Index]]-B20)/B20</f>
        <v>2.1795242294230757E-2</v>
      </c>
    </row>
    <row r="33" spans="1:4" x14ac:dyDescent="0.35">
      <c r="A33" s="17">
        <v>27089</v>
      </c>
      <c r="B33" s="58">
        <f>VLOOKUP(Table13[[#This Row],[Date]],database!A:F,6,)</f>
        <v>41.347900000000003</v>
      </c>
      <c r="C33" s="66">
        <f t="shared" si="0"/>
        <v>-4.9313121399707782E-4</v>
      </c>
      <c r="D33" s="66">
        <f>(Table13[[#This Row],[Index]]-B21)/B21</f>
        <v>1.9400409260126792E-2</v>
      </c>
    </row>
    <row r="34" spans="1:4" x14ac:dyDescent="0.35">
      <c r="A34" s="17">
        <v>27120</v>
      </c>
      <c r="B34" s="58">
        <f>VLOOKUP(Table13[[#This Row],[Date]],database!A:F,6,)</f>
        <v>41.171300000000002</v>
      </c>
      <c r="C34" s="66">
        <f t="shared" si="0"/>
        <v>-4.2710754355118619E-3</v>
      </c>
      <c r="D34" s="66">
        <f>(Table13[[#This Row],[Index]]-B22)/B22</f>
        <v>1.6612960973863285E-2</v>
      </c>
    </row>
    <row r="35" spans="1:4" x14ac:dyDescent="0.35">
      <c r="A35" s="17">
        <v>27150</v>
      </c>
      <c r="B35" s="58">
        <f>VLOOKUP(Table13[[#This Row],[Date]],database!A:F,6,)</f>
        <v>41.461500000000001</v>
      </c>
      <c r="C35" s="66">
        <f t="shared" si="0"/>
        <v>7.0485993884088494E-3</v>
      </c>
      <c r="D35" s="66">
        <f>(Table13[[#This Row],[Index]]-B23)/B23</f>
        <v>1.7010890894819473E-2</v>
      </c>
    </row>
    <row r="36" spans="1:4" x14ac:dyDescent="0.35">
      <c r="A36" s="17">
        <v>27181</v>
      </c>
      <c r="B36" s="58">
        <f>VLOOKUP(Table13[[#This Row],[Date]],database!A:F,6,)</f>
        <v>41.482300000000002</v>
      </c>
      <c r="C36" s="66">
        <f t="shared" si="0"/>
        <v>5.016702241840143E-4</v>
      </c>
      <c r="D36" s="66">
        <f>(Table13[[#This Row],[Index]]-B24)/B24</f>
        <v>1.7361383613247582E-2</v>
      </c>
    </row>
    <row r="37" spans="1:4" x14ac:dyDescent="0.35">
      <c r="A37" s="17">
        <v>27211</v>
      </c>
      <c r="B37" s="58">
        <f>VLOOKUP(Table13[[#This Row],[Date]],database!A:F,6,)</f>
        <v>41.462499999999999</v>
      </c>
      <c r="C37" s="66">
        <f t="shared" si="0"/>
        <v>-4.7731201018275105E-4</v>
      </c>
      <c r="D37" s="66">
        <f>(Table13[[#This Row],[Index]]-B25)/B25</f>
        <v>1.2216170557661816E-2</v>
      </c>
    </row>
    <row r="38" spans="1:4" x14ac:dyDescent="0.35">
      <c r="A38" s="17">
        <v>27242</v>
      </c>
      <c r="B38" s="58">
        <f>VLOOKUP(Table13[[#This Row],[Date]],database!A:F,6,)</f>
        <v>41.0702</v>
      </c>
      <c r="C38" s="66">
        <f t="shared" si="0"/>
        <v>-9.4615616520952184E-3</v>
      </c>
      <c r="D38" s="66">
        <f>(Table13[[#This Row],[Index]]-B26)/B26</f>
        <v>5.3387708343022693E-3</v>
      </c>
    </row>
    <row r="39" spans="1:4" x14ac:dyDescent="0.35">
      <c r="A39" s="17">
        <v>27273</v>
      </c>
      <c r="B39" s="58">
        <f>VLOOKUP(Table13[[#This Row],[Date]],database!A:F,6,)</f>
        <v>41.125500000000002</v>
      </c>
      <c r="C39" s="66">
        <f t="shared" si="0"/>
        <v>1.3464750597758091E-3</v>
      </c>
      <c r="D39" s="66">
        <f>(Table13[[#This Row],[Index]]-B27)/B27</f>
        <v>-1.5513700126730842E-3</v>
      </c>
    </row>
    <row r="40" spans="1:4" x14ac:dyDescent="0.35">
      <c r="A40" s="17">
        <v>27303</v>
      </c>
      <c r="B40" s="58">
        <f>VLOOKUP(Table13[[#This Row],[Date]],database!A:F,6,)</f>
        <v>40.834299999999999</v>
      </c>
      <c r="C40" s="66">
        <f t="shared" si="0"/>
        <v>-7.0807649755019186E-3</v>
      </c>
      <c r="D40" s="66">
        <f>(Table13[[#This Row],[Index]]-B28)/B28</f>
        <v>-1.8337816818960906E-2</v>
      </c>
    </row>
    <row r="41" spans="1:4" x14ac:dyDescent="0.35">
      <c r="A41" s="17">
        <v>27334</v>
      </c>
      <c r="B41" s="58">
        <f>VLOOKUP(Table13[[#This Row],[Date]],database!A:F,6,)</f>
        <v>39.579599999999999</v>
      </c>
      <c r="C41" s="66">
        <f t="shared" si="0"/>
        <v>-3.0726619533088639E-2</v>
      </c>
      <c r="D41" s="66">
        <f>(Table13[[#This Row],[Index]]-B29)/B29</f>
        <v>-5.5054720476727027E-2</v>
      </c>
    </row>
    <row r="42" spans="1:4" x14ac:dyDescent="0.35">
      <c r="A42" s="17">
        <v>27364</v>
      </c>
      <c r="B42" s="58">
        <f>VLOOKUP(Table13[[#This Row],[Date]],database!A:F,6,)</f>
        <v>37.755899999999997</v>
      </c>
      <c r="C42" s="66">
        <f t="shared" si="0"/>
        <v>-4.6076766819270643E-2</v>
      </c>
      <c r="D42" s="66">
        <f>(Table13[[#This Row],[Index]]-B30)/B30</f>
        <v>-9.869157629129556E-2</v>
      </c>
    </row>
    <row r="43" spans="1:4" x14ac:dyDescent="0.35">
      <c r="A43" s="17">
        <v>27395</v>
      </c>
      <c r="B43" s="58">
        <f>VLOOKUP(Table13[[#This Row],[Date]],database!A:F,6,)</f>
        <v>36.9621</v>
      </c>
      <c r="C43" s="66">
        <f t="shared" si="0"/>
        <v>-2.102452861671944E-2</v>
      </c>
      <c r="D43" s="66">
        <f>(Table13[[#This Row],[Index]]-B31)/B31</f>
        <v>-0.11019605388593055</v>
      </c>
    </row>
    <row r="44" spans="1:4" x14ac:dyDescent="0.35">
      <c r="A44" s="17">
        <v>27426</v>
      </c>
      <c r="B44" s="58">
        <f>VLOOKUP(Table13[[#This Row],[Date]],database!A:F,6,)</f>
        <v>35.9238</v>
      </c>
      <c r="C44" s="66">
        <f t="shared" si="0"/>
        <v>-2.8090936391601096E-2</v>
      </c>
      <c r="D44" s="66">
        <f>(Table13[[#This Row],[Index]]-B32)/B32</f>
        <v>-0.13161043601018166</v>
      </c>
    </row>
    <row r="45" spans="1:4" x14ac:dyDescent="0.35">
      <c r="A45" s="17">
        <v>27454</v>
      </c>
      <c r="B45" s="58">
        <f>VLOOKUP(Table13[[#This Row],[Date]],database!A:F,6,)</f>
        <v>35.424100000000003</v>
      </c>
      <c r="C45" s="66">
        <f t="shared" si="0"/>
        <v>-1.3909998385471356E-2</v>
      </c>
      <c r="D45" s="66">
        <f>(Table13[[#This Row],[Index]]-B33)/B33</f>
        <v>-0.14326725178304098</v>
      </c>
    </row>
    <row r="46" spans="1:4" x14ac:dyDescent="0.35">
      <c r="A46" s="17">
        <v>27485</v>
      </c>
      <c r="B46" s="58">
        <f>VLOOKUP(Table13[[#This Row],[Date]],database!A:F,6,)</f>
        <v>35.420499999999997</v>
      </c>
      <c r="C46" s="66">
        <f t="shared" si="0"/>
        <v>-1.0162572937644221E-4</v>
      </c>
      <c r="D46" s="66">
        <f>(Table13[[#This Row],[Index]]-B34)/B34</f>
        <v>-0.13967982550951769</v>
      </c>
    </row>
    <row r="47" spans="1:4" x14ac:dyDescent="0.35">
      <c r="A47" s="17">
        <v>27515</v>
      </c>
      <c r="B47" s="58">
        <f>VLOOKUP(Table13[[#This Row],[Date]],database!A:F,6,)</f>
        <v>35.355800000000002</v>
      </c>
      <c r="C47" s="66">
        <f t="shared" si="0"/>
        <v>-1.8266258240282607E-3</v>
      </c>
      <c r="D47" s="66">
        <f>(Table13[[#This Row],[Index]]-B35)/B35</f>
        <v>-0.14726191768266944</v>
      </c>
    </row>
    <row r="48" spans="1:4" x14ac:dyDescent="0.35">
      <c r="A48" s="17">
        <v>27546</v>
      </c>
      <c r="B48" s="58">
        <f>VLOOKUP(Table13[[#This Row],[Date]],database!A:F,6,)</f>
        <v>35.6616</v>
      </c>
      <c r="C48" s="66">
        <f t="shared" si="0"/>
        <v>8.6492173844177067E-3</v>
      </c>
      <c r="D48" s="66">
        <f>(Table13[[#This Row],[Index]]-B36)/B36</f>
        <v>-0.1403176776601105</v>
      </c>
    </row>
    <row r="49" spans="1:4" x14ac:dyDescent="0.35">
      <c r="A49" s="17">
        <v>27576</v>
      </c>
      <c r="B49" s="58">
        <f>VLOOKUP(Table13[[#This Row],[Date]],database!A:F,6,)</f>
        <v>36.1755</v>
      </c>
      <c r="C49" s="66">
        <f t="shared" si="0"/>
        <v>1.4410458308096175E-2</v>
      </c>
      <c r="D49" s="66">
        <f>(Table13[[#This Row],[Index]]-B37)/B37</f>
        <v>-0.1275128127826349</v>
      </c>
    </row>
    <row r="50" spans="1:4" x14ac:dyDescent="0.35">
      <c r="A50" s="17">
        <v>27607</v>
      </c>
      <c r="B50" s="58">
        <f>VLOOKUP(Table13[[#This Row],[Date]],database!A:F,6,)</f>
        <v>36.552500000000002</v>
      </c>
      <c r="C50" s="66">
        <f t="shared" si="0"/>
        <v>1.0421417810396516E-2</v>
      </c>
      <c r="D50" s="66">
        <f>(Table13[[#This Row],[Index]]-B38)/B38</f>
        <v>-0.10999946433180256</v>
      </c>
    </row>
    <row r="51" spans="1:4" x14ac:dyDescent="0.35">
      <c r="A51" s="17">
        <v>27638</v>
      </c>
      <c r="B51" s="58">
        <f>VLOOKUP(Table13[[#This Row],[Date]],database!A:F,6,)</f>
        <v>37.187399999999997</v>
      </c>
      <c r="C51" s="66">
        <f t="shared" si="0"/>
        <v>1.7369536967375643E-2</v>
      </c>
      <c r="D51" s="66">
        <f>(Table13[[#This Row],[Index]]-B39)/B39</f>
        <v>-9.5758106284422204E-2</v>
      </c>
    </row>
    <row r="52" spans="1:4" x14ac:dyDescent="0.35">
      <c r="A52" s="17">
        <v>27668</v>
      </c>
      <c r="B52" s="58">
        <f>VLOOKUP(Table13[[#This Row],[Date]],database!A:F,6,)</f>
        <v>37.390799999999999</v>
      </c>
      <c r="C52" s="66">
        <f t="shared" si="0"/>
        <v>5.46959454008622E-3</v>
      </c>
      <c r="D52" s="66">
        <f>(Table13[[#This Row],[Index]]-B40)/B40</f>
        <v>-8.4328615893991085E-2</v>
      </c>
    </row>
    <row r="53" spans="1:4" x14ac:dyDescent="0.35">
      <c r="A53" s="17">
        <v>27699</v>
      </c>
      <c r="B53" s="58">
        <f>VLOOKUP(Table13[[#This Row],[Date]],database!A:F,6,)</f>
        <v>37.473399999999998</v>
      </c>
      <c r="C53" s="66">
        <f t="shared" si="0"/>
        <v>2.2090995645986933E-3</v>
      </c>
      <c r="D53" s="66">
        <f>(Table13[[#This Row],[Index]]-B41)/B41</f>
        <v>-5.3214282104922767E-2</v>
      </c>
    </row>
    <row r="54" spans="1:4" x14ac:dyDescent="0.35">
      <c r="A54" s="17">
        <v>27729</v>
      </c>
      <c r="B54" s="58">
        <f>VLOOKUP(Table13[[#This Row],[Date]],database!A:F,6,)</f>
        <v>38.001800000000003</v>
      </c>
      <c r="C54" s="66">
        <f t="shared" si="0"/>
        <v>1.4100668741027E-2</v>
      </c>
      <c r="D54" s="66">
        <f>(Table13[[#This Row],[Index]]-B42)/B42</f>
        <v>6.5128893762301E-3</v>
      </c>
    </row>
    <row r="55" spans="1:4" x14ac:dyDescent="0.35">
      <c r="A55" s="17">
        <v>27760</v>
      </c>
      <c r="B55" s="58">
        <f>VLOOKUP(Table13[[#This Row],[Date]],database!A:F,6,)</f>
        <v>38.473199999999999</v>
      </c>
      <c r="C55" s="66">
        <f t="shared" si="0"/>
        <v>1.2404675567999401E-2</v>
      </c>
      <c r="D55" s="66">
        <f>(Table13[[#This Row],[Index]]-B43)/B43</f>
        <v>4.0882417395115514E-2</v>
      </c>
    </row>
    <row r="56" spans="1:4" x14ac:dyDescent="0.35">
      <c r="A56" s="17">
        <v>27791</v>
      </c>
      <c r="B56" s="58">
        <f>VLOOKUP(Table13[[#This Row],[Date]],database!A:F,6,)</f>
        <v>39.0839</v>
      </c>
      <c r="C56" s="66">
        <f t="shared" si="0"/>
        <v>1.587338718900444E-2</v>
      </c>
      <c r="D56" s="66">
        <f>(Table13[[#This Row],[Index]]-B44)/B44</f>
        <v>8.7966751846964966E-2</v>
      </c>
    </row>
    <row r="57" spans="1:4" x14ac:dyDescent="0.35">
      <c r="A57" s="17">
        <v>27820</v>
      </c>
      <c r="B57" s="58">
        <f>VLOOKUP(Table13[[#This Row],[Date]],database!A:F,6,)</f>
        <v>39.201799999999999</v>
      </c>
      <c r="C57" s="66">
        <f t="shared" si="0"/>
        <v>3.0165873927627818E-3</v>
      </c>
      <c r="D57" s="66">
        <f>(Table13[[#This Row],[Index]]-B45)/B45</f>
        <v>0.10664208829582109</v>
      </c>
    </row>
    <row r="58" spans="1:4" x14ac:dyDescent="0.35">
      <c r="A58" s="17">
        <v>27851</v>
      </c>
      <c r="B58" s="58">
        <f>VLOOKUP(Table13[[#This Row],[Date]],database!A:F,6,)</f>
        <v>39.415300000000002</v>
      </c>
      <c r="C58" s="66">
        <f t="shared" si="0"/>
        <v>5.4461784918040657E-3</v>
      </c>
      <c r="D58" s="66">
        <f>(Table13[[#This Row],[Index]]-B46)/B46</f>
        <v>0.1127821459324404</v>
      </c>
    </row>
    <row r="59" spans="1:4" x14ac:dyDescent="0.35">
      <c r="A59" s="17">
        <v>27881</v>
      </c>
      <c r="B59" s="58">
        <f>VLOOKUP(Table13[[#This Row],[Date]],database!A:F,6,)</f>
        <v>39.605200000000004</v>
      </c>
      <c r="C59" s="66">
        <f t="shared" si="0"/>
        <v>4.817926033799047E-3</v>
      </c>
      <c r="D59" s="66">
        <f>(Table13[[#This Row],[Index]]-B47)/B47</f>
        <v>0.12018961528235823</v>
      </c>
    </row>
    <row r="60" spans="1:4" x14ac:dyDescent="0.35">
      <c r="A60" s="17">
        <v>27912</v>
      </c>
      <c r="B60" s="58">
        <f>VLOOKUP(Table13[[#This Row],[Date]],database!A:F,6,)</f>
        <v>39.658200000000001</v>
      </c>
      <c r="C60" s="66">
        <f t="shared" si="0"/>
        <v>1.3382081140860258E-3</v>
      </c>
      <c r="D60" s="66">
        <f>(Table13[[#This Row],[Index]]-B48)/B48</f>
        <v>0.11207012584965344</v>
      </c>
    </row>
    <row r="61" spans="1:4" x14ac:dyDescent="0.35">
      <c r="A61" s="17">
        <v>27942</v>
      </c>
      <c r="B61" s="58">
        <f>VLOOKUP(Table13[[#This Row],[Date]],database!A:F,6,)</f>
        <v>39.924900000000001</v>
      </c>
      <c r="C61" s="66">
        <f t="shared" si="0"/>
        <v>6.7249648244247506E-3</v>
      </c>
      <c r="D61" s="66">
        <f>(Table13[[#This Row],[Index]]-B49)/B49</f>
        <v>0.10364473193183235</v>
      </c>
    </row>
    <row r="62" spans="1:4" x14ac:dyDescent="0.35">
      <c r="A62" s="17">
        <v>27973</v>
      </c>
      <c r="B62" s="58">
        <f>VLOOKUP(Table13[[#This Row],[Date]],database!A:F,6,)</f>
        <v>40.181699999999999</v>
      </c>
      <c r="C62" s="66">
        <f t="shared" si="0"/>
        <v>6.432076223108929E-3</v>
      </c>
      <c r="D62" s="66">
        <f>(Table13[[#This Row],[Index]]-B50)/B50</f>
        <v>9.9287326448259272E-2</v>
      </c>
    </row>
    <row r="63" spans="1:4" x14ac:dyDescent="0.35">
      <c r="A63" s="17">
        <v>28004</v>
      </c>
      <c r="B63" s="58">
        <f>VLOOKUP(Table13[[#This Row],[Date]],database!A:F,6,)</f>
        <v>40.281700000000001</v>
      </c>
      <c r="C63" s="66">
        <f t="shared" si="0"/>
        <v>2.4886951024969406E-3</v>
      </c>
      <c r="D63" s="66">
        <f>(Table13[[#This Row],[Index]]-B51)/B51</f>
        <v>8.3208290980278377E-2</v>
      </c>
    </row>
    <row r="64" spans="1:4" x14ac:dyDescent="0.35">
      <c r="A64" s="17">
        <v>28034</v>
      </c>
      <c r="B64" s="58">
        <f>VLOOKUP(Table13[[#This Row],[Date]],database!A:F,6,)</f>
        <v>40.221899999999998</v>
      </c>
      <c r="C64" s="66">
        <f t="shared" si="0"/>
        <v>-1.4845450911953328E-3</v>
      </c>
      <c r="D64" s="66">
        <f>(Table13[[#This Row],[Index]]-B52)/B52</f>
        <v>7.571648640842131E-2</v>
      </c>
    </row>
    <row r="65" spans="1:4" x14ac:dyDescent="0.35">
      <c r="A65" s="17">
        <v>28065</v>
      </c>
      <c r="B65" s="58">
        <f>VLOOKUP(Table13[[#This Row],[Date]],database!A:F,6,)</f>
        <v>40.765999999999998</v>
      </c>
      <c r="C65" s="66">
        <f t="shared" si="0"/>
        <v>1.3527456435424412E-2</v>
      </c>
      <c r="D65" s="66">
        <f>(Table13[[#This Row],[Index]]-B53)/B53</f>
        <v>8.7864992234491679E-2</v>
      </c>
    </row>
    <row r="66" spans="1:4" x14ac:dyDescent="0.35">
      <c r="A66" s="17">
        <v>28095</v>
      </c>
      <c r="B66" s="58">
        <f>VLOOKUP(Table13[[#This Row],[Date]],database!A:F,6,)</f>
        <v>41.208300000000001</v>
      </c>
      <c r="C66" s="66">
        <f t="shared" si="0"/>
        <v>1.084972771427184E-2</v>
      </c>
      <c r="D66" s="66">
        <f>(Table13[[#This Row],[Index]]-B54)/B54</f>
        <v>8.4377582114531363E-2</v>
      </c>
    </row>
    <row r="67" spans="1:4" x14ac:dyDescent="0.35">
      <c r="A67" s="17">
        <v>28126</v>
      </c>
      <c r="B67" s="58">
        <f>VLOOKUP(Table13[[#This Row],[Date]],database!A:F,6,)</f>
        <v>41.065899999999999</v>
      </c>
      <c r="C67" s="66">
        <f t="shared" si="0"/>
        <v>-3.4556145242584657E-3</v>
      </c>
      <c r="D67" s="66">
        <f>(Table13[[#This Row],[Index]]-B55)/B55</f>
        <v>6.738976742251751E-2</v>
      </c>
    </row>
    <row r="68" spans="1:4" x14ac:dyDescent="0.35">
      <c r="A68" s="17">
        <v>28157</v>
      </c>
      <c r="B68" s="58">
        <f>VLOOKUP(Table13[[#This Row],[Date]],database!A:F,6,)</f>
        <v>41.833500000000001</v>
      </c>
      <c r="C68" s="66">
        <f t="shared" si="0"/>
        <v>1.8691907397621943E-2</v>
      </c>
      <c r="D68" s="66">
        <f>(Table13[[#This Row],[Index]]-B56)/B56</f>
        <v>7.0351218788299044E-2</v>
      </c>
    </row>
    <row r="69" spans="1:4" x14ac:dyDescent="0.35">
      <c r="A69" s="17">
        <v>28185</v>
      </c>
      <c r="B69" s="58">
        <f>VLOOKUP(Table13[[#This Row],[Date]],database!A:F,6,)</f>
        <v>42.444000000000003</v>
      </c>
      <c r="C69" s="66">
        <f t="shared" si="0"/>
        <v>1.4593567356305348E-2</v>
      </c>
      <c r="D69" s="66">
        <f>(Table13[[#This Row],[Index]]-B57)/B57</f>
        <v>8.2705385977174625E-2</v>
      </c>
    </row>
    <row r="70" spans="1:4" x14ac:dyDescent="0.35">
      <c r="A70" s="17">
        <v>28216</v>
      </c>
      <c r="B70" s="58">
        <f>VLOOKUP(Table13[[#This Row],[Date]],database!A:F,6,)</f>
        <v>42.876100000000001</v>
      </c>
      <c r="C70" s="66">
        <f t="shared" si="0"/>
        <v>1.0180473093958975E-2</v>
      </c>
      <c r="D70" s="66">
        <f>(Table13[[#This Row],[Index]]-B58)/B58</f>
        <v>8.7803467181525929E-2</v>
      </c>
    </row>
    <row r="71" spans="1:4" x14ac:dyDescent="0.35">
      <c r="A71" s="17">
        <v>28246</v>
      </c>
      <c r="B71" s="58">
        <f>VLOOKUP(Table13[[#This Row],[Date]],database!A:F,6,)</f>
        <v>43.229199999999999</v>
      </c>
      <c r="C71" s="66">
        <f t="shared" si="0"/>
        <v>8.2353572269866504E-3</v>
      </c>
      <c r="D71" s="66">
        <f>(Table13[[#This Row],[Index]]-B59)/B59</f>
        <v>9.1503135951844575E-2</v>
      </c>
    </row>
    <row r="72" spans="1:4" x14ac:dyDescent="0.35">
      <c r="A72" s="17">
        <v>28277</v>
      </c>
      <c r="B72" s="58">
        <f>VLOOKUP(Table13[[#This Row],[Date]],database!A:F,6,)</f>
        <v>43.611800000000002</v>
      </c>
      <c r="C72" s="66">
        <f t="shared" ref="C72:C135" si="1">B72/B71-1</f>
        <v>8.8504991996152249E-3</v>
      </c>
      <c r="D72" s="66">
        <f>(Table13[[#This Row],[Index]]-B60)/B60</f>
        <v>9.9691867003545334E-2</v>
      </c>
    </row>
    <row r="73" spans="1:4" x14ac:dyDescent="0.35">
      <c r="A73" s="17">
        <v>28307</v>
      </c>
      <c r="B73" s="58">
        <f>VLOOKUP(Table13[[#This Row],[Date]],database!A:F,6,)</f>
        <v>43.613199999999999</v>
      </c>
      <c r="C73" s="66">
        <f t="shared" si="1"/>
        <v>3.2101403748541202E-5</v>
      </c>
      <c r="D73" s="66">
        <f>(Table13[[#This Row],[Index]]-B61)/B61</f>
        <v>9.2380945224659256E-2</v>
      </c>
    </row>
    <row r="74" spans="1:4" x14ac:dyDescent="0.35">
      <c r="A74" s="17">
        <v>28338</v>
      </c>
      <c r="B74" s="58">
        <f>VLOOKUP(Table13[[#This Row],[Date]],database!A:F,6,)</f>
        <v>43.851900000000001</v>
      </c>
      <c r="C74" s="66">
        <f t="shared" si="1"/>
        <v>5.4731136444929884E-3</v>
      </c>
      <c r="D74" s="66">
        <f>(Table13[[#This Row],[Index]]-B62)/B62</f>
        <v>9.1340087651841539E-2</v>
      </c>
    </row>
    <row r="75" spans="1:4" x14ac:dyDescent="0.35">
      <c r="A75" s="17">
        <v>28369</v>
      </c>
      <c r="B75" s="58">
        <f>VLOOKUP(Table13[[#This Row],[Date]],database!A:F,6,)</f>
        <v>43.856000000000002</v>
      </c>
      <c r="C75" s="66">
        <f t="shared" si="1"/>
        <v>9.3496518964952813E-5</v>
      </c>
      <c r="D75" s="66">
        <f>(Table13[[#This Row],[Index]]-B63)/B63</f>
        <v>8.8732600659853E-2</v>
      </c>
    </row>
    <row r="76" spans="1:4" x14ac:dyDescent="0.35">
      <c r="A76" s="17">
        <v>28399</v>
      </c>
      <c r="B76" s="58">
        <f>VLOOKUP(Table13[[#This Row],[Date]],database!A:F,6,)</f>
        <v>43.949599999999997</v>
      </c>
      <c r="C76" s="66">
        <f t="shared" si="1"/>
        <v>2.1342575702296696E-3</v>
      </c>
      <c r="D76" s="66">
        <f>(Table13[[#This Row],[Index]]-B64)/B64</f>
        <v>9.2678366760396674E-2</v>
      </c>
    </row>
    <row r="77" spans="1:4" x14ac:dyDescent="0.35">
      <c r="A77" s="17">
        <v>28430</v>
      </c>
      <c r="B77" s="58">
        <f>VLOOKUP(Table13[[#This Row],[Date]],database!A:F,6,)</f>
        <v>44.072200000000002</v>
      </c>
      <c r="C77" s="66">
        <f t="shared" si="1"/>
        <v>2.7895589493420747E-3</v>
      </c>
      <c r="D77" s="66">
        <f>(Table13[[#This Row],[Index]]-B65)/B65</f>
        <v>8.1101898641024489E-2</v>
      </c>
    </row>
    <row r="78" spans="1:4" x14ac:dyDescent="0.35">
      <c r="A78" s="17">
        <v>28460</v>
      </c>
      <c r="B78" s="58">
        <f>VLOOKUP(Table13[[#This Row],[Date]],database!A:F,6,)</f>
        <v>44.551900000000003</v>
      </c>
      <c r="C78" s="66">
        <f t="shared" si="1"/>
        <v>1.0884412396023002E-2</v>
      </c>
      <c r="D78" s="66">
        <f>(Table13[[#This Row],[Index]]-B66)/B66</f>
        <v>8.1138993843473325E-2</v>
      </c>
    </row>
    <row r="79" spans="1:4" x14ac:dyDescent="0.35">
      <c r="A79" s="17">
        <v>28491</v>
      </c>
      <c r="B79" s="58">
        <f>VLOOKUP(Table13[[#This Row],[Date]],database!A:F,6,)</f>
        <v>43.876800000000003</v>
      </c>
      <c r="C79" s="66">
        <f t="shared" si="1"/>
        <v>-1.5153113559691067E-2</v>
      </c>
      <c r="D79" s="66">
        <f>(Table13[[#This Row],[Index]]-B67)/B67</f>
        <v>6.8448518113568765E-2</v>
      </c>
    </row>
    <row r="80" spans="1:4" x14ac:dyDescent="0.35">
      <c r="A80" s="17">
        <v>28522</v>
      </c>
      <c r="B80" s="58">
        <f>VLOOKUP(Table13[[#This Row],[Date]],database!A:F,6,)</f>
        <v>44.034999999999997</v>
      </c>
      <c r="C80" s="66">
        <f t="shared" si="1"/>
        <v>3.6055500856944089E-3</v>
      </c>
      <c r="D80" s="66">
        <f>(Table13[[#This Row],[Index]]-B68)/B68</f>
        <v>5.2625288345464656E-2</v>
      </c>
    </row>
    <row r="81" spans="1:4" x14ac:dyDescent="0.35">
      <c r="A81" s="17">
        <v>28550</v>
      </c>
      <c r="B81" s="58">
        <f>VLOOKUP(Table13[[#This Row],[Date]],database!A:F,6,)</f>
        <v>44.822099999999999</v>
      </c>
      <c r="C81" s="66">
        <f t="shared" si="1"/>
        <v>1.7874418076530008E-2</v>
      </c>
      <c r="D81" s="66">
        <f>(Table13[[#This Row],[Index]]-B69)/B69</f>
        <v>5.6029120723777123E-2</v>
      </c>
    </row>
    <row r="82" spans="1:4" x14ac:dyDescent="0.35">
      <c r="A82" s="17">
        <v>28581</v>
      </c>
      <c r="B82" s="58">
        <f>VLOOKUP(Table13[[#This Row],[Date]],database!A:F,6,)</f>
        <v>45.5167</v>
      </c>
      <c r="C82" s="66">
        <f t="shared" si="1"/>
        <v>1.5496819649235549E-2</v>
      </c>
      <c r="D82" s="66">
        <f>(Table13[[#This Row],[Index]]-B70)/B70</f>
        <v>6.1586758123989803E-2</v>
      </c>
    </row>
    <row r="83" spans="1:4" x14ac:dyDescent="0.35">
      <c r="A83" s="17">
        <v>28611</v>
      </c>
      <c r="B83" s="58">
        <f>VLOOKUP(Table13[[#This Row],[Date]],database!A:F,6,)</f>
        <v>45.757399999999997</v>
      </c>
      <c r="C83" s="66">
        <f t="shared" si="1"/>
        <v>5.2881689577670699E-3</v>
      </c>
      <c r="D83" s="66">
        <f>(Table13[[#This Row],[Index]]-B71)/B71</f>
        <v>5.848361755480088E-2</v>
      </c>
    </row>
    <row r="84" spans="1:4" x14ac:dyDescent="0.35">
      <c r="A84" s="17">
        <v>28642</v>
      </c>
      <c r="B84" s="58">
        <f>VLOOKUP(Table13[[#This Row],[Date]],database!A:F,6,)</f>
        <v>46.097099999999998</v>
      </c>
      <c r="C84" s="66">
        <f t="shared" si="1"/>
        <v>7.4239358005481204E-3</v>
      </c>
      <c r="D84" s="66">
        <f>(Table13[[#This Row],[Index]]-B72)/B72</f>
        <v>5.6986870525866741E-2</v>
      </c>
    </row>
    <row r="85" spans="1:4" x14ac:dyDescent="0.35">
      <c r="A85" s="17">
        <v>28672</v>
      </c>
      <c r="B85" s="58">
        <f>VLOOKUP(Table13[[#This Row],[Date]],database!A:F,6,)</f>
        <v>46.0535</v>
      </c>
      <c r="C85" s="66">
        <f t="shared" si="1"/>
        <v>-9.4582956411570773E-4</v>
      </c>
      <c r="D85" s="66">
        <f>(Table13[[#This Row],[Index]]-B73)/B73</f>
        <v>5.5953243513431727E-2</v>
      </c>
    </row>
    <row r="86" spans="1:4" x14ac:dyDescent="0.35">
      <c r="A86" s="17">
        <v>28703</v>
      </c>
      <c r="B86" s="58">
        <f>VLOOKUP(Table13[[#This Row],[Date]],database!A:F,6,)</f>
        <v>46.319499999999998</v>
      </c>
      <c r="C86" s="66">
        <f t="shared" si="1"/>
        <v>5.7758910831966492E-3</v>
      </c>
      <c r="D86" s="66">
        <f>(Table13[[#This Row],[Index]]-B74)/B74</f>
        <v>5.627122199950281E-2</v>
      </c>
    </row>
    <row r="87" spans="1:4" x14ac:dyDescent="0.35">
      <c r="A87" s="17">
        <v>28734</v>
      </c>
      <c r="B87" s="58">
        <f>VLOOKUP(Table13[[#This Row],[Date]],database!A:F,6,)</f>
        <v>46.561399999999999</v>
      </c>
      <c r="C87" s="66">
        <f t="shared" si="1"/>
        <v>5.2224225218320264E-3</v>
      </c>
      <c r="D87" s="66">
        <f>(Table13[[#This Row],[Index]]-B75)/B75</f>
        <v>6.1688252462604828E-2</v>
      </c>
    </row>
    <row r="88" spans="1:4" x14ac:dyDescent="0.35">
      <c r="A88" s="17">
        <v>28764</v>
      </c>
      <c r="B88" s="58">
        <f>VLOOKUP(Table13[[#This Row],[Date]],database!A:F,6,)</f>
        <v>46.891500000000001</v>
      </c>
      <c r="C88" s="66">
        <f t="shared" si="1"/>
        <v>7.0895634581433775E-3</v>
      </c>
      <c r="D88" s="66">
        <f>(Table13[[#This Row],[Index]]-B76)/B76</f>
        <v>6.693803811638796E-2</v>
      </c>
    </row>
    <row r="89" spans="1:4" x14ac:dyDescent="0.35">
      <c r="A89" s="17">
        <v>28795</v>
      </c>
      <c r="B89" s="58">
        <f>VLOOKUP(Table13[[#This Row],[Date]],database!A:F,6,)</f>
        <v>47.333399999999997</v>
      </c>
      <c r="C89" s="66">
        <f t="shared" si="1"/>
        <v>9.4238827932566771E-3</v>
      </c>
      <c r="D89" s="66">
        <f>(Table13[[#This Row],[Index]]-B77)/B77</f>
        <v>7.3996759862225966E-2</v>
      </c>
    </row>
    <row r="90" spans="1:4" x14ac:dyDescent="0.35">
      <c r="A90" s="17">
        <v>28825</v>
      </c>
      <c r="B90" s="58">
        <f>VLOOKUP(Table13[[#This Row],[Date]],database!A:F,6,)</f>
        <v>47.671399999999998</v>
      </c>
      <c r="C90" s="66">
        <f t="shared" si="1"/>
        <v>7.1408350129085196E-3</v>
      </c>
      <c r="D90" s="66">
        <f>(Table13[[#This Row],[Index]]-B78)/B78</f>
        <v>7.0019460449498111E-2</v>
      </c>
    </row>
    <row r="91" spans="1:4" x14ac:dyDescent="0.35">
      <c r="A91" s="17">
        <v>28856</v>
      </c>
      <c r="B91" s="58">
        <f>VLOOKUP(Table13[[#This Row],[Date]],database!A:F,6,)</f>
        <v>47.324800000000003</v>
      </c>
      <c r="C91" s="66">
        <f t="shared" si="1"/>
        <v>-7.2706066949994597E-3</v>
      </c>
      <c r="D91" s="66">
        <f>(Table13[[#This Row],[Index]]-B79)/B79</f>
        <v>7.8583670641432374E-2</v>
      </c>
    </row>
    <row r="92" spans="1:4" x14ac:dyDescent="0.35">
      <c r="A92" s="17">
        <v>28887</v>
      </c>
      <c r="B92" s="58">
        <f>VLOOKUP(Table13[[#This Row],[Date]],database!A:F,6,)</f>
        <v>47.465400000000002</v>
      </c>
      <c r="C92" s="66">
        <f t="shared" si="1"/>
        <v>2.9709581445669375E-3</v>
      </c>
      <c r="D92" s="66">
        <f>(Table13[[#This Row],[Index]]-B80)/B80</f>
        <v>7.7901669126831066E-2</v>
      </c>
    </row>
    <row r="93" spans="1:4" x14ac:dyDescent="0.35">
      <c r="A93" s="17">
        <v>28915</v>
      </c>
      <c r="B93" s="58">
        <f>VLOOKUP(Table13[[#This Row],[Date]],database!A:F,6,)</f>
        <v>47.694299999999998</v>
      </c>
      <c r="C93" s="66">
        <f t="shared" si="1"/>
        <v>4.8224601499196051E-3</v>
      </c>
      <c r="D93" s="66">
        <f>(Table13[[#This Row],[Index]]-B81)/B81</f>
        <v>6.4079996251848959E-2</v>
      </c>
    </row>
    <row r="94" spans="1:4" x14ac:dyDescent="0.35">
      <c r="A94" s="17">
        <v>28946</v>
      </c>
      <c r="B94" s="58">
        <f>VLOOKUP(Table13[[#This Row],[Date]],database!A:F,6,)</f>
        <v>46.894399999999997</v>
      </c>
      <c r="C94" s="66">
        <f t="shared" si="1"/>
        <v>-1.6771396162644225E-2</v>
      </c>
      <c r="D94" s="66">
        <f>(Table13[[#This Row],[Index]]-B82)/B82</f>
        <v>3.0268011521046061E-2</v>
      </c>
    </row>
    <row r="95" spans="1:4" x14ac:dyDescent="0.35">
      <c r="A95" s="17">
        <v>28976</v>
      </c>
      <c r="B95" s="58">
        <f>VLOOKUP(Table13[[#This Row],[Date]],database!A:F,6,)</f>
        <v>47.548900000000003</v>
      </c>
      <c r="C95" s="66">
        <f t="shared" si="1"/>
        <v>1.3956890374970277E-2</v>
      </c>
      <c r="D95" s="66">
        <f>(Table13[[#This Row],[Index]]-B83)/B83</f>
        <v>3.9152137140659356E-2</v>
      </c>
    </row>
    <row r="96" spans="1:4" x14ac:dyDescent="0.35">
      <c r="A96" s="17">
        <v>29007</v>
      </c>
      <c r="B96" s="58">
        <f>VLOOKUP(Table13[[#This Row],[Date]],database!A:F,6,)</f>
        <v>47.599899999999998</v>
      </c>
      <c r="C96" s="66">
        <f t="shared" si="1"/>
        <v>1.072580017623892E-3</v>
      </c>
      <c r="D96" s="66">
        <f>(Table13[[#This Row],[Index]]-B84)/B84</f>
        <v>3.2600749287916175E-2</v>
      </c>
    </row>
    <row r="97" spans="1:4" x14ac:dyDescent="0.35">
      <c r="A97" s="17">
        <v>29037</v>
      </c>
      <c r="B97" s="58">
        <f>VLOOKUP(Table13[[#This Row],[Date]],database!A:F,6,)</f>
        <v>47.630299999999998</v>
      </c>
      <c r="C97" s="66">
        <f t="shared" si="1"/>
        <v>6.3865680390096102E-4</v>
      </c>
      <c r="D97" s="66">
        <f>(Table13[[#This Row],[Index]]-B85)/B85</f>
        <v>3.4238440075129981E-2</v>
      </c>
    </row>
    <row r="98" spans="1:4" x14ac:dyDescent="0.35">
      <c r="A98" s="17">
        <v>29068</v>
      </c>
      <c r="B98" s="58">
        <f>VLOOKUP(Table13[[#This Row],[Date]],database!A:F,6,)</f>
        <v>47.007599999999996</v>
      </c>
      <c r="C98" s="66">
        <f t="shared" si="1"/>
        <v>-1.3073610705790273E-2</v>
      </c>
      <c r="D98" s="66">
        <f>(Table13[[#This Row],[Index]]-B86)/B86</f>
        <v>1.4855514416174585E-2</v>
      </c>
    </row>
    <row r="99" spans="1:4" x14ac:dyDescent="0.35">
      <c r="A99" s="17">
        <v>29099</v>
      </c>
      <c r="B99" s="58">
        <f>VLOOKUP(Table13[[#This Row],[Date]],database!A:F,6,)</f>
        <v>47.064</v>
      </c>
      <c r="C99" s="66">
        <f t="shared" si="1"/>
        <v>1.1998059888189694E-3</v>
      </c>
      <c r="D99" s="66">
        <f>(Table13[[#This Row],[Index]]-B87)/B87</f>
        <v>1.0794348967170254E-2</v>
      </c>
    </row>
    <row r="100" spans="1:4" x14ac:dyDescent="0.35">
      <c r="A100" s="17">
        <v>29129</v>
      </c>
      <c r="B100" s="58">
        <f>VLOOKUP(Table13[[#This Row],[Date]],database!A:F,6,)</f>
        <v>47.314900000000002</v>
      </c>
      <c r="C100" s="66">
        <f t="shared" si="1"/>
        <v>5.3310385857556764E-3</v>
      </c>
      <c r="D100" s="66">
        <f>(Table13[[#This Row],[Index]]-B88)/B88</f>
        <v>9.0293550003732216E-3</v>
      </c>
    </row>
    <row r="101" spans="1:4" x14ac:dyDescent="0.35">
      <c r="A101" s="17">
        <v>29160</v>
      </c>
      <c r="B101" s="58">
        <f>VLOOKUP(Table13[[#This Row],[Date]],database!A:F,6,)</f>
        <v>47.136400000000002</v>
      </c>
      <c r="C101" s="66">
        <f t="shared" si="1"/>
        <v>-3.772595947576729E-3</v>
      </c>
      <c r="D101" s="66">
        <f>(Table13[[#This Row],[Index]]-B89)/B89</f>
        <v>-4.1619659690619228E-3</v>
      </c>
    </row>
    <row r="102" spans="1:4" x14ac:dyDescent="0.35">
      <c r="A102" s="17">
        <v>29190</v>
      </c>
      <c r="B102" s="58">
        <f>VLOOKUP(Table13[[#This Row],[Date]],database!A:F,6,)</f>
        <v>47.286999999999999</v>
      </c>
      <c r="C102" s="66">
        <f t="shared" si="1"/>
        <v>3.1949830704083304E-3</v>
      </c>
      <c r="D102" s="66">
        <f>(Table13[[#This Row],[Index]]-B90)/B90</f>
        <v>-8.063534949676314E-3</v>
      </c>
    </row>
    <row r="103" spans="1:4" x14ac:dyDescent="0.35">
      <c r="A103" s="17">
        <v>29221</v>
      </c>
      <c r="B103" s="58">
        <f>VLOOKUP(Table13[[#This Row],[Date]],database!A:F,6,)</f>
        <v>47.524999999999999</v>
      </c>
      <c r="C103" s="66">
        <f t="shared" si="1"/>
        <v>5.0330957768520701E-3</v>
      </c>
      <c r="D103" s="66">
        <f>(Table13[[#This Row],[Index]]-B91)/B91</f>
        <v>4.2303401176549136E-3</v>
      </c>
    </row>
    <row r="104" spans="1:4" x14ac:dyDescent="0.35">
      <c r="A104" s="17">
        <v>29252</v>
      </c>
      <c r="B104" s="58">
        <f>VLOOKUP(Table13[[#This Row],[Date]],database!A:F,6,)</f>
        <v>47.456200000000003</v>
      </c>
      <c r="C104" s="66">
        <f t="shared" si="1"/>
        <v>-1.447659126775247E-3</v>
      </c>
      <c r="D104" s="66">
        <f>(Table13[[#This Row],[Index]]-B92)/B92</f>
        <v>-1.9382539702604158E-4</v>
      </c>
    </row>
    <row r="105" spans="1:4" x14ac:dyDescent="0.35">
      <c r="A105" s="17">
        <v>29281</v>
      </c>
      <c r="B105" s="58">
        <f>VLOOKUP(Table13[[#This Row],[Date]],database!A:F,6,)</f>
        <v>47.063600000000001</v>
      </c>
      <c r="C105" s="66">
        <f t="shared" si="1"/>
        <v>-8.2728916348128179E-3</v>
      </c>
      <c r="D105" s="66">
        <f>(Table13[[#This Row],[Index]]-B93)/B93</f>
        <v>-1.3223802425027674E-2</v>
      </c>
    </row>
    <row r="106" spans="1:4" x14ac:dyDescent="0.35">
      <c r="A106" s="17">
        <v>29312</v>
      </c>
      <c r="B106" s="58">
        <f>VLOOKUP(Table13[[#This Row],[Date]],database!A:F,6,)</f>
        <v>46.084099999999999</v>
      </c>
      <c r="C106" s="66">
        <f t="shared" si="1"/>
        <v>-2.0812262555350625E-2</v>
      </c>
      <c r="D106" s="66">
        <f>(Table13[[#This Row],[Index]]-B94)/B94</f>
        <v>-1.7279248694940078E-2</v>
      </c>
    </row>
    <row r="107" spans="1:4" x14ac:dyDescent="0.35">
      <c r="A107" s="17">
        <v>29342</v>
      </c>
      <c r="B107" s="58">
        <f>VLOOKUP(Table13[[#This Row],[Date]],database!A:F,6,)</f>
        <v>44.647599999999997</v>
      </c>
      <c r="C107" s="66">
        <f t="shared" si="1"/>
        <v>-3.1171271653346877E-2</v>
      </c>
      <c r="D107" s="66">
        <f>(Table13[[#This Row],[Index]]-B95)/B95</f>
        <v>-6.1017184414360923E-2</v>
      </c>
    </row>
    <row r="108" spans="1:4" x14ac:dyDescent="0.35">
      <c r="A108" s="17">
        <v>29373</v>
      </c>
      <c r="B108" s="58">
        <f>VLOOKUP(Table13[[#This Row],[Date]],database!A:F,6,)</f>
        <v>43.926099999999998</v>
      </c>
      <c r="C108" s="66">
        <f t="shared" si="1"/>
        <v>-1.6159883174011624E-2</v>
      </c>
      <c r="D108" s="66">
        <f>(Table13[[#This Row],[Index]]-B96)/B96</f>
        <v>-7.7180834413517682E-2</v>
      </c>
    </row>
    <row r="109" spans="1:4" x14ac:dyDescent="0.35">
      <c r="A109" s="17">
        <v>29403</v>
      </c>
      <c r="B109" s="58">
        <f>VLOOKUP(Table13[[#This Row],[Date]],database!A:F,6,)</f>
        <v>43.427500000000002</v>
      </c>
      <c r="C109" s="66">
        <f t="shared" si="1"/>
        <v>-1.1350882504934323E-2</v>
      </c>
      <c r="D109" s="66">
        <f>(Table13[[#This Row],[Index]]-B97)/B97</f>
        <v>-8.8237949372563185E-2</v>
      </c>
    </row>
    <row r="110" spans="1:4" x14ac:dyDescent="0.35">
      <c r="A110" s="17">
        <v>29434</v>
      </c>
      <c r="B110" s="58">
        <f>VLOOKUP(Table13[[#This Row],[Date]],database!A:F,6,)</f>
        <v>43.744199999999999</v>
      </c>
      <c r="C110" s="66">
        <f t="shared" si="1"/>
        <v>7.2926141269931133E-3</v>
      </c>
      <c r="D110" s="66">
        <f>(Table13[[#This Row],[Index]]-B98)/B98</f>
        <v>-6.9422816736017107E-2</v>
      </c>
    </row>
    <row r="111" spans="1:4" x14ac:dyDescent="0.35">
      <c r="A111" s="17">
        <v>29465</v>
      </c>
      <c r="B111" s="58">
        <f>VLOOKUP(Table13[[#This Row],[Date]],database!A:F,6,)</f>
        <v>44.510199999999998</v>
      </c>
      <c r="C111" s="66">
        <f t="shared" si="1"/>
        <v>1.7510892872655059E-2</v>
      </c>
      <c r="D111" s="66">
        <f>(Table13[[#This Row],[Index]]-B99)/B99</f>
        <v>-5.4262281149073659E-2</v>
      </c>
    </row>
    <row r="112" spans="1:4" x14ac:dyDescent="0.35">
      <c r="A112" s="17">
        <v>29495</v>
      </c>
      <c r="B112" s="58">
        <f>VLOOKUP(Table13[[#This Row],[Date]],database!A:F,6,)</f>
        <v>45.3538</v>
      </c>
      <c r="C112" s="66">
        <f t="shared" si="1"/>
        <v>1.8952959097016109E-2</v>
      </c>
      <c r="D112" s="66">
        <f>(Table13[[#This Row],[Index]]-B100)/B100</f>
        <v>-4.1447831444217396E-2</v>
      </c>
    </row>
    <row r="113" spans="1:4" x14ac:dyDescent="0.35">
      <c r="A113" s="17">
        <v>29526</v>
      </c>
      <c r="B113" s="58">
        <f>VLOOKUP(Table13[[#This Row],[Date]],database!A:F,6,)</f>
        <v>46.168999999999997</v>
      </c>
      <c r="C113" s="66">
        <f t="shared" si="1"/>
        <v>1.79742381013277E-2</v>
      </c>
      <c r="D113" s="66">
        <f>(Table13[[#This Row],[Index]]-B101)/B101</f>
        <v>-2.0523417146833547E-2</v>
      </c>
    </row>
    <row r="114" spans="1:4" x14ac:dyDescent="0.35">
      <c r="A114" s="17">
        <v>29556</v>
      </c>
      <c r="B114" s="58">
        <f>VLOOKUP(Table13[[#This Row],[Date]],database!A:F,6,)</f>
        <v>46.354199999999999</v>
      </c>
      <c r="C114" s="66">
        <f t="shared" si="1"/>
        <v>4.0113496068792109E-3</v>
      </c>
      <c r="D114" s="66">
        <f>(Table13[[#This Row],[Index]]-B102)/B102</f>
        <v>-1.9726351851460239E-2</v>
      </c>
    </row>
    <row r="115" spans="1:4" x14ac:dyDescent="0.35">
      <c r="A115" s="17">
        <v>29587</v>
      </c>
      <c r="B115" s="58">
        <f>VLOOKUP(Table13[[#This Row],[Date]],database!A:F,6,)</f>
        <v>46.167700000000004</v>
      </c>
      <c r="C115" s="66">
        <f t="shared" si="1"/>
        <v>-4.0233678933083716E-3</v>
      </c>
      <c r="D115" s="66">
        <f>(Table13[[#This Row],[Index]]-B103)/B103</f>
        <v>-2.8559705418200843E-2</v>
      </c>
    </row>
    <row r="116" spans="1:4" x14ac:dyDescent="0.35">
      <c r="A116" s="17">
        <v>29618</v>
      </c>
      <c r="B116" s="58">
        <f>VLOOKUP(Table13[[#This Row],[Date]],database!A:F,6,)</f>
        <v>45.938800000000001</v>
      </c>
      <c r="C116" s="66">
        <f t="shared" si="1"/>
        <v>-4.9580117701337745E-3</v>
      </c>
      <c r="D116" s="66">
        <f>(Table13[[#This Row],[Index]]-B104)/B104</f>
        <v>-3.1974747240613492E-2</v>
      </c>
    </row>
    <row r="117" spans="1:4" x14ac:dyDescent="0.35">
      <c r="A117" s="17">
        <v>29646</v>
      </c>
      <c r="B117" s="58">
        <f>VLOOKUP(Table13[[#This Row],[Date]],database!A:F,6,)</f>
        <v>46.084499999999998</v>
      </c>
      <c r="C117" s="66">
        <f t="shared" si="1"/>
        <v>3.1716109258403957E-3</v>
      </c>
      <c r="D117" s="66">
        <f>(Table13[[#This Row],[Index]]-B105)/B105</f>
        <v>-2.0803763418013124E-2</v>
      </c>
    </row>
    <row r="118" spans="1:4" x14ac:dyDescent="0.35">
      <c r="A118" s="17">
        <v>29677</v>
      </c>
      <c r="B118" s="58">
        <f>VLOOKUP(Table13[[#This Row],[Date]],database!A:F,6,)</f>
        <v>46.328699999999998</v>
      </c>
      <c r="C118" s="66">
        <f t="shared" si="1"/>
        <v>5.2989616899390413E-3</v>
      </c>
      <c r="D118" s="66">
        <f>(Table13[[#This Row],[Index]]-B106)/B106</f>
        <v>5.3076874670439124E-3</v>
      </c>
    </row>
    <row r="119" spans="1:4" x14ac:dyDescent="0.35">
      <c r="A119" s="17">
        <v>29707</v>
      </c>
      <c r="B119" s="58">
        <f>VLOOKUP(Table13[[#This Row],[Date]],database!A:F,6,)</f>
        <v>46.537700000000001</v>
      </c>
      <c r="C119" s="66">
        <f t="shared" si="1"/>
        <v>4.5112424911557536E-3</v>
      </c>
      <c r="D119" s="66">
        <f>(Table13[[#This Row],[Index]]-B107)/B107</f>
        <v>4.2333742463200798E-2</v>
      </c>
    </row>
    <row r="120" spans="1:4" x14ac:dyDescent="0.35">
      <c r="A120" s="17">
        <v>29738</v>
      </c>
      <c r="B120" s="58">
        <f>VLOOKUP(Table13[[#This Row],[Date]],database!A:F,6,)</f>
        <v>46.319400000000002</v>
      </c>
      <c r="C120" s="66">
        <f t="shared" si="1"/>
        <v>-4.6908205605348252E-3</v>
      </c>
      <c r="D120" s="66">
        <f>(Table13[[#This Row],[Index]]-B108)/B108</f>
        <v>5.4484691333853988E-2</v>
      </c>
    </row>
    <row r="121" spans="1:4" x14ac:dyDescent="0.35">
      <c r="A121" s="17">
        <v>29768</v>
      </c>
      <c r="B121" s="58">
        <f>VLOOKUP(Table13[[#This Row],[Date]],database!A:F,6,)</f>
        <v>46.4129</v>
      </c>
      <c r="C121" s="66">
        <f t="shared" si="1"/>
        <v>2.0185926415281497E-3</v>
      </c>
      <c r="D121" s="66">
        <f>(Table13[[#This Row],[Index]]-B109)/B109</f>
        <v>6.8744459156064669E-2</v>
      </c>
    </row>
    <row r="122" spans="1:4" x14ac:dyDescent="0.35">
      <c r="A122" s="17">
        <v>29799</v>
      </c>
      <c r="B122" s="58">
        <f>VLOOKUP(Table13[[#This Row],[Date]],database!A:F,6,)</f>
        <v>46.393300000000004</v>
      </c>
      <c r="C122" s="66">
        <f t="shared" si="1"/>
        <v>-4.2229638742674602E-4</v>
      </c>
      <c r="D122" s="66">
        <f>(Table13[[#This Row],[Index]]-B110)/B110</f>
        <v>6.0558885520823433E-2</v>
      </c>
    </row>
    <row r="123" spans="1:4" x14ac:dyDescent="0.35">
      <c r="A123" s="17">
        <v>29830</v>
      </c>
      <c r="B123" s="58">
        <f>VLOOKUP(Table13[[#This Row],[Date]],database!A:F,6,)</f>
        <v>46.205100000000002</v>
      </c>
      <c r="C123" s="66">
        <f t="shared" si="1"/>
        <v>-4.056620244733633E-3</v>
      </c>
      <c r="D123" s="66">
        <f>(Table13[[#This Row],[Index]]-B111)/B111</f>
        <v>3.8078912249327211E-2</v>
      </c>
    </row>
    <row r="124" spans="1:4" x14ac:dyDescent="0.35">
      <c r="A124" s="17">
        <v>29860</v>
      </c>
      <c r="B124" s="58">
        <f>VLOOKUP(Table13[[#This Row],[Date]],database!A:F,6,)</f>
        <v>45.726700000000001</v>
      </c>
      <c r="C124" s="66">
        <f t="shared" si="1"/>
        <v>-1.0353835399122602E-2</v>
      </c>
      <c r="D124" s="66">
        <f>(Table13[[#This Row],[Index]]-B112)/B112</f>
        <v>8.2220232924253619E-3</v>
      </c>
    </row>
    <row r="125" spans="1:4" x14ac:dyDescent="0.35">
      <c r="A125" s="17">
        <v>29891</v>
      </c>
      <c r="B125" s="58">
        <f>VLOOKUP(Table13[[#This Row],[Date]],database!A:F,6,)</f>
        <v>45.124000000000002</v>
      </c>
      <c r="C125" s="66">
        <f t="shared" si="1"/>
        <v>-1.3180483175037727E-2</v>
      </c>
      <c r="D125" s="66">
        <f>(Table13[[#This Row],[Index]]-B113)/B113</f>
        <v>-2.2634235092811077E-2</v>
      </c>
    </row>
    <row r="126" spans="1:4" x14ac:dyDescent="0.35">
      <c r="A126" s="17">
        <v>29921</v>
      </c>
      <c r="B126" s="58">
        <f>VLOOKUP(Table13[[#This Row],[Date]],database!A:F,6,)</f>
        <v>44.339100000000002</v>
      </c>
      <c r="C126" s="66">
        <f t="shared" si="1"/>
        <v>-1.7394291286233488E-2</v>
      </c>
      <c r="D126" s="66">
        <f>(Table13[[#This Row],[Index]]-B114)/B114</f>
        <v>-4.3471788964106743E-2</v>
      </c>
    </row>
    <row r="127" spans="1:4" x14ac:dyDescent="0.35">
      <c r="A127" s="17">
        <v>29952</v>
      </c>
      <c r="B127" s="58">
        <f>VLOOKUP(Table13[[#This Row],[Date]],database!A:F,6,)</f>
        <v>43.240099999999998</v>
      </c>
      <c r="C127" s="66">
        <f t="shared" si="1"/>
        <v>-2.4786249608133804E-2</v>
      </c>
      <c r="D127" s="66">
        <f>(Table13[[#This Row],[Index]]-B115)/B115</f>
        <v>-6.3412299074894457E-2</v>
      </c>
    </row>
    <row r="128" spans="1:4" x14ac:dyDescent="0.35">
      <c r="A128" s="17">
        <v>29983</v>
      </c>
      <c r="B128" s="58">
        <f>VLOOKUP(Table13[[#This Row],[Date]],database!A:F,6,)</f>
        <v>44.481299999999997</v>
      </c>
      <c r="C128" s="66">
        <f t="shared" si="1"/>
        <v>2.8704836482801754E-2</v>
      </c>
      <c r="D128" s="66">
        <f>(Table13[[#This Row],[Index]]-B116)/B116</f>
        <v>-3.1726993304135136E-2</v>
      </c>
    </row>
    <row r="129" spans="1:4" x14ac:dyDescent="0.35">
      <c r="A129" s="17">
        <v>30011</v>
      </c>
      <c r="B129" s="58">
        <f>VLOOKUP(Table13[[#This Row],[Date]],database!A:F,6,)</f>
        <v>44.141599999999997</v>
      </c>
      <c r="C129" s="66">
        <f t="shared" si="1"/>
        <v>-7.6369170865060454E-3</v>
      </c>
      <c r="D129" s="66">
        <f>(Table13[[#This Row],[Index]]-B117)/B117</f>
        <v>-4.2159511332443701E-2</v>
      </c>
    </row>
    <row r="130" spans="1:4" x14ac:dyDescent="0.35">
      <c r="A130" s="17">
        <v>30042</v>
      </c>
      <c r="B130" s="58">
        <f>VLOOKUP(Table13[[#This Row],[Date]],database!A:F,6,)</f>
        <v>43.820399999999999</v>
      </c>
      <c r="C130" s="66">
        <f t="shared" si="1"/>
        <v>-7.2765826340684958E-3</v>
      </c>
      <c r="D130" s="66">
        <f>(Table13[[#This Row],[Index]]-B118)/B118</f>
        <v>-5.4141385361557708E-2</v>
      </c>
    </row>
    <row r="131" spans="1:4" x14ac:dyDescent="0.35">
      <c r="A131" s="17">
        <v>30072</v>
      </c>
      <c r="B131" s="58">
        <f>VLOOKUP(Table13[[#This Row],[Date]],database!A:F,6,)</f>
        <v>43.719299999999997</v>
      </c>
      <c r="C131" s="66">
        <f t="shared" si="1"/>
        <v>-2.3071446175754184E-3</v>
      </c>
      <c r="D131" s="66">
        <f>(Table13[[#This Row],[Index]]-B119)/B119</f>
        <v>-6.0561652165878499E-2</v>
      </c>
    </row>
    <row r="132" spans="1:4" x14ac:dyDescent="0.35">
      <c r="A132" s="17">
        <v>30103</v>
      </c>
      <c r="B132" s="58">
        <f>VLOOKUP(Table13[[#This Row],[Date]],database!A:F,6,)</f>
        <v>43.690899999999999</v>
      </c>
      <c r="C132" s="66">
        <f t="shared" si="1"/>
        <v>-6.4959868982339408E-4</v>
      </c>
      <c r="D132" s="66">
        <f>(Table13[[#This Row],[Index]]-B120)/B120</f>
        <v>-5.674728083697117E-2</v>
      </c>
    </row>
    <row r="133" spans="1:4" x14ac:dyDescent="0.35">
      <c r="A133" s="17">
        <v>30133</v>
      </c>
      <c r="B133" s="58">
        <f>VLOOKUP(Table13[[#This Row],[Date]],database!A:F,6,)</f>
        <v>43.624899999999997</v>
      </c>
      <c r="C133" s="66">
        <f t="shared" si="1"/>
        <v>-1.5106120496488629E-3</v>
      </c>
      <c r="D133" s="66">
        <f>(Table13[[#This Row],[Index]]-B121)/B121</f>
        <v>-6.0069506538053083E-2</v>
      </c>
    </row>
    <row r="134" spans="1:4" x14ac:dyDescent="0.35">
      <c r="A134" s="17">
        <v>30164</v>
      </c>
      <c r="B134" s="58">
        <f>VLOOKUP(Table13[[#This Row],[Date]],database!A:F,6,)</f>
        <v>43.2104</v>
      </c>
      <c r="C134" s="66">
        <f t="shared" si="1"/>
        <v>-9.5014544445946036E-3</v>
      </c>
      <c r="D134" s="66">
        <f>(Table13[[#This Row],[Index]]-B122)/B122</f>
        <v>-6.8606889356868414E-2</v>
      </c>
    </row>
    <row r="135" spans="1:4" x14ac:dyDescent="0.35">
      <c r="A135" s="17">
        <v>30195</v>
      </c>
      <c r="B135" s="58">
        <f>VLOOKUP(Table13[[#This Row],[Date]],database!A:F,6,)</f>
        <v>43.128500000000003</v>
      </c>
      <c r="C135" s="66">
        <f t="shared" si="1"/>
        <v>-1.8953770388610014E-3</v>
      </c>
      <c r="D135" s="66">
        <f>(Table13[[#This Row],[Index]]-B123)/B123</f>
        <v>-6.6585723221029694E-2</v>
      </c>
    </row>
    <row r="136" spans="1:4" x14ac:dyDescent="0.35">
      <c r="A136" s="17">
        <v>30225</v>
      </c>
      <c r="B136" s="58">
        <f>VLOOKUP(Table13[[#This Row],[Date]],database!A:F,6,)</f>
        <v>42.570399999999999</v>
      </c>
      <c r="C136" s="66">
        <f t="shared" ref="C136:C199" si="2">B136/B135-1</f>
        <v>-1.2940399040077932E-2</v>
      </c>
      <c r="D136" s="66">
        <f>(Table13[[#This Row],[Index]]-B124)/B124</f>
        <v>-6.9025317812131684E-2</v>
      </c>
    </row>
    <row r="137" spans="1:4" x14ac:dyDescent="0.35">
      <c r="A137" s="17">
        <v>30256</v>
      </c>
      <c r="B137" s="58">
        <f>VLOOKUP(Table13[[#This Row],[Date]],database!A:F,6,)</f>
        <v>42.309699999999999</v>
      </c>
      <c r="C137" s="66">
        <f t="shared" si="2"/>
        <v>-6.1239734651307165E-3</v>
      </c>
      <c r="D137" s="66">
        <f>(Table13[[#This Row],[Index]]-B125)/B125</f>
        <v>-6.2368141122240997E-2</v>
      </c>
    </row>
    <row r="138" spans="1:4" x14ac:dyDescent="0.35">
      <c r="A138" s="17">
        <v>30286</v>
      </c>
      <c r="B138" s="58">
        <f>VLOOKUP(Table13[[#This Row],[Date]],database!A:F,6,)</f>
        <v>42.1691</v>
      </c>
      <c r="C138" s="66">
        <f t="shared" si="2"/>
        <v>-3.3231150303594248E-3</v>
      </c>
      <c r="D138" s="66">
        <f>(Table13[[#This Row],[Index]]-B126)/B126</f>
        <v>-4.8941002410964628E-2</v>
      </c>
    </row>
    <row r="139" spans="1:4" x14ac:dyDescent="0.35">
      <c r="A139" s="17">
        <v>30317</v>
      </c>
      <c r="B139" s="58">
        <f>VLOOKUP(Table13[[#This Row],[Date]],database!A:F,6,)</f>
        <v>43.165799999999997</v>
      </c>
      <c r="C139" s="66">
        <f t="shared" si="2"/>
        <v>2.3635790187601646E-2</v>
      </c>
      <c r="D139" s="66">
        <f>(Table13[[#This Row],[Index]]-B127)/B127</f>
        <v>-1.7183123998325842E-3</v>
      </c>
    </row>
    <row r="140" spans="1:4" x14ac:dyDescent="0.35">
      <c r="A140" s="17">
        <v>30348</v>
      </c>
      <c r="B140" s="58">
        <f>VLOOKUP(Table13[[#This Row],[Date]],database!A:F,6,)</f>
        <v>43.157400000000003</v>
      </c>
      <c r="C140" s="66">
        <f t="shared" si="2"/>
        <v>-1.9459850159142533E-4</v>
      </c>
      <c r="D140" s="66">
        <f>(Table13[[#This Row],[Index]]-B128)/B128</f>
        <v>-2.976306897505232E-2</v>
      </c>
    </row>
    <row r="141" spans="1:4" x14ac:dyDescent="0.35">
      <c r="A141" s="17">
        <v>30376</v>
      </c>
      <c r="B141" s="58">
        <f>VLOOKUP(Table13[[#This Row],[Date]],database!A:F,6,)</f>
        <v>43.574399999999997</v>
      </c>
      <c r="C141" s="66">
        <f t="shared" si="2"/>
        <v>9.6623058849698573E-3</v>
      </c>
      <c r="D141" s="66">
        <f>(Table13[[#This Row],[Index]]-B129)/B129</f>
        <v>-1.2849556880584296E-2</v>
      </c>
    </row>
    <row r="142" spans="1:4" x14ac:dyDescent="0.35">
      <c r="A142" s="17">
        <v>30407</v>
      </c>
      <c r="B142" s="58">
        <f>VLOOKUP(Table13[[#This Row],[Date]],database!A:F,6,)</f>
        <v>44.1008</v>
      </c>
      <c r="C142" s="66">
        <f t="shared" si="2"/>
        <v>1.2080487625762082E-2</v>
      </c>
      <c r="D142" s="66">
        <f>(Table13[[#This Row],[Index]]-B130)/B130</f>
        <v>6.3988461994870013E-3</v>
      </c>
    </row>
    <row r="143" spans="1:4" x14ac:dyDescent="0.35">
      <c r="A143" s="17">
        <v>30437</v>
      </c>
      <c r="B143" s="58">
        <f>VLOOKUP(Table13[[#This Row],[Date]],database!A:F,6,)</f>
        <v>44.650399999999998</v>
      </c>
      <c r="C143" s="66">
        <f t="shared" si="2"/>
        <v>1.2462358959474562E-2</v>
      </c>
      <c r="D143" s="66">
        <f>(Table13[[#This Row],[Index]]-B131)/B131</f>
        <v>2.1297230285022881E-2</v>
      </c>
    </row>
    <row r="144" spans="1:4" x14ac:dyDescent="0.35">
      <c r="A144" s="17">
        <v>30468</v>
      </c>
      <c r="B144" s="58">
        <f>VLOOKUP(Table13[[#This Row],[Date]],database!A:F,6,)</f>
        <v>45.018700000000003</v>
      </c>
      <c r="C144" s="66">
        <f t="shared" si="2"/>
        <v>8.2485263289915345E-3</v>
      </c>
      <c r="D144" s="66">
        <f>(Table13[[#This Row],[Index]]-B132)/B132</f>
        <v>3.0390767871570589E-2</v>
      </c>
    </row>
    <row r="145" spans="1:4" x14ac:dyDescent="0.35">
      <c r="A145" s="17">
        <v>30498</v>
      </c>
      <c r="B145" s="58">
        <f>VLOOKUP(Table13[[#This Row],[Date]],database!A:F,6,)</f>
        <v>45.693199999999997</v>
      </c>
      <c r="C145" s="66">
        <f t="shared" si="2"/>
        <v>1.4982662760141707E-2</v>
      </c>
      <c r="D145" s="66">
        <f>(Table13[[#This Row],[Index]]-B133)/B133</f>
        <v>4.7410996930652011E-2</v>
      </c>
    </row>
    <row r="146" spans="1:4" x14ac:dyDescent="0.35">
      <c r="A146" s="17">
        <v>30529</v>
      </c>
      <c r="B146" s="58">
        <f>VLOOKUP(Table13[[#This Row],[Date]],database!A:F,6,)</f>
        <v>46.087499999999999</v>
      </c>
      <c r="C146" s="66">
        <f t="shared" si="2"/>
        <v>8.6292927612861003E-3</v>
      </c>
      <c r="D146" s="66">
        <f>(Table13[[#This Row],[Index]]-B134)/B134</f>
        <v>6.6583507674078432E-2</v>
      </c>
    </row>
    <row r="147" spans="1:4" x14ac:dyDescent="0.35">
      <c r="A147" s="17">
        <v>30560</v>
      </c>
      <c r="B147" s="58">
        <f>VLOOKUP(Table13[[#This Row],[Date]],database!A:F,6,)</f>
        <v>46.968400000000003</v>
      </c>
      <c r="C147" s="66">
        <f t="shared" si="2"/>
        <v>1.9113642527800456E-2</v>
      </c>
      <c r="D147" s="66">
        <f>(Table13[[#This Row],[Index]]-B135)/B135</f>
        <v>8.9033933477862662E-2</v>
      </c>
    </row>
    <row r="148" spans="1:4" x14ac:dyDescent="0.35">
      <c r="A148" s="17">
        <v>30590</v>
      </c>
      <c r="B148" s="58">
        <f>VLOOKUP(Table13[[#This Row],[Date]],database!A:F,6,)</f>
        <v>47.458300000000001</v>
      </c>
      <c r="C148" s="66">
        <f t="shared" si="2"/>
        <v>1.0430417046354501E-2</v>
      </c>
      <c r="D148" s="66">
        <f>(Table13[[#This Row],[Index]]-B136)/B136</f>
        <v>0.11481921710860132</v>
      </c>
    </row>
    <row r="149" spans="1:4" x14ac:dyDescent="0.35">
      <c r="A149" s="17">
        <v>30621</v>
      </c>
      <c r="B149" s="58">
        <f>VLOOKUP(Table13[[#This Row],[Date]],database!A:F,6,)</f>
        <v>47.700499999999998</v>
      </c>
      <c r="C149" s="66">
        <f t="shared" si="2"/>
        <v>5.1034276406864976E-3</v>
      </c>
      <c r="D149" s="66">
        <f>(Table13[[#This Row],[Index]]-B137)/B137</f>
        <v>0.12741286277142119</v>
      </c>
    </row>
    <row r="150" spans="1:4" x14ac:dyDescent="0.35">
      <c r="A150" s="17">
        <v>30651</v>
      </c>
      <c r="B150" s="58">
        <f>VLOOKUP(Table13[[#This Row],[Date]],database!A:F,6,)</f>
        <v>47.849400000000003</v>
      </c>
      <c r="C150" s="66">
        <f t="shared" si="2"/>
        <v>3.1215605706440552E-3</v>
      </c>
      <c r="D150" s="66">
        <f>(Table13[[#This Row],[Index]]-B138)/B138</f>
        <v>0.13470289856790879</v>
      </c>
    </row>
    <row r="151" spans="1:4" x14ac:dyDescent="0.35">
      <c r="A151" s="17">
        <v>30682</v>
      </c>
      <c r="B151" s="58">
        <f>VLOOKUP(Table13[[#This Row],[Date]],database!A:F,6,)</f>
        <v>48.732599999999998</v>
      </c>
      <c r="C151" s="66">
        <f t="shared" si="2"/>
        <v>1.845791169795219E-2</v>
      </c>
      <c r="D151" s="66">
        <f>(Table13[[#This Row],[Index]]-B139)/B139</f>
        <v>0.12896320698330624</v>
      </c>
    </row>
    <row r="152" spans="1:4" x14ac:dyDescent="0.35">
      <c r="A152" s="17">
        <v>30713</v>
      </c>
      <c r="B152" s="58">
        <f>VLOOKUP(Table13[[#This Row],[Date]],database!A:F,6,)</f>
        <v>49.265900000000002</v>
      </c>
      <c r="C152" s="66">
        <f t="shared" si="2"/>
        <v>1.0943393129034806E-2</v>
      </c>
      <c r="D152" s="66">
        <f>(Table13[[#This Row],[Index]]-B140)/B140</f>
        <v>0.14154003716627969</v>
      </c>
    </row>
    <row r="153" spans="1:4" x14ac:dyDescent="0.35">
      <c r="A153" s="17">
        <v>30742</v>
      </c>
      <c r="B153" s="58">
        <f>VLOOKUP(Table13[[#This Row],[Date]],database!A:F,6,)</f>
        <v>49.481400000000001</v>
      </c>
      <c r="C153" s="66">
        <f t="shared" si="2"/>
        <v>4.3742223322824625E-3</v>
      </c>
      <c r="D153" s="66">
        <f>(Table13[[#This Row],[Index]]-B141)/B141</f>
        <v>0.13556124697069849</v>
      </c>
    </row>
    <row r="154" spans="1:4" x14ac:dyDescent="0.35">
      <c r="A154" s="17">
        <v>30773</v>
      </c>
      <c r="B154" s="58">
        <f>VLOOKUP(Table13[[#This Row],[Date]],database!A:F,6,)</f>
        <v>49.728000000000002</v>
      </c>
      <c r="C154" s="66">
        <f t="shared" si="2"/>
        <v>4.9836908414071512E-3</v>
      </c>
      <c r="D154" s="66">
        <f>(Table13[[#This Row],[Index]]-B142)/B142</f>
        <v>0.12759859231578571</v>
      </c>
    </row>
    <row r="155" spans="1:4" x14ac:dyDescent="0.35">
      <c r="A155" s="17">
        <v>30803</v>
      </c>
      <c r="B155" s="58">
        <f>VLOOKUP(Table13[[#This Row],[Date]],database!A:F,6,)</f>
        <v>49.881100000000004</v>
      </c>
      <c r="C155" s="66">
        <f t="shared" si="2"/>
        <v>3.0787483912484426E-3</v>
      </c>
      <c r="D155" s="66">
        <f>(Table13[[#This Row],[Index]]-B143)/B143</f>
        <v>0.11714788669306447</v>
      </c>
    </row>
    <row r="156" spans="1:4" x14ac:dyDescent="0.35">
      <c r="A156" s="17">
        <v>30834</v>
      </c>
      <c r="B156" s="58">
        <f>VLOOKUP(Table13[[#This Row],[Date]],database!A:F,6,)</f>
        <v>50.1051</v>
      </c>
      <c r="C156" s="66">
        <f t="shared" si="2"/>
        <v>4.4906788342677917E-3</v>
      </c>
      <c r="D156" s="66">
        <f>(Table13[[#This Row],[Index]]-B144)/B144</f>
        <v>0.11298415991576828</v>
      </c>
    </row>
    <row r="157" spans="1:4" x14ac:dyDescent="0.35">
      <c r="A157" s="17">
        <v>30864</v>
      </c>
      <c r="B157" s="58">
        <f>VLOOKUP(Table13[[#This Row],[Date]],database!A:F,6,)</f>
        <v>50.3185</v>
      </c>
      <c r="C157" s="66">
        <f t="shared" si="2"/>
        <v>4.2590474821924129E-3</v>
      </c>
      <c r="D157" s="66">
        <f>(Table13[[#This Row],[Index]]-B145)/B145</f>
        <v>0.10122512759010101</v>
      </c>
    </row>
    <row r="158" spans="1:4" x14ac:dyDescent="0.35">
      <c r="A158" s="17">
        <v>30895</v>
      </c>
      <c r="B158" s="58">
        <f>VLOOKUP(Table13[[#This Row],[Date]],database!A:F,6,)</f>
        <v>50.411000000000001</v>
      </c>
      <c r="C158" s="66">
        <f t="shared" si="2"/>
        <v>1.8382900921132261E-3</v>
      </c>
      <c r="D158" s="66">
        <f>(Table13[[#This Row],[Index]]-B146)/B146</f>
        <v>9.3810686194738327E-2</v>
      </c>
    </row>
    <row r="159" spans="1:4" x14ac:dyDescent="0.35">
      <c r="A159" s="17">
        <v>30926</v>
      </c>
      <c r="B159" s="58">
        <f>VLOOKUP(Table13[[#This Row],[Date]],database!A:F,6,)</f>
        <v>50.218899999999998</v>
      </c>
      <c r="C159" s="66">
        <f t="shared" si="2"/>
        <v>-3.8106762412966066E-3</v>
      </c>
      <c r="D159" s="66">
        <f>(Table13[[#This Row],[Index]]-B147)/B147</f>
        <v>6.9206104529854012E-2</v>
      </c>
    </row>
    <row r="160" spans="1:4" x14ac:dyDescent="0.35">
      <c r="A160" s="17">
        <v>30956</v>
      </c>
      <c r="B160" s="58">
        <f>VLOOKUP(Table13[[#This Row],[Date]],database!A:F,6,)</f>
        <v>50.487900000000003</v>
      </c>
      <c r="C160" s="66">
        <f t="shared" si="2"/>
        <v>5.3565490283540296E-3</v>
      </c>
      <c r="D160" s="66">
        <f>(Table13[[#This Row],[Index]]-B148)/B148</f>
        <v>6.3837094881190479E-2</v>
      </c>
    </row>
    <row r="161" spans="1:4" x14ac:dyDescent="0.35">
      <c r="A161" s="17">
        <v>30987</v>
      </c>
      <c r="B161" s="58">
        <f>VLOOKUP(Table13[[#This Row],[Date]],database!A:F,6,)</f>
        <v>50.623800000000003</v>
      </c>
      <c r="C161" s="66">
        <f t="shared" si="2"/>
        <v>2.6917340590517647E-3</v>
      </c>
      <c r="D161" s="66">
        <f>(Table13[[#This Row],[Index]]-B149)/B149</f>
        <v>6.1284472909089102E-2</v>
      </c>
    </row>
    <row r="162" spans="1:4" x14ac:dyDescent="0.35">
      <c r="A162" s="17">
        <v>31017</v>
      </c>
      <c r="B162" s="58">
        <f>VLOOKUP(Table13[[#This Row],[Date]],database!A:F,6,)</f>
        <v>50.765599999999999</v>
      </c>
      <c r="C162" s="66">
        <f t="shared" si="2"/>
        <v>2.8010540496761216E-3</v>
      </c>
      <c r="D162" s="66">
        <f>(Table13[[#This Row],[Index]]-B150)/B150</f>
        <v>6.0945382805217961E-2</v>
      </c>
    </row>
    <row r="163" spans="1:4" x14ac:dyDescent="0.35">
      <c r="A163" s="17">
        <v>31048</v>
      </c>
      <c r="B163" s="58">
        <f>VLOOKUP(Table13[[#This Row],[Date]],database!A:F,6,)</f>
        <v>50.628</v>
      </c>
      <c r="C163" s="66">
        <f t="shared" si="2"/>
        <v>-2.7104968718975053E-3</v>
      </c>
      <c r="D163" s="66">
        <f>(Table13[[#This Row],[Index]]-B151)/B151</f>
        <v>3.8893882124081257E-2</v>
      </c>
    </row>
    <row r="164" spans="1:4" x14ac:dyDescent="0.35">
      <c r="A164" s="17">
        <v>31079</v>
      </c>
      <c r="B164" s="58">
        <f>VLOOKUP(Table13[[#This Row],[Date]],database!A:F,6,)</f>
        <v>50.4069</v>
      </c>
      <c r="C164" s="66">
        <f t="shared" si="2"/>
        <v>-4.3671486134154724E-3</v>
      </c>
      <c r="D164" s="66">
        <f>(Table13[[#This Row],[Index]]-B152)/B152</f>
        <v>2.3160035643315115E-2</v>
      </c>
    </row>
    <row r="165" spans="1:4" x14ac:dyDescent="0.35">
      <c r="A165" s="17">
        <v>31107</v>
      </c>
      <c r="B165" s="58">
        <f>VLOOKUP(Table13[[#This Row],[Date]],database!A:F,6,)</f>
        <v>50.79</v>
      </c>
      <c r="C165" s="66">
        <f t="shared" si="2"/>
        <v>7.600149979467119E-3</v>
      </c>
      <c r="D165" s="66">
        <f>(Table13[[#This Row],[Index]]-B153)/B153</f>
        <v>2.6446301034328018E-2</v>
      </c>
    </row>
    <row r="166" spans="1:4" x14ac:dyDescent="0.35">
      <c r="A166" s="17">
        <v>31138</v>
      </c>
      <c r="B166" s="58">
        <f>VLOOKUP(Table13[[#This Row],[Date]],database!A:F,6,)</f>
        <v>50.609699999999997</v>
      </c>
      <c r="C166" s="66">
        <f t="shared" si="2"/>
        <v>-3.5499113998819221E-3</v>
      </c>
      <c r="D166" s="66">
        <f>(Table13[[#This Row],[Index]]-B154)/B154</f>
        <v>1.7730453667953568E-2</v>
      </c>
    </row>
    <row r="167" spans="1:4" x14ac:dyDescent="0.35">
      <c r="A167" s="17">
        <v>31168</v>
      </c>
      <c r="B167" s="58">
        <f>VLOOKUP(Table13[[#This Row],[Date]],database!A:F,6,)</f>
        <v>50.724499999999999</v>
      </c>
      <c r="C167" s="66">
        <f t="shared" si="2"/>
        <v>2.2683398637020069E-3</v>
      </c>
      <c r="D167" s="66">
        <f>(Table13[[#This Row],[Index]]-B155)/B155</f>
        <v>1.6908207717953202E-2</v>
      </c>
    </row>
    <row r="168" spans="1:4" x14ac:dyDescent="0.35">
      <c r="A168" s="17">
        <v>31199</v>
      </c>
      <c r="B168" s="58">
        <f>VLOOKUP(Table13[[#This Row],[Date]],database!A:F,6,)</f>
        <v>50.737200000000001</v>
      </c>
      <c r="C168" s="66">
        <f t="shared" si="2"/>
        <v>2.5037210815281874E-4</v>
      </c>
      <c r="D168" s="66">
        <f>(Table13[[#This Row],[Index]]-B156)/B156</f>
        <v>1.2615482256297288E-2</v>
      </c>
    </row>
    <row r="169" spans="1:4" x14ac:dyDescent="0.35">
      <c r="A169" s="17">
        <v>31229</v>
      </c>
      <c r="B169" s="58">
        <f>VLOOKUP(Table13[[#This Row],[Date]],database!A:F,6,)</f>
        <v>50.5184</v>
      </c>
      <c r="C169" s="66">
        <f t="shared" si="2"/>
        <v>-4.3124177132360941E-3</v>
      </c>
      <c r="D169" s="66">
        <f>(Table13[[#This Row],[Index]]-B157)/B157</f>
        <v>3.9726939396047085E-3</v>
      </c>
    </row>
    <row r="170" spans="1:4" x14ac:dyDescent="0.35">
      <c r="A170" s="17">
        <v>31260</v>
      </c>
      <c r="B170" s="58">
        <f>VLOOKUP(Table13[[#This Row],[Date]],database!A:F,6,)</f>
        <v>50.775199999999998</v>
      </c>
      <c r="C170" s="66">
        <f t="shared" si="2"/>
        <v>5.0832963831000111E-3</v>
      </c>
      <c r="D170" s="66">
        <f>(Table13[[#This Row],[Index]]-B158)/B158</f>
        <v>7.2246136755866131E-3</v>
      </c>
    </row>
    <row r="171" spans="1:4" x14ac:dyDescent="0.35">
      <c r="A171" s="17">
        <v>31291</v>
      </c>
      <c r="B171" s="58">
        <f>VLOOKUP(Table13[[#This Row],[Date]],database!A:F,6,)</f>
        <v>50.8264</v>
      </c>
      <c r="C171" s="66">
        <f t="shared" si="2"/>
        <v>1.0083662890545408E-3</v>
      </c>
      <c r="D171" s="66">
        <f>(Table13[[#This Row],[Index]]-B159)/B159</f>
        <v>1.2097039162546407E-2</v>
      </c>
    </row>
    <row r="172" spans="1:4" x14ac:dyDescent="0.35">
      <c r="A172" s="17">
        <v>31321</v>
      </c>
      <c r="B172" s="58">
        <f>VLOOKUP(Table13[[#This Row],[Date]],database!A:F,6,)</f>
        <v>50.734400000000001</v>
      </c>
      <c r="C172" s="66">
        <f t="shared" si="2"/>
        <v>-1.8100829490186321E-3</v>
      </c>
      <c r="D172" s="66">
        <f>(Table13[[#This Row],[Index]]-B160)/B160</f>
        <v>4.8823579511129891E-3</v>
      </c>
    </row>
    <row r="173" spans="1:4" x14ac:dyDescent="0.35">
      <c r="A173" s="17">
        <v>31352</v>
      </c>
      <c r="B173" s="58">
        <f>VLOOKUP(Table13[[#This Row],[Date]],database!A:F,6,)</f>
        <v>51.0852</v>
      </c>
      <c r="C173" s="66">
        <f t="shared" si="2"/>
        <v>6.9144406950707449E-3</v>
      </c>
      <c r="D173" s="66">
        <f>(Table13[[#This Row],[Index]]-B161)/B161</f>
        <v>9.1142901165064179E-3</v>
      </c>
    </row>
    <row r="174" spans="1:4" x14ac:dyDescent="0.35">
      <c r="A174" s="17">
        <v>31382</v>
      </c>
      <c r="B174" s="58">
        <f>VLOOKUP(Table13[[#This Row],[Date]],database!A:F,6,)</f>
        <v>51.2667</v>
      </c>
      <c r="C174" s="66">
        <f t="shared" si="2"/>
        <v>3.5528881163233716E-3</v>
      </c>
      <c r="D174" s="66">
        <f>(Table13[[#This Row],[Index]]-B162)/B162</f>
        <v>9.8708574310162975E-3</v>
      </c>
    </row>
    <row r="175" spans="1:4" x14ac:dyDescent="0.35">
      <c r="A175" s="17">
        <v>31413</v>
      </c>
      <c r="B175" s="58">
        <f>VLOOKUP(Table13[[#This Row],[Date]],database!A:F,6,)</f>
        <v>51.882899999999999</v>
      </c>
      <c r="C175" s="66">
        <f t="shared" si="2"/>
        <v>1.2019498036737186E-2</v>
      </c>
      <c r="D175" s="66">
        <f>(Table13[[#This Row],[Index]]-B163)/B163</f>
        <v>2.4786679307892849E-2</v>
      </c>
    </row>
    <row r="176" spans="1:4" x14ac:dyDescent="0.35">
      <c r="A176" s="17">
        <v>31444</v>
      </c>
      <c r="B176" s="58">
        <f>VLOOKUP(Table13[[#This Row],[Date]],database!A:F,6,)</f>
        <v>51.613900000000001</v>
      </c>
      <c r="C176" s="66">
        <f t="shared" si="2"/>
        <v>-5.1847525870758471E-3</v>
      </c>
      <c r="D176" s="66">
        <f>(Table13[[#This Row],[Index]]-B164)/B164</f>
        <v>2.3945134495475834E-2</v>
      </c>
    </row>
    <row r="177" spans="1:4" x14ac:dyDescent="0.35">
      <c r="A177" s="17">
        <v>31472</v>
      </c>
      <c r="B177" s="58">
        <f>VLOOKUP(Table13[[#This Row],[Date]],database!A:F,6,)</f>
        <v>51.425400000000003</v>
      </c>
      <c r="C177" s="66">
        <f t="shared" si="2"/>
        <v>-3.6521169684909927E-3</v>
      </c>
      <c r="D177" s="66">
        <f>(Table13[[#This Row],[Index]]-B165)/B165</f>
        <v>1.2510336680448989E-2</v>
      </c>
    </row>
    <row r="178" spans="1:4" x14ac:dyDescent="0.35">
      <c r="A178" s="17">
        <v>31503</v>
      </c>
      <c r="B178" s="58">
        <f>VLOOKUP(Table13[[#This Row],[Date]],database!A:F,6,)</f>
        <v>51.559199999999997</v>
      </c>
      <c r="C178" s="66">
        <f t="shared" si="2"/>
        <v>2.6018271126717618E-3</v>
      </c>
      <c r="D178" s="66">
        <f>(Table13[[#This Row],[Index]]-B166)/B166</f>
        <v>1.8761225614852498E-2</v>
      </c>
    </row>
    <row r="179" spans="1:4" x14ac:dyDescent="0.35">
      <c r="A179" s="17">
        <v>31533</v>
      </c>
      <c r="B179" s="58">
        <f>VLOOKUP(Table13[[#This Row],[Date]],database!A:F,6,)</f>
        <v>51.617899999999999</v>
      </c>
      <c r="C179" s="66">
        <f t="shared" si="2"/>
        <v>1.1384971062391447E-3</v>
      </c>
      <c r="D179" s="66">
        <f>(Table13[[#This Row],[Index]]-B167)/B167</f>
        <v>1.7612790663288937E-2</v>
      </c>
    </row>
    <row r="180" spans="1:4" x14ac:dyDescent="0.35">
      <c r="A180" s="17">
        <v>31564</v>
      </c>
      <c r="B180" s="58">
        <f>VLOOKUP(Table13[[#This Row],[Date]],database!A:F,6,)</f>
        <v>51.421399999999998</v>
      </c>
      <c r="C180" s="66">
        <f t="shared" si="2"/>
        <v>-3.8068189523401408E-3</v>
      </c>
      <c r="D180" s="66">
        <f>(Table13[[#This Row],[Index]]-B168)/B168</f>
        <v>1.3485174585905351E-2</v>
      </c>
    </row>
    <row r="181" spans="1:4" x14ac:dyDescent="0.35">
      <c r="A181" s="17">
        <v>31594</v>
      </c>
      <c r="B181" s="58">
        <f>VLOOKUP(Table13[[#This Row],[Date]],database!A:F,6,)</f>
        <v>51.7014</v>
      </c>
      <c r="C181" s="66">
        <f t="shared" si="2"/>
        <v>5.4452037478560644E-3</v>
      </c>
      <c r="D181" s="66">
        <f>(Table13[[#This Row],[Index]]-B169)/B169</f>
        <v>2.341721036295686E-2</v>
      </c>
    </row>
    <row r="182" spans="1:4" x14ac:dyDescent="0.35">
      <c r="A182" s="17">
        <v>31625</v>
      </c>
      <c r="B182" s="58">
        <f>VLOOKUP(Table13[[#This Row],[Date]],database!A:F,6,)</f>
        <v>51.846200000000003</v>
      </c>
      <c r="C182" s="66">
        <f t="shared" si="2"/>
        <v>2.8006978534431681E-3</v>
      </c>
      <c r="D182" s="66">
        <f>(Table13[[#This Row],[Index]]-B170)/B170</f>
        <v>2.1092974522995578E-2</v>
      </c>
    </row>
    <row r="183" spans="1:4" x14ac:dyDescent="0.35">
      <c r="A183" s="17">
        <v>31656</v>
      </c>
      <c r="B183" s="58">
        <f>VLOOKUP(Table13[[#This Row],[Date]],database!A:F,6,)</f>
        <v>51.988</v>
      </c>
      <c r="C183" s="66">
        <f t="shared" si="2"/>
        <v>2.7350124020659727E-3</v>
      </c>
      <c r="D183" s="66">
        <f>(Table13[[#This Row],[Index]]-B171)/B171</f>
        <v>2.2854264712826405E-2</v>
      </c>
    </row>
    <row r="184" spans="1:4" x14ac:dyDescent="0.35">
      <c r="A184" s="17">
        <v>31686</v>
      </c>
      <c r="B184" s="58">
        <f>VLOOKUP(Table13[[#This Row],[Date]],database!A:F,6,)</f>
        <v>52.187199999999997</v>
      </c>
      <c r="C184" s="66">
        <f t="shared" si="2"/>
        <v>3.8316534584903472E-3</v>
      </c>
      <c r="D184" s="66">
        <f>(Table13[[#This Row],[Index]]-B172)/B172</f>
        <v>2.8635403197830197E-2</v>
      </c>
    </row>
    <row r="185" spans="1:4" x14ac:dyDescent="0.35">
      <c r="A185" s="17">
        <v>31717</v>
      </c>
      <c r="B185" s="58">
        <f>VLOOKUP(Table13[[#This Row],[Date]],database!A:F,6,)</f>
        <v>52.374899999999997</v>
      </c>
      <c r="C185" s="66">
        <f t="shared" si="2"/>
        <v>3.5966673820400086E-3</v>
      </c>
      <c r="D185" s="66">
        <f>(Table13[[#This Row],[Index]]-B173)/B173</f>
        <v>2.5246059524089096E-2</v>
      </c>
    </row>
    <row r="186" spans="1:4" x14ac:dyDescent="0.35">
      <c r="A186" s="17">
        <v>31747</v>
      </c>
      <c r="B186" s="58">
        <f>VLOOKUP(Table13[[#This Row],[Date]],database!A:F,6,)</f>
        <v>52.903300000000002</v>
      </c>
      <c r="C186" s="66">
        <f t="shared" si="2"/>
        <v>1.0088802078858539E-2</v>
      </c>
      <c r="D186" s="66">
        <f>(Table13[[#This Row],[Index]]-B174)/B174</f>
        <v>3.1923256226751504E-2</v>
      </c>
    </row>
    <row r="187" spans="1:4" x14ac:dyDescent="0.35">
      <c r="A187" s="17">
        <v>31778</v>
      </c>
      <c r="B187" s="58">
        <f>VLOOKUP(Table13[[#This Row],[Date]],database!A:F,6,)</f>
        <v>52.707900000000002</v>
      </c>
      <c r="C187" s="66">
        <f t="shared" si="2"/>
        <v>-3.6935314054132862E-3</v>
      </c>
      <c r="D187" s="66">
        <f>(Table13[[#This Row],[Index]]-B175)/B175</f>
        <v>1.5901192878578545E-2</v>
      </c>
    </row>
    <row r="188" spans="1:4" x14ac:dyDescent="0.35">
      <c r="A188" s="17">
        <v>31809</v>
      </c>
      <c r="B188" s="58">
        <f>VLOOKUP(Table13[[#This Row],[Date]],database!A:F,6,)</f>
        <v>53.497999999999998</v>
      </c>
      <c r="C188" s="66">
        <f t="shared" si="2"/>
        <v>1.4990162764974446E-2</v>
      </c>
      <c r="D188" s="66">
        <f>(Table13[[#This Row],[Index]]-B176)/B176</f>
        <v>3.6503732521665611E-2</v>
      </c>
    </row>
    <row r="189" spans="1:4" x14ac:dyDescent="0.35">
      <c r="A189" s="17">
        <v>31837</v>
      </c>
      <c r="B189" s="58">
        <f>VLOOKUP(Table13[[#This Row],[Date]],database!A:F,6,)</f>
        <v>53.510399999999997</v>
      </c>
      <c r="C189" s="66">
        <f t="shared" si="2"/>
        <v>2.3178436577064865E-4</v>
      </c>
      <c r="D189" s="66">
        <f>(Table13[[#This Row],[Index]]-B177)/B177</f>
        <v>4.0544166890291444E-2</v>
      </c>
    </row>
    <row r="190" spans="1:4" x14ac:dyDescent="0.35">
      <c r="A190" s="17">
        <v>31868</v>
      </c>
      <c r="B190" s="58">
        <f>VLOOKUP(Table13[[#This Row],[Date]],database!A:F,6,)</f>
        <v>53.835000000000001</v>
      </c>
      <c r="C190" s="66">
        <f t="shared" si="2"/>
        <v>6.0661105130965787E-3</v>
      </c>
      <c r="D190" s="66">
        <f>(Table13[[#This Row],[Index]]-B178)/B178</f>
        <v>4.4139552204068407E-2</v>
      </c>
    </row>
    <row r="191" spans="1:4" x14ac:dyDescent="0.35">
      <c r="A191" s="17">
        <v>31898</v>
      </c>
      <c r="B191" s="58">
        <f>VLOOKUP(Table13[[#This Row],[Date]],database!A:F,6,)</f>
        <v>54.214300000000001</v>
      </c>
      <c r="C191" s="66">
        <f t="shared" si="2"/>
        <v>7.0456023033342863E-3</v>
      </c>
      <c r="D191" s="66">
        <f>(Table13[[#This Row],[Index]]-B179)/B179</f>
        <v>5.0300380294432796E-2</v>
      </c>
    </row>
    <row r="192" spans="1:4" x14ac:dyDescent="0.35">
      <c r="A192" s="17">
        <v>31929</v>
      </c>
      <c r="B192" s="58">
        <f>VLOOKUP(Table13[[#This Row],[Date]],database!A:F,6,)</f>
        <v>54.424999999999997</v>
      </c>
      <c r="C192" s="66">
        <f t="shared" si="2"/>
        <v>3.8864284884245759E-3</v>
      </c>
      <c r="D192" s="66">
        <f>(Table13[[#This Row],[Index]]-B180)/B180</f>
        <v>5.8411478489500457E-2</v>
      </c>
    </row>
    <row r="193" spans="1:4" x14ac:dyDescent="0.35">
      <c r="A193" s="17">
        <v>31959</v>
      </c>
      <c r="B193" s="58">
        <f>VLOOKUP(Table13[[#This Row],[Date]],database!A:F,6,)</f>
        <v>54.850099999999998</v>
      </c>
      <c r="C193" s="66">
        <f t="shared" si="2"/>
        <v>7.8107487367937711E-3</v>
      </c>
      <c r="D193" s="66">
        <f>(Table13[[#This Row],[Index]]-B181)/B181</f>
        <v>6.0901639027182979E-2</v>
      </c>
    </row>
    <row r="194" spans="1:4" x14ac:dyDescent="0.35">
      <c r="A194" s="17">
        <v>31990</v>
      </c>
      <c r="B194" s="58">
        <f>VLOOKUP(Table13[[#This Row],[Date]],database!A:F,6,)</f>
        <v>55.142200000000003</v>
      </c>
      <c r="C194" s="66">
        <f t="shared" si="2"/>
        <v>5.3254232900215026E-3</v>
      </c>
      <c r="D194" s="66">
        <f>(Table13[[#This Row],[Index]]-B182)/B182</f>
        <v>6.3572643703877996E-2</v>
      </c>
    </row>
    <row r="195" spans="1:4" x14ac:dyDescent="0.35">
      <c r="A195" s="17">
        <v>32021</v>
      </c>
      <c r="B195" s="58">
        <f>VLOOKUP(Table13[[#This Row],[Date]],database!A:F,6,)</f>
        <v>55.537300000000002</v>
      </c>
      <c r="C195" s="66">
        <f t="shared" si="2"/>
        <v>7.1651112940724904E-3</v>
      </c>
      <c r="D195" s="66">
        <f>(Table13[[#This Row],[Index]]-B183)/B183</f>
        <v>6.827152419789187E-2</v>
      </c>
    </row>
    <row r="196" spans="1:4" x14ac:dyDescent="0.35">
      <c r="A196" s="17">
        <v>32051</v>
      </c>
      <c r="B196" s="58">
        <f>VLOOKUP(Table13[[#This Row],[Date]],database!A:F,6,)</f>
        <v>56.402200000000001</v>
      </c>
      <c r="C196" s="66">
        <f t="shared" si="2"/>
        <v>1.557331739209511E-2</v>
      </c>
      <c r="D196" s="66">
        <f>(Table13[[#This Row],[Index]]-B184)/B184</f>
        <v>8.0766931354815039E-2</v>
      </c>
    </row>
    <row r="197" spans="1:4" x14ac:dyDescent="0.35">
      <c r="A197" s="17">
        <v>32082</v>
      </c>
      <c r="B197" s="58">
        <f>VLOOKUP(Table13[[#This Row],[Date]],database!A:F,6,)</f>
        <v>56.695500000000003</v>
      </c>
      <c r="C197" s="66">
        <f t="shared" si="2"/>
        <v>5.2001517671296238E-3</v>
      </c>
      <c r="D197" s="66">
        <f>(Table13[[#This Row],[Index]]-B185)/B185</f>
        <v>8.2493713591816051E-2</v>
      </c>
    </row>
    <row r="198" spans="1:4" x14ac:dyDescent="0.35">
      <c r="A198" s="17">
        <v>32112</v>
      </c>
      <c r="B198" s="58">
        <f>VLOOKUP(Table13[[#This Row],[Date]],database!A:F,6,)</f>
        <v>57.104900000000001</v>
      </c>
      <c r="C198" s="66">
        <f t="shared" si="2"/>
        <v>7.2210316515419759E-3</v>
      </c>
      <c r="D198" s="66">
        <f>(Table13[[#This Row],[Index]]-B186)/B186</f>
        <v>7.9420376422642797E-2</v>
      </c>
    </row>
    <row r="199" spans="1:4" x14ac:dyDescent="0.35">
      <c r="A199" s="17">
        <v>32143</v>
      </c>
      <c r="B199" s="58">
        <f>VLOOKUP(Table13[[#This Row],[Date]],database!A:F,6,)</f>
        <v>56.9621</v>
      </c>
      <c r="C199" s="66">
        <f t="shared" si="2"/>
        <v>-2.5006610641118421E-3</v>
      </c>
      <c r="D199" s="66">
        <f>(Table13[[#This Row],[Index]]-B187)/B187</f>
        <v>8.0712758429002052E-2</v>
      </c>
    </row>
    <row r="200" spans="1:4" x14ac:dyDescent="0.35">
      <c r="A200" s="17">
        <v>32174</v>
      </c>
      <c r="B200" s="58">
        <f>VLOOKUP(Table13[[#This Row],[Date]],database!A:F,6,)</f>
        <v>57.165599999999998</v>
      </c>
      <c r="C200" s="66">
        <f t="shared" ref="C200:C263" si="3">B200/B199-1</f>
        <v>3.5725508715442889E-3</v>
      </c>
      <c r="D200" s="66">
        <f>(Table13[[#This Row],[Index]]-B188)/B188</f>
        <v>6.8555833862948154E-2</v>
      </c>
    </row>
    <row r="201" spans="1:4" x14ac:dyDescent="0.35">
      <c r="A201" s="17">
        <v>32203</v>
      </c>
      <c r="B201" s="58">
        <f>VLOOKUP(Table13[[#This Row],[Date]],database!A:F,6,)</f>
        <v>57.3371</v>
      </c>
      <c r="C201" s="66">
        <f t="shared" si="3"/>
        <v>3.0000559777207947E-3</v>
      </c>
      <c r="D201" s="66">
        <f>(Table13[[#This Row],[Index]]-B189)/B189</f>
        <v>7.1513201172108645E-2</v>
      </c>
    </row>
    <row r="202" spans="1:4" x14ac:dyDescent="0.35">
      <c r="A202" s="17">
        <v>32234</v>
      </c>
      <c r="B202" s="58">
        <f>VLOOKUP(Table13[[#This Row],[Date]],database!A:F,6,)</f>
        <v>57.866799999999998</v>
      </c>
      <c r="C202" s="66">
        <f t="shared" si="3"/>
        <v>9.2383465504881634E-3</v>
      </c>
      <c r="D202" s="66">
        <f>(Table13[[#This Row],[Index]]-B190)/B190</f>
        <v>7.4891799015510296E-2</v>
      </c>
    </row>
    <row r="203" spans="1:4" x14ac:dyDescent="0.35">
      <c r="A203" s="17">
        <v>32264</v>
      </c>
      <c r="B203" s="58">
        <f>VLOOKUP(Table13[[#This Row],[Date]],database!A:F,6,)</f>
        <v>57.744300000000003</v>
      </c>
      <c r="C203" s="66">
        <f t="shared" si="3"/>
        <v>-2.116930606150591E-3</v>
      </c>
      <c r="D203" s="66">
        <f>(Table13[[#This Row],[Index]]-B191)/B191</f>
        <v>6.5111972302510618E-2</v>
      </c>
    </row>
    <row r="204" spans="1:4" x14ac:dyDescent="0.35">
      <c r="A204" s="17">
        <v>32295</v>
      </c>
      <c r="B204" s="58">
        <f>VLOOKUP(Table13[[#This Row],[Date]],database!A:F,6,)</f>
        <v>57.875399999999999</v>
      </c>
      <c r="C204" s="66">
        <f t="shared" si="3"/>
        <v>2.2703539570139153E-3</v>
      </c>
      <c r="D204" s="66">
        <f>(Table13[[#This Row],[Index]]-B192)/B192</f>
        <v>6.3397335783187916E-2</v>
      </c>
    </row>
    <row r="205" spans="1:4" x14ac:dyDescent="0.35">
      <c r="A205" s="17">
        <v>32325</v>
      </c>
      <c r="B205" s="58">
        <f>VLOOKUP(Table13[[#This Row],[Date]],database!A:F,6,)</f>
        <v>57.854999999999997</v>
      </c>
      <c r="C205" s="66">
        <f t="shared" si="3"/>
        <v>-3.5248136513965633E-4</v>
      </c>
      <c r="D205" s="66">
        <f>(Table13[[#This Row],[Index]]-B193)/B193</f>
        <v>5.478385636489267E-2</v>
      </c>
    </row>
    <row r="206" spans="1:4" x14ac:dyDescent="0.35">
      <c r="A206" s="17">
        <v>32356</v>
      </c>
      <c r="B206" s="58">
        <f>VLOOKUP(Table13[[#This Row],[Date]],database!A:F,6,)</f>
        <v>57.953600000000002</v>
      </c>
      <c r="C206" s="66">
        <f t="shared" si="3"/>
        <v>1.704260651629097E-3</v>
      </c>
      <c r="D206" s="66">
        <f>(Table13[[#This Row],[Index]]-B194)/B194</f>
        <v>5.098454541168105E-2</v>
      </c>
    </row>
    <row r="207" spans="1:4" x14ac:dyDescent="0.35">
      <c r="A207" s="17">
        <v>32387</v>
      </c>
      <c r="B207" s="58">
        <f>VLOOKUP(Table13[[#This Row],[Date]],database!A:F,6,)</f>
        <v>58.1355</v>
      </c>
      <c r="C207" s="66">
        <f t="shared" si="3"/>
        <v>3.1387178708484065E-3</v>
      </c>
      <c r="D207" s="66">
        <f>(Table13[[#This Row],[Index]]-B195)/B195</f>
        <v>4.6782972884889945E-2</v>
      </c>
    </row>
    <row r="208" spans="1:4" x14ac:dyDescent="0.35">
      <c r="A208" s="17">
        <v>32417</v>
      </c>
      <c r="B208" s="58">
        <f>VLOOKUP(Table13[[#This Row],[Date]],database!A:F,6,)</f>
        <v>58.372100000000003</v>
      </c>
      <c r="C208" s="66">
        <f t="shared" si="3"/>
        <v>4.0698024442897829E-3</v>
      </c>
      <c r="D208" s="66">
        <f>(Table13[[#This Row],[Index]]-B196)/B196</f>
        <v>3.4925942605075734E-2</v>
      </c>
    </row>
    <row r="209" spans="1:4" x14ac:dyDescent="0.35">
      <c r="A209" s="17">
        <v>32448</v>
      </c>
      <c r="B209" s="58">
        <f>VLOOKUP(Table13[[#This Row],[Date]],database!A:F,6,)</f>
        <v>58.607599999999998</v>
      </c>
      <c r="C209" s="66">
        <f t="shared" si="3"/>
        <v>4.034461669187861E-3</v>
      </c>
      <c r="D209" s="66">
        <f>(Table13[[#This Row],[Index]]-B197)/B197</f>
        <v>3.3725780705699662E-2</v>
      </c>
    </row>
    <row r="210" spans="1:4" x14ac:dyDescent="0.35">
      <c r="A210" s="17">
        <v>32478</v>
      </c>
      <c r="B210" s="58">
        <f>VLOOKUP(Table13[[#This Row],[Date]],database!A:F,6,)</f>
        <v>58.871200000000002</v>
      </c>
      <c r="C210" s="66">
        <f t="shared" si="3"/>
        <v>4.4977101945822273E-3</v>
      </c>
      <c r="D210" s="66">
        <f>(Table13[[#This Row],[Index]]-B198)/B198</f>
        <v>3.0930795781097614E-2</v>
      </c>
    </row>
    <row r="211" spans="1:4" x14ac:dyDescent="0.35">
      <c r="A211" s="17">
        <v>32509</v>
      </c>
      <c r="B211" s="58">
        <f>VLOOKUP(Table13[[#This Row],[Date]],database!A:F,6,)</f>
        <v>59.383099999999999</v>
      </c>
      <c r="C211" s="66">
        <f t="shared" si="3"/>
        <v>8.6952533666715404E-3</v>
      </c>
      <c r="D211" s="66">
        <f>(Table13[[#This Row],[Index]]-B199)/B199</f>
        <v>4.2501944275228604E-2</v>
      </c>
    </row>
    <row r="212" spans="1:4" x14ac:dyDescent="0.35">
      <c r="A212" s="17">
        <v>32540</v>
      </c>
      <c r="B212" s="58">
        <f>VLOOKUP(Table13[[#This Row],[Date]],database!A:F,6,)</f>
        <v>58.777500000000003</v>
      </c>
      <c r="C212" s="66">
        <f t="shared" si="3"/>
        <v>-1.0198187699867356E-2</v>
      </c>
      <c r="D212" s="66">
        <f>(Table13[[#This Row],[Index]]-B200)/B200</f>
        <v>2.8197027583022057E-2</v>
      </c>
    </row>
    <row r="213" spans="1:4" x14ac:dyDescent="0.35">
      <c r="A213" s="17">
        <v>32568</v>
      </c>
      <c r="B213" s="58">
        <f>VLOOKUP(Table13[[#This Row],[Date]],database!A:F,6,)</f>
        <v>58.711399999999998</v>
      </c>
      <c r="C213" s="66">
        <f t="shared" si="3"/>
        <v>-1.1245799838374149E-3</v>
      </c>
      <c r="D213" s="66">
        <f>(Table13[[#This Row],[Index]]-B201)/B201</f>
        <v>2.3968774144489311E-2</v>
      </c>
    </row>
    <row r="214" spans="1:4" x14ac:dyDescent="0.35">
      <c r="A214" s="17">
        <v>32599</v>
      </c>
      <c r="B214" s="58">
        <f>VLOOKUP(Table13[[#This Row],[Date]],database!A:F,6,)</f>
        <v>58.811300000000003</v>
      </c>
      <c r="C214" s="66">
        <f t="shared" si="3"/>
        <v>1.7015434821858744E-3</v>
      </c>
      <c r="D214" s="66">
        <f>(Table13[[#This Row],[Index]]-B202)/B202</f>
        <v>1.6321967000076123E-2</v>
      </c>
    </row>
    <row r="215" spans="1:4" x14ac:dyDescent="0.35">
      <c r="A215" s="17">
        <v>32629</v>
      </c>
      <c r="B215" s="58">
        <f>VLOOKUP(Table13[[#This Row],[Date]],database!A:F,6,)</f>
        <v>58.334200000000003</v>
      </c>
      <c r="C215" s="66">
        <f t="shared" si="3"/>
        <v>-8.1123865651668847E-3</v>
      </c>
      <c r="D215" s="66">
        <f>(Table13[[#This Row],[Index]]-B203)/B203</f>
        <v>1.021572692023282E-2</v>
      </c>
    </row>
    <row r="216" spans="1:4" x14ac:dyDescent="0.35">
      <c r="A216" s="17">
        <v>32660</v>
      </c>
      <c r="B216" s="58">
        <f>VLOOKUP(Table13[[#This Row],[Date]],database!A:F,6,)</f>
        <v>58.441600000000001</v>
      </c>
      <c r="C216" s="66">
        <f t="shared" si="3"/>
        <v>1.8411155034268045E-3</v>
      </c>
      <c r="D216" s="66">
        <f>(Table13[[#This Row],[Index]]-B204)/B204</f>
        <v>9.7830857324528557E-3</v>
      </c>
    </row>
    <row r="217" spans="1:4" x14ac:dyDescent="0.35">
      <c r="A217" s="17">
        <v>32690</v>
      </c>
      <c r="B217" s="58">
        <f>VLOOKUP(Table13[[#This Row],[Date]],database!A:F,6,)</f>
        <v>57.728999999999999</v>
      </c>
      <c r="C217" s="66">
        <f t="shared" si="3"/>
        <v>-1.2193369106937579E-2</v>
      </c>
      <c r="D217" s="66">
        <f>(Table13[[#This Row],[Index]]-B205)/B205</f>
        <v>-2.1778584392014117E-3</v>
      </c>
    </row>
    <row r="218" spans="1:4" x14ac:dyDescent="0.35">
      <c r="A218" s="17">
        <v>32721</v>
      </c>
      <c r="B218" s="58">
        <f>VLOOKUP(Table13[[#This Row],[Date]],database!A:F,6,)</f>
        <v>58.316800000000001</v>
      </c>
      <c r="C218" s="66">
        <f t="shared" si="3"/>
        <v>1.018205754473489E-2</v>
      </c>
      <c r="D218" s="66">
        <f>(Table13[[#This Row],[Index]]-B206)/B206</f>
        <v>6.2670826316225236E-3</v>
      </c>
    </row>
    <row r="219" spans="1:4" x14ac:dyDescent="0.35">
      <c r="A219" s="17">
        <v>32752</v>
      </c>
      <c r="B219" s="58">
        <f>VLOOKUP(Table13[[#This Row],[Date]],database!A:F,6,)</f>
        <v>58.1873</v>
      </c>
      <c r="C219" s="66">
        <f t="shared" si="3"/>
        <v>-2.2206293898155982E-3</v>
      </c>
      <c r="D219" s="66">
        <f>(Table13[[#This Row],[Index]]-B207)/B207</f>
        <v>8.9102183691548308E-4</v>
      </c>
    </row>
    <row r="220" spans="1:4" x14ac:dyDescent="0.35">
      <c r="A220" s="17">
        <v>32782</v>
      </c>
      <c r="B220" s="58">
        <f>VLOOKUP(Table13[[#This Row],[Date]],database!A:F,6,)</f>
        <v>58.042900000000003</v>
      </c>
      <c r="C220" s="66">
        <f t="shared" si="3"/>
        <v>-2.4816411828697538E-3</v>
      </c>
      <c r="D220" s="66">
        <f>(Table13[[#This Row],[Index]]-B208)/B208</f>
        <v>-5.6396806008349905E-3</v>
      </c>
    </row>
    <row r="221" spans="1:4" x14ac:dyDescent="0.35">
      <c r="A221" s="17">
        <v>32813</v>
      </c>
      <c r="B221" s="58">
        <f>VLOOKUP(Table13[[#This Row],[Date]],database!A:F,6,)</f>
        <v>58.1648</v>
      </c>
      <c r="C221" s="66">
        <f t="shared" si="3"/>
        <v>2.10017073578328E-3</v>
      </c>
      <c r="D221" s="66">
        <f>(Table13[[#This Row],[Index]]-B209)/B209</f>
        <v>-7.5553341204894642E-3</v>
      </c>
    </row>
    <row r="222" spans="1:4" x14ac:dyDescent="0.35">
      <c r="A222" s="17">
        <v>32843</v>
      </c>
      <c r="B222" s="58">
        <f>VLOOKUP(Table13[[#This Row],[Date]],database!A:F,6,)</f>
        <v>58.1965</v>
      </c>
      <c r="C222" s="66">
        <f t="shared" si="3"/>
        <v>5.4500316342531718E-4</v>
      </c>
      <c r="D222" s="66">
        <f>(Table13[[#This Row],[Index]]-B210)/B210</f>
        <v>-1.1460612319776077E-2</v>
      </c>
    </row>
    <row r="223" spans="1:4" x14ac:dyDescent="0.35">
      <c r="A223" s="17">
        <v>32874</v>
      </c>
      <c r="B223" s="58">
        <f>VLOOKUP(Table13[[#This Row],[Date]],database!A:F,6,)</f>
        <v>58.131599999999999</v>
      </c>
      <c r="C223" s="66">
        <f t="shared" si="3"/>
        <v>-1.1151873394448231E-3</v>
      </c>
      <c r="D223" s="66">
        <f>(Table13[[#This Row],[Index]]-B211)/B211</f>
        <v>-2.1075019660475793E-2</v>
      </c>
    </row>
    <row r="224" spans="1:4" x14ac:dyDescent="0.35">
      <c r="A224" s="17">
        <v>32905</v>
      </c>
      <c r="B224" s="58">
        <f>VLOOKUP(Table13[[#This Row],[Date]],database!A:F,6,)</f>
        <v>58.945900000000002</v>
      </c>
      <c r="C224" s="66">
        <f t="shared" si="3"/>
        <v>1.4007871794342597E-2</v>
      </c>
      <c r="D224" s="66">
        <f>(Table13[[#This Row],[Index]]-B212)/B212</f>
        <v>2.8650418952830305E-3</v>
      </c>
    </row>
    <row r="225" spans="1:4" x14ac:dyDescent="0.35">
      <c r="A225" s="17">
        <v>32933</v>
      </c>
      <c r="B225" s="58">
        <f>VLOOKUP(Table13[[#This Row],[Date]],database!A:F,6,)</f>
        <v>59.265300000000003</v>
      </c>
      <c r="C225" s="66">
        <f t="shared" si="3"/>
        <v>5.4185278365417311E-3</v>
      </c>
      <c r="D225" s="66">
        <f>(Table13[[#This Row],[Index]]-B213)/B213</f>
        <v>9.4342836314583855E-3</v>
      </c>
    </row>
    <row r="226" spans="1:4" x14ac:dyDescent="0.35">
      <c r="A226" s="17">
        <v>32964</v>
      </c>
      <c r="B226" s="58">
        <f>VLOOKUP(Table13[[#This Row],[Date]],database!A:F,6,)</f>
        <v>59.046199999999999</v>
      </c>
      <c r="C226" s="66">
        <f t="shared" si="3"/>
        <v>-3.696935643622945E-3</v>
      </c>
      <c r="D226" s="66">
        <f>(Table13[[#This Row],[Index]]-B214)/B214</f>
        <v>3.9941303797058746E-3</v>
      </c>
    </row>
    <row r="227" spans="1:4" x14ac:dyDescent="0.35">
      <c r="A227" s="17">
        <v>32994</v>
      </c>
      <c r="B227" s="58">
        <f>VLOOKUP(Table13[[#This Row],[Date]],database!A:F,6,)</f>
        <v>59.2181</v>
      </c>
      <c r="C227" s="66">
        <f t="shared" si="3"/>
        <v>2.9112796420429632E-3</v>
      </c>
      <c r="D227" s="66">
        <f>(Table13[[#This Row],[Index]]-B215)/B215</f>
        <v>1.5152346307997657E-2</v>
      </c>
    </row>
    <row r="228" spans="1:4" x14ac:dyDescent="0.35">
      <c r="A228" s="17">
        <v>33025</v>
      </c>
      <c r="B228" s="58">
        <f>VLOOKUP(Table13[[#This Row],[Date]],database!A:F,6,)</f>
        <v>59.409599999999998</v>
      </c>
      <c r="C228" s="66">
        <f t="shared" si="3"/>
        <v>3.2338085821732587E-3</v>
      </c>
      <c r="D228" s="66">
        <f>(Table13[[#This Row],[Index]]-B216)/B216</f>
        <v>1.6563543777035474E-2</v>
      </c>
    </row>
    <row r="229" spans="1:4" x14ac:dyDescent="0.35">
      <c r="A229" s="17">
        <v>33055</v>
      </c>
      <c r="B229" s="58">
        <f>VLOOKUP(Table13[[#This Row],[Date]],database!A:F,6,)</f>
        <v>59.271599999999999</v>
      </c>
      <c r="C229" s="66">
        <f t="shared" si="3"/>
        <v>-2.3228569120141707E-3</v>
      </c>
      <c r="D229" s="66">
        <f>(Table13[[#This Row],[Index]]-B217)/B217</f>
        <v>2.6721405186301516E-2</v>
      </c>
    </row>
    <row r="230" spans="1:4" x14ac:dyDescent="0.35">
      <c r="A230" s="17">
        <v>33086</v>
      </c>
      <c r="B230" s="58">
        <f>VLOOKUP(Table13[[#This Row],[Date]],database!A:F,6,)</f>
        <v>59.500799999999998</v>
      </c>
      <c r="C230" s="66">
        <f t="shared" si="3"/>
        <v>3.8669447087644748E-3</v>
      </c>
      <c r="D230" s="66">
        <f>(Table13[[#This Row],[Index]]-B218)/B218</f>
        <v>2.0302897278314268E-2</v>
      </c>
    </row>
    <row r="231" spans="1:4" x14ac:dyDescent="0.35">
      <c r="A231" s="17">
        <v>33117</v>
      </c>
      <c r="B231" s="58">
        <f>VLOOKUP(Table13[[#This Row],[Date]],database!A:F,6,)</f>
        <v>59.423499999999997</v>
      </c>
      <c r="C231" s="66">
        <f t="shared" si="3"/>
        <v>-1.2991421964074767E-3</v>
      </c>
      <c r="D231" s="66">
        <f>(Table13[[#This Row],[Index]]-B219)/B219</f>
        <v>2.1245185805149863E-2</v>
      </c>
    </row>
    <row r="232" spans="1:4" x14ac:dyDescent="0.35">
      <c r="A232" s="17">
        <v>33147</v>
      </c>
      <c r="B232" s="58">
        <f>VLOOKUP(Table13[[#This Row],[Date]],database!A:F,6,)</f>
        <v>59.0289</v>
      </c>
      <c r="C232" s="66">
        <f t="shared" si="3"/>
        <v>-6.6404705209217596E-3</v>
      </c>
      <c r="D232" s="66">
        <f>(Table13[[#This Row],[Index]]-B220)/B220</f>
        <v>1.6987435155720976E-2</v>
      </c>
    </row>
    <row r="233" spans="1:4" x14ac:dyDescent="0.35">
      <c r="A233" s="17">
        <v>33178</v>
      </c>
      <c r="B233" s="58">
        <f>VLOOKUP(Table13[[#This Row],[Date]],database!A:F,6,)</f>
        <v>58.322299999999998</v>
      </c>
      <c r="C233" s="66">
        <f t="shared" si="3"/>
        <v>-1.1970407715542808E-2</v>
      </c>
      <c r="D233" s="66">
        <f>(Table13[[#This Row],[Index]]-B221)/B221</f>
        <v>2.7078232883118118E-3</v>
      </c>
    </row>
    <row r="234" spans="1:4" x14ac:dyDescent="0.35">
      <c r="A234" s="17">
        <v>33208</v>
      </c>
      <c r="B234" s="58">
        <f>VLOOKUP(Table13[[#This Row],[Date]],database!A:F,6,)</f>
        <v>57.840400000000002</v>
      </c>
      <c r="C234" s="66">
        <f t="shared" si="3"/>
        <v>-8.2627056889045258E-3</v>
      </c>
      <c r="D234" s="66">
        <f>(Table13[[#This Row],[Index]]-B222)/B222</f>
        <v>-6.11892467760085E-3</v>
      </c>
    </row>
    <row r="235" spans="1:4" x14ac:dyDescent="0.35">
      <c r="A235" s="17">
        <v>33239</v>
      </c>
      <c r="B235" s="58">
        <f>VLOOKUP(Table13[[#This Row],[Date]],database!A:F,6,)</f>
        <v>57.471800000000002</v>
      </c>
      <c r="C235" s="66">
        <f t="shared" si="3"/>
        <v>-6.3727083491815772E-3</v>
      </c>
      <c r="D235" s="66">
        <f>(Table13[[#This Row],[Index]]-B223)/B223</f>
        <v>-1.1350109062884852E-2</v>
      </c>
    </row>
    <row r="236" spans="1:4" x14ac:dyDescent="0.35">
      <c r="A236" s="17">
        <v>33270</v>
      </c>
      <c r="B236" s="58">
        <f>VLOOKUP(Table13[[#This Row],[Date]],database!A:F,6,)</f>
        <v>57.051000000000002</v>
      </c>
      <c r="C236" s="66">
        <f t="shared" si="3"/>
        <v>-7.3218517603416133E-3</v>
      </c>
      <c r="D236" s="66">
        <f>(Table13[[#This Row],[Index]]-B224)/B224</f>
        <v>-3.2146425790428167E-2</v>
      </c>
    </row>
    <row r="237" spans="1:4" x14ac:dyDescent="0.35">
      <c r="A237" s="17">
        <v>33298</v>
      </c>
      <c r="B237" s="58">
        <f>VLOOKUP(Table13[[#This Row],[Date]],database!A:F,6,)</f>
        <v>56.660400000000003</v>
      </c>
      <c r="C237" s="66">
        <f t="shared" si="3"/>
        <v>-6.8465057580059385E-3</v>
      </c>
      <c r="D237" s="66">
        <f>(Table13[[#This Row],[Index]]-B225)/B225</f>
        <v>-4.395320701995941E-2</v>
      </c>
    </row>
    <row r="238" spans="1:4" x14ac:dyDescent="0.35">
      <c r="A238" s="17">
        <v>33329</v>
      </c>
      <c r="B238" s="58">
        <f>VLOOKUP(Table13[[#This Row],[Date]],database!A:F,6,)</f>
        <v>56.908700000000003</v>
      </c>
      <c r="C238" s="66">
        <f t="shared" si="3"/>
        <v>4.382249331102539E-3</v>
      </c>
      <c r="D238" s="66">
        <f>(Table13[[#This Row],[Index]]-B226)/B226</f>
        <v>-3.6200466753152548E-2</v>
      </c>
    </row>
    <row r="239" spans="1:4" x14ac:dyDescent="0.35">
      <c r="A239" s="17">
        <v>33359</v>
      </c>
      <c r="B239" s="58">
        <f>VLOOKUP(Table13[[#This Row],[Date]],database!A:F,6,)</f>
        <v>57.318199999999997</v>
      </c>
      <c r="C239" s="66">
        <f t="shared" si="3"/>
        <v>7.1957363285402032E-3</v>
      </c>
      <c r="D239" s="66">
        <f>(Table13[[#This Row],[Index]]-B227)/B227</f>
        <v>-3.2083096215515229E-2</v>
      </c>
    </row>
    <row r="240" spans="1:4" x14ac:dyDescent="0.35">
      <c r="A240" s="17">
        <v>33390</v>
      </c>
      <c r="B240" s="58">
        <f>VLOOKUP(Table13[[#This Row],[Date]],database!A:F,6,)</f>
        <v>57.8765</v>
      </c>
      <c r="C240" s="66">
        <f t="shared" si="3"/>
        <v>9.7403617001232679E-3</v>
      </c>
      <c r="D240" s="66">
        <f>(Table13[[#This Row],[Index]]-B228)/B228</f>
        <v>-2.5805593708760833E-2</v>
      </c>
    </row>
    <row r="241" spans="1:4" x14ac:dyDescent="0.35">
      <c r="A241" s="17">
        <v>33420</v>
      </c>
      <c r="B241" s="58">
        <f>VLOOKUP(Table13[[#This Row],[Date]],database!A:F,6,)</f>
        <v>58.198999999999998</v>
      </c>
      <c r="C241" s="66">
        <f t="shared" si="3"/>
        <v>5.5722097915389401E-3</v>
      </c>
      <c r="D241" s="66">
        <f>(Table13[[#This Row],[Index]]-B229)/B229</f>
        <v>-1.8096356433772689E-2</v>
      </c>
    </row>
    <row r="242" spans="1:4" x14ac:dyDescent="0.35">
      <c r="A242" s="17">
        <v>33451</v>
      </c>
      <c r="B242" s="58">
        <f>VLOOKUP(Table13[[#This Row],[Date]],database!A:F,6,)</f>
        <v>58.247100000000003</v>
      </c>
      <c r="C242" s="66">
        <f t="shared" si="3"/>
        <v>8.2647468169572136E-4</v>
      </c>
      <c r="D242" s="66">
        <f>(Table13[[#This Row],[Index]]-B230)/B230</f>
        <v>-2.107030493707639E-2</v>
      </c>
    </row>
    <row r="243" spans="1:4" x14ac:dyDescent="0.35">
      <c r="A243" s="17">
        <v>33482</v>
      </c>
      <c r="B243" s="58">
        <f>VLOOKUP(Table13[[#This Row],[Date]],database!A:F,6,)</f>
        <v>58.886600000000001</v>
      </c>
      <c r="C243" s="66">
        <f t="shared" si="3"/>
        <v>1.0979087370873275E-2</v>
      </c>
      <c r="D243" s="66">
        <f>(Table13[[#This Row],[Index]]-B231)/B231</f>
        <v>-9.0351460280864593E-3</v>
      </c>
    </row>
    <row r="244" spans="1:4" x14ac:dyDescent="0.35">
      <c r="A244" s="17">
        <v>33512</v>
      </c>
      <c r="B244" s="58">
        <f>VLOOKUP(Table13[[#This Row],[Date]],database!A:F,6,)</f>
        <v>58.816800000000001</v>
      </c>
      <c r="C244" s="66">
        <f t="shared" si="3"/>
        <v>-1.1853290901495672E-3</v>
      </c>
      <c r="D244" s="66">
        <f>(Table13[[#This Row],[Index]]-B232)/B232</f>
        <v>-3.5931552171902157E-3</v>
      </c>
    </row>
    <row r="245" spans="1:4" x14ac:dyDescent="0.35">
      <c r="A245" s="17">
        <v>33543</v>
      </c>
      <c r="B245" s="58">
        <f>VLOOKUP(Table13[[#This Row],[Date]],database!A:F,6,)</f>
        <v>58.707799999999999</v>
      </c>
      <c r="C245" s="66">
        <f t="shared" si="3"/>
        <v>-1.8532120074536973E-3</v>
      </c>
      <c r="D245" s="66">
        <f>(Table13[[#This Row],[Index]]-B233)/B233</f>
        <v>6.6098216291195716E-3</v>
      </c>
    </row>
    <row r="246" spans="1:4" x14ac:dyDescent="0.35">
      <c r="A246" s="17">
        <v>33573</v>
      </c>
      <c r="B246" s="58">
        <f>VLOOKUP(Table13[[#This Row],[Date]],database!A:F,6,)</f>
        <v>58.580399999999997</v>
      </c>
      <c r="C246" s="66">
        <f t="shared" si="3"/>
        <v>-2.1700693945267968E-3</v>
      </c>
      <c r="D246" s="66">
        <f>(Table13[[#This Row],[Index]]-B234)/B234</f>
        <v>1.2793825768839685E-2</v>
      </c>
    </row>
    <row r="247" spans="1:4" x14ac:dyDescent="0.35">
      <c r="A247" s="17">
        <v>33604</v>
      </c>
      <c r="B247" s="58">
        <f>VLOOKUP(Table13[[#This Row],[Date]],database!A:F,6,)</f>
        <v>58.273400000000002</v>
      </c>
      <c r="C247" s="66">
        <f t="shared" si="3"/>
        <v>-5.240660698800248E-3</v>
      </c>
      <c r="D247" s="66">
        <f>(Table13[[#This Row],[Index]]-B235)/B235</f>
        <v>1.394771000734274E-2</v>
      </c>
    </row>
    <row r="248" spans="1:4" x14ac:dyDescent="0.35">
      <c r="A248" s="17">
        <v>33635</v>
      </c>
      <c r="B248" s="58">
        <f>VLOOKUP(Table13[[#This Row],[Date]],database!A:F,6,)</f>
        <v>58.829599999999999</v>
      </c>
      <c r="C248" s="66">
        <f t="shared" si="3"/>
        <v>9.5446636029474785E-3</v>
      </c>
      <c r="D248" s="66">
        <f>(Table13[[#This Row],[Index]]-B236)/B236</f>
        <v>3.1175614800792225E-2</v>
      </c>
    </row>
    <row r="249" spans="1:4" x14ac:dyDescent="0.35">
      <c r="A249" s="17">
        <v>33664</v>
      </c>
      <c r="B249" s="58">
        <f>VLOOKUP(Table13[[#This Row],[Date]],database!A:F,6,)</f>
        <v>59.444200000000002</v>
      </c>
      <c r="C249" s="66">
        <f t="shared" si="3"/>
        <v>1.0447121857024344E-2</v>
      </c>
      <c r="D249" s="66">
        <f>(Table13[[#This Row],[Index]]-B237)/B237</f>
        <v>4.9131315698441931E-2</v>
      </c>
    </row>
    <row r="250" spans="1:4" x14ac:dyDescent="0.35">
      <c r="A250" s="17">
        <v>33695</v>
      </c>
      <c r="B250" s="58">
        <f>VLOOKUP(Table13[[#This Row],[Date]],database!A:F,6,)</f>
        <v>59.7834</v>
      </c>
      <c r="C250" s="66">
        <f t="shared" si="3"/>
        <v>5.7061916890124298E-3</v>
      </c>
      <c r="D250" s="66">
        <f>(Table13[[#This Row],[Index]]-B238)/B238</f>
        <v>5.0514244746409545E-2</v>
      </c>
    </row>
    <row r="251" spans="1:4" x14ac:dyDescent="0.35">
      <c r="A251" s="17">
        <v>33725</v>
      </c>
      <c r="B251" s="58">
        <f>VLOOKUP(Table13[[#This Row],[Date]],database!A:F,6,)</f>
        <v>60.133800000000001</v>
      </c>
      <c r="C251" s="66">
        <f t="shared" si="3"/>
        <v>5.8611587832073653E-3</v>
      </c>
      <c r="D251" s="66">
        <f>(Table13[[#This Row],[Index]]-B239)/B239</f>
        <v>4.9122268319661183E-2</v>
      </c>
    </row>
    <row r="252" spans="1:4" x14ac:dyDescent="0.35">
      <c r="A252" s="17">
        <v>33756</v>
      </c>
      <c r="B252" s="58">
        <f>VLOOKUP(Table13[[#This Row],[Date]],database!A:F,6,)</f>
        <v>60.331200000000003</v>
      </c>
      <c r="C252" s="66">
        <f t="shared" si="3"/>
        <v>3.2826796244376233E-3</v>
      </c>
      <c r="D252" s="66">
        <f>(Table13[[#This Row],[Index]]-B240)/B240</f>
        <v>4.2412723644311638E-2</v>
      </c>
    </row>
    <row r="253" spans="1:4" x14ac:dyDescent="0.35">
      <c r="A253" s="17">
        <v>33786</v>
      </c>
      <c r="B253" s="58">
        <f>VLOOKUP(Table13[[#This Row],[Date]],database!A:F,6,)</f>
        <v>60.894799999999996</v>
      </c>
      <c r="C253" s="66">
        <f t="shared" si="3"/>
        <v>9.341766780703642E-3</v>
      </c>
      <c r="D253" s="66">
        <f>(Table13[[#This Row],[Index]]-B241)/B241</f>
        <v>4.6320383511744161E-2</v>
      </c>
    </row>
    <row r="254" spans="1:4" x14ac:dyDescent="0.35">
      <c r="A254" s="17">
        <v>33817</v>
      </c>
      <c r="B254" s="58">
        <f>VLOOKUP(Table13[[#This Row],[Date]],database!A:F,6,)</f>
        <v>60.609200000000001</v>
      </c>
      <c r="C254" s="66">
        <f t="shared" si="3"/>
        <v>-4.6900556369344759E-3</v>
      </c>
      <c r="D254" s="66">
        <f>(Table13[[#This Row],[Index]]-B242)/B242</f>
        <v>4.0553091913588794E-2</v>
      </c>
    </row>
    <row r="255" spans="1:4" x14ac:dyDescent="0.35">
      <c r="A255" s="17">
        <v>33848</v>
      </c>
      <c r="B255" s="58">
        <f>VLOOKUP(Table13[[#This Row],[Date]],database!A:F,6,)</f>
        <v>60.711500000000001</v>
      </c>
      <c r="C255" s="66">
        <f t="shared" si="3"/>
        <v>1.6878625687188897E-3</v>
      </c>
      <c r="D255" s="66">
        <f>(Table13[[#This Row],[Index]]-B243)/B243</f>
        <v>3.0990072444325185E-2</v>
      </c>
    </row>
    <row r="256" spans="1:4" x14ac:dyDescent="0.35">
      <c r="A256" s="17">
        <v>33878</v>
      </c>
      <c r="B256" s="58">
        <f>VLOOKUP(Table13[[#This Row],[Date]],database!A:F,6,)</f>
        <v>61.091099999999997</v>
      </c>
      <c r="C256" s="66">
        <f t="shared" si="3"/>
        <v>6.2525221745468595E-3</v>
      </c>
      <c r="D256" s="66">
        <f>(Table13[[#This Row],[Index]]-B244)/B244</f>
        <v>3.8667523564695744E-2</v>
      </c>
    </row>
    <row r="257" spans="1:4" x14ac:dyDescent="0.35">
      <c r="A257" s="17">
        <v>33909</v>
      </c>
      <c r="B257" s="58">
        <f>VLOOKUP(Table13[[#This Row],[Date]],database!A:F,6,)</f>
        <v>61.350099999999998</v>
      </c>
      <c r="C257" s="66">
        <f t="shared" si="3"/>
        <v>4.2395700846769024E-3</v>
      </c>
      <c r="D257" s="66">
        <f>(Table13[[#This Row],[Index]]-B245)/B245</f>
        <v>4.5007648046767192E-2</v>
      </c>
    </row>
    <row r="258" spans="1:4" x14ac:dyDescent="0.35">
      <c r="A258" s="17">
        <v>33939</v>
      </c>
      <c r="B258" s="58">
        <f>VLOOKUP(Table13[[#This Row],[Date]],database!A:F,6,)</f>
        <v>61.300400000000003</v>
      </c>
      <c r="C258" s="66">
        <f t="shared" si="3"/>
        <v>-8.1010462900621416E-4</v>
      </c>
      <c r="D258" s="66">
        <f>(Table13[[#This Row],[Index]]-B246)/B246</f>
        <v>4.6431912380250157E-2</v>
      </c>
    </row>
    <row r="259" spans="1:4" x14ac:dyDescent="0.35">
      <c r="A259" s="17">
        <v>33970</v>
      </c>
      <c r="B259" s="58">
        <f>VLOOKUP(Table13[[#This Row],[Date]],database!A:F,6,)</f>
        <v>61.871200000000002</v>
      </c>
      <c r="C259" s="66">
        <f t="shared" si="3"/>
        <v>9.3115216213923713E-3</v>
      </c>
      <c r="D259" s="66">
        <f>(Table13[[#This Row],[Index]]-B247)/B247</f>
        <v>6.1740004873578669E-2</v>
      </c>
    </row>
    <row r="260" spans="1:4" x14ac:dyDescent="0.35">
      <c r="A260" s="17">
        <v>34001</v>
      </c>
      <c r="B260" s="58">
        <f>VLOOKUP(Table13[[#This Row],[Date]],database!A:F,6,)</f>
        <v>62.028599999999997</v>
      </c>
      <c r="C260" s="66">
        <f t="shared" si="3"/>
        <v>2.5439946210836784E-3</v>
      </c>
      <c r="D260" s="66">
        <f>(Table13[[#This Row],[Index]]-B248)/B248</f>
        <v>5.4377388253532201E-2</v>
      </c>
    </row>
    <row r="261" spans="1:4" x14ac:dyDescent="0.35">
      <c r="A261" s="17">
        <v>34029</v>
      </c>
      <c r="B261" s="58">
        <f>VLOOKUP(Table13[[#This Row],[Date]],database!A:F,6,)</f>
        <v>61.901299999999999</v>
      </c>
      <c r="C261" s="66">
        <f t="shared" si="3"/>
        <v>-2.0522791099589766E-3</v>
      </c>
      <c r="D261" s="66">
        <f>(Table13[[#This Row],[Index]]-B249)/B249</f>
        <v>4.1334562497266289E-2</v>
      </c>
    </row>
    <row r="262" spans="1:4" x14ac:dyDescent="0.35">
      <c r="A262" s="17">
        <v>34060</v>
      </c>
      <c r="B262" s="58">
        <f>VLOOKUP(Table13[[#This Row],[Date]],database!A:F,6,)</f>
        <v>62.2209</v>
      </c>
      <c r="C262" s="66">
        <f t="shared" si="3"/>
        <v>5.163057964856943E-3</v>
      </c>
      <c r="D262" s="66">
        <f>(Table13[[#This Row],[Index]]-B250)/B250</f>
        <v>4.0772187597225985E-2</v>
      </c>
    </row>
    <row r="263" spans="1:4" x14ac:dyDescent="0.35">
      <c r="A263" s="17">
        <v>34090</v>
      </c>
      <c r="B263" s="58">
        <f>VLOOKUP(Table13[[#This Row],[Date]],database!A:F,6,)</f>
        <v>62.145699999999998</v>
      </c>
      <c r="C263" s="66">
        <f t="shared" si="3"/>
        <v>-1.2085971112600902E-3</v>
      </c>
      <c r="D263" s="66">
        <f>(Table13[[#This Row],[Index]]-B251)/B251</f>
        <v>3.3457057428600841E-2</v>
      </c>
    </row>
    <row r="264" spans="1:4" x14ac:dyDescent="0.35">
      <c r="A264" s="17">
        <v>34121</v>
      </c>
      <c r="B264" s="58">
        <f>VLOOKUP(Table13[[#This Row],[Date]],database!A:F,6,)</f>
        <v>62.052500000000002</v>
      </c>
      <c r="C264" s="66">
        <f t="shared" ref="C264:C327" si="4">B264/B263-1</f>
        <v>-1.4997015079080134E-3</v>
      </c>
      <c r="D264" s="66">
        <f>(Table13[[#This Row],[Index]]-B252)/B252</f>
        <v>2.8530843079534293E-2</v>
      </c>
    </row>
    <row r="265" spans="1:4" x14ac:dyDescent="0.35">
      <c r="A265" s="17">
        <v>34151</v>
      </c>
      <c r="B265" s="58">
        <f>VLOOKUP(Table13[[#This Row],[Date]],database!A:F,6,)</f>
        <v>62.203400000000002</v>
      </c>
      <c r="C265" s="66">
        <f t="shared" si="4"/>
        <v>2.4318117722896826E-3</v>
      </c>
      <c r="D265" s="66">
        <f>(Table13[[#This Row],[Index]]-B253)/B253</f>
        <v>2.14895196305761E-2</v>
      </c>
    </row>
    <row r="266" spans="1:4" x14ac:dyDescent="0.35">
      <c r="A266" s="17">
        <v>34182</v>
      </c>
      <c r="B266" s="58">
        <f>VLOOKUP(Table13[[#This Row],[Date]],database!A:F,6,)</f>
        <v>62.121000000000002</v>
      </c>
      <c r="C266" s="66">
        <f t="shared" si="4"/>
        <v>-1.3246864319313989E-3</v>
      </c>
      <c r="D266" s="66">
        <f>(Table13[[#This Row],[Index]]-B254)/B254</f>
        <v>2.4943407931469163E-2</v>
      </c>
    </row>
    <row r="267" spans="1:4" x14ac:dyDescent="0.35">
      <c r="A267" s="17">
        <v>34213</v>
      </c>
      <c r="B267" s="58">
        <f>VLOOKUP(Table13[[#This Row],[Date]],database!A:F,6,)</f>
        <v>62.577800000000003</v>
      </c>
      <c r="C267" s="66">
        <f t="shared" si="4"/>
        <v>7.3533909627985228E-3</v>
      </c>
      <c r="D267" s="66">
        <f>(Table13[[#This Row],[Index]]-B255)/B255</f>
        <v>3.0740469268590011E-2</v>
      </c>
    </row>
    <row r="268" spans="1:4" x14ac:dyDescent="0.35">
      <c r="A268" s="17">
        <v>34243</v>
      </c>
      <c r="B268" s="58">
        <f>VLOOKUP(Table13[[#This Row],[Date]],database!A:F,6,)</f>
        <v>63.120399999999997</v>
      </c>
      <c r="C268" s="66">
        <f t="shared" si="4"/>
        <v>8.6708065799692147E-3</v>
      </c>
      <c r="D268" s="66">
        <f>(Table13[[#This Row],[Index]]-B256)/B256</f>
        <v>3.3217604528319171E-2</v>
      </c>
    </row>
    <row r="269" spans="1:4" x14ac:dyDescent="0.35">
      <c r="A269" s="17">
        <v>34274</v>
      </c>
      <c r="B269" s="58">
        <f>VLOOKUP(Table13[[#This Row],[Date]],database!A:F,6,)</f>
        <v>63.424900000000001</v>
      </c>
      <c r="C269" s="66">
        <f t="shared" si="4"/>
        <v>4.8241139156279811E-3</v>
      </c>
      <c r="D269" s="66">
        <f>(Table13[[#This Row],[Index]]-B257)/B257</f>
        <v>3.3819015779925438E-2</v>
      </c>
    </row>
    <row r="270" spans="1:4" x14ac:dyDescent="0.35">
      <c r="A270" s="17">
        <v>34304</v>
      </c>
      <c r="B270" s="58">
        <f>VLOOKUP(Table13[[#This Row],[Date]],database!A:F,6,)</f>
        <v>63.835999999999999</v>
      </c>
      <c r="C270" s="66">
        <f t="shared" si="4"/>
        <v>6.4816814847166171E-3</v>
      </c>
      <c r="D270" s="66">
        <f>(Table13[[#This Row],[Index]]-B258)/B258</f>
        <v>4.1363514756836743E-2</v>
      </c>
    </row>
    <row r="271" spans="1:4" x14ac:dyDescent="0.35">
      <c r="A271" s="17">
        <v>34335</v>
      </c>
      <c r="B271" s="58">
        <f>VLOOKUP(Table13[[#This Row],[Date]],database!A:F,6,)</f>
        <v>63.908999999999999</v>
      </c>
      <c r="C271" s="66">
        <f t="shared" si="4"/>
        <v>1.1435553606116144E-3</v>
      </c>
      <c r="D271" s="66">
        <f>(Table13[[#This Row],[Index]]-B259)/B259</f>
        <v>3.2936164160384751E-2</v>
      </c>
    </row>
    <row r="272" spans="1:4" x14ac:dyDescent="0.35">
      <c r="A272" s="17">
        <v>34366</v>
      </c>
      <c r="B272" s="58">
        <f>VLOOKUP(Table13[[#This Row],[Date]],database!A:F,6,)</f>
        <v>64.026399999999995</v>
      </c>
      <c r="C272" s="66">
        <f t="shared" si="4"/>
        <v>1.8369869658418914E-3</v>
      </c>
      <c r="D272" s="66">
        <f>(Table13[[#This Row],[Index]]-B260)/B260</f>
        <v>3.2207723533982678E-2</v>
      </c>
    </row>
    <row r="273" spans="1:4" x14ac:dyDescent="0.35">
      <c r="A273" s="17">
        <v>34394</v>
      </c>
      <c r="B273" s="58">
        <f>VLOOKUP(Table13[[#This Row],[Date]],database!A:F,6,)</f>
        <v>64.879199999999997</v>
      </c>
      <c r="C273" s="66">
        <f t="shared" si="4"/>
        <v>1.3319505703897283E-2</v>
      </c>
      <c r="D273" s="66">
        <f>(Table13[[#This Row],[Index]]-B261)/B261</f>
        <v>4.8107228765793257E-2</v>
      </c>
    </row>
    <row r="274" spans="1:4" x14ac:dyDescent="0.35">
      <c r="A274" s="17">
        <v>34425</v>
      </c>
      <c r="B274" s="58">
        <f>VLOOKUP(Table13[[#This Row],[Date]],database!A:F,6,)</f>
        <v>65.4726</v>
      </c>
      <c r="C274" s="66">
        <f t="shared" si="4"/>
        <v>9.146228683460933E-3</v>
      </c>
      <c r="D274" s="66">
        <f>(Table13[[#This Row],[Index]]-B262)/B262</f>
        <v>5.2260574822929264E-2</v>
      </c>
    </row>
    <row r="275" spans="1:4" x14ac:dyDescent="0.35">
      <c r="A275" s="17">
        <v>34455</v>
      </c>
      <c r="B275" s="58">
        <f>VLOOKUP(Table13[[#This Row],[Date]],database!A:F,6,)</f>
        <v>65.906400000000005</v>
      </c>
      <c r="C275" s="66">
        <f t="shared" si="4"/>
        <v>6.6256724186912752E-3</v>
      </c>
      <c r="D275" s="66">
        <f>(Table13[[#This Row],[Index]]-B263)/B263</f>
        <v>6.051424314152077E-2</v>
      </c>
    </row>
    <row r="276" spans="1:4" x14ac:dyDescent="0.35">
      <c r="A276" s="17">
        <v>34486</v>
      </c>
      <c r="B276" s="58">
        <f>VLOOKUP(Table13[[#This Row],[Date]],database!A:F,6,)</f>
        <v>66.134699999999995</v>
      </c>
      <c r="C276" s="66">
        <f t="shared" si="4"/>
        <v>3.4640034958666188E-3</v>
      </c>
      <c r="D276" s="66">
        <f>(Table13[[#This Row],[Index]]-B264)/B264</f>
        <v>6.5786229402521948E-2</v>
      </c>
    </row>
    <row r="277" spans="1:4" x14ac:dyDescent="0.35">
      <c r="A277" s="17">
        <v>34516</v>
      </c>
      <c r="B277" s="58">
        <f>VLOOKUP(Table13[[#This Row],[Date]],database!A:F,6,)</f>
        <v>66.422200000000004</v>
      </c>
      <c r="C277" s="66">
        <f t="shared" si="4"/>
        <v>4.3471883897561181E-3</v>
      </c>
      <c r="D277" s="66">
        <f>(Table13[[#This Row],[Index]]-B265)/B265</f>
        <v>6.7822659211554379E-2</v>
      </c>
    </row>
    <row r="278" spans="1:4" x14ac:dyDescent="0.35">
      <c r="A278" s="17">
        <v>34547</v>
      </c>
      <c r="B278" s="58">
        <f>VLOOKUP(Table13[[#This Row],[Date]],database!A:F,6,)</f>
        <v>66.971999999999994</v>
      </c>
      <c r="C278" s="66">
        <f t="shared" si="4"/>
        <v>8.2773530536475182E-3</v>
      </c>
      <c r="D278" s="66">
        <f>(Table13[[#This Row],[Index]]-B266)/B266</f>
        <v>7.8089534939875277E-2</v>
      </c>
    </row>
    <row r="279" spans="1:4" x14ac:dyDescent="0.35">
      <c r="A279" s="17">
        <v>34578</v>
      </c>
      <c r="B279" s="58">
        <f>VLOOKUP(Table13[[#This Row],[Date]],database!A:F,6,)</f>
        <v>67.233999999999995</v>
      </c>
      <c r="C279" s="66">
        <f t="shared" si="4"/>
        <v>3.9120826614107429E-3</v>
      </c>
      <c r="D279" s="66">
        <f>(Table13[[#This Row],[Index]]-B267)/B267</f>
        <v>7.4406578690845493E-2</v>
      </c>
    </row>
    <row r="280" spans="1:4" x14ac:dyDescent="0.35">
      <c r="A280" s="17">
        <v>34608</v>
      </c>
      <c r="B280" s="58">
        <f>VLOOKUP(Table13[[#This Row],[Date]],database!A:F,6,)</f>
        <v>67.912899999999993</v>
      </c>
      <c r="C280" s="66">
        <f t="shared" si="4"/>
        <v>1.0097569682006036E-2</v>
      </c>
      <c r="D280" s="66">
        <f>(Table13[[#This Row],[Index]]-B268)/B268</f>
        <v>7.5926324928232355E-2</v>
      </c>
    </row>
    <row r="281" spans="1:4" x14ac:dyDescent="0.35">
      <c r="A281" s="17">
        <v>34639</v>
      </c>
      <c r="B281" s="58">
        <f>VLOOKUP(Table13[[#This Row],[Date]],database!A:F,6,)</f>
        <v>68.482699999999994</v>
      </c>
      <c r="C281" s="66">
        <f t="shared" si="4"/>
        <v>8.3901585707575332E-3</v>
      </c>
      <c r="D281" s="66">
        <f>(Table13[[#This Row],[Index]]-B269)/B269</f>
        <v>7.9744705943564642E-2</v>
      </c>
    </row>
    <row r="282" spans="1:4" x14ac:dyDescent="0.35">
      <c r="A282" s="17">
        <v>34669</v>
      </c>
      <c r="B282" s="58">
        <f>VLOOKUP(Table13[[#This Row],[Date]],database!A:F,6,)</f>
        <v>69.232600000000005</v>
      </c>
      <c r="C282" s="66">
        <f t="shared" si="4"/>
        <v>1.0950210783161385E-2</v>
      </c>
      <c r="D282" s="66">
        <f>(Table13[[#This Row],[Index]]-B270)/B270</f>
        <v>8.4538504918854673E-2</v>
      </c>
    </row>
    <row r="283" spans="1:4" x14ac:dyDescent="0.35">
      <c r="A283" s="17">
        <v>34700</v>
      </c>
      <c r="B283" s="58">
        <f>VLOOKUP(Table13[[#This Row],[Date]],database!A:F,6,)</f>
        <v>69.366299999999995</v>
      </c>
      <c r="C283" s="66">
        <f t="shared" si="4"/>
        <v>1.931171153473743E-3</v>
      </c>
      <c r="D283" s="66">
        <f>(Table13[[#This Row],[Index]]-B271)/B271</f>
        <v>8.5391728864479127E-2</v>
      </c>
    </row>
    <row r="284" spans="1:4" x14ac:dyDescent="0.35">
      <c r="A284" s="17">
        <v>34731</v>
      </c>
      <c r="B284" s="58">
        <f>VLOOKUP(Table13[[#This Row],[Date]],database!A:F,6,)</f>
        <v>69.178200000000004</v>
      </c>
      <c r="C284" s="66">
        <f t="shared" si="4"/>
        <v>-2.7116914121121383E-3</v>
      </c>
      <c r="D284" s="66">
        <f>(Table13[[#This Row],[Index]]-B272)/B272</f>
        <v>8.0463683730461324E-2</v>
      </c>
    </row>
    <row r="285" spans="1:4" x14ac:dyDescent="0.35">
      <c r="A285" s="17">
        <v>34759</v>
      </c>
      <c r="B285" s="58">
        <f>VLOOKUP(Table13[[#This Row],[Date]],database!A:F,6,)</f>
        <v>69.373900000000006</v>
      </c>
      <c r="C285" s="66">
        <f t="shared" si="4"/>
        <v>2.8289258754925495E-3</v>
      </c>
      <c r="D285" s="66">
        <f>(Table13[[#This Row],[Index]]-B273)/B273</f>
        <v>6.9277981232814353E-2</v>
      </c>
    </row>
    <row r="286" spans="1:4" x14ac:dyDescent="0.35">
      <c r="A286" s="17">
        <v>34790</v>
      </c>
      <c r="B286" s="58">
        <f>VLOOKUP(Table13[[#This Row],[Date]],database!A:F,6,)</f>
        <v>69.190899999999999</v>
      </c>
      <c r="C286" s="66">
        <f t="shared" si="4"/>
        <v>-2.637879663677678E-3</v>
      </c>
      <c r="D286" s="66">
        <f>(Table13[[#This Row],[Index]]-B274)/B274</f>
        <v>5.6791696068278934E-2</v>
      </c>
    </row>
    <row r="287" spans="1:4" x14ac:dyDescent="0.35">
      <c r="A287" s="17">
        <v>34820</v>
      </c>
      <c r="B287" s="58">
        <f>VLOOKUP(Table13[[#This Row],[Date]],database!A:F,6,)</f>
        <v>69.423699999999997</v>
      </c>
      <c r="C287" s="66">
        <f t="shared" si="4"/>
        <v>3.3646043049013752E-3</v>
      </c>
      <c r="D287" s="66">
        <f>(Table13[[#This Row],[Index]]-B275)/B275</f>
        <v>5.3368109925591316E-2</v>
      </c>
    </row>
    <row r="288" spans="1:4" x14ac:dyDescent="0.35">
      <c r="A288" s="17">
        <v>34851</v>
      </c>
      <c r="B288" s="58">
        <f>VLOOKUP(Table13[[#This Row],[Date]],database!A:F,6,)</f>
        <v>69.750900000000001</v>
      </c>
      <c r="C288" s="66">
        <f t="shared" si="4"/>
        <v>4.7130878936156861E-3</v>
      </c>
      <c r="D288" s="66">
        <f>(Table13[[#This Row],[Index]]-B276)/B276</f>
        <v>5.4679313582733521E-2</v>
      </c>
    </row>
    <row r="289" spans="1:4" x14ac:dyDescent="0.35">
      <c r="A289" s="17">
        <v>34881</v>
      </c>
      <c r="B289" s="58">
        <f>VLOOKUP(Table13[[#This Row],[Date]],database!A:F,6,)</f>
        <v>69.283699999999996</v>
      </c>
      <c r="C289" s="66">
        <f t="shared" si="4"/>
        <v>-6.6981214579311388E-3</v>
      </c>
      <c r="D289" s="66">
        <f>(Table13[[#This Row],[Index]]-B277)/B277</f>
        <v>4.3080476105880144E-2</v>
      </c>
    </row>
    <row r="290" spans="1:4" x14ac:dyDescent="0.35">
      <c r="A290" s="17">
        <v>34912</v>
      </c>
      <c r="B290" s="58">
        <f>VLOOKUP(Table13[[#This Row],[Date]],database!A:F,6,)</f>
        <v>70.130399999999995</v>
      </c>
      <c r="C290" s="66">
        <f t="shared" si="4"/>
        <v>1.2220767655306997E-2</v>
      </c>
      <c r="D290" s="66">
        <f>(Table13[[#This Row],[Index]]-B278)/B278</f>
        <v>4.7160007167174348E-2</v>
      </c>
    </row>
    <row r="291" spans="1:4" x14ac:dyDescent="0.35">
      <c r="A291" s="17">
        <v>34943</v>
      </c>
      <c r="B291" s="58">
        <f>VLOOKUP(Table13[[#This Row],[Date]],database!A:F,6,)</f>
        <v>70.778000000000006</v>
      </c>
      <c r="C291" s="66">
        <f t="shared" si="4"/>
        <v>9.2342265265850099E-3</v>
      </c>
      <c r="D291" s="66">
        <f>(Table13[[#This Row],[Index]]-B279)/B279</f>
        <v>5.2711425766725335E-2</v>
      </c>
    </row>
    <row r="292" spans="1:4" x14ac:dyDescent="0.35">
      <c r="A292" s="17">
        <v>34973</v>
      </c>
      <c r="B292" s="58">
        <f>VLOOKUP(Table13[[#This Row],[Date]],database!A:F,6,)</f>
        <v>70.731700000000004</v>
      </c>
      <c r="C292" s="66">
        <f t="shared" si="4"/>
        <v>-6.5415807171720353E-4</v>
      </c>
      <c r="D292" s="66">
        <f>(Table13[[#This Row],[Index]]-B280)/B280</f>
        <v>4.1506105614691917E-2</v>
      </c>
    </row>
    <row r="293" spans="1:4" x14ac:dyDescent="0.35">
      <c r="A293" s="17">
        <v>35004</v>
      </c>
      <c r="B293" s="58">
        <f>VLOOKUP(Table13[[#This Row],[Date]],database!A:F,6,)</f>
        <v>70.804199999999994</v>
      </c>
      <c r="C293" s="66">
        <f t="shared" si="4"/>
        <v>1.0250001060343461E-3</v>
      </c>
      <c r="D293" s="66">
        <f>(Table13[[#This Row],[Index]]-B281)/B281</f>
        <v>3.3899072320454665E-2</v>
      </c>
    </row>
    <row r="294" spans="1:4" x14ac:dyDescent="0.35">
      <c r="A294" s="17">
        <v>35034</v>
      </c>
      <c r="B294" s="58">
        <f>VLOOKUP(Table13[[#This Row],[Date]],database!A:F,6,)</f>
        <v>71.097899999999996</v>
      </c>
      <c r="C294" s="66">
        <f t="shared" si="4"/>
        <v>4.1480590134483908E-3</v>
      </c>
      <c r="D294" s="66">
        <f>(Table13[[#This Row],[Index]]-B282)/B282</f>
        <v>2.6942509742520004E-2</v>
      </c>
    </row>
    <row r="295" spans="1:4" x14ac:dyDescent="0.35">
      <c r="A295" s="17">
        <v>35065</v>
      </c>
      <c r="B295" s="58">
        <f>VLOOKUP(Table13[[#This Row],[Date]],database!A:F,6,)</f>
        <v>70.644599999999997</v>
      </c>
      <c r="C295" s="66">
        <f t="shared" si="4"/>
        <v>-6.3757157384395358E-3</v>
      </c>
      <c r="D295" s="66">
        <f>(Table13[[#This Row],[Index]]-B283)/B283</f>
        <v>1.8428256948979573E-2</v>
      </c>
    </row>
    <row r="296" spans="1:4" x14ac:dyDescent="0.35">
      <c r="A296" s="17">
        <v>35096</v>
      </c>
      <c r="B296" s="58">
        <f>VLOOKUP(Table13[[#This Row],[Date]],database!A:F,6,)</f>
        <v>71.681700000000006</v>
      </c>
      <c r="C296" s="66">
        <f t="shared" si="4"/>
        <v>1.4680527598712523E-2</v>
      </c>
      <c r="D296" s="66">
        <f>(Table13[[#This Row],[Index]]-B284)/B284</f>
        <v>3.6189146291750907E-2</v>
      </c>
    </row>
    <row r="297" spans="1:4" x14ac:dyDescent="0.35">
      <c r="A297" s="17">
        <v>35125</v>
      </c>
      <c r="B297" s="58">
        <f>VLOOKUP(Table13[[#This Row],[Date]],database!A:F,6,)</f>
        <v>71.495400000000004</v>
      </c>
      <c r="C297" s="66">
        <f t="shared" si="4"/>
        <v>-2.5989897003001472E-3</v>
      </c>
      <c r="D297" s="66">
        <f>(Table13[[#This Row],[Index]]-B285)/B285</f>
        <v>3.0580665062797354E-2</v>
      </c>
    </row>
    <row r="298" spans="1:4" x14ac:dyDescent="0.35">
      <c r="A298" s="17">
        <v>35156</v>
      </c>
      <c r="B298" s="58">
        <f>VLOOKUP(Table13[[#This Row],[Date]],database!A:F,6,)</f>
        <v>72.395700000000005</v>
      </c>
      <c r="C298" s="66">
        <f t="shared" si="4"/>
        <v>1.259241853322024E-2</v>
      </c>
      <c r="D298" s="66">
        <f>(Table13[[#This Row],[Index]]-B286)/B286</f>
        <v>4.6318229709398286E-2</v>
      </c>
    </row>
    <row r="299" spans="1:4" x14ac:dyDescent="0.35">
      <c r="A299" s="17">
        <v>35186</v>
      </c>
      <c r="B299" s="58">
        <f>VLOOKUP(Table13[[#This Row],[Date]],database!A:F,6,)</f>
        <v>72.983099999999993</v>
      </c>
      <c r="C299" s="66">
        <f t="shared" si="4"/>
        <v>8.113741561998733E-3</v>
      </c>
      <c r="D299" s="66">
        <f>(Table13[[#This Row],[Index]]-B287)/B287</f>
        <v>5.1270675576208076E-2</v>
      </c>
    </row>
    <row r="300" spans="1:4" x14ac:dyDescent="0.35">
      <c r="A300" s="17">
        <v>35217</v>
      </c>
      <c r="B300" s="58">
        <f>VLOOKUP(Table13[[#This Row],[Date]],database!A:F,6,)</f>
        <v>73.708200000000005</v>
      </c>
      <c r="C300" s="66">
        <f t="shared" si="4"/>
        <v>9.9351767738011798E-3</v>
      </c>
      <c r="D300" s="66">
        <f>(Table13[[#This Row],[Index]]-B288)/B288</f>
        <v>5.6734751809654121E-2</v>
      </c>
    </row>
    <row r="301" spans="1:4" x14ac:dyDescent="0.35">
      <c r="A301" s="17">
        <v>35247</v>
      </c>
      <c r="B301" s="58">
        <f>VLOOKUP(Table13[[#This Row],[Date]],database!A:F,6,)</f>
        <v>74.042599999999993</v>
      </c>
      <c r="C301" s="66">
        <f t="shared" si="4"/>
        <v>4.5368086590091838E-3</v>
      </c>
      <c r="D301" s="66">
        <f>(Table13[[#This Row],[Index]]-B289)/B289</f>
        <v>6.8687151523374151E-2</v>
      </c>
    </row>
    <row r="302" spans="1:4" x14ac:dyDescent="0.35">
      <c r="A302" s="17">
        <v>35278</v>
      </c>
      <c r="B302" s="58">
        <f>VLOOKUP(Table13[[#This Row],[Date]],database!A:F,6,)</f>
        <v>74.351200000000006</v>
      </c>
      <c r="C302" s="66">
        <f t="shared" si="4"/>
        <v>4.1678709283576865E-3</v>
      </c>
      <c r="D302" s="66">
        <f>(Table13[[#This Row],[Index]]-B290)/B290</f>
        <v>6.0185026750168423E-2</v>
      </c>
    </row>
    <row r="303" spans="1:4" x14ac:dyDescent="0.35">
      <c r="A303" s="17">
        <v>35309</v>
      </c>
      <c r="B303" s="58">
        <f>VLOOKUP(Table13[[#This Row],[Date]],database!A:F,6,)</f>
        <v>74.985100000000003</v>
      </c>
      <c r="C303" s="66">
        <f t="shared" si="4"/>
        <v>8.5257534511884447E-3</v>
      </c>
      <c r="D303" s="66">
        <f>(Table13[[#This Row],[Index]]-B291)/B291</f>
        <v>5.9440786685128102E-2</v>
      </c>
    </row>
    <row r="304" spans="1:4" x14ac:dyDescent="0.35">
      <c r="A304" s="17">
        <v>35339</v>
      </c>
      <c r="B304" s="58">
        <f>VLOOKUP(Table13[[#This Row],[Date]],database!A:F,6,)</f>
        <v>74.881600000000006</v>
      </c>
      <c r="C304" s="66">
        <f t="shared" si="4"/>
        <v>-1.3802742144772839E-3</v>
      </c>
      <c r="D304" s="66">
        <f>(Table13[[#This Row],[Index]]-B292)/B292</f>
        <v>5.8671006069414451E-2</v>
      </c>
    </row>
    <row r="305" spans="1:4" x14ac:dyDescent="0.35">
      <c r="A305" s="17">
        <v>35370</v>
      </c>
      <c r="B305" s="58">
        <f>VLOOKUP(Table13[[#This Row],[Date]],database!A:F,6,)</f>
        <v>75.5364</v>
      </c>
      <c r="C305" s="66">
        <f t="shared" si="4"/>
        <v>8.7444712719813023E-3</v>
      </c>
      <c r="D305" s="66">
        <f>(Table13[[#This Row],[Index]]-B293)/B293</f>
        <v>6.6835018261628631E-2</v>
      </c>
    </row>
    <row r="306" spans="1:4" x14ac:dyDescent="0.35">
      <c r="A306" s="17">
        <v>35400</v>
      </c>
      <c r="B306" s="58">
        <f>VLOOKUP(Table13[[#This Row],[Date]],database!A:F,6,)</f>
        <v>76.165800000000004</v>
      </c>
      <c r="C306" s="66">
        <f t="shared" si="4"/>
        <v>8.3324066277981057E-3</v>
      </c>
      <c r="D306" s="66">
        <f>(Table13[[#This Row],[Index]]-B294)/B294</f>
        <v>7.1280586346432306E-2</v>
      </c>
    </row>
    <row r="307" spans="1:4" x14ac:dyDescent="0.35">
      <c r="A307" s="17">
        <v>35431</v>
      </c>
      <c r="B307" s="58">
        <f>VLOOKUP(Table13[[#This Row],[Date]],database!A:F,6,)</f>
        <v>76.256200000000007</v>
      </c>
      <c r="C307" s="66">
        <f t="shared" si="4"/>
        <v>1.1868844021858393E-3</v>
      </c>
      <c r="D307" s="66">
        <f>(Table13[[#This Row],[Index]]-B295)/B295</f>
        <v>7.943423842728263E-2</v>
      </c>
    </row>
    <row r="308" spans="1:4" x14ac:dyDescent="0.35">
      <c r="A308" s="17">
        <v>35462</v>
      </c>
      <c r="B308" s="58">
        <f>VLOOKUP(Table13[[#This Row],[Date]],database!A:F,6,)</f>
        <v>77.3018</v>
      </c>
      <c r="C308" s="66">
        <f t="shared" si="4"/>
        <v>1.3711671968967609E-2</v>
      </c>
      <c r="D308" s="66">
        <f>(Table13[[#This Row],[Index]]-B296)/B296</f>
        <v>7.8403553487152139E-2</v>
      </c>
    </row>
    <row r="309" spans="1:4" x14ac:dyDescent="0.35">
      <c r="A309" s="17">
        <v>35490</v>
      </c>
      <c r="B309" s="58">
        <f>VLOOKUP(Table13[[#This Row],[Date]],database!A:F,6,)</f>
        <v>78.077500000000001</v>
      </c>
      <c r="C309" s="66">
        <f t="shared" si="4"/>
        <v>1.003469518174227E-2</v>
      </c>
      <c r="D309" s="66">
        <f>(Table13[[#This Row],[Index]]-B297)/B297</f>
        <v>9.206326560869646E-2</v>
      </c>
    </row>
    <row r="310" spans="1:4" x14ac:dyDescent="0.35">
      <c r="A310" s="17">
        <v>35521</v>
      </c>
      <c r="B310" s="58">
        <f>VLOOKUP(Table13[[#This Row],[Date]],database!A:F,6,)</f>
        <v>77.973299999999995</v>
      </c>
      <c r="C310" s="66">
        <f t="shared" si="4"/>
        <v>-1.3345714194230585E-3</v>
      </c>
      <c r="D310" s="66">
        <f>(Table13[[#This Row],[Index]]-B298)/B298</f>
        <v>7.7043249806272876E-2</v>
      </c>
    </row>
    <row r="311" spans="1:4" x14ac:dyDescent="0.35">
      <c r="A311" s="17">
        <v>35551</v>
      </c>
      <c r="B311" s="58">
        <f>VLOOKUP(Table13[[#This Row],[Date]],database!A:F,6,)</f>
        <v>78.532399999999996</v>
      </c>
      <c r="C311" s="66">
        <f t="shared" si="4"/>
        <v>7.1704032021218111E-3</v>
      </c>
      <c r="D311" s="66">
        <f>(Table13[[#This Row],[Index]]-B299)/B299</f>
        <v>7.6035410937600661E-2</v>
      </c>
    </row>
    <row r="312" spans="1:4" x14ac:dyDescent="0.35">
      <c r="A312" s="17">
        <v>35582</v>
      </c>
      <c r="B312" s="58">
        <f>VLOOKUP(Table13[[#This Row],[Date]],database!A:F,6,)</f>
        <v>79.019800000000004</v>
      </c>
      <c r="C312" s="66">
        <f t="shared" si="4"/>
        <v>6.2063555933602466E-3</v>
      </c>
      <c r="D312" s="66">
        <f>(Table13[[#This Row],[Index]]-B300)/B300</f>
        <v>7.2062538496395226E-2</v>
      </c>
    </row>
    <row r="313" spans="1:4" x14ac:dyDescent="0.35">
      <c r="A313" s="17">
        <v>35612</v>
      </c>
      <c r="B313" s="58">
        <f>VLOOKUP(Table13[[#This Row],[Date]],database!A:F,6,)</f>
        <v>79.601299999999995</v>
      </c>
      <c r="C313" s="66">
        <f t="shared" si="4"/>
        <v>7.3589151073527592E-3</v>
      </c>
      <c r="D313" s="66">
        <f>(Table13[[#This Row],[Index]]-B301)/B301</f>
        <v>7.5074349090928763E-2</v>
      </c>
    </row>
    <row r="314" spans="1:4" x14ac:dyDescent="0.35">
      <c r="A314" s="17">
        <v>35643</v>
      </c>
      <c r="B314" s="58">
        <f>VLOOKUP(Table13[[#This Row],[Date]],database!A:F,6,)</f>
        <v>80.607900000000001</v>
      </c>
      <c r="C314" s="66">
        <f t="shared" si="4"/>
        <v>1.264552212086989E-2</v>
      </c>
      <c r="D314" s="66">
        <f>(Table13[[#This Row],[Index]]-B302)/B302</f>
        <v>8.4150625679208876E-2</v>
      </c>
    </row>
    <row r="315" spans="1:4" x14ac:dyDescent="0.35">
      <c r="A315" s="17">
        <v>35674</v>
      </c>
      <c r="B315" s="58">
        <f>VLOOKUP(Table13[[#This Row],[Date]],database!A:F,6,)</f>
        <v>81.333200000000005</v>
      </c>
      <c r="C315" s="66">
        <f t="shared" si="4"/>
        <v>8.9978773792642741E-3</v>
      </c>
      <c r="D315" s="66">
        <f>(Table13[[#This Row],[Index]]-B303)/B303</f>
        <v>8.4658152086214494E-2</v>
      </c>
    </row>
    <row r="316" spans="1:4" x14ac:dyDescent="0.35">
      <c r="A316" s="17">
        <v>35704</v>
      </c>
      <c r="B316" s="58">
        <f>VLOOKUP(Table13[[#This Row],[Date]],database!A:F,6,)</f>
        <v>82.057000000000002</v>
      </c>
      <c r="C316" s="66">
        <f t="shared" si="4"/>
        <v>8.8991949167129825E-3</v>
      </c>
      <c r="D316" s="66">
        <f>(Table13[[#This Row],[Index]]-B304)/B304</f>
        <v>9.5823273006986967E-2</v>
      </c>
    </row>
    <row r="317" spans="1:4" x14ac:dyDescent="0.35">
      <c r="A317" s="17">
        <v>35735</v>
      </c>
      <c r="B317" s="58">
        <f>VLOOKUP(Table13[[#This Row],[Date]],database!A:F,6,)</f>
        <v>82.916499999999999</v>
      </c>
      <c r="C317" s="66">
        <f t="shared" si="4"/>
        <v>1.0474426313416219E-2</v>
      </c>
      <c r="D317" s="66">
        <f>(Table13[[#This Row],[Index]]-B305)/B305</f>
        <v>9.7702564591375801E-2</v>
      </c>
    </row>
    <row r="318" spans="1:4" x14ac:dyDescent="0.35">
      <c r="A318" s="17">
        <v>35765</v>
      </c>
      <c r="B318" s="58">
        <f>VLOOKUP(Table13[[#This Row],[Date]],database!A:F,6,)</f>
        <v>83.389200000000002</v>
      </c>
      <c r="C318" s="66">
        <f t="shared" si="4"/>
        <v>5.7009159817407173E-3</v>
      </c>
      <c r="D318" s="66">
        <f>(Table13[[#This Row],[Index]]-B306)/B306</f>
        <v>9.4837840605626111E-2</v>
      </c>
    </row>
    <row r="319" spans="1:4" x14ac:dyDescent="0.35">
      <c r="A319" s="17">
        <v>35796</v>
      </c>
      <c r="B319" s="58">
        <f>VLOOKUP(Table13[[#This Row],[Date]],database!A:F,6,)</f>
        <v>84.085499999999996</v>
      </c>
      <c r="C319" s="66">
        <f t="shared" si="4"/>
        <v>8.3500021585527495E-3</v>
      </c>
      <c r="D319" s="66">
        <f>(Table13[[#This Row],[Index]]-B307)/B307</f>
        <v>0.1026709959321339</v>
      </c>
    </row>
    <row r="320" spans="1:4" x14ac:dyDescent="0.35">
      <c r="A320" s="17">
        <v>35827</v>
      </c>
      <c r="B320" s="58">
        <f>VLOOKUP(Table13[[#This Row],[Date]],database!A:F,6,)</f>
        <v>84.185900000000004</v>
      </c>
      <c r="C320" s="66">
        <f t="shared" si="4"/>
        <v>1.1940227506526124E-3</v>
      </c>
      <c r="D320" s="66">
        <f>(Table13[[#This Row],[Index]]-B308)/B308</f>
        <v>8.905484736448574E-2</v>
      </c>
    </row>
    <row r="321" spans="1:4" x14ac:dyDescent="0.35">
      <c r="A321" s="17">
        <v>35855</v>
      </c>
      <c r="B321" s="58">
        <f>VLOOKUP(Table13[[#This Row],[Date]],database!A:F,6,)</f>
        <v>84.006399999999999</v>
      </c>
      <c r="C321" s="66">
        <f t="shared" si="4"/>
        <v>-2.1321860311525054E-3</v>
      </c>
      <c r="D321" s="66">
        <f>(Table13[[#This Row],[Index]]-B309)/B309</f>
        <v>7.5936089142198446E-2</v>
      </c>
    </row>
    <row r="322" spans="1:4" x14ac:dyDescent="0.35">
      <c r="A322" s="17">
        <v>35886</v>
      </c>
      <c r="B322" s="58">
        <f>VLOOKUP(Table13[[#This Row],[Date]],database!A:F,6,)</f>
        <v>84.402199999999993</v>
      </c>
      <c r="C322" s="66">
        <f t="shared" si="4"/>
        <v>4.7115457869875144E-3</v>
      </c>
      <c r="D322" s="66">
        <f>(Table13[[#This Row],[Index]]-B310)/B310</f>
        <v>8.2450018147237569E-2</v>
      </c>
    </row>
    <row r="323" spans="1:4" x14ac:dyDescent="0.35">
      <c r="A323" s="17">
        <v>35916</v>
      </c>
      <c r="B323" s="58">
        <f>VLOOKUP(Table13[[#This Row],[Date]],database!A:F,6,)</f>
        <v>84.8416</v>
      </c>
      <c r="C323" s="66">
        <f t="shared" si="4"/>
        <v>5.2060254353560875E-3</v>
      </c>
      <c r="D323" s="66">
        <f>(Table13[[#This Row],[Index]]-B311)/B311</f>
        <v>8.0338815571662198E-2</v>
      </c>
    </row>
    <row r="324" spans="1:4" x14ac:dyDescent="0.35">
      <c r="A324" s="17">
        <v>35947</v>
      </c>
      <c r="B324" s="58">
        <f>VLOOKUP(Table13[[#This Row],[Date]],database!A:F,6,)</f>
        <v>84.154700000000005</v>
      </c>
      <c r="C324" s="66">
        <f t="shared" si="4"/>
        <v>-8.0962640968580413E-3</v>
      </c>
      <c r="D324" s="66">
        <f>(Table13[[#This Row],[Index]]-B312)/B312</f>
        <v>6.4982447437224616E-2</v>
      </c>
    </row>
    <row r="325" spans="1:4" x14ac:dyDescent="0.35">
      <c r="A325" s="17">
        <v>35977</v>
      </c>
      <c r="B325" s="58">
        <f>VLOOKUP(Table13[[#This Row],[Date]],database!A:F,6,)</f>
        <v>83.724400000000003</v>
      </c>
      <c r="C325" s="66">
        <f t="shared" si="4"/>
        <v>-5.1132022335057536E-3</v>
      </c>
      <c r="D325" s="66">
        <f>(Table13[[#This Row],[Index]]-B313)/B313</f>
        <v>5.1796892764314255E-2</v>
      </c>
    </row>
    <row r="326" spans="1:4" x14ac:dyDescent="0.35">
      <c r="A326" s="17">
        <v>36008</v>
      </c>
      <c r="B326" s="58">
        <f>VLOOKUP(Table13[[#This Row],[Date]],database!A:F,6,)</f>
        <v>85.864400000000003</v>
      </c>
      <c r="C326" s="66">
        <f t="shared" si="4"/>
        <v>2.5560051788964699E-2</v>
      </c>
      <c r="D326" s="66">
        <f>(Table13[[#This Row],[Index]]-B314)/B314</f>
        <v>6.521072996567337E-2</v>
      </c>
    </row>
    <row r="327" spans="1:4" x14ac:dyDescent="0.35">
      <c r="A327" s="17">
        <v>36039</v>
      </c>
      <c r="B327" s="58">
        <f>VLOOKUP(Table13[[#This Row],[Date]],database!A:F,6,)</f>
        <v>85.803299999999993</v>
      </c>
      <c r="C327" s="66">
        <f t="shared" si="4"/>
        <v>-7.115871071131652E-4</v>
      </c>
      <c r="D327" s="66">
        <f>(Table13[[#This Row],[Index]]-B315)/B315</f>
        <v>5.4960336000550669E-2</v>
      </c>
    </row>
    <row r="328" spans="1:4" x14ac:dyDescent="0.35">
      <c r="A328" s="17">
        <v>36069</v>
      </c>
      <c r="B328" s="58">
        <f>VLOOKUP(Table13[[#This Row],[Date]],database!A:F,6,)</f>
        <v>86.548299999999998</v>
      </c>
      <c r="C328" s="66">
        <f t="shared" ref="C328:C391" si="5">B328/B327-1</f>
        <v>8.6826497349170584E-3</v>
      </c>
      <c r="D328" s="66">
        <f>(Table13[[#This Row],[Index]]-B316)/B316</f>
        <v>5.4733904481031423E-2</v>
      </c>
    </row>
    <row r="329" spans="1:4" x14ac:dyDescent="0.35">
      <c r="A329" s="17">
        <v>36100</v>
      </c>
      <c r="B329" s="58">
        <f>VLOOKUP(Table13[[#This Row],[Date]],database!A:F,6,)</f>
        <v>86.6571</v>
      </c>
      <c r="C329" s="66">
        <f t="shared" si="5"/>
        <v>1.2571015259688068E-3</v>
      </c>
      <c r="D329" s="66">
        <f>(Table13[[#This Row],[Index]]-B317)/B317</f>
        <v>4.5112854498200003E-2</v>
      </c>
    </row>
    <row r="330" spans="1:4" x14ac:dyDescent="0.35">
      <c r="A330" s="17">
        <v>36130</v>
      </c>
      <c r="B330" s="58">
        <f>VLOOKUP(Table13[[#This Row],[Date]],database!A:F,6,)</f>
        <v>87.195300000000003</v>
      </c>
      <c r="C330" s="66">
        <f t="shared" si="5"/>
        <v>6.210685564137286E-3</v>
      </c>
      <c r="D330" s="66">
        <f>(Table13[[#This Row],[Index]]-B318)/B318</f>
        <v>4.5642601200155425E-2</v>
      </c>
    </row>
    <row r="331" spans="1:4" x14ac:dyDescent="0.35">
      <c r="A331" s="17">
        <v>36161</v>
      </c>
      <c r="B331" s="58">
        <f>VLOOKUP(Table13[[#This Row],[Date]],database!A:F,6,)</f>
        <v>87.441500000000005</v>
      </c>
      <c r="C331" s="66">
        <f t="shared" si="5"/>
        <v>2.8235466819885868E-3</v>
      </c>
      <c r="D331" s="66">
        <f>(Table13[[#This Row],[Index]]-B319)/B319</f>
        <v>3.991175648595785E-2</v>
      </c>
    </row>
    <row r="332" spans="1:4" x14ac:dyDescent="0.35">
      <c r="A332" s="17">
        <v>36192</v>
      </c>
      <c r="B332" s="58">
        <f>VLOOKUP(Table13[[#This Row],[Date]],database!A:F,6,)</f>
        <v>88.245000000000005</v>
      </c>
      <c r="C332" s="66">
        <f t="shared" si="5"/>
        <v>9.1890006461463614E-3</v>
      </c>
      <c r="D332" s="66">
        <f>(Table13[[#This Row],[Index]]-B320)/B320</f>
        <v>4.8215912640952943E-2</v>
      </c>
    </row>
    <row r="333" spans="1:4" x14ac:dyDescent="0.35">
      <c r="A333" s="17">
        <v>36220</v>
      </c>
      <c r="B333" s="58">
        <f>VLOOKUP(Table13[[#This Row],[Date]],database!A:F,6,)</f>
        <v>88.2119</v>
      </c>
      <c r="C333" s="66">
        <f t="shared" si="5"/>
        <v>-3.7509207320529647E-4</v>
      </c>
      <c r="D333" s="66">
        <f>(Table13[[#This Row],[Index]]-B321)/B321</f>
        <v>5.0061661968611927E-2</v>
      </c>
    </row>
    <row r="334" spans="1:4" x14ac:dyDescent="0.35">
      <c r="A334" s="17">
        <v>36251</v>
      </c>
      <c r="B334" s="58">
        <f>VLOOKUP(Table13[[#This Row],[Date]],database!A:F,6,)</f>
        <v>88.558099999999996</v>
      </c>
      <c r="C334" s="66">
        <f t="shared" si="5"/>
        <v>3.9246405530319883E-3</v>
      </c>
      <c r="D334" s="66">
        <f>(Table13[[#This Row],[Index]]-B322)/B322</f>
        <v>4.9239237839771986E-2</v>
      </c>
    </row>
    <row r="335" spans="1:4" x14ac:dyDescent="0.35">
      <c r="A335" s="17">
        <v>36281</v>
      </c>
      <c r="B335" s="58">
        <f>VLOOKUP(Table13[[#This Row],[Date]],database!A:F,6,)</f>
        <v>89.287499999999994</v>
      </c>
      <c r="C335" s="66">
        <f t="shared" si="5"/>
        <v>8.2364007357880187E-3</v>
      </c>
      <c r="D335" s="66">
        <f>(Table13[[#This Row],[Index]]-B323)/B323</f>
        <v>5.2402359220005218E-2</v>
      </c>
    </row>
    <row r="336" spans="1:4" x14ac:dyDescent="0.35">
      <c r="A336" s="17">
        <v>36312</v>
      </c>
      <c r="B336" s="58">
        <f>VLOOKUP(Table13[[#This Row],[Date]],database!A:F,6,)</f>
        <v>89.093599999999995</v>
      </c>
      <c r="C336" s="66">
        <f t="shared" si="5"/>
        <v>-2.1716365672685978E-3</v>
      </c>
      <c r="D336" s="66">
        <f>(Table13[[#This Row],[Index]]-B324)/B324</f>
        <v>5.8688344204185734E-2</v>
      </c>
    </row>
    <row r="337" spans="1:4" x14ac:dyDescent="0.35">
      <c r="A337" s="17">
        <v>36342</v>
      </c>
      <c r="B337" s="58">
        <f>VLOOKUP(Table13[[#This Row],[Date]],database!A:F,6,)</f>
        <v>89.510599999999997</v>
      </c>
      <c r="C337" s="66">
        <f t="shared" si="5"/>
        <v>4.6804708755736613E-3</v>
      </c>
      <c r="D337" s="66">
        <f>(Table13[[#This Row],[Index]]-B325)/B325</f>
        <v>6.9110080215564321E-2</v>
      </c>
    </row>
    <row r="338" spans="1:4" x14ac:dyDescent="0.35">
      <c r="A338" s="17">
        <v>36373</v>
      </c>
      <c r="B338" s="58">
        <f>VLOOKUP(Table13[[#This Row],[Date]],database!A:F,6,)</f>
        <v>89.982200000000006</v>
      </c>
      <c r="C338" s="66">
        <f t="shared" si="5"/>
        <v>5.2686497465106452E-3</v>
      </c>
      <c r="D338" s="66">
        <f>(Table13[[#This Row],[Index]]-B326)/B326</f>
        <v>4.795701128756507E-2</v>
      </c>
    </row>
    <row r="339" spans="1:4" x14ac:dyDescent="0.35">
      <c r="A339" s="17">
        <v>36404</v>
      </c>
      <c r="B339" s="58">
        <f>VLOOKUP(Table13[[#This Row],[Date]],database!A:F,6,)</f>
        <v>89.570700000000002</v>
      </c>
      <c r="C339" s="66">
        <f t="shared" si="5"/>
        <v>-4.5731266850554952E-3</v>
      </c>
      <c r="D339" s="66">
        <f>(Table13[[#This Row],[Index]]-B327)/B327</f>
        <v>4.3907402162853985E-2</v>
      </c>
    </row>
    <row r="340" spans="1:4" x14ac:dyDescent="0.35">
      <c r="A340" s="17">
        <v>36434</v>
      </c>
      <c r="B340" s="58">
        <f>VLOOKUP(Table13[[#This Row],[Date]],database!A:F,6,)</f>
        <v>90.940700000000007</v>
      </c>
      <c r="C340" s="66">
        <f t="shared" si="5"/>
        <v>1.5295180231928551E-2</v>
      </c>
      <c r="D340" s="66">
        <f>(Table13[[#This Row],[Index]]-B328)/B328</f>
        <v>5.0750852414201193E-2</v>
      </c>
    </row>
    <row r="341" spans="1:4" x14ac:dyDescent="0.35">
      <c r="A341" s="17">
        <v>36465</v>
      </c>
      <c r="B341" s="58">
        <f>VLOOKUP(Table13[[#This Row],[Date]],database!A:F,6,)</f>
        <v>91.546999999999997</v>
      </c>
      <c r="C341" s="66">
        <f t="shared" si="5"/>
        <v>6.666981890396606E-3</v>
      </c>
      <c r="D341" s="66">
        <f>(Table13[[#This Row],[Index]]-B329)/B329</f>
        <v>5.6428151876764823E-2</v>
      </c>
    </row>
    <row r="342" spans="1:4" x14ac:dyDescent="0.35">
      <c r="A342" s="17">
        <v>36495</v>
      </c>
      <c r="B342" s="58">
        <f>VLOOKUP(Table13[[#This Row],[Date]],database!A:F,6,)</f>
        <v>92.207599999999999</v>
      </c>
      <c r="C342" s="66">
        <f t="shared" si="5"/>
        <v>7.2159655695982483E-3</v>
      </c>
      <c r="D342" s="66">
        <f>(Table13[[#This Row],[Index]]-B330)/B330</f>
        <v>5.7483602900615008E-2</v>
      </c>
    </row>
    <row r="343" spans="1:4" x14ac:dyDescent="0.35">
      <c r="A343" s="17">
        <v>36526</v>
      </c>
      <c r="B343" s="58">
        <f>VLOOKUP(Table13[[#This Row],[Date]],database!A:F,6,)</f>
        <v>92.276399999999995</v>
      </c>
      <c r="C343" s="66">
        <f t="shared" si="5"/>
        <v>7.4614240040937752E-4</v>
      </c>
      <c r="D343" s="66">
        <f>(Table13[[#This Row],[Index]]-B331)/B331</f>
        <v>5.5292967298136354E-2</v>
      </c>
    </row>
    <row r="344" spans="1:4" x14ac:dyDescent="0.35">
      <c r="A344" s="17">
        <v>36557</v>
      </c>
      <c r="B344" s="58">
        <f>VLOOKUP(Table13[[#This Row],[Date]],database!A:F,6,)</f>
        <v>92.566900000000004</v>
      </c>
      <c r="C344" s="66">
        <f t="shared" si="5"/>
        <v>3.1481505563719647E-3</v>
      </c>
      <c r="D344" s="66">
        <f>(Table13[[#This Row],[Index]]-B332)/B332</f>
        <v>4.8976145957278026E-2</v>
      </c>
    </row>
    <row r="345" spans="1:4" x14ac:dyDescent="0.35">
      <c r="A345" s="17">
        <v>36586</v>
      </c>
      <c r="B345" s="58">
        <f>VLOOKUP(Table13[[#This Row],[Date]],database!A:F,6,)</f>
        <v>93.194900000000004</v>
      </c>
      <c r="C345" s="66">
        <f t="shared" si="5"/>
        <v>6.7842825027089049E-3</v>
      </c>
      <c r="D345" s="66">
        <f>(Table13[[#This Row],[Index]]-B333)/B333</f>
        <v>5.6488977110798019E-2</v>
      </c>
    </row>
    <row r="346" spans="1:4" x14ac:dyDescent="0.35">
      <c r="A346" s="17">
        <v>36617</v>
      </c>
      <c r="B346" s="58">
        <f>VLOOKUP(Table13[[#This Row],[Date]],database!A:F,6,)</f>
        <v>93.805099999999996</v>
      </c>
      <c r="C346" s="66">
        <f t="shared" si="5"/>
        <v>6.5475685901266178E-3</v>
      </c>
      <c r="D346" s="66">
        <f>(Table13[[#This Row],[Index]]-B334)/B334</f>
        <v>5.9249238635426915E-2</v>
      </c>
    </row>
    <row r="347" spans="1:4" x14ac:dyDescent="0.35">
      <c r="A347" s="17">
        <v>36647</v>
      </c>
      <c r="B347" s="58">
        <f>VLOOKUP(Table13[[#This Row],[Date]],database!A:F,6,)</f>
        <v>93.881500000000003</v>
      </c>
      <c r="C347" s="66">
        <f t="shared" si="5"/>
        <v>8.1445465118634708E-4</v>
      </c>
      <c r="D347" s="66">
        <f>(Table13[[#This Row],[Index]]-B335)/B335</f>
        <v>5.1451770964580805E-2</v>
      </c>
    </row>
    <row r="348" spans="1:4" x14ac:dyDescent="0.35">
      <c r="A348" s="17">
        <v>36678</v>
      </c>
      <c r="B348" s="58">
        <f>VLOOKUP(Table13[[#This Row],[Date]],database!A:F,6,)</f>
        <v>94.015900000000002</v>
      </c>
      <c r="C348" s="66">
        <f t="shared" si="5"/>
        <v>1.4315919536862509E-3</v>
      </c>
      <c r="D348" s="66">
        <f>(Table13[[#This Row],[Index]]-B336)/B336</f>
        <v>5.5248637388095295E-2</v>
      </c>
    </row>
    <row r="349" spans="1:4" x14ac:dyDescent="0.35">
      <c r="A349" s="17">
        <v>36708</v>
      </c>
      <c r="B349" s="58">
        <f>VLOOKUP(Table13[[#This Row],[Date]],database!A:F,6,)</f>
        <v>94.093000000000004</v>
      </c>
      <c r="C349" s="66">
        <f t="shared" si="5"/>
        <v>8.2007405130402056E-4</v>
      </c>
      <c r="D349" s="66">
        <f>(Table13[[#This Row],[Index]]-B337)/B337</f>
        <v>5.1193936807484332E-2</v>
      </c>
    </row>
    <row r="350" spans="1:4" x14ac:dyDescent="0.35">
      <c r="A350" s="17">
        <v>36739</v>
      </c>
      <c r="B350" s="58">
        <f>VLOOKUP(Table13[[#This Row],[Date]],database!A:F,6,)</f>
        <v>93.496899999999997</v>
      </c>
      <c r="C350" s="66">
        <f t="shared" si="5"/>
        <v>-6.3352215361398567E-3</v>
      </c>
      <c r="D350" s="66">
        <f>(Table13[[#This Row],[Index]]-B338)/B338</f>
        <v>3.9059947411821345E-2</v>
      </c>
    </row>
    <row r="351" spans="1:4" x14ac:dyDescent="0.35">
      <c r="A351" s="17">
        <v>36770</v>
      </c>
      <c r="B351" s="58">
        <f>VLOOKUP(Table13[[#This Row],[Date]],database!A:F,6,)</f>
        <v>93.942599999999999</v>
      </c>
      <c r="C351" s="66">
        <f t="shared" si="5"/>
        <v>4.7670029701518679E-3</v>
      </c>
      <c r="D351" s="66">
        <f>(Table13[[#This Row],[Index]]-B339)/B339</f>
        <v>4.8809487924064414E-2</v>
      </c>
    </row>
    <row r="352" spans="1:4" x14ac:dyDescent="0.35">
      <c r="A352" s="17">
        <v>36800</v>
      </c>
      <c r="B352" s="58">
        <f>VLOOKUP(Table13[[#This Row],[Date]],database!A:F,6,)</f>
        <v>93.668899999999994</v>
      </c>
      <c r="C352" s="66">
        <f t="shared" si="5"/>
        <v>-2.9134812108670971E-3</v>
      </c>
      <c r="D352" s="66">
        <f>(Table13[[#This Row],[Index]]-B340)/B340</f>
        <v>2.9999769080290638E-2</v>
      </c>
    </row>
    <row r="353" spans="1:4" x14ac:dyDescent="0.35">
      <c r="A353" s="17">
        <v>36831</v>
      </c>
      <c r="B353" s="58">
        <f>VLOOKUP(Table13[[#This Row],[Date]],database!A:F,6,)</f>
        <v>93.4114</v>
      </c>
      <c r="C353" s="66">
        <f t="shared" si="5"/>
        <v>-2.7490447736654433E-3</v>
      </c>
      <c r="D353" s="66">
        <f>(Table13[[#This Row],[Index]]-B341)/B341</f>
        <v>2.0365495319344201E-2</v>
      </c>
    </row>
    <row r="354" spans="1:4" x14ac:dyDescent="0.35">
      <c r="A354" s="17">
        <v>36861</v>
      </c>
      <c r="B354" s="58">
        <f>VLOOKUP(Table13[[#This Row],[Date]],database!A:F,6,)</f>
        <v>92.862399999999994</v>
      </c>
      <c r="C354" s="66">
        <f t="shared" si="5"/>
        <v>-5.8772269765789975E-3</v>
      </c>
      <c r="D354" s="66">
        <f>(Table13[[#This Row],[Index]]-B342)/B342</f>
        <v>7.1013669155253418E-3</v>
      </c>
    </row>
    <row r="355" spans="1:4" x14ac:dyDescent="0.35">
      <c r="A355" s="17">
        <v>36892</v>
      </c>
      <c r="B355" s="58">
        <f>VLOOKUP(Table13[[#This Row],[Date]],database!A:F,6,)</f>
        <v>92.431200000000004</v>
      </c>
      <c r="C355" s="66">
        <f t="shared" si="5"/>
        <v>-4.6434294181497693E-3</v>
      </c>
      <c r="D355" s="66">
        <f>(Table13[[#This Row],[Index]]-B343)/B343</f>
        <v>1.6775686957879665E-3</v>
      </c>
    </row>
    <row r="356" spans="1:4" x14ac:dyDescent="0.35">
      <c r="A356" s="17">
        <v>36923</v>
      </c>
      <c r="B356" s="58">
        <f>VLOOKUP(Table13[[#This Row],[Date]],database!A:F,6,)</f>
        <v>91.897999999999996</v>
      </c>
      <c r="C356" s="66">
        <f t="shared" si="5"/>
        <v>-5.768614926561666E-3</v>
      </c>
      <c r="D356" s="66">
        <f>(Table13[[#This Row],[Index]]-B344)/B344</f>
        <v>-7.2261251051942733E-3</v>
      </c>
    </row>
    <row r="357" spans="1:4" x14ac:dyDescent="0.35">
      <c r="A357" s="17">
        <v>36951</v>
      </c>
      <c r="B357" s="58">
        <f>VLOOKUP(Table13[[#This Row],[Date]],database!A:F,6,)</f>
        <v>91.716300000000004</v>
      </c>
      <c r="C357" s="66">
        <f t="shared" si="5"/>
        <v>-1.9771921042894824E-3</v>
      </c>
      <c r="D357" s="66">
        <f>(Table13[[#This Row],[Index]]-B345)/B345</f>
        <v>-1.5865675053034017E-2</v>
      </c>
    </row>
    <row r="358" spans="1:4" x14ac:dyDescent="0.35">
      <c r="A358" s="17">
        <v>36982</v>
      </c>
      <c r="B358" s="58">
        <f>VLOOKUP(Table13[[#This Row],[Date]],database!A:F,6,)</f>
        <v>91.3506</v>
      </c>
      <c r="C358" s="66">
        <f t="shared" si="5"/>
        <v>-3.9872956061245413E-3</v>
      </c>
      <c r="D358" s="66">
        <f>(Table13[[#This Row],[Index]]-B346)/B346</f>
        <v>-2.6165954729540249E-2</v>
      </c>
    </row>
    <row r="359" spans="1:4" x14ac:dyDescent="0.35">
      <c r="A359" s="17">
        <v>37012</v>
      </c>
      <c r="B359" s="58">
        <f>VLOOKUP(Table13[[#This Row],[Date]],database!A:F,6,)</f>
        <v>90.750399999999999</v>
      </c>
      <c r="C359" s="66">
        <f t="shared" si="5"/>
        <v>-6.5702907260598575E-3</v>
      </c>
      <c r="D359" s="66">
        <f>(Table13[[#This Row],[Index]]-B347)/B347</f>
        <v>-3.3351618796035466E-2</v>
      </c>
    </row>
    <row r="360" spans="1:4" x14ac:dyDescent="0.35">
      <c r="A360" s="17">
        <v>37043</v>
      </c>
      <c r="B360" s="58">
        <f>VLOOKUP(Table13[[#This Row],[Date]],database!A:F,6,)</f>
        <v>90.148399999999995</v>
      </c>
      <c r="C360" s="66">
        <f t="shared" si="5"/>
        <v>-6.6335795765087857E-3</v>
      </c>
      <c r="D360" s="66">
        <f>(Table13[[#This Row],[Index]]-B348)/B348</f>
        <v>-4.1136658799203182E-2</v>
      </c>
    </row>
    <row r="361" spans="1:4" x14ac:dyDescent="0.35">
      <c r="A361" s="17">
        <v>37073</v>
      </c>
      <c r="B361" s="58">
        <f>VLOOKUP(Table13[[#This Row],[Date]],database!A:F,6,)</f>
        <v>89.633200000000002</v>
      </c>
      <c r="C361" s="66">
        <f t="shared" si="5"/>
        <v>-5.7150210098015908E-3</v>
      </c>
      <c r="D361" s="66">
        <f>(Table13[[#This Row],[Index]]-B349)/B349</f>
        <v>-4.7397787295548034E-2</v>
      </c>
    </row>
    <row r="362" spans="1:4" x14ac:dyDescent="0.35">
      <c r="A362" s="17">
        <v>37104</v>
      </c>
      <c r="B362" s="58">
        <f>VLOOKUP(Table13[[#This Row],[Date]],database!A:F,6,)</f>
        <v>89.272999999999996</v>
      </c>
      <c r="C362" s="66">
        <f t="shared" si="5"/>
        <v>-4.0186002508000307E-3</v>
      </c>
      <c r="D362" s="66">
        <f>(Table13[[#This Row],[Index]]-B350)/B350</f>
        <v>-4.5176898913226009E-2</v>
      </c>
    </row>
    <row r="363" spans="1:4" x14ac:dyDescent="0.35">
      <c r="A363" s="17">
        <v>37135</v>
      </c>
      <c r="B363" s="58">
        <f>VLOOKUP(Table13[[#This Row],[Date]],database!A:F,6,)</f>
        <v>88.916499999999999</v>
      </c>
      <c r="C363" s="66">
        <f t="shared" si="5"/>
        <v>-3.9933686556965498E-3</v>
      </c>
      <c r="D363" s="66">
        <f>(Table13[[#This Row],[Index]]-B351)/B351</f>
        <v>-5.3501819195977116E-2</v>
      </c>
    </row>
    <row r="364" spans="1:4" x14ac:dyDescent="0.35">
      <c r="A364" s="17">
        <v>37165</v>
      </c>
      <c r="B364" s="58">
        <f>VLOOKUP(Table13[[#This Row],[Date]],database!A:F,6,)</f>
        <v>88.521100000000004</v>
      </c>
      <c r="C364" s="66">
        <f t="shared" si="5"/>
        <v>-4.4468686914126421E-3</v>
      </c>
      <c r="D364" s="66">
        <f>(Table13[[#This Row],[Index]]-B352)/B352</f>
        <v>-5.4957408488836637E-2</v>
      </c>
    </row>
    <row r="365" spans="1:4" x14ac:dyDescent="0.35">
      <c r="A365" s="17">
        <v>37196</v>
      </c>
      <c r="B365" s="58">
        <f>VLOOKUP(Table13[[#This Row],[Date]],database!A:F,6,)</f>
        <v>88.2363</v>
      </c>
      <c r="C365" s="66">
        <f t="shared" si="5"/>
        <v>-3.2173120306910885E-3</v>
      </c>
      <c r="D365" s="66">
        <f>(Table13[[#This Row],[Index]]-B353)/B353</f>
        <v>-5.5401160886144524E-2</v>
      </c>
    </row>
    <row r="366" spans="1:4" x14ac:dyDescent="0.35">
      <c r="A366" s="17">
        <v>37226</v>
      </c>
      <c r="B366" s="58">
        <f>VLOOKUP(Table13[[#This Row],[Date]],database!A:F,6,)</f>
        <v>88.409199999999998</v>
      </c>
      <c r="C366" s="66">
        <f t="shared" si="5"/>
        <v>1.959510994907987E-3</v>
      </c>
      <c r="D366" s="66">
        <f>(Table13[[#This Row],[Index]]-B354)/B354</f>
        <v>-4.7954823480762888E-2</v>
      </c>
    </row>
    <row r="367" spans="1:4" x14ac:dyDescent="0.35">
      <c r="A367" s="17">
        <v>37257</v>
      </c>
      <c r="B367" s="58">
        <f>VLOOKUP(Table13[[#This Row],[Date]],database!A:F,6,)</f>
        <v>89.022800000000004</v>
      </c>
      <c r="C367" s="66">
        <f t="shared" si="5"/>
        <v>6.9404541608792947E-3</v>
      </c>
      <c r="D367" s="66">
        <f>(Table13[[#This Row],[Index]]-B355)/B355</f>
        <v>-3.6874994590571149E-2</v>
      </c>
    </row>
    <row r="368" spans="1:4" x14ac:dyDescent="0.35">
      <c r="A368" s="17">
        <v>37288</v>
      </c>
      <c r="B368" s="58">
        <f>VLOOKUP(Table13[[#This Row],[Date]],database!A:F,6,)</f>
        <v>89.048599999999993</v>
      </c>
      <c r="C368" s="66">
        <f t="shared" si="5"/>
        <v>2.8981339611866552E-4</v>
      </c>
      <c r="D368" s="66">
        <f>(Table13[[#This Row],[Index]]-B356)/B356</f>
        <v>-3.1006115475853697E-2</v>
      </c>
    </row>
    <row r="369" spans="1:4" x14ac:dyDescent="0.35">
      <c r="A369" s="17">
        <v>37316</v>
      </c>
      <c r="B369" s="58">
        <f>VLOOKUP(Table13[[#This Row],[Date]],database!A:F,6,)</f>
        <v>89.761499999999998</v>
      </c>
      <c r="C369" s="66">
        <f t="shared" si="5"/>
        <v>8.0057406854234792E-3</v>
      </c>
      <c r="D369" s="66">
        <f>(Table13[[#This Row],[Index]]-B357)/B357</f>
        <v>-2.1313550590244108E-2</v>
      </c>
    </row>
    <row r="370" spans="1:4" x14ac:dyDescent="0.35">
      <c r="A370" s="17">
        <v>37347</v>
      </c>
      <c r="B370" s="58">
        <f>VLOOKUP(Table13[[#This Row],[Date]],database!A:F,6,)</f>
        <v>90.066999999999993</v>
      </c>
      <c r="C370" s="66">
        <f t="shared" si="5"/>
        <v>3.4034636230455551E-3</v>
      </c>
      <c r="D370" s="66">
        <f>(Table13[[#This Row],[Index]]-B358)/B358</f>
        <v>-1.4051358173892749E-2</v>
      </c>
    </row>
    <row r="371" spans="1:4" x14ac:dyDescent="0.35">
      <c r="A371" s="17">
        <v>37377</v>
      </c>
      <c r="B371" s="58">
        <f>VLOOKUP(Table13[[#This Row],[Date]],database!A:F,6,)</f>
        <v>90.579099999999997</v>
      </c>
      <c r="C371" s="66">
        <f t="shared" si="5"/>
        <v>5.6857672621493105E-3</v>
      </c>
      <c r="D371" s="66">
        <f>(Table13[[#This Row],[Index]]-B359)/B359</f>
        <v>-1.8875949858072497E-3</v>
      </c>
    </row>
    <row r="372" spans="1:4" x14ac:dyDescent="0.35">
      <c r="A372" s="17">
        <v>37408</v>
      </c>
      <c r="B372" s="58">
        <f>VLOOKUP(Table13[[#This Row],[Date]],database!A:F,6,)</f>
        <v>91.500299999999996</v>
      </c>
      <c r="C372" s="66">
        <f t="shared" si="5"/>
        <v>1.0170116505904714E-2</v>
      </c>
      <c r="D372" s="66">
        <f>(Table13[[#This Row],[Index]]-B360)/B360</f>
        <v>1.4996383740587749E-2</v>
      </c>
    </row>
    <row r="373" spans="1:4" x14ac:dyDescent="0.35">
      <c r="A373" s="17">
        <v>37438</v>
      </c>
      <c r="B373" s="58">
        <f>VLOOKUP(Table13[[#This Row],[Date]],database!A:F,6,)</f>
        <v>91.402799999999999</v>
      </c>
      <c r="C373" s="66">
        <f t="shared" si="5"/>
        <v>-1.0655702768187503E-3</v>
      </c>
      <c r="D373" s="66">
        <f>(Table13[[#This Row],[Index]]-B361)/B361</f>
        <v>1.9742684630248579E-2</v>
      </c>
    </row>
    <row r="374" spans="1:4" x14ac:dyDescent="0.35">
      <c r="A374" s="17">
        <v>37469</v>
      </c>
      <c r="B374" s="58">
        <f>VLOOKUP(Table13[[#This Row],[Date]],database!A:F,6,)</f>
        <v>91.470399999999998</v>
      </c>
      <c r="C374" s="66">
        <f t="shared" si="5"/>
        <v>7.3958347009051018E-4</v>
      </c>
      <c r="D374" s="66">
        <f>(Table13[[#This Row],[Index]]-B362)/B362</f>
        <v>2.4614385088436615E-2</v>
      </c>
    </row>
    <row r="375" spans="1:4" x14ac:dyDescent="0.35">
      <c r="A375" s="17">
        <v>37500</v>
      </c>
      <c r="B375" s="58">
        <f>VLOOKUP(Table13[[#This Row],[Date]],database!A:F,6,)</f>
        <v>91.57</v>
      </c>
      <c r="C375" s="66">
        <f t="shared" si="5"/>
        <v>1.0888768388461756E-3</v>
      </c>
      <c r="D375" s="66">
        <f>(Table13[[#This Row],[Index]]-B363)/B363</f>
        <v>2.9842605140778078E-2</v>
      </c>
    </row>
    <row r="376" spans="1:4" x14ac:dyDescent="0.35">
      <c r="A376" s="17">
        <v>37530</v>
      </c>
      <c r="B376" s="58">
        <f>VLOOKUP(Table13[[#This Row],[Date]],database!A:F,6,)</f>
        <v>91.275599999999997</v>
      </c>
      <c r="C376" s="66">
        <f t="shared" si="5"/>
        <v>-3.2150267554875711E-3</v>
      </c>
      <c r="D376" s="66">
        <f>(Table13[[#This Row],[Index]]-B364)/B364</f>
        <v>3.1116874959755278E-2</v>
      </c>
    </row>
    <row r="377" spans="1:4" x14ac:dyDescent="0.35">
      <c r="A377" s="17">
        <v>37561</v>
      </c>
      <c r="B377" s="58">
        <f>VLOOKUP(Table13[[#This Row],[Date]],database!A:F,6,)</f>
        <v>91.762500000000003</v>
      </c>
      <c r="C377" s="66">
        <f t="shared" si="5"/>
        <v>5.3343938577232741E-3</v>
      </c>
      <c r="D377" s="66">
        <f>(Table13[[#This Row],[Index]]-B365)/B365</f>
        <v>3.996314442015364E-2</v>
      </c>
    </row>
    <row r="378" spans="1:4" x14ac:dyDescent="0.35">
      <c r="A378" s="17">
        <v>37591</v>
      </c>
      <c r="B378" s="58">
        <f>VLOOKUP(Table13[[#This Row],[Date]],database!A:F,6,)</f>
        <v>91.134699999999995</v>
      </c>
      <c r="C378" s="66">
        <f t="shared" si="5"/>
        <v>-6.8415747173410368E-3</v>
      </c>
      <c r="D378" s="66">
        <f>(Table13[[#This Row],[Index]]-B366)/B366</f>
        <v>3.082823959497424E-2</v>
      </c>
    </row>
    <row r="379" spans="1:4" x14ac:dyDescent="0.35">
      <c r="A379" s="17">
        <v>37622</v>
      </c>
      <c r="B379" s="58">
        <f>VLOOKUP(Table13[[#This Row],[Date]],database!A:F,6,)</f>
        <v>91.931399999999996</v>
      </c>
      <c r="C379" s="66">
        <f t="shared" si="5"/>
        <v>8.7420049662751964E-3</v>
      </c>
      <c r="D379" s="66">
        <f>(Table13[[#This Row],[Index]]-B367)/B367</f>
        <v>3.2672528835309522E-2</v>
      </c>
    </row>
    <row r="380" spans="1:4" x14ac:dyDescent="0.35">
      <c r="A380" s="17">
        <v>37653</v>
      </c>
      <c r="B380" s="58">
        <f>VLOOKUP(Table13[[#This Row],[Date]],database!A:F,6,)</f>
        <v>91.804500000000004</v>
      </c>
      <c r="C380" s="66">
        <f t="shared" si="5"/>
        <v>-1.380377107277786E-3</v>
      </c>
      <c r="D380" s="66">
        <f>(Table13[[#This Row],[Index]]-B368)/B368</f>
        <v>3.0948268698216607E-2</v>
      </c>
    </row>
    <row r="381" spans="1:4" x14ac:dyDescent="0.35">
      <c r="A381" s="17">
        <v>37681</v>
      </c>
      <c r="B381" s="58">
        <f>VLOOKUP(Table13[[#This Row],[Date]],database!A:F,6,)</f>
        <v>91.894300000000001</v>
      </c>
      <c r="C381" s="66">
        <f t="shared" si="5"/>
        <v>9.781655583331883E-4</v>
      </c>
      <c r="D381" s="66">
        <f>(Table13[[#This Row],[Index]]-B369)/B369</f>
        <v>2.3760743748711899E-2</v>
      </c>
    </row>
    <row r="382" spans="1:4" x14ac:dyDescent="0.35">
      <c r="A382" s="17">
        <v>37712</v>
      </c>
      <c r="B382" s="58">
        <f>VLOOKUP(Table13[[#This Row],[Date]],database!A:F,6,)</f>
        <v>91.236900000000006</v>
      </c>
      <c r="C382" s="66">
        <f t="shared" si="5"/>
        <v>-7.153871350018437E-3</v>
      </c>
      <c r="D382" s="66">
        <f>(Table13[[#This Row],[Index]]-B370)/B370</f>
        <v>1.2989219136864918E-2</v>
      </c>
    </row>
    <row r="383" spans="1:4" x14ac:dyDescent="0.35">
      <c r="A383" s="17">
        <v>37742</v>
      </c>
      <c r="B383" s="58">
        <f>VLOOKUP(Table13[[#This Row],[Date]],database!A:F,6,)</f>
        <v>91.2911</v>
      </c>
      <c r="C383" s="66">
        <f t="shared" si="5"/>
        <v>5.9405788666633264E-4</v>
      </c>
      <c r="D383" s="66">
        <f>(Table13[[#This Row],[Index]]-B371)/B371</f>
        <v>7.8605329485499781E-3</v>
      </c>
    </row>
    <row r="384" spans="1:4" x14ac:dyDescent="0.35">
      <c r="A384" s="17">
        <v>37773</v>
      </c>
      <c r="B384" s="58">
        <f>VLOOKUP(Table13[[#This Row],[Date]],database!A:F,6,)</f>
        <v>91.719200000000001</v>
      </c>
      <c r="C384" s="66">
        <f t="shared" si="5"/>
        <v>4.6893946945540943E-3</v>
      </c>
      <c r="D384" s="66">
        <f>(Table13[[#This Row],[Index]]-B372)/B372</f>
        <v>2.3923418830321319E-3</v>
      </c>
    </row>
    <row r="385" spans="1:4" x14ac:dyDescent="0.35">
      <c r="A385" s="17">
        <v>37803</v>
      </c>
      <c r="B385" s="58">
        <f>VLOOKUP(Table13[[#This Row],[Date]],database!A:F,6,)</f>
        <v>92.087800000000001</v>
      </c>
      <c r="C385" s="66">
        <f t="shared" si="5"/>
        <v>4.0187877783495196E-3</v>
      </c>
      <c r="D385" s="66">
        <f>(Table13[[#This Row],[Index]]-B373)/B373</f>
        <v>7.4942999558000661E-3</v>
      </c>
    </row>
    <row r="386" spans="1:4" x14ac:dyDescent="0.35">
      <c r="A386" s="17">
        <v>37834</v>
      </c>
      <c r="B386" s="58">
        <f>VLOOKUP(Table13[[#This Row],[Date]],database!A:F,6,)</f>
        <v>91.709000000000003</v>
      </c>
      <c r="C386" s="66">
        <f t="shared" si="5"/>
        <v>-4.1134656273686954E-3</v>
      </c>
      <c r="D386" s="66">
        <f>(Table13[[#This Row],[Index]]-B374)/B374</f>
        <v>2.6084941139429287E-3</v>
      </c>
    </row>
    <row r="387" spans="1:4" x14ac:dyDescent="0.35">
      <c r="A387" s="17">
        <v>37865</v>
      </c>
      <c r="B387" s="58">
        <f>VLOOKUP(Table13[[#This Row],[Date]],database!A:F,6,)</f>
        <v>92.54</v>
      </c>
      <c r="C387" s="66">
        <f t="shared" si="5"/>
        <v>9.0612698862706509E-3</v>
      </c>
      <c r="D387" s="66">
        <f>(Table13[[#This Row],[Index]]-B375)/B375</f>
        <v>1.0592988970186887E-2</v>
      </c>
    </row>
    <row r="388" spans="1:4" x14ac:dyDescent="0.35">
      <c r="A388" s="17">
        <v>37895</v>
      </c>
      <c r="B388" s="58">
        <f>VLOOKUP(Table13[[#This Row],[Date]],database!A:F,6,)</f>
        <v>92.616299999999995</v>
      </c>
      <c r="C388" s="66">
        <f t="shared" si="5"/>
        <v>8.2450832072611391E-4</v>
      </c>
      <c r="D388" s="66">
        <f>(Table13[[#This Row],[Index]]-B376)/B376</f>
        <v>1.4688481916306201E-2</v>
      </c>
    </row>
    <row r="389" spans="1:4" x14ac:dyDescent="0.35">
      <c r="A389" s="17">
        <v>37926</v>
      </c>
      <c r="B389" s="58">
        <f>VLOOKUP(Table13[[#This Row],[Date]],database!A:F,6,)</f>
        <v>93.462599999999995</v>
      </c>
      <c r="C389" s="66">
        <f t="shared" si="5"/>
        <v>9.1377003831938364E-3</v>
      </c>
      <c r="D389" s="66">
        <f>(Table13[[#This Row],[Index]]-B377)/B377</f>
        <v>1.8527176134041597E-2</v>
      </c>
    </row>
    <row r="390" spans="1:4" x14ac:dyDescent="0.35">
      <c r="A390" s="17">
        <v>37956</v>
      </c>
      <c r="B390" s="58">
        <f>VLOOKUP(Table13[[#This Row],[Date]],database!A:F,6,)</f>
        <v>93.421599999999998</v>
      </c>
      <c r="C390" s="66">
        <f t="shared" si="5"/>
        <v>-4.3867814505482716E-4</v>
      </c>
      <c r="D390" s="66">
        <f>(Table13[[#This Row],[Index]]-B378)/B378</f>
        <v>2.5093625150464125E-2</v>
      </c>
    </row>
    <row r="391" spans="1:4" x14ac:dyDescent="0.35">
      <c r="A391" s="17">
        <v>37987</v>
      </c>
      <c r="B391" s="58">
        <f>VLOOKUP(Table13[[#This Row],[Date]],database!A:F,6,)</f>
        <v>93.357100000000003</v>
      </c>
      <c r="C391" s="66">
        <f t="shared" si="5"/>
        <v>-6.904184899423349E-4</v>
      </c>
      <c r="D391" s="66">
        <f>(Table13[[#This Row],[Index]]-B379)/B379</f>
        <v>1.5508302930228477E-2</v>
      </c>
    </row>
    <row r="392" spans="1:4" x14ac:dyDescent="0.35">
      <c r="A392" s="17">
        <v>38018</v>
      </c>
      <c r="B392" s="58">
        <f>VLOOKUP(Table13[[#This Row],[Date]],database!A:F,6,)</f>
        <v>94.042000000000002</v>
      </c>
      <c r="C392" s="66">
        <f t="shared" ref="C392:C455" si="6">B392/B391-1</f>
        <v>7.3363461375728356E-3</v>
      </c>
      <c r="D392" s="66">
        <f>(Table13[[#This Row],[Index]]-B380)/B380</f>
        <v>2.4372443616598283E-2</v>
      </c>
    </row>
    <row r="393" spans="1:4" x14ac:dyDescent="0.35">
      <c r="A393" s="17">
        <v>38047</v>
      </c>
      <c r="B393" s="58">
        <f>VLOOKUP(Table13[[#This Row],[Date]],database!A:F,6,)</f>
        <v>94.000699999999995</v>
      </c>
      <c r="C393" s="66">
        <f t="shared" si="6"/>
        <v>-4.3916547925404448E-4</v>
      </c>
      <c r="D393" s="66">
        <f>(Table13[[#This Row],[Index]]-B381)/B381</f>
        <v>2.2921987544385163E-2</v>
      </c>
    </row>
    <row r="394" spans="1:4" x14ac:dyDescent="0.35">
      <c r="A394" s="17">
        <v>38078</v>
      </c>
      <c r="B394" s="58">
        <f>VLOOKUP(Table13[[#This Row],[Date]],database!A:F,6,)</f>
        <v>94.311999999999998</v>
      </c>
      <c r="C394" s="66">
        <f t="shared" si="6"/>
        <v>3.3116774662316217E-3</v>
      </c>
      <c r="D394" s="66">
        <f>(Table13[[#This Row],[Index]]-B382)/B382</f>
        <v>3.3704564710111719E-2</v>
      </c>
    </row>
    <row r="395" spans="1:4" x14ac:dyDescent="0.35">
      <c r="A395" s="17">
        <v>38108</v>
      </c>
      <c r="B395" s="58">
        <f>VLOOKUP(Table13[[#This Row],[Date]],database!A:F,6,)</f>
        <v>94.9846</v>
      </c>
      <c r="C395" s="66">
        <f t="shared" si="6"/>
        <v>7.1316481465772963E-3</v>
      </c>
      <c r="D395" s="66">
        <f>(Table13[[#This Row],[Index]]-B383)/B383</f>
        <v>4.0458489381768874E-2</v>
      </c>
    </row>
    <row r="396" spans="1:4" x14ac:dyDescent="0.35">
      <c r="A396" s="17">
        <v>38139</v>
      </c>
      <c r="B396" s="58">
        <f>VLOOKUP(Table13[[#This Row],[Date]],database!A:F,6,)</f>
        <v>94.276300000000006</v>
      </c>
      <c r="C396" s="66">
        <f t="shared" si="6"/>
        <v>-7.4569982923546885E-3</v>
      </c>
      <c r="D396" s="66">
        <f>(Table13[[#This Row],[Index]]-B384)/B384</f>
        <v>2.7879658784638391E-2</v>
      </c>
    </row>
    <row r="397" spans="1:4" x14ac:dyDescent="0.35">
      <c r="A397" s="17">
        <v>38169</v>
      </c>
      <c r="B397" s="58">
        <f>VLOOKUP(Table13[[#This Row],[Date]],database!A:F,6,)</f>
        <v>95.096800000000002</v>
      </c>
      <c r="C397" s="66">
        <f t="shared" si="6"/>
        <v>8.7031417227871888E-3</v>
      </c>
      <c r="D397" s="66">
        <f>(Table13[[#This Row],[Index]]-B385)/B385</f>
        <v>3.2675338101246856E-2</v>
      </c>
    </row>
    <row r="398" spans="1:4" x14ac:dyDescent="0.35">
      <c r="A398" s="17">
        <v>38200</v>
      </c>
      <c r="B398" s="58">
        <f>VLOOKUP(Table13[[#This Row],[Date]],database!A:F,6,)</f>
        <v>95.533900000000003</v>
      </c>
      <c r="C398" s="66">
        <f t="shared" si="6"/>
        <v>4.5963691733055256E-3</v>
      </c>
      <c r="D398" s="66">
        <f>(Table13[[#This Row],[Index]]-B386)/B386</f>
        <v>4.1706920803846942E-2</v>
      </c>
    </row>
    <row r="399" spans="1:4" x14ac:dyDescent="0.35">
      <c r="A399" s="17">
        <v>38231</v>
      </c>
      <c r="B399" s="58">
        <f>VLOOKUP(Table13[[#This Row],[Date]],database!A:F,6,)</f>
        <v>95.61</v>
      </c>
      <c r="C399" s="66">
        <f t="shared" si="6"/>
        <v>7.9657587516046569E-4</v>
      </c>
      <c r="D399" s="66">
        <f>(Table13[[#This Row],[Index]]-B387)/B387</f>
        <v>3.3174843311000575E-2</v>
      </c>
    </row>
    <row r="400" spans="1:4" x14ac:dyDescent="0.35">
      <c r="A400" s="17">
        <v>38261</v>
      </c>
      <c r="B400" s="58">
        <f>VLOOKUP(Table13[[#This Row],[Date]],database!A:F,6,)</f>
        <v>96.613399999999999</v>
      </c>
      <c r="C400" s="66">
        <f t="shared" si="6"/>
        <v>1.0494718125719116E-2</v>
      </c>
      <c r="D400" s="66">
        <f>(Table13[[#This Row],[Index]]-B388)/B388</f>
        <v>4.315762992043521E-2</v>
      </c>
    </row>
    <row r="401" spans="1:4" x14ac:dyDescent="0.35">
      <c r="A401" s="17">
        <v>38292</v>
      </c>
      <c r="B401" s="58">
        <f>VLOOKUP(Table13[[#This Row],[Date]],database!A:F,6,)</f>
        <v>96.595399999999998</v>
      </c>
      <c r="C401" s="66">
        <f t="shared" si="6"/>
        <v>-1.8630955954346273E-4</v>
      </c>
      <c r="D401" s="66">
        <f>(Table13[[#This Row],[Index]]-B389)/B389</f>
        <v>3.3519290068968796E-2</v>
      </c>
    </row>
    <row r="402" spans="1:4" x14ac:dyDescent="0.35">
      <c r="A402" s="17">
        <v>38322</v>
      </c>
      <c r="B402" s="58">
        <f>VLOOKUP(Table13[[#This Row],[Date]],database!A:F,6,)</f>
        <v>97.375900000000001</v>
      </c>
      <c r="C402" s="66">
        <f t="shared" si="6"/>
        <v>8.080094911351976E-3</v>
      </c>
      <c r="D402" s="66">
        <f>(Table13[[#This Row],[Index]]-B390)/B390</f>
        <v>4.232747030665289E-2</v>
      </c>
    </row>
    <row r="403" spans="1:4" x14ac:dyDescent="0.35">
      <c r="A403" s="17">
        <v>38353</v>
      </c>
      <c r="B403" s="58">
        <f>VLOOKUP(Table13[[#This Row],[Date]],database!A:F,6,)</f>
        <v>97.999200000000002</v>
      </c>
      <c r="C403" s="66">
        <f t="shared" si="6"/>
        <v>6.4009677959331324E-3</v>
      </c>
      <c r="D403" s="66">
        <f>(Table13[[#This Row],[Index]]-B391)/B391</f>
        <v>4.9724123821326918E-2</v>
      </c>
    </row>
    <row r="404" spans="1:4" x14ac:dyDescent="0.35">
      <c r="A404" s="17">
        <v>38384</v>
      </c>
      <c r="B404" s="58">
        <f>VLOOKUP(Table13[[#This Row],[Date]],database!A:F,6,)</f>
        <v>98.919499999999999</v>
      </c>
      <c r="C404" s="66">
        <f t="shared" si="6"/>
        <v>9.3908929868815605E-3</v>
      </c>
      <c r="D404" s="66">
        <f>(Table13[[#This Row],[Index]]-B392)/B392</f>
        <v>5.1865124093490117E-2</v>
      </c>
    </row>
    <row r="405" spans="1:4" x14ac:dyDescent="0.35">
      <c r="A405" s="17">
        <v>38412</v>
      </c>
      <c r="B405" s="58">
        <f>VLOOKUP(Table13[[#This Row],[Date]],database!A:F,6,)</f>
        <v>98.430599999999998</v>
      </c>
      <c r="C405" s="66">
        <f t="shared" si="6"/>
        <v>-4.942402660749412E-3</v>
      </c>
      <c r="D405" s="66">
        <f>(Table13[[#This Row],[Index]]-B393)/B393</f>
        <v>4.7126244804560007E-2</v>
      </c>
    </row>
    <row r="406" spans="1:4" x14ac:dyDescent="0.35">
      <c r="A406" s="17">
        <v>38443</v>
      </c>
      <c r="B406" s="58">
        <f>VLOOKUP(Table13[[#This Row],[Date]],database!A:F,6,)</f>
        <v>98.836600000000004</v>
      </c>
      <c r="C406" s="66">
        <f t="shared" si="6"/>
        <v>4.1247335686260822E-3</v>
      </c>
      <c r="D406" s="66">
        <f>(Table13[[#This Row],[Index]]-B394)/B394</f>
        <v>4.7974807023496553E-2</v>
      </c>
    </row>
    <row r="407" spans="1:4" x14ac:dyDescent="0.35">
      <c r="A407" s="17">
        <v>38473</v>
      </c>
      <c r="B407" s="58">
        <f>VLOOKUP(Table13[[#This Row],[Date]],database!A:F,6,)</f>
        <v>99.113900000000001</v>
      </c>
      <c r="C407" s="66">
        <f t="shared" si="6"/>
        <v>2.8056408253622767E-3</v>
      </c>
      <c r="D407" s="66">
        <f>(Table13[[#This Row],[Index]]-B395)/B395</f>
        <v>4.3473363050431341E-2</v>
      </c>
    </row>
    <row r="408" spans="1:4" x14ac:dyDescent="0.35">
      <c r="A408" s="17">
        <v>38504</v>
      </c>
      <c r="B408" s="58">
        <f>VLOOKUP(Table13[[#This Row],[Date]],database!A:F,6,)</f>
        <v>99.3489</v>
      </c>
      <c r="C408" s="66">
        <f t="shared" si="6"/>
        <v>2.3710095153151034E-3</v>
      </c>
      <c r="D408" s="66">
        <f>(Table13[[#This Row],[Index]]-B396)/B396</f>
        <v>5.3805675445472448E-2</v>
      </c>
    </row>
    <row r="409" spans="1:4" x14ac:dyDescent="0.35">
      <c r="A409" s="17">
        <v>38534</v>
      </c>
      <c r="B409" s="58">
        <f>VLOOKUP(Table13[[#This Row],[Date]],database!A:F,6,)</f>
        <v>99.015699999999995</v>
      </c>
      <c r="C409" s="66">
        <f t="shared" si="6"/>
        <v>-3.3538368316106126E-3</v>
      </c>
      <c r="D409" s="66">
        <f>(Table13[[#This Row],[Index]]-B397)/B397</f>
        <v>4.1209588545566132E-2</v>
      </c>
    </row>
    <row r="410" spans="1:4" x14ac:dyDescent="0.35">
      <c r="A410" s="17">
        <v>38565</v>
      </c>
      <c r="B410" s="58">
        <f>VLOOKUP(Table13[[#This Row],[Date]],database!A:F,6,)</f>
        <v>99.5702</v>
      </c>
      <c r="C410" s="66">
        <f t="shared" si="6"/>
        <v>5.6001220008543573E-3</v>
      </c>
      <c r="D410" s="66">
        <f>(Table13[[#This Row],[Index]]-B398)/B398</f>
        <v>4.2249923849021098E-2</v>
      </c>
    </row>
    <row r="411" spans="1:4" x14ac:dyDescent="0.35">
      <c r="A411" s="17">
        <v>38596</v>
      </c>
      <c r="B411" s="58">
        <f>VLOOKUP(Table13[[#This Row],[Date]],database!A:F,6,)</f>
        <v>98.430300000000003</v>
      </c>
      <c r="C411" s="66">
        <f t="shared" si="6"/>
        <v>-1.1448204382435656E-2</v>
      </c>
      <c r="D411" s="66">
        <f>(Table13[[#This Row],[Index]]-B399)/B399</f>
        <v>2.9497960464386602E-2</v>
      </c>
    </row>
    <row r="412" spans="1:4" x14ac:dyDescent="0.35">
      <c r="A412" s="17">
        <v>38626</v>
      </c>
      <c r="B412" s="58">
        <f>VLOOKUP(Table13[[#This Row],[Date]],database!A:F,6,)</f>
        <v>99.900099999999995</v>
      </c>
      <c r="C412" s="66">
        <f t="shared" si="6"/>
        <v>1.4932393785247022E-2</v>
      </c>
      <c r="D412" s="66">
        <f>(Table13[[#This Row],[Index]]-B400)/B400</f>
        <v>3.4019090519534521E-2</v>
      </c>
    </row>
    <row r="413" spans="1:4" x14ac:dyDescent="0.35">
      <c r="A413" s="17">
        <v>38657</v>
      </c>
      <c r="B413" s="58">
        <f>VLOOKUP(Table13[[#This Row],[Date]],database!A:F,6,)</f>
        <v>100.8458</v>
      </c>
      <c r="C413" s="66">
        <f t="shared" si="6"/>
        <v>9.4664569905336116E-3</v>
      </c>
      <c r="D413" s="66">
        <f>(Table13[[#This Row],[Index]]-B401)/B401</f>
        <v>4.400209533787322E-2</v>
      </c>
    </row>
    <row r="414" spans="1:4" x14ac:dyDescent="0.35">
      <c r="A414" s="17">
        <v>38687</v>
      </c>
      <c r="B414" s="58">
        <f>VLOOKUP(Table13[[#This Row],[Date]],database!A:F,6,)</f>
        <v>100.93940000000001</v>
      </c>
      <c r="C414" s="66">
        <f t="shared" si="6"/>
        <v>9.2814970975507727E-4</v>
      </c>
      <c r="D414" s="66">
        <f>(Table13[[#This Row],[Index]]-B402)/B402</f>
        <v>3.6595297193658852E-2</v>
      </c>
    </row>
    <row r="415" spans="1:4" x14ac:dyDescent="0.35">
      <c r="A415" s="17">
        <v>38718</v>
      </c>
      <c r="B415" s="58">
        <f>VLOOKUP(Table13[[#This Row],[Date]],database!A:F,6,)</f>
        <v>101.76220000000001</v>
      </c>
      <c r="C415" s="66">
        <f t="shared" si="6"/>
        <v>8.1514255087706822E-3</v>
      </c>
      <c r="D415" s="66">
        <f>(Table13[[#This Row],[Index]]-B403)/B403</f>
        <v>3.8398272638960368E-2</v>
      </c>
    </row>
    <row r="416" spans="1:4" x14ac:dyDescent="0.35">
      <c r="A416" s="17">
        <v>38749</v>
      </c>
      <c r="B416" s="58">
        <f>VLOOKUP(Table13[[#This Row],[Date]],database!A:F,6,)</f>
        <v>101.4658</v>
      </c>
      <c r="C416" s="66">
        <f t="shared" si="6"/>
        <v>-2.9126728785344724E-3</v>
      </c>
      <c r="D416" s="66">
        <f>(Table13[[#This Row],[Index]]-B404)/B404</f>
        <v>2.5741132941432196E-2</v>
      </c>
    </row>
    <row r="417" spans="1:4" x14ac:dyDescent="0.35">
      <c r="A417" s="17">
        <v>38777</v>
      </c>
      <c r="B417" s="58">
        <f>VLOOKUP(Table13[[#This Row],[Date]],database!A:F,6,)</f>
        <v>101.41759999999999</v>
      </c>
      <c r="C417" s="66">
        <f t="shared" si="6"/>
        <v>-4.7503690898809126E-4</v>
      </c>
      <c r="D417" s="66">
        <f>(Table13[[#This Row],[Index]]-B405)/B405</f>
        <v>3.0346254112034215E-2</v>
      </c>
    </row>
    <row r="418" spans="1:4" x14ac:dyDescent="0.35">
      <c r="A418" s="17">
        <v>38808</v>
      </c>
      <c r="B418" s="58">
        <f>VLOOKUP(Table13[[#This Row],[Date]],database!A:F,6,)</f>
        <v>101.7898</v>
      </c>
      <c r="C418" s="66">
        <f t="shared" si="6"/>
        <v>3.6699744423058789E-3</v>
      </c>
      <c r="D418" s="66">
        <f>(Table13[[#This Row],[Index]]-B406)/B406</f>
        <v>2.987961949318365E-2</v>
      </c>
    </row>
    <row r="419" spans="1:4" x14ac:dyDescent="0.35">
      <c r="A419" s="17">
        <v>38838</v>
      </c>
      <c r="B419" s="58">
        <f>VLOOKUP(Table13[[#This Row],[Date]],database!A:F,6,)</f>
        <v>101.5625</v>
      </c>
      <c r="C419" s="66">
        <f t="shared" si="6"/>
        <v>-2.233033172282517E-3</v>
      </c>
      <c r="D419" s="66">
        <f>(Table13[[#This Row],[Index]]-B407)/B407</f>
        <v>2.4704910209365175E-2</v>
      </c>
    </row>
    <row r="420" spans="1:4" x14ac:dyDescent="0.35">
      <c r="A420" s="17">
        <v>38869</v>
      </c>
      <c r="B420" s="58">
        <f>VLOOKUP(Table13[[#This Row],[Date]],database!A:F,6,)</f>
        <v>101.90309999999999</v>
      </c>
      <c r="C420" s="66">
        <f t="shared" si="6"/>
        <v>3.3535999999998456E-3</v>
      </c>
      <c r="D420" s="66">
        <f>(Table13[[#This Row],[Index]]-B408)/B408</f>
        <v>2.5709393863444834E-2</v>
      </c>
    </row>
    <row r="421" spans="1:4" x14ac:dyDescent="0.35">
      <c r="A421" s="17">
        <v>38899</v>
      </c>
      <c r="B421" s="58">
        <f>VLOOKUP(Table13[[#This Row],[Date]],database!A:F,6,)</f>
        <v>101.60339999999999</v>
      </c>
      <c r="C421" s="66">
        <f t="shared" si="6"/>
        <v>-2.9410292719259656E-3</v>
      </c>
      <c r="D421" s="66">
        <f>(Table13[[#This Row],[Index]]-B409)/B409</f>
        <v>2.6134239317603149E-2</v>
      </c>
    </row>
    <row r="422" spans="1:4" x14ac:dyDescent="0.35">
      <c r="A422" s="17">
        <v>38930</v>
      </c>
      <c r="B422" s="58">
        <f>VLOOKUP(Table13[[#This Row],[Date]],database!A:F,6,)</f>
        <v>102.41119999999999</v>
      </c>
      <c r="C422" s="66">
        <f t="shared" si="6"/>
        <v>7.9505213408213038E-3</v>
      </c>
      <c r="D422" s="66">
        <f>(Table13[[#This Row],[Index]]-B410)/B410</f>
        <v>2.8532633257741715E-2</v>
      </c>
    </row>
    <row r="423" spans="1:4" x14ac:dyDescent="0.35">
      <c r="A423" s="17">
        <v>38961</v>
      </c>
      <c r="B423" s="58">
        <f>VLOOKUP(Table13[[#This Row],[Date]],database!A:F,6,)</f>
        <v>102.4877</v>
      </c>
      <c r="C423" s="66">
        <f t="shared" si="6"/>
        <v>7.4698861062083566E-4</v>
      </c>
      <c r="D423" s="66">
        <f>(Table13[[#This Row],[Index]]-B411)/B411</f>
        <v>4.1221046771167023E-2</v>
      </c>
    </row>
    <row r="424" spans="1:4" x14ac:dyDescent="0.35">
      <c r="A424" s="17">
        <v>38991</v>
      </c>
      <c r="B424" s="58">
        <f>VLOOKUP(Table13[[#This Row],[Date]],database!A:F,6,)</f>
        <v>102.0098</v>
      </c>
      <c r="C424" s="66">
        <f t="shared" si="6"/>
        <v>-4.6629985842203681E-3</v>
      </c>
      <c r="D424" s="66">
        <f>(Table13[[#This Row],[Index]]-B412)/B412</f>
        <v>2.111809697888194E-2</v>
      </c>
    </row>
    <row r="425" spans="1:4" x14ac:dyDescent="0.35">
      <c r="A425" s="17">
        <v>39022</v>
      </c>
      <c r="B425" s="58">
        <f>VLOOKUP(Table13[[#This Row],[Date]],database!A:F,6,)</f>
        <v>102.1152</v>
      </c>
      <c r="C425" s="66">
        <f t="shared" si="6"/>
        <v>1.0332340618255387E-3</v>
      </c>
      <c r="D425" s="66">
        <f>(Table13[[#This Row],[Index]]-B413)/B413</f>
        <v>1.2587534632081896E-2</v>
      </c>
    </row>
    <row r="426" spans="1:4" x14ac:dyDescent="0.35">
      <c r="A426" s="17">
        <v>39052</v>
      </c>
      <c r="B426" s="58">
        <f>VLOOKUP(Table13[[#This Row],[Date]],database!A:F,6,)</f>
        <v>103.6789</v>
      </c>
      <c r="C426" s="66">
        <f t="shared" si="6"/>
        <v>1.5313097364545003E-2</v>
      </c>
      <c r="D426" s="66">
        <f>(Table13[[#This Row],[Index]]-B414)/B414</f>
        <v>2.7140046404079996E-2</v>
      </c>
    </row>
    <row r="427" spans="1:4" x14ac:dyDescent="0.35">
      <c r="A427" s="17">
        <v>39083</v>
      </c>
      <c r="B427" s="58">
        <f>VLOOKUP(Table13[[#This Row],[Date]],database!A:F,6,)</f>
        <v>103.2709</v>
      </c>
      <c r="C427" s="66">
        <f t="shared" si="6"/>
        <v>-3.9352269362425973E-3</v>
      </c>
      <c r="D427" s="66">
        <f>(Table13[[#This Row],[Index]]-B415)/B415</f>
        <v>1.482574079569811E-2</v>
      </c>
    </row>
    <row r="428" spans="1:4" x14ac:dyDescent="0.35">
      <c r="A428" s="17">
        <v>39114</v>
      </c>
      <c r="B428" s="58">
        <f>VLOOKUP(Table13[[#This Row],[Date]],database!A:F,6,)</f>
        <v>103.65170000000001</v>
      </c>
      <c r="C428" s="66">
        <f t="shared" si="6"/>
        <v>3.6873891870798925E-3</v>
      </c>
      <c r="D428" s="66">
        <f>(Table13[[#This Row],[Index]]-B416)/B416</f>
        <v>2.154321948873417E-2</v>
      </c>
    </row>
    <row r="429" spans="1:4" x14ac:dyDescent="0.35">
      <c r="A429" s="17">
        <v>39142</v>
      </c>
      <c r="B429" s="58">
        <f>VLOOKUP(Table13[[#This Row],[Date]],database!A:F,6,)</f>
        <v>104.5857</v>
      </c>
      <c r="C429" s="66">
        <f t="shared" si="6"/>
        <v>9.0109472396497914E-3</v>
      </c>
      <c r="D429" s="66">
        <f>(Table13[[#This Row],[Index]]-B417)/B417</f>
        <v>3.123816773420008E-2</v>
      </c>
    </row>
    <row r="430" spans="1:4" x14ac:dyDescent="0.35">
      <c r="A430" s="17">
        <v>39173</v>
      </c>
      <c r="B430" s="58">
        <f>VLOOKUP(Table13[[#This Row],[Date]],database!A:F,6,)</f>
        <v>105.27979999999999</v>
      </c>
      <c r="C430" s="66">
        <f t="shared" si="6"/>
        <v>6.6366625647673594E-3</v>
      </c>
      <c r="D430" s="66">
        <f>(Table13[[#This Row],[Index]]-B418)/B418</f>
        <v>3.428634303240595E-2</v>
      </c>
    </row>
    <row r="431" spans="1:4" x14ac:dyDescent="0.35">
      <c r="A431" s="17">
        <v>39203</v>
      </c>
      <c r="B431" s="58">
        <f>VLOOKUP(Table13[[#This Row],[Date]],database!A:F,6,)</f>
        <v>105.2647</v>
      </c>
      <c r="C431" s="66">
        <f t="shared" si="6"/>
        <v>-1.4342732413996639E-4</v>
      </c>
      <c r="D431" s="66">
        <f>(Table13[[#This Row],[Index]]-B419)/B419</f>
        <v>3.6452430769230819E-2</v>
      </c>
    </row>
    <row r="432" spans="1:4" x14ac:dyDescent="0.35">
      <c r="A432" s="17">
        <v>39234</v>
      </c>
      <c r="B432" s="58">
        <f>VLOOKUP(Table13[[#This Row],[Date]],database!A:F,6,)</f>
        <v>105.6801</v>
      </c>
      <c r="C432" s="66">
        <f t="shared" si="6"/>
        <v>3.9462421875517961E-3</v>
      </c>
      <c r="D432" s="66">
        <f>(Table13[[#This Row],[Index]]-B420)/B420</f>
        <v>3.7064623156704765E-2</v>
      </c>
    </row>
    <row r="433" spans="1:4" x14ac:dyDescent="0.35">
      <c r="A433" s="17">
        <v>39264</v>
      </c>
      <c r="B433" s="58">
        <f>VLOOKUP(Table13[[#This Row],[Date]],database!A:F,6,)</f>
        <v>105.7557</v>
      </c>
      <c r="C433" s="66">
        <f t="shared" si="6"/>
        <v>7.15366469183909E-4</v>
      </c>
      <c r="D433" s="66">
        <f>(Table13[[#This Row],[Index]]-B421)/B421</f>
        <v>4.086772686740809E-2</v>
      </c>
    </row>
    <row r="434" spans="1:4" x14ac:dyDescent="0.35">
      <c r="A434" s="17">
        <v>39295</v>
      </c>
      <c r="B434" s="58">
        <f>VLOOKUP(Table13[[#This Row],[Date]],database!A:F,6,)</f>
        <v>105.5295</v>
      </c>
      <c r="C434" s="66">
        <f t="shared" si="6"/>
        <v>-2.1388918044134009E-3</v>
      </c>
      <c r="D434" s="66">
        <f>(Table13[[#This Row],[Index]]-B422)/B422</f>
        <v>3.044881809802058E-2</v>
      </c>
    </row>
    <row r="435" spans="1:4" x14ac:dyDescent="0.35">
      <c r="A435" s="17">
        <v>39326</v>
      </c>
      <c r="B435" s="58">
        <f>VLOOKUP(Table13[[#This Row],[Date]],database!A:F,6,)</f>
        <v>105.8948</v>
      </c>
      <c r="C435" s="66">
        <f t="shared" si="6"/>
        <v>3.4615913085915828E-3</v>
      </c>
      <c r="D435" s="66">
        <f>(Table13[[#This Row],[Index]]-B423)/B423</f>
        <v>3.3243989278713443E-2</v>
      </c>
    </row>
    <row r="436" spans="1:4" x14ac:dyDescent="0.35">
      <c r="A436" s="17">
        <v>39356</v>
      </c>
      <c r="B436" s="58">
        <f>VLOOKUP(Table13[[#This Row],[Date]],database!A:F,6,)</f>
        <v>105.75539999999999</v>
      </c>
      <c r="C436" s="66">
        <f t="shared" si="6"/>
        <v>-1.3164008053276888E-3</v>
      </c>
      <c r="D436" s="66">
        <f>(Table13[[#This Row],[Index]]-B424)/B424</f>
        <v>3.6718040815686297E-2</v>
      </c>
    </row>
    <row r="437" spans="1:4" x14ac:dyDescent="0.35">
      <c r="A437" s="17">
        <v>39387</v>
      </c>
      <c r="B437" s="58">
        <f>VLOOKUP(Table13[[#This Row],[Date]],database!A:F,6,)</f>
        <v>106.3892</v>
      </c>
      <c r="C437" s="66">
        <f t="shared" si="6"/>
        <v>5.9930745853167267E-3</v>
      </c>
      <c r="D437" s="66">
        <f>(Table13[[#This Row],[Index]]-B425)/B425</f>
        <v>4.1854689605465206E-2</v>
      </c>
    </row>
    <row r="438" spans="1:4" x14ac:dyDescent="0.35">
      <c r="A438" s="17">
        <v>39417</v>
      </c>
      <c r="B438" s="58">
        <f>VLOOKUP(Table13[[#This Row],[Date]],database!A:F,6,)</f>
        <v>106.47369999999999</v>
      </c>
      <c r="C438" s="66">
        <f t="shared" si="6"/>
        <v>7.9425355205220427E-4</v>
      </c>
      <c r="D438" s="66">
        <f>(Table13[[#This Row],[Index]]-B426)/B426</f>
        <v>2.6956304513261573E-2</v>
      </c>
    </row>
    <row r="439" spans="1:4" x14ac:dyDescent="0.35">
      <c r="A439" s="17">
        <v>39448</v>
      </c>
      <c r="B439" s="58">
        <f>VLOOKUP(Table13[[#This Row],[Date]],database!A:F,6,)</f>
        <v>106.2347</v>
      </c>
      <c r="C439" s="66">
        <f t="shared" si="6"/>
        <v>-2.2446857768630979E-3</v>
      </c>
      <c r="D439" s="66">
        <f>(Table13[[#This Row],[Index]]-B427)/B427</f>
        <v>2.8699275400911644E-2</v>
      </c>
    </row>
    <row r="440" spans="1:4" x14ac:dyDescent="0.35">
      <c r="A440" s="17">
        <v>39479</v>
      </c>
      <c r="B440" s="58">
        <f>VLOOKUP(Table13[[#This Row],[Date]],database!A:F,6,)</f>
        <v>105.4327</v>
      </c>
      <c r="C440" s="66">
        <f t="shared" si="6"/>
        <v>-7.5493223965428236E-3</v>
      </c>
      <c r="D440" s="66">
        <f>(Table13[[#This Row],[Index]]-B428)/B428</f>
        <v>1.7182545004085718E-2</v>
      </c>
    </row>
    <row r="441" spans="1:4" x14ac:dyDescent="0.35">
      <c r="A441" s="17">
        <v>39508</v>
      </c>
      <c r="B441" s="58">
        <f>VLOOKUP(Table13[[#This Row],[Date]],database!A:F,6,)</f>
        <v>104.9422</v>
      </c>
      <c r="C441" s="66">
        <f t="shared" si="6"/>
        <v>-4.6522568425165778E-3</v>
      </c>
      <c r="D441" s="66">
        <f>(Table13[[#This Row],[Index]]-B429)/B429</f>
        <v>3.4086878033994794E-3</v>
      </c>
    </row>
    <row r="442" spans="1:4" x14ac:dyDescent="0.35">
      <c r="A442" s="17">
        <v>39539</v>
      </c>
      <c r="B442" s="58">
        <f>VLOOKUP(Table13[[#This Row],[Date]],database!A:F,6,)</f>
        <v>103.8964</v>
      </c>
      <c r="C442" s="66">
        <f t="shared" si="6"/>
        <v>-9.9654857626388926E-3</v>
      </c>
      <c r="D442" s="66">
        <f>(Table13[[#This Row],[Index]]-B430)/B430</f>
        <v>-1.3140222530817827E-2</v>
      </c>
    </row>
    <row r="443" spans="1:4" x14ac:dyDescent="0.35">
      <c r="A443" s="17">
        <v>39569</v>
      </c>
      <c r="B443" s="58">
        <f>VLOOKUP(Table13[[#This Row],[Date]],database!A:F,6,)</f>
        <v>103.3681</v>
      </c>
      <c r="C443" s="66">
        <f t="shared" si="6"/>
        <v>-5.0848730081118898E-3</v>
      </c>
      <c r="D443" s="66">
        <f>(Table13[[#This Row],[Index]]-B431)/B431</f>
        <v>-1.8017436044562008E-2</v>
      </c>
    </row>
    <row r="444" spans="1:4" x14ac:dyDescent="0.35">
      <c r="A444" s="17">
        <v>39600</v>
      </c>
      <c r="B444" s="58">
        <f>VLOOKUP(Table13[[#This Row],[Date]],database!A:F,6,)</f>
        <v>102.6801</v>
      </c>
      <c r="C444" s="66">
        <f t="shared" si="6"/>
        <v>-6.6558251530210999E-3</v>
      </c>
      <c r="D444" s="66">
        <f>(Table13[[#This Row],[Index]]-B432)/B432</f>
        <v>-2.8387558300947861E-2</v>
      </c>
    </row>
    <row r="445" spans="1:4" x14ac:dyDescent="0.35">
      <c r="A445" s="17">
        <v>39630</v>
      </c>
      <c r="B445" s="58">
        <f>VLOOKUP(Table13[[#This Row],[Date]],database!A:F,6,)</f>
        <v>101.5866</v>
      </c>
      <c r="C445" s="66">
        <f t="shared" si="6"/>
        <v>-1.0649580590591512E-2</v>
      </c>
      <c r="D445" s="66">
        <f>(Table13[[#This Row],[Index]]-B433)/B433</f>
        <v>-3.9421988602032797E-2</v>
      </c>
    </row>
    <row r="446" spans="1:4" x14ac:dyDescent="0.35">
      <c r="A446" s="17">
        <v>39661</v>
      </c>
      <c r="B446" s="58">
        <f>VLOOKUP(Table13[[#This Row],[Date]],database!A:F,6,)</f>
        <v>100.29089999999999</v>
      </c>
      <c r="C446" s="66">
        <f t="shared" si="6"/>
        <v>-1.2754634961697819E-2</v>
      </c>
      <c r="D446" s="66">
        <f>(Table13[[#This Row],[Index]]-B434)/B434</f>
        <v>-4.9641095617813082E-2</v>
      </c>
    </row>
    <row r="447" spans="1:4" x14ac:dyDescent="0.35">
      <c r="A447" s="17">
        <v>39692</v>
      </c>
      <c r="B447" s="58">
        <f>VLOOKUP(Table13[[#This Row],[Date]],database!A:F,6,)</f>
        <v>96.742599999999996</v>
      </c>
      <c r="C447" s="66">
        <f t="shared" si="6"/>
        <v>-3.5380079349173199E-2</v>
      </c>
      <c r="D447" s="66">
        <f>(Table13[[#This Row],[Index]]-B435)/B435</f>
        <v>-8.6427284437007368E-2</v>
      </c>
    </row>
    <row r="448" spans="1:4" x14ac:dyDescent="0.35">
      <c r="A448" s="17">
        <v>39722</v>
      </c>
      <c r="B448" s="58">
        <f>VLOOKUP(Table13[[#This Row],[Date]],database!A:F,6,)</f>
        <v>96.190600000000003</v>
      </c>
      <c r="C448" s="66">
        <f t="shared" si="6"/>
        <v>-5.7058627740002033E-3</v>
      </c>
      <c r="D448" s="66">
        <f>(Table13[[#This Row],[Index]]-B436)/B436</f>
        <v>-9.0442662975129318E-2</v>
      </c>
    </row>
    <row r="449" spans="1:4" x14ac:dyDescent="0.35">
      <c r="A449" s="17">
        <v>39753</v>
      </c>
      <c r="B449" s="58">
        <f>VLOOKUP(Table13[[#This Row],[Date]],database!A:F,6,)</f>
        <v>93.768699999999995</v>
      </c>
      <c r="C449" s="66">
        <f t="shared" si="6"/>
        <v>-2.5178135909330046E-2</v>
      </c>
      <c r="D449" s="66">
        <f>(Table13[[#This Row],[Index]]-B437)/B437</f>
        <v>-0.11862576276539354</v>
      </c>
    </row>
    <row r="450" spans="1:4" x14ac:dyDescent="0.35">
      <c r="A450" s="17">
        <v>39783</v>
      </c>
      <c r="B450" s="58">
        <f>VLOOKUP(Table13[[#This Row],[Date]],database!A:F,6,)</f>
        <v>90.561700000000002</v>
      </c>
      <c r="C450" s="66">
        <f t="shared" si="6"/>
        <v>-3.42011780050272E-2</v>
      </c>
      <c r="D450" s="66">
        <f>(Table13[[#This Row],[Index]]-B438)/B438</f>
        <v>-0.14944535598931935</v>
      </c>
    </row>
    <row r="451" spans="1:4" x14ac:dyDescent="0.35">
      <c r="A451" s="17">
        <v>39814</v>
      </c>
      <c r="B451" s="58">
        <f>VLOOKUP(Table13[[#This Row],[Date]],database!A:F,6,)</f>
        <v>87.620199999999997</v>
      </c>
      <c r="C451" s="66">
        <f t="shared" si="6"/>
        <v>-3.2480618186275234E-2</v>
      </c>
      <c r="D451" s="66">
        <f>(Table13[[#This Row],[Index]]-B439)/B439</f>
        <v>-0.17522052587337289</v>
      </c>
    </row>
    <row r="452" spans="1:4" x14ac:dyDescent="0.35">
      <c r="A452" s="17">
        <v>39845</v>
      </c>
      <c r="B452" s="58">
        <f>VLOOKUP(Table13[[#This Row],[Date]],database!A:F,6,)</f>
        <v>87.6267</v>
      </c>
      <c r="C452" s="66">
        <f t="shared" si="6"/>
        <v>7.4183806930472329E-5</v>
      </c>
      <c r="D452" s="66">
        <f>(Table13[[#This Row],[Index]]-B440)/B440</f>
        <v>-0.16888498539826827</v>
      </c>
    </row>
    <row r="453" spans="1:4" x14ac:dyDescent="0.35">
      <c r="A453" s="17">
        <v>39873</v>
      </c>
      <c r="B453" s="58">
        <f>VLOOKUP(Table13[[#This Row],[Date]],database!A:F,6,)</f>
        <v>86.084199999999996</v>
      </c>
      <c r="C453" s="66">
        <f t="shared" si="6"/>
        <v>-1.7603082165595696E-2</v>
      </c>
      <c r="D453" s="66">
        <f>(Table13[[#This Row],[Index]]-B441)/B441</f>
        <v>-0.1796989199769016</v>
      </c>
    </row>
    <row r="454" spans="1:4" x14ac:dyDescent="0.35">
      <c r="A454" s="17">
        <v>39904</v>
      </c>
      <c r="B454" s="58">
        <f>VLOOKUP(Table13[[#This Row],[Date]],database!A:F,6,)</f>
        <v>85.530500000000004</v>
      </c>
      <c r="C454" s="66">
        <f t="shared" si="6"/>
        <v>-6.4320746431980602E-3</v>
      </c>
      <c r="D454" s="66">
        <f>(Table13[[#This Row],[Index]]-B442)/B442</f>
        <v>-0.17677128370184142</v>
      </c>
    </row>
    <row r="455" spans="1:4" x14ac:dyDescent="0.35">
      <c r="A455" s="17">
        <v>39934</v>
      </c>
      <c r="B455" s="58">
        <f>VLOOKUP(Table13[[#This Row],[Date]],database!A:F,6,)</f>
        <v>84.616900000000001</v>
      </c>
      <c r="C455" s="66">
        <f t="shared" si="6"/>
        <v>-1.0681569732434615E-2</v>
      </c>
      <c r="D455" s="66">
        <f>(Table13[[#This Row],[Index]]-B443)/B443</f>
        <v>-0.18140219274611796</v>
      </c>
    </row>
    <row r="456" spans="1:4" x14ac:dyDescent="0.35">
      <c r="A456" s="17">
        <v>39965</v>
      </c>
      <c r="B456" s="58">
        <f>VLOOKUP(Table13[[#This Row],[Date]],database!A:F,6,)</f>
        <v>84.4011</v>
      </c>
      <c r="C456" s="66">
        <f t="shared" ref="C456:C519" si="7">B456/B455-1</f>
        <v>-2.5503179624873917E-3</v>
      </c>
      <c r="D456" s="66">
        <f>(Table13[[#This Row],[Index]]-B444)/B444</f>
        <v>-0.17801891505754278</v>
      </c>
    </row>
    <row r="457" spans="1:4" x14ac:dyDescent="0.35">
      <c r="A457" s="17">
        <v>39995</v>
      </c>
      <c r="B457" s="58">
        <f>VLOOKUP(Table13[[#This Row],[Date]],database!A:F,6,)</f>
        <v>85.829899999999995</v>
      </c>
      <c r="C457" s="66">
        <f t="shared" si="7"/>
        <v>1.6928689318030266E-2</v>
      </c>
      <c r="D457" s="66">
        <f>(Table13[[#This Row],[Index]]-B445)/B445</f>
        <v>-0.15510608682641222</v>
      </c>
    </row>
    <row r="458" spans="1:4" x14ac:dyDescent="0.35">
      <c r="A458" s="17">
        <v>40026</v>
      </c>
      <c r="B458" s="58">
        <f>VLOOKUP(Table13[[#This Row],[Date]],database!A:F,6,)</f>
        <v>86.809700000000007</v>
      </c>
      <c r="C458" s="66">
        <f t="shared" si="7"/>
        <v>1.1415602255158364E-2</v>
      </c>
      <c r="D458" s="66">
        <f>(Table13[[#This Row],[Index]]-B446)/B446</f>
        <v>-0.13442096940001524</v>
      </c>
    </row>
    <row r="459" spans="1:4" x14ac:dyDescent="0.35">
      <c r="A459" s="17">
        <v>40057</v>
      </c>
      <c r="B459" s="58">
        <f>VLOOKUP(Table13[[#This Row],[Date]],database!A:F,6,)</f>
        <v>87.698700000000002</v>
      </c>
      <c r="C459" s="66">
        <f t="shared" si="7"/>
        <v>1.0240791063671484E-2</v>
      </c>
      <c r="D459" s="66">
        <f>(Table13[[#This Row],[Index]]-B447)/B447</f>
        <v>-9.3484152793081782E-2</v>
      </c>
    </row>
    <row r="460" spans="1:4" x14ac:dyDescent="0.35">
      <c r="A460" s="17">
        <v>40087</v>
      </c>
      <c r="B460" s="58">
        <f>VLOOKUP(Table13[[#This Row],[Date]],database!A:F,6,)</f>
        <v>87.705699999999993</v>
      </c>
      <c r="C460" s="66">
        <f t="shared" si="7"/>
        <v>7.9818743037085582E-5</v>
      </c>
      <c r="D460" s="66">
        <f>(Table13[[#This Row],[Index]]-B448)/B448</f>
        <v>-8.8209242898994386E-2</v>
      </c>
    </row>
    <row r="461" spans="1:4" x14ac:dyDescent="0.35">
      <c r="A461" s="17">
        <v>40118</v>
      </c>
      <c r="B461" s="58">
        <f>VLOOKUP(Table13[[#This Row],[Date]],database!A:F,6,)</f>
        <v>88.642899999999997</v>
      </c>
      <c r="C461" s="66">
        <f t="shared" si="7"/>
        <v>1.0685736502872745E-2</v>
      </c>
      <c r="D461" s="66">
        <f>(Table13[[#This Row],[Index]]-B449)/B449</f>
        <v>-5.4664296295032333E-2</v>
      </c>
    </row>
    <row r="462" spans="1:4" x14ac:dyDescent="0.35">
      <c r="A462" s="17">
        <v>40148</v>
      </c>
      <c r="B462" s="58">
        <f>VLOOKUP(Table13[[#This Row],[Date]],database!A:F,6,)</f>
        <v>88.529300000000006</v>
      </c>
      <c r="C462" s="66">
        <f t="shared" si="7"/>
        <v>-1.2815465198001696E-3</v>
      </c>
      <c r="D462" s="66">
        <f>(Table13[[#This Row],[Index]]-B450)/B450</f>
        <v>-2.2442158219202989E-2</v>
      </c>
    </row>
    <row r="463" spans="1:4" x14ac:dyDescent="0.35">
      <c r="A463" s="17">
        <v>40179</v>
      </c>
      <c r="B463" s="58">
        <f>VLOOKUP(Table13[[#This Row],[Date]],database!A:F,6,)</f>
        <v>89.569400000000002</v>
      </c>
      <c r="C463" s="66">
        <f t="shared" si="7"/>
        <v>1.1748652705940277E-2</v>
      </c>
      <c r="D463" s="66">
        <f>(Table13[[#This Row],[Index]]-B451)/B451</f>
        <v>2.2246011764410545E-2</v>
      </c>
    </row>
    <row r="464" spans="1:4" x14ac:dyDescent="0.35">
      <c r="A464" s="17">
        <v>40210</v>
      </c>
      <c r="B464" s="58">
        <f>VLOOKUP(Table13[[#This Row],[Date]],database!A:F,6,)</f>
        <v>89.589699999999993</v>
      </c>
      <c r="C464" s="66">
        <f t="shared" si="7"/>
        <v>2.2663990157334446E-4</v>
      </c>
      <c r="D464" s="66">
        <f>(Table13[[#This Row],[Index]]-B452)/B452</f>
        <v>2.2401847838615329E-2</v>
      </c>
    </row>
    <row r="465" spans="1:4" x14ac:dyDescent="0.35">
      <c r="A465" s="17">
        <v>40238</v>
      </c>
      <c r="B465" s="58">
        <f>VLOOKUP(Table13[[#This Row],[Date]],database!A:F,6,)</f>
        <v>90.800299999999993</v>
      </c>
      <c r="C465" s="66">
        <f t="shared" si="7"/>
        <v>1.3512714073157905E-2</v>
      </c>
      <c r="D465" s="66">
        <f>(Table13[[#This Row],[Index]]-B453)/B453</f>
        <v>5.4784734016230595E-2</v>
      </c>
    </row>
    <row r="466" spans="1:4" x14ac:dyDescent="0.35">
      <c r="A466" s="17">
        <v>40269</v>
      </c>
      <c r="B466" s="58">
        <f>VLOOKUP(Table13[[#This Row],[Date]],database!A:F,6,)</f>
        <v>91.630600000000001</v>
      </c>
      <c r="C466" s="66">
        <f t="shared" si="7"/>
        <v>9.1442429154970917E-3</v>
      </c>
      <c r="D466" s="66">
        <f>(Table13[[#This Row],[Index]]-B454)/B454</f>
        <v>7.1320756922968964E-2</v>
      </c>
    </row>
    <row r="467" spans="1:4" x14ac:dyDescent="0.35">
      <c r="A467" s="17">
        <v>40299</v>
      </c>
      <c r="B467" s="58">
        <f>VLOOKUP(Table13[[#This Row],[Date]],database!A:F,6,)</f>
        <v>92.847200000000001</v>
      </c>
      <c r="C467" s="66">
        <f t="shared" si="7"/>
        <v>1.3277223984127673E-2</v>
      </c>
      <c r="D467" s="66">
        <f>(Table13[[#This Row],[Index]]-B455)/B455</f>
        <v>9.7265439882576646E-2</v>
      </c>
    </row>
    <row r="468" spans="1:4" x14ac:dyDescent="0.35">
      <c r="A468" s="17">
        <v>40330</v>
      </c>
      <c r="B468" s="58">
        <f>VLOOKUP(Table13[[#This Row],[Date]],database!A:F,6,)</f>
        <v>92.851299999999995</v>
      </c>
      <c r="C468" s="66">
        <f t="shared" si="7"/>
        <v>4.4158574518116112E-5</v>
      </c>
      <c r="D468" s="66">
        <f>(Table13[[#This Row],[Index]]-B456)/B456</f>
        <v>0.1001195482049404</v>
      </c>
    </row>
    <row r="469" spans="1:4" x14ac:dyDescent="0.35">
      <c r="A469" s="17">
        <v>40360</v>
      </c>
      <c r="B469" s="58">
        <f>VLOOKUP(Table13[[#This Row],[Date]],database!A:F,6,)</f>
        <v>93.360900000000001</v>
      </c>
      <c r="C469" s="66">
        <f t="shared" si="7"/>
        <v>5.4883453435763396E-3</v>
      </c>
      <c r="D469" s="66">
        <f>(Table13[[#This Row],[Index]]-B457)/B457</f>
        <v>8.7743315557865104E-2</v>
      </c>
    </row>
    <row r="470" spans="1:4" x14ac:dyDescent="0.35">
      <c r="A470" s="17">
        <v>40391</v>
      </c>
      <c r="B470" s="58">
        <f>VLOOKUP(Table13[[#This Row],[Date]],database!A:F,6,)</f>
        <v>93.5501</v>
      </c>
      <c r="C470" s="66">
        <f t="shared" si="7"/>
        <v>2.0265443028077978E-3</v>
      </c>
      <c r="D470" s="66">
        <f>(Table13[[#This Row],[Index]]-B458)/B458</f>
        <v>7.7645700883656937E-2</v>
      </c>
    </row>
    <row r="471" spans="1:4" x14ac:dyDescent="0.35">
      <c r="A471" s="17">
        <v>40422</v>
      </c>
      <c r="B471" s="58">
        <f>VLOOKUP(Table13[[#This Row],[Date]],database!A:F,6,)</f>
        <v>93.635499999999993</v>
      </c>
      <c r="C471" s="66">
        <f t="shared" si="7"/>
        <v>9.1287983657939442E-4</v>
      </c>
      <c r="D471" s="66">
        <f>(Table13[[#This Row],[Index]]-B459)/B459</f>
        <v>6.7695416237640818E-2</v>
      </c>
    </row>
    <row r="472" spans="1:4" x14ac:dyDescent="0.35">
      <c r="A472" s="17">
        <v>40452</v>
      </c>
      <c r="B472" s="58">
        <f>VLOOKUP(Table13[[#This Row],[Date]],database!A:F,6,)</f>
        <v>93.683400000000006</v>
      </c>
      <c r="C472" s="66">
        <f t="shared" si="7"/>
        <v>5.1155811631287129E-4</v>
      </c>
      <c r="D472" s="66">
        <f>(Table13[[#This Row],[Index]]-B460)/B460</f>
        <v>6.8156345596694548E-2</v>
      </c>
    </row>
    <row r="473" spans="1:4" x14ac:dyDescent="0.35">
      <c r="A473" s="17">
        <v>40483</v>
      </c>
      <c r="B473" s="58">
        <f>VLOOKUP(Table13[[#This Row],[Date]],database!A:F,6,)</f>
        <v>93.792199999999994</v>
      </c>
      <c r="C473" s="66">
        <f t="shared" si="7"/>
        <v>1.1613583623137913E-3</v>
      </c>
      <c r="D473" s="66">
        <f>(Table13[[#This Row],[Index]]-B461)/B461</f>
        <v>5.8090382873303974E-2</v>
      </c>
    </row>
    <row r="474" spans="1:4" x14ac:dyDescent="0.35">
      <c r="A474" s="17">
        <v>40513</v>
      </c>
      <c r="B474" s="58">
        <f>VLOOKUP(Table13[[#This Row],[Date]],database!A:F,6,)</f>
        <v>94.265100000000004</v>
      </c>
      <c r="C474" s="66">
        <f t="shared" si="7"/>
        <v>5.0419970957074067E-3</v>
      </c>
      <c r="D474" s="66">
        <f>(Table13[[#This Row],[Index]]-B462)/B462</f>
        <v>6.4789849236354488E-2</v>
      </c>
    </row>
    <row r="475" spans="1:4" x14ac:dyDescent="0.35">
      <c r="A475" s="17">
        <v>40544</v>
      </c>
      <c r="B475" s="58">
        <f>VLOOKUP(Table13[[#This Row],[Date]],database!A:F,6,)</f>
        <v>94.366399999999999</v>
      </c>
      <c r="C475" s="66">
        <f t="shared" si="7"/>
        <v>1.074628892347107E-3</v>
      </c>
      <c r="D475" s="66">
        <f>(Table13[[#This Row],[Index]]-B463)/B463</f>
        <v>5.3556236839813566E-2</v>
      </c>
    </row>
    <row r="476" spans="1:4" x14ac:dyDescent="0.35">
      <c r="A476" s="17">
        <v>40575</v>
      </c>
      <c r="B476" s="58">
        <f>VLOOKUP(Table13[[#This Row],[Date]],database!A:F,6,)</f>
        <v>94.5685</v>
      </c>
      <c r="C476" s="66">
        <f t="shared" si="7"/>
        <v>2.1416521134640654E-3</v>
      </c>
      <c r="D476" s="66">
        <f>(Table13[[#This Row],[Index]]-B464)/B464</f>
        <v>5.5573352740326258E-2</v>
      </c>
    </row>
    <row r="477" spans="1:4" x14ac:dyDescent="0.35">
      <c r="A477" s="17">
        <v>40603</v>
      </c>
      <c r="B477" s="58">
        <f>VLOOKUP(Table13[[#This Row],[Date]],database!A:F,6,)</f>
        <v>95.212400000000002</v>
      </c>
      <c r="C477" s="66">
        <f t="shared" si="7"/>
        <v>6.8088211190830972E-3</v>
      </c>
      <c r="D477" s="66">
        <f>(Table13[[#This Row],[Index]]-B465)/B465</f>
        <v>4.8591249147855349E-2</v>
      </c>
    </row>
    <row r="478" spans="1:4" x14ac:dyDescent="0.35">
      <c r="A478" s="17">
        <v>40634</v>
      </c>
      <c r="B478" s="58">
        <f>VLOOKUP(Table13[[#This Row],[Date]],database!A:F,6,)</f>
        <v>94.647199999999998</v>
      </c>
      <c r="C478" s="67">
        <f t="shared" si="7"/>
        <v>-5.9362015871882168E-3</v>
      </c>
      <c r="D478" s="66">
        <f>(Table13[[#This Row],[Index]]-B466)/B466</f>
        <v>3.2921316678052932E-2</v>
      </c>
    </row>
    <row r="479" spans="1:4" x14ac:dyDescent="0.35">
      <c r="A479" s="17">
        <v>40664</v>
      </c>
      <c r="B479" s="58">
        <f>VLOOKUP(Table13[[#This Row],[Date]],database!A:F,6,)</f>
        <v>94.668199999999999</v>
      </c>
      <c r="C479" s="66">
        <f t="shared" si="7"/>
        <v>2.2187661124672964E-4</v>
      </c>
      <c r="D479" s="66">
        <f>(Table13[[#This Row],[Index]]-B467)/B467</f>
        <v>1.9612869316468325E-2</v>
      </c>
    </row>
    <row r="480" spans="1:4" x14ac:dyDescent="0.35">
      <c r="A480" s="17">
        <v>40695</v>
      </c>
      <c r="B480" s="58">
        <f>VLOOKUP(Table13[[#This Row],[Date]],database!A:F,6,)</f>
        <v>94.759900000000002</v>
      </c>
      <c r="C480" s="66">
        <f t="shared" si="7"/>
        <v>9.6864628248982676E-4</v>
      </c>
      <c r="D480" s="66">
        <f>(Table13[[#This Row],[Index]]-B468)/B468</f>
        <v>2.0555447258142935E-2</v>
      </c>
    </row>
    <row r="481" spans="1:4" x14ac:dyDescent="0.35">
      <c r="A481" s="17">
        <v>40725</v>
      </c>
      <c r="B481" s="58">
        <f>VLOOKUP(Table13[[#This Row],[Date]],database!A:F,6,)</f>
        <v>95.332099999999997</v>
      </c>
      <c r="C481" s="66">
        <f t="shared" si="7"/>
        <v>6.0384192047480134E-3</v>
      </c>
      <c r="D481" s="66">
        <f>(Table13[[#This Row],[Index]]-B469)/B469</f>
        <v>2.1113763899019783E-2</v>
      </c>
    </row>
    <row r="482" spans="1:4" x14ac:dyDescent="0.35">
      <c r="A482" s="17">
        <v>40756</v>
      </c>
      <c r="B482" s="58">
        <f>VLOOKUP(Table13[[#This Row],[Date]],database!A:F,6,)</f>
        <v>95.786900000000003</v>
      </c>
      <c r="C482" s="66">
        <f t="shared" si="7"/>
        <v>4.770691089360346E-3</v>
      </c>
      <c r="D482" s="66">
        <f>(Table13[[#This Row],[Index]]-B470)/B470</f>
        <v>2.3910182885961664E-2</v>
      </c>
    </row>
    <row r="483" spans="1:4" x14ac:dyDescent="0.35">
      <c r="A483" s="17">
        <v>40787</v>
      </c>
      <c r="B483" s="58">
        <f>VLOOKUP(Table13[[#This Row],[Date]],database!A:F,6,)</f>
        <v>96.0685</v>
      </c>
      <c r="C483" s="66">
        <f t="shared" si="7"/>
        <v>2.9398592083049735E-3</v>
      </c>
      <c r="D483" s="66">
        <f>(Table13[[#This Row],[Index]]-B471)/B471</f>
        <v>2.5983734801437564E-2</v>
      </c>
    </row>
    <row r="484" spans="1:4" x14ac:dyDescent="0.35">
      <c r="A484" s="17">
        <v>40817</v>
      </c>
      <c r="B484" s="58">
        <f>VLOOKUP(Table13[[#This Row],[Date]],database!A:F,6,)</f>
        <v>96.587000000000003</v>
      </c>
      <c r="C484" s="66">
        <f t="shared" si="7"/>
        <v>5.3971905463290337E-3</v>
      </c>
      <c r="D484" s="66">
        <f>(Table13[[#This Row],[Index]]-B472)/B472</f>
        <v>3.099375129425274E-2</v>
      </c>
    </row>
    <row r="485" spans="1:4" x14ac:dyDescent="0.35">
      <c r="A485" s="17">
        <v>40848</v>
      </c>
      <c r="B485" s="58">
        <f>VLOOKUP(Table13[[#This Row],[Date]],database!A:F,6,)</f>
        <v>96.420900000000003</v>
      </c>
      <c r="C485" s="66">
        <f t="shared" si="7"/>
        <v>-1.719693126404187E-3</v>
      </c>
      <c r="D485" s="66">
        <f>(Table13[[#This Row],[Index]]-B473)/B473</f>
        <v>2.8026850846872228E-2</v>
      </c>
    </row>
    <row r="486" spans="1:4" x14ac:dyDescent="0.35">
      <c r="A486" s="17">
        <v>40878</v>
      </c>
      <c r="B486" s="58">
        <f>VLOOKUP(Table13[[#This Row],[Date]],database!A:F,6,)</f>
        <v>97.021799999999999</v>
      </c>
      <c r="C486" s="66">
        <f t="shared" si="7"/>
        <v>6.2320513498628216E-3</v>
      </c>
      <c r="D486" s="66">
        <f>(Table13[[#This Row],[Index]]-B474)/B474</f>
        <v>2.9244121101022487E-2</v>
      </c>
    </row>
    <row r="487" spans="1:4" x14ac:dyDescent="0.35">
      <c r="A487" s="17">
        <v>40909</v>
      </c>
      <c r="B487" s="58">
        <f>VLOOKUP(Table13[[#This Row],[Date]],database!A:F,6,)</f>
        <v>97.928399999999996</v>
      </c>
      <c r="C487" s="66">
        <f t="shared" si="7"/>
        <v>9.344291695268403E-3</v>
      </c>
      <c r="D487" s="66">
        <f>(Table13[[#This Row],[Index]]-B475)/B475</f>
        <v>3.7746486037403118E-2</v>
      </c>
    </row>
    <row r="488" spans="1:4" x14ac:dyDescent="0.35">
      <c r="A488" s="17">
        <v>40940</v>
      </c>
      <c r="B488" s="58">
        <f>VLOOKUP(Table13[[#This Row],[Date]],database!A:F,6,)</f>
        <v>98.349199999999996</v>
      </c>
      <c r="C488" s="66">
        <f t="shared" si="7"/>
        <v>4.2970170042602174E-3</v>
      </c>
      <c r="D488" s="66">
        <f>(Table13[[#This Row],[Index]]-B476)/B476</f>
        <v>3.9978428335016372E-2</v>
      </c>
    </row>
    <row r="489" spans="1:4" x14ac:dyDescent="0.35">
      <c r="A489" s="17">
        <v>40969</v>
      </c>
      <c r="B489" s="58">
        <f>VLOOKUP(Table13[[#This Row],[Date]],database!A:F,6,)</f>
        <v>97.824399999999997</v>
      </c>
      <c r="C489" s="66">
        <f t="shared" si="7"/>
        <v>-5.3360881430657425E-3</v>
      </c>
      <c r="D489" s="66">
        <f>(Table13[[#This Row],[Index]]-B477)/B477</f>
        <v>2.7433401531733206E-2</v>
      </c>
    </row>
    <row r="490" spans="1:4" x14ac:dyDescent="0.35">
      <c r="A490" s="17">
        <v>41000</v>
      </c>
      <c r="B490" s="58">
        <f>VLOOKUP(Table13[[#This Row],[Date]],database!A:F,6,)</f>
        <v>98.361699999999999</v>
      </c>
      <c r="C490" s="66">
        <f t="shared" si="7"/>
        <v>5.4924947150198911E-3</v>
      </c>
      <c r="D490" s="66">
        <f>(Table13[[#This Row],[Index]]-B478)/B478</f>
        <v>3.9245746308395821E-2</v>
      </c>
    </row>
    <row r="491" spans="1:4" x14ac:dyDescent="0.35">
      <c r="A491" s="17">
        <v>41030</v>
      </c>
      <c r="B491" s="58">
        <f>VLOOKUP(Table13[[#This Row],[Date]],database!A:F,6,)</f>
        <v>98.0749</v>
      </c>
      <c r="C491" s="66">
        <f t="shared" si="7"/>
        <v>-2.9157690442519479E-3</v>
      </c>
      <c r="D491" s="66">
        <f>(Table13[[#This Row],[Index]]-B479)/B479</f>
        <v>3.5985684738909167E-2</v>
      </c>
    </row>
    <row r="492" spans="1:4" x14ac:dyDescent="0.35">
      <c r="A492" s="17">
        <v>41061</v>
      </c>
      <c r="B492" s="58">
        <f>VLOOKUP(Table13[[#This Row],[Date]],database!A:F,6,)</f>
        <v>98.399600000000007</v>
      </c>
      <c r="C492" s="66">
        <f t="shared" si="7"/>
        <v>3.3107349586898316E-3</v>
      </c>
      <c r="D492" s="66">
        <f>(Table13[[#This Row],[Index]]-B480)/B480</f>
        <v>3.8409707059631815E-2</v>
      </c>
    </row>
    <row r="493" spans="1:4" x14ac:dyDescent="0.35">
      <c r="A493" s="17">
        <v>41091</v>
      </c>
      <c r="B493" s="58">
        <f>VLOOKUP(Table13[[#This Row],[Date]],database!A:F,6,)</f>
        <v>98.263000000000005</v>
      </c>
      <c r="C493" s="66">
        <f t="shared" si="7"/>
        <v>-1.3882170252724757E-3</v>
      </c>
      <c r="D493" s="66">
        <f>(Table13[[#This Row],[Index]]-B481)/B481</f>
        <v>3.074410403211519E-2</v>
      </c>
    </row>
    <row r="494" spans="1:4" x14ac:dyDescent="0.35">
      <c r="A494" s="17">
        <v>41122</v>
      </c>
      <c r="B494" s="58">
        <f>VLOOKUP(Table13[[#This Row],[Date]],database!A:F,6,)</f>
        <v>98.134900000000002</v>
      </c>
      <c r="C494" s="66">
        <f t="shared" si="7"/>
        <v>-1.3036443015174148E-3</v>
      </c>
      <c r="D494" s="66">
        <f>(Table13[[#This Row],[Index]]-B482)/B482</f>
        <v>2.4512746523793951E-2</v>
      </c>
    </row>
    <row r="495" spans="1:4" x14ac:dyDescent="0.35">
      <c r="A495" s="17">
        <v>41153</v>
      </c>
      <c r="B495" s="58">
        <f>VLOOKUP(Table13[[#This Row],[Date]],database!A:F,6,)</f>
        <v>97.9375</v>
      </c>
      <c r="C495" s="66">
        <f t="shared" si="7"/>
        <v>-2.0115167998336902E-3</v>
      </c>
      <c r="D495" s="66">
        <f>(Table13[[#This Row],[Index]]-B483)/B483</f>
        <v>1.9454868140961916E-2</v>
      </c>
    </row>
    <row r="496" spans="1:4" x14ac:dyDescent="0.35">
      <c r="A496" s="17">
        <v>41183</v>
      </c>
      <c r="B496" s="58">
        <f>VLOOKUP(Table13[[#This Row],[Date]],database!A:F,6,)</f>
        <v>97.784000000000006</v>
      </c>
      <c r="C496" s="66">
        <f t="shared" si="7"/>
        <v>-1.5673261008295469E-3</v>
      </c>
      <c r="D496" s="66">
        <f>(Table13[[#This Row],[Index]]-B484)/B484</f>
        <v>1.2392972139107776E-2</v>
      </c>
    </row>
    <row r="497" spans="1:4" x14ac:dyDescent="0.35">
      <c r="A497" s="17">
        <v>41214</v>
      </c>
      <c r="B497" s="58">
        <f>VLOOKUP(Table13[[#This Row],[Date]],database!A:F,6,)</f>
        <v>98.404399999999995</v>
      </c>
      <c r="C497" s="66">
        <f t="shared" si="7"/>
        <v>6.3445962529655731E-3</v>
      </c>
      <c r="D497" s="66">
        <f>(Table13[[#This Row],[Index]]-B485)/B485</f>
        <v>2.0571266188139627E-2</v>
      </c>
    </row>
    <row r="498" spans="1:4" x14ac:dyDescent="0.35">
      <c r="A498" s="17">
        <v>41244</v>
      </c>
      <c r="B498" s="58">
        <f>VLOOKUP(Table13[[#This Row],[Date]],database!A:F,6,)</f>
        <v>99.126900000000006</v>
      </c>
      <c r="C498" s="66">
        <f t="shared" si="7"/>
        <v>7.3421513672153882E-3</v>
      </c>
      <c r="D498" s="66">
        <f>(Table13[[#This Row],[Index]]-B486)/B486</f>
        <v>2.1697185580972601E-2</v>
      </c>
    </row>
    <row r="499" spans="1:4" x14ac:dyDescent="0.35">
      <c r="A499" s="17">
        <v>41275</v>
      </c>
      <c r="B499" s="58">
        <f>VLOOKUP(Table13[[#This Row],[Date]],database!A:F,6,)</f>
        <v>98.881600000000006</v>
      </c>
      <c r="C499" s="66">
        <f t="shared" si="7"/>
        <v>-2.4746057830922208E-3</v>
      </c>
      <c r="D499" s="66">
        <f>(Table13[[#This Row],[Index]]-B487)/B487</f>
        <v>9.7336421303729007E-3</v>
      </c>
    </row>
    <row r="500" spans="1:4" x14ac:dyDescent="0.35">
      <c r="A500" s="17">
        <v>41306</v>
      </c>
      <c r="B500" s="58">
        <f>VLOOKUP(Table13[[#This Row],[Date]],database!A:F,6,)</f>
        <v>99.366</v>
      </c>
      <c r="C500" s="66">
        <f t="shared" si="7"/>
        <v>4.8987880455009236E-3</v>
      </c>
      <c r="D500" s="66">
        <f>(Table13[[#This Row],[Index]]-B488)/B488</f>
        <v>1.0338670777189887E-2</v>
      </c>
    </row>
    <row r="501" spans="1:4" x14ac:dyDescent="0.35">
      <c r="A501" s="17">
        <v>41334</v>
      </c>
      <c r="B501" s="58">
        <f>VLOOKUP(Table13[[#This Row],[Date]],database!A:F,6,)</f>
        <v>99.3249</v>
      </c>
      <c r="C501" s="66">
        <f t="shared" si="7"/>
        <v>-4.136223657991156E-4</v>
      </c>
      <c r="D501" s="66">
        <f>(Table13[[#This Row],[Index]]-B489)/B489</f>
        <v>1.5338708951958841E-2</v>
      </c>
    </row>
    <row r="502" spans="1:4" x14ac:dyDescent="0.35">
      <c r="A502" s="17">
        <v>41365</v>
      </c>
      <c r="B502" s="58">
        <f>VLOOKUP(Table13[[#This Row],[Date]],database!A:F,6,)</f>
        <v>98.980500000000006</v>
      </c>
      <c r="C502" s="66">
        <f t="shared" si="7"/>
        <v>-3.4674084746120215E-3</v>
      </c>
      <c r="D502" s="66">
        <f>(Table13[[#This Row],[Index]]-B490)/B490</f>
        <v>6.2910665431769415E-3</v>
      </c>
    </row>
    <row r="503" spans="1:4" x14ac:dyDescent="0.35">
      <c r="A503" s="17">
        <v>41395</v>
      </c>
      <c r="B503" s="58">
        <f>VLOOKUP(Table13[[#This Row],[Date]],database!A:F,6,)</f>
        <v>99.280199999999994</v>
      </c>
      <c r="C503" s="66">
        <f t="shared" si="7"/>
        <v>3.0278691257368262E-3</v>
      </c>
      <c r="D503" s="66">
        <f>(Table13[[#This Row],[Index]]-B491)/B491</f>
        <v>1.2289586836183305E-2</v>
      </c>
    </row>
    <row r="504" spans="1:4" x14ac:dyDescent="0.35">
      <c r="A504" s="17">
        <v>41426</v>
      </c>
      <c r="B504" s="58">
        <f>VLOOKUP(Table13[[#This Row],[Date]],database!A:F,6,)</f>
        <v>99.443600000000004</v>
      </c>
      <c r="C504" s="66">
        <f t="shared" si="7"/>
        <v>1.6458468053046627E-3</v>
      </c>
      <c r="D504" s="66">
        <f>(Table13[[#This Row],[Index]]-B492)/B492</f>
        <v>1.0609799226826094E-2</v>
      </c>
    </row>
    <row r="505" spans="1:4" x14ac:dyDescent="0.35">
      <c r="A505" s="17">
        <v>41456</v>
      </c>
      <c r="B505" s="58">
        <f>VLOOKUP(Table13[[#This Row],[Date]],database!A:F,6,)</f>
        <v>98.598399999999998</v>
      </c>
      <c r="C505" s="66">
        <f t="shared" si="7"/>
        <v>-8.4992900498374047E-3</v>
      </c>
      <c r="D505" s="66">
        <f>(Table13[[#This Row],[Index]]-B493)/B493</f>
        <v>3.4132888269235908E-3</v>
      </c>
    </row>
    <row r="506" spans="1:4" x14ac:dyDescent="0.35">
      <c r="A506" s="17">
        <v>41487</v>
      </c>
      <c r="B506" s="58">
        <f>VLOOKUP(Table13[[#This Row],[Date]],database!A:F,6,)</f>
        <v>99.427899999999994</v>
      </c>
      <c r="C506" s="66">
        <f t="shared" si="7"/>
        <v>8.4129154225625058E-3</v>
      </c>
      <c r="D506" s="66">
        <f>(Table13[[#This Row],[Index]]-B494)/B494</f>
        <v>1.3175740740551957E-2</v>
      </c>
    </row>
    <row r="507" spans="1:4" x14ac:dyDescent="0.35">
      <c r="A507" s="17">
        <v>41518</v>
      </c>
      <c r="B507" s="58">
        <f>VLOOKUP(Table13[[#This Row],[Date]],database!A:F,6,)</f>
        <v>99.486099999999993</v>
      </c>
      <c r="C507" s="66">
        <f t="shared" si="7"/>
        <v>5.8534878037241889E-4</v>
      </c>
      <c r="D507" s="66">
        <f>(Table13[[#This Row],[Index]]-B495)/B495</f>
        <v>1.5812125079770194E-2</v>
      </c>
    </row>
    <row r="508" spans="1:4" x14ac:dyDescent="0.35">
      <c r="A508" s="17">
        <v>41548</v>
      </c>
      <c r="B508" s="58">
        <f>VLOOKUP(Table13[[#This Row],[Date]],database!A:F,6,)</f>
        <v>99.6678</v>
      </c>
      <c r="C508" s="66">
        <f t="shared" si="7"/>
        <v>1.8263857966087649E-3</v>
      </c>
      <c r="D508" s="66">
        <f>(Table13[[#This Row],[Index]]-B496)/B496</f>
        <v>1.9264910414791721E-2</v>
      </c>
    </row>
    <row r="509" spans="1:4" x14ac:dyDescent="0.35">
      <c r="A509" s="17">
        <v>41579</v>
      </c>
      <c r="B509" s="58">
        <f>VLOOKUP(Table13[[#This Row],[Date]],database!A:F,6,)</f>
        <v>99.672700000000006</v>
      </c>
      <c r="C509" s="66">
        <f t="shared" si="7"/>
        <v>4.9163320550826839E-5</v>
      </c>
      <c r="D509" s="66">
        <f>(Table13[[#This Row],[Index]]-B497)/B497</f>
        <v>1.2888651320469518E-2</v>
      </c>
    </row>
    <row r="510" spans="1:4" x14ac:dyDescent="0.35">
      <c r="A510" s="17">
        <v>41609</v>
      </c>
      <c r="B510" s="58">
        <f>VLOOKUP(Table13[[#This Row],[Date]],database!A:F,6,)</f>
        <v>99.506600000000006</v>
      </c>
      <c r="C510" s="66">
        <f t="shared" si="7"/>
        <v>-1.6664543049400571E-3</v>
      </c>
      <c r="D510" s="66">
        <f>(Table13[[#This Row],[Index]]-B498)/B498</f>
        <v>3.8304436030986511E-3</v>
      </c>
    </row>
    <row r="511" spans="1:4" x14ac:dyDescent="0.35">
      <c r="A511" s="17">
        <v>41640</v>
      </c>
      <c r="B511" s="58">
        <f>VLOOKUP(Table13[[#This Row],[Date]],database!A:F,6,)</f>
        <v>98.404600000000002</v>
      </c>
      <c r="C511" s="66">
        <f t="shared" si="7"/>
        <v>-1.1074642285034408E-2</v>
      </c>
      <c r="D511" s="66">
        <f>(Table13[[#This Row],[Index]]-B499)/B499</f>
        <v>-4.823951068752972E-3</v>
      </c>
    </row>
    <row r="512" spans="1:4" x14ac:dyDescent="0.35">
      <c r="A512" s="17">
        <v>41671</v>
      </c>
      <c r="B512" s="58">
        <f>VLOOKUP(Table13[[#This Row],[Date]],database!A:F,6,)</f>
        <v>99.352099999999993</v>
      </c>
      <c r="C512" s="66">
        <f t="shared" si="7"/>
        <v>9.6286149224731332E-3</v>
      </c>
      <c r="D512" s="66">
        <f>(Table13[[#This Row],[Index]]-B500)/B500</f>
        <v>-1.3988688283725505E-4</v>
      </c>
    </row>
    <row r="513" spans="1:4" x14ac:dyDescent="0.35">
      <c r="A513" s="17">
        <v>41699</v>
      </c>
      <c r="B513" s="58">
        <f>VLOOKUP(Table13[[#This Row],[Date]],database!A:F,6,)</f>
        <v>100.2411</v>
      </c>
      <c r="C513" s="66">
        <f t="shared" si="7"/>
        <v>8.9479739230475808E-3</v>
      </c>
      <c r="D513" s="66">
        <f>(Table13[[#This Row],[Index]]-B501)/B501</f>
        <v>9.2242730674785833E-3</v>
      </c>
    </row>
    <row r="514" spans="1:4" x14ac:dyDescent="0.35">
      <c r="A514" s="17">
        <v>41730</v>
      </c>
      <c r="B514" s="58">
        <f>VLOOKUP(Table13[[#This Row],[Date]],database!A:F,6,)</f>
        <v>100.2186</v>
      </c>
      <c r="C514" s="66">
        <f t="shared" si="7"/>
        <v>-2.2445882976152021E-4</v>
      </c>
      <c r="D514" s="66">
        <f>(Table13[[#This Row],[Index]]-B502)/B502</f>
        <v>1.2508524406322342E-2</v>
      </c>
    </row>
    <row r="515" spans="1:4" x14ac:dyDescent="0.35">
      <c r="A515" s="17">
        <v>41760</v>
      </c>
      <c r="B515" s="58">
        <f>VLOOKUP(Table13[[#This Row],[Date]],database!A:F,6,)</f>
        <v>100.5074</v>
      </c>
      <c r="C515" s="66">
        <f t="shared" si="7"/>
        <v>2.8817006024830505E-3</v>
      </c>
      <c r="D515" s="66">
        <f>(Table13[[#This Row],[Index]]-B503)/B503</f>
        <v>1.2360974292960838E-2</v>
      </c>
    </row>
    <row r="516" spans="1:4" x14ac:dyDescent="0.35">
      <c r="A516" s="17">
        <v>41791</v>
      </c>
      <c r="B516" s="58">
        <f>VLOOKUP(Table13[[#This Row],[Date]],database!A:F,6,)</f>
        <v>100.84099999999999</v>
      </c>
      <c r="C516" s="66">
        <f t="shared" si="7"/>
        <v>3.31915858931775E-3</v>
      </c>
      <c r="D516" s="66">
        <f>(Table13[[#This Row],[Index]]-B504)/B504</f>
        <v>1.4052186364934398E-2</v>
      </c>
    </row>
    <row r="517" spans="1:4" x14ac:dyDescent="0.35">
      <c r="A517" s="17">
        <v>41821</v>
      </c>
      <c r="B517" s="58">
        <f>VLOOKUP(Table13[[#This Row],[Date]],database!A:F,6,)</f>
        <v>101.39870000000001</v>
      </c>
      <c r="C517" s="66">
        <f t="shared" si="7"/>
        <v>5.5304885909501778E-3</v>
      </c>
      <c r="D517" s="66">
        <f>(Table13[[#This Row],[Index]]-B505)/B505</f>
        <v>2.8401069388549988E-2</v>
      </c>
    </row>
    <row r="518" spans="1:4" x14ac:dyDescent="0.35">
      <c r="A518" s="17">
        <v>41852</v>
      </c>
      <c r="B518" s="58">
        <f>VLOOKUP(Table13[[#This Row],[Date]],database!A:F,6,)</f>
        <v>100.8009</v>
      </c>
      <c r="C518" s="66">
        <f t="shared" si="7"/>
        <v>-5.8955390946827668E-3</v>
      </c>
      <c r="D518" s="66">
        <f>(Table13[[#This Row],[Index]]-B506)/B506</f>
        <v>1.3809001296416849E-2</v>
      </c>
    </row>
    <row r="519" spans="1:4" x14ac:dyDescent="0.35">
      <c r="A519" s="17">
        <v>41883</v>
      </c>
      <c r="B519" s="58">
        <f>VLOOKUP(Table13[[#This Row],[Date]],database!A:F,6,)</f>
        <v>100.87220000000001</v>
      </c>
      <c r="C519" s="66">
        <f t="shared" si="7"/>
        <v>7.0733495435071347E-4</v>
      </c>
      <c r="D519" s="66">
        <f>(Table13[[#This Row],[Index]]-B507)/B507</f>
        <v>1.3932599629496114E-2</v>
      </c>
    </row>
    <row r="520" spans="1:4" x14ac:dyDescent="0.35">
      <c r="A520" s="17">
        <v>41913</v>
      </c>
      <c r="B520" s="58">
        <f>VLOOKUP(Table13[[#This Row],[Date]],database!A:F,6,)</f>
        <v>100.7754</v>
      </c>
      <c r="C520" s="66">
        <f t="shared" ref="C520:C583" si="8">B520/B519-1</f>
        <v>-9.5963010621358258E-4</v>
      </c>
      <c r="D520" s="66">
        <f>(Table13[[#This Row],[Index]]-B508)/B508</f>
        <v>1.1112917110641602E-2</v>
      </c>
    </row>
    <row r="521" spans="1:4" x14ac:dyDescent="0.35">
      <c r="A521" s="17">
        <v>41944</v>
      </c>
      <c r="B521" s="58">
        <f>VLOOKUP(Table13[[#This Row],[Date]],database!A:F,6,)</f>
        <v>101.4676</v>
      </c>
      <c r="C521" s="67">
        <f t="shared" si="8"/>
        <v>6.868739791655587E-3</v>
      </c>
      <c r="D521" s="66">
        <f>(Table13[[#This Row],[Index]]-B509)/B509</f>
        <v>1.8007939987579331E-2</v>
      </c>
    </row>
    <row r="522" spans="1:4" x14ac:dyDescent="0.35">
      <c r="A522" s="17">
        <v>41974</v>
      </c>
      <c r="B522" s="58">
        <f>VLOOKUP(Table13[[#This Row],[Date]],database!A:F,6,)</f>
        <v>101.2936</v>
      </c>
      <c r="C522" s="66">
        <f t="shared" si="8"/>
        <v>-1.7148331092881053E-3</v>
      </c>
      <c r="D522" s="66">
        <f>(Table13[[#This Row],[Index]]-B510)/B510</f>
        <v>1.7958607770740754E-2</v>
      </c>
    </row>
    <row r="523" spans="1:4" x14ac:dyDescent="0.35">
      <c r="A523" s="17">
        <v>42005</v>
      </c>
      <c r="B523" s="58">
        <f>VLOOKUP(Table13[[#This Row],[Date]],database!A:F,6,)</f>
        <v>100.708</v>
      </c>
      <c r="C523" s="67">
        <f t="shared" si="8"/>
        <v>-5.7812142129414212E-3</v>
      </c>
      <c r="D523" s="66">
        <f>(Table13[[#This Row],[Index]]-B511)/B511</f>
        <v>2.3407442335012758E-2</v>
      </c>
    </row>
    <row r="524" spans="1:4" x14ac:dyDescent="0.35">
      <c r="A524" s="17">
        <v>42036</v>
      </c>
      <c r="B524" s="58">
        <f>VLOOKUP(Table13[[#This Row],[Date]],database!A:F,6,)</f>
        <v>99.965500000000006</v>
      </c>
      <c r="C524" s="66">
        <f t="shared" si="8"/>
        <v>-7.3728005719505552E-3</v>
      </c>
      <c r="D524" s="66">
        <f>(Table13[[#This Row],[Index]]-B512)/B512</f>
        <v>6.1740013547777334E-3</v>
      </c>
    </row>
    <row r="525" spans="1:4" x14ac:dyDescent="0.35">
      <c r="A525" s="17">
        <v>42064</v>
      </c>
      <c r="B525" s="58">
        <f>VLOOKUP(Table13[[#This Row],[Date]],database!A:F,6,)</f>
        <v>100.28060000000001</v>
      </c>
      <c r="C525" s="67">
        <f t="shared" si="8"/>
        <v>3.1520874701771451E-3</v>
      </c>
      <c r="D525" s="66">
        <f>(Table13[[#This Row],[Index]]-B513)/B513</f>
        <v>3.9404994558124226E-4</v>
      </c>
    </row>
    <row r="526" spans="1:4" x14ac:dyDescent="0.35">
      <c r="A526" s="17">
        <v>42095</v>
      </c>
      <c r="B526" s="58">
        <f>VLOOKUP(Table13[[#This Row],[Date]],database!A:F,6,)</f>
        <v>100.24550000000001</v>
      </c>
      <c r="C526" s="66">
        <f t="shared" si="8"/>
        <v>-3.5001784991317564E-4</v>
      </c>
      <c r="D526" s="66">
        <f>(Table13[[#This Row],[Index]]-B514)/B514</f>
        <v>2.6841324863859518E-4</v>
      </c>
    </row>
    <row r="527" spans="1:4" x14ac:dyDescent="0.35">
      <c r="A527" s="17">
        <v>42125</v>
      </c>
      <c r="B527" s="58">
        <f>VLOOKUP(Table13[[#This Row],[Date]],database!A:F,6,)</f>
        <v>100.2375</v>
      </c>
      <c r="C527" s="66">
        <f t="shared" si="8"/>
        <v>-7.9804080981293879E-5</v>
      </c>
      <c r="D527" s="66">
        <f>(Table13[[#This Row],[Index]]-B515)/B515</f>
        <v>-2.6853744102424987E-3</v>
      </c>
    </row>
    <row r="528" spans="1:4" x14ac:dyDescent="0.35">
      <c r="A528" s="17">
        <v>42156</v>
      </c>
      <c r="B528" s="58">
        <f>VLOOKUP(Table13[[#This Row],[Date]],database!A:F,6,)</f>
        <v>99.855099999999993</v>
      </c>
      <c r="C528" s="66">
        <f t="shared" si="8"/>
        <v>-3.8149395186433122E-3</v>
      </c>
      <c r="D528" s="66">
        <f>(Table13[[#This Row],[Index]]-B516)/B516</f>
        <v>-9.7767773028827661E-3</v>
      </c>
    </row>
    <row r="529" spans="1:4" x14ac:dyDescent="0.35">
      <c r="A529" s="17">
        <v>42186</v>
      </c>
      <c r="B529" s="58">
        <f>VLOOKUP(Table13[[#This Row],[Date]],database!A:F,6,)</f>
        <v>100.5954</v>
      </c>
      <c r="C529" s="66">
        <f t="shared" si="8"/>
        <v>7.4137425129012779E-3</v>
      </c>
      <c r="D529" s="66">
        <f>(Table13[[#This Row],[Index]]-B517)/B517</f>
        <v>-7.9221922963510095E-3</v>
      </c>
    </row>
    <row r="530" spans="1:4" x14ac:dyDescent="0.35">
      <c r="A530" s="17">
        <v>42217</v>
      </c>
      <c r="B530" s="58">
        <f>VLOOKUP(Table13[[#This Row],[Date]],database!A:F,6,)</f>
        <v>100.23399999999999</v>
      </c>
      <c r="C530" s="66">
        <f t="shared" si="8"/>
        <v>-3.5926096024271326E-3</v>
      </c>
      <c r="D530" s="66">
        <f>(Table13[[#This Row],[Index]]-B518)/B518</f>
        <v>-5.6239577225997385E-3</v>
      </c>
    </row>
    <row r="531" spans="1:4" x14ac:dyDescent="0.35">
      <c r="A531" s="17">
        <v>42248</v>
      </c>
      <c r="B531" s="58">
        <f>VLOOKUP(Table13[[#This Row],[Date]],database!A:F,6,)</f>
        <v>100.0236</v>
      </c>
      <c r="C531" s="66">
        <f t="shared" si="8"/>
        <v>-2.0990881337669132E-3</v>
      </c>
      <c r="D531" s="66">
        <f>(Table13[[#This Row],[Index]]-B519)/B519</f>
        <v>-8.412625084017248E-3</v>
      </c>
    </row>
    <row r="532" spans="1:4" x14ac:dyDescent="0.35">
      <c r="A532" s="17">
        <v>42278</v>
      </c>
      <c r="B532" s="58">
        <f>VLOOKUP(Table13[[#This Row],[Date]],database!A:F,6,)</f>
        <v>99.892799999999994</v>
      </c>
      <c r="C532" s="66">
        <f t="shared" si="8"/>
        <v>-1.3076913848332206E-3</v>
      </c>
      <c r="D532" s="66">
        <f>(Table13[[#This Row],[Index]]-B520)/B520</f>
        <v>-8.7580897719087263E-3</v>
      </c>
    </row>
    <row r="533" spans="1:4" x14ac:dyDescent="0.35">
      <c r="A533" s="17">
        <v>42309</v>
      </c>
      <c r="B533" s="58">
        <f>VLOOKUP(Table13[[#This Row],[Date]],database!A:F,6,)</f>
        <v>99.578000000000003</v>
      </c>
      <c r="C533" s="66">
        <f t="shared" si="8"/>
        <v>-3.1513782775134391E-3</v>
      </c>
      <c r="D533" s="66">
        <f>(Table13[[#This Row],[Index]]-B521)/B521</f>
        <v>-1.8622693352360768E-2</v>
      </c>
    </row>
    <row r="534" spans="1:4" x14ac:dyDescent="0.35">
      <c r="A534" s="17">
        <v>42339</v>
      </c>
      <c r="B534" s="58">
        <f>VLOOKUP(Table13[[#This Row],[Date]],database!A:F,6,)</f>
        <v>99.299499999999995</v>
      </c>
      <c r="C534" s="66">
        <f t="shared" si="8"/>
        <v>-2.7968025065778779E-3</v>
      </c>
      <c r="D534" s="66">
        <f>(Table13[[#This Row],[Index]]-B522)/B522</f>
        <v>-1.9686337537613462E-2</v>
      </c>
    </row>
    <row r="535" spans="1:4" x14ac:dyDescent="0.35">
      <c r="A535" s="17">
        <v>42370</v>
      </c>
      <c r="B535" s="58">
        <f>VLOOKUP(Table13[[#This Row],[Date]],database!A:F,6,)</f>
        <v>99.750200000000007</v>
      </c>
      <c r="C535" s="66">
        <f t="shared" si="8"/>
        <v>4.5387942537475912E-3</v>
      </c>
      <c r="D535" s="66">
        <f>(Table13[[#This Row],[Index]]-B523)/B523</f>
        <v>-9.5106644953726789E-3</v>
      </c>
    </row>
    <row r="536" spans="1:4" x14ac:dyDescent="0.35">
      <c r="A536" s="17">
        <v>42401</v>
      </c>
      <c r="B536" s="58">
        <f>VLOOKUP(Table13[[#This Row],[Date]],database!A:F,6,)</f>
        <v>99.426500000000004</v>
      </c>
      <c r="C536" s="66">
        <f t="shared" si="8"/>
        <v>-3.2451062754761395E-3</v>
      </c>
      <c r="D536" s="66">
        <f>(Table13[[#This Row],[Index]]-B524)/B524</f>
        <v>-5.3918601917661742E-3</v>
      </c>
    </row>
    <row r="537" spans="1:4" x14ac:dyDescent="0.35">
      <c r="A537" s="17">
        <v>42430</v>
      </c>
      <c r="B537" s="58">
        <f>VLOOKUP(Table13[[#This Row],[Date]],database!A:F,6,)</f>
        <v>99.360100000000003</v>
      </c>
      <c r="C537" s="66">
        <f t="shared" si="8"/>
        <v>-6.6783000507919521E-4</v>
      </c>
      <c r="D537" s="66">
        <f>(Table13[[#This Row],[Index]]-B525)/B525</f>
        <v>-9.1792430440185251E-3</v>
      </c>
    </row>
    <row r="538" spans="1:4" x14ac:dyDescent="0.35">
      <c r="A538" s="17">
        <v>42461</v>
      </c>
      <c r="B538" s="58">
        <f>VLOOKUP(Table13[[#This Row],[Date]],database!A:F,6,)</f>
        <v>99.195999999999998</v>
      </c>
      <c r="C538" s="66">
        <f t="shared" si="8"/>
        <v>-1.6515683861026975E-3</v>
      </c>
      <c r="D538" s="66">
        <f>(Table13[[#This Row],[Index]]-B526)/B526</f>
        <v>-1.0469297873720106E-2</v>
      </c>
    </row>
    <row r="539" spans="1:4" x14ac:dyDescent="0.35">
      <c r="A539" s="17">
        <v>42491</v>
      </c>
      <c r="B539" s="58">
        <f>VLOOKUP(Table13[[#This Row],[Date]],database!A:F,6,)</f>
        <v>99.114999999999995</v>
      </c>
      <c r="C539" s="66">
        <f t="shared" si="8"/>
        <v>-8.1656518408002032E-4</v>
      </c>
      <c r="D539" s="66">
        <f>(Table13[[#This Row],[Index]]-B527)/B527</f>
        <v>-1.1198403790996406E-2</v>
      </c>
    </row>
    <row r="540" spans="1:4" x14ac:dyDescent="0.35">
      <c r="A540" s="17">
        <v>42522</v>
      </c>
      <c r="B540" s="58">
        <f>VLOOKUP(Table13[[#This Row],[Date]],database!A:F,6,)</f>
        <v>99.361400000000003</v>
      </c>
      <c r="C540" s="66">
        <f t="shared" si="8"/>
        <v>2.4860011098220003E-3</v>
      </c>
      <c r="D540" s="66">
        <f>(Table13[[#This Row],[Index]]-B528)/B528</f>
        <v>-4.9441640937717734E-3</v>
      </c>
    </row>
    <row r="541" spans="1:4" x14ac:dyDescent="0.35">
      <c r="A541" s="17">
        <v>42552</v>
      </c>
      <c r="B541" s="58">
        <f>VLOOKUP(Table13[[#This Row],[Date]],database!A:F,6,)</f>
        <v>99.448700000000002</v>
      </c>
      <c r="C541" s="66">
        <f t="shared" si="8"/>
        <v>8.7861080862383645E-4</v>
      </c>
      <c r="D541" s="66">
        <f>(Table13[[#This Row],[Index]]-B529)/B529</f>
        <v>-1.1399129582465955E-2</v>
      </c>
    </row>
    <row r="542" spans="1:4" x14ac:dyDescent="0.35">
      <c r="A542" s="17">
        <v>42583</v>
      </c>
      <c r="B542" s="58">
        <f>VLOOKUP(Table13[[#This Row],[Date]],database!A:F,6,)</f>
        <v>99.092200000000005</v>
      </c>
      <c r="C542" s="66">
        <f t="shared" si="8"/>
        <v>-3.5847627973014662E-3</v>
      </c>
      <c r="D542" s="66">
        <f>(Table13[[#This Row],[Index]]-B530)/B530</f>
        <v>-1.1391344254444493E-2</v>
      </c>
    </row>
    <row r="543" spans="1:4" x14ac:dyDescent="0.35">
      <c r="A543" s="17">
        <v>42614</v>
      </c>
      <c r="B543" s="58">
        <f>VLOOKUP(Table13[[#This Row],[Date]],database!A:F,6,)</f>
        <v>99.29</v>
      </c>
      <c r="C543" s="66">
        <f t="shared" si="8"/>
        <v>1.9961207844816364E-3</v>
      </c>
      <c r="D543" s="66">
        <f>(Table13[[#This Row],[Index]]-B531)/B531</f>
        <v>-7.3342691124894084E-3</v>
      </c>
    </row>
    <row r="544" spans="1:4" x14ac:dyDescent="0.35">
      <c r="A544" s="17">
        <v>42644</v>
      </c>
      <c r="B544" s="58">
        <f>VLOOKUP(Table13[[#This Row],[Date]],database!A:F,6,)</f>
        <v>99.440200000000004</v>
      </c>
      <c r="C544" s="66">
        <f t="shared" si="8"/>
        <v>1.5127404572463643E-3</v>
      </c>
      <c r="D544" s="66">
        <f>(Table13[[#This Row],[Index]]-B532)/B532</f>
        <v>-4.5308570787883579E-3</v>
      </c>
    </row>
    <row r="545" spans="1:4" x14ac:dyDescent="0.35">
      <c r="A545" s="17">
        <v>42675</v>
      </c>
      <c r="B545" s="58">
        <f>VLOOKUP(Table13[[#This Row],[Date]],database!A:F,6,)</f>
        <v>99.331999999999994</v>
      </c>
      <c r="C545" s="66">
        <f t="shared" si="8"/>
        <v>-1.088091134169189E-3</v>
      </c>
      <c r="D545" s="66">
        <f>(Table13[[#This Row],[Index]]-B533)/B533</f>
        <v>-2.4704251943201243E-3</v>
      </c>
    </row>
    <row r="546" spans="1:4" x14ac:dyDescent="0.35">
      <c r="A546" s="17">
        <v>42705</v>
      </c>
      <c r="B546" s="58">
        <f>VLOOKUP(Table13[[#This Row],[Date]],database!A:F,6,)</f>
        <v>99.291200000000003</v>
      </c>
      <c r="C546" s="66">
        <f t="shared" si="8"/>
        <v>-4.1074376837257898E-4</v>
      </c>
      <c r="D546" s="66">
        <f>(Table13[[#This Row],[Index]]-B534)/B534</f>
        <v>-8.3585516543298959E-5</v>
      </c>
    </row>
    <row r="547" spans="1:4" x14ac:dyDescent="0.35">
      <c r="A547" s="17">
        <v>42736</v>
      </c>
      <c r="B547" s="58">
        <f>VLOOKUP(Table13[[#This Row],[Date]],database!A:F,6,)</f>
        <v>99.516000000000005</v>
      </c>
      <c r="C547" s="66">
        <f t="shared" si="8"/>
        <v>2.2640475691702022E-3</v>
      </c>
      <c r="D547" s="66">
        <f>(Table13[[#This Row],[Index]]-B535)/B535</f>
        <v>-2.3478649666867964E-3</v>
      </c>
    </row>
    <row r="548" spans="1:4" x14ac:dyDescent="0.35">
      <c r="A548" s="17">
        <v>42767</v>
      </c>
      <c r="B548" s="58">
        <f>VLOOKUP(Table13[[#This Row],[Date]],database!A:F,6,)</f>
        <v>99.500600000000006</v>
      </c>
      <c r="C548" s="66">
        <f t="shared" si="8"/>
        <v>-1.5474898508782697E-4</v>
      </c>
      <c r="D548" s="66">
        <f>(Table13[[#This Row],[Index]]-B536)/B536</f>
        <v>7.4527414723440314E-4</v>
      </c>
    </row>
    <row r="549" spans="1:4" x14ac:dyDescent="0.35">
      <c r="A549" s="17">
        <v>42795</v>
      </c>
      <c r="B549" s="58">
        <f>VLOOKUP(Table13[[#This Row],[Date]],database!A:F,6,)</f>
        <v>99.212800000000001</v>
      </c>
      <c r="C549" s="66">
        <f t="shared" si="8"/>
        <v>-2.8924448696792115E-3</v>
      </c>
      <c r="D549" s="66">
        <f>(Table13[[#This Row],[Index]]-B537)/B537</f>
        <v>-1.4824864306698696E-3</v>
      </c>
    </row>
    <row r="550" spans="1:4" x14ac:dyDescent="0.35">
      <c r="A550" s="17">
        <v>42826</v>
      </c>
      <c r="B550" s="58">
        <f>VLOOKUP(Table13[[#This Row],[Date]],database!A:F,6,)</f>
        <v>100.3682</v>
      </c>
      <c r="C550" s="66">
        <f t="shared" si="8"/>
        <v>1.1645674751644908E-2</v>
      </c>
      <c r="D550" s="66">
        <f>(Table13[[#This Row],[Index]]-B538)/B538</f>
        <v>1.1817008750352874E-2</v>
      </c>
    </row>
    <row r="551" spans="1:4" x14ac:dyDescent="0.35">
      <c r="A551" s="17">
        <v>42856</v>
      </c>
      <c r="B551" s="58">
        <f>VLOOKUP(Table13[[#This Row],[Date]],database!A:F,6,)</f>
        <v>100.15519999999999</v>
      </c>
      <c r="C551" s="66">
        <f t="shared" si="8"/>
        <v>-2.1221861107403317E-3</v>
      </c>
      <c r="D551" s="66">
        <f>(Table13[[#This Row],[Index]]-B539)/B539</f>
        <v>1.0494879685214132E-2</v>
      </c>
    </row>
    <row r="552" spans="1:4" x14ac:dyDescent="0.35">
      <c r="A552" s="17">
        <v>42887</v>
      </c>
      <c r="B552" s="58">
        <f>VLOOKUP(Table13[[#This Row],[Date]],database!A:F,6,)</f>
        <v>100.1335</v>
      </c>
      <c r="C552" s="66">
        <f t="shared" si="8"/>
        <v>-2.1666373787876392E-4</v>
      </c>
      <c r="D552" s="66">
        <f>(Table13[[#This Row],[Index]]-B540)/B540</f>
        <v>7.770623199753573E-3</v>
      </c>
    </row>
    <row r="553" spans="1:4" x14ac:dyDescent="0.35">
      <c r="A553" s="17">
        <v>42917</v>
      </c>
      <c r="B553" s="58">
        <f>VLOOKUP(Table13[[#This Row],[Date]],database!A:F,6,)</f>
        <v>99.833100000000002</v>
      </c>
      <c r="C553" s="66">
        <f t="shared" si="8"/>
        <v>-2.9999950066660341E-3</v>
      </c>
      <c r="D553" s="66">
        <f>(Table13[[#This Row],[Index]]-B541)/B541</f>
        <v>3.8653094510033756E-3</v>
      </c>
    </row>
    <row r="554" spans="1:4" x14ac:dyDescent="0.35">
      <c r="A554" s="17">
        <v>42948</v>
      </c>
      <c r="B554" s="58">
        <f>VLOOKUP(Table13[[#This Row],[Date]],database!A:F,6,)</f>
        <v>99.616600000000005</v>
      </c>
      <c r="C554" s="66">
        <f t="shared" si="8"/>
        <v>-2.168619425821694E-3</v>
      </c>
      <c r="D554" s="66">
        <f>(Table13[[#This Row],[Index]]-B542)/B542</f>
        <v>5.2920411495556655E-3</v>
      </c>
    </row>
    <row r="555" spans="1:4" x14ac:dyDescent="0.35">
      <c r="A555" s="17">
        <v>42979</v>
      </c>
      <c r="B555" s="58">
        <f>VLOOKUP(Table13[[#This Row],[Date]],database!A:F,6,)</f>
        <v>99.658199999999994</v>
      </c>
      <c r="C555" s="66">
        <f t="shared" si="8"/>
        <v>4.176010825502896E-4</v>
      </c>
      <c r="D555" s="66">
        <f>(Table13[[#This Row],[Index]]-B543)/B543</f>
        <v>3.7083291368716627E-3</v>
      </c>
    </row>
    <row r="556" spans="1:4" x14ac:dyDescent="0.35">
      <c r="A556" s="17">
        <v>43009</v>
      </c>
      <c r="B556" s="58">
        <f>VLOOKUP(Table13[[#This Row],[Date]],database!A:F,6,)</f>
        <v>100.7491</v>
      </c>
      <c r="C556" s="66">
        <f t="shared" si="8"/>
        <v>1.0946414845943497E-2</v>
      </c>
      <c r="D556" s="66">
        <f>(Table13[[#This Row],[Index]]-B544)/B544</f>
        <v>1.3162684709000928E-2</v>
      </c>
    </row>
    <row r="557" spans="1:4" x14ac:dyDescent="0.35">
      <c r="A557" s="17">
        <v>43040</v>
      </c>
      <c r="B557" s="58">
        <f>VLOOKUP(Table13[[#This Row],[Date]],database!A:F,6,)</f>
        <v>100.77889999999999</v>
      </c>
      <c r="C557" s="66">
        <f t="shared" si="8"/>
        <v>2.957842799586885E-4</v>
      </c>
      <c r="D557" s="66">
        <f>(Table13[[#This Row],[Index]]-B545)/B545</f>
        <v>1.4566302903394671E-2</v>
      </c>
    </row>
    <row r="558" spans="1:4" x14ac:dyDescent="0.35">
      <c r="A558" s="17">
        <v>43070</v>
      </c>
      <c r="B558" s="58">
        <f>VLOOKUP(Table13[[#This Row],[Date]],database!A:F,6,)</f>
        <v>100.4778</v>
      </c>
      <c r="C558" s="66">
        <f t="shared" si="8"/>
        <v>-2.9877285820741895E-3</v>
      </c>
      <c r="D558" s="66">
        <f>(Table13[[#This Row],[Index]]-B546)/B546</f>
        <v>1.1950706608440612E-2</v>
      </c>
    </row>
    <row r="559" spans="1:4" x14ac:dyDescent="0.35">
      <c r="A559" s="17">
        <v>43101</v>
      </c>
      <c r="B559" s="58">
        <f>VLOOKUP(Table13[[#This Row],[Date]],database!A:F,6,)</f>
        <v>100.08929999999999</v>
      </c>
      <c r="C559" s="66">
        <f t="shared" si="8"/>
        <v>-3.8665257400143371E-3</v>
      </c>
      <c r="D559" s="66">
        <f>(Table13[[#This Row],[Index]]-B547)/B547</f>
        <v>5.7608826721330135E-3</v>
      </c>
    </row>
    <row r="560" spans="1:4" x14ac:dyDescent="0.35">
      <c r="A560" s="17">
        <v>43132</v>
      </c>
      <c r="B560" s="58">
        <f>VLOOKUP(Table13[[#This Row],[Date]],database!A:F,6,)</f>
        <v>101.1146</v>
      </c>
      <c r="C560" s="66">
        <f t="shared" si="8"/>
        <v>1.0243852239949724E-2</v>
      </c>
      <c r="D560" s="66">
        <f>(Table13[[#This Row],[Index]]-B548)/B548</f>
        <v>1.6221007712516205E-2</v>
      </c>
    </row>
    <row r="561" spans="1:4" x14ac:dyDescent="0.35">
      <c r="A561" s="17">
        <v>43160</v>
      </c>
      <c r="B561" s="58">
        <f>VLOOKUP(Table13[[#This Row],[Date]],database!A:F,6,)</f>
        <v>101.205</v>
      </c>
      <c r="C561" s="66">
        <f t="shared" si="8"/>
        <v>8.9403508494334538E-4</v>
      </c>
      <c r="D561" s="66">
        <f>(Table13[[#This Row],[Index]]-B549)/B549</f>
        <v>2.0080070313507902E-2</v>
      </c>
    </row>
    <row r="562" spans="1:4" x14ac:dyDescent="0.35">
      <c r="A562" s="17">
        <v>43191</v>
      </c>
      <c r="B562" s="58">
        <f>VLOOKUP(Table13[[#This Row],[Date]],database!A:F,6,)</f>
        <v>101.9431</v>
      </c>
      <c r="C562" s="66">
        <f t="shared" si="8"/>
        <v>7.2931179289561499E-3</v>
      </c>
      <c r="D562" s="66">
        <f>(Table13[[#This Row],[Index]]-B550)/B550</f>
        <v>1.5691224909881809E-2</v>
      </c>
    </row>
    <row r="563" spans="1:4" x14ac:dyDescent="0.35">
      <c r="A563" s="17">
        <v>43221</v>
      </c>
      <c r="B563" s="58">
        <f>VLOOKUP(Table13[[#This Row],[Date]],database!A:F,6,)</f>
        <v>101.0712</v>
      </c>
      <c r="C563" s="66">
        <f t="shared" si="8"/>
        <v>-8.5528103422398694E-3</v>
      </c>
      <c r="D563" s="66">
        <f>(Table13[[#This Row],[Index]]-B551)/B551</f>
        <v>9.1458057095389067E-3</v>
      </c>
    </row>
    <row r="564" spans="1:4" x14ac:dyDescent="0.35">
      <c r="A564" s="17">
        <v>43252</v>
      </c>
      <c r="B564" s="58">
        <f>VLOOKUP(Table13[[#This Row],[Date]],database!A:F,6,)</f>
        <v>101.73390000000001</v>
      </c>
      <c r="C564" s="66">
        <f t="shared" si="8"/>
        <v>6.5567639446251214E-3</v>
      </c>
      <c r="D564" s="66">
        <f>(Table13[[#This Row],[Index]]-B552)/B552</f>
        <v>1.5982663144701901E-2</v>
      </c>
    </row>
    <row r="565" spans="1:4" x14ac:dyDescent="0.35">
      <c r="A565" s="17">
        <v>43282</v>
      </c>
      <c r="B565" s="58">
        <f>VLOOKUP(Table13[[#This Row],[Date]],database!A:F,6,)</f>
        <v>101.8353</v>
      </c>
      <c r="C565" s="66">
        <f t="shared" si="8"/>
        <v>9.9671790818978145E-4</v>
      </c>
      <c r="D565" s="66">
        <f>(Table13[[#This Row],[Index]]-B553)/B553</f>
        <v>2.0055472583742285E-2</v>
      </c>
    </row>
    <row r="566" spans="1:4" x14ac:dyDescent="0.35">
      <c r="A566" s="17">
        <v>43313</v>
      </c>
      <c r="B566" s="58">
        <f>VLOOKUP(Table13[[#This Row],[Date]],database!A:F,6,)</f>
        <v>102.1497</v>
      </c>
      <c r="C566" s="66">
        <f t="shared" si="8"/>
        <v>3.0873380841416331E-3</v>
      </c>
      <c r="D566" s="66">
        <f>(Table13[[#This Row],[Index]]-B554)/B554</f>
        <v>2.542849284155442E-2</v>
      </c>
    </row>
    <row r="567" spans="1:4" x14ac:dyDescent="0.35">
      <c r="A567" s="17">
        <v>43344</v>
      </c>
      <c r="B567" s="58">
        <f>VLOOKUP(Table13[[#This Row],[Date]],database!A:F,6,)</f>
        <v>102.11150000000001</v>
      </c>
      <c r="C567" s="66">
        <f t="shared" si="8"/>
        <v>-3.7396096121666833E-4</v>
      </c>
      <c r="D567" s="66">
        <f>(Table13[[#This Row],[Index]]-B555)/B555</f>
        <v>2.4617141389268651E-2</v>
      </c>
    </row>
    <row r="568" spans="1:4" x14ac:dyDescent="0.35">
      <c r="A568" s="17">
        <v>43374</v>
      </c>
      <c r="B568" s="58">
        <f>VLOOKUP(Table13[[#This Row],[Date]],database!A:F,6,)</f>
        <v>101.7088</v>
      </c>
      <c r="C568" s="66">
        <f t="shared" si="8"/>
        <v>-3.9437281794901802E-3</v>
      </c>
      <c r="D568" s="66">
        <f>(Table13[[#This Row],[Index]]-B556)/B556</f>
        <v>9.5256434052512426E-3</v>
      </c>
    </row>
    <row r="569" spans="1:4" x14ac:dyDescent="0.35">
      <c r="A569" s="17">
        <v>43405</v>
      </c>
      <c r="B569" s="58">
        <f>VLOOKUP(Table13[[#This Row],[Date]],database!A:F,6,)</f>
        <v>101.2783</v>
      </c>
      <c r="C569" s="66">
        <f t="shared" si="8"/>
        <v>-4.2326720991693323E-3</v>
      </c>
      <c r="D569" s="66">
        <f>(Table13[[#This Row],[Index]]-B557)/B557</f>
        <v>4.9554023709328888E-3</v>
      </c>
    </row>
    <row r="570" spans="1:4" x14ac:dyDescent="0.35">
      <c r="A570" s="17">
        <v>43435</v>
      </c>
      <c r="B570" s="58">
        <f>VLOOKUP(Table13[[#This Row],[Date]],database!A:F,6,)</f>
        <v>101.44450000000001</v>
      </c>
      <c r="C570" s="66">
        <f t="shared" si="8"/>
        <v>1.64102280547751E-3</v>
      </c>
      <c r="D570" s="66">
        <f>(Table13[[#This Row],[Index]]-B558)/B558</f>
        <v>9.6210307152426004E-3</v>
      </c>
    </row>
    <row r="571" spans="1:4" x14ac:dyDescent="0.35">
      <c r="A571" s="17">
        <v>43466</v>
      </c>
      <c r="B571" s="58">
        <f>VLOOKUP(Table13[[#This Row],[Date]],database!A:F,6,)</f>
        <v>100.6521</v>
      </c>
      <c r="C571" s="66">
        <f t="shared" si="8"/>
        <v>-7.8111676828216403E-3</v>
      </c>
      <c r="D571" s="66">
        <f>(Table13[[#This Row],[Index]]-B559)/B559</f>
        <v>5.6229786800388254E-3</v>
      </c>
    </row>
    <row r="572" spans="1:4" x14ac:dyDescent="0.35">
      <c r="A572" s="17">
        <v>43497</v>
      </c>
      <c r="B572" s="58">
        <f>VLOOKUP(Table13[[#This Row],[Date]],database!A:F,6,)</f>
        <v>100.2042</v>
      </c>
      <c r="C572" s="66">
        <f t="shared" si="8"/>
        <v>-4.4499816695330319E-3</v>
      </c>
      <c r="D572" s="66">
        <f>(Table13[[#This Row],[Index]]-B560)/B560</f>
        <v>-9.0036453687202013E-3</v>
      </c>
    </row>
    <row r="573" spans="1:4" x14ac:dyDescent="0.35">
      <c r="A573" s="17">
        <v>43525</v>
      </c>
      <c r="B573" s="58">
        <f>VLOOKUP(Table13[[#This Row],[Date]],database!A:F,6,)</f>
        <v>100.1091</v>
      </c>
      <c r="C573" s="66">
        <f t="shared" si="8"/>
        <v>-9.49062015364599E-4</v>
      </c>
      <c r="D573" s="66">
        <f>(Table13[[#This Row],[Index]]-B561)/B561</f>
        <v>-1.0828516377649328E-2</v>
      </c>
    </row>
    <row r="574" spans="1:4" x14ac:dyDescent="0.35">
      <c r="A574" s="17">
        <v>43556</v>
      </c>
      <c r="B574" s="58">
        <f>VLOOKUP(Table13[[#This Row],[Date]],database!A:F,6,)</f>
        <v>99.486599999999996</v>
      </c>
      <c r="C574" s="66">
        <f t="shared" si="8"/>
        <v>-6.218215926424242E-3</v>
      </c>
      <c r="D574" s="66">
        <f>(Table13[[#This Row],[Index]]-B562)/B562</f>
        <v>-2.4096775554206272E-2</v>
      </c>
    </row>
    <row r="575" spans="1:4" x14ac:dyDescent="0.35">
      <c r="A575" s="17">
        <v>43586</v>
      </c>
      <c r="B575" s="58">
        <f>VLOOKUP(Table13[[#This Row],[Date]],database!A:F,6,)</f>
        <v>99.550899999999999</v>
      </c>
      <c r="C575" s="66">
        <f t="shared" si="8"/>
        <v>6.4631819762661635E-4</v>
      </c>
      <c r="D575" s="66">
        <f>(Table13[[#This Row],[Index]]-B563)/B563</f>
        <v>-1.5041871472783601E-2</v>
      </c>
    </row>
    <row r="576" spans="1:4" x14ac:dyDescent="0.35">
      <c r="A576" s="17">
        <v>43617</v>
      </c>
      <c r="B576" s="58">
        <f>VLOOKUP(Table13[[#This Row],[Date]],database!A:F,6,)</f>
        <v>99.851699999999994</v>
      </c>
      <c r="C576" s="66">
        <f t="shared" si="8"/>
        <v>3.0215698702873439E-3</v>
      </c>
      <c r="D576" s="66">
        <f>(Table13[[#This Row],[Index]]-B564)/B564</f>
        <v>-1.8501207562081189E-2</v>
      </c>
    </row>
    <row r="577" spans="1:4" x14ac:dyDescent="0.35">
      <c r="A577" s="17">
        <v>43647</v>
      </c>
      <c r="B577" s="58">
        <f>VLOOKUP(Table13[[#This Row],[Date]],database!A:F,6,)</f>
        <v>99.239900000000006</v>
      </c>
      <c r="C577" s="66">
        <f t="shared" si="8"/>
        <v>-6.1270864692337668E-3</v>
      </c>
      <c r="D577" s="66">
        <f>(Table13[[#This Row],[Index]]-B565)/B565</f>
        <v>-2.5486250838363492E-2</v>
      </c>
    </row>
    <row r="578" spans="1:4" x14ac:dyDescent="0.35">
      <c r="A578" s="17">
        <v>43678</v>
      </c>
      <c r="B578" s="58">
        <f>VLOOKUP(Table13[[#This Row],[Date]],database!A:F,6,)</f>
        <v>99.912700000000001</v>
      </c>
      <c r="C578" s="66">
        <f t="shared" si="8"/>
        <v>6.7795312167786559E-3</v>
      </c>
      <c r="D578" s="66">
        <f>(Table13[[#This Row],[Index]]-B566)/B566</f>
        <v>-2.1899232205282979E-2</v>
      </c>
    </row>
    <row r="579" spans="1:4" x14ac:dyDescent="0.35">
      <c r="A579" s="17">
        <v>43709</v>
      </c>
      <c r="B579" s="58">
        <f>VLOOKUP(Table13[[#This Row],[Date]],database!A:F,6,)</f>
        <v>99.182000000000002</v>
      </c>
      <c r="C579" s="66">
        <f t="shared" si="8"/>
        <v>-7.3133845847425105E-3</v>
      </c>
      <c r="D579" s="66">
        <f>(Table13[[#This Row],[Index]]-B567)/B567</f>
        <v>-2.8689226972476209E-2</v>
      </c>
    </row>
    <row r="580" spans="1:4" x14ac:dyDescent="0.35">
      <c r="A580" s="17">
        <v>43739</v>
      </c>
      <c r="B580" s="58">
        <f>VLOOKUP(Table13[[#This Row],[Date]],database!A:F,6,)</f>
        <v>98.440700000000007</v>
      </c>
      <c r="C580" s="66">
        <f t="shared" si="8"/>
        <v>-7.4741384525417454E-3</v>
      </c>
      <c r="D580" s="66">
        <f>(Table13[[#This Row],[Index]]-B568)/B568</f>
        <v>-3.2131929587213594E-2</v>
      </c>
    </row>
    <row r="581" spans="1:4" x14ac:dyDescent="0.35">
      <c r="A581" s="17">
        <v>43770</v>
      </c>
      <c r="B581" s="58">
        <f>VLOOKUP(Table13[[#This Row],[Date]],database!A:F,6,)</f>
        <v>99.114999999999995</v>
      </c>
      <c r="C581" s="66">
        <f t="shared" si="8"/>
        <v>6.8498090728732475E-3</v>
      </c>
      <c r="D581" s="66">
        <f>(Table13[[#This Row],[Index]]-B569)/B569</f>
        <v>-2.1359955686460048E-2</v>
      </c>
    </row>
    <row r="582" spans="1:4" x14ac:dyDescent="0.35">
      <c r="A582" s="17">
        <v>43800</v>
      </c>
      <c r="B582" s="58">
        <f>VLOOKUP(Table13[[#This Row],[Date]],database!A:F,6,)</f>
        <v>98.980800000000002</v>
      </c>
      <c r="C582" s="66">
        <f t="shared" si="8"/>
        <v>-1.3539827473136867E-3</v>
      </c>
      <c r="D582" s="66">
        <f>(Table13[[#This Row],[Index]]-B570)/B570</f>
        <v>-2.4286186042614462E-2</v>
      </c>
    </row>
    <row r="583" spans="1:4" x14ac:dyDescent="0.35">
      <c r="A583" s="17">
        <v>43831</v>
      </c>
      <c r="B583" s="58">
        <f>VLOOKUP(Table13[[#This Row],[Date]],database!A:F,6,)</f>
        <v>98.870999999999995</v>
      </c>
      <c r="C583" s="66">
        <f t="shared" si="8"/>
        <v>-1.1093060472334715E-3</v>
      </c>
      <c r="D583" s="66">
        <f>(Table13[[#This Row],[Index]]-B571)/B571</f>
        <v>-1.7695606947098066E-2</v>
      </c>
    </row>
    <row r="584" spans="1:4" x14ac:dyDescent="0.35">
      <c r="A584" s="17">
        <v>43862</v>
      </c>
      <c r="B584" s="58">
        <f>VLOOKUP(Table13[[#This Row],[Date]],database!A:F,6,)</f>
        <v>99.191400000000002</v>
      </c>
      <c r="C584" s="66">
        <f t="shared" ref="C584:C647" si="9">B584/B583-1</f>
        <v>3.2405862184059497E-3</v>
      </c>
      <c r="D584" s="66">
        <f>(Table13[[#This Row],[Index]]-B572)/B572</f>
        <v>-1.0107360769309057E-2</v>
      </c>
    </row>
    <row r="585" spans="1:4" x14ac:dyDescent="0.35">
      <c r="A585" s="17">
        <v>43891</v>
      </c>
      <c r="B585" s="58">
        <f>VLOOKUP(Table13[[#This Row],[Date]],database!A:F,6,)</f>
        <v>94.962400000000002</v>
      </c>
      <c r="C585" s="66">
        <f t="shared" si="9"/>
        <v>-4.2634744544385872E-2</v>
      </c>
      <c r="D585" s="66">
        <f>(Table13[[#This Row],[Index]]-B573)/B573</f>
        <v>-5.1410910696430154E-2</v>
      </c>
    </row>
    <row r="586" spans="1:4" x14ac:dyDescent="0.35">
      <c r="A586" s="17">
        <v>43922</v>
      </c>
      <c r="B586" s="58">
        <f>VLOOKUP(Table13[[#This Row],[Date]],database!A:F,6,)</f>
        <v>80.395200000000003</v>
      </c>
      <c r="C586" s="66">
        <f t="shared" si="9"/>
        <v>-0.153399661339646</v>
      </c>
      <c r="D586" s="66">
        <f>(Table13[[#This Row],[Index]]-B574)/B574</f>
        <v>-0.19189921054694797</v>
      </c>
    </row>
    <row r="587" spans="1:4" x14ac:dyDescent="0.35">
      <c r="A587" s="17">
        <v>43952</v>
      </c>
      <c r="B587" s="58">
        <f>VLOOKUP(Table13[[#This Row],[Date]],database!A:F,6,)</f>
        <v>83.931100000000001</v>
      </c>
      <c r="C587" s="66">
        <f t="shared" si="9"/>
        <v>4.3981481481481399E-2</v>
      </c>
      <c r="D587" s="66">
        <f>(Table13[[#This Row],[Index]]-B575)/B575</f>
        <v>-0.15690264980025292</v>
      </c>
    </row>
    <row r="588" spans="1:4" x14ac:dyDescent="0.35">
      <c r="A588" s="17">
        <v>43983</v>
      </c>
      <c r="B588" s="58">
        <f>VLOOKUP(Table13[[#This Row],[Date]],database!A:F,6,)</f>
        <v>90.209900000000005</v>
      </c>
      <c r="C588" s="66">
        <f t="shared" si="9"/>
        <v>7.4808980223064037E-2</v>
      </c>
      <c r="D588" s="66">
        <f>(Table13[[#This Row],[Index]]-B576)/B576</f>
        <v>-9.6561200259985464E-2</v>
      </c>
    </row>
    <row r="589" spans="1:4" x14ac:dyDescent="0.35">
      <c r="A589" s="17">
        <v>44013</v>
      </c>
      <c r="B589" s="58">
        <f>VLOOKUP(Table13[[#This Row],[Date]],database!A:F,6,)</f>
        <v>93.500399999999999</v>
      </c>
      <c r="C589" s="66">
        <f t="shared" si="9"/>
        <v>3.6476040877996718E-2</v>
      </c>
      <c r="D589" s="66">
        <f>(Table13[[#This Row],[Index]]-B577)/B577</f>
        <v>-5.783460080068608E-2</v>
      </c>
    </row>
    <row r="590" spans="1:4" x14ac:dyDescent="0.35">
      <c r="A590" s="17">
        <v>44044</v>
      </c>
      <c r="B590" s="58">
        <f>VLOOKUP(Table13[[#This Row],[Date]],database!A:F,6,)</f>
        <v>94.836399999999998</v>
      </c>
      <c r="C590" s="66">
        <f t="shared" si="9"/>
        <v>1.4288708925309423E-2</v>
      </c>
      <c r="D590" s="66">
        <f>(Table13[[#This Row],[Index]]-B578)/B578</f>
        <v>-5.0807354820758557E-2</v>
      </c>
    </row>
    <row r="591" spans="1:4" x14ac:dyDescent="0.35">
      <c r="A591" s="17">
        <v>44075</v>
      </c>
      <c r="B591" s="58">
        <f>VLOOKUP(Table13[[#This Row],[Date]],database!A:F,6,)</f>
        <v>94.836600000000004</v>
      </c>
      <c r="C591" s="66">
        <f t="shared" si="9"/>
        <v>2.1088948969349985E-6</v>
      </c>
      <c r="D591" s="66">
        <f>(Table13[[#This Row],[Index]]-B579)/B579</f>
        <v>-4.3812385311850915E-2</v>
      </c>
    </row>
    <row r="592" spans="1:4" x14ac:dyDescent="0.35">
      <c r="A592" s="17">
        <v>44105</v>
      </c>
      <c r="B592" s="58">
        <f>VLOOKUP(Table13[[#This Row],[Date]],database!A:F,6,)</f>
        <v>95.814700000000002</v>
      </c>
      <c r="C592" s="66">
        <f t="shared" si="9"/>
        <v>1.0313528743122413E-2</v>
      </c>
      <c r="D592" s="66">
        <f>(Table13[[#This Row],[Index]]-B580)/B580</f>
        <v>-2.6675958216469453E-2</v>
      </c>
    </row>
    <row r="593" spans="1:4" x14ac:dyDescent="0.35">
      <c r="A593" s="17">
        <v>44136</v>
      </c>
      <c r="B593" s="58">
        <f>VLOOKUP(Table13[[#This Row],[Date]],database!A:F,6,)</f>
        <v>96.358000000000004</v>
      </c>
      <c r="C593" s="66">
        <f t="shared" si="9"/>
        <v>5.6703198987211323E-3</v>
      </c>
      <c r="D593" s="66">
        <f>(Table13[[#This Row],[Index]]-B581)/B581</f>
        <v>-2.7816173132220057E-2</v>
      </c>
    </row>
    <row r="594" spans="1:4" x14ac:dyDescent="0.35">
      <c r="A594" s="17">
        <v>44166</v>
      </c>
      <c r="B594" s="58">
        <f>VLOOKUP(Table13[[#This Row],[Date]],database!A:F,6,)</f>
        <v>96.746099999999998</v>
      </c>
      <c r="C594" s="66">
        <f t="shared" si="9"/>
        <v>4.0276884119636591E-3</v>
      </c>
      <c r="D594" s="66">
        <f>(Table13[[#This Row],[Index]]-B582)/B582</f>
        <v>-2.2577105862955277E-2</v>
      </c>
    </row>
    <row r="595" spans="1:4" x14ac:dyDescent="0.35">
      <c r="A595" s="17">
        <v>44197</v>
      </c>
      <c r="B595" s="58">
        <f>VLOOKUP(Table13[[#This Row],[Date]],database!A:F,6,)</f>
        <v>98.323599999999999</v>
      </c>
      <c r="C595" s="66">
        <f t="shared" si="9"/>
        <v>1.6305566839386776E-2</v>
      </c>
      <c r="D595" s="66">
        <f>(Table13[[#This Row],[Index]]-B583)/B583</f>
        <v>-5.5365071659030062E-3</v>
      </c>
    </row>
    <row r="596" spans="1:4" x14ac:dyDescent="0.35">
      <c r="A596" s="17">
        <v>44228</v>
      </c>
      <c r="B596" s="58">
        <f>VLOOKUP(Table13[[#This Row],[Date]],database!A:F,6,)</f>
        <v>94.746499999999997</v>
      </c>
      <c r="C596" s="66">
        <f t="shared" si="9"/>
        <v>-3.6380889227001445E-2</v>
      </c>
      <c r="D596" s="66">
        <f>(Table13[[#This Row],[Index]]-B584)/B584</f>
        <v>-4.4811344531884859E-2</v>
      </c>
    </row>
    <row r="597" spans="1:4" x14ac:dyDescent="0.35">
      <c r="A597" s="17">
        <v>44256</v>
      </c>
      <c r="B597" s="58">
        <f>VLOOKUP(Table13[[#This Row],[Date]],database!A:F,6,)</f>
        <v>97.722999999999999</v>
      </c>
      <c r="C597" s="66">
        <f t="shared" si="9"/>
        <v>3.1415408484746221E-2</v>
      </c>
      <c r="D597" s="66">
        <f>(Table13[[#This Row],[Index]]-B585)/B585</f>
        <v>2.9070453147772134E-2</v>
      </c>
    </row>
    <row r="598" spans="1:4" x14ac:dyDescent="0.35">
      <c r="A598" s="17">
        <v>44287</v>
      </c>
      <c r="B598" s="58">
        <f>VLOOKUP(Table13[[#This Row],[Date]],database!A:F,6,)</f>
        <v>97.670699999999997</v>
      </c>
      <c r="C598" s="66">
        <f t="shared" si="9"/>
        <v>-5.3518618953574126E-4</v>
      </c>
      <c r="D598" s="66">
        <f>(Table13[[#This Row],[Index]]-B586)/B586</f>
        <v>0.21488223177503127</v>
      </c>
    </row>
    <row r="599" spans="1:4" x14ac:dyDescent="0.35">
      <c r="A599" s="17">
        <v>44317</v>
      </c>
      <c r="B599" s="58">
        <f>VLOOKUP(Table13[[#This Row],[Date]],database!A:F,6,)</f>
        <v>98.610299999999995</v>
      </c>
      <c r="C599" s="66">
        <f t="shared" si="9"/>
        <v>9.6200805359232255E-3</v>
      </c>
      <c r="D599" s="66">
        <f>(Table13[[#This Row],[Index]]-B587)/B587</f>
        <v>0.17489583718073509</v>
      </c>
    </row>
    <row r="600" spans="1:4" x14ac:dyDescent="0.35">
      <c r="A600" s="17">
        <v>44348</v>
      </c>
      <c r="B600" s="58">
        <f>VLOOKUP(Table13[[#This Row],[Date]],database!A:F,6,)</f>
        <v>98.577399999999997</v>
      </c>
      <c r="C600" s="66">
        <f t="shared" si="9"/>
        <v>-3.3363654709495094E-4</v>
      </c>
      <c r="D600" s="66">
        <f>(Table13[[#This Row],[Index]]-B588)/B588</f>
        <v>9.2755894862980581E-2</v>
      </c>
    </row>
    <row r="601" spans="1:4" x14ac:dyDescent="0.35">
      <c r="A601" s="17">
        <v>44378</v>
      </c>
      <c r="B601" s="58">
        <f>VLOOKUP(Table13[[#This Row],[Date]],database!A:F,6,)</f>
        <v>99.677599999999998</v>
      </c>
      <c r="C601" s="66">
        <f t="shared" si="9"/>
        <v>1.1160773158959358E-2</v>
      </c>
      <c r="D601" s="66">
        <f>(Table13[[#This Row],[Index]]-B589)/B589</f>
        <v>6.6066027525015933E-2</v>
      </c>
    </row>
    <row r="602" spans="1:4" x14ac:dyDescent="0.35">
      <c r="A602" s="17">
        <v>44409</v>
      </c>
      <c r="B602" s="58">
        <f>VLOOKUP(Table13[[#This Row],[Date]],database!A:F,6,)</f>
        <v>99.352699999999999</v>
      </c>
      <c r="C602" s="66">
        <f t="shared" si="9"/>
        <v>-3.2595086559066289E-3</v>
      </c>
      <c r="D602" s="66">
        <f>(Table13[[#This Row],[Index]]-B590)/B590</f>
        <v>4.7622010114259941E-2</v>
      </c>
    </row>
    <row r="603" spans="1:4" x14ac:dyDescent="0.35">
      <c r="A603" s="17">
        <v>44440</v>
      </c>
      <c r="B603" s="58">
        <f>VLOOKUP(Table13[[#This Row],[Date]],database!A:F,6,)</f>
        <v>98.578400000000002</v>
      </c>
      <c r="C603" s="66">
        <f t="shared" si="9"/>
        <v>-7.7934469823165431E-3</v>
      </c>
      <c r="D603" s="66">
        <f>(Table13[[#This Row],[Index]]-B591)/B591</f>
        <v>3.9455231419093448E-2</v>
      </c>
    </row>
    <row r="604" spans="1:4" x14ac:dyDescent="0.35">
      <c r="A604" s="17">
        <v>44470</v>
      </c>
      <c r="B604" s="58">
        <f>VLOOKUP(Table13[[#This Row],[Date]],database!A:F,6,)</f>
        <v>100.25109999999999</v>
      </c>
      <c r="C604" s="66">
        <f t="shared" si="9"/>
        <v>1.6968220218627872E-2</v>
      </c>
      <c r="D604" s="66">
        <f>(Table13[[#This Row],[Index]]-B592)/B592</f>
        <v>4.630187225968449E-2</v>
      </c>
    </row>
    <row r="605" spans="1:4" x14ac:dyDescent="0.35">
      <c r="A605" s="17">
        <v>44501</v>
      </c>
      <c r="B605" s="58">
        <f>VLOOKUP(Table13[[#This Row],[Date]],database!A:F,6,)</f>
        <v>100.8291</v>
      </c>
      <c r="C605" s="66">
        <f t="shared" si="9"/>
        <v>5.7655227723187874E-3</v>
      </c>
      <c r="D605" s="66">
        <f>(Table13[[#This Row],[Index]]-B593)/B593</f>
        <v>4.6400921563336646E-2</v>
      </c>
    </row>
    <row r="606" spans="1:4" x14ac:dyDescent="0.35">
      <c r="A606" s="17">
        <v>44531</v>
      </c>
      <c r="B606" s="58">
        <f>VLOOKUP(Table13[[#This Row],[Date]],database!A:F,6,)</f>
        <v>100.7976</v>
      </c>
      <c r="C606" s="66">
        <f t="shared" si="9"/>
        <v>-3.1240981026303682E-4</v>
      </c>
      <c r="D606" s="66">
        <f>(Table13[[#This Row],[Index]]-B594)/B594</f>
        <v>4.1877657083851487E-2</v>
      </c>
    </row>
    <row r="607" spans="1:4" x14ac:dyDescent="0.35">
      <c r="A607" s="17">
        <v>44562</v>
      </c>
      <c r="B607" s="58">
        <f>VLOOKUP(Table13[[#This Row],[Date]],database!A:F,6,)</f>
        <v>100.4851</v>
      </c>
      <c r="C607" s="66">
        <f t="shared" si="9"/>
        <v>-3.1002722287039042E-3</v>
      </c>
      <c r="D607" s="66">
        <f>(Table13[[#This Row],[Index]]-B595)/B595</f>
        <v>2.1983531929262189E-2</v>
      </c>
    </row>
    <row r="608" spans="1:4" x14ac:dyDescent="0.35">
      <c r="A608" s="17">
        <v>44593</v>
      </c>
      <c r="B608" s="58">
        <f>VLOOKUP(Table13[[#This Row],[Date]],database!A:F,6,)</f>
        <v>101.71729999999999</v>
      </c>
      <c r="C608" s="66">
        <f t="shared" si="9"/>
        <v>1.2262514541956815E-2</v>
      </c>
      <c r="D608" s="66">
        <f>(Table13[[#This Row],[Index]]-B596)/B596</f>
        <v>7.3573166291103068E-2</v>
      </c>
    </row>
    <row r="609" spans="1:4" x14ac:dyDescent="0.35">
      <c r="A609" s="17">
        <v>44621</v>
      </c>
      <c r="B609" s="58">
        <f>VLOOKUP(Table13[[#This Row],[Date]],database!A:F,6,)</f>
        <v>102.43389999999999</v>
      </c>
      <c r="C609" s="66">
        <f t="shared" si="9"/>
        <v>7.0450159412409619E-3</v>
      </c>
      <c r="D609" s="66">
        <f>(Table13[[#This Row],[Index]]-B597)/B597</f>
        <v>4.8206665779806139E-2</v>
      </c>
    </row>
    <row r="610" spans="1:4" x14ac:dyDescent="0.35">
      <c r="A610" s="17">
        <v>44652</v>
      </c>
      <c r="B610" s="58">
        <f>VLOOKUP(Table13[[#This Row],[Date]],database!A:F,6,)</f>
        <v>102.90309999999999</v>
      </c>
      <c r="C610" s="66">
        <f t="shared" si="9"/>
        <v>4.5805148490880576E-3</v>
      </c>
      <c r="D610" s="66">
        <f>(Table13[[#This Row],[Index]]-B598)/B598</f>
        <v>5.3571849080635218E-2</v>
      </c>
    </row>
    <row r="611" spans="1:4" x14ac:dyDescent="0.35">
      <c r="A611" s="17">
        <v>44682</v>
      </c>
      <c r="B611" s="58">
        <f>VLOOKUP(Table13[[#This Row],[Date]],database!A:F,6,)</f>
        <v>102.47629999999999</v>
      </c>
      <c r="C611" s="66">
        <f t="shared" si="9"/>
        <v>-4.1475912776194335E-3</v>
      </c>
      <c r="D611" s="66">
        <f>(Table13[[#This Row],[Index]]-B599)/B599</f>
        <v>3.9204829515780804E-2</v>
      </c>
    </row>
    <row r="612" spans="1:4" x14ac:dyDescent="0.35">
      <c r="A612" s="17">
        <v>44713</v>
      </c>
      <c r="B612" s="58">
        <f>VLOOKUP(Table13[[#This Row],[Date]],database!A:F,6,)</f>
        <v>101.7132</v>
      </c>
      <c r="C612" s="66">
        <f t="shared" si="9"/>
        <v>-7.4465998479648077E-3</v>
      </c>
      <c r="D612" s="66">
        <f>(Table13[[#This Row],[Index]]-B600)/B600</f>
        <v>3.1810536695023435E-2</v>
      </c>
    </row>
    <row r="613" spans="1:4" x14ac:dyDescent="0.35">
      <c r="A613" s="17">
        <v>44743</v>
      </c>
      <c r="B613" s="58">
        <f>VLOOKUP(Table13[[#This Row],[Date]],database!A:F,6,)</f>
        <v>102.1307</v>
      </c>
      <c r="C613" s="66">
        <f t="shared" si="9"/>
        <v>4.1046786454461692E-3</v>
      </c>
      <c r="D613" s="66">
        <f>(Table13[[#This Row],[Index]]-B601)/B601</f>
        <v>2.4610343748244404E-2</v>
      </c>
    </row>
    <row r="614" spans="1:4" x14ac:dyDescent="0.35">
      <c r="A614" s="17">
        <v>44774</v>
      </c>
      <c r="B614" s="58">
        <f>VLOOKUP(Table13[[#This Row],[Date]],database!A:F,6,)</f>
        <v>102.1622</v>
      </c>
      <c r="C614" s="66">
        <f t="shared" si="9"/>
        <v>3.0842831783184366E-4</v>
      </c>
      <c r="D614" s="66">
        <f>(Table13[[#This Row],[Index]]-B602)/B602</f>
        <v>2.827804377737092E-2</v>
      </c>
    </row>
    <row r="615" spans="1:4" x14ac:dyDescent="0.35">
      <c r="A615" s="17">
        <v>44805</v>
      </c>
      <c r="B615" s="58">
        <f>VLOOKUP(Table13[[#This Row],[Date]],database!A:F,6,)</f>
        <v>102.1784</v>
      </c>
      <c r="C615" s="66">
        <f t="shared" si="9"/>
        <v>1.5857136984132048E-4</v>
      </c>
      <c r="D615" s="66">
        <f>(Table13[[#This Row],[Index]]-B603)/B603</f>
        <v>3.6519156326335123E-2</v>
      </c>
    </row>
    <row r="616" spans="1:4" x14ac:dyDescent="0.35">
      <c r="A616" s="17">
        <v>44835</v>
      </c>
      <c r="B616" s="58">
        <f>VLOOKUP(Table13[[#This Row],[Date]],database!A:F,6,)</f>
        <v>102.5286</v>
      </c>
      <c r="C616" s="66">
        <f t="shared" si="9"/>
        <v>3.4273388504810764E-3</v>
      </c>
      <c r="D616" s="66">
        <f>(Table13[[#This Row],[Index]]-B604)/B604</f>
        <v>2.2717955214456534E-2</v>
      </c>
    </row>
    <row r="617" spans="1:4" x14ac:dyDescent="0.35">
      <c r="A617" s="17">
        <v>44866</v>
      </c>
      <c r="B617" s="58">
        <f>VLOOKUP(Table13[[#This Row],[Date]],database!A:F,6,)</f>
        <v>101.6932</v>
      </c>
      <c r="C617" s="66">
        <f t="shared" si="9"/>
        <v>-8.1479704199608483E-3</v>
      </c>
      <c r="D617" s="66">
        <f>(Table13[[#This Row],[Index]]-B605)/B605</f>
        <v>8.569946572963635E-3</v>
      </c>
    </row>
    <row r="618" spans="1:4" x14ac:dyDescent="0.35">
      <c r="A618" s="17">
        <v>44896</v>
      </c>
      <c r="B618" s="58">
        <f>VLOOKUP(Table13[[#This Row],[Date]],database!A:F,6,)</f>
        <v>99.891099999999994</v>
      </c>
      <c r="C618" s="66">
        <f t="shared" si="9"/>
        <v>-1.7720948893338084E-2</v>
      </c>
      <c r="D618" s="66">
        <f>(Table13[[#This Row],[Index]]-B606)/B606</f>
        <v>-8.9932696810242335E-3</v>
      </c>
    </row>
    <row r="619" spans="1:4" x14ac:dyDescent="0.35">
      <c r="A619" s="17">
        <v>44927</v>
      </c>
      <c r="B619" s="58">
        <f>VLOOKUP(Table13[[#This Row],[Date]],database!A:F,6,)</f>
        <v>100.8257</v>
      </c>
      <c r="C619" s="66">
        <f t="shared" si="9"/>
        <v>9.3561888897009116E-3</v>
      </c>
      <c r="D619" s="66">
        <f>(Table13[[#This Row],[Index]]-B607)/B607</f>
        <v>3.3895572577426394E-3</v>
      </c>
    </row>
  </sheetData>
  <conditionalFormatting sqref="D463:D61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19"/>
  <sheetViews>
    <sheetView topLeftCell="E1" zoomScale="80" zoomScaleNormal="80" workbookViewId="0">
      <pane ySplit="6" topLeftCell="A590" activePane="bottomLeft" state="frozen"/>
      <selection activeCell="J582" sqref="J582"/>
      <selection pane="bottomLeft" activeCell="AA601" sqref="AA601"/>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31" width="9.1796875" style="74" customWidth="1"/>
    <col min="32" max="16384" width="9.1796875" style="74"/>
  </cols>
  <sheetData>
    <row r="1" spans="1:25" x14ac:dyDescent="0.35">
      <c r="A1" s="15" t="s">
        <v>22</v>
      </c>
      <c r="B1" s="74"/>
      <c r="C1" s="74"/>
      <c r="S1" s="20" t="s">
        <v>71</v>
      </c>
      <c r="T1" s="62" t="s">
        <v>67</v>
      </c>
      <c r="U1" s="74" t="str">
        <f>S1&amp;T1</f>
        <v xml:space="preserve">Industrial Production: Mining since 2010 </v>
      </c>
      <c r="Y1" s="60" t="str">
        <f>U4&amp; T1</f>
        <v xml:space="preserve">Industrial Production: Mining yoy since 2010 </v>
      </c>
    </row>
    <row r="2" spans="1:25" x14ac:dyDescent="0.35">
      <c r="A2" s="15"/>
      <c r="B2" s="74"/>
      <c r="C2" s="74"/>
      <c r="S2" s="20"/>
      <c r="T2" s="62"/>
      <c r="Y2" s="60"/>
    </row>
    <row r="3" spans="1:25" x14ac:dyDescent="0.35">
      <c r="A3" s="15"/>
      <c r="B3" s="74"/>
      <c r="C3" s="74"/>
      <c r="S3" s="20"/>
      <c r="T3" s="62"/>
      <c r="Y3" s="60"/>
    </row>
    <row r="4" spans="1:25" x14ac:dyDescent="0.35">
      <c r="A4" s="16"/>
      <c r="B4" s="74"/>
      <c r="C4" s="74"/>
      <c r="S4" s="55"/>
      <c r="T4" s="62"/>
      <c r="U4" s="74" t="str">
        <f>S1&amp;Table134[[#Headers],[ yoy]]</f>
        <v>Industrial Production: Mining yoy</v>
      </c>
    </row>
    <row r="5" spans="1:25" x14ac:dyDescent="0.35">
      <c r="A5" s="16"/>
      <c r="B5" s="55"/>
      <c r="C5" s="62"/>
    </row>
    <row r="6" spans="1:25" x14ac:dyDescent="0.35">
      <c r="A6" s="19" t="s">
        <v>57</v>
      </c>
      <c r="B6" s="59" t="s">
        <v>58</v>
      </c>
      <c r="C6" s="69" t="s">
        <v>11</v>
      </c>
      <c r="D6" s="70" t="s">
        <v>65</v>
      </c>
    </row>
    <row r="7" spans="1:25" x14ac:dyDescent="0.35">
      <c r="A7" s="17">
        <v>26299</v>
      </c>
      <c r="B7" s="58">
        <f>VLOOKUP(Table134[[#This Row],[Date]],database!A:I,8,)</f>
        <v>86.360100000000003</v>
      </c>
      <c r="C7" s="66"/>
      <c r="D7" s="66"/>
    </row>
    <row r="8" spans="1:25" x14ac:dyDescent="0.35">
      <c r="A8" s="17">
        <v>26330</v>
      </c>
      <c r="B8" s="58">
        <f>VLOOKUP(Table134[[#This Row],[Date]],database!A:I,8,)</f>
        <v>85.453699999999998</v>
      </c>
      <c r="C8" s="66">
        <f t="shared" ref="C8:C71" si="0">B8/B7-1</f>
        <v>-1.049558766143166E-2</v>
      </c>
      <c r="D8" s="66"/>
    </row>
    <row r="9" spans="1:25" x14ac:dyDescent="0.35">
      <c r="A9" s="17">
        <v>26359</v>
      </c>
      <c r="B9" s="58">
        <f>VLOOKUP(Table134[[#This Row],[Date]],database!A:I,8,)</f>
        <v>86.075400000000002</v>
      </c>
      <c r="C9" s="66">
        <f t="shared" si="0"/>
        <v>7.2752847448385172E-3</v>
      </c>
      <c r="D9" s="66"/>
    </row>
    <row r="10" spans="1:25" x14ac:dyDescent="0.35">
      <c r="A10" s="17">
        <v>26390</v>
      </c>
      <c r="B10" s="58">
        <f>VLOOKUP(Table134[[#This Row],[Date]],database!A:I,8,)</f>
        <v>86.963399999999993</v>
      </c>
      <c r="C10" s="66">
        <f t="shared" si="0"/>
        <v>1.0316536432011914E-2</v>
      </c>
      <c r="D10" s="66"/>
    </row>
    <row r="11" spans="1:25" x14ac:dyDescent="0.35">
      <c r="A11" s="17">
        <v>26420</v>
      </c>
      <c r="B11" s="58">
        <f>VLOOKUP(Table134[[#This Row],[Date]],database!A:I,8,)</f>
        <v>86.222300000000004</v>
      </c>
      <c r="C11" s="66">
        <f t="shared" si="0"/>
        <v>-8.5219759117052263E-3</v>
      </c>
      <c r="D11" s="66"/>
    </row>
    <row r="12" spans="1:25" x14ac:dyDescent="0.35">
      <c r="A12" s="17">
        <v>26451</v>
      </c>
      <c r="B12" s="58">
        <f>VLOOKUP(Table134[[#This Row],[Date]],database!A:I,8,)</f>
        <v>86.295599999999993</v>
      </c>
      <c r="C12" s="66">
        <f t="shared" si="0"/>
        <v>8.5012809911111376E-4</v>
      </c>
      <c r="D12" s="66"/>
    </row>
    <row r="13" spans="1:25" x14ac:dyDescent="0.35">
      <c r="A13" s="17">
        <v>26481</v>
      </c>
      <c r="B13" s="58">
        <f>VLOOKUP(Table134[[#This Row],[Date]],database!A:I,8,)</f>
        <v>86.126400000000004</v>
      </c>
      <c r="C13" s="66">
        <f t="shared" si="0"/>
        <v>-1.9607025155394808E-3</v>
      </c>
      <c r="D13" s="66"/>
    </row>
    <row r="14" spans="1:25" x14ac:dyDescent="0.35">
      <c r="A14" s="17">
        <v>26512</v>
      </c>
      <c r="B14" s="58">
        <f>VLOOKUP(Table134[[#This Row],[Date]],database!A:I,8,)</f>
        <v>87.115899999999996</v>
      </c>
      <c r="C14" s="66">
        <f t="shared" si="0"/>
        <v>1.1488927901317059E-2</v>
      </c>
      <c r="D14" s="66"/>
    </row>
    <row r="15" spans="1:25" x14ac:dyDescent="0.35">
      <c r="A15" s="17">
        <v>26543</v>
      </c>
      <c r="B15" s="58">
        <f>VLOOKUP(Table134[[#This Row],[Date]],database!A:I,8,)</f>
        <v>87.233000000000004</v>
      </c>
      <c r="C15" s="66">
        <f t="shared" si="0"/>
        <v>1.3441863081251615E-3</v>
      </c>
      <c r="D15" s="66"/>
    </row>
    <row r="16" spans="1:25" x14ac:dyDescent="0.35">
      <c r="A16" s="17">
        <v>26573</v>
      </c>
      <c r="B16" s="58">
        <f>VLOOKUP(Table134[[#This Row],[Date]],database!A:I,8,)</f>
        <v>86.862499999999997</v>
      </c>
      <c r="C16" s="66">
        <f t="shared" si="0"/>
        <v>-4.2472458817192082E-3</v>
      </c>
      <c r="D16" s="66"/>
    </row>
    <row r="17" spans="1:4" x14ac:dyDescent="0.35">
      <c r="A17" s="17">
        <v>26604</v>
      </c>
      <c r="B17" s="58">
        <f>VLOOKUP(Table134[[#This Row],[Date]],database!A:I,8,)</f>
        <v>86.805700000000002</v>
      </c>
      <c r="C17" s="66">
        <f t="shared" si="0"/>
        <v>-6.5390703698364749E-4</v>
      </c>
      <c r="D17" s="66"/>
    </row>
    <row r="18" spans="1:4" x14ac:dyDescent="0.35">
      <c r="A18" s="17">
        <v>26634</v>
      </c>
      <c r="B18" s="58">
        <f>VLOOKUP(Table134[[#This Row],[Date]],database!A:I,8,)</f>
        <v>86.681399999999996</v>
      </c>
      <c r="C18" s="66">
        <f t="shared" si="0"/>
        <v>-1.4319336172625707E-3</v>
      </c>
      <c r="D18" s="66"/>
    </row>
    <row r="19" spans="1:4" x14ac:dyDescent="0.35">
      <c r="A19" s="17">
        <v>26665</v>
      </c>
      <c r="B19" s="58">
        <f>VLOOKUP(Table134[[#This Row],[Date]],database!A:I,8,)</f>
        <v>86.744699999999995</v>
      </c>
      <c r="C19" s="66">
        <f t="shared" si="0"/>
        <v>7.3026047110458236E-4</v>
      </c>
      <c r="D19" s="66"/>
    </row>
    <row r="20" spans="1:4" x14ac:dyDescent="0.35">
      <c r="A20" s="17">
        <v>26696</v>
      </c>
      <c r="B20" s="58">
        <f>VLOOKUP(Table134[[#This Row],[Date]],database!A:I,8,)</f>
        <v>86.860900000000001</v>
      </c>
      <c r="C20" s="66">
        <f t="shared" si="0"/>
        <v>1.3395631087549376E-3</v>
      </c>
      <c r="D20" s="66">
        <f>(Table134[[#This Row],[Index]]-B8)/B8</f>
        <v>1.6467396964672133E-2</v>
      </c>
    </row>
    <row r="21" spans="1:4" x14ac:dyDescent="0.35">
      <c r="A21" s="17">
        <v>26724</v>
      </c>
      <c r="B21" s="58">
        <f>VLOOKUP(Table134[[#This Row],[Date]],database!A:I,8,)</f>
        <v>85.989000000000004</v>
      </c>
      <c r="C21" s="66">
        <f t="shared" si="0"/>
        <v>-1.00378881637192E-2</v>
      </c>
      <c r="D21" s="66">
        <f>(Table134[[#This Row],[Index]]-B9)/B9</f>
        <v>-1.0037711123038358E-3</v>
      </c>
    </row>
    <row r="22" spans="1:4" x14ac:dyDescent="0.35">
      <c r="A22" s="17">
        <v>26755</v>
      </c>
      <c r="B22" s="58">
        <f>VLOOKUP(Table134[[#This Row],[Date]],database!A:I,8,)</f>
        <v>85.701400000000007</v>
      </c>
      <c r="C22" s="66">
        <f t="shared" si="0"/>
        <v>-3.3446138459569674E-3</v>
      </c>
      <c r="D22" s="66">
        <f>(Table134[[#This Row],[Index]]-B10)/B10</f>
        <v>-1.4511852112497744E-2</v>
      </c>
    </row>
    <row r="23" spans="1:4" x14ac:dyDescent="0.35">
      <c r="A23" s="17">
        <v>26785</v>
      </c>
      <c r="B23" s="58">
        <f>VLOOKUP(Table134[[#This Row],[Date]],database!A:I,8,)</f>
        <v>86.124499999999998</v>
      </c>
      <c r="C23" s="66">
        <f t="shared" si="0"/>
        <v>4.9369088486301838E-3</v>
      </c>
      <c r="D23" s="66">
        <f>(Table134[[#This Row],[Index]]-B11)/B11</f>
        <v>-1.1342773273272291E-3</v>
      </c>
    </row>
    <row r="24" spans="1:4" x14ac:dyDescent="0.35">
      <c r="A24" s="17">
        <v>26816</v>
      </c>
      <c r="B24" s="58">
        <f>VLOOKUP(Table134[[#This Row],[Date]],database!A:I,8,)</f>
        <v>86.434299999999993</v>
      </c>
      <c r="C24" s="66">
        <f t="shared" si="0"/>
        <v>3.5971181255043394E-3</v>
      </c>
      <c r="D24" s="66">
        <f>(Table134[[#This Row],[Index]]-B12)/B12</f>
        <v>1.6072661873838302E-3</v>
      </c>
    </row>
    <row r="25" spans="1:4" x14ac:dyDescent="0.35">
      <c r="A25" s="17">
        <v>26846</v>
      </c>
      <c r="B25" s="58">
        <f>VLOOKUP(Table134[[#This Row],[Date]],database!A:I,8,)</f>
        <v>87.837800000000001</v>
      </c>
      <c r="C25" s="66">
        <f t="shared" si="0"/>
        <v>1.623776671992494E-2</v>
      </c>
      <c r="D25" s="66">
        <f>(Table134[[#This Row],[Index]]-B13)/B13</f>
        <v>1.9870794553121893E-2</v>
      </c>
    </row>
    <row r="26" spans="1:4" x14ac:dyDescent="0.35">
      <c r="A26" s="17">
        <v>26877</v>
      </c>
      <c r="B26" s="58">
        <f>VLOOKUP(Table134[[#This Row],[Date]],database!A:I,8,)</f>
        <v>87.963099999999997</v>
      </c>
      <c r="C26" s="66">
        <f t="shared" si="0"/>
        <v>1.4264929221814437E-3</v>
      </c>
      <c r="D26" s="66">
        <f>(Table134[[#This Row],[Index]]-B14)/B14</f>
        <v>9.7249755785109356E-3</v>
      </c>
    </row>
    <row r="27" spans="1:4" x14ac:dyDescent="0.35">
      <c r="A27" s="17">
        <v>26908</v>
      </c>
      <c r="B27" s="58">
        <f>VLOOKUP(Table134[[#This Row],[Date]],database!A:I,8,)</f>
        <v>87.162800000000004</v>
      </c>
      <c r="C27" s="66">
        <f t="shared" si="0"/>
        <v>-9.0981331944871568E-3</v>
      </c>
      <c r="D27" s="66">
        <f>(Table134[[#This Row],[Index]]-B15)/B15</f>
        <v>-8.0474132495729619E-4</v>
      </c>
    </row>
    <row r="28" spans="1:4" x14ac:dyDescent="0.35">
      <c r="A28" s="17">
        <v>26938</v>
      </c>
      <c r="B28" s="58">
        <f>VLOOKUP(Table134[[#This Row],[Date]],database!A:I,8,)</f>
        <v>87.440600000000003</v>
      </c>
      <c r="C28" s="66">
        <f t="shared" si="0"/>
        <v>3.1871394677545073E-3</v>
      </c>
      <c r="D28" s="66">
        <f>(Table134[[#This Row],[Index]]-B16)/B16</f>
        <v>6.655346092963089E-3</v>
      </c>
    </row>
    <row r="29" spans="1:4" x14ac:dyDescent="0.35">
      <c r="A29" s="17">
        <v>26969</v>
      </c>
      <c r="B29" s="58">
        <f>VLOOKUP(Table134[[#This Row],[Date]],database!A:I,8,)</f>
        <v>87.084000000000003</v>
      </c>
      <c r="C29" s="66">
        <f t="shared" si="0"/>
        <v>-4.0781970846495152E-3</v>
      </c>
      <c r="D29" s="66">
        <f>(Table134[[#This Row],[Index]]-B17)/B17</f>
        <v>3.2060106651982711E-3</v>
      </c>
    </row>
    <row r="30" spans="1:4" x14ac:dyDescent="0.35">
      <c r="A30" s="17">
        <v>26999</v>
      </c>
      <c r="B30" s="58">
        <f>VLOOKUP(Table134[[#This Row],[Date]],database!A:I,8,)</f>
        <v>88.207400000000007</v>
      </c>
      <c r="C30" s="66">
        <f t="shared" si="0"/>
        <v>1.2900188323917261E-2</v>
      </c>
      <c r="D30" s="66">
        <f>(Table134[[#This Row],[Index]]-B18)/B18</f>
        <v>1.7604699508775936E-2</v>
      </c>
    </row>
    <row r="31" spans="1:4" x14ac:dyDescent="0.35">
      <c r="A31" s="17">
        <v>27030</v>
      </c>
      <c r="B31" s="58">
        <f>VLOOKUP(Table134[[#This Row],[Date]],database!A:I,8,)</f>
        <v>87.970799999999997</v>
      </c>
      <c r="C31" s="66">
        <f t="shared" si="0"/>
        <v>-2.6823146357336514E-3</v>
      </c>
      <c r="D31" s="66">
        <f>(Table134[[#This Row],[Index]]-B19)/B19</f>
        <v>1.4134581132910742E-2</v>
      </c>
    </row>
    <row r="32" spans="1:4" x14ac:dyDescent="0.35">
      <c r="A32" s="17">
        <v>27061</v>
      </c>
      <c r="B32" s="58">
        <f>VLOOKUP(Table134[[#This Row],[Date]],database!A:I,8,)</f>
        <v>87.987700000000004</v>
      </c>
      <c r="C32" s="66">
        <f t="shared" si="0"/>
        <v>1.9210919987089348E-4</v>
      </c>
      <c r="D32" s="66">
        <f>(Table134[[#This Row],[Index]]-B20)/B20</f>
        <v>1.2972465171325682E-2</v>
      </c>
    </row>
    <row r="33" spans="1:4" x14ac:dyDescent="0.35">
      <c r="A33" s="17">
        <v>27089</v>
      </c>
      <c r="B33" s="58">
        <f>VLOOKUP(Table134[[#This Row],[Date]],database!A:I,8,)</f>
        <v>87.234399999999994</v>
      </c>
      <c r="C33" s="66">
        <f t="shared" si="0"/>
        <v>-8.5614239262988834E-3</v>
      </c>
      <c r="D33" s="66">
        <f>(Table134[[#This Row],[Index]]-B21)/B21</f>
        <v>1.4483247857283948E-2</v>
      </c>
    </row>
    <row r="34" spans="1:4" x14ac:dyDescent="0.35">
      <c r="A34" s="17">
        <v>27120</v>
      </c>
      <c r="B34" s="58">
        <f>VLOOKUP(Table134[[#This Row],[Date]],database!A:I,8,)</f>
        <v>87.038799999999995</v>
      </c>
      <c r="C34" s="66">
        <f t="shared" si="0"/>
        <v>-2.2422347147454946E-3</v>
      </c>
      <c r="D34" s="66">
        <f>(Table134[[#This Row],[Index]]-B22)/B22</f>
        <v>1.5605346003682415E-2</v>
      </c>
    </row>
    <row r="35" spans="1:4" x14ac:dyDescent="0.35">
      <c r="A35" s="17">
        <v>27150</v>
      </c>
      <c r="B35" s="58">
        <f>VLOOKUP(Table134[[#This Row],[Date]],database!A:I,8,)</f>
        <v>87.691500000000005</v>
      </c>
      <c r="C35" s="66">
        <f t="shared" si="0"/>
        <v>7.4989544892622995E-3</v>
      </c>
      <c r="D35" s="66">
        <f>(Table134[[#This Row],[Index]]-B23)/B23</f>
        <v>1.8194590389494364E-2</v>
      </c>
    </row>
    <row r="36" spans="1:4" x14ac:dyDescent="0.35">
      <c r="A36" s="17">
        <v>27181</v>
      </c>
      <c r="B36" s="58">
        <f>VLOOKUP(Table134[[#This Row],[Date]],database!A:I,8,)</f>
        <v>86.283900000000003</v>
      </c>
      <c r="C36" s="66">
        <f t="shared" si="0"/>
        <v>-1.6051726792220444E-2</v>
      </c>
      <c r="D36" s="66">
        <f>(Table134[[#This Row],[Index]]-B24)/B24</f>
        <v>-1.7400499570192683E-3</v>
      </c>
    </row>
    <row r="37" spans="1:4" x14ac:dyDescent="0.35">
      <c r="A37" s="17">
        <v>27211</v>
      </c>
      <c r="B37" s="58">
        <f>VLOOKUP(Table134[[#This Row],[Date]],database!A:I,8,)</f>
        <v>86.799800000000005</v>
      </c>
      <c r="C37" s="66">
        <f t="shared" si="0"/>
        <v>5.9790992294044276E-3</v>
      </c>
      <c r="D37" s="66">
        <f>(Table134[[#This Row],[Index]]-B25)/B25</f>
        <v>-1.1817235859732333E-2</v>
      </c>
    </row>
    <row r="38" spans="1:4" x14ac:dyDescent="0.35">
      <c r="A38" s="17">
        <v>27242</v>
      </c>
      <c r="B38" s="58">
        <f>VLOOKUP(Table134[[#This Row],[Date]],database!A:I,8,)</f>
        <v>84.368899999999996</v>
      </c>
      <c r="C38" s="66">
        <f t="shared" si="0"/>
        <v>-2.8005824898214127E-2</v>
      </c>
      <c r="D38" s="66">
        <f>(Table134[[#This Row],[Index]]-B26)/B26</f>
        <v>-4.0860315291298292E-2</v>
      </c>
    </row>
    <row r="39" spans="1:4" x14ac:dyDescent="0.35">
      <c r="A39" s="17">
        <v>27273</v>
      </c>
      <c r="B39" s="58">
        <f>VLOOKUP(Table134[[#This Row],[Date]],database!A:I,8,)</f>
        <v>85.408500000000004</v>
      </c>
      <c r="C39" s="66">
        <f t="shared" si="0"/>
        <v>1.2322076025644613E-2</v>
      </c>
      <c r="D39" s="66">
        <f>(Table134[[#This Row],[Index]]-B27)/B27</f>
        <v>-2.0126705429380429E-2</v>
      </c>
    </row>
    <row r="40" spans="1:4" x14ac:dyDescent="0.35">
      <c r="A40" s="17">
        <v>27303</v>
      </c>
      <c r="B40" s="58">
        <f>VLOOKUP(Table134[[#This Row],[Date]],database!A:I,8,)</f>
        <v>86.156800000000004</v>
      </c>
      <c r="C40" s="66">
        <f t="shared" si="0"/>
        <v>8.761423043373906E-3</v>
      </c>
      <c r="D40" s="66">
        <f>(Table134[[#This Row],[Index]]-B28)/B28</f>
        <v>-1.4681966958140719E-2</v>
      </c>
    </row>
    <row r="41" spans="1:4" x14ac:dyDescent="0.35">
      <c r="A41" s="17">
        <v>27334</v>
      </c>
      <c r="B41" s="58">
        <f>VLOOKUP(Table134[[#This Row],[Date]],database!A:I,8,)</f>
        <v>79.848399999999998</v>
      </c>
      <c r="C41" s="66">
        <f t="shared" si="0"/>
        <v>-7.3219989600356583E-2</v>
      </c>
      <c r="D41" s="66">
        <f>(Table134[[#This Row],[Index]]-B29)/B29</f>
        <v>-8.3087593587800337E-2</v>
      </c>
    </row>
    <row r="42" spans="1:4" x14ac:dyDescent="0.35">
      <c r="A42" s="17">
        <v>27364</v>
      </c>
      <c r="B42" s="58">
        <f>VLOOKUP(Table134[[#This Row],[Date]],database!A:I,8,)</f>
        <v>81.947299999999998</v>
      </c>
      <c r="C42" s="66">
        <f t="shared" si="0"/>
        <v>2.6286062087656159E-2</v>
      </c>
      <c r="D42" s="66">
        <f>(Table134[[#This Row],[Index]]-B30)/B30</f>
        <v>-7.097023605729233E-2</v>
      </c>
    </row>
    <row r="43" spans="1:4" x14ac:dyDescent="0.35">
      <c r="A43" s="17">
        <v>27395</v>
      </c>
      <c r="B43" s="58">
        <f>VLOOKUP(Table134[[#This Row],[Date]],database!A:I,8,)</f>
        <v>86.391000000000005</v>
      </c>
      <c r="C43" s="66">
        <f t="shared" si="0"/>
        <v>5.4226313740660226E-2</v>
      </c>
      <c r="D43" s="66">
        <f>(Table134[[#This Row],[Index]]-B31)/B31</f>
        <v>-1.7958231595029166E-2</v>
      </c>
    </row>
    <row r="44" spans="1:4" x14ac:dyDescent="0.35">
      <c r="A44" s="17">
        <v>27426</v>
      </c>
      <c r="B44" s="58">
        <f>VLOOKUP(Table134[[#This Row],[Date]],database!A:I,8,)</f>
        <v>85.294200000000004</v>
      </c>
      <c r="C44" s="66">
        <f t="shared" si="0"/>
        <v>-1.2695766920165275E-2</v>
      </c>
      <c r="D44" s="66">
        <f>(Table134[[#This Row],[Index]]-B32)/B32</f>
        <v>-3.0612233300790909E-2</v>
      </c>
    </row>
    <row r="45" spans="1:4" x14ac:dyDescent="0.35">
      <c r="A45" s="17">
        <v>27454</v>
      </c>
      <c r="B45" s="58">
        <f>VLOOKUP(Table134[[#This Row],[Date]],database!A:I,8,)</f>
        <v>83.583299999999994</v>
      </c>
      <c r="C45" s="66">
        <f t="shared" si="0"/>
        <v>-2.0058808219081792E-2</v>
      </c>
      <c r="D45" s="66">
        <f>(Table134[[#This Row],[Index]]-B33)/B33</f>
        <v>-4.1853901671817538E-2</v>
      </c>
    </row>
    <row r="46" spans="1:4" x14ac:dyDescent="0.35">
      <c r="A46" s="17">
        <v>27485</v>
      </c>
      <c r="B46" s="58">
        <f>VLOOKUP(Table134[[#This Row],[Date]],database!A:I,8,)</f>
        <v>83.348600000000005</v>
      </c>
      <c r="C46" s="66">
        <f t="shared" si="0"/>
        <v>-2.8079771916158514E-3</v>
      </c>
      <c r="D46" s="66">
        <f>(Table134[[#This Row],[Index]]-B34)/B34</f>
        <v>-4.2397183784702801E-2</v>
      </c>
    </row>
    <row r="47" spans="1:4" x14ac:dyDescent="0.35">
      <c r="A47" s="17">
        <v>27515</v>
      </c>
      <c r="B47" s="58">
        <f>VLOOKUP(Table134[[#This Row],[Date]],database!A:I,8,)</f>
        <v>83.087999999999994</v>
      </c>
      <c r="C47" s="66">
        <f t="shared" si="0"/>
        <v>-3.1266272018967145E-3</v>
      </c>
      <c r="D47" s="66">
        <f>(Table134[[#This Row],[Index]]-B35)/B35</f>
        <v>-5.2496536152306789E-2</v>
      </c>
    </row>
    <row r="48" spans="1:4" x14ac:dyDescent="0.35">
      <c r="A48" s="17">
        <v>27546</v>
      </c>
      <c r="B48" s="58">
        <f>VLOOKUP(Table134[[#This Row],[Date]],database!A:I,8,)</f>
        <v>84.447000000000003</v>
      </c>
      <c r="C48" s="66">
        <f t="shared" si="0"/>
        <v>1.6356152512998268E-2</v>
      </c>
      <c r="D48" s="66">
        <f>(Table134[[#This Row],[Index]]-B36)/B36</f>
        <v>-2.1289023792387687E-2</v>
      </c>
    </row>
    <row r="49" spans="1:4" x14ac:dyDescent="0.35">
      <c r="A49" s="17">
        <v>27576</v>
      </c>
      <c r="B49" s="58">
        <f>VLOOKUP(Table134[[#This Row],[Date]],database!A:I,8,)</f>
        <v>82.301199999999994</v>
      </c>
      <c r="C49" s="66">
        <f t="shared" si="0"/>
        <v>-2.5410020486222207E-2</v>
      </c>
      <c r="D49" s="66">
        <f>(Table134[[#This Row],[Index]]-B37)/B37</f>
        <v>-5.1827308357853479E-2</v>
      </c>
    </row>
    <row r="50" spans="1:4" x14ac:dyDescent="0.35">
      <c r="A50" s="17">
        <v>27607</v>
      </c>
      <c r="B50" s="58">
        <f>VLOOKUP(Table134[[#This Row],[Date]],database!A:I,8,)</f>
        <v>82.9833</v>
      </c>
      <c r="C50" s="66">
        <f t="shared" si="0"/>
        <v>8.2878499948968454E-3</v>
      </c>
      <c r="D50" s="66">
        <f>(Table134[[#This Row],[Index]]-B38)/B38</f>
        <v>-1.6423113256187963E-2</v>
      </c>
    </row>
    <row r="51" spans="1:4" x14ac:dyDescent="0.35">
      <c r="A51" s="17">
        <v>27638</v>
      </c>
      <c r="B51" s="58">
        <f>VLOOKUP(Table134[[#This Row],[Date]],database!A:I,8,)</f>
        <v>82.640199999999993</v>
      </c>
      <c r="C51" s="66">
        <f t="shared" si="0"/>
        <v>-4.1345668345318387E-3</v>
      </c>
      <c r="D51" s="66">
        <f>(Table134[[#This Row],[Index]]-B39)/B39</f>
        <v>-3.2412464801512851E-2</v>
      </c>
    </row>
    <row r="52" spans="1:4" x14ac:dyDescent="0.35">
      <c r="A52" s="17">
        <v>27668</v>
      </c>
      <c r="B52" s="58">
        <f>VLOOKUP(Table134[[#This Row],[Date]],database!A:I,8,)</f>
        <v>82.863799999999998</v>
      </c>
      <c r="C52" s="66">
        <f t="shared" si="0"/>
        <v>2.7057049716723292E-3</v>
      </c>
      <c r="D52" s="66">
        <f>(Table134[[#This Row],[Index]]-B40)/B40</f>
        <v>-3.8221010993908851E-2</v>
      </c>
    </row>
    <row r="53" spans="1:4" x14ac:dyDescent="0.35">
      <c r="A53" s="17">
        <v>27699</v>
      </c>
      <c r="B53" s="58">
        <f>VLOOKUP(Table134[[#This Row],[Date]],database!A:I,8,)</f>
        <v>83.882999999999996</v>
      </c>
      <c r="C53" s="66">
        <f t="shared" si="0"/>
        <v>1.229970143778103E-2</v>
      </c>
      <c r="D53" s="66">
        <f>(Table134[[#This Row],[Index]]-B41)/B41</f>
        <v>5.0528251035712644E-2</v>
      </c>
    </row>
    <row r="54" spans="1:4" x14ac:dyDescent="0.35">
      <c r="A54" s="17">
        <v>27729</v>
      </c>
      <c r="B54" s="58">
        <f>VLOOKUP(Table134[[#This Row],[Date]],database!A:I,8,)</f>
        <v>84.095299999999995</v>
      </c>
      <c r="C54" s="66">
        <f t="shared" si="0"/>
        <v>2.5309061430802693E-3</v>
      </c>
      <c r="D54" s="66">
        <f>(Table134[[#This Row],[Index]]-B42)/B42</f>
        <v>2.6211967935490202E-2</v>
      </c>
    </row>
    <row r="55" spans="1:4" x14ac:dyDescent="0.35">
      <c r="A55" s="17">
        <v>27760</v>
      </c>
      <c r="B55" s="58">
        <f>VLOOKUP(Table134[[#This Row],[Date]],database!A:I,8,)</f>
        <v>85.653700000000001</v>
      </c>
      <c r="C55" s="66">
        <f t="shared" si="0"/>
        <v>1.8531356686996903E-2</v>
      </c>
      <c r="D55" s="66">
        <f>(Table134[[#This Row],[Index]]-B43)/B43</f>
        <v>-8.5344538204211624E-3</v>
      </c>
    </row>
    <row r="56" spans="1:4" x14ac:dyDescent="0.35">
      <c r="A56" s="17">
        <v>27791</v>
      </c>
      <c r="B56" s="58">
        <f>VLOOKUP(Table134[[#This Row],[Date]],database!A:I,8,)</f>
        <v>85.269300000000001</v>
      </c>
      <c r="C56" s="66">
        <f t="shared" si="0"/>
        <v>-4.4878388207397757E-3</v>
      </c>
      <c r="D56" s="66">
        <f>(Table134[[#This Row],[Index]]-B44)/B44</f>
        <v>-2.919307526186114E-4</v>
      </c>
    </row>
    <row r="57" spans="1:4" x14ac:dyDescent="0.35">
      <c r="A57" s="17">
        <v>27820</v>
      </c>
      <c r="B57" s="58">
        <f>VLOOKUP(Table134[[#This Row],[Date]],database!A:I,8,)</f>
        <v>84.228399999999993</v>
      </c>
      <c r="C57" s="66">
        <f t="shared" si="0"/>
        <v>-1.2207207048726909E-2</v>
      </c>
      <c r="D57" s="66">
        <f>(Table134[[#This Row],[Index]]-B45)/B45</f>
        <v>7.7180489403983737E-3</v>
      </c>
    </row>
    <row r="58" spans="1:4" x14ac:dyDescent="0.35">
      <c r="A58" s="17">
        <v>27851</v>
      </c>
      <c r="B58" s="58">
        <f>VLOOKUP(Table134[[#This Row],[Date]],database!A:I,8,)</f>
        <v>83.879900000000006</v>
      </c>
      <c r="C58" s="66">
        <f t="shared" si="0"/>
        <v>-4.1375593030378299E-3</v>
      </c>
      <c r="D58" s="66">
        <f>(Table134[[#This Row],[Index]]-B46)/B46</f>
        <v>6.3744322040202427E-3</v>
      </c>
    </row>
    <row r="59" spans="1:4" x14ac:dyDescent="0.35">
      <c r="A59" s="17">
        <v>27881</v>
      </c>
      <c r="B59" s="58">
        <f>VLOOKUP(Table134[[#This Row],[Date]],database!A:I,8,)</f>
        <v>84.081999999999994</v>
      </c>
      <c r="C59" s="66">
        <f t="shared" si="0"/>
        <v>2.4093972453471668E-3</v>
      </c>
      <c r="D59" s="66">
        <f>(Table134[[#This Row],[Index]]-B47)/B47</f>
        <v>1.1963219718852299E-2</v>
      </c>
    </row>
    <row r="60" spans="1:4" x14ac:dyDescent="0.35">
      <c r="A60" s="17">
        <v>27912</v>
      </c>
      <c r="B60" s="58">
        <f>VLOOKUP(Table134[[#This Row],[Date]],database!A:I,8,)</f>
        <v>83.589299999999994</v>
      </c>
      <c r="C60" s="66">
        <f t="shared" si="0"/>
        <v>-5.8597559525225273E-3</v>
      </c>
      <c r="D60" s="66">
        <f>(Table134[[#This Row],[Index]]-B48)/B48</f>
        <v>-1.0156666311414358E-2</v>
      </c>
    </row>
    <row r="61" spans="1:4" x14ac:dyDescent="0.35">
      <c r="A61" s="17">
        <v>27942</v>
      </c>
      <c r="B61" s="58">
        <f>VLOOKUP(Table134[[#This Row],[Date]],database!A:I,8,)</f>
        <v>82.820099999999996</v>
      </c>
      <c r="C61" s="66">
        <f t="shared" si="0"/>
        <v>-9.2021347229848116E-3</v>
      </c>
      <c r="D61" s="66">
        <f>(Table134[[#This Row],[Index]]-B49)/B49</f>
        <v>6.304889843647507E-3</v>
      </c>
    </row>
    <row r="62" spans="1:4" x14ac:dyDescent="0.35">
      <c r="A62" s="17">
        <v>27973</v>
      </c>
      <c r="B62" s="58">
        <f>VLOOKUP(Table134[[#This Row],[Date]],database!A:I,8,)</f>
        <v>83.941299999999998</v>
      </c>
      <c r="C62" s="66">
        <f t="shared" si="0"/>
        <v>1.3537776457647421E-2</v>
      </c>
      <c r="D62" s="66">
        <f>(Table134[[#This Row],[Index]]-B50)/B50</f>
        <v>1.1544491482021062E-2</v>
      </c>
    </row>
    <row r="63" spans="1:4" x14ac:dyDescent="0.35">
      <c r="A63" s="17">
        <v>28004</v>
      </c>
      <c r="B63" s="58">
        <f>VLOOKUP(Table134[[#This Row],[Date]],database!A:I,8,)</f>
        <v>84.202799999999996</v>
      </c>
      <c r="C63" s="66">
        <f t="shared" si="0"/>
        <v>3.1152722199918603E-3</v>
      </c>
      <c r="D63" s="66">
        <f>(Table134[[#This Row],[Index]]-B51)/B51</f>
        <v>1.8908473115989595E-2</v>
      </c>
    </row>
    <row r="64" spans="1:4" x14ac:dyDescent="0.35">
      <c r="A64" s="17">
        <v>28034</v>
      </c>
      <c r="B64" s="58">
        <f>VLOOKUP(Table134[[#This Row],[Date]],database!A:I,8,)</f>
        <v>84.025400000000005</v>
      </c>
      <c r="C64" s="66">
        <f t="shared" si="0"/>
        <v>-2.1068183005790164E-3</v>
      </c>
      <c r="D64" s="66">
        <f>(Table134[[#This Row],[Index]]-B52)/B52</f>
        <v>1.4018184056246601E-2</v>
      </c>
    </row>
    <row r="65" spans="1:4" x14ac:dyDescent="0.35">
      <c r="A65" s="17">
        <v>28065</v>
      </c>
      <c r="B65" s="58">
        <f>VLOOKUP(Table134[[#This Row],[Date]],database!A:I,8,)</f>
        <v>84.639899999999997</v>
      </c>
      <c r="C65" s="66">
        <f t="shared" si="0"/>
        <v>7.3132647985012511E-3</v>
      </c>
      <c r="D65" s="66">
        <f>(Table134[[#This Row],[Index]]-B53)/B53</f>
        <v>9.0232824290976919E-3</v>
      </c>
    </row>
    <row r="66" spans="1:4" x14ac:dyDescent="0.35">
      <c r="A66" s="17">
        <v>28095</v>
      </c>
      <c r="B66" s="58">
        <f>VLOOKUP(Table134[[#This Row],[Date]],database!A:I,8,)</f>
        <v>85.734999999999999</v>
      </c>
      <c r="C66" s="66">
        <f t="shared" si="0"/>
        <v>1.2938342318457474E-2</v>
      </c>
      <c r="D66" s="66">
        <f>(Table134[[#This Row],[Index]]-B54)/B54</f>
        <v>1.9498117017241211E-2</v>
      </c>
    </row>
    <row r="67" spans="1:4" x14ac:dyDescent="0.35">
      <c r="A67" s="17">
        <v>28126</v>
      </c>
      <c r="B67" s="58">
        <f>VLOOKUP(Table134[[#This Row],[Date]],database!A:I,8,)</f>
        <v>83.102999999999994</v>
      </c>
      <c r="C67" s="66">
        <f t="shared" si="0"/>
        <v>-3.0699247681810315E-2</v>
      </c>
      <c r="D67" s="66">
        <f>(Table134[[#This Row],[Index]]-B55)/B55</f>
        <v>-2.977921560889963E-2</v>
      </c>
    </row>
    <row r="68" spans="1:4" x14ac:dyDescent="0.35">
      <c r="A68" s="17">
        <v>28157</v>
      </c>
      <c r="B68" s="58">
        <f>VLOOKUP(Table134[[#This Row],[Date]],database!A:I,8,)</f>
        <v>86.039699999999996</v>
      </c>
      <c r="C68" s="66">
        <f t="shared" si="0"/>
        <v>3.5338074437746059E-2</v>
      </c>
      <c r="D68" s="66">
        <f>(Table134[[#This Row],[Index]]-B56)/B56</f>
        <v>9.0349047077904372E-3</v>
      </c>
    </row>
    <row r="69" spans="1:4" x14ac:dyDescent="0.35">
      <c r="A69" s="17">
        <v>28185</v>
      </c>
      <c r="B69" s="58">
        <f>VLOOKUP(Table134[[#This Row],[Date]],database!A:I,8,)</f>
        <v>87.544700000000006</v>
      </c>
      <c r="C69" s="66">
        <f t="shared" si="0"/>
        <v>1.7491925239162986E-2</v>
      </c>
      <c r="D69" s="66">
        <f>(Table134[[#This Row],[Index]]-B57)/B57</f>
        <v>3.9372705643227375E-2</v>
      </c>
    </row>
    <row r="70" spans="1:4" x14ac:dyDescent="0.35">
      <c r="A70" s="17">
        <v>28216</v>
      </c>
      <c r="B70" s="58">
        <f>VLOOKUP(Table134[[#This Row],[Date]],database!A:I,8,)</f>
        <v>87.290599999999998</v>
      </c>
      <c r="C70" s="66">
        <f t="shared" si="0"/>
        <v>-2.9025172283417833E-3</v>
      </c>
      <c r="D70" s="66">
        <f>(Table134[[#This Row],[Index]]-B58)/B58</f>
        <v>4.0661707989637461E-2</v>
      </c>
    </row>
    <row r="71" spans="1:4" x14ac:dyDescent="0.35">
      <c r="A71" s="17">
        <v>28246</v>
      </c>
      <c r="B71" s="58">
        <f>VLOOKUP(Table134[[#This Row],[Date]],database!A:I,8,)</f>
        <v>87.258799999999994</v>
      </c>
      <c r="C71" s="66">
        <f t="shared" si="0"/>
        <v>-3.6430039431512018E-4</v>
      </c>
      <c r="D71" s="66">
        <f>(Table134[[#This Row],[Index]]-B59)/B59</f>
        <v>3.7782165029376091E-2</v>
      </c>
    </row>
    <row r="72" spans="1:4" x14ac:dyDescent="0.35">
      <c r="A72" s="17">
        <v>28277</v>
      </c>
      <c r="B72" s="58">
        <f>VLOOKUP(Table134[[#This Row],[Date]],database!A:I,8,)</f>
        <v>86.610799999999998</v>
      </c>
      <c r="C72" s="66">
        <f t="shared" ref="C72:C135" si="1">B72/B71-1</f>
        <v>-7.426185095371407E-3</v>
      </c>
      <c r="D72" s="66">
        <f>(Table134[[#This Row],[Index]]-B60)/B60</f>
        <v>3.6146970963987057E-2</v>
      </c>
    </row>
    <row r="73" spans="1:4" x14ac:dyDescent="0.35">
      <c r="A73" s="17">
        <v>28307</v>
      </c>
      <c r="B73" s="58">
        <f>VLOOKUP(Table134[[#This Row],[Date]],database!A:I,8,)</f>
        <v>87.008700000000005</v>
      </c>
      <c r="C73" s="66">
        <f t="shared" si="1"/>
        <v>4.5941152835444754E-3</v>
      </c>
      <c r="D73" s="66">
        <f>(Table134[[#This Row],[Index]]-B61)/B61</f>
        <v>5.0574679335089044E-2</v>
      </c>
    </row>
    <row r="74" spans="1:4" x14ac:dyDescent="0.35">
      <c r="A74" s="17">
        <v>28338</v>
      </c>
      <c r="B74" s="58">
        <f>VLOOKUP(Table134[[#This Row],[Date]],database!A:I,8,)</f>
        <v>85.005700000000004</v>
      </c>
      <c r="C74" s="66">
        <f t="shared" si="1"/>
        <v>-2.3020686437103421E-2</v>
      </c>
      <c r="D74" s="66">
        <f>(Table134[[#This Row],[Index]]-B62)/B62</f>
        <v>1.268028967862073E-2</v>
      </c>
    </row>
    <row r="75" spans="1:4" x14ac:dyDescent="0.35">
      <c r="A75" s="17">
        <v>28369</v>
      </c>
      <c r="B75" s="58">
        <f>VLOOKUP(Table134[[#This Row],[Date]],database!A:I,8,)</f>
        <v>87.934399999999997</v>
      </c>
      <c r="C75" s="66">
        <f t="shared" si="1"/>
        <v>3.4452983741090293E-2</v>
      </c>
      <c r="D75" s="66">
        <f>(Table134[[#This Row],[Index]]-B63)/B63</f>
        <v>4.4316816067874229E-2</v>
      </c>
    </row>
    <row r="76" spans="1:4" x14ac:dyDescent="0.35">
      <c r="A76" s="17">
        <v>28399</v>
      </c>
      <c r="B76" s="58">
        <f>VLOOKUP(Table134[[#This Row],[Date]],database!A:I,8,)</f>
        <v>87.840500000000006</v>
      </c>
      <c r="C76" s="66">
        <f t="shared" si="1"/>
        <v>-1.0678414818318105E-3</v>
      </c>
      <c r="D76" s="66">
        <f>(Table134[[#This Row],[Index]]-B64)/B64</f>
        <v>4.5404127799451126E-2</v>
      </c>
    </row>
    <row r="77" spans="1:4" x14ac:dyDescent="0.35">
      <c r="A77" s="17">
        <v>28430</v>
      </c>
      <c r="B77" s="58">
        <f>VLOOKUP(Table134[[#This Row],[Date]],database!A:I,8,)</f>
        <v>88.520700000000005</v>
      </c>
      <c r="C77" s="66">
        <f t="shared" si="1"/>
        <v>7.7435806945542751E-3</v>
      </c>
      <c r="D77" s="66">
        <f>(Table134[[#This Row],[Index]]-B65)/B65</f>
        <v>4.5850715797159589E-2</v>
      </c>
    </row>
    <row r="78" spans="1:4" x14ac:dyDescent="0.35">
      <c r="A78" s="17">
        <v>28460</v>
      </c>
      <c r="B78" s="58">
        <f>VLOOKUP(Table134[[#This Row],[Date]],database!A:I,8,)</f>
        <v>81.027199999999993</v>
      </c>
      <c r="C78" s="66">
        <f t="shared" si="1"/>
        <v>-8.4652516304096204E-2</v>
      </c>
      <c r="D78" s="66">
        <f>(Table134[[#This Row],[Index]]-B66)/B66</f>
        <v>-5.491106315973647E-2</v>
      </c>
    </row>
    <row r="79" spans="1:4" x14ac:dyDescent="0.35">
      <c r="A79" s="17">
        <v>28491</v>
      </c>
      <c r="B79" s="58">
        <f>VLOOKUP(Table134[[#This Row],[Date]],database!A:I,8,)</f>
        <v>79.192700000000002</v>
      </c>
      <c r="C79" s="66">
        <f t="shared" si="1"/>
        <v>-2.2640545397101142E-2</v>
      </c>
      <c r="D79" s="66">
        <f>(Table134[[#This Row],[Index]]-B67)/B67</f>
        <v>-4.7053656306029777E-2</v>
      </c>
    </row>
    <row r="80" spans="1:4" x14ac:dyDescent="0.35">
      <c r="A80" s="17">
        <v>28522</v>
      </c>
      <c r="B80" s="58">
        <f>VLOOKUP(Table134[[#This Row],[Date]],database!A:I,8,)</f>
        <v>79.955299999999994</v>
      </c>
      <c r="C80" s="66">
        <f t="shared" si="1"/>
        <v>9.6296754625109227E-3</v>
      </c>
      <c r="D80" s="66">
        <f>(Table134[[#This Row],[Index]]-B68)/B68</f>
        <v>-7.0716192641303979E-2</v>
      </c>
    </row>
    <row r="81" spans="1:4" x14ac:dyDescent="0.35">
      <c r="A81" s="17">
        <v>28550</v>
      </c>
      <c r="B81" s="58">
        <f>VLOOKUP(Table134[[#This Row],[Date]],database!A:I,8,)</f>
        <v>83.961600000000004</v>
      </c>
      <c r="C81" s="66">
        <f t="shared" si="1"/>
        <v>5.0106747144967434E-2</v>
      </c>
      <c r="D81" s="66">
        <f>(Table134[[#This Row],[Index]]-B69)/B69</f>
        <v>-4.0928805513069343E-2</v>
      </c>
    </row>
    <row r="82" spans="1:4" x14ac:dyDescent="0.35">
      <c r="A82" s="17">
        <v>28581</v>
      </c>
      <c r="B82" s="58">
        <f>VLOOKUP(Table134[[#This Row],[Date]],database!A:I,8,)</f>
        <v>92.189400000000006</v>
      </c>
      <c r="C82" s="66">
        <f t="shared" si="1"/>
        <v>9.799479762176988E-2</v>
      </c>
      <c r="D82" s="66">
        <f>(Table134[[#This Row],[Index]]-B70)/B70</f>
        <v>5.6120590304110735E-2</v>
      </c>
    </row>
    <row r="83" spans="1:4" x14ac:dyDescent="0.35">
      <c r="A83" s="17">
        <v>28611</v>
      </c>
      <c r="B83" s="58">
        <f>VLOOKUP(Table134[[#This Row],[Date]],database!A:I,8,)</f>
        <v>91.720600000000005</v>
      </c>
      <c r="C83" s="66">
        <f t="shared" si="1"/>
        <v>-5.0851833291029047E-3</v>
      </c>
      <c r="D83" s="66">
        <f>(Table134[[#This Row],[Index]]-B71)/B71</f>
        <v>5.1132951633531647E-2</v>
      </c>
    </row>
    <row r="84" spans="1:4" x14ac:dyDescent="0.35">
      <c r="A84" s="17">
        <v>28642</v>
      </c>
      <c r="B84" s="58">
        <f>VLOOKUP(Table134[[#This Row],[Date]],database!A:I,8,)</f>
        <v>91.52</v>
      </c>
      <c r="C84" s="66">
        <f t="shared" si="1"/>
        <v>-2.1870768398811746E-3</v>
      </c>
      <c r="D84" s="66">
        <f>(Table134[[#This Row],[Index]]-B72)/B72</f>
        <v>5.6681152927810376E-2</v>
      </c>
    </row>
    <row r="85" spans="1:4" x14ac:dyDescent="0.35">
      <c r="A85" s="17">
        <v>28672</v>
      </c>
      <c r="B85" s="58">
        <f>VLOOKUP(Table134[[#This Row],[Date]],database!A:I,8,)</f>
        <v>92.424499999999995</v>
      </c>
      <c r="C85" s="66">
        <f t="shared" si="1"/>
        <v>9.8830856643357112E-3</v>
      </c>
      <c r="D85" s="66">
        <f>(Table134[[#This Row],[Index]]-B73)/B73</f>
        <v>6.2244350277615802E-2</v>
      </c>
    </row>
    <row r="86" spans="1:4" x14ac:dyDescent="0.35">
      <c r="A86" s="17">
        <v>28703</v>
      </c>
      <c r="B86" s="58">
        <f>VLOOKUP(Table134[[#This Row],[Date]],database!A:I,8,)</f>
        <v>91.472200000000001</v>
      </c>
      <c r="C86" s="66">
        <f t="shared" si="1"/>
        <v>-1.0303545055694086E-2</v>
      </c>
      <c r="D86" s="66">
        <f>(Table134[[#This Row],[Index]]-B74)/B74</f>
        <v>7.6071369331703595E-2</v>
      </c>
    </row>
    <row r="87" spans="1:4" x14ac:dyDescent="0.35">
      <c r="A87" s="17">
        <v>28734</v>
      </c>
      <c r="B87" s="58">
        <f>VLOOKUP(Table134[[#This Row],[Date]],database!A:I,8,)</f>
        <v>89.905299999999997</v>
      </c>
      <c r="C87" s="66">
        <f t="shared" si="1"/>
        <v>-1.7129794626126849E-2</v>
      </c>
      <c r="D87" s="66">
        <f>(Table134[[#This Row],[Index]]-B75)/B75</f>
        <v>2.241329900471261E-2</v>
      </c>
    </row>
    <row r="88" spans="1:4" x14ac:dyDescent="0.35">
      <c r="A88" s="17">
        <v>28764</v>
      </c>
      <c r="B88" s="58">
        <f>VLOOKUP(Table134[[#This Row],[Date]],database!A:I,8,)</f>
        <v>92.074200000000005</v>
      </c>
      <c r="C88" s="66">
        <f t="shared" si="1"/>
        <v>2.4124272985018846E-2</v>
      </c>
      <c r="D88" s="66">
        <f>(Table134[[#This Row],[Index]]-B76)/B76</f>
        <v>4.8197585396257972E-2</v>
      </c>
    </row>
    <row r="89" spans="1:4" x14ac:dyDescent="0.35">
      <c r="A89" s="17">
        <v>28795</v>
      </c>
      <c r="B89" s="58">
        <f>VLOOKUP(Table134[[#This Row],[Date]],database!A:I,8,)</f>
        <v>91.916499999999999</v>
      </c>
      <c r="C89" s="66">
        <f t="shared" si="1"/>
        <v>-1.7127490654277322E-3</v>
      </c>
      <c r="D89" s="66">
        <f>(Table134[[#This Row],[Index]]-B77)/B77</f>
        <v>3.8361648744304935E-2</v>
      </c>
    </row>
    <row r="90" spans="1:4" x14ac:dyDescent="0.35">
      <c r="A90" s="17">
        <v>28825</v>
      </c>
      <c r="B90" s="58">
        <f>VLOOKUP(Table134[[#This Row],[Date]],database!A:I,8,)</f>
        <v>91.233699999999999</v>
      </c>
      <c r="C90" s="66">
        <f t="shared" si="1"/>
        <v>-7.4284812846442394E-3</v>
      </c>
      <c r="D90" s="66">
        <f>(Table134[[#This Row],[Index]]-B78)/B78</f>
        <v>0.12596387385964228</v>
      </c>
    </row>
    <row r="91" spans="1:4" x14ac:dyDescent="0.35">
      <c r="A91" s="17">
        <v>28856</v>
      </c>
      <c r="B91" s="58">
        <f>VLOOKUP(Table134[[#This Row],[Date]],database!A:I,8,)</f>
        <v>90.2273</v>
      </c>
      <c r="C91" s="66">
        <f t="shared" si="1"/>
        <v>-1.1031011566997706E-2</v>
      </c>
      <c r="D91" s="66">
        <f>(Table134[[#This Row],[Index]]-B79)/B79</f>
        <v>0.13933860065384812</v>
      </c>
    </row>
    <row r="92" spans="1:4" x14ac:dyDescent="0.35">
      <c r="A92" s="17">
        <v>28887</v>
      </c>
      <c r="B92" s="58">
        <f>VLOOKUP(Table134[[#This Row],[Date]],database!A:I,8,)</f>
        <v>90.252200000000002</v>
      </c>
      <c r="C92" s="66">
        <f t="shared" si="1"/>
        <v>2.7596968988330417E-4</v>
      </c>
      <c r="D92" s="66">
        <f>(Table134[[#This Row],[Index]]-B80)/B80</f>
        <v>0.12878320761725626</v>
      </c>
    </row>
    <row r="93" spans="1:4" x14ac:dyDescent="0.35">
      <c r="A93" s="17">
        <v>28915</v>
      </c>
      <c r="B93" s="58">
        <f>VLOOKUP(Table134[[#This Row],[Date]],database!A:I,8,)</f>
        <v>90.515500000000003</v>
      </c>
      <c r="C93" s="66">
        <f t="shared" si="1"/>
        <v>2.9173804073474585E-3</v>
      </c>
      <c r="D93" s="66">
        <f>(Table134[[#This Row],[Index]]-B81)/B81</f>
        <v>7.8058302843204488E-2</v>
      </c>
    </row>
    <row r="94" spans="1:4" x14ac:dyDescent="0.35">
      <c r="A94" s="17">
        <v>28946</v>
      </c>
      <c r="B94" s="58">
        <f>VLOOKUP(Table134[[#This Row],[Date]],database!A:I,8,)</f>
        <v>91.686999999999998</v>
      </c>
      <c r="C94" s="66">
        <f t="shared" si="1"/>
        <v>1.2942534704000863E-2</v>
      </c>
      <c r="D94" s="66">
        <f>(Table134[[#This Row],[Index]]-B82)/B82</f>
        <v>-5.4496503936462175E-3</v>
      </c>
    </row>
    <row r="95" spans="1:4" x14ac:dyDescent="0.35">
      <c r="A95" s="17">
        <v>28976</v>
      </c>
      <c r="B95" s="58">
        <f>VLOOKUP(Table134[[#This Row],[Date]],database!A:I,8,)</f>
        <v>91.161000000000001</v>
      </c>
      <c r="C95" s="66">
        <f t="shared" si="1"/>
        <v>-5.736909267398782E-3</v>
      </c>
      <c r="D95" s="66">
        <f>(Table134[[#This Row],[Index]]-B83)/B83</f>
        <v>-6.1011375852317055E-3</v>
      </c>
    </row>
    <row r="96" spans="1:4" x14ac:dyDescent="0.35">
      <c r="A96" s="17">
        <v>29007</v>
      </c>
      <c r="B96" s="58">
        <f>VLOOKUP(Table134[[#This Row],[Date]],database!A:I,8,)</f>
        <v>91.281899999999993</v>
      </c>
      <c r="C96" s="66">
        <f t="shared" si="1"/>
        <v>1.3262250304406642E-3</v>
      </c>
      <c r="D96" s="66">
        <f>(Table134[[#This Row],[Index]]-B84)/B84</f>
        <v>-2.6016171328671644E-3</v>
      </c>
    </row>
    <row r="97" spans="1:4" x14ac:dyDescent="0.35">
      <c r="A97" s="17">
        <v>29037</v>
      </c>
      <c r="B97" s="58">
        <f>VLOOKUP(Table134[[#This Row],[Date]],database!A:I,8,)</f>
        <v>90.397999999999996</v>
      </c>
      <c r="C97" s="66">
        <f t="shared" si="1"/>
        <v>-9.6831902052870733E-3</v>
      </c>
      <c r="D97" s="66">
        <f>(Table134[[#This Row],[Index]]-B85)/B85</f>
        <v>-2.1926004468512124E-2</v>
      </c>
    </row>
    <row r="98" spans="1:4" x14ac:dyDescent="0.35">
      <c r="A98" s="17">
        <v>29068</v>
      </c>
      <c r="B98" s="58">
        <f>VLOOKUP(Table134[[#This Row],[Date]],database!A:I,8,)</f>
        <v>92.429900000000004</v>
      </c>
      <c r="C98" s="66">
        <f t="shared" si="1"/>
        <v>2.2477267196177042E-2</v>
      </c>
      <c r="D98" s="66">
        <f>(Table134[[#This Row],[Index]]-B86)/B86</f>
        <v>1.0469847669565208E-2</v>
      </c>
    </row>
    <row r="99" spans="1:4" x14ac:dyDescent="0.35">
      <c r="A99" s="17">
        <v>29099</v>
      </c>
      <c r="B99" s="58">
        <f>VLOOKUP(Table134[[#This Row],[Date]],database!A:I,8,)</f>
        <v>92.131100000000004</v>
      </c>
      <c r="C99" s="66">
        <f t="shared" si="1"/>
        <v>-3.2327201479175338E-3</v>
      </c>
      <c r="D99" s="66">
        <f>(Table134[[#This Row],[Index]]-B87)/B87</f>
        <v>2.4757161146228383E-2</v>
      </c>
    </row>
    <row r="100" spans="1:4" x14ac:dyDescent="0.35">
      <c r="A100" s="17">
        <v>29129</v>
      </c>
      <c r="B100" s="58">
        <f>VLOOKUP(Table134[[#This Row],[Date]],database!A:I,8,)</f>
        <v>93.414299999999997</v>
      </c>
      <c r="C100" s="66">
        <f t="shared" si="1"/>
        <v>1.3927978717284351E-2</v>
      </c>
      <c r="D100" s="66">
        <f>(Table134[[#This Row],[Index]]-B88)/B88</f>
        <v>1.4554565774125569E-2</v>
      </c>
    </row>
    <row r="101" spans="1:4" x14ac:dyDescent="0.35">
      <c r="A101" s="17">
        <v>29160</v>
      </c>
      <c r="B101" s="58">
        <f>VLOOKUP(Table134[[#This Row],[Date]],database!A:I,8,)</f>
        <v>93.718900000000005</v>
      </c>
      <c r="C101" s="66">
        <f t="shared" si="1"/>
        <v>3.2607427342494777E-3</v>
      </c>
      <c r="D101" s="66">
        <f>(Table134[[#This Row],[Index]]-B89)/B89</f>
        <v>1.9609101739078465E-2</v>
      </c>
    </row>
    <row r="102" spans="1:4" x14ac:dyDescent="0.35">
      <c r="A102" s="17">
        <v>29190</v>
      </c>
      <c r="B102" s="58">
        <f>VLOOKUP(Table134[[#This Row],[Date]],database!A:I,8,)</f>
        <v>93.598200000000006</v>
      </c>
      <c r="C102" s="66">
        <f t="shared" si="1"/>
        <v>-1.2878939040044113E-3</v>
      </c>
      <c r="D102" s="66">
        <f>(Table134[[#This Row],[Index]]-B90)/B90</f>
        <v>2.5916958316937785E-2</v>
      </c>
    </row>
    <row r="103" spans="1:4" x14ac:dyDescent="0.35">
      <c r="A103" s="17">
        <v>29221</v>
      </c>
      <c r="B103" s="58">
        <f>VLOOKUP(Table134[[#This Row],[Date]],database!A:I,8,)</f>
        <v>95.375</v>
      </c>
      <c r="C103" s="66">
        <f t="shared" si="1"/>
        <v>1.8983271045810657E-2</v>
      </c>
      <c r="D103" s="66">
        <f>(Table134[[#This Row],[Index]]-B91)/B91</f>
        <v>5.7052577213326794E-2</v>
      </c>
    </row>
    <row r="104" spans="1:4" x14ac:dyDescent="0.35">
      <c r="A104" s="17">
        <v>29252</v>
      </c>
      <c r="B104" s="58">
        <f>VLOOKUP(Table134[[#This Row],[Date]],database!A:I,8,)</f>
        <v>94.304000000000002</v>
      </c>
      <c r="C104" s="66">
        <f t="shared" si="1"/>
        <v>-1.122935779816514E-2</v>
      </c>
      <c r="D104" s="66">
        <f>(Table134[[#This Row],[Index]]-B92)/B92</f>
        <v>4.4894196484961034E-2</v>
      </c>
    </row>
    <row r="105" spans="1:4" x14ac:dyDescent="0.35">
      <c r="A105" s="17">
        <v>29281</v>
      </c>
      <c r="B105" s="58">
        <f>VLOOKUP(Table134[[#This Row],[Date]],database!A:I,8,)</f>
        <v>95.1267</v>
      </c>
      <c r="C105" s="66">
        <f t="shared" si="1"/>
        <v>8.7239141499830808E-3</v>
      </c>
      <c r="D105" s="66">
        <f>(Table134[[#This Row],[Index]]-B93)/B93</f>
        <v>5.0943761013307075E-2</v>
      </c>
    </row>
    <row r="106" spans="1:4" x14ac:dyDescent="0.35">
      <c r="A106" s="17">
        <v>29312</v>
      </c>
      <c r="B106" s="58">
        <f>VLOOKUP(Table134[[#This Row],[Date]],database!A:I,8,)</f>
        <v>94.034300000000002</v>
      </c>
      <c r="C106" s="66">
        <f t="shared" si="1"/>
        <v>-1.148363182996992E-2</v>
      </c>
      <c r="D106" s="66">
        <f>(Table134[[#This Row],[Index]]-B94)/B94</f>
        <v>2.5601230272557771E-2</v>
      </c>
    </row>
    <row r="107" spans="1:4" x14ac:dyDescent="0.35">
      <c r="A107" s="17">
        <v>29342</v>
      </c>
      <c r="B107" s="58">
        <f>VLOOKUP(Table134[[#This Row],[Date]],database!A:I,8,)</f>
        <v>93.986900000000006</v>
      </c>
      <c r="C107" s="66">
        <f t="shared" si="1"/>
        <v>-5.0407138671737517E-4</v>
      </c>
      <c r="D107" s="66">
        <f>(Table134[[#This Row],[Index]]-B95)/B95</f>
        <v>3.0999001766106166E-2</v>
      </c>
    </row>
    <row r="108" spans="1:4" x14ac:dyDescent="0.35">
      <c r="A108" s="17">
        <v>29373</v>
      </c>
      <c r="B108" s="58">
        <f>VLOOKUP(Table134[[#This Row],[Date]],database!A:I,8,)</f>
        <v>93.640600000000006</v>
      </c>
      <c r="C108" s="66">
        <f t="shared" si="1"/>
        <v>-3.6845560391927101E-3</v>
      </c>
      <c r="D108" s="66">
        <f>(Table134[[#This Row],[Index]]-B96)/B96</f>
        <v>2.5839733835514085E-2</v>
      </c>
    </row>
    <row r="109" spans="1:4" x14ac:dyDescent="0.35">
      <c r="A109" s="17">
        <v>29403</v>
      </c>
      <c r="B109" s="58">
        <f>VLOOKUP(Table134[[#This Row],[Date]],database!A:I,8,)</f>
        <v>92.034800000000004</v>
      </c>
      <c r="C109" s="66">
        <f t="shared" si="1"/>
        <v>-1.7148544541577104E-2</v>
      </c>
      <c r="D109" s="66">
        <f>(Table134[[#This Row],[Index]]-B97)/B97</f>
        <v>1.8106595278656698E-2</v>
      </c>
    </row>
    <row r="110" spans="1:4" x14ac:dyDescent="0.35">
      <c r="A110" s="17">
        <v>29434</v>
      </c>
      <c r="B110" s="58">
        <f>VLOOKUP(Table134[[#This Row],[Date]],database!A:I,8,)</f>
        <v>90.350200000000001</v>
      </c>
      <c r="C110" s="66">
        <f t="shared" si="1"/>
        <v>-1.8303945898725305E-2</v>
      </c>
      <c r="D110" s="66">
        <f>(Table134[[#This Row],[Index]]-B98)/B98</f>
        <v>-2.2500294818018872E-2</v>
      </c>
    </row>
    <row r="111" spans="1:4" x14ac:dyDescent="0.35">
      <c r="A111" s="17">
        <v>29465</v>
      </c>
      <c r="B111" s="58">
        <f>VLOOKUP(Table134[[#This Row],[Date]],database!A:I,8,)</f>
        <v>92.036500000000004</v>
      </c>
      <c r="C111" s="66">
        <f t="shared" si="1"/>
        <v>1.8664042802340353E-2</v>
      </c>
      <c r="D111" s="66">
        <f>(Table134[[#This Row],[Index]]-B99)/B99</f>
        <v>-1.0267976828671295E-3</v>
      </c>
    </row>
    <row r="112" spans="1:4" x14ac:dyDescent="0.35">
      <c r="A112" s="17">
        <v>29495</v>
      </c>
      <c r="B112" s="58">
        <f>VLOOKUP(Table134[[#This Row],[Date]],database!A:I,8,)</f>
        <v>91.759500000000003</v>
      </c>
      <c r="C112" s="66">
        <f t="shared" si="1"/>
        <v>-3.009675509172971E-3</v>
      </c>
      <c r="D112" s="66">
        <f>(Table134[[#This Row],[Index]]-B100)/B100</f>
        <v>-1.7714632556257388E-2</v>
      </c>
    </row>
    <row r="113" spans="1:4" x14ac:dyDescent="0.35">
      <c r="A113" s="17">
        <v>29526</v>
      </c>
      <c r="B113" s="58">
        <f>VLOOKUP(Table134[[#This Row],[Date]],database!A:I,8,)</f>
        <v>93.462999999999994</v>
      </c>
      <c r="C113" s="66">
        <f t="shared" si="1"/>
        <v>1.8564835248666256E-2</v>
      </c>
      <c r="D113" s="66">
        <f>(Table134[[#This Row],[Index]]-B101)/B101</f>
        <v>-2.730505799790769E-3</v>
      </c>
    </row>
    <row r="114" spans="1:4" x14ac:dyDescent="0.35">
      <c r="A114" s="17">
        <v>29556</v>
      </c>
      <c r="B114" s="58">
        <f>VLOOKUP(Table134[[#This Row],[Date]],database!A:I,8,)</f>
        <v>95.429699999999997</v>
      </c>
      <c r="C114" s="66">
        <f t="shared" si="1"/>
        <v>2.1042551597958647E-2</v>
      </c>
      <c r="D114" s="66">
        <f>(Table134[[#This Row],[Index]]-B102)/B102</f>
        <v>1.9567683993922867E-2</v>
      </c>
    </row>
    <row r="115" spans="1:4" x14ac:dyDescent="0.35">
      <c r="A115" s="17">
        <v>29587</v>
      </c>
      <c r="B115" s="58">
        <f>VLOOKUP(Table134[[#This Row],[Date]],database!A:I,8,)</f>
        <v>94.272900000000007</v>
      </c>
      <c r="C115" s="66">
        <f t="shared" si="1"/>
        <v>-1.2122012329494836E-2</v>
      </c>
      <c r="D115" s="66">
        <f>(Table134[[#This Row],[Index]]-B103)/B103</f>
        <v>-1.1555439056356413E-2</v>
      </c>
    </row>
    <row r="116" spans="1:4" x14ac:dyDescent="0.35">
      <c r="A116" s="17">
        <v>29618</v>
      </c>
      <c r="B116" s="58">
        <f>VLOOKUP(Table134[[#This Row],[Date]],database!A:I,8,)</f>
        <v>95.411600000000007</v>
      </c>
      <c r="C116" s="66">
        <f t="shared" si="1"/>
        <v>1.2078762825796119E-2</v>
      </c>
      <c r="D116" s="66">
        <f>(Table134[[#This Row],[Index]]-B104)/B104</f>
        <v>1.1744994910078098E-2</v>
      </c>
    </row>
    <row r="117" spans="1:4" x14ac:dyDescent="0.35">
      <c r="A117" s="17">
        <v>29646</v>
      </c>
      <c r="B117" s="58">
        <f>VLOOKUP(Table134[[#This Row],[Date]],database!A:I,8,)</f>
        <v>96.269199999999998</v>
      </c>
      <c r="C117" s="66">
        <f t="shared" si="1"/>
        <v>8.9884248875398143E-3</v>
      </c>
      <c r="D117" s="66">
        <f>(Table134[[#This Row],[Index]]-B105)/B105</f>
        <v>1.201029784487424E-2</v>
      </c>
    </row>
    <row r="118" spans="1:4" x14ac:dyDescent="0.35">
      <c r="A118" s="17">
        <v>29677</v>
      </c>
      <c r="B118" s="58">
        <f>VLOOKUP(Table134[[#This Row],[Date]],database!A:I,8,)</f>
        <v>91.197400000000002</v>
      </c>
      <c r="C118" s="66">
        <f t="shared" si="1"/>
        <v>-5.2683516638758809E-2</v>
      </c>
      <c r="D118" s="66">
        <f>(Table134[[#This Row],[Index]]-B106)/B106</f>
        <v>-3.0168778839210798E-2</v>
      </c>
    </row>
    <row r="119" spans="1:4" x14ac:dyDescent="0.35">
      <c r="A119" s="17">
        <v>29707</v>
      </c>
      <c r="B119" s="58">
        <f>VLOOKUP(Table134[[#This Row],[Date]],database!A:I,8,)</f>
        <v>91.736800000000002</v>
      </c>
      <c r="C119" s="66">
        <f t="shared" si="1"/>
        <v>5.9146423033991091E-3</v>
      </c>
      <c r="D119" s="66">
        <f>(Table134[[#This Row],[Index]]-B107)/B107</f>
        <v>-2.3940570441199818E-2</v>
      </c>
    </row>
    <row r="120" spans="1:4" x14ac:dyDescent="0.35">
      <c r="A120" s="17">
        <v>29738</v>
      </c>
      <c r="B120" s="58">
        <f>VLOOKUP(Table134[[#This Row],[Date]],database!A:I,8,)</f>
        <v>95.693299999999994</v>
      </c>
      <c r="C120" s="66">
        <f t="shared" si="1"/>
        <v>4.312882071317059E-2</v>
      </c>
      <c r="D120" s="66">
        <f>(Table134[[#This Row],[Index]]-B108)/B108</f>
        <v>2.1921047067190804E-2</v>
      </c>
    </row>
    <row r="121" spans="1:4" x14ac:dyDescent="0.35">
      <c r="A121" s="17">
        <v>29768</v>
      </c>
      <c r="B121" s="58">
        <f>VLOOKUP(Table134[[#This Row],[Date]],database!A:I,8,)</f>
        <v>98.742199999999997</v>
      </c>
      <c r="C121" s="66">
        <f t="shared" si="1"/>
        <v>3.1861164783741458E-2</v>
      </c>
      <c r="D121" s="66">
        <f>(Table134[[#This Row],[Index]]-B109)/B109</f>
        <v>7.2878954482434824E-2</v>
      </c>
    </row>
    <row r="122" spans="1:4" x14ac:dyDescent="0.35">
      <c r="A122" s="17">
        <v>29799</v>
      </c>
      <c r="B122" s="58">
        <f>VLOOKUP(Table134[[#This Row],[Date]],database!A:I,8,)</f>
        <v>99.0655</v>
      </c>
      <c r="C122" s="66">
        <f t="shared" si="1"/>
        <v>3.2741826696185417E-3</v>
      </c>
      <c r="D122" s="66">
        <f>(Table134[[#This Row],[Index]]-B110)/B110</f>
        <v>9.6461324933425699E-2</v>
      </c>
    </row>
    <row r="123" spans="1:4" x14ac:dyDescent="0.35">
      <c r="A123" s="17">
        <v>29830</v>
      </c>
      <c r="B123" s="58">
        <f>VLOOKUP(Table134[[#This Row],[Date]],database!A:I,8,)</f>
        <v>98.4602</v>
      </c>
      <c r="C123" s="66">
        <f t="shared" si="1"/>
        <v>-6.1100988739772877E-3</v>
      </c>
      <c r="D123" s="66">
        <f>(Table134[[#This Row],[Index]]-B111)/B111</f>
        <v>6.9795135625539823E-2</v>
      </c>
    </row>
    <row r="124" spans="1:4" x14ac:dyDescent="0.35">
      <c r="A124" s="17">
        <v>29860</v>
      </c>
      <c r="B124" s="58">
        <f>VLOOKUP(Table134[[#This Row],[Date]],database!A:I,8,)</f>
        <v>97.815399999999997</v>
      </c>
      <c r="C124" s="66">
        <f t="shared" si="1"/>
        <v>-6.5488390232805171E-3</v>
      </c>
      <c r="D124" s="66">
        <f>(Table134[[#This Row],[Index]]-B112)/B112</f>
        <v>6.5997526141707327E-2</v>
      </c>
    </row>
    <row r="125" spans="1:4" x14ac:dyDescent="0.35">
      <c r="A125" s="17">
        <v>29891</v>
      </c>
      <c r="B125" s="58">
        <f>VLOOKUP(Table134[[#This Row],[Date]],database!A:I,8,)</f>
        <v>96.953000000000003</v>
      </c>
      <c r="C125" s="66">
        <f t="shared" si="1"/>
        <v>-8.8166076098445956E-3</v>
      </c>
      <c r="D125" s="66">
        <f>(Table134[[#This Row],[Index]]-B113)/B113</f>
        <v>3.734097985299005E-2</v>
      </c>
    </row>
    <row r="126" spans="1:4" x14ac:dyDescent="0.35">
      <c r="A126" s="17">
        <v>29921</v>
      </c>
      <c r="B126" s="58">
        <f>VLOOKUP(Table134[[#This Row],[Date]],database!A:I,8,)</f>
        <v>96.903999999999996</v>
      </c>
      <c r="C126" s="66">
        <f t="shared" si="1"/>
        <v>-5.0539952348049866E-4</v>
      </c>
      <c r="D126" s="66">
        <f>(Table134[[#This Row],[Index]]-B114)/B114</f>
        <v>1.5449068790952916E-2</v>
      </c>
    </row>
    <row r="127" spans="1:4" x14ac:dyDescent="0.35">
      <c r="A127" s="17">
        <v>29952</v>
      </c>
      <c r="B127" s="58">
        <f>VLOOKUP(Table134[[#This Row],[Date]],database!A:I,8,)</f>
        <v>95.755799999999994</v>
      </c>
      <c r="C127" s="66">
        <f t="shared" si="1"/>
        <v>-1.1848840089160428E-2</v>
      </c>
      <c r="D127" s="66">
        <f>(Table134[[#This Row],[Index]]-B115)/B115</f>
        <v>1.572986510439359E-2</v>
      </c>
    </row>
    <row r="128" spans="1:4" x14ac:dyDescent="0.35">
      <c r="A128" s="17">
        <v>29983</v>
      </c>
      <c r="B128" s="58">
        <f>VLOOKUP(Table134[[#This Row],[Date]],database!A:I,8,)</f>
        <v>96.777799999999999</v>
      </c>
      <c r="C128" s="66">
        <f t="shared" si="1"/>
        <v>1.0672982733160863E-2</v>
      </c>
      <c r="D128" s="66">
        <f>(Table134[[#This Row],[Index]]-B116)/B116</f>
        <v>1.4319013620985204E-2</v>
      </c>
    </row>
    <row r="129" spans="1:4" x14ac:dyDescent="0.35">
      <c r="A129" s="17">
        <v>30011</v>
      </c>
      <c r="B129" s="58">
        <f>VLOOKUP(Table134[[#This Row],[Date]],database!A:I,8,)</f>
        <v>95.976299999999995</v>
      </c>
      <c r="C129" s="66">
        <f t="shared" si="1"/>
        <v>-8.2818580294241606E-3</v>
      </c>
      <c r="D129" s="66">
        <f>(Table134[[#This Row],[Index]]-B117)/B117</f>
        <v>-3.0425099616492404E-3</v>
      </c>
    </row>
    <row r="130" spans="1:4" x14ac:dyDescent="0.35">
      <c r="A130" s="17">
        <v>30042</v>
      </c>
      <c r="B130" s="58">
        <f>VLOOKUP(Table134[[#This Row],[Date]],database!A:I,8,)</f>
        <v>93.976600000000005</v>
      </c>
      <c r="C130" s="66">
        <f t="shared" si="1"/>
        <v>-2.083535206087328E-2</v>
      </c>
      <c r="D130" s="66">
        <f>(Table134[[#This Row],[Index]]-B118)/B118</f>
        <v>3.0474553002607561E-2</v>
      </c>
    </row>
    <row r="131" spans="1:4" x14ac:dyDescent="0.35">
      <c r="A131" s="17">
        <v>30072</v>
      </c>
      <c r="B131" s="58">
        <f>VLOOKUP(Table134[[#This Row],[Date]],database!A:I,8,)</f>
        <v>92.453800000000001</v>
      </c>
      <c r="C131" s="66">
        <f t="shared" si="1"/>
        <v>-1.6204033770108817E-2</v>
      </c>
      <c r="D131" s="66">
        <f>(Table134[[#This Row],[Index]]-B119)/B119</f>
        <v>7.8158383549458751E-3</v>
      </c>
    </row>
    <row r="132" spans="1:4" x14ac:dyDescent="0.35">
      <c r="A132" s="17">
        <v>30103</v>
      </c>
      <c r="B132" s="58">
        <f>VLOOKUP(Table134[[#This Row],[Date]],database!A:I,8,)</f>
        <v>91.178899999999999</v>
      </c>
      <c r="C132" s="66">
        <f t="shared" si="1"/>
        <v>-1.3789590043892241E-2</v>
      </c>
      <c r="D132" s="66">
        <f>(Table134[[#This Row],[Index]]-B120)/B120</f>
        <v>-4.7175716586218629E-2</v>
      </c>
    </row>
    <row r="133" spans="1:4" x14ac:dyDescent="0.35">
      <c r="A133" s="17">
        <v>30133</v>
      </c>
      <c r="B133" s="58">
        <f>VLOOKUP(Table134[[#This Row],[Date]],database!A:I,8,)</f>
        <v>89.857500000000002</v>
      </c>
      <c r="C133" s="66">
        <f t="shared" si="1"/>
        <v>-1.4492388041531523E-2</v>
      </c>
      <c r="D133" s="66">
        <f>(Table134[[#This Row],[Index]]-B121)/B121</f>
        <v>-8.9978752752116073E-2</v>
      </c>
    </row>
    <row r="134" spans="1:4" x14ac:dyDescent="0.35">
      <c r="A134" s="17">
        <v>30164</v>
      </c>
      <c r="B134" s="58">
        <f>VLOOKUP(Table134[[#This Row],[Date]],database!A:I,8,)</f>
        <v>89.176699999999997</v>
      </c>
      <c r="C134" s="66">
        <f t="shared" si="1"/>
        <v>-7.5764404751968994E-3</v>
      </c>
      <c r="D134" s="66">
        <f>(Table134[[#This Row],[Index]]-B122)/B122</f>
        <v>-9.9820825615375725E-2</v>
      </c>
    </row>
    <row r="135" spans="1:4" x14ac:dyDescent="0.35">
      <c r="A135" s="17">
        <v>30195</v>
      </c>
      <c r="B135" s="58">
        <f>VLOOKUP(Table134[[#This Row],[Date]],database!A:I,8,)</f>
        <v>88.304299999999998</v>
      </c>
      <c r="C135" s="66">
        <f t="shared" si="1"/>
        <v>-9.7828244373250328E-3</v>
      </c>
      <c r="D135" s="66">
        <f>(Table134[[#This Row],[Index]]-B123)/B123</f>
        <v>-0.1031472615330865</v>
      </c>
    </row>
    <row r="136" spans="1:4" x14ac:dyDescent="0.35">
      <c r="A136" s="17">
        <v>30225</v>
      </c>
      <c r="B136" s="58">
        <f>VLOOKUP(Table134[[#This Row],[Date]],database!A:I,8,)</f>
        <v>87.997100000000003</v>
      </c>
      <c r="C136" s="66">
        <f t="shared" ref="C136:C199" si="2">B136/B135-1</f>
        <v>-3.4788792844742122E-3</v>
      </c>
      <c r="D136" s="66">
        <f>(Table134[[#This Row],[Index]]-B124)/B124</f>
        <v>-0.10037580994403739</v>
      </c>
    </row>
    <row r="137" spans="1:4" x14ac:dyDescent="0.35">
      <c r="A137" s="17">
        <v>30256</v>
      </c>
      <c r="B137" s="58">
        <f>VLOOKUP(Table134[[#This Row],[Date]],database!A:I,8,)</f>
        <v>87.756600000000006</v>
      </c>
      <c r="C137" s="66">
        <f t="shared" si="2"/>
        <v>-2.7330446116974327E-3</v>
      </c>
      <c r="D137" s="66">
        <f>(Table134[[#This Row],[Index]]-B125)/B125</f>
        <v>-9.4854207708889846E-2</v>
      </c>
    </row>
    <row r="138" spans="1:4" x14ac:dyDescent="0.35">
      <c r="A138" s="17">
        <v>30286</v>
      </c>
      <c r="B138" s="58">
        <f>VLOOKUP(Table134[[#This Row],[Date]],database!A:I,8,)</f>
        <v>86.704800000000006</v>
      </c>
      <c r="C138" s="66">
        <f t="shared" si="2"/>
        <v>-1.1985423318587984E-2</v>
      </c>
      <c r="D138" s="66">
        <f>(Table134[[#This Row],[Index]]-B126)/B126</f>
        <v>-0.1052505572525385</v>
      </c>
    </row>
    <row r="139" spans="1:4" x14ac:dyDescent="0.35">
      <c r="A139" s="17">
        <v>30317</v>
      </c>
      <c r="B139" s="58">
        <f>VLOOKUP(Table134[[#This Row],[Date]],database!A:I,8,)</f>
        <v>87.543300000000002</v>
      </c>
      <c r="C139" s="66">
        <f t="shared" si="2"/>
        <v>9.6707448722561651E-3</v>
      </c>
      <c r="D139" s="66">
        <f>(Table134[[#This Row],[Index]]-B127)/B127</f>
        <v>-8.5765039820042147E-2</v>
      </c>
    </row>
    <row r="140" spans="1:4" x14ac:dyDescent="0.35">
      <c r="A140" s="17">
        <v>30348</v>
      </c>
      <c r="B140" s="58">
        <f>VLOOKUP(Table134[[#This Row],[Date]],database!A:I,8,)</f>
        <v>85.814899999999994</v>
      </c>
      <c r="C140" s="66">
        <f t="shared" si="2"/>
        <v>-1.9743372708134199E-2</v>
      </c>
      <c r="D140" s="66">
        <f>(Table134[[#This Row],[Index]]-B128)/B128</f>
        <v>-0.11327907846634254</v>
      </c>
    </row>
    <row r="141" spans="1:4" x14ac:dyDescent="0.35">
      <c r="A141" s="17">
        <v>30376</v>
      </c>
      <c r="B141" s="58">
        <f>VLOOKUP(Table134[[#This Row],[Date]],database!A:I,8,)</f>
        <v>84.724900000000005</v>
      </c>
      <c r="C141" s="66">
        <f t="shared" si="2"/>
        <v>-1.2701756921000729E-2</v>
      </c>
      <c r="D141" s="66">
        <f>(Table134[[#This Row],[Index]]-B129)/B129</f>
        <v>-0.11723102474256655</v>
      </c>
    </row>
    <row r="142" spans="1:4" x14ac:dyDescent="0.35">
      <c r="A142" s="17">
        <v>30407</v>
      </c>
      <c r="B142" s="58">
        <f>VLOOKUP(Table134[[#This Row],[Date]],database!A:I,8,)</f>
        <v>85.602599999999995</v>
      </c>
      <c r="C142" s="66">
        <f t="shared" si="2"/>
        <v>1.0359410279622505E-2</v>
      </c>
      <c r="D142" s="66">
        <f>(Table134[[#This Row],[Index]]-B130)/B130</f>
        <v>-8.9107288410093674E-2</v>
      </c>
    </row>
    <row r="143" spans="1:4" x14ac:dyDescent="0.35">
      <c r="A143" s="17">
        <v>30437</v>
      </c>
      <c r="B143" s="58">
        <f>VLOOKUP(Table134[[#This Row],[Date]],database!A:I,8,)</f>
        <v>85.209500000000006</v>
      </c>
      <c r="C143" s="66">
        <f t="shared" si="2"/>
        <v>-4.592150238427184E-3</v>
      </c>
      <c r="D143" s="66">
        <f>(Table134[[#This Row],[Index]]-B131)/B131</f>
        <v>-7.8355892348394504E-2</v>
      </c>
    </row>
    <row r="144" spans="1:4" x14ac:dyDescent="0.35">
      <c r="A144" s="17">
        <v>30468</v>
      </c>
      <c r="B144" s="58">
        <f>VLOOKUP(Table134[[#This Row],[Date]],database!A:I,8,)</f>
        <v>85.443200000000004</v>
      </c>
      <c r="C144" s="66">
        <f t="shared" si="2"/>
        <v>2.7426519343500821E-3</v>
      </c>
      <c r="D144" s="66">
        <f>(Table134[[#This Row],[Index]]-B132)/B132</f>
        <v>-6.290600127880458E-2</v>
      </c>
    </row>
    <row r="145" spans="1:4" x14ac:dyDescent="0.35">
      <c r="A145" s="17">
        <v>30498</v>
      </c>
      <c r="B145" s="58">
        <f>VLOOKUP(Table134[[#This Row],[Date]],database!A:I,8,)</f>
        <v>85.967600000000004</v>
      </c>
      <c r="C145" s="66">
        <f t="shared" si="2"/>
        <v>6.1374105838731818E-3</v>
      </c>
      <c r="D145" s="66">
        <f>(Table134[[#This Row],[Index]]-B133)/B133</f>
        <v>-4.3289653061792249E-2</v>
      </c>
    </row>
    <row r="146" spans="1:4" x14ac:dyDescent="0.35">
      <c r="A146" s="17">
        <v>30529</v>
      </c>
      <c r="B146" s="58">
        <f>VLOOKUP(Table134[[#This Row],[Date]],database!A:I,8,)</f>
        <v>86.742199999999997</v>
      </c>
      <c r="C146" s="66">
        <f t="shared" si="2"/>
        <v>9.0103713492057924E-3</v>
      </c>
      <c r="D146" s="66">
        <f>(Table134[[#This Row],[Index]]-B134)/B134</f>
        <v>-2.7299731880636981E-2</v>
      </c>
    </row>
    <row r="147" spans="1:4" x14ac:dyDescent="0.35">
      <c r="A147" s="17">
        <v>30560</v>
      </c>
      <c r="B147" s="58">
        <f>VLOOKUP(Table134[[#This Row],[Date]],database!A:I,8,)</f>
        <v>87.312600000000003</v>
      </c>
      <c r="C147" s="66">
        <f t="shared" si="2"/>
        <v>6.5758073924804261E-3</v>
      </c>
      <c r="D147" s="66">
        <f>(Table134[[#This Row],[Index]]-B135)/B135</f>
        <v>-1.1230483679730143E-2</v>
      </c>
    </row>
    <row r="148" spans="1:4" x14ac:dyDescent="0.35">
      <c r="A148" s="17">
        <v>30590</v>
      </c>
      <c r="B148" s="58">
        <f>VLOOKUP(Table134[[#This Row],[Date]],database!A:I,8,)</f>
        <v>88.189899999999994</v>
      </c>
      <c r="C148" s="66">
        <f t="shared" si="2"/>
        <v>1.004780524231319E-2</v>
      </c>
      <c r="D148" s="66">
        <f>(Table134[[#This Row],[Index]]-B136)/B136</f>
        <v>2.1909812937016241E-3</v>
      </c>
    </row>
    <row r="149" spans="1:4" x14ac:dyDescent="0.35">
      <c r="A149" s="17">
        <v>30621</v>
      </c>
      <c r="B149" s="58">
        <f>VLOOKUP(Table134[[#This Row],[Date]],database!A:I,8,)</f>
        <v>88.188699999999997</v>
      </c>
      <c r="C149" s="66">
        <f t="shared" si="2"/>
        <v>-1.3607000348025977E-5</v>
      </c>
      <c r="D149" s="66">
        <f>(Table134[[#This Row],[Index]]-B137)/B137</f>
        <v>4.9238461836487654E-3</v>
      </c>
    </row>
    <row r="150" spans="1:4" x14ac:dyDescent="0.35">
      <c r="A150" s="17">
        <v>30651</v>
      </c>
      <c r="B150" s="58">
        <f>VLOOKUP(Table134[[#This Row],[Date]],database!A:I,8,)</f>
        <v>87.206400000000002</v>
      </c>
      <c r="C150" s="66">
        <f t="shared" si="2"/>
        <v>-1.1138615264767449E-2</v>
      </c>
      <c r="D150" s="66">
        <f>(Table134[[#This Row],[Index]]-B138)/B138</f>
        <v>5.7851468430813085E-3</v>
      </c>
    </row>
    <row r="151" spans="1:4" x14ac:dyDescent="0.35">
      <c r="A151" s="17">
        <v>30682</v>
      </c>
      <c r="B151" s="58">
        <f>VLOOKUP(Table134[[#This Row],[Date]],database!A:I,8,)</f>
        <v>91.299700000000001</v>
      </c>
      <c r="C151" s="66">
        <f t="shared" si="2"/>
        <v>4.6938068765595142E-2</v>
      </c>
      <c r="D151" s="66">
        <f>(Table134[[#This Row],[Index]]-B139)/B139</f>
        <v>4.2909051863477835E-2</v>
      </c>
    </row>
    <row r="152" spans="1:4" x14ac:dyDescent="0.35">
      <c r="A152" s="17">
        <v>30713</v>
      </c>
      <c r="B152" s="58">
        <f>VLOOKUP(Table134[[#This Row],[Date]],database!A:I,8,)</f>
        <v>90.296099999999996</v>
      </c>
      <c r="C152" s="66">
        <f t="shared" si="2"/>
        <v>-1.0992369087740816E-2</v>
      </c>
      <c r="D152" s="66">
        <f>(Table134[[#This Row],[Index]]-B140)/B140</f>
        <v>5.2219369829714903E-2</v>
      </c>
    </row>
    <row r="153" spans="1:4" x14ac:dyDescent="0.35">
      <c r="A153" s="17">
        <v>30742</v>
      </c>
      <c r="B153" s="58">
        <f>VLOOKUP(Table134[[#This Row],[Date]],database!A:I,8,)</f>
        <v>89.636300000000006</v>
      </c>
      <c r="C153" s="66">
        <f t="shared" si="2"/>
        <v>-7.3070708480209579E-3</v>
      </c>
      <c r="D153" s="66">
        <f>(Table134[[#This Row],[Index]]-B141)/B141</f>
        <v>5.7968790756908535E-2</v>
      </c>
    </row>
    <row r="154" spans="1:4" x14ac:dyDescent="0.35">
      <c r="A154" s="17">
        <v>30773</v>
      </c>
      <c r="B154" s="58">
        <f>VLOOKUP(Table134[[#This Row],[Date]],database!A:I,8,)</f>
        <v>91.393299999999996</v>
      </c>
      <c r="C154" s="66">
        <f t="shared" si="2"/>
        <v>1.960143379412127E-2</v>
      </c>
      <c r="D154" s="66">
        <f>(Table134[[#This Row],[Index]]-B142)/B142</f>
        <v>6.7646309808346961E-2</v>
      </c>
    </row>
    <row r="155" spans="1:4" x14ac:dyDescent="0.35">
      <c r="A155" s="17">
        <v>30803</v>
      </c>
      <c r="B155" s="58">
        <f>VLOOKUP(Table134[[#This Row],[Date]],database!A:I,8,)</f>
        <v>92.756100000000004</v>
      </c>
      <c r="C155" s="66">
        <f t="shared" si="2"/>
        <v>1.4911377529862824E-2</v>
      </c>
      <c r="D155" s="66">
        <f>(Table134[[#This Row],[Index]]-B143)/B143</f>
        <v>8.8565242138493913E-2</v>
      </c>
    </row>
    <row r="156" spans="1:4" x14ac:dyDescent="0.35">
      <c r="A156" s="17">
        <v>30834</v>
      </c>
      <c r="B156" s="58">
        <f>VLOOKUP(Table134[[#This Row],[Date]],database!A:I,8,)</f>
        <v>93.133099999999999</v>
      </c>
      <c r="C156" s="66">
        <f t="shared" si="2"/>
        <v>4.0644227172119685E-3</v>
      </c>
      <c r="D156" s="66">
        <f>(Table134[[#This Row],[Index]]-B144)/B144</f>
        <v>9.0000140444178048E-2</v>
      </c>
    </row>
    <row r="157" spans="1:4" x14ac:dyDescent="0.35">
      <c r="A157" s="17">
        <v>30864</v>
      </c>
      <c r="B157" s="58">
        <f>VLOOKUP(Table134[[#This Row],[Date]],database!A:I,8,)</f>
        <v>94.707300000000004</v>
      </c>
      <c r="C157" s="66">
        <f t="shared" si="2"/>
        <v>1.6902690880041593E-2</v>
      </c>
      <c r="D157" s="66">
        <f>(Table134[[#This Row],[Index]]-B145)/B145</f>
        <v>0.10166271944313902</v>
      </c>
    </row>
    <row r="158" spans="1:4" x14ac:dyDescent="0.35">
      <c r="A158" s="17">
        <v>30895</v>
      </c>
      <c r="B158" s="58">
        <f>VLOOKUP(Table134[[#This Row],[Date]],database!A:I,8,)</f>
        <v>93.714699999999993</v>
      </c>
      <c r="C158" s="66">
        <f t="shared" si="2"/>
        <v>-1.0480712680015269E-2</v>
      </c>
      <c r="D158" s="66">
        <f>(Table134[[#This Row],[Index]]-B146)/B146</f>
        <v>8.038186718805837E-2</v>
      </c>
    </row>
    <row r="159" spans="1:4" x14ac:dyDescent="0.35">
      <c r="A159" s="17">
        <v>30926</v>
      </c>
      <c r="B159" s="58">
        <f>VLOOKUP(Table134[[#This Row],[Date]],database!A:I,8,)</f>
        <v>94.320599999999999</v>
      </c>
      <c r="C159" s="66">
        <f t="shared" si="2"/>
        <v>6.4653677598072168E-3</v>
      </c>
      <c r="D159" s="66">
        <f>(Table134[[#This Row],[Index]]-B147)/B147</f>
        <v>8.0263329691247262E-2</v>
      </c>
    </row>
    <row r="160" spans="1:4" x14ac:dyDescent="0.35">
      <c r="A160" s="17">
        <v>30956</v>
      </c>
      <c r="B160" s="58">
        <f>VLOOKUP(Table134[[#This Row],[Date]],database!A:I,8,)</f>
        <v>91.242900000000006</v>
      </c>
      <c r="C160" s="66">
        <f t="shared" si="2"/>
        <v>-3.2630199553437933E-2</v>
      </c>
      <c r="D160" s="66">
        <f>(Table134[[#This Row],[Index]]-B148)/B148</f>
        <v>3.4618476718989495E-2</v>
      </c>
    </row>
    <row r="161" spans="1:4" x14ac:dyDescent="0.35">
      <c r="A161" s="17">
        <v>30987</v>
      </c>
      <c r="B161" s="58">
        <f>VLOOKUP(Table134[[#This Row],[Date]],database!A:I,8,)</f>
        <v>91.304900000000004</v>
      </c>
      <c r="C161" s="66">
        <f t="shared" si="2"/>
        <v>6.7950492586277278E-4</v>
      </c>
      <c r="D161" s="66">
        <f>(Table134[[#This Row],[Index]]-B149)/B149</f>
        <v>3.5335592882081338E-2</v>
      </c>
    </row>
    <row r="162" spans="1:4" x14ac:dyDescent="0.35">
      <c r="A162" s="17">
        <v>31017</v>
      </c>
      <c r="B162" s="58">
        <f>VLOOKUP(Table134[[#This Row],[Date]],database!A:I,8,)</f>
        <v>91.437700000000007</v>
      </c>
      <c r="C162" s="66">
        <f t="shared" si="2"/>
        <v>1.4544673944114628E-3</v>
      </c>
      <c r="D162" s="66">
        <f>(Table134[[#This Row],[Index]]-B150)/B150</f>
        <v>4.8520521429619892E-2</v>
      </c>
    </row>
    <row r="163" spans="1:4" x14ac:dyDescent="0.35">
      <c r="A163" s="17">
        <v>31048</v>
      </c>
      <c r="B163" s="58">
        <f>VLOOKUP(Table134[[#This Row],[Date]],database!A:I,8,)</f>
        <v>89.293099999999995</v>
      </c>
      <c r="C163" s="66">
        <f t="shared" si="2"/>
        <v>-2.3454220742647802E-2</v>
      </c>
      <c r="D163" s="66">
        <f>(Table134[[#This Row],[Index]]-B151)/B151</f>
        <v>-2.1978166412376009E-2</v>
      </c>
    </row>
    <row r="164" spans="1:4" x14ac:dyDescent="0.35">
      <c r="A164" s="17">
        <v>31079</v>
      </c>
      <c r="B164" s="58">
        <f>VLOOKUP(Table134[[#This Row],[Date]],database!A:I,8,)</f>
        <v>90.9619</v>
      </c>
      <c r="C164" s="66">
        <f t="shared" si="2"/>
        <v>1.8689014044758201E-2</v>
      </c>
      <c r="D164" s="66">
        <f>(Table134[[#This Row],[Index]]-B152)/B152</f>
        <v>7.3735189005948694E-3</v>
      </c>
    </row>
    <row r="165" spans="1:4" x14ac:dyDescent="0.35">
      <c r="A165" s="17">
        <v>31107</v>
      </c>
      <c r="B165" s="58">
        <f>VLOOKUP(Table134[[#This Row],[Date]],database!A:I,8,)</f>
        <v>91.1982</v>
      </c>
      <c r="C165" s="66">
        <f t="shared" si="2"/>
        <v>2.5977909432410851E-3</v>
      </c>
      <c r="D165" s="66">
        <f>(Table134[[#This Row],[Index]]-B153)/B153</f>
        <v>1.7424860240772926E-2</v>
      </c>
    </row>
    <row r="166" spans="1:4" x14ac:dyDescent="0.35">
      <c r="A166" s="17">
        <v>31138</v>
      </c>
      <c r="B166" s="58">
        <f>VLOOKUP(Table134[[#This Row],[Date]],database!A:I,8,)</f>
        <v>90.949200000000005</v>
      </c>
      <c r="C166" s="66">
        <f t="shared" si="2"/>
        <v>-2.7303170457311232E-3</v>
      </c>
      <c r="D166" s="66">
        <f>(Table134[[#This Row],[Index]]-B154)/B154</f>
        <v>-4.8592183453271933E-3</v>
      </c>
    </row>
    <row r="167" spans="1:4" x14ac:dyDescent="0.35">
      <c r="A167" s="17">
        <v>31168</v>
      </c>
      <c r="B167" s="58">
        <f>VLOOKUP(Table134[[#This Row],[Date]],database!A:I,8,)</f>
        <v>91.122699999999995</v>
      </c>
      <c r="C167" s="66">
        <f t="shared" si="2"/>
        <v>1.9076583411397063E-3</v>
      </c>
      <c r="D167" s="66">
        <f>(Table134[[#This Row],[Index]]-B155)/B155</f>
        <v>-1.7609623518022088E-2</v>
      </c>
    </row>
    <row r="168" spans="1:4" x14ac:dyDescent="0.35">
      <c r="A168" s="17">
        <v>31199</v>
      </c>
      <c r="B168" s="58">
        <f>VLOOKUP(Table134[[#This Row],[Date]],database!A:I,8,)</f>
        <v>91.231700000000004</v>
      </c>
      <c r="C168" s="66">
        <f t="shared" si="2"/>
        <v>1.1961893139691426E-3</v>
      </c>
      <c r="D168" s="66">
        <f>(Table134[[#This Row],[Index]]-B156)/B156</f>
        <v>-2.0415942344880558E-2</v>
      </c>
    </row>
    <row r="169" spans="1:4" x14ac:dyDescent="0.35">
      <c r="A169" s="17">
        <v>31229</v>
      </c>
      <c r="B169" s="58">
        <f>VLOOKUP(Table134[[#This Row],[Date]],database!A:I,8,)</f>
        <v>89.664699999999996</v>
      </c>
      <c r="C169" s="66">
        <f t="shared" si="2"/>
        <v>-1.7176047360731084E-2</v>
      </c>
      <c r="D169" s="66">
        <f>(Table134[[#This Row],[Index]]-B157)/B157</f>
        <v>-5.3244047713323125E-2</v>
      </c>
    </row>
    <row r="170" spans="1:4" x14ac:dyDescent="0.35">
      <c r="A170" s="17">
        <v>31260</v>
      </c>
      <c r="B170" s="58">
        <f>VLOOKUP(Table134[[#This Row],[Date]],database!A:I,8,)</f>
        <v>89.505200000000002</v>
      </c>
      <c r="C170" s="66">
        <f t="shared" si="2"/>
        <v>-1.7788494245783992E-3</v>
      </c>
      <c r="D170" s="66">
        <f>(Table134[[#This Row],[Index]]-B158)/B158</f>
        <v>-4.4918246550434367E-2</v>
      </c>
    </row>
    <row r="171" spans="1:4" x14ac:dyDescent="0.35">
      <c r="A171" s="17">
        <v>31291</v>
      </c>
      <c r="B171" s="58">
        <f>VLOOKUP(Table134[[#This Row],[Date]],database!A:I,8,)</f>
        <v>90.54</v>
      </c>
      <c r="C171" s="66">
        <f t="shared" si="2"/>
        <v>1.1561339452903274E-2</v>
      </c>
      <c r="D171" s="66">
        <f>(Table134[[#This Row],[Index]]-B159)/B159</f>
        <v>-4.00824422236499E-2</v>
      </c>
    </row>
    <row r="172" spans="1:4" x14ac:dyDescent="0.35">
      <c r="A172" s="17">
        <v>31321</v>
      </c>
      <c r="B172" s="58">
        <f>VLOOKUP(Table134[[#This Row],[Date]],database!A:I,8,)</f>
        <v>89.951099999999997</v>
      </c>
      <c r="C172" s="66">
        <f t="shared" si="2"/>
        <v>-6.5043074884030272E-3</v>
      </c>
      <c r="D172" s="66">
        <f>(Table134[[#This Row],[Index]]-B160)/B160</f>
        <v>-1.4157813923056031E-2</v>
      </c>
    </row>
    <row r="173" spans="1:4" x14ac:dyDescent="0.35">
      <c r="A173" s="17">
        <v>31352</v>
      </c>
      <c r="B173" s="58">
        <f>VLOOKUP(Table134[[#This Row],[Date]],database!A:I,8,)</f>
        <v>88.841899999999995</v>
      </c>
      <c r="C173" s="66">
        <f t="shared" si="2"/>
        <v>-1.233114436621674E-2</v>
      </c>
      <c r="D173" s="66">
        <f>(Table134[[#This Row],[Index]]-B161)/B161</f>
        <v>-2.6975551147857432E-2</v>
      </c>
    </row>
    <row r="174" spans="1:4" x14ac:dyDescent="0.35">
      <c r="A174" s="17">
        <v>31382</v>
      </c>
      <c r="B174" s="58">
        <f>VLOOKUP(Table134[[#This Row],[Date]],database!A:I,8,)</f>
        <v>90.679900000000004</v>
      </c>
      <c r="C174" s="66">
        <f t="shared" si="2"/>
        <v>2.0688436424705081E-2</v>
      </c>
      <c r="D174" s="66">
        <f>(Table134[[#This Row],[Index]]-B162)/B162</f>
        <v>-8.2876100339357075E-3</v>
      </c>
    </row>
    <row r="175" spans="1:4" x14ac:dyDescent="0.35">
      <c r="A175" s="17">
        <v>31413</v>
      </c>
      <c r="B175" s="58">
        <f>VLOOKUP(Table134[[#This Row],[Date]],database!A:I,8,)</f>
        <v>90.405199999999994</v>
      </c>
      <c r="C175" s="66">
        <f t="shared" si="2"/>
        <v>-3.0293372621718051E-3</v>
      </c>
      <c r="D175" s="66">
        <f>(Table134[[#This Row],[Index]]-B163)/B163</f>
        <v>1.2454489764606651E-2</v>
      </c>
    </row>
    <row r="176" spans="1:4" x14ac:dyDescent="0.35">
      <c r="A176" s="17">
        <v>31444</v>
      </c>
      <c r="B176" s="58">
        <f>VLOOKUP(Table134[[#This Row],[Date]],database!A:I,8,)</f>
        <v>89.166300000000007</v>
      </c>
      <c r="C176" s="66">
        <f t="shared" si="2"/>
        <v>-1.3703857742696113E-2</v>
      </c>
      <c r="D176" s="66">
        <f>(Table134[[#This Row],[Index]]-B164)/B164</f>
        <v>-1.9740132956765341E-2</v>
      </c>
    </row>
    <row r="177" spans="1:4" x14ac:dyDescent="0.35">
      <c r="A177" s="17">
        <v>31472</v>
      </c>
      <c r="B177" s="58">
        <f>VLOOKUP(Table134[[#This Row],[Date]],database!A:I,8,)</f>
        <v>86.772300000000001</v>
      </c>
      <c r="C177" s="66">
        <f t="shared" si="2"/>
        <v>-2.684870853674548E-2</v>
      </c>
      <c r="D177" s="66">
        <f>(Table134[[#This Row],[Index]]-B165)/B165</f>
        <v>-4.8530563103219126E-2</v>
      </c>
    </row>
    <row r="178" spans="1:4" x14ac:dyDescent="0.35">
      <c r="A178" s="17">
        <v>31503</v>
      </c>
      <c r="B178" s="58">
        <f>VLOOKUP(Table134[[#This Row],[Date]],database!A:I,8,)</f>
        <v>83.902699999999996</v>
      </c>
      <c r="C178" s="66">
        <f t="shared" si="2"/>
        <v>-3.3070461426054187E-2</v>
      </c>
      <c r="D178" s="66">
        <f>(Table134[[#This Row],[Index]]-B166)/B166</f>
        <v>-7.7477317007736274E-2</v>
      </c>
    </row>
    <row r="179" spans="1:4" x14ac:dyDescent="0.35">
      <c r="A179" s="17">
        <v>31533</v>
      </c>
      <c r="B179" s="58">
        <f>VLOOKUP(Table134[[#This Row],[Date]],database!A:I,8,)</f>
        <v>83.398099999999999</v>
      </c>
      <c r="C179" s="66">
        <f t="shared" si="2"/>
        <v>-6.0141092002998775E-3</v>
      </c>
      <c r="D179" s="66">
        <f>(Table134[[#This Row],[Index]]-B167)/B167</f>
        <v>-8.4771412611786043E-2</v>
      </c>
    </row>
    <row r="180" spans="1:4" x14ac:dyDescent="0.35">
      <c r="A180" s="17">
        <v>31564</v>
      </c>
      <c r="B180" s="58">
        <f>VLOOKUP(Table134[[#This Row],[Date]],database!A:I,8,)</f>
        <v>82.269900000000007</v>
      </c>
      <c r="C180" s="66">
        <f t="shared" si="2"/>
        <v>-1.3527886126902033E-2</v>
      </c>
      <c r="D180" s="66">
        <f>(Table134[[#This Row],[Index]]-B168)/B168</f>
        <v>-9.8231206916017083E-2</v>
      </c>
    </row>
    <row r="181" spans="1:4" x14ac:dyDescent="0.35">
      <c r="A181" s="17">
        <v>31594</v>
      </c>
      <c r="B181" s="58">
        <f>VLOOKUP(Table134[[#This Row],[Date]],database!A:I,8,)</f>
        <v>81.926299999999998</v>
      </c>
      <c r="C181" s="66">
        <f t="shared" si="2"/>
        <v>-4.1764971149838015E-3</v>
      </c>
      <c r="D181" s="66">
        <f>(Table134[[#This Row],[Index]]-B169)/B169</f>
        <v>-8.6303751643623403E-2</v>
      </c>
    </row>
    <row r="182" spans="1:4" x14ac:dyDescent="0.35">
      <c r="A182" s="17">
        <v>31625</v>
      </c>
      <c r="B182" s="58">
        <f>VLOOKUP(Table134[[#This Row],[Date]],database!A:I,8,)</f>
        <v>81.172899999999998</v>
      </c>
      <c r="C182" s="66">
        <f t="shared" si="2"/>
        <v>-9.1960701264428568E-3</v>
      </c>
      <c r="D182" s="66">
        <f>(Table134[[#This Row],[Index]]-B170)/B170</f>
        <v>-9.3092915271961896E-2</v>
      </c>
    </row>
    <row r="183" spans="1:4" x14ac:dyDescent="0.35">
      <c r="A183" s="17">
        <v>31656</v>
      </c>
      <c r="B183" s="58">
        <f>VLOOKUP(Table134[[#This Row],[Date]],database!A:I,8,)</f>
        <v>80.534899999999993</v>
      </c>
      <c r="C183" s="66">
        <f t="shared" si="2"/>
        <v>-7.8597660056497487E-3</v>
      </c>
      <c r="D183" s="66">
        <f>(Table134[[#This Row],[Index]]-B171)/B171</f>
        <v>-0.1105047492820854</v>
      </c>
    </row>
    <row r="184" spans="1:4" x14ac:dyDescent="0.35">
      <c r="A184" s="17">
        <v>31686</v>
      </c>
      <c r="B184" s="58">
        <f>VLOOKUP(Table134[[#This Row],[Date]],database!A:I,8,)</f>
        <v>81.063100000000006</v>
      </c>
      <c r="C184" s="66">
        <f t="shared" si="2"/>
        <v>6.558647244859106E-3</v>
      </c>
      <c r="D184" s="66">
        <f>(Table134[[#This Row],[Index]]-B172)/B172</f>
        <v>-9.8809241910326737E-2</v>
      </c>
    </row>
    <row r="185" spans="1:4" x14ac:dyDescent="0.35">
      <c r="A185" s="17">
        <v>31717</v>
      </c>
      <c r="B185" s="58">
        <f>VLOOKUP(Table134[[#This Row],[Date]],database!A:I,8,)</f>
        <v>82.037000000000006</v>
      </c>
      <c r="C185" s="66">
        <f t="shared" si="2"/>
        <v>1.2014097659724277E-2</v>
      </c>
      <c r="D185" s="66">
        <f>(Table134[[#This Row],[Index]]-B173)/B173</f>
        <v>-7.6595615357168065E-2</v>
      </c>
    </row>
    <row r="186" spans="1:4" x14ac:dyDescent="0.35">
      <c r="A186" s="17">
        <v>31747</v>
      </c>
      <c r="B186" s="58">
        <f>VLOOKUP(Table134[[#This Row],[Date]],database!A:I,8,)</f>
        <v>82.091999999999999</v>
      </c>
      <c r="C186" s="66">
        <f t="shared" si="2"/>
        <v>6.7042919658200084E-4</v>
      </c>
      <c r="D186" s="66">
        <f>(Table134[[#This Row],[Index]]-B174)/B174</f>
        <v>-9.4705662445591629E-2</v>
      </c>
    </row>
    <row r="187" spans="1:4" x14ac:dyDescent="0.35">
      <c r="A187" s="17">
        <v>31778</v>
      </c>
      <c r="B187" s="58">
        <f>VLOOKUP(Table134[[#This Row],[Date]],database!A:I,8,)</f>
        <v>82.789100000000005</v>
      </c>
      <c r="C187" s="66">
        <f t="shared" si="2"/>
        <v>8.4916922477220602E-3</v>
      </c>
      <c r="D187" s="66">
        <f>(Table134[[#This Row],[Index]]-B175)/B175</f>
        <v>-8.4244047908748496E-2</v>
      </c>
    </row>
    <row r="188" spans="1:4" x14ac:dyDescent="0.35">
      <c r="A188" s="17">
        <v>31809</v>
      </c>
      <c r="B188" s="58">
        <f>VLOOKUP(Table134[[#This Row],[Date]],database!A:I,8,)</f>
        <v>82.903499999999994</v>
      </c>
      <c r="C188" s="66">
        <f t="shared" si="2"/>
        <v>1.3818244189149897E-3</v>
      </c>
      <c r="D188" s="66">
        <f>(Table134[[#This Row],[Index]]-B176)/B176</f>
        <v>-7.0237298172067392E-2</v>
      </c>
    </row>
    <row r="189" spans="1:4" x14ac:dyDescent="0.35">
      <c r="A189" s="17">
        <v>31837</v>
      </c>
      <c r="B189" s="58">
        <f>VLOOKUP(Table134[[#This Row],[Date]],database!A:I,8,)</f>
        <v>82.504000000000005</v>
      </c>
      <c r="C189" s="66">
        <f t="shared" si="2"/>
        <v>-4.8188556574811914E-3</v>
      </c>
      <c r="D189" s="66">
        <f>(Table134[[#This Row],[Index]]-B177)/B177</f>
        <v>-4.9189660755794146E-2</v>
      </c>
    </row>
    <row r="190" spans="1:4" x14ac:dyDescent="0.35">
      <c r="A190" s="17">
        <v>31868</v>
      </c>
      <c r="B190" s="58">
        <f>VLOOKUP(Table134[[#This Row],[Date]],database!A:I,8,)</f>
        <v>83.109300000000005</v>
      </c>
      <c r="C190" s="66">
        <f t="shared" si="2"/>
        <v>7.3366139823523024E-3</v>
      </c>
      <c r="D190" s="66">
        <f>(Table134[[#This Row],[Index]]-B178)/B178</f>
        <v>-9.4561915170786066E-3</v>
      </c>
    </row>
    <row r="191" spans="1:4" x14ac:dyDescent="0.35">
      <c r="A191" s="17">
        <v>31898</v>
      </c>
      <c r="B191" s="58">
        <f>VLOOKUP(Table134[[#This Row],[Date]],database!A:I,8,)</f>
        <v>82.897300000000001</v>
      </c>
      <c r="C191" s="66">
        <f t="shared" si="2"/>
        <v>-2.5508577259103493E-3</v>
      </c>
      <c r="D191" s="66">
        <f>(Table134[[#This Row],[Index]]-B179)/B179</f>
        <v>-6.0049329660987255E-3</v>
      </c>
    </row>
    <row r="192" spans="1:4" x14ac:dyDescent="0.35">
      <c r="A192" s="17">
        <v>31929</v>
      </c>
      <c r="B192" s="58">
        <f>VLOOKUP(Table134[[#This Row],[Date]],database!A:I,8,)</f>
        <v>83.671999999999997</v>
      </c>
      <c r="C192" s="66">
        <f t="shared" si="2"/>
        <v>9.3452983390289734E-3</v>
      </c>
      <c r="D192" s="66">
        <f>(Table134[[#This Row],[Index]]-B180)/B180</f>
        <v>1.7042685113267307E-2</v>
      </c>
    </row>
    <row r="193" spans="1:4" x14ac:dyDescent="0.35">
      <c r="A193" s="17">
        <v>31959</v>
      </c>
      <c r="B193" s="58">
        <f>VLOOKUP(Table134[[#This Row],[Date]],database!A:I,8,)</f>
        <v>83.966099999999997</v>
      </c>
      <c r="C193" s="66">
        <f t="shared" si="2"/>
        <v>3.5149153838798242E-3</v>
      </c>
      <c r="D193" s="66">
        <f>(Table134[[#This Row],[Index]]-B181)/B181</f>
        <v>2.4897987581521435E-2</v>
      </c>
    </row>
    <row r="194" spans="1:4" x14ac:dyDescent="0.35">
      <c r="A194" s="17">
        <v>31990</v>
      </c>
      <c r="B194" s="58">
        <f>VLOOKUP(Table134[[#This Row],[Date]],database!A:I,8,)</f>
        <v>85.811700000000002</v>
      </c>
      <c r="C194" s="66">
        <f t="shared" si="2"/>
        <v>2.1980299192174035E-2</v>
      </c>
      <c r="D194" s="66">
        <f>(Table134[[#This Row],[Index]]-B182)/B182</f>
        <v>5.7147151327598296E-2</v>
      </c>
    </row>
    <row r="195" spans="1:4" x14ac:dyDescent="0.35">
      <c r="A195" s="17">
        <v>32021</v>
      </c>
      <c r="B195" s="58">
        <f>VLOOKUP(Table134[[#This Row],[Date]],database!A:I,8,)</f>
        <v>86.155600000000007</v>
      </c>
      <c r="C195" s="66">
        <f t="shared" si="2"/>
        <v>4.0076120156109507E-3</v>
      </c>
      <c r="D195" s="66">
        <f>(Table134[[#This Row],[Index]]-B183)/B183</f>
        <v>6.9792102554296506E-2</v>
      </c>
    </row>
    <row r="196" spans="1:4" x14ac:dyDescent="0.35">
      <c r="A196" s="17">
        <v>32051</v>
      </c>
      <c r="B196" s="58">
        <f>VLOOKUP(Table134[[#This Row],[Date]],database!A:I,8,)</f>
        <v>86.899000000000001</v>
      </c>
      <c r="C196" s="66">
        <f t="shared" si="2"/>
        <v>8.6285743468792475E-3</v>
      </c>
      <c r="D196" s="66">
        <f>(Table134[[#This Row],[Index]]-B184)/B184</f>
        <v>7.1992065440379102E-2</v>
      </c>
    </row>
    <row r="197" spans="1:4" x14ac:dyDescent="0.35">
      <c r="A197" s="17">
        <v>32082</v>
      </c>
      <c r="B197" s="58">
        <f>VLOOKUP(Table134[[#This Row],[Date]],database!A:I,8,)</f>
        <v>87.406899999999993</v>
      </c>
      <c r="C197" s="66">
        <f t="shared" si="2"/>
        <v>5.8447162798189733E-3</v>
      </c>
      <c r="D197" s="66">
        <f>(Table134[[#This Row],[Index]]-B185)/B185</f>
        <v>6.5457049867742437E-2</v>
      </c>
    </row>
    <row r="198" spans="1:4" x14ac:dyDescent="0.35">
      <c r="A198" s="17">
        <v>32112</v>
      </c>
      <c r="B198" s="58">
        <f>VLOOKUP(Table134[[#This Row],[Date]],database!A:I,8,)</f>
        <v>87.563999999999993</v>
      </c>
      <c r="C198" s="66">
        <f t="shared" si="2"/>
        <v>1.7973409421909725E-3</v>
      </c>
      <c r="D198" s="66">
        <f>(Table134[[#This Row],[Index]]-B186)/B186</f>
        <v>6.6656921502704219E-2</v>
      </c>
    </row>
    <row r="199" spans="1:4" x14ac:dyDescent="0.35">
      <c r="A199" s="17">
        <v>32143</v>
      </c>
      <c r="B199" s="58">
        <f>VLOOKUP(Table134[[#This Row],[Date]],database!A:I,8,)</f>
        <v>86.316400000000002</v>
      </c>
      <c r="C199" s="66">
        <f t="shared" si="2"/>
        <v>-1.4247864419167589E-2</v>
      </c>
      <c r="D199" s="66">
        <f>(Table134[[#This Row],[Index]]-B187)/B187</f>
        <v>4.2605850287054658E-2</v>
      </c>
    </row>
    <row r="200" spans="1:4" x14ac:dyDescent="0.35">
      <c r="A200" s="17">
        <v>32174</v>
      </c>
      <c r="B200" s="58">
        <f>VLOOKUP(Table134[[#This Row],[Date]],database!A:I,8,)</f>
        <v>86.656700000000001</v>
      </c>
      <c r="C200" s="66">
        <f t="shared" ref="C200:C263" si="3">B200/B199-1</f>
        <v>3.9424721142216068E-3</v>
      </c>
      <c r="D200" s="66">
        <f>(Table134[[#This Row],[Index]]-B188)/B188</f>
        <v>4.5271912524803018E-2</v>
      </c>
    </row>
    <row r="201" spans="1:4" x14ac:dyDescent="0.35">
      <c r="A201" s="17">
        <v>32203</v>
      </c>
      <c r="B201" s="58">
        <f>VLOOKUP(Table134[[#This Row],[Date]],database!A:I,8,)</f>
        <v>87.297899999999998</v>
      </c>
      <c r="C201" s="66">
        <f t="shared" si="3"/>
        <v>7.3993124593942916E-3</v>
      </c>
      <c r="D201" s="66">
        <f>(Table134[[#This Row],[Index]]-B189)/B189</f>
        <v>5.8105061572772149E-2</v>
      </c>
    </row>
    <row r="202" spans="1:4" x14ac:dyDescent="0.35">
      <c r="A202" s="17">
        <v>32234</v>
      </c>
      <c r="B202" s="58">
        <f>VLOOKUP(Table134[[#This Row],[Date]],database!A:I,8,)</f>
        <v>86.928299999999993</v>
      </c>
      <c r="C202" s="66">
        <f t="shared" si="3"/>
        <v>-4.2337788194218851E-3</v>
      </c>
      <c r="D202" s="66">
        <f>(Table134[[#This Row],[Index]]-B190)/B190</f>
        <v>4.5951536109677116E-2</v>
      </c>
    </row>
    <row r="203" spans="1:4" x14ac:dyDescent="0.35">
      <c r="A203" s="17">
        <v>32264</v>
      </c>
      <c r="B203" s="58">
        <f>VLOOKUP(Table134[[#This Row],[Date]],database!A:I,8,)</f>
        <v>87.638099999999994</v>
      </c>
      <c r="C203" s="66">
        <f t="shared" si="3"/>
        <v>8.1653500643634747E-3</v>
      </c>
      <c r="D203" s="66">
        <f>(Table134[[#This Row],[Index]]-B191)/B191</f>
        <v>5.718883485951886E-2</v>
      </c>
    </row>
    <row r="204" spans="1:4" x14ac:dyDescent="0.35">
      <c r="A204" s="17">
        <v>32295</v>
      </c>
      <c r="B204" s="58">
        <f>VLOOKUP(Table134[[#This Row],[Date]],database!A:I,8,)</f>
        <v>87.450699999999998</v>
      </c>
      <c r="C204" s="66">
        <f t="shared" si="3"/>
        <v>-2.138339375226006E-3</v>
      </c>
      <c r="D204" s="66">
        <f>(Table134[[#This Row],[Index]]-B192)/B192</f>
        <v>4.5160866239602263E-2</v>
      </c>
    </row>
    <row r="205" spans="1:4" x14ac:dyDescent="0.35">
      <c r="A205" s="17">
        <v>32325</v>
      </c>
      <c r="B205" s="58">
        <f>VLOOKUP(Table134[[#This Row],[Date]],database!A:I,8,)</f>
        <v>87.184100000000001</v>
      </c>
      <c r="C205" s="66">
        <f t="shared" si="3"/>
        <v>-3.0485747969998256E-3</v>
      </c>
      <c r="D205" s="66">
        <f>(Table134[[#This Row],[Index]]-B193)/B193</f>
        <v>3.8324990680762873E-2</v>
      </c>
    </row>
    <row r="206" spans="1:4" x14ac:dyDescent="0.35">
      <c r="A206" s="17">
        <v>32356</v>
      </c>
      <c r="B206" s="58">
        <f>VLOOKUP(Table134[[#This Row],[Date]],database!A:I,8,)</f>
        <v>87.369399999999999</v>
      </c>
      <c r="C206" s="66">
        <f t="shared" si="3"/>
        <v>2.1253875419944279E-3</v>
      </c>
      <c r="D206" s="66">
        <f>(Table134[[#This Row],[Index]]-B194)/B194</f>
        <v>1.8152536309151281E-2</v>
      </c>
    </row>
    <row r="207" spans="1:4" x14ac:dyDescent="0.35">
      <c r="A207" s="17">
        <v>32387</v>
      </c>
      <c r="B207" s="58">
        <f>VLOOKUP(Table134[[#This Row],[Date]],database!A:I,8,)</f>
        <v>86.264899999999997</v>
      </c>
      <c r="C207" s="66">
        <f t="shared" si="3"/>
        <v>-1.2641725821626371E-2</v>
      </c>
      <c r="D207" s="66">
        <f>(Table134[[#This Row],[Index]]-B195)/B195</f>
        <v>1.2686348885039441E-3</v>
      </c>
    </row>
    <row r="208" spans="1:4" x14ac:dyDescent="0.35">
      <c r="A208" s="17">
        <v>32417</v>
      </c>
      <c r="B208" s="58">
        <f>VLOOKUP(Table134[[#This Row],[Date]],database!A:I,8,)</f>
        <v>86.4315</v>
      </c>
      <c r="C208" s="66">
        <f t="shared" si="3"/>
        <v>1.9312605706376385E-3</v>
      </c>
      <c r="D208" s="66">
        <f>(Table134[[#This Row],[Index]]-B196)/B196</f>
        <v>-5.3798087434838273E-3</v>
      </c>
    </row>
    <row r="209" spans="1:4" x14ac:dyDescent="0.35">
      <c r="A209" s="17">
        <v>32448</v>
      </c>
      <c r="B209" s="58">
        <f>VLOOKUP(Table134[[#This Row],[Date]],database!A:I,8,)</f>
        <v>86.442700000000002</v>
      </c>
      <c r="C209" s="66">
        <f t="shared" si="3"/>
        <v>1.2958238605143002E-4</v>
      </c>
      <c r="D209" s="66">
        <f>(Table134[[#This Row],[Index]]-B197)/B197</f>
        <v>-1.103116573176707E-2</v>
      </c>
    </row>
    <row r="210" spans="1:4" x14ac:dyDescent="0.35">
      <c r="A210" s="17">
        <v>32478</v>
      </c>
      <c r="B210" s="58">
        <f>VLOOKUP(Table134[[#This Row],[Date]],database!A:I,8,)</f>
        <v>86.323700000000002</v>
      </c>
      <c r="C210" s="66">
        <f t="shared" si="3"/>
        <v>-1.3766344642173189E-3</v>
      </c>
      <c r="D210" s="66">
        <f>(Table134[[#This Row],[Index]]-B198)/B198</f>
        <v>-1.4164496825179191E-2</v>
      </c>
    </row>
    <row r="211" spans="1:4" x14ac:dyDescent="0.35">
      <c r="A211" s="17">
        <v>32509</v>
      </c>
      <c r="B211" s="58">
        <f>VLOOKUP(Table134[[#This Row],[Date]],database!A:I,8,)</f>
        <v>86.136200000000002</v>
      </c>
      <c r="C211" s="66">
        <f t="shared" si="3"/>
        <v>-2.1720570364801572E-3</v>
      </c>
      <c r="D211" s="66">
        <f>(Table134[[#This Row],[Index]]-B199)/B199</f>
        <v>-2.08766816039593E-3</v>
      </c>
    </row>
    <row r="212" spans="1:4" x14ac:dyDescent="0.35">
      <c r="A212" s="17">
        <v>32540</v>
      </c>
      <c r="B212" s="58">
        <f>VLOOKUP(Table134[[#This Row],[Date]],database!A:I,8,)</f>
        <v>84.578299999999999</v>
      </c>
      <c r="C212" s="66">
        <f t="shared" si="3"/>
        <v>-1.8086472354248317E-2</v>
      </c>
      <c r="D212" s="66">
        <f>(Table134[[#This Row],[Index]]-B200)/B200</f>
        <v>-2.3984296655653884E-2</v>
      </c>
    </row>
    <row r="213" spans="1:4" x14ac:dyDescent="0.35">
      <c r="A213" s="17">
        <v>32568</v>
      </c>
      <c r="B213" s="58">
        <f>VLOOKUP(Table134[[#This Row],[Date]],database!A:I,8,)</f>
        <v>85.213999999999999</v>
      </c>
      <c r="C213" s="66">
        <f t="shared" si="3"/>
        <v>7.5161122888494081E-3</v>
      </c>
      <c r="D213" s="66">
        <f>(Table134[[#This Row],[Index]]-B201)/B201</f>
        <v>-2.3871135502686776E-2</v>
      </c>
    </row>
    <row r="214" spans="1:4" x14ac:dyDescent="0.35">
      <c r="A214" s="17">
        <v>32599</v>
      </c>
      <c r="B214" s="58">
        <f>VLOOKUP(Table134[[#This Row],[Date]],database!A:I,8,)</f>
        <v>86.948899999999995</v>
      </c>
      <c r="C214" s="66">
        <f t="shared" si="3"/>
        <v>2.0359330626422922E-2</v>
      </c>
      <c r="D214" s="66">
        <f>(Table134[[#This Row],[Index]]-B202)/B202</f>
        <v>2.3697691085643836E-4</v>
      </c>
    </row>
    <row r="215" spans="1:4" x14ac:dyDescent="0.35">
      <c r="A215" s="17">
        <v>32629</v>
      </c>
      <c r="B215" s="58">
        <f>VLOOKUP(Table134[[#This Row],[Date]],database!A:I,8,)</f>
        <v>87.232900000000001</v>
      </c>
      <c r="C215" s="66">
        <f t="shared" si="3"/>
        <v>3.2662862899934808E-3</v>
      </c>
      <c r="D215" s="66">
        <f>(Table134[[#This Row],[Index]]-B203)/B203</f>
        <v>-4.6235598444054997E-3</v>
      </c>
    </row>
    <row r="216" spans="1:4" x14ac:dyDescent="0.35">
      <c r="A216" s="17">
        <v>32660</v>
      </c>
      <c r="B216" s="58">
        <f>VLOOKUP(Table134[[#This Row],[Date]],database!A:I,8,)</f>
        <v>86.095399999999998</v>
      </c>
      <c r="C216" s="66">
        <f t="shared" si="3"/>
        <v>-1.303980493598178E-2</v>
      </c>
      <c r="D216" s="66">
        <f>(Table134[[#This Row],[Index]]-B204)/B204</f>
        <v>-1.5497874802603064E-2</v>
      </c>
    </row>
    <row r="217" spans="1:4" x14ac:dyDescent="0.35">
      <c r="A217" s="17">
        <v>32690</v>
      </c>
      <c r="B217" s="58">
        <f>VLOOKUP(Table134[[#This Row],[Date]],database!A:I,8,)</f>
        <v>85.641800000000003</v>
      </c>
      <c r="C217" s="66">
        <f t="shared" si="3"/>
        <v>-5.2685741630794647E-3</v>
      </c>
      <c r="D217" s="66">
        <f>(Table134[[#This Row],[Index]]-B205)/B205</f>
        <v>-1.7690152218122309E-2</v>
      </c>
    </row>
    <row r="218" spans="1:4" x14ac:dyDescent="0.35">
      <c r="A218" s="17">
        <v>32721</v>
      </c>
      <c r="B218" s="58">
        <f>VLOOKUP(Table134[[#This Row],[Date]],database!A:I,8,)</f>
        <v>86.481800000000007</v>
      </c>
      <c r="C218" s="66">
        <f t="shared" si="3"/>
        <v>9.8082945477560024E-3</v>
      </c>
      <c r="D218" s="66">
        <f>(Table134[[#This Row],[Index]]-B206)/B206</f>
        <v>-1.0159163276845119E-2</v>
      </c>
    </row>
    <row r="219" spans="1:4" x14ac:dyDescent="0.35">
      <c r="A219" s="17">
        <v>32752</v>
      </c>
      <c r="B219" s="58">
        <f>VLOOKUP(Table134[[#This Row],[Date]],database!A:I,8,)</f>
        <v>86.465400000000002</v>
      </c>
      <c r="C219" s="66">
        <f t="shared" si="3"/>
        <v>-1.8963527586157714E-4</v>
      </c>
      <c r="D219" s="66">
        <f>(Table134[[#This Row],[Index]]-B207)/B207</f>
        <v>2.324236160941533E-3</v>
      </c>
    </row>
    <row r="220" spans="1:4" x14ac:dyDescent="0.35">
      <c r="A220" s="17">
        <v>32782</v>
      </c>
      <c r="B220" s="58">
        <f>VLOOKUP(Table134[[#This Row],[Date]],database!A:I,8,)</f>
        <v>85.786799999999999</v>
      </c>
      <c r="C220" s="66">
        <f t="shared" si="3"/>
        <v>-7.8482259956005329E-3</v>
      </c>
      <c r="D220" s="66">
        <f>(Table134[[#This Row],[Index]]-B208)/B208</f>
        <v>-7.4590860970826641E-3</v>
      </c>
    </row>
    <row r="221" spans="1:4" x14ac:dyDescent="0.35">
      <c r="A221" s="17">
        <v>32813</v>
      </c>
      <c r="B221" s="58">
        <f>VLOOKUP(Table134[[#This Row],[Date]],database!A:I,8,)</f>
        <v>86.437799999999996</v>
      </c>
      <c r="C221" s="66">
        <f t="shared" si="3"/>
        <v>7.5885800612680576E-3</v>
      </c>
      <c r="D221" s="66">
        <f>(Table134[[#This Row],[Index]]-B209)/B209</f>
        <v>-5.6684948526669618E-5</v>
      </c>
    </row>
    <row r="222" spans="1:4" x14ac:dyDescent="0.35">
      <c r="A222" s="17">
        <v>32843</v>
      </c>
      <c r="B222" s="58">
        <f>VLOOKUP(Table134[[#This Row],[Date]],database!A:I,8,)</f>
        <v>84.064599999999999</v>
      </c>
      <c r="C222" s="66">
        <f t="shared" si="3"/>
        <v>-2.7455580776003075E-2</v>
      </c>
      <c r="D222" s="66">
        <f>(Table134[[#This Row],[Index]]-B210)/B210</f>
        <v>-2.6170101605932132E-2</v>
      </c>
    </row>
    <row r="223" spans="1:4" x14ac:dyDescent="0.35">
      <c r="A223" s="17">
        <v>32874</v>
      </c>
      <c r="B223" s="58">
        <f>VLOOKUP(Table134[[#This Row],[Date]],database!A:I,8,)</f>
        <v>88.0792</v>
      </c>
      <c r="C223" s="66">
        <f t="shared" si="3"/>
        <v>4.7756130404474684E-2</v>
      </c>
      <c r="D223" s="66">
        <f>(Table134[[#This Row],[Index]]-B211)/B211</f>
        <v>2.2557298789591344E-2</v>
      </c>
    </row>
    <row r="224" spans="1:4" x14ac:dyDescent="0.35">
      <c r="A224" s="17">
        <v>32905</v>
      </c>
      <c r="B224" s="58">
        <f>VLOOKUP(Table134[[#This Row],[Date]],database!A:I,8,)</f>
        <v>87.322199999999995</v>
      </c>
      <c r="C224" s="66">
        <f t="shared" si="3"/>
        <v>-8.5945376433936849E-3</v>
      </c>
      <c r="D224" s="66">
        <f>(Table134[[#This Row],[Index]]-B212)/B212</f>
        <v>3.2442127590646734E-2</v>
      </c>
    </row>
    <row r="225" spans="1:4" x14ac:dyDescent="0.35">
      <c r="A225" s="17">
        <v>32933</v>
      </c>
      <c r="B225" s="58">
        <f>VLOOKUP(Table134[[#This Row],[Date]],database!A:I,8,)</f>
        <v>86.6023</v>
      </c>
      <c r="C225" s="66">
        <f t="shared" si="3"/>
        <v>-8.2441807467058537E-3</v>
      </c>
      <c r="D225" s="66">
        <f>(Table134[[#This Row],[Index]]-B213)/B213</f>
        <v>1.6291923862276163E-2</v>
      </c>
    </row>
    <row r="226" spans="1:4" x14ac:dyDescent="0.35">
      <c r="A226" s="17">
        <v>32964</v>
      </c>
      <c r="B226" s="58">
        <f>VLOOKUP(Table134[[#This Row],[Date]],database!A:I,8,)</f>
        <v>86.960499999999996</v>
      </c>
      <c r="C226" s="66">
        <f t="shared" si="3"/>
        <v>4.1361488089808329E-3</v>
      </c>
      <c r="D226" s="66">
        <f>(Table134[[#This Row],[Index]]-B214)/B214</f>
        <v>1.3341169353495429E-4</v>
      </c>
    </row>
    <row r="227" spans="1:4" x14ac:dyDescent="0.35">
      <c r="A227" s="17">
        <v>32994</v>
      </c>
      <c r="B227" s="58">
        <f>VLOOKUP(Table134[[#This Row],[Date]],database!A:I,8,)</f>
        <v>86.871899999999997</v>
      </c>
      <c r="C227" s="66">
        <f t="shared" si="3"/>
        <v>-1.0188533874575523E-3</v>
      </c>
      <c r="D227" s="66">
        <f>(Table134[[#This Row],[Index]]-B215)/B215</f>
        <v>-4.1383468851775443E-3</v>
      </c>
    </row>
    <row r="228" spans="1:4" x14ac:dyDescent="0.35">
      <c r="A228" s="17">
        <v>33025</v>
      </c>
      <c r="B228" s="58">
        <f>VLOOKUP(Table134[[#This Row],[Date]],database!A:I,8,)</f>
        <v>86.618300000000005</v>
      </c>
      <c r="C228" s="66">
        <f t="shared" si="3"/>
        <v>-2.9192408592421115E-3</v>
      </c>
      <c r="D228" s="66">
        <f>(Table134[[#This Row],[Index]]-B216)/B216</f>
        <v>6.073495215772353E-3</v>
      </c>
    </row>
    <row r="229" spans="1:4" x14ac:dyDescent="0.35">
      <c r="A229" s="17">
        <v>33055</v>
      </c>
      <c r="B229" s="58">
        <f>VLOOKUP(Table134[[#This Row],[Date]],database!A:I,8,)</f>
        <v>87.184899999999999</v>
      </c>
      <c r="C229" s="66">
        <f t="shared" si="3"/>
        <v>6.5413428801996965E-3</v>
      </c>
      <c r="D229" s="66">
        <f>(Table134[[#This Row],[Index]]-B217)/B217</f>
        <v>1.8018070615050074E-2</v>
      </c>
    </row>
    <row r="230" spans="1:4" x14ac:dyDescent="0.35">
      <c r="A230" s="17">
        <v>33086</v>
      </c>
      <c r="B230" s="58">
        <f>VLOOKUP(Table134[[#This Row],[Date]],database!A:I,8,)</f>
        <v>86.820099999999996</v>
      </c>
      <c r="C230" s="66">
        <f t="shared" si="3"/>
        <v>-4.1842107979708221E-3</v>
      </c>
      <c r="D230" s="66">
        <f>(Table134[[#This Row],[Index]]-B218)/B218</f>
        <v>3.9118057209723851E-3</v>
      </c>
    </row>
    <row r="231" spans="1:4" x14ac:dyDescent="0.35">
      <c r="A231" s="17">
        <v>33117</v>
      </c>
      <c r="B231" s="58">
        <f>VLOOKUP(Table134[[#This Row],[Date]],database!A:I,8,)</f>
        <v>87.307900000000004</v>
      </c>
      <c r="C231" s="66">
        <f t="shared" si="3"/>
        <v>5.6185146066407565E-3</v>
      </c>
      <c r="D231" s="66">
        <f>(Table134[[#This Row],[Index]]-B219)/B219</f>
        <v>9.7437819058259264E-3</v>
      </c>
    </row>
    <row r="232" spans="1:4" x14ac:dyDescent="0.35">
      <c r="A232" s="17">
        <v>33147</v>
      </c>
      <c r="B232" s="58">
        <f>VLOOKUP(Table134[[#This Row],[Date]],database!A:I,8,)</f>
        <v>88.165099999999995</v>
      </c>
      <c r="C232" s="66">
        <f t="shared" si="3"/>
        <v>9.8181264238401678E-3</v>
      </c>
      <c r="D232" s="66">
        <f>(Table134[[#This Row],[Index]]-B220)/B220</f>
        <v>2.7723379354399464E-2</v>
      </c>
    </row>
    <row r="233" spans="1:4" x14ac:dyDescent="0.35">
      <c r="A233" s="17">
        <v>33178</v>
      </c>
      <c r="B233" s="58">
        <f>VLOOKUP(Table134[[#This Row],[Date]],database!A:I,8,)</f>
        <v>87.538399999999996</v>
      </c>
      <c r="C233" s="66">
        <f t="shared" si="3"/>
        <v>-7.1082548536779422E-3</v>
      </c>
      <c r="D233" s="66">
        <f>(Table134[[#This Row],[Index]]-B221)/B221</f>
        <v>1.2732855301731419E-2</v>
      </c>
    </row>
    <row r="234" spans="1:4" x14ac:dyDescent="0.35">
      <c r="A234" s="17">
        <v>33208</v>
      </c>
      <c r="B234" s="58">
        <f>VLOOKUP(Table134[[#This Row],[Date]],database!A:I,8,)</f>
        <v>86.162400000000005</v>
      </c>
      <c r="C234" s="66">
        <f t="shared" si="3"/>
        <v>-1.5718815971048072E-2</v>
      </c>
      <c r="D234" s="66">
        <f>(Table134[[#This Row],[Index]]-B222)/B222</f>
        <v>2.4954618234072447E-2</v>
      </c>
    </row>
    <row r="235" spans="1:4" x14ac:dyDescent="0.35">
      <c r="A235" s="17">
        <v>33239</v>
      </c>
      <c r="B235" s="58">
        <f>VLOOKUP(Table134[[#This Row],[Date]],database!A:I,8,)</f>
        <v>86.161000000000001</v>
      </c>
      <c r="C235" s="66">
        <f t="shared" si="3"/>
        <v>-1.6248386767392375E-5</v>
      </c>
      <c r="D235" s="66">
        <f>(Table134[[#This Row],[Index]]-B223)/B223</f>
        <v>-2.1778126958464639E-2</v>
      </c>
    </row>
    <row r="236" spans="1:4" x14ac:dyDescent="0.35">
      <c r="A236" s="17">
        <v>33270</v>
      </c>
      <c r="B236" s="58">
        <f>VLOOKUP(Table134[[#This Row],[Date]],database!A:I,8,)</f>
        <v>87.495699999999999</v>
      </c>
      <c r="C236" s="66">
        <f t="shared" si="3"/>
        <v>1.549076728450216E-2</v>
      </c>
      <c r="D236" s="66">
        <f>(Table134[[#This Row],[Index]]-B224)/B224</f>
        <v>1.9868945125066043E-3</v>
      </c>
    </row>
    <row r="237" spans="1:4" x14ac:dyDescent="0.35">
      <c r="A237" s="17">
        <v>33298</v>
      </c>
      <c r="B237" s="58">
        <f>VLOOKUP(Table134[[#This Row],[Date]],database!A:I,8,)</f>
        <v>86.550700000000006</v>
      </c>
      <c r="C237" s="66">
        <f t="shared" si="3"/>
        <v>-1.0800530768940608E-2</v>
      </c>
      <c r="D237" s="66">
        <f>(Table134[[#This Row],[Index]]-B225)/B225</f>
        <v>-5.9582713161190209E-4</v>
      </c>
    </row>
    <row r="238" spans="1:4" x14ac:dyDescent="0.35">
      <c r="A238" s="17">
        <v>33329</v>
      </c>
      <c r="B238" s="58">
        <f>VLOOKUP(Table134[[#This Row],[Date]],database!A:I,8,)</f>
        <v>85.691900000000004</v>
      </c>
      <c r="C238" s="66">
        <f t="shared" si="3"/>
        <v>-9.9225078480013051E-3</v>
      </c>
      <c r="D238" s="66">
        <f>(Table134[[#This Row],[Index]]-B226)/B226</f>
        <v>-1.4588232588358993E-2</v>
      </c>
    </row>
    <row r="239" spans="1:4" x14ac:dyDescent="0.35">
      <c r="A239" s="17">
        <v>33359</v>
      </c>
      <c r="B239" s="58">
        <f>VLOOKUP(Table134[[#This Row],[Date]],database!A:I,8,)</f>
        <v>85.439099999999996</v>
      </c>
      <c r="C239" s="66">
        <f t="shared" si="3"/>
        <v>-2.9501038021096937E-3</v>
      </c>
      <c r="D239" s="66">
        <f>(Table134[[#This Row],[Index]]-B227)/B227</f>
        <v>-1.6493250406633218E-2</v>
      </c>
    </row>
    <row r="240" spans="1:4" x14ac:dyDescent="0.35">
      <c r="A240" s="17">
        <v>33390</v>
      </c>
      <c r="B240" s="58">
        <f>VLOOKUP(Table134[[#This Row],[Date]],database!A:I,8,)</f>
        <v>85.608099999999993</v>
      </c>
      <c r="C240" s="66">
        <f t="shared" si="3"/>
        <v>1.9780170905356886E-3</v>
      </c>
      <c r="D240" s="66">
        <f>(Table134[[#This Row],[Index]]-B228)/B228</f>
        <v>-1.1662662508961866E-2</v>
      </c>
    </row>
    <row r="241" spans="1:4" x14ac:dyDescent="0.35">
      <c r="A241" s="17">
        <v>33420</v>
      </c>
      <c r="B241" s="58">
        <f>VLOOKUP(Table134[[#This Row],[Date]],database!A:I,8,)</f>
        <v>84.717699999999994</v>
      </c>
      <c r="C241" s="66">
        <f t="shared" si="3"/>
        <v>-1.0400884962988299E-2</v>
      </c>
      <c r="D241" s="66">
        <f>(Table134[[#This Row],[Index]]-B229)/B229</f>
        <v>-2.829847829153908E-2</v>
      </c>
    </row>
    <row r="242" spans="1:4" x14ac:dyDescent="0.35">
      <c r="A242" s="17">
        <v>33451</v>
      </c>
      <c r="B242" s="58">
        <f>VLOOKUP(Table134[[#This Row],[Date]],database!A:I,8,)</f>
        <v>84.579700000000003</v>
      </c>
      <c r="C242" s="66">
        <f t="shared" si="3"/>
        <v>-1.6289394069951557E-3</v>
      </c>
      <c r="D242" s="66">
        <f>(Table134[[#This Row],[Index]]-B230)/B230</f>
        <v>-2.5805084306514205E-2</v>
      </c>
    </row>
    <row r="243" spans="1:4" x14ac:dyDescent="0.35">
      <c r="A243" s="17">
        <v>33482</v>
      </c>
      <c r="B243" s="58">
        <f>VLOOKUP(Table134[[#This Row],[Date]],database!A:I,8,)</f>
        <v>84.683000000000007</v>
      </c>
      <c r="C243" s="66">
        <f t="shared" si="3"/>
        <v>1.2213332513593134E-3</v>
      </c>
      <c r="D243" s="66">
        <f>(Table134[[#This Row],[Index]]-B231)/B231</f>
        <v>-3.0064862400767819E-2</v>
      </c>
    </row>
    <row r="244" spans="1:4" x14ac:dyDescent="0.35">
      <c r="A244" s="17">
        <v>33512</v>
      </c>
      <c r="B244" s="58">
        <f>VLOOKUP(Table134[[#This Row],[Date]],database!A:I,8,)</f>
        <v>84.558199999999999</v>
      </c>
      <c r="C244" s="66">
        <f t="shared" si="3"/>
        <v>-1.4737314455086636E-3</v>
      </c>
      <c r="D244" s="66">
        <f>(Table134[[#This Row],[Index]]-B232)/B232</f>
        <v>-4.0910745862024728E-2</v>
      </c>
    </row>
    <row r="245" spans="1:4" x14ac:dyDescent="0.35">
      <c r="A245" s="17">
        <v>33543</v>
      </c>
      <c r="B245" s="58">
        <f>VLOOKUP(Table134[[#This Row],[Date]],database!A:I,8,)</f>
        <v>83.850700000000003</v>
      </c>
      <c r="C245" s="66">
        <f t="shared" si="3"/>
        <v>-8.3670182194038878E-3</v>
      </c>
      <c r="D245" s="66">
        <f>(Table134[[#This Row],[Index]]-B233)/B233</f>
        <v>-4.2126655273571283E-2</v>
      </c>
    </row>
    <row r="246" spans="1:4" x14ac:dyDescent="0.35">
      <c r="A246" s="17">
        <v>33573</v>
      </c>
      <c r="B246" s="58">
        <f>VLOOKUP(Table134[[#This Row],[Date]],database!A:I,8,)</f>
        <v>84.302800000000005</v>
      </c>
      <c r="C246" s="66">
        <f t="shared" si="3"/>
        <v>5.3917260082503304E-3</v>
      </c>
      <c r="D246" s="66">
        <f>(Table134[[#This Row],[Index]]-B234)/B234</f>
        <v>-2.1582500023211985E-2</v>
      </c>
    </row>
    <row r="247" spans="1:4" x14ac:dyDescent="0.35">
      <c r="A247" s="17">
        <v>33604</v>
      </c>
      <c r="B247" s="58">
        <f>VLOOKUP(Table134[[#This Row],[Date]],database!A:I,8,)</f>
        <v>84.111599999999996</v>
      </c>
      <c r="C247" s="66">
        <f t="shared" si="3"/>
        <v>-2.2680148227580688E-3</v>
      </c>
      <c r="D247" s="66">
        <f>(Table134[[#This Row],[Index]]-B235)/B235</f>
        <v>-2.3785703508548018E-2</v>
      </c>
    </row>
    <row r="248" spans="1:4" x14ac:dyDescent="0.35">
      <c r="A248" s="17">
        <v>33635</v>
      </c>
      <c r="B248" s="58">
        <f>VLOOKUP(Table134[[#This Row],[Date]],database!A:I,8,)</f>
        <v>83.043300000000002</v>
      </c>
      <c r="C248" s="66">
        <f t="shared" si="3"/>
        <v>-1.2700982979755415E-2</v>
      </c>
      <c r="D248" s="66">
        <f>(Table134[[#This Row],[Index]]-B236)/B236</f>
        <v>-5.0887072164689205E-2</v>
      </c>
    </row>
    <row r="249" spans="1:4" x14ac:dyDescent="0.35">
      <c r="A249" s="17">
        <v>33664</v>
      </c>
      <c r="B249" s="58">
        <f>VLOOKUP(Table134[[#This Row],[Date]],database!A:I,8,)</f>
        <v>83.322400000000002</v>
      </c>
      <c r="C249" s="66">
        <f t="shared" si="3"/>
        <v>3.3608972668475179E-3</v>
      </c>
      <c r="D249" s="66">
        <f>(Table134[[#This Row],[Index]]-B237)/B237</f>
        <v>-3.7299525018284131E-2</v>
      </c>
    </row>
    <row r="250" spans="1:4" x14ac:dyDescent="0.35">
      <c r="A250" s="17">
        <v>33695</v>
      </c>
      <c r="B250" s="58">
        <f>VLOOKUP(Table134[[#This Row],[Date]],database!A:I,8,)</f>
        <v>84.277299999999997</v>
      </c>
      <c r="C250" s="66">
        <f t="shared" si="3"/>
        <v>1.1460303591831256E-2</v>
      </c>
      <c r="D250" s="66">
        <f>(Table134[[#This Row],[Index]]-B238)/B238</f>
        <v>-1.6507978000254483E-2</v>
      </c>
    </row>
    <row r="251" spans="1:4" x14ac:dyDescent="0.35">
      <c r="A251" s="17">
        <v>33725</v>
      </c>
      <c r="B251" s="58">
        <f>VLOOKUP(Table134[[#This Row],[Date]],database!A:I,8,)</f>
        <v>84.096400000000003</v>
      </c>
      <c r="C251" s="66">
        <f t="shared" si="3"/>
        <v>-2.1464854711765735E-3</v>
      </c>
      <c r="D251" s="66">
        <f>(Table134[[#This Row],[Index]]-B239)/B239</f>
        <v>-1.5715287263091415E-2</v>
      </c>
    </row>
    <row r="252" spans="1:4" x14ac:dyDescent="0.35">
      <c r="A252" s="17">
        <v>33756</v>
      </c>
      <c r="B252" s="58">
        <f>VLOOKUP(Table134[[#This Row],[Date]],database!A:I,8,)</f>
        <v>83.197800000000001</v>
      </c>
      <c r="C252" s="66">
        <f t="shared" si="3"/>
        <v>-1.0685356329165119E-2</v>
      </c>
      <c r="D252" s="66">
        <f>(Table134[[#This Row],[Index]]-B240)/B240</f>
        <v>-2.8155046076247369E-2</v>
      </c>
    </row>
    <row r="253" spans="1:4" x14ac:dyDescent="0.35">
      <c r="A253" s="17">
        <v>33786</v>
      </c>
      <c r="B253" s="58">
        <f>VLOOKUP(Table134[[#This Row],[Date]],database!A:I,8,)</f>
        <v>84.300700000000006</v>
      </c>
      <c r="C253" s="66">
        <f t="shared" si="3"/>
        <v>1.3256360144138446E-2</v>
      </c>
      <c r="D253" s="66">
        <f>(Table134[[#This Row],[Index]]-B241)/B241</f>
        <v>-4.922229947224575E-3</v>
      </c>
    </row>
    <row r="254" spans="1:4" x14ac:dyDescent="0.35">
      <c r="A254" s="17">
        <v>33817</v>
      </c>
      <c r="B254" s="58">
        <f>VLOOKUP(Table134[[#This Row],[Date]],database!A:I,8,)</f>
        <v>82.903599999999997</v>
      </c>
      <c r="C254" s="66">
        <f t="shared" si="3"/>
        <v>-1.6572816121337208E-2</v>
      </c>
      <c r="D254" s="66">
        <f>(Table134[[#This Row],[Index]]-B242)/B242</f>
        <v>-1.9816811835464125E-2</v>
      </c>
    </row>
    <row r="255" spans="1:4" x14ac:dyDescent="0.35">
      <c r="A255" s="17">
        <v>33848</v>
      </c>
      <c r="B255" s="58">
        <f>VLOOKUP(Table134[[#This Row],[Date]],database!A:I,8,)</f>
        <v>83.454400000000007</v>
      </c>
      <c r="C255" s="66">
        <f t="shared" si="3"/>
        <v>6.6438610627284067E-3</v>
      </c>
      <c r="D255" s="66">
        <f>(Table134[[#This Row],[Index]]-B243)/B243</f>
        <v>-1.4508224791280423E-2</v>
      </c>
    </row>
    <row r="256" spans="1:4" x14ac:dyDescent="0.35">
      <c r="A256" s="17">
        <v>33878</v>
      </c>
      <c r="B256" s="58">
        <f>VLOOKUP(Table134[[#This Row],[Date]],database!A:I,8,)</f>
        <v>83.863100000000003</v>
      </c>
      <c r="C256" s="66">
        <f t="shared" si="3"/>
        <v>4.8972852240265485E-3</v>
      </c>
      <c r="D256" s="66">
        <f>(Table134[[#This Row],[Index]]-B244)/B244</f>
        <v>-8.2203736597987725E-3</v>
      </c>
    </row>
    <row r="257" spans="1:4" x14ac:dyDescent="0.35">
      <c r="A257" s="17">
        <v>33909</v>
      </c>
      <c r="B257" s="58">
        <f>VLOOKUP(Table134[[#This Row],[Date]],database!A:I,8,)</f>
        <v>83.755499999999998</v>
      </c>
      <c r="C257" s="66">
        <f t="shared" si="3"/>
        <v>-1.2830434362670617E-3</v>
      </c>
      <c r="D257" s="66">
        <f>(Table134[[#This Row],[Index]]-B245)/B245</f>
        <v>-1.1353512850817643E-3</v>
      </c>
    </row>
    <row r="258" spans="1:4" x14ac:dyDescent="0.35">
      <c r="A258" s="17">
        <v>33939</v>
      </c>
      <c r="B258" s="58">
        <f>VLOOKUP(Table134[[#This Row],[Date]],database!A:I,8,)</f>
        <v>84.058999999999997</v>
      </c>
      <c r="C258" s="66">
        <f t="shared" si="3"/>
        <v>3.6236426264544264E-3</v>
      </c>
      <c r="D258" s="66">
        <f>(Table134[[#This Row],[Index]]-B246)/B246</f>
        <v>-2.8919561390607111E-3</v>
      </c>
    </row>
    <row r="259" spans="1:4" x14ac:dyDescent="0.35">
      <c r="A259" s="17">
        <v>33970</v>
      </c>
      <c r="B259" s="58">
        <f>VLOOKUP(Table134[[#This Row],[Date]],database!A:I,8,)</f>
        <v>83.631600000000006</v>
      </c>
      <c r="C259" s="66">
        <f t="shared" si="3"/>
        <v>-5.0845239653100061E-3</v>
      </c>
      <c r="D259" s="66">
        <f>(Table134[[#This Row],[Index]]-B247)/B247</f>
        <v>-5.7067039504656884E-3</v>
      </c>
    </row>
    <row r="260" spans="1:4" x14ac:dyDescent="0.35">
      <c r="A260" s="17">
        <v>34001</v>
      </c>
      <c r="B260" s="58">
        <f>VLOOKUP(Table134[[#This Row],[Date]],database!A:I,8,)</f>
        <v>83.215999999999994</v>
      </c>
      <c r="C260" s="66">
        <f t="shared" si="3"/>
        <v>-4.9694134752893415E-3</v>
      </c>
      <c r="D260" s="66">
        <f>(Table134[[#This Row],[Index]]-B248)/B248</f>
        <v>2.079637971997643E-3</v>
      </c>
    </row>
    <row r="261" spans="1:4" x14ac:dyDescent="0.35">
      <c r="A261" s="17">
        <v>34029</v>
      </c>
      <c r="B261" s="58">
        <f>VLOOKUP(Table134[[#This Row],[Date]],database!A:I,8,)</f>
        <v>82.6708</v>
      </c>
      <c r="C261" s="66">
        <f t="shared" si="3"/>
        <v>-6.5516246875599871E-3</v>
      </c>
      <c r="D261" s="66">
        <f>(Table134[[#This Row],[Index]]-B249)/B249</f>
        <v>-7.820226013653014E-3</v>
      </c>
    </row>
    <row r="262" spans="1:4" x14ac:dyDescent="0.35">
      <c r="A262" s="17">
        <v>34060</v>
      </c>
      <c r="B262" s="58">
        <f>VLOOKUP(Table134[[#This Row],[Date]],database!A:I,8,)</f>
        <v>82.782799999999995</v>
      </c>
      <c r="C262" s="66">
        <f t="shared" si="3"/>
        <v>1.3547709711287936E-3</v>
      </c>
      <c r="D262" s="66">
        <f>(Table134[[#This Row],[Index]]-B250)/B250</f>
        <v>-1.7733126239212721E-2</v>
      </c>
    </row>
    <row r="263" spans="1:4" x14ac:dyDescent="0.35">
      <c r="A263" s="17">
        <v>34090</v>
      </c>
      <c r="B263" s="58">
        <f>VLOOKUP(Table134[[#This Row],[Date]],database!A:I,8,)</f>
        <v>82.821899999999999</v>
      </c>
      <c r="C263" s="66">
        <f t="shared" si="3"/>
        <v>4.7232033707489407E-4</v>
      </c>
      <c r="D263" s="66">
        <f>(Table134[[#This Row],[Index]]-B251)/B251</f>
        <v>-1.5155226620877984E-2</v>
      </c>
    </row>
    <row r="264" spans="1:4" x14ac:dyDescent="0.35">
      <c r="A264" s="17">
        <v>34121</v>
      </c>
      <c r="B264" s="58">
        <f>VLOOKUP(Table134[[#This Row],[Date]],database!A:I,8,)</f>
        <v>83.634699999999995</v>
      </c>
      <c r="C264" s="66">
        <f t="shared" ref="C264:C327" si="4">B264/B263-1</f>
        <v>9.8138294340022192E-3</v>
      </c>
      <c r="D264" s="66">
        <f>(Table134[[#This Row],[Index]]-B252)/B252</f>
        <v>5.2513407806455735E-3</v>
      </c>
    </row>
    <row r="265" spans="1:4" x14ac:dyDescent="0.35">
      <c r="A265" s="17">
        <v>34151</v>
      </c>
      <c r="B265" s="58">
        <f>VLOOKUP(Table134[[#This Row],[Date]],database!A:I,8,)</f>
        <v>82.735500000000002</v>
      </c>
      <c r="C265" s="66">
        <f t="shared" si="4"/>
        <v>-1.0751518209546895E-2</v>
      </c>
      <c r="D265" s="66">
        <f>(Table134[[#This Row],[Index]]-B253)/B253</f>
        <v>-1.8566868365268666E-2</v>
      </c>
    </row>
    <row r="266" spans="1:4" x14ac:dyDescent="0.35">
      <c r="A266" s="17">
        <v>34182</v>
      </c>
      <c r="B266" s="58">
        <f>VLOOKUP(Table134[[#This Row],[Date]],database!A:I,8,)</f>
        <v>82.804000000000002</v>
      </c>
      <c r="C266" s="66">
        <f t="shared" si="4"/>
        <v>8.2793963896987677E-4</v>
      </c>
      <c r="D266" s="66">
        <f>(Table134[[#This Row],[Index]]-B254)/B254</f>
        <v>-1.2013953555695441E-3</v>
      </c>
    </row>
    <row r="267" spans="1:4" x14ac:dyDescent="0.35">
      <c r="A267" s="17">
        <v>34213</v>
      </c>
      <c r="B267" s="58">
        <f>VLOOKUP(Table134[[#This Row],[Date]],database!A:I,8,)</f>
        <v>83.507099999999994</v>
      </c>
      <c r="C267" s="66">
        <f t="shared" si="4"/>
        <v>8.4911356939276761E-3</v>
      </c>
      <c r="D267" s="66">
        <f>(Table134[[#This Row],[Index]]-B255)/B255</f>
        <v>6.3148258210456621E-4</v>
      </c>
    </row>
    <row r="268" spans="1:4" x14ac:dyDescent="0.35">
      <c r="A268" s="17">
        <v>34243</v>
      </c>
      <c r="B268" s="58">
        <f>VLOOKUP(Table134[[#This Row],[Date]],database!A:I,8,)</f>
        <v>84.596599999999995</v>
      </c>
      <c r="C268" s="66">
        <f t="shared" si="4"/>
        <v>1.3046794823434293E-2</v>
      </c>
      <c r="D268" s="66">
        <f>(Table134[[#This Row],[Index]]-B256)/B256</f>
        <v>8.7463974024331592E-3</v>
      </c>
    </row>
    <row r="269" spans="1:4" x14ac:dyDescent="0.35">
      <c r="A269" s="17">
        <v>34274</v>
      </c>
      <c r="B269" s="58">
        <f>VLOOKUP(Table134[[#This Row],[Date]],database!A:I,8,)</f>
        <v>84.553100000000001</v>
      </c>
      <c r="C269" s="66">
        <f t="shared" si="4"/>
        <v>-5.1420506261479204E-4</v>
      </c>
      <c r="D269" s="66">
        <f>(Table134[[#This Row],[Index]]-B257)/B257</f>
        <v>9.5229567013509885E-3</v>
      </c>
    </row>
    <row r="270" spans="1:4" x14ac:dyDescent="0.35">
      <c r="A270" s="17">
        <v>34304</v>
      </c>
      <c r="B270" s="58">
        <f>VLOOKUP(Table134[[#This Row],[Date]],database!A:I,8,)</f>
        <v>84.885400000000004</v>
      </c>
      <c r="C270" s="66">
        <f t="shared" si="4"/>
        <v>3.9300747104482614E-3</v>
      </c>
      <c r="D270" s="66">
        <f>(Table134[[#This Row],[Index]]-B258)/B258</f>
        <v>9.8311899975018352E-3</v>
      </c>
    </row>
    <row r="271" spans="1:4" x14ac:dyDescent="0.35">
      <c r="A271" s="17">
        <v>34335</v>
      </c>
      <c r="B271" s="58">
        <f>VLOOKUP(Table134[[#This Row],[Date]],database!A:I,8,)</f>
        <v>83.971599999999995</v>
      </c>
      <c r="C271" s="66">
        <f t="shared" si="4"/>
        <v>-1.0765102125925186E-2</v>
      </c>
      <c r="D271" s="66">
        <f>(Table134[[#This Row],[Index]]-B259)/B259</f>
        <v>4.0654489451354414E-3</v>
      </c>
    </row>
    <row r="272" spans="1:4" x14ac:dyDescent="0.35">
      <c r="A272" s="17">
        <v>34366</v>
      </c>
      <c r="B272" s="58">
        <f>VLOOKUP(Table134[[#This Row],[Date]],database!A:I,8,)</f>
        <v>84.556299999999993</v>
      </c>
      <c r="C272" s="66">
        <f t="shared" si="4"/>
        <v>6.9630684660051401E-3</v>
      </c>
      <c r="D272" s="66">
        <f>(Table134[[#This Row],[Index]]-B260)/B260</f>
        <v>1.6106277638915586E-2</v>
      </c>
    </row>
    <row r="273" spans="1:4" x14ac:dyDescent="0.35">
      <c r="A273" s="17">
        <v>34394</v>
      </c>
      <c r="B273" s="58">
        <f>VLOOKUP(Table134[[#This Row],[Date]],database!A:I,8,)</f>
        <v>85.681899999999999</v>
      </c>
      <c r="C273" s="66">
        <f t="shared" si="4"/>
        <v>1.3311840749890891E-2</v>
      </c>
      <c r="D273" s="66">
        <f>(Table134[[#This Row],[Index]]-B261)/B261</f>
        <v>3.6422775635411762E-2</v>
      </c>
    </row>
    <row r="274" spans="1:4" x14ac:dyDescent="0.35">
      <c r="A274" s="17">
        <v>34425</v>
      </c>
      <c r="B274" s="58">
        <f>VLOOKUP(Table134[[#This Row],[Date]],database!A:I,8,)</f>
        <v>84.964600000000004</v>
      </c>
      <c r="C274" s="66">
        <f t="shared" si="4"/>
        <v>-8.371663093372006E-3</v>
      </c>
      <c r="D274" s="66">
        <f>(Table134[[#This Row],[Index]]-B262)/B262</f>
        <v>2.6355716404857166E-2</v>
      </c>
    </row>
    <row r="275" spans="1:4" x14ac:dyDescent="0.35">
      <c r="A275" s="17">
        <v>34455</v>
      </c>
      <c r="B275" s="58">
        <f>VLOOKUP(Table134[[#This Row],[Date]],database!A:I,8,)</f>
        <v>85.237799999999993</v>
      </c>
      <c r="C275" s="66">
        <f t="shared" si="4"/>
        <v>3.2154567902396014E-3</v>
      </c>
      <c r="D275" s="66">
        <f>(Table134[[#This Row],[Index]]-B263)/B263</f>
        <v>2.9169821025598223E-2</v>
      </c>
    </row>
    <row r="276" spans="1:4" x14ac:dyDescent="0.35">
      <c r="A276" s="17">
        <v>34486</v>
      </c>
      <c r="B276" s="58">
        <f>VLOOKUP(Table134[[#This Row],[Date]],database!A:I,8,)</f>
        <v>85.129599999999996</v>
      </c>
      <c r="C276" s="66">
        <f t="shared" si="4"/>
        <v>-1.2693898716297225E-3</v>
      </c>
      <c r="D276" s="66">
        <f>(Table134[[#This Row],[Index]]-B264)/B264</f>
        <v>1.7874159888180401E-2</v>
      </c>
    </row>
    <row r="277" spans="1:4" x14ac:dyDescent="0.35">
      <c r="A277" s="17">
        <v>34516</v>
      </c>
      <c r="B277" s="58">
        <f>VLOOKUP(Table134[[#This Row],[Date]],database!A:I,8,)</f>
        <v>85.123000000000005</v>
      </c>
      <c r="C277" s="66">
        <f t="shared" si="4"/>
        <v>-7.7528850129571225E-5</v>
      </c>
      <c r="D277" s="66">
        <f>(Table134[[#This Row],[Index]]-B265)/B265</f>
        <v>2.8857020263369445E-2</v>
      </c>
    </row>
    <row r="278" spans="1:4" x14ac:dyDescent="0.35">
      <c r="A278" s="17">
        <v>34547</v>
      </c>
      <c r="B278" s="58">
        <f>VLOOKUP(Table134[[#This Row],[Date]],database!A:I,8,)</f>
        <v>85.085700000000003</v>
      </c>
      <c r="C278" s="66">
        <f t="shared" si="4"/>
        <v>-4.3818944351114997E-4</v>
      </c>
      <c r="D278" s="66">
        <f>(Table134[[#This Row],[Index]]-B266)/B266</f>
        <v>2.7555432104729247E-2</v>
      </c>
    </row>
    <row r="279" spans="1:4" x14ac:dyDescent="0.35">
      <c r="A279" s="17">
        <v>34578</v>
      </c>
      <c r="B279" s="58">
        <f>VLOOKUP(Table134[[#This Row],[Date]],database!A:I,8,)</f>
        <v>84.679100000000005</v>
      </c>
      <c r="C279" s="66">
        <f t="shared" si="4"/>
        <v>-4.7787113463249042E-3</v>
      </c>
      <c r="D279" s="66">
        <f>(Table134[[#This Row],[Index]]-B267)/B267</f>
        <v>1.403473477105553E-2</v>
      </c>
    </row>
    <row r="280" spans="1:4" x14ac:dyDescent="0.35">
      <c r="A280" s="17">
        <v>34608</v>
      </c>
      <c r="B280" s="58">
        <f>VLOOKUP(Table134[[#This Row],[Date]],database!A:I,8,)</f>
        <v>84.435500000000005</v>
      </c>
      <c r="C280" s="66">
        <f t="shared" si="4"/>
        <v>-2.8767429035028158E-3</v>
      </c>
      <c r="D280" s="66">
        <f>(Table134[[#This Row],[Index]]-B268)/B268</f>
        <v>-1.9043318525802512E-3</v>
      </c>
    </row>
    <row r="281" spans="1:4" x14ac:dyDescent="0.35">
      <c r="A281" s="17">
        <v>34639</v>
      </c>
      <c r="B281" s="58">
        <f>VLOOKUP(Table134[[#This Row],[Date]],database!A:I,8,)</f>
        <v>85.111999999999995</v>
      </c>
      <c r="C281" s="66">
        <f t="shared" si="4"/>
        <v>8.0120328534798446E-3</v>
      </c>
      <c r="D281" s="66">
        <f>(Table134[[#This Row],[Index]]-B269)/B269</f>
        <v>6.6100474139918486E-3</v>
      </c>
    </row>
    <row r="282" spans="1:4" x14ac:dyDescent="0.35">
      <c r="A282" s="17">
        <v>34669</v>
      </c>
      <c r="B282" s="58">
        <f>VLOOKUP(Table134[[#This Row],[Date]],database!A:I,8,)</f>
        <v>86.029499999999999</v>
      </c>
      <c r="C282" s="66">
        <f t="shared" si="4"/>
        <v>1.0779913525707396E-2</v>
      </c>
      <c r="D282" s="66">
        <f>(Table134[[#This Row],[Index]]-B270)/B270</f>
        <v>1.3478171746849217E-2</v>
      </c>
    </row>
    <row r="283" spans="1:4" x14ac:dyDescent="0.35">
      <c r="A283" s="17">
        <v>34700</v>
      </c>
      <c r="B283" s="58">
        <f>VLOOKUP(Table134[[#This Row],[Date]],database!A:I,8,)</f>
        <v>85.664699999999996</v>
      </c>
      <c r="C283" s="66">
        <f t="shared" si="4"/>
        <v>-4.2404059072760347E-3</v>
      </c>
      <c r="D283" s="66">
        <f>(Table134[[#This Row],[Index]]-B271)/B271</f>
        <v>2.0162769317245369E-2</v>
      </c>
    </row>
    <row r="284" spans="1:4" x14ac:dyDescent="0.35">
      <c r="A284" s="17">
        <v>34731</v>
      </c>
      <c r="B284" s="58">
        <f>VLOOKUP(Table134[[#This Row],[Date]],database!A:I,8,)</f>
        <v>85.4529</v>
      </c>
      <c r="C284" s="66">
        <f t="shared" si="4"/>
        <v>-2.4724303009290294E-3</v>
      </c>
      <c r="D284" s="66">
        <f>(Table134[[#This Row],[Index]]-B272)/B272</f>
        <v>1.0603586013106138E-2</v>
      </c>
    </row>
    <row r="285" spans="1:4" x14ac:dyDescent="0.35">
      <c r="A285" s="17">
        <v>34759</v>
      </c>
      <c r="B285" s="58">
        <f>VLOOKUP(Table134[[#This Row],[Date]],database!A:I,8,)</f>
        <v>84.302199999999999</v>
      </c>
      <c r="C285" s="66">
        <f t="shared" si="4"/>
        <v>-1.3465897588028075E-2</v>
      </c>
      <c r="D285" s="66">
        <f>(Table134[[#This Row],[Index]]-B273)/B273</f>
        <v>-1.6102584093023144E-2</v>
      </c>
    </row>
    <row r="286" spans="1:4" x14ac:dyDescent="0.35">
      <c r="A286" s="17">
        <v>34790</v>
      </c>
      <c r="B286" s="58">
        <f>VLOOKUP(Table134[[#This Row],[Date]],database!A:I,8,)</f>
        <v>84.656300000000002</v>
      </c>
      <c r="C286" s="66">
        <f t="shared" si="4"/>
        <v>4.2003648777848568E-3</v>
      </c>
      <c r="D286" s="66">
        <f>(Table134[[#This Row],[Index]]-B274)/B274</f>
        <v>-3.6285700162185506E-3</v>
      </c>
    </row>
    <row r="287" spans="1:4" x14ac:dyDescent="0.35">
      <c r="A287" s="17">
        <v>34820</v>
      </c>
      <c r="B287" s="58">
        <f>VLOOKUP(Table134[[#This Row],[Date]],database!A:I,8,)</f>
        <v>84.885599999999997</v>
      </c>
      <c r="C287" s="66">
        <f t="shared" si="4"/>
        <v>2.70859936000023E-3</v>
      </c>
      <c r="D287" s="66">
        <f>(Table134[[#This Row],[Index]]-B275)/B275</f>
        <v>-4.1319696191126042E-3</v>
      </c>
    </row>
    <row r="288" spans="1:4" x14ac:dyDescent="0.35">
      <c r="A288" s="17">
        <v>34851</v>
      </c>
      <c r="B288" s="58">
        <f>VLOOKUP(Table134[[#This Row],[Date]],database!A:I,8,)</f>
        <v>84.8108</v>
      </c>
      <c r="C288" s="66">
        <f t="shared" si="4"/>
        <v>-8.8118597265018916E-4</v>
      </c>
      <c r="D288" s="66">
        <f>(Table134[[#This Row],[Index]]-B276)/B276</f>
        <v>-3.7448783971732041E-3</v>
      </c>
    </row>
    <row r="289" spans="1:4" x14ac:dyDescent="0.35">
      <c r="A289" s="17">
        <v>34881</v>
      </c>
      <c r="B289" s="58">
        <f>VLOOKUP(Table134[[#This Row],[Date]],database!A:I,8,)</f>
        <v>85.430599999999998</v>
      </c>
      <c r="C289" s="66">
        <f t="shared" si="4"/>
        <v>7.3080315242870508E-3</v>
      </c>
      <c r="D289" s="66">
        <f>(Table134[[#This Row],[Index]]-B277)/B277</f>
        <v>3.6135944456844055E-3</v>
      </c>
    </row>
    <row r="290" spans="1:4" x14ac:dyDescent="0.35">
      <c r="A290" s="17">
        <v>34912</v>
      </c>
      <c r="B290" s="58">
        <f>VLOOKUP(Table134[[#This Row],[Date]],database!A:I,8,)</f>
        <v>84.322299999999998</v>
      </c>
      <c r="C290" s="66">
        <f t="shared" si="4"/>
        <v>-1.2973103314269152E-2</v>
      </c>
      <c r="D290" s="66">
        <f>(Table134[[#This Row],[Index]]-B278)/B278</f>
        <v>-8.9721304520031485E-3</v>
      </c>
    </row>
    <row r="291" spans="1:4" x14ac:dyDescent="0.35">
      <c r="A291" s="17">
        <v>34943</v>
      </c>
      <c r="B291" s="58">
        <f>VLOOKUP(Table134[[#This Row],[Date]],database!A:I,8,)</f>
        <v>85.4011</v>
      </c>
      <c r="C291" s="66">
        <f t="shared" si="4"/>
        <v>1.2793768670920969E-2</v>
      </c>
      <c r="D291" s="66">
        <f>(Table134[[#This Row],[Index]]-B279)/B279</f>
        <v>8.5263069635836252E-3</v>
      </c>
    </row>
    <row r="292" spans="1:4" x14ac:dyDescent="0.35">
      <c r="A292" s="17">
        <v>34973</v>
      </c>
      <c r="B292" s="58">
        <f>VLOOKUP(Table134[[#This Row],[Date]],database!A:I,8,)</f>
        <v>84.283299999999997</v>
      </c>
      <c r="C292" s="66">
        <f t="shared" si="4"/>
        <v>-1.3088824382824105E-2</v>
      </c>
      <c r="D292" s="66">
        <f>(Table134[[#This Row],[Index]]-B280)/B280</f>
        <v>-1.8025593500365089E-3</v>
      </c>
    </row>
    <row r="293" spans="1:4" x14ac:dyDescent="0.35">
      <c r="A293" s="17">
        <v>35004</v>
      </c>
      <c r="B293" s="58">
        <f>VLOOKUP(Table134[[#This Row],[Date]],database!A:I,8,)</f>
        <v>85.141599999999997</v>
      </c>
      <c r="C293" s="66">
        <f t="shared" si="4"/>
        <v>1.0183512036192166E-2</v>
      </c>
      <c r="D293" s="66">
        <f>(Table134[[#This Row],[Index]]-B281)/B281</f>
        <v>3.4777704671494112E-4</v>
      </c>
    </row>
    <row r="294" spans="1:4" x14ac:dyDescent="0.35">
      <c r="A294" s="17">
        <v>35034</v>
      </c>
      <c r="B294" s="58">
        <f>VLOOKUP(Table134[[#This Row],[Date]],database!A:I,8,)</f>
        <v>84.915800000000004</v>
      </c>
      <c r="C294" s="66">
        <f t="shared" si="4"/>
        <v>-2.6520525806420503E-3</v>
      </c>
      <c r="D294" s="66">
        <f>(Table134[[#This Row],[Index]]-B282)/B282</f>
        <v>-1.2945559372075793E-2</v>
      </c>
    </row>
    <row r="295" spans="1:4" x14ac:dyDescent="0.35">
      <c r="A295" s="17">
        <v>35065</v>
      </c>
      <c r="B295" s="58">
        <f>VLOOKUP(Table134[[#This Row],[Date]],database!A:I,8,)</f>
        <v>83.611199999999997</v>
      </c>
      <c r="C295" s="66">
        <f t="shared" si="4"/>
        <v>-1.5363454151053224E-2</v>
      </c>
      <c r="D295" s="66">
        <f>(Table134[[#This Row],[Index]]-B283)/B283</f>
        <v>-2.397136743606176E-2</v>
      </c>
    </row>
    <row r="296" spans="1:4" x14ac:dyDescent="0.35">
      <c r="A296" s="17">
        <v>35096</v>
      </c>
      <c r="B296" s="58">
        <f>VLOOKUP(Table134[[#This Row],[Date]],database!A:I,8,)</f>
        <v>84.896500000000003</v>
      </c>
      <c r="C296" s="66">
        <f t="shared" si="4"/>
        <v>1.5372342461297039E-2</v>
      </c>
      <c r="D296" s="66">
        <f>(Table134[[#This Row],[Index]]-B284)/B284</f>
        <v>-6.5111892048133699E-3</v>
      </c>
    </row>
    <row r="297" spans="1:4" x14ac:dyDescent="0.35">
      <c r="A297" s="17">
        <v>35125</v>
      </c>
      <c r="B297" s="58">
        <f>VLOOKUP(Table134[[#This Row],[Date]],database!A:I,8,)</f>
        <v>85.982600000000005</v>
      </c>
      <c r="C297" s="66">
        <f t="shared" si="4"/>
        <v>1.2793224691241667E-2</v>
      </c>
      <c r="D297" s="66">
        <f>(Table134[[#This Row],[Index]]-B285)/B285</f>
        <v>1.9933050383026847E-2</v>
      </c>
    </row>
    <row r="298" spans="1:4" x14ac:dyDescent="0.35">
      <c r="A298" s="17">
        <v>35156</v>
      </c>
      <c r="B298" s="58">
        <f>VLOOKUP(Table134[[#This Row],[Date]],database!A:I,8,)</f>
        <v>86.498999999999995</v>
      </c>
      <c r="C298" s="66">
        <f t="shared" si="4"/>
        <v>6.0058663031821169E-3</v>
      </c>
      <c r="D298" s="66">
        <f>(Table134[[#This Row],[Index]]-B286)/B286</f>
        <v>2.1766838380604794E-2</v>
      </c>
    </row>
    <row r="299" spans="1:4" x14ac:dyDescent="0.35">
      <c r="A299" s="17">
        <v>35186</v>
      </c>
      <c r="B299" s="58">
        <f>VLOOKUP(Table134[[#This Row],[Date]],database!A:I,8,)</f>
        <v>86.174899999999994</v>
      </c>
      <c r="C299" s="66">
        <f t="shared" si="4"/>
        <v>-3.7468641255968826E-3</v>
      </c>
      <c r="D299" s="66">
        <f>(Table134[[#This Row],[Index]]-B287)/B287</f>
        <v>1.518867746708508E-2</v>
      </c>
    </row>
    <row r="300" spans="1:4" x14ac:dyDescent="0.35">
      <c r="A300" s="17">
        <v>35217</v>
      </c>
      <c r="B300" s="58">
        <f>VLOOKUP(Table134[[#This Row],[Date]],database!A:I,8,)</f>
        <v>87.513999999999996</v>
      </c>
      <c r="C300" s="66">
        <f t="shared" si="4"/>
        <v>1.5539327576823414E-2</v>
      </c>
      <c r="D300" s="66">
        <f>(Table134[[#This Row],[Index]]-B288)/B288</f>
        <v>3.1873299155296207E-2</v>
      </c>
    </row>
    <row r="301" spans="1:4" x14ac:dyDescent="0.35">
      <c r="A301" s="17">
        <v>35247</v>
      </c>
      <c r="B301" s="58">
        <f>VLOOKUP(Table134[[#This Row],[Date]],database!A:I,8,)</f>
        <v>87.100899999999996</v>
      </c>
      <c r="C301" s="66">
        <f t="shared" si="4"/>
        <v>-4.7203875951276064E-3</v>
      </c>
      <c r="D301" s="66">
        <f>(Table134[[#This Row],[Index]]-B289)/B289</f>
        <v>1.9551542421567886E-2</v>
      </c>
    </row>
    <row r="302" spans="1:4" x14ac:dyDescent="0.35">
      <c r="A302" s="17">
        <v>35278</v>
      </c>
      <c r="B302" s="58">
        <f>VLOOKUP(Table134[[#This Row],[Date]],database!A:I,8,)</f>
        <v>87.219499999999996</v>
      </c>
      <c r="C302" s="66">
        <f t="shared" si="4"/>
        <v>1.3616392023503288E-3</v>
      </c>
      <c r="D302" s="66">
        <f>(Table134[[#This Row],[Index]]-B290)/B290</f>
        <v>3.4358645340556389E-2</v>
      </c>
    </row>
    <row r="303" spans="1:4" x14ac:dyDescent="0.35">
      <c r="A303" s="17">
        <v>35309</v>
      </c>
      <c r="B303" s="58">
        <f>VLOOKUP(Table134[[#This Row],[Date]],database!A:I,8,)</f>
        <v>87.415499999999994</v>
      </c>
      <c r="C303" s="66">
        <f t="shared" si="4"/>
        <v>2.2472038936247607E-3</v>
      </c>
      <c r="D303" s="66">
        <f>(Table134[[#This Row],[Index]]-B291)/B291</f>
        <v>2.3587518193559507E-2</v>
      </c>
    </row>
    <row r="304" spans="1:4" x14ac:dyDescent="0.35">
      <c r="A304" s="17">
        <v>35339</v>
      </c>
      <c r="B304" s="58">
        <f>VLOOKUP(Table134[[#This Row],[Date]],database!A:I,8,)</f>
        <v>87.027600000000007</v>
      </c>
      <c r="C304" s="66">
        <f t="shared" si="4"/>
        <v>-4.4374281448941177E-3</v>
      </c>
      <c r="D304" s="66">
        <f>(Table134[[#This Row],[Index]]-B292)/B292</f>
        <v>3.2560424188421783E-2</v>
      </c>
    </row>
    <row r="305" spans="1:4" x14ac:dyDescent="0.35">
      <c r="A305" s="17">
        <v>35370</v>
      </c>
      <c r="B305" s="58">
        <f>VLOOKUP(Table134[[#This Row],[Date]],database!A:I,8,)</f>
        <v>86.709299999999999</v>
      </c>
      <c r="C305" s="66">
        <f t="shared" si="4"/>
        <v>-3.6574603918757553E-3</v>
      </c>
      <c r="D305" s="66">
        <f>(Table134[[#This Row],[Index]]-B293)/B293</f>
        <v>1.8412855760286419E-2</v>
      </c>
    </row>
    <row r="306" spans="1:4" x14ac:dyDescent="0.35">
      <c r="A306" s="17">
        <v>35400</v>
      </c>
      <c r="B306" s="58">
        <f>VLOOKUP(Table134[[#This Row],[Date]],database!A:I,8,)</f>
        <v>86.872299999999996</v>
      </c>
      <c r="C306" s="66">
        <f t="shared" si="4"/>
        <v>1.8798444918826096E-3</v>
      </c>
      <c r="D306" s="66">
        <f>(Table134[[#This Row],[Index]]-B294)/B294</f>
        <v>2.3040470678012705E-2</v>
      </c>
    </row>
    <row r="307" spans="1:4" x14ac:dyDescent="0.35">
      <c r="A307" s="17">
        <v>35431</v>
      </c>
      <c r="B307" s="58">
        <f>VLOOKUP(Table134[[#This Row],[Date]],database!A:I,8,)</f>
        <v>86.581400000000002</v>
      </c>
      <c r="C307" s="66">
        <f t="shared" si="4"/>
        <v>-3.3485932800212392E-3</v>
      </c>
      <c r="D307" s="66">
        <f>(Table134[[#This Row],[Index]]-B295)/B295</f>
        <v>3.5523948944639061E-2</v>
      </c>
    </row>
    <row r="308" spans="1:4" x14ac:dyDescent="0.35">
      <c r="A308" s="17">
        <v>35462</v>
      </c>
      <c r="B308" s="58">
        <f>VLOOKUP(Table134[[#This Row],[Date]],database!A:I,8,)</f>
        <v>88.199299999999994</v>
      </c>
      <c r="C308" s="66">
        <f t="shared" si="4"/>
        <v>1.868646152637865E-2</v>
      </c>
      <c r="D308" s="66">
        <f>(Table134[[#This Row],[Index]]-B296)/B296</f>
        <v>3.8903841736702811E-2</v>
      </c>
    </row>
    <row r="309" spans="1:4" x14ac:dyDescent="0.35">
      <c r="A309" s="17">
        <v>35490</v>
      </c>
      <c r="B309" s="58">
        <f>VLOOKUP(Table134[[#This Row],[Date]],database!A:I,8,)</f>
        <v>88.414199999999994</v>
      </c>
      <c r="C309" s="66">
        <f t="shared" si="4"/>
        <v>2.4365272740258792E-3</v>
      </c>
      <c r="D309" s="66">
        <f>(Table134[[#This Row],[Index]]-B297)/B297</f>
        <v>2.8280140400499504E-2</v>
      </c>
    </row>
    <row r="310" spans="1:4" x14ac:dyDescent="0.35">
      <c r="A310" s="17">
        <v>35521</v>
      </c>
      <c r="B310" s="58">
        <f>VLOOKUP(Table134[[#This Row],[Date]],database!A:I,8,)</f>
        <v>87.673199999999994</v>
      </c>
      <c r="C310" s="66">
        <f t="shared" si="4"/>
        <v>-8.3810066708741582E-3</v>
      </c>
      <c r="D310" s="66">
        <f>(Table134[[#This Row],[Index]]-B298)/B298</f>
        <v>1.357472340720701E-2</v>
      </c>
    </row>
    <row r="311" spans="1:4" x14ac:dyDescent="0.35">
      <c r="A311" s="17">
        <v>35551</v>
      </c>
      <c r="B311" s="58">
        <f>VLOOKUP(Table134[[#This Row],[Date]],database!A:I,8,)</f>
        <v>88.758300000000006</v>
      </c>
      <c r="C311" s="66">
        <f t="shared" si="4"/>
        <v>1.2376644174046492E-2</v>
      </c>
      <c r="D311" s="66">
        <f>(Table134[[#This Row],[Index]]-B299)/B299</f>
        <v>2.997856684487028E-2</v>
      </c>
    </row>
    <row r="312" spans="1:4" x14ac:dyDescent="0.35">
      <c r="A312" s="17">
        <v>35582</v>
      </c>
      <c r="B312" s="58">
        <f>VLOOKUP(Table134[[#This Row],[Date]],database!A:I,8,)</f>
        <v>88.229299999999995</v>
      </c>
      <c r="C312" s="66">
        <f t="shared" si="4"/>
        <v>-5.9600059938057504E-3</v>
      </c>
      <c r="D312" s="66">
        <f>(Table134[[#This Row],[Index]]-B300)/B300</f>
        <v>8.1735493749571404E-3</v>
      </c>
    </row>
    <row r="313" spans="1:4" x14ac:dyDescent="0.35">
      <c r="A313" s="17">
        <v>35612</v>
      </c>
      <c r="B313" s="58">
        <f>VLOOKUP(Table134[[#This Row],[Date]],database!A:I,8,)</f>
        <v>88.224100000000007</v>
      </c>
      <c r="C313" s="66">
        <f t="shared" si="4"/>
        <v>-5.8937337143016855E-5</v>
      </c>
      <c r="D313" s="66">
        <f>(Table134[[#This Row],[Index]]-B301)/B301</f>
        <v>1.2895389140640468E-2</v>
      </c>
    </row>
    <row r="314" spans="1:4" x14ac:dyDescent="0.35">
      <c r="A314" s="17">
        <v>35643</v>
      </c>
      <c r="B314" s="58">
        <f>VLOOKUP(Table134[[#This Row],[Date]],database!A:I,8,)</f>
        <v>88.243799999999993</v>
      </c>
      <c r="C314" s="66">
        <f t="shared" si="4"/>
        <v>2.2329499535822528E-4</v>
      </c>
      <c r="D314" s="66">
        <f>(Table134[[#This Row],[Index]]-B302)/B302</f>
        <v>1.1743933409386625E-2</v>
      </c>
    </row>
    <row r="315" spans="1:4" x14ac:dyDescent="0.35">
      <c r="A315" s="17">
        <v>35674</v>
      </c>
      <c r="B315" s="58">
        <f>VLOOKUP(Table134[[#This Row],[Date]],database!A:I,8,)</f>
        <v>88.901399999999995</v>
      </c>
      <c r="C315" s="66">
        <f t="shared" si="4"/>
        <v>7.4520816193319739E-3</v>
      </c>
      <c r="D315" s="66">
        <f>(Table134[[#This Row],[Index]]-B303)/B303</f>
        <v>1.6998129622320994E-2</v>
      </c>
    </row>
    <row r="316" spans="1:4" x14ac:dyDescent="0.35">
      <c r="A316" s="17">
        <v>35704</v>
      </c>
      <c r="B316" s="58">
        <f>VLOOKUP(Table134[[#This Row],[Date]],database!A:I,8,)</f>
        <v>88.084199999999996</v>
      </c>
      <c r="C316" s="66">
        <f t="shared" si="4"/>
        <v>-9.1922061969778035E-3</v>
      </c>
      <c r="D316" s="66">
        <f>(Table134[[#This Row],[Index]]-B304)/B304</f>
        <v>1.2140975966245063E-2</v>
      </c>
    </row>
    <row r="317" spans="1:4" x14ac:dyDescent="0.35">
      <c r="A317" s="17">
        <v>35735</v>
      </c>
      <c r="B317" s="58">
        <f>VLOOKUP(Table134[[#This Row],[Date]],database!A:I,8,)</f>
        <v>87.573400000000007</v>
      </c>
      <c r="C317" s="66">
        <f t="shared" si="4"/>
        <v>-5.7989968689048377E-3</v>
      </c>
      <c r="D317" s="66">
        <f>(Table134[[#This Row],[Index]]-B305)/B305</f>
        <v>9.9654823646368688E-3</v>
      </c>
    </row>
    <row r="318" spans="1:4" x14ac:dyDescent="0.35">
      <c r="A318" s="17">
        <v>35765</v>
      </c>
      <c r="B318" s="58">
        <f>VLOOKUP(Table134[[#This Row],[Date]],database!A:I,8,)</f>
        <v>88.023600000000002</v>
      </c>
      <c r="C318" s="66">
        <f t="shared" si="4"/>
        <v>5.1408304348123934E-3</v>
      </c>
      <c r="D318" s="66">
        <f>(Table134[[#This Row],[Index]]-B306)/B306</f>
        <v>1.3252785985866683E-2</v>
      </c>
    </row>
    <row r="319" spans="1:4" x14ac:dyDescent="0.35">
      <c r="A319" s="17">
        <v>35796</v>
      </c>
      <c r="B319" s="58">
        <f>VLOOKUP(Table134[[#This Row],[Date]],database!A:I,8,)</f>
        <v>90.415599999999998</v>
      </c>
      <c r="C319" s="66">
        <f t="shared" si="4"/>
        <v>2.7174530466829383E-2</v>
      </c>
      <c r="D319" s="66">
        <f>(Table134[[#This Row],[Index]]-B307)/B307</f>
        <v>4.4284338206589356E-2</v>
      </c>
    </row>
    <row r="320" spans="1:4" x14ac:dyDescent="0.35">
      <c r="A320" s="17">
        <v>35827</v>
      </c>
      <c r="B320" s="58">
        <f>VLOOKUP(Table134[[#This Row],[Date]],database!A:I,8,)</f>
        <v>89.139799999999994</v>
      </c>
      <c r="C320" s="66">
        <f t="shared" si="4"/>
        <v>-1.4110396878414866E-2</v>
      </c>
      <c r="D320" s="66">
        <f>(Table134[[#This Row],[Index]]-B308)/B308</f>
        <v>1.0663349935883847E-2</v>
      </c>
    </row>
    <row r="321" spans="1:4" x14ac:dyDescent="0.35">
      <c r="A321" s="17">
        <v>35855</v>
      </c>
      <c r="B321" s="58">
        <f>VLOOKUP(Table134[[#This Row],[Date]],database!A:I,8,)</f>
        <v>87.815200000000004</v>
      </c>
      <c r="C321" s="66">
        <f t="shared" si="4"/>
        <v>-1.4859804486884509E-2</v>
      </c>
      <c r="D321" s="66">
        <f>(Table134[[#This Row],[Index]]-B309)/B309</f>
        <v>-6.7749298189656139E-3</v>
      </c>
    </row>
    <row r="322" spans="1:4" x14ac:dyDescent="0.35">
      <c r="A322" s="17">
        <v>35886</v>
      </c>
      <c r="B322" s="58">
        <f>VLOOKUP(Table134[[#This Row],[Date]],database!A:I,8,)</f>
        <v>88.381600000000006</v>
      </c>
      <c r="C322" s="66">
        <f t="shared" si="4"/>
        <v>6.4499084440963195E-3</v>
      </c>
      <c r="D322" s="66">
        <f>(Table134[[#This Row],[Index]]-B310)/B310</f>
        <v>8.0800062048609119E-3</v>
      </c>
    </row>
    <row r="323" spans="1:4" x14ac:dyDescent="0.35">
      <c r="A323" s="17">
        <v>35916</v>
      </c>
      <c r="B323" s="58">
        <f>VLOOKUP(Table134[[#This Row],[Date]],database!A:I,8,)</f>
        <v>88.623699999999999</v>
      </c>
      <c r="C323" s="66">
        <f t="shared" si="4"/>
        <v>2.7392579450926657E-3</v>
      </c>
      <c r="D323" s="66">
        <f>(Table134[[#This Row],[Index]]-B311)/B311</f>
        <v>-1.5164778955884242E-3</v>
      </c>
    </row>
    <row r="324" spans="1:4" x14ac:dyDescent="0.35">
      <c r="A324" s="17">
        <v>35947</v>
      </c>
      <c r="B324" s="58">
        <f>VLOOKUP(Table134[[#This Row],[Date]],database!A:I,8,)</f>
        <v>86.763300000000001</v>
      </c>
      <c r="C324" s="66">
        <f t="shared" si="4"/>
        <v>-2.0992127388046344E-2</v>
      </c>
      <c r="D324" s="66">
        <f>(Table134[[#This Row],[Index]]-B312)/B312</f>
        <v>-1.6615795433036349E-2</v>
      </c>
    </row>
    <row r="325" spans="1:4" x14ac:dyDescent="0.35">
      <c r="A325" s="17">
        <v>35977</v>
      </c>
      <c r="B325" s="58">
        <f>VLOOKUP(Table134[[#This Row],[Date]],database!A:I,8,)</f>
        <v>85.726600000000005</v>
      </c>
      <c r="C325" s="66">
        <f t="shared" si="4"/>
        <v>-1.1948600387491015E-2</v>
      </c>
      <c r="D325" s="66">
        <f>(Table134[[#This Row],[Index]]-B313)/B313</f>
        <v>-2.8308591416631081E-2</v>
      </c>
    </row>
    <row r="326" spans="1:4" x14ac:dyDescent="0.35">
      <c r="A326" s="17">
        <v>36008</v>
      </c>
      <c r="B326" s="58">
        <f>VLOOKUP(Table134[[#This Row],[Date]],database!A:I,8,)</f>
        <v>86.055300000000003</v>
      </c>
      <c r="C326" s="66">
        <f t="shared" si="4"/>
        <v>3.8342824747510384E-3</v>
      </c>
      <c r="D326" s="66">
        <f>(Table134[[#This Row],[Index]]-B314)/B314</f>
        <v>-2.4800609221270965E-2</v>
      </c>
    </row>
    <row r="327" spans="1:4" x14ac:dyDescent="0.35">
      <c r="A327" s="17">
        <v>36039</v>
      </c>
      <c r="B327" s="58">
        <f>VLOOKUP(Table134[[#This Row],[Date]],database!A:I,8,)</f>
        <v>83.401300000000006</v>
      </c>
      <c r="C327" s="66">
        <f t="shared" si="4"/>
        <v>-3.084063387147562E-2</v>
      </c>
      <c r="D327" s="66">
        <f>(Table134[[#This Row],[Index]]-B315)/B315</f>
        <v>-6.1867417161034464E-2</v>
      </c>
    </row>
    <row r="328" spans="1:4" x14ac:dyDescent="0.35">
      <c r="A328" s="17">
        <v>36069</v>
      </c>
      <c r="B328" s="58">
        <f>VLOOKUP(Table134[[#This Row],[Date]],database!A:I,8,)</f>
        <v>84.224100000000007</v>
      </c>
      <c r="C328" s="66">
        <f t="shared" ref="C328:C391" si="5">B328/B327-1</f>
        <v>9.8655536544394185E-3</v>
      </c>
      <c r="D328" s="66">
        <f>(Table134[[#This Row],[Index]]-B316)/B316</f>
        <v>-4.3822842235043159E-2</v>
      </c>
    </row>
    <row r="329" spans="1:4" x14ac:dyDescent="0.35">
      <c r="A329" s="17">
        <v>36100</v>
      </c>
      <c r="B329" s="58">
        <f>VLOOKUP(Table134[[#This Row],[Date]],database!A:I,8,)</f>
        <v>84.489199999999997</v>
      </c>
      <c r="C329" s="66">
        <f t="shared" si="5"/>
        <v>3.1475551534536628E-3</v>
      </c>
      <c r="D329" s="66">
        <f>(Table134[[#This Row],[Index]]-B317)/B317</f>
        <v>-3.5218456745998321E-2</v>
      </c>
    </row>
    <row r="330" spans="1:4" x14ac:dyDescent="0.35">
      <c r="A330" s="17">
        <v>36130</v>
      </c>
      <c r="B330" s="58">
        <f>VLOOKUP(Table134[[#This Row],[Date]],database!A:I,8,)</f>
        <v>82.532799999999995</v>
      </c>
      <c r="C330" s="66">
        <f t="shared" si="5"/>
        <v>-2.3155622257045927E-2</v>
      </c>
      <c r="D330" s="66">
        <f>(Table134[[#This Row],[Index]]-B318)/B318</f>
        <v>-6.2378725705379091E-2</v>
      </c>
    </row>
    <row r="331" spans="1:4" x14ac:dyDescent="0.35">
      <c r="A331" s="17">
        <v>36161</v>
      </c>
      <c r="B331" s="58">
        <f>VLOOKUP(Table134[[#This Row],[Date]],database!A:I,8,)</f>
        <v>82.465299999999999</v>
      </c>
      <c r="C331" s="66">
        <f t="shared" si="5"/>
        <v>-8.1785665820133246E-4</v>
      </c>
      <c r="D331" s="66">
        <f>(Table134[[#This Row],[Index]]-B319)/B319</f>
        <v>-8.7930622591676638E-2</v>
      </c>
    </row>
    <row r="332" spans="1:4" x14ac:dyDescent="0.35">
      <c r="A332" s="17">
        <v>36192</v>
      </c>
      <c r="B332" s="58">
        <f>VLOOKUP(Table134[[#This Row],[Date]],database!A:I,8,)</f>
        <v>81.841700000000003</v>
      </c>
      <c r="C332" s="66">
        <f t="shared" si="5"/>
        <v>-7.5619684885642746E-3</v>
      </c>
      <c r="D332" s="66">
        <f>(Table134[[#This Row],[Index]]-B320)/B320</f>
        <v>-8.1872519346015943E-2</v>
      </c>
    </row>
    <row r="333" spans="1:4" x14ac:dyDescent="0.35">
      <c r="A333" s="17">
        <v>36220</v>
      </c>
      <c r="B333" s="58">
        <f>VLOOKUP(Table134[[#This Row],[Date]],database!A:I,8,)</f>
        <v>81.200100000000006</v>
      </c>
      <c r="C333" s="66">
        <f t="shared" si="5"/>
        <v>-7.8395243500561929E-3</v>
      </c>
      <c r="D333" s="66">
        <f>(Table134[[#This Row],[Index]]-B321)/B321</f>
        <v>-7.5329783454345003E-2</v>
      </c>
    </row>
    <row r="334" spans="1:4" x14ac:dyDescent="0.35">
      <c r="A334" s="17">
        <v>36251</v>
      </c>
      <c r="B334" s="58">
        <f>VLOOKUP(Table134[[#This Row],[Date]],database!A:I,8,)</f>
        <v>80.941800000000001</v>
      </c>
      <c r="C334" s="66">
        <f t="shared" si="5"/>
        <v>-3.1810305652333337E-3</v>
      </c>
      <c r="D334" s="66">
        <f>(Table134[[#This Row],[Index]]-B322)/B322</f>
        <v>-8.4178154729038682E-2</v>
      </c>
    </row>
    <row r="335" spans="1:4" x14ac:dyDescent="0.35">
      <c r="A335" s="17">
        <v>36281</v>
      </c>
      <c r="B335" s="58">
        <f>VLOOKUP(Table134[[#This Row],[Date]],database!A:I,8,)</f>
        <v>80.948599999999999</v>
      </c>
      <c r="C335" s="66">
        <f t="shared" si="5"/>
        <v>8.4010980729409823E-5</v>
      </c>
      <c r="D335" s="66">
        <f>(Table134[[#This Row],[Index]]-B323)/B323</f>
        <v>-8.660324495592038E-2</v>
      </c>
    </row>
    <row r="336" spans="1:4" x14ac:dyDescent="0.35">
      <c r="A336" s="17">
        <v>36312</v>
      </c>
      <c r="B336" s="58">
        <f>VLOOKUP(Table134[[#This Row],[Date]],database!A:I,8,)</f>
        <v>81.241399999999999</v>
      </c>
      <c r="C336" s="66">
        <f t="shared" si="5"/>
        <v>3.6171101167901121E-3</v>
      </c>
      <c r="D336" s="66">
        <f>(Table134[[#This Row],[Index]]-B324)/B324</f>
        <v>-6.3643268524825616E-2</v>
      </c>
    </row>
    <row r="337" spans="1:4" x14ac:dyDescent="0.35">
      <c r="A337" s="17">
        <v>36342</v>
      </c>
      <c r="B337" s="58">
        <f>VLOOKUP(Table134[[#This Row],[Date]],database!A:I,8,)</f>
        <v>81.996899999999997</v>
      </c>
      <c r="C337" s="66">
        <f t="shared" si="5"/>
        <v>9.2994458490376353E-3</v>
      </c>
      <c r="D337" s="66">
        <f>(Table134[[#This Row],[Index]]-B325)/B325</f>
        <v>-4.3506916173043232E-2</v>
      </c>
    </row>
    <row r="338" spans="1:4" x14ac:dyDescent="0.35">
      <c r="A338" s="17">
        <v>36373</v>
      </c>
      <c r="B338" s="58">
        <f>VLOOKUP(Table134[[#This Row],[Date]],database!A:I,8,)</f>
        <v>82.089699999999993</v>
      </c>
      <c r="C338" s="66">
        <f t="shared" si="5"/>
        <v>1.1317501027476862E-3</v>
      </c>
      <c r="D338" s="66">
        <f>(Table134[[#This Row],[Index]]-B326)/B326</f>
        <v>-4.608199611180263E-2</v>
      </c>
    </row>
    <row r="339" spans="1:4" x14ac:dyDescent="0.35">
      <c r="A339" s="17">
        <v>36404</v>
      </c>
      <c r="B339" s="58">
        <f>VLOOKUP(Table134[[#This Row],[Date]],database!A:I,8,)</f>
        <v>82.013599999999997</v>
      </c>
      <c r="C339" s="66">
        <f t="shared" si="5"/>
        <v>-9.27034694973905E-4</v>
      </c>
      <c r="D339" s="66">
        <f>(Table134[[#This Row],[Index]]-B327)/B327</f>
        <v>-1.6638829370765315E-2</v>
      </c>
    </row>
    <row r="340" spans="1:4" x14ac:dyDescent="0.35">
      <c r="A340" s="17">
        <v>36434</v>
      </c>
      <c r="B340" s="58">
        <f>VLOOKUP(Table134[[#This Row],[Date]],database!A:I,8,)</f>
        <v>82.831299999999999</v>
      </c>
      <c r="C340" s="66">
        <f t="shared" si="5"/>
        <v>9.9702976091771145E-3</v>
      </c>
      <c r="D340" s="66">
        <f>(Table134[[#This Row],[Index]]-B328)/B328</f>
        <v>-1.6536834468994125E-2</v>
      </c>
    </row>
    <row r="341" spans="1:4" x14ac:dyDescent="0.35">
      <c r="A341" s="17">
        <v>36465</v>
      </c>
      <c r="B341" s="58">
        <f>VLOOKUP(Table134[[#This Row],[Date]],database!A:I,8,)</f>
        <v>83.716999999999999</v>
      </c>
      <c r="C341" s="66">
        <f t="shared" si="5"/>
        <v>1.0692817811624344E-2</v>
      </c>
      <c r="D341" s="66">
        <f>(Table134[[#This Row],[Index]]-B329)/B329</f>
        <v>-9.1396296804798494E-3</v>
      </c>
    </row>
    <row r="342" spans="1:4" x14ac:dyDescent="0.35">
      <c r="A342" s="17">
        <v>36495</v>
      </c>
      <c r="B342" s="58">
        <f>VLOOKUP(Table134[[#This Row],[Date]],database!A:I,8,)</f>
        <v>84.385199999999998</v>
      </c>
      <c r="C342" s="66">
        <f t="shared" si="5"/>
        <v>7.9816524720188742E-3</v>
      </c>
      <c r="D342" s="66">
        <f>(Table134[[#This Row],[Index]]-B330)/B330</f>
        <v>2.2444409980032217E-2</v>
      </c>
    </row>
    <row r="343" spans="1:4" x14ac:dyDescent="0.35">
      <c r="A343" s="17">
        <v>36526</v>
      </c>
      <c r="B343" s="58">
        <f>VLOOKUP(Table134[[#This Row],[Date]],database!A:I,8,)</f>
        <v>83.336100000000002</v>
      </c>
      <c r="C343" s="66">
        <f t="shared" si="5"/>
        <v>-1.2432274853884318E-2</v>
      </c>
      <c r="D343" s="66">
        <f>(Table134[[#This Row],[Index]]-B331)/B331</f>
        <v>1.0559592943941303E-2</v>
      </c>
    </row>
    <row r="344" spans="1:4" x14ac:dyDescent="0.35">
      <c r="A344" s="17">
        <v>36557</v>
      </c>
      <c r="B344" s="58">
        <f>VLOOKUP(Table134[[#This Row],[Date]],database!A:I,8,)</f>
        <v>83.787000000000006</v>
      </c>
      <c r="C344" s="66">
        <f t="shared" si="5"/>
        <v>5.4106203674038067E-3</v>
      </c>
      <c r="D344" s="66">
        <f>(Table134[[#This Row],[Index]]-B332)/B332</f>
        <v>2.3769056605617955E-2</v>
      </c>
    </row>
    <row r="345" spans="1:4" x14ac:dyDescent="0.35">
      <c r="A345" s="17">
        <v>36586</v>
      </c>
      <c r="B345" s="58">
        <f>VLOOKUP(Table134[[#This Row],[Date]],database!A:I,8,)</f>
        <v>84.616799999999998</v>
      </c>
      <c r="C345" s="66">
        <f t="shared" si="5"/>
        <v>9.9036843424396004E-3</v>
      </c>
      <c r="D345" s="66">
        <f>(Table134[[#This Row],[Index]]-B333)/B333</f>
        <v>4.2077534387272818E-2</v>
      </c>
    </row>
    <row r="346" spans="1:4" x14ac:dyDescent="0.35">
      <c r="A346" s="17">
        <v>36617</v>
      </c>
      <c r="B346" s="58">
        <f>VLOOKUP(Table134[[#This Row],[Date]],database!A:I,8,)</f>
        <v>83.607500000000002</v>
      </c>
      <c r="C346" s="66">
        <f t="shared" si="5"/>
        <v>-1.1927891387998546E-2</v>
      </c>
      <c r="D346" s="66">
        <f>(Table134[[#This Row],[Index]]-B334)/B334</f>
        <v>3.293353990150949E-2</v>
      </c>
    </row>
    <row r="347" spans="1:4" x14ac:dyDescent="0.35">
      <c r="A347" s="17">
        <v>36647</v>
      </c>
      <c r="B347" s="58">
        <f>VLOOKUP(Table134[[#This Row],[Date]],database!A:I,8,)</f>
        <v>83.3506</v>
      </c>
      <c r="C347" s="66">
        <f t="shared" si="5"/>
        <v>-3.0726908471130354E-3</v>
      </c>
      <c r="D347" s="66">
        <f>(Table134[[#This Row],[Index]]-B335)/B335</f>
        <v>2.9673150616564104E-2</v>
      </c>
    </row>
    <row r="348" spans="1:4" x14ac:dyDescent="0.35">
      <c r="A348" s="17">
        <v>36678</v>
      </c>
      <c r="B348" s="58">
        <f>VLOOKUP(Table134[[#This Row],[Date]],database!A:I,8,)</f>
        <v>83.867699999999999</v>
      </c>
      <c r="C348" s="66">
        <f t="shared" si="5"/>
        <v>6.2039145489054537E-3</v>
      </c>
      <c r="D348" s="66">
        <f>(Table134[[#This Row],[Index]]-B336)/B336</f>
        <v>3.2327114008375048E-2</v>
      </c>
    </row>
    <row r="349" spans="1:4" x14ac:dyDescent="0.35">
      <c r="A349" s="17">
        <v>36708</v>
      </c>
      <c r="B349" s="58">
        <f>VLOOKUP(Table134[[#This Row],[Date]],database!A:I,8,)</f>
        <v>83.818399999999997</v>
      </c>
      <c r="C349" s="66">
        <f t="shared" si="5"/>
        <v>-5.8783059509204261E-4</v>
      </c>
      <c r="D349" s="66">
        <f>(Table134[[#This Row],[Index]]-B337)/B337</f>
        <v>2.2214254441326447E-2</v>
      </c>
    </row>
    <row r="350" spans="1:4" x14ac:dyDescent="0.35">
      <c r="A350" s="17">
        <v>36739</v>
      </c>
      <c r="B350" s="58">
        <f>VLOOKUP(Table134[[#This Row],[Date]],database!A:I,8,)</f>
        <v>84.381500000000003</v>
      </c>
      <c r="C350" s="66">
        <f t="shared" si="5"/>
        <v>6.7180953108147978E-3</v>
      </c>
      <c r="D350" s="66">
        <f>(Table134[[#This Row],[Index]]-B338)/B338</f>
        <v>2.791824065625784E-2</v>
      </c>
    </row>
    <row r="351" spans="1:4" x14ac:dyDescent="0.35">
      <c r="A351" s="17">
        <v>36770</v>
      </c>
      <c r="B351" s="58">
        <f>VLOOKUP(Table134[[#This Row],[Date]],database!A:I,8,)</f>
        <v>84.020099999999999</v>
      </c>
      <c r="C351" s="66">
        <f t="shared" si="5"/>
        <v>-4.2829293150750125E-3</v>
      </c>
      <c r="D351" s="66">
        <f>(Table134[[#This Row],[Index]]-B339)/B339</f>
        <v>2.4465454509983744E-2</v>
      </c>
    </row>
    <row r="352" spans="1:4" x14ac:dyDescent="0.35">
      <c r="A352" s="17">
        <v>36800</v>
      </c>
      <c r="B352" s="58">
        <f>VLOOKUP(Table134[[#This Row],[Date]],database!A:I,8,)</f>
        <v>84.572299999999998</v>
      </c>
      <c r="C352" s="66">
        <f t="shared" si="5"/>
        <v>6.5722368814129517E-3</v>
      </c>
      <c r="D352" s="66">
        <f>(Table134[[#This Row],[Index]]-B340)/B340</f>
        <v>2.1018624602052602E-2</v>
      </c>
    </row>
    <row r="353" spans="1:4" x14ac:dyDescent="0.35">
      <c r="A353" s="17">
        <v>36831</v>
      </c>
      <c r="B353" s="58">
        <f>VLOOKUP(Table134[[#This Row],[Date]],database!A:I,8,)</f>
        <v>83.939899999999994</v>
      </c>
      <c r="C353" s="66">
        <f t="shared" si="5"/>
        <v>-7.4776256528438223E-3</v>
      </c>
      <c r="D353" s="66">
        <f>(Table134[[#This Row],[Index]]-B341)/B341</f>
        <v>2.6625416582055695E-3</v>
      </c>
    </row>
    <row r="354" spans="1:4" x14ac:dyDescent="0.35">
      <c r="A354" s="17">
        <v>36861</v>
      </c>
      <c r="B354" s="58">
        <f>VLOOKUP(Table134[[#This Row],[Date]],database!A:I,8,)</f>
        <v>83.499700000000004</v>
      </c>
      <c r="C354" s="66">
        <f t="shared" si="5"/>
        <v>-5.2442283109700449E-3</v>
      </c>
      <c r="D354" s="66">
        <f>(Table134[[#This Row],[Index]]-B342)/B342</f>
        <v>-1.0493546261666658E-2</v>
      </c>
    </row>
    <row r="355" spans="1:4" x14ac:dyDescent="0.35">
      <c r="A355" s="17">
        <v>36892</v>
      </c>
      <c r="B355" s="58">
        <f>VLOOKUP(Table134[[#This Row],[Date]],database!A:I,8,)</f>
        <v>83.744500000000002</v>
      </c>
      <c r="C355" s="66">
        <f t="shared" si="5"/>
        <v>2.9317470601690765E-3</v>
      </c>
      <c r="D355" s="66">
        <f>(Table134[[#This Row],[Index]]-B343)/B343</f>
        <v>4.9006372988416825E-3</v>
      </c>
    </row>
    <row r="356" spans="1:4" x14ac:dyDescent="0.35">
      <c r="A356" s="17">
        <v>36923</v>
      </c>
      <c r="B356" s="58">
        <f>VLOOKUP(Table134[[#This Row],[Date]],database!A:I,8,)</f>
        <v>84.758700000000005</v>
      </c>
      <c r="C356" s="66">
        <f t="shared" si="5"/>
        <v>1.2110646072279296E-2</v>
      </c>
      <c r="D356" s="66">
        <f>(Table134[[#This Row],[Index]]-B344)/B344</f>
        <v>1.159726449210496E-2</v>
      </c>
    </row>
    <row r="357" spans="1:4" x14ac:dyDescent="0.35">
      <c r="A357" s="17">
        <v>36951</v>
      </c>
      <c r="B357" s="58">
        <f>VLOOKUP(Table134[[#This Row],[Date]],database!A:I,8,)</f>
        <v>84.877799999999993</v>
      </c>
      <c r="C357" s="66">
        <f t="shared" si="5"/>
        <v>1.4051654874365216E-3</v>
      </c>
      <c r="D357" s="66">
        <f>(Table134[[#This Row],[Index]]-B345)/B345</f>
        <v>3.0844938593753922E-3</v>
      </c>
    </row>
    <row r="358" spans="1:4" x14ac:dyDescent="0.35">
      <c r="A358" s="17">
        <v>36982</v>
      </c>
      <c r="B358" s="58">
        <f>VLOOKUP(Table134[[#This Row],[Date]],database!A:I,8,)</f>
        <v>85.131</v>
      </c>
      <c r="C358" s="66">
        <f t="shared" si="5"/>
        <v>2.9831121918806325E-3</v>
      </c>
      <c r="D358" s="66">
        <f>(Table134[[#This Row],[Index]]-B346)/B346</f>
        <v>1.8222049457285512E-2</v>
      </c>
    </row>
    <row r="359" spans="1:4" x14ac:dyDescent="0.35">
      <c r="A359" s="17">
        <v>37012</v>
      </c>
      <c r="B359" s="58">
        <f>VLOOKUP(Table134[[#This Row],[Date]],database!A:I,8,)</f>
        <v>85.207899999999995</v>
      </c>
      <c r="C359" s="66">
        <f t="shared" si="5"/>
        <v>9.0331371650753667E-4</v>
      </c>
      <c r="D359" s="66">
        <f>(Table134[[#This Row],[Index]]-B347)/B347</f>
        <v>2.2282982965929399E-2</v>
      </c>
    </row>
    <row r="360" spans="1:4" x14ac:dyDescent="0.35">
      <c r="A360" s="17">
        <v>37043</v>
      </c>
      <c r="B360" s="58">
        <f>VLOOKUP(Table134[[#This Row],[Date]],database!A:I,8,)</f>
        <v>84.332099999999997</v>
      </c>
      <c r="C360" s="66">
        <f t="shared" si="5"/>
        <v>-1.027838967983008E-2</v>
      </c>
      <c r="D360" s="66">
        <f>(Table134[[#This Row],[Index]]-B348)/B348</f>
        <v>5.5372926645180171E-3</v>
      </c>
    </row>
    <row r="361" spans="1:4" x14ac:dyDescent="0.35">
      <c r="A361" s="17">
        <v>37073</v>
      </c>
      <c r="B361" s="58">
        <f>VLOOKUP(Table134[[#This Row],[Date]],database!A:I,8,)</f>
        <v>84.036100000000005</v>
      </c>
      <c r="C361" s="66">
        <f t="shared" si="5"/>
        <v>-3.5099327539571679E-3</v>
      </c>
      <c r="D361" s="66">
        <f>(Table134[[#This Row],[Index]]-B349)/B349</f>
        <v>2.597281742433735E-3</v>
      </c>
    </row>
    <row r="362" spans="1:4" x14ac:dyDescent="0.35">
      <c r="A362" s="17">
        <v>37104</v>
      </c>
      <c r="B362" s="58">
        <f>VLOOKUP(Table134[[#This Row],[Date]],database!A:I,8,)</f>
        <v>84.022900000000007</v>
      </c>
      <c r="C362" s="66">
        <f t="shared" si="5"/>
        <v>-1.5707535214026791E-4</v>
      </c>
      <c r="D362" s="66">
        <f>(Table134[[#This Row],[Index]]-B350)/B350</f>
        <v>-4.2497466861811601E-3</v>
      </c>
    </row>
    <row r="363" spans="1:4" x14ac:dyDescent="0.35">
      <c r="A363" s="17">
        <v>37135</v>
      </c>
      <c r="B363" s="58">
        <f>VLOOKUP(Table134[[#This Row],[Date]],database!A:I,8,)</f>
        <v>84.092699999999994</v>
      </c>
      <c r="C363" s="66">
        <f t="shared" si="5"/>
        <v>8.3072590924593293E-4</v>
      </c>
      <c r="D363" s="66">
        <f>(Table134[[#This Row],[Index]]-B351)/B351</f>
        <v>8.6407895253628867E-4</v>
      </c>
    </row>
    <row r="364" spans="1:4" x14ac:dyDescent="0.35">
      <c r="A364" s="17">
        <v>37165</v>
      </c>
      <c r="B364" s="58">
        <f>VLOOKUP(Table134[[#This Row],[Date]],database!A:I,8,)</f>
        <v>83.666700000000006</v>
      </c>
      <c r="C364" s="66">
        <f t="shared" si="5"/>
        <v>-5.0658380572866646E-3</v>
      </c>
      <c r="D364" s="66">
        <f>(Table134[[#This Row],[Index]]-B352)/B352</f>
        <v>-1.0707997772320165E-2</v>
      </c>
    </row>
    <row r="365" spans="1:4" x14ac:dyDescent="0.35">
      <c r="A365" s="17">
        <v>37196</v>
      </c>
      <c r="B365" s="58">
        <f>VLOOKUP(Table134[[#This Row],[Date]],database!A:I,8,)</f>
        <v>83.030900000000003</v>
      </c>
      <c r="C365" s="66">
        <f t="shared" si="5"/>
        <v>-7.5992001596812964E-3</v>
      </c>
      <c r="D365" s="66">
        <f>(Table134[[#This Row],[Index]]-B353)/B353</f>
        <v>-1.0829176589440681E-2</v>
      </c>
    </row>
    <row r="366" spans="1:4" x14ac:dyDescent="0.35">
      <c r="A366" s="17">
        <v>37226</v>
      </c>
      <c r="B366" s="58">
        <f>VLOOKUP(Table134[[#This Row],[Date]],database!A:I,8,)</f>
        <v>82.144599999999997</v>
      </c>
      <c r="C366" s="66">
        <f t="shared" si="5"/>
        <v>-1.0674339312232051E-2</v>
      </c>
      <c r="D366" s="66">
        <f>(Table134[[#This Row],[Index]]-B354)/B354</f>
        <v>-1.622880082203897E-2</v>
      </c>
    </row>
    <row r="367" spans="1:4" x14ac:dyDescent="0.35">
      <c r="A367" s="17">
        <v>37257</v>
      </c>
      <c r="B367" s="58">
        <f>VLOOKUP(Table134[[#This Row],[Date]],database!A:I,8,)</f>
        <v>81.502200000000002</v>
      </c>
      <c r="C367" s="66">
        <f t="shared" si="5"/>
        <v>-7.8203558115810257E-3</v>
      </c>
      <c r="D367" s="66">
        <f>(Table134[[#This Row],[Index]]-B355)/B355</f>
        <v>-2.6775489733654151E-2</v>
      </c>
    </row>
    <row r="368" spans="1:4" x14ac:dyDescent="0.35">
      <c r="A368" s="17">
        <v>37288</v>
      </c>
      <c r="B368" s="58">
        <f>VLOOKUP(Table134[[#This Row],[Date]],database!A:I,8,)</f>
        <v>81.090699999999998</v>
      </c>
      <c r="C368" s="66">
        <f t="shared" si="5"/>
        <v>-5.0489434641028952E-3</v>
      </c>
      <c r="D368" s="66">
        <f>(Table134[[#This Row],[Index]]-B356)/B356</f>
        <v>-4.3275793517361709E-2</v>
      </c>
    </row>
    <row r="369" spans="1:4" x14ac:dyDescent="0.35">
      <c r="A369" s="17">
        <v>37316</v>
      </c>
      <c r="B369" s="58">
        <f>VLOOKUP(Table134[[#This Row],[Date]],database!A:I,8,)</f>
        <v>80.018799999999999</v>
      </c>
      <c r="C369" s="66">
        <f t="shared" si="5"/>
        <v>-1.3218531841505898E-2</v>
      </c>
      <c r="D369" s="66">
        <f>(Table134[[#This Row],[Index]]-B357)/B357</f>
        <v>-5.7247006873410895E-2</v>
      </c>
    </row>
    <row r="370" spans="1:4" x14ac:dyDescent="0.35">
      <c r="A370" s="17">
        <v>37347</v>
      </c>
      <c r="B370" s="58">
        <f>VLOOKUP(Table134[[#This Row],[Date]],database!A:I,8,)</f>
        <v>80.179900000000004</v>
      </c>
      <c r="C370" s="66">
        <f t="shared" si="5"/>
        <v>2.0132768799332457E-3</v>
      </c>
      <c r="D370" s="66">
        <f>(Table134[[#This Row],[Index]]-B358)/B358</f>
        <v>-5.8158602624190911E-2</v>
      </c>
    </row>
    <row r="371" spans="1:4" x14ac:dyDescent="0.35">
      <c r="A371" s="17">
        <v>37377</v>
      </c>
      <c r="B371" s="58">
        <f>VLOOKUP(Table134[[#This Row],[Date]],database!A:I,8,)</f>
        <v>80.937600000000003</v>
      </c>
      <c r="C371" s="66">
        <f t="shared" si="5"/>
        <v>9.4499993140424454E-3</v>
      </c>
      <c r="D371" s="66">
        <f>(Table134[[#This Row],[Index]]-B359)/B359</f>
        <v>-5.0116245089950488E-2</v>
      </c>
    </row>
    <row r="372" spans="1:4" x14ac:dyDescent="0.35">
      <c r="A372" s="17">
        <v>37408</v>
      </c>
      <c r="B372" s="58">
        <f>VLOOKUP(Table134[[#This Row],[Date]],database!A:I,8,)</f>
        <v>80.931899999999999</v>
      </c>
      <c r="C372" s="66">
        <f t="shared" si="5"/>
        <v>-7.0424623413667398E-5</v>
      </c>
      <c r="D372" s="66">
        <f>(Table134[[#This Row],[Index]]-B360)/B360</f>
        <v>-4.031916672299158E-2</v>
      </c>
    </row>
    <row r="373" spans="1:4" x14ac:dyDescent="0.35">
      <c r="A373" s="17">
        <v>37438</v>
      </c>
      <c r="B373" s="58">
        <f>VLOOKUP(Table134[[#This Row],[Date]],database!A:I,8,)</f>
        <v>80.403499999999994</v>
      </c>
      <c r="C373" s="66">
        <f t="shared" si="5"/>
        <v>-6.5289459409701989E-3</v>
      </c>
      <c r="D373" s="66">
        <f>(Table134[[#This Row],[Index]]-B361)/B361</f>
        <v>-4.3226660923103413E-2</v>
      </c>
    </row>
    <row r="374" spans="1:4" x14ac:dyDescent="0.35">
      <c r="A374" s="17">
        <v>37469</v>
      </c>
      <c r="B374" s="58">
        <f>VLOOKUP(Table134[[#This Row],[Date]],database!A:I,8,)</f>
        <v>80.763599999999997</v>
      </c>
      <c r="C374" s="66">
        <f t="shared" si="5"/>
        <v>4.4786607548179536E-3</v>
      </c>
      <c r="D374" s="66">
        <f>(Table134[[#This Row],[Index]]-B362)/B362</f>
        <v>-3.8790615415559448E-2</v>
      </c>
    </row>
    <row r="375" spans="1:4" x14ac:dyDescent="0.35">
      <c r="A375" s="17">
        <v>37500</v>
      </c>
      <c r="B375" s="58">
        <f>VLOOKUP(Table134[[#This Row],[Date]],database!A:I,8,)</f>
        <v>79.122299999999996</v>
      </c>
      <c r="C375" s="66">
        <f t="shared" si="5"/>
        <v>-2.0322273895665877E-2</v>
      </c>
      <c r="D375" s="66">
        <f>(Table134[[#This Row],[Index]]-B363)/B363</f>
        <v>-5.910620065713193E-2</v>
      </c>
    </row>
    <row r="376" spans="1:4" x14ac:dyDescent="0.35">
      <c r="A376" s="17">
        <v>37530</v>
      </c>
      <c r="B376" s="58">
        <f>VLOOKUP(Table134[[#This Row],[Date]],database!A:I,8,)</f>
        <v>77.730500000000006</v>
      </c>
      <c r="C376" s="66">
        <f t="shared" si="5"/>
        <v>-1.7590489659678576E-2</v>
      </c>
      <c r="D376" s="66">
        <f>(Table134[[#This Row],[Index]]-B364)/B364</f>
        <v>-7.0950569342402639E-2</v>
      </c>
    </row>
    <row r="377" spans="1:4" x14ac:dyDescent="0.35">
      <c r="A377" s="17">
        <v>37561</v>
      </c>
      <c r="B377" s="58">
        <f>VLOOKUP(Table134[[#This Row],[Date]],database!A:I,8,)</f>
        <v>79.733400000000003</v>
      </c>
      <c r="C377" s="66">
        <f t="shared" si="5"/>
        <v>2.57672342259474E-2</v>
      </c>
      <c r="D377" s="66">
        <f>(Table134[[#This Row],[Index]]-B365)/B365</f>
        <v>-3.9714130522492223E-2</v>
      </c>
    </row>
    <row r="378" spans="1:4" x14ac:dyDescent="0.35">
      <c r="A378" s="17">
        <v>37591</v>
      </c>
      <c r="B378" s="58">
        <f>VLOOKUP(Table134[[#This Row],[Date]],database!A:I,8,)</f>
        <v>80.207599999999999</v>
      </c>
      <c r="C378" s="66">
        <f t="shared" si="5"/>
        <v>5.9473194420405218E-3</v>
      </c>
      <c r="D378" s="66">
        <f>(Table134[[#This Row],[Index]]-B366)/B366</f>
        <v>-2.3580369251295856E-2</v>
      </c>
    </row>
    <row r="379" spans="1:4" x14ac:dyDescent="0.35">
      <c r="A379" s="17">
        <v>37622</v>
      </c>
      <c r="B379" s="58">
        <f>VLOOKUP(Table134[[#This Row],[Date]],database!A:I,8,)</f>
        <v>80.407300000000006</v>
      </c>
      <c r="C379" s="66">
        <f t="shared" si="5"/>
        <v>2.4897889975514786E-3</v>
      </c>
      <c r="D379" s="66">
        <f>(Table134[[#This Row],[Index]]-B367)/B367</f>
        <v>-1.3433993192821734E-2</v>
      </c>
    </row>
    <row r="380" spans="1:4" x14ac:dyDescent="0.35">
      <c r="A380" s="17">
        <v>37653</v>
      </c>
      <c r="B380" s="58">
        <f>VLOOKUP(Table134[[#This Row],[Date]],database!A:I,8,)</f>
        <v>80.492900000000006</v>
      </c>
      <c r="C380" s="66">
        <f t="shared" si="5"/>
        <v>1.0645799572923664E-3</v>
      </c>
      <c r="D380" s="66">
        <f>(Table134[[#This Row],[Index]]-B368)/B368</f>
        <v>-7.3719921026701258E-3</v>
      </c>
    </row>
    <row r="381" spans="1:4" x14ac:dyDescent="0.35">
      <c r="A381" s="17">
        <v>37681</v>
      </c>
      <c r="B381" s="58">
        <f>VLOOKUP(Table134[[#This Row],[Date]],database!A:I,8,)</f>
        <v>80.376199999999997</v>
      </c>
      <c r="C381" s="66">
        <f t="shared" si="5"/>
        <v>-1.4498173130799152E-3</v>
      </c>
      <c r="D381" s="66">
        <f>(Table134[[#This Row],[Index]]-B369)/B369</f>
        <v>4.4664503841597026E-3</v>
      </c>
    </row>
    <row r="382" spans="1:4" x14ac:dyDescent="0.35">
      <c r="A382" s="17">
        <v>37712</v>
      </c>
      <c r="B382" s="58">
        <f>VLOOKUP(Table134[[#This Row],[Date]],database!A:I,8,)</f>
        <v>80.153999999999996</v>
      </c>
      <c r="C382" s="66">
        <f t="shared" si="5"/>
        <v>-2.7644999390367131E-3</v>
      </c>
      <c r="D382" s="66">
        <f>(Table134[[#This Row],[Index]]-B370)/B370</f>
        <v>-3.2302360067806445E-4</v>
      </c>
    </row>
    <row r="383" spans="1:4" x14ac:dyDescent="0.35">
      <c r="A383" s="17">
        <v>37742</v>
      </c>
      <c r="B383" s="58">
        <f>VLOOKUP(Table134[[#This Row],[Date]],database!A:I,8,)</f>
        <v>79.6404</v>
      </c>
      <c r="C383" s="66">
        <f t="shared" si="5"/>
        <v>-6.4076652444045035E-3</v>
      </c>
      <c r="D383" s="66">
        <f>(Table134[[#This Row],[Index]]-B371)/B371</f>
        <v>-1.6027161665282931E-2</v>
      </c>
    </row>
    <row r="384" spans="1:4" x14ac:dyDescent="0.35">
      <c r="A384" s="17">
        <v>37773</v>
      </c>
      <c r="B384" s="58">
        <f>VLOOKUP(Table134[[#This Row],[Date]],database!A:I,8,)</f>
        <v>79.800799999999995</v>
      </c>
      <c r="C384" s="66">
        <f t="shared" si="5"/>
        <v>2.0140531689945007E-3</v>
      </c>
      <c r="D384" s="66">
        <f>(Table134[[#This Row],[Index]]-B372)/B372</f>
        <v>-1.3975947679468833E-2</v>
      </c>
    </row>
    <row r="385" spans="1:4" x14ac:dyDescent="0.35">
      <c r="A385" s="17">
        <v>37803</v>
      </c>
      <c r="B385" s="58">
        <f>VLOOKUP(Table134[[#This Row],[Date]],database!A:I,8,)</f>
        <v>79.480800000000002</v>
      </c>
      <c r="C385" s="66">
        <f t="shared" si="5"/>
        <v>-4.0099848623070811E-3</v>
      </c>
      <c r="D385" s="66">
        <f>(Table134[[#This Row],[Index]]-B373)/B373</f>
        <v>-1.1475868587810132E-2</v>
      </c>
    </row>
    <row r="386" spans="1:4" x14ac:dyDescent="0.35">
      <c r="A386" s="17">
        <v>37834</v>
      </c>
      <c r="B386" s="58">
        <f>VLOOKUP(Table134[[#This Row],[Date]],database!A:I,8,)</f>
        <v>80.560400000000001</v>
      </c>
      <c r="C386" s="66">
        <f t="shared" si="5"/>
        <v>1.3583154673833198E-2</v>
      </c>
      <c r="D386" s="66">
        <f>(Table134[[#This Row],[Index]]-B374)/B374</f>
        <v>-2.5159849239013046E-3</v>
      </c>
    </row>
    <row r="387" spans="1:4" x14ac:dyDescent="0.35">
      <c r="A387" s="17">
        <v>37865</v>
      </c>
      <c r="B387" s="58">
        <f>VLOOKUP(Table134[[#This Row],[Date]],database!A:I,8,)</f>
        <v>81.050700000000006</v>
      </c>
      <c r="C387" s="66">
        <f t="shared" si="5"/>
        <v>6.086116752151316E-3</v>
      </c>
      <c r="D387" s="66">
        <f>(Table134[[#This Row],[Index]]-B375)/B375</f>
        <v>2.437239564572833E-2</v>
      </c>
    </row>
    <row r="388" spans="1:4" x14ac:dyDescent="0.35">
      <c r="A388" s="17">
        <v>37895</v>
      </c>
      <c r="B388" s="58">
        <f>VLOOKUP(Table134[[#This Row],[Date]],database!A:I,8,)</f>
        <v>80.930899999999994</v>
      </c>
      <c r="C388" s="66">
        <f t="shared" si="5"/>
        <v>-1.4780871725970091E-3</v>
      </c>
      <c r="D388" s="66">
        <f>(Table134[[#This Row],[Index]]-B376)/B376</f>
        <v>4.1173027318748591E-2</v>
      </c>
    </row>
    <row r="389" spans="1:4" x14ac:dyDescent="0.35">
      <c r="A389" s="17">
        <v>37926</v>
      </c>
      <c r="B389" s="58">
        <f>VLOOKUP(Table134[[#This Row],[Date]],database!A:I,8,)</f>
        <v>80.502799999999993</v>
      </c>
      <c r="C389" s="66">
        <f t="shared" si="5"/>
        <v>-5.2896977545041635E-3</v>
      </c>
      <c r="D389" s="66">
        <f>(Table134[[#This Row],[Index]]-B377)/B377</f>
        <v>9.6496574835638546E-3</v>
      </c>
    </row>
    <row r="390" spans="1:4" x14ac:dyDescent="0.35">
      <c r="A390" s="17">
        <v>37956</v>
      </c>
      <c r="B390" s="58">
        <f>VLOOKUP(Table134[[#This Row],[Date]],database!A:I,8,)</f>
        <v>80.500500000000002</v>
      </c>
      <c r="C390" s="66">
        <f t="shared" si="5"/>
        <v>-2.8570434817076773E-5</v>
      </c>
      <c r="D390" s="66">
        <f>(Table134[[#This Row],[Index]]-B378)/B378</f>
        <v>3.651773647385074E-3</v>
      </c>
    </row>
    <row r="391" spans="1:4" x14ac:dyDescent="0.35">
      <c r="A391" s="17">
        <v>37987</v>
      </c>
      <c r="B391" s="58">
        <f>VLOOKUP(Table134[[#This Row],[Date]],database!A:I,8,)</f>
        <v>81.11</v>
      </c>
      <c r="C391" s="66">
        <f t="shared" si="5"/>
        <v>7.5713815442139953E-3</v>
      </c>
      <c r="D391" s="66">
        <f>(Table134[[#This Row],[Index]]-B379)/B379</f>
        <v>8.7392562615582533E-3</v>
      </c>
    </row>
    <row r="392" spans="1:4" x14ac:dyDescent="0.35">
      <c r="A392" s="17">
        <v>38018</v>
      </c>
      <c r="B392" s="58">
        <f>VLOOKUP(Table134[[#This Row],[Date]],database!A:I,8,)</f>
        <v>80.23</v>
      </c>
      <c r="C392" s="66">
        <f t="shared" ref="C392:C455" si="6">B392/B391-1</f>
        <v>-1.0849463691283368E-2</v>
      </c>
      <c r="D392" s="66">
        <f>(Table134[[#This Row],[Index]]-B380)/B380</f>
        <v>-3.2661265776236402E-3</v>
      </c>
    </row>
    <row r="393" spans="1:4" x14ac:dyDescent="0.35">
      <c r="A393" s="17">
        <v>38047</v>
      </c>
      <c r="B393" s="58">
        <f>VLOOKUP(Table134[[#This Row],[Date]],database!A:I,8,)</f>
        <v>80.486099999999993</v>
      </c>
      <c r="C393" s="66">
        <f t="shared" si="6"/>
        <v>3.192072790726419E-3</v>
      </c>
      <c r="D393" s="66">
        <f>(Table134[[#This Row],[Index]]-B381)/B381</f>
        <v>1.3673201768682286E-3</v>
      </c>
    </row>
    <row r="394" spans="1:4" x14ac:dyDescent="0.35">
      <c r="A394" s="17">
        <v>38078</v>
      </c>
      <c r="B394" s="58">
        <f>VLOOKUP(Table134[[#This Row],[Date]],database!A:I,8,)</f>
        <v>80.236500000000007</v>
      </c>
      <c r="C394" s="66">
        <f t="shared" si="6"/>
        <v>-3.1011565972259847E-3</v>
      </c>
      <c r="D394" s="66">
        <f>(Table134[[#This Row],[Index]]-B382)/B382</f>
        <v>1.0292686578337979E-3</v>
      </c>
    </row>
    <row r="395" spans="1:4" x14ac:dyDescent="0.35">
      <c r="A395" s="17">
        <v>38108</v>
      </c>
      <c r="B395" s="58">
        <f>VLOOKUP(Table134[[#This Row],[Date]],database!A:I,8,)</f>
        <v>79.898499999999999</v>
      </c>
      <c r="C395" s="66">
        <f t="shared" si="6"/>
        <v>-4.2125466589396643E-3</v>
      </c>
      <c r="D395" s="66">
        <f>(Table134[[#This Row],[Index]]-B383)/B383</f>
        <v>3.2408174745480797E-3</v>
      </c>
    </row>
    <row r="396" spans="1:4" x14ac:dyDescent="0.35">
      <c r="A396" s="17">
        <v>38139</v>
      </c>
      <c r="B396" s="58">
        <f>VLOOKUP(Table134[[#This Row],[Date]],database!A:I,8,)</f>
        <v>79.809700000000007</v>
      </c>
      <c r="C396" s="66">
        <f t="shared" si="6"/>
        <v>-1.1114101015662348E-3</v>
      </c>
      <c r="D396" s="66">
        <f>(Table134[[#This Row],[Index]]-B384)/B384</f>
        <v>1.1152770398305823E-4</v>
      </c>
    </row>
    <row r="397" spans="1:4" x14ac:dyDescent="0.35">
      <c r="A397" s="17">
        <v>38169</v>
      </c>
      <c r="B397" s="58">
        <f>VLOOKUP(Table134[[#This Row],[Date]],database!A:I,8,)</f>
        <v>81.2119</v>
      </c>
      <c r="C397" s="66">
        <f t="shared" si="6"/>
        <v>1.7569292955618154E-2</v>
      </c>
      <c r="D397" s="66">
        <f>(Table134[[#This Row],[Index]]-B385)/B385</f>
        <v>2.1780102867610767E-2</v>
      </c>
    </row>
    <row r="398" spans="1:4" x14ac:dyDescent="0.35">
      <c r="A398" s="17">
        <v>38200</v>
      </c>
      <c r="B398" s="58">
        <f>VLOOKUP(Table134[[#This Row],[Date]],database!A:I,8,)</f>
        <v>80.575900000000004</v>
      </c>
      <c r="C398" s="66">
        <f t="shared" si="6"/>
        <v>-7.8313646152841088E-3</v>
      </c>
      <c r="D398" s="66">
        <f>(Table134[[#This Row],[Index]]-B386)/B386</f>
        <v>1.9240222243190148E-4</v>
      </c>
    </row>
    <row r="399" spans="1:4" x14ac:dyDescent="0.35">
      <c r="A399" s="17">
        <v>38231</v>
      </c>
      <c r="B399" s="58">
        <f>VLOOKUP(Table134[[#This Row],[Date]],database!A:I,8,)</f>
        <v>78.290000000000006</v>
      </c>
      <c r="C399" s="66">
        <f t="shared" si="6"/>
        <v>-2.8369524882750241E-2</v>
      </c>
      <c r="D399" s="66">
        <f>(Table134[[#This Row],[Index]]-B387)/B387</f>
        <v>-3.4061396138466413E-2</v>
      </c>
    </row>
    <row r="400" spans="1:4" x14ac:dyDescent="0.35">
      <c r="A400" s="17">
        <v>38261</v>
      </c>
      <c r="B400" s="58">
        <f>VLOOKUP(Table134[[#This Row],[Date]],database!A:I,8,)</f>
        <v>79.2166</v>
      </c>
      <c r="C400" s="66">
        <f t="shared" si="6"/>
        <v>1.1835483458934704E-2</v>
      </c>
      <c r="D400" s="66">
        <f>(Table134[[#This Row],[Index]]-B388)/B388</f>
        <v>-2.1182267835894504E-2</v>
      </c>
    </row>
    <row r="401" spans="1:4" x14ac:dyDescent="0.35">
      <c r="A401" s="17">
        <v>38292</v>
      </c>
      <c r="B401" s="58">
        <f>VLOOKUP(Table134[[#This Row],[Date]],database!A:I,8,)</f>
        <v>80.901200000000003</v>
      </c>
      <c r="C401" s="66">
        <f t="shared" si="6"/>
        <v>2.1265744806012954E-2</v>
      </c>
      <c r="D401" s="66">
        <f>(Table134[[#This Row],[Index]]-B389)/B389</f>
        <v>4.9488961874619196E-3</v>
      </c>
    </row>
    <row r="402" spans="1:4" x14ac:dyDescent="0.35">
      <c r="A402" s="17">
        <v>38322</v>
      </c>
      <c r="B402" s="58">
        <f>VLOOKUP(Table134[[#This Row],[Date]],database!A:I,8,)</f>
        <v>80.878200000000007</v>
      </c>
      <c r="C402" s="66">
        <f t="shared" si="6"/>
        <v>-2.8429738990265463E-4</v>
      </c>
      <c r="D402" s="66">
        <f>(Table134[[#This Row],[Index]]-B390)/B390</f>
        <v>4.6918963236253731E-3</v>
      </c>
    </row>
    <row r="403" spans="1:4" x14ac:dyDescent="0.35">
      <c r="A403" s="17">
        <v>38353</v>
      </c>
      <c r="B403" s="58">
        <f>VLOOKUP(Table134[[#This Row],[Date]],database!A:I,8,)</f>
        <v>80.798699999999997</v>
      </c>
      <c r="C403" s="66">
        <f t="shared" si="6"/>
        <v>-9.8295956141469798E-4</v>
      </c>
      <c r="D403" s="66">
        <f>(Table134[[#This Row],[Index]]-B391)/B391</f>
        <v>-3.8379977807915522E-3</v>
      </c>
    </row>
    <row r="404" spans="1:4" x14ac:dyDescent="0.35">
      <c r="A404" s="17">
        <v>38384</v>
      </c>
      <c r="B404" s="58">
        <f>VLOOKUP(Table134[[#This Row],[Date]],database!A:I,8,)</f>
        <v>81.843800000000002</v>
      </c>
      <c r="C404" s="66">
        <f t="shared" si="6"/>
        <v>1.2934614047008353E-2</v>
      </c>
      <c r="D404" s="66">
        <f>(Table134[[#This Row],[Index]]-B392)/B392</f>
        <v>2.0114670322821857E-2</v>
      </c>
    </row>
    <row r="405" spans="1:4" x14ac:dyDescent="0.35">
      <c r="A405" s="17">
        <v>38412</v>
      </c>
      <c r="B405" s="58">
        <f>VLOOKUP(Table134[[#This Row],[Date]],database!A:I,8,)</f>
        <v>81.655699999999996</v>
      </c>
      <c r="C405" s="66">
        <f t="shared" si="6"/>
        <v>-2.298280382875717E-3</v>
      </c>
      <c r="D405" s="66">
        <f>(Table134[[#This Row],[Index]]-B393)/B393</f>
        <v>1.4531701747258256E-2</v>
      </c>
    </row>
    <row r="406" spans="1:4" x14ac:dyDescent="0.35">
      <c r="A406" s="17">
        <v>38443</v>
      </c>
      <c r="B406" s="58">
        <f>VLOOKUP(Table134[[#This Row],[Date]],database!A:I,8,)</f>
        <v>81.889200000000002</v>
      </c>
      <c r="C406" s="66">
        <f t="shared" si="6"/>
        <v>2.8595676725569064E-3</v>
      </c>
      <c r="D406" s="66">
        <f>(Table134[[#This Row],[Index]]-B394)/B394</f>
        <v>2.0597857583518668E-2</v>
      </c>
    </row>
    <row r="407" spans="1:4" x14ac:dyDescent="0.35">
      <c r="A407" s="17">
        <v>38473</v>
      </c>
      <c r="B407" s="58">
        <f>VLOOKUP(Table134[[#This Row],[Date]],database!A:I,8,)</f>
        <v>81.038600000000002</v>
      </c>
      <c r="C407" s="66">
        <f t="shared" si="6"/>
        <v>-1.0387206127303705E-2</v>
      </c>
      <c r="D407" s="66">
        <f>(Table134[[#This Row],[Index]]-B395)/B395</f>
        <v>1.4269354243196104E-2</v>
      </c>
    </row>
    <row r="408" spans="1:4" x14ac:dyDescent="0.35">
      <c r="A408" s="17">
        <v>38504</v>
      </c>
      <c r="B408" s="58">
        <f>VLOOKUP(Table134[[#This Row],[Date]],database!A:I,8,)</f>
        <v>81.008499999999998</v>
      </c>
      <c r="C408" s="66">
        <f t="shared" si="6"/>
        <v>-3.7142793681044228E-4</v>
      </c>
      <c r="D408" s="66">
        <f>(Table134[[#This Row],[Index]]-B396)/B396</f>
        <v>1.5020730562826214E-2</v>
      </c>
    </row>
    <row r="409" spans="1:4" x14ac:dyDescent="0.35">
      <c r="A409" s="17">
        <v>38534</v>
      </c>
      <c r="B409" s="58">
        <f>VLOOKUP(Table134[[#This Row],[Date]],database!A:I,8,)</f>
        <v>80.685299999999998</v>
      </c>
      <c r="C409" s="66">
        <f t="shared" si="6"/>
        <v>-3.9897047840659061E-3</v>
      </c>
      <c r="D409" s="66">
        <f>(Table134[[#This Row],[Index]]-B397)/B397</f>
        <v>-6.4842713937243428E-3</v>
      </c>
    </row>
    <row r="410" spans="1:4" x14ac:dyDescent="0.35">
      <c r="A410" s="17">
        <v>38565</v>
      </c>
      <c r="B410" s="58">
        <f>VLOOKUP(Table134[[#This Row],[Date]],database!A:I,8,)</f>
        <v>80.300700000000006</v>
      </c>
      <c r="C410" s="66">
        <f t="shared" si="6"/>
        <v>-4.7666675342347142E-3</v>
      </c>
      <c r="D410" s="66">
        <f>(Table134[[#This Row],[Index]]-B398)/B398</f>
        <v>-3.4154132935530113E-3</v>
      </c>
    </row>
    <row r="411" spans="1:4" x14ac:dyDescent="0.35">
      <c r="A411" s="17">
        <v>38596</v>
      </c>
      <c r="B411" s="58">
        <f>VLOOKUP(Table134[[#This Row],[Date]],database!A:I,8,)</f>
        <v>72.559799999999996</v>
      </c>
      <c r="C411" s="66">
        <f t="shared" si="6"/>
        <v>-9.6398910594801879E-2</v>
      </c>
      <c r="D411" s="66">
        <f>(Table134[[#This Row],[Index]]-B399)/B399</f>
        <v>-7.3191978541320854E-2</v>
      </c>
    </row>
    <row r="412" spans="1:4" x14ac:dyDescent="0.35">
      <c r="A412" s="17">
        <v>38626</v>
      </c>
      <c r="B412" s="58">
        <f>VLOOKUP(Table134[[#This Row],[Date]],database!A:I,8,)</f>
        <v>74.261700000000005</v>
      </c>
      <c r="C412" s="66">
        <f t="shared" si="6"/>
        <v>2.3455136315149838E-2</v>
      </c>
      <c r="D412" s="66">
        <f>(Table134[[#This Row],[Index]]-B400)/B400</f>
        <v>-6.2548758719763217E-2</v>
      </c>
    </row>
    <row r="413" spans="1:4" x14ac:dyDescent="0.35">
      <c r="A413" s="17">
        <v>38657</v>
      </c>
      <c r="B413" s="58">
        <f>VLOOKUP(Table134[[#This Row],[Date]],database!A:I,8,)</f>
        <v>77.391999999999996</v>
      </c>
      <c r="C413" s="66">
        <f t="shared" si="6"/>
        <v>4.2152280381407836E-2</v>
      </c>
      <c r="D413" s="66">
        <f>(Table134[[#This Row],[Index]]-B401)/B401</f>
        <v>-4.3376365245509425E-2</v>
      </c>
    </row>
    <row r="414" spans="1:4" x14ac:dyDescent="0.35">
      <c r="A414" s="17">
        <v>38687</v>
      </c>
      <c r="B414" s="58">
        <f>VLOOKUP(Table134[[#This Row],[Date]],database!A:I,8,)</f>
        <v>78.246899999999997</v>
      </c>
      <c r="C414" s="66">
        <f t="shared" si="6"/>
        <v>1.1046361381021219E-2</v>
      </c>
      <c r="D414" s="66">
        <f>(Table134[[#This Row],[Index]]-B402)/B402</f>
        <v>-3.2534106842140524E-2</v>
      </c>
    </row>
    <row r="415" spans="1:4" x14ac:dyDescent="0.35">
      <c r="A415" s="17">
        <v>38718</v>
      </c>
      <c r="B415" s="58">
        <f>VLOOKUP(Table134[[#This Row],[Date]],database!A:I,8,)</f>
        <v>80.2684</v>
      </c>
      <c r="C415" s="66">
        <f t="shared" si="6"/>
        <v>2.5834889305518915E-2</v>
      </c>
      <c r="D415" s="66">
        <f>(Table134[[#This Row],[Index]]-B403)/B403</f>
        <v>-6.5632244083134615E-3</v>
      </c>
    </row>
    <row r="416" spans="1:4" x14ac:dyDescent="0.35">
      <c r="A416" s="17">
        <v>38749</v>
      </c>
      <c r="B416" s="58">
        <f>VLOOKUP(Table134[[#This Row],[Date]],database!A:I,8,)</f>
        <v>79.805999999999997</v>
      </c>
      <c r="C416" s="66">
        <f t="shared" si="6"/>
        <v>-5.7606729422786662E-3</v>
      </c>
      <c r="D416" s="66">
        <f>(Table134[[#This Row],[Index]]-B404)/B404</f>
        <v>-2.4898648400978499E-2</v>
      </c>
    </row>
    <row r="417" spans="1:4" x14ac:dyDescent="0.35">
      <c r="A417" s="17">
        <v>38777</v>
      </c>
      <c r="B417" s="58">
        <f>VLOOKUP(Table134[[#This Row],[Date]],database!A:I,8,)</f>
        <v>79.884100000000004</v>
      </c>
      <c r="C417" s="66">
        <f t="shared" si="6"/>
        <v>9.7862316116592574E-4</v>
      </c>
      <c r="D417" s="66">
        <f>(Table134[[#This Row],[Index]]-B405)/B405</f>
        <v>-2.169597468394726E-2</v>
      </c>
    </row>
    <row r="418" spans="1:4" x14ac:dyDescent="0.35">
      <c r="A418" s="17">
        <v>38808</v>
      </c>
      <c r="B418" s="58">
        <f>VLOOKUP(Table134[[#This Row],[Date]],database!A:I,8,)</f>
        <v>80.511899999999997</v>
      </c>
      <c r="C418" s="66">
        <f t="shared" si="6"/>
        <v>7.858885560455553E-3</v>
      </c>
      <c r="D418" s="66">
        <f>(Table134[[#This Row],[Index]]-B406)/B406</f>
        <v>-1.6819067715889337E-2</v>
      </c>
    </row>
    <row r="419" spans="1:4" x14ac:dyDescent="0.35">
      <c r="A419" s="17">
        <v>38838</v>
      </c>
      <c r="B419" s="58">
        <f>VLOOKUP(Table134[[#This Row],[Date]],database!A:I,8,)</f>
        <v>81.162199999999999</v>
      </c>
      <c r="C419" s="66">
        <f t="shared" si="6"/>
        <v>8.0770668683760594E-3</v>
      </c>
      <c r="D419" s="66">
        <f>(Table134[[#This Row],[Index]]-B407)/B407</f>
        <v>1.5251991026498009E-3</v>
      </c>
    </row>
    <row r="420" spans="1:4" x14ac:dyDescent="0.35">
      <c r="A420" s="17">
        <v>38869</v>
      </c>
      <c r="B420" s="58">
        <f>VLOOKUP(Table134[[#This Row],[Date]],database!A:I,8,)</f>
        <v>81.580100000000002</v>
      </c>
      <c r="C420" s="66">
        <f t="shared" si="6"/>
        <v>5.1489486485087888E-3</v>
      </c>
      <c r="D420" s="66">
        <f>(Table134[[#This Row],[Index]]-B408)/B408</f>
        <v>7.0560496737997087E-3</v>
      </c>
    </row>
    <row r="421" spans="1:4" x14ac:dyDescent="0.35">
      <c r="A421" s="17">
        <v>38899</v>
      </c>
      <c r="B421" s="58">
        <f>VLOOKUP(Table134[[#This Row],[Date]],database!A:I,8,)</f>
        <v>81.931299999999993</v>
      </c>
      <c r="C421" s="66">
        <f t="shared" si="6"/>
        <v>4.3049714329841393E-3</v>
      </c>
      <c r="D421" s="66">
        <f>(Table134[[#This Row],[Index]]-B409)/B409</f>
        <v>1.5442713852461293E-2</v>
      </c>
    </row>
    <row r="422" spans="1:4" x14ac:dyDescent="0.35">
      <c r="A422" s="17">
        <v>38930</v>
      </c>
      <c r="B422" s="58">
        <f>VLOOKUP(Table134[[#This Row],[Date]],database!A:I,8,)</f>
        <v>81.690799999999996</v>
      </c>
      <c r="C422" s="66">
        <f t="shared" si="6"/>
        <v>-2.9353861100702705E-3</v>
      </c>
      <c r="D422" s="66">
        <f>(Table134[[#This Row],[Index]]-B410)/B410</f>
        <v>1.7311181596175246E-2</v>
      </c>
    </row>
    <row r="423" spans="1:4" x14ac:dyDescent="0.35">
      <c r="A423" s="17">
        <v>38961</v>
      </c>
      <c r="B423" s="58">
        <f>VLOOKUP(Table134[[#This Row],[Date]],database!A:I,8,)</f>
        <v>82.024699999999996</v>
      </c>
      <c r="C423" s="66">
        <f t="shared" si="6"/>
        <v>4.0873635709284262E-3</v>
      </c>
      <c r="D423" s="66">
        <f>(Table134[[#This Row],[Index]]-B411)/B411</f>
        <v>0.13044275204727687</v>
      </c>
    </row>
    <row r="424" spans="1:4" x14ac:dyDescent="0.35">
      <c r="A424" s="17">
        <v>38991</v>
      </c>
      <c r="B424" s="58">
        <f>VLOOKUP(Table134[[#This Row],[Date]],database!A:I,8,)</f>
        <v>82.405799999999999</v>
      </c>
      <c r="C424" s="66">
        <f t="shared" si="6"/>
        <v>4.6461614611208457E-3</v>
      </c>
      <c r="D424" s="66">
        <f>(Table134[[#This Row],[Index]]-B412)/B412</f>
        <v>0.10966756753481262</v>
      </c>
    </row>
    <row r="425" spans="1:4" x14ac:dyDescent="0.35">
      <c r="A425" s="17">
        <v>39022</v>
      </c>
      <c r="B425" s="58">
        <f>VLOOKUP(Table134[[#This Row],[Date]],database!A:I,8,)</f>
        <v>81.284899999999993</v>
      </c>
      <c r="C425" s="66">
        <f t="shared" si="6"/>
        <v>-1.3602197903545665E-2</v>
      </c>
      <c r="D425" s="66">
        <f>(Table134[[#This Row],[Index]]-B413)/B413</f>
        <v>5.030106470953067E-2</v>
      </c>
    </row>
    <row r="426" spans="1:4" x14ac:dyDescent="0.35">
      <c r="A426" s="17">
        <v>39052</v>
      </c>
      <c r="B426" s="58">
        <f>VLOOKUP(Table134[[#This Row],[Date]],database!A:I,8,)</f>
        <v>82.572299999999998</v>
      </c>
      <c r="C426" s="66">
        <f t="shared" si="6"/>
        <v>1.5838119995226663E-2</v>
      </c>
      <c r="D426" s="66">
        <f>(Table134[[#This Row],[Index]]-B414)/B414</f>
        <v>5.5278867277809118E-2</v>
      </c>
    </row>
    <row r="427" spans="1:4" x14ac:dyDescent="0.35">
      <c r="A427" s="17">
        <v>39083</v>
      </c>
      <c r="B427" s="58">
        <f>VLOOKUP(Table134[[#This Row],[Date]],database!A:I,8,)</f>
        <v>80.695099999999996</v>
      </c>
      <c r="C427" s="66">
        <f t="shared" si="6"/>
        <v>-2.2734016128895584E-2</v>
      </c>
      <c r="D427" s="66">
        <f>(Table134[[#This Row],[Index]]-B415)/B415</f>
        <v>5.3159151048232777E-3</v>
      </c>
    </row>
    <row r="428" spans="1:4" x14ac:dyDescent="0.35">
      <c r="A428" s="17">
        <v>39114</v>
      </c>
      <c r="B428" s="58">
        <f>VLOOKUP(Table134[[#This Row],[Date]],database!A:I,8,)</f>
        <v>81.465500000000006</v>
      </c>
      <c r="C428" s="66">
        <f t="shared" si="6"/>
        <v>9.5470480859434215E-3</v>
      </c>
      <c r="D428" s="66">
        <f>(Table134[[#This Row],[Index]]-B416)/B416</f>
        <v>2.079417587650062E-2</v>
      </c>
    </row>
    <row r="429" spans="1:4" x14ac:dyDescent="0.35">
      <c r="A429" s="17">
        <v>39142</v>
      </c>
      <c r="B429" s="58">
        <f>VLOOKUP(Table134[[#This Row],[Date]],database!A:I,8,)</f>
        <v>81.471100000000007</v>
      </c>
      <c r="C429" s="66">
        <f t="shared" si="6"/>
        <v>6.8740755289065092E-5</v>
      </c>
      <c r="D429" s="66">
        <f>(Table134[[#This Row],[Index]]-B417)/B417</f>
        <v>1.9866281274997191E-2</v>
      </c>
    </row>
    <row r="430" spans="1:4" x14ac:dyDescent="0.35">
      <c r="A430" s="17">
        <v>39173</v>
      </c>
      <c r="B430" s="58">
        <f>VLOOKUP(Table134[[#This Row],[Date]],database!A:I,8,)</f>
        <v>81.664100000000005</v>
      </c>
      <c r="C430" s="66">
        <f t="shared" si="6"/>
        <v>2.3689381878972959E-3</v>
      </c>
      <c r="D430" s="66">
        <f>(Table134[[#This Row],[Index]]-B418)/B418</f>
        <v>1.4310927949781432E-2</v>
      </c>
    </row>
    <row r="431" spans="1:4" x14ac:dyDescent="0.35">
      <c r="A431" s="17">
        <v>39203</v>
      </c>
      <c r="B431" s="58">
        <f>VLOOKUP(Table134[[#This Row],[Date]],database!A:I,8,)</f>
        <v>82.290099999999995</v>
      </c>
      <c r="C431" s="66">
        <f t="shared" si="6"/>
        <v>7.6655470396416181E-3</v>
      </c>
      <c r="D431" s="66">
        <f>(Table134[[#This Row],[Index]]-B419)/B419</f>
        <v>1.3896863318145601E-2</v>
      </c>
    </row>
    <row r="432" spans="1:4" x14ac:dyDescent="0.35">
      <c r="A432" s="17">
        <v>39234</v>
      </c>
      <c r="B432" s="58">
        <f>VLOOKUP(Table134[[#This Row],[Date]],database!A:I,8,)</f>
        <v>81.867699999999999</v>
      </c>
      <c r="C432" s="66">
        <f t="shared" si="6"/>
        <v>-5.1330597483779661E-3</v>
      </c>
      <c r="D432" s="66">
        <f>(Table134[[#This Row],[Index]]-B420)/B420</f>
        <v>3.525369544778661E-3</v>
      </c>
    </row>
    <row r="433" spans="1:4" x14ac:dyDescent="0.35">
      <c r="A433" s="17">
        <v>39264</v>
      </c>
      <c r="B433" s="58">
        <f>VLOOKUP(Table134[[#This Row],[Date]],database!A:I,8,)</f>
        <v>81.835300000000004</v>
      </c>
      <c r="C433" s="66">
        <f t="shared" si="6"/>
        <v>-3.9576047696465722E-4</v>
      </c>
      <c r="D433" s="66">
        <f>(Table134[[#This Row],[Index]]-B421)/B421</f>
        <v>-1.1717133744977735E-3</v>
      </c>
    </row>
    <row r="434" spans="1:4" x14ac:dyDescent="0.35">
      <c r="A434" s="17">
        <v>39295</v>
      </c>
      <c r="B434" s="58">
        <f>VLOOKUP(Table134[[#This Row],[Date]],database!A:I,8,)</f>
        <v>81.820099999999996</v>
      </c>
      <c r="C434" s="66">
        <f t="shared" si="6"/>
        <v>-1.8573891706885615E-4</v>
      </c>
      <c r="D434" s="66">
        <f>(Table134[[#This Row],[Index]]-B422)/B422</f>
        <v>1.5827975732885544E-3</v>
      </c>
    </row>
    <row r="435" spans="1:4" x14ac:dyDescent="0.35">
      <c r="A435" s="17">
        <v>39326</v>
      </c>
      <c r="B435" s="58">
        <f>VLOOKUP(Table134[[#This Row],[Date]],database!A:I,8,)</f>
        <v>81.942499999999995</v>
      </c>
      <c r="C435" s="66">
        <f t="shared" si="6"/>
        <v>1.4959649279333576E-3</v>
      </c>
      <c r="D435" s="66">
        <f>(Table134[[#This Row],[Index]]-B423)/B423</f>
        <v>-1.002137161123421E-3</v>
      </c>
    </row>
    <row r="436" spans="1:4" x14ac:dyDescent="0.35">
      <c r="A436" s="17">
        <v>39356</v>
      </c>
      <c r="B436" s="58">
        <f>VLOOKUP(Table134[[#This Row],[Date]],database!A:I,8,)</f>
        <v>81.690100000000001</v>
      </c>
      <c r="C436" s="66">
        <f t="shared" si="6"/>
        <v>-3.0802086829178066E-3</v>
      </c>
      <c r="D436" s="66">
        <f>(Table134[[#This Row],[Index]]-B424)/B424</f>
        <v>-8.6850682840285305E-3</v>
      </c>
    </row>
    <row r="437" spans="1:4" x14ac:dyDescent="0.35">
      <c r="A437" s="17">
        <v>39387</v>
      </c>
      <c r="B437" s="58">
        <f>VLOOKUP(Table134[[#This Row],[Date]],database!A:I,8,)</f>
        <v>82.644499999999994</v>
      </c>
      <c r="C437" s="66">
        <f t="shared" si="6"/>
        <v>1.1683178255382121E-2</v>
      </c>
      <c r="D437" s="66">
        <f>(Table134[[#This Row],[Index]]-B425)/B425</f>
        <v>1.6726353849238918E-2</v>
      </c>
    </row>
    <row r="438" spans="1:4" x14ac:dyDescent="0.35">
      <c r="A438" s="17">
        <v>39417</v>
      </c>
      <c r="B438" s="58">
        <f>VLOOKUP(Table134[[#This Row],[Date]],database!A:I,8,)</f>
        <v>83.313999999999993</v>
      </c>
      <c r="C438" s="66">
        <f t="shared" si="6"/>
        <v>8.100962556492064E-3</v>
      </c>
      <c r="D438" s="66">
        <f>(Table134[[#This Row],[Index]]-B426)/B426</f>
        <v>8.9824311542732183E-3</v>
      </c>
    </row>
    <row r="439" spans="1:4" x14ac:dyDescent="0.35">
      <c r="A439" s="17">
        <v>39448</v>
      </c>
      <c r="B439" s="58">
        <f>VLOOKUP(Table134[[#This Row],[Date]],database!A:I,8,)</f>
        <v>82.909599999999998</v>
      </c>
      <c r="C439" s="66">
        <f t="shared" si="6"/>
        <v>-4.8539261108576648E-3</v>
      </c>
      <c r="D439" s="66">
        <f>(Table134[[#This Row],[Index]]-B427)/B427</f>
        <v>2.7442806316616511E-2</v>
      </c>
    </row>
    <row r="440" spans="1:4" x14ac:dyDescent="0.35">
      <c r="A440" s="17">
        <v>39479</v>
      </c>
      <c r="B440" s="58">
        <f>VLOOKUP(Table134[[#This Row],[Date]],database!A:I,8,)</f>
        <v>83.002499999999998</v>
      </c>
      <c r="C440" s="66">
        <f t="shared" si="6"/>
        <v>1.1204975057170774E-3</v>
      </c>
      <c r="D440" s="66">
        <f>(Table134[[#This Row],[Index]]-B428)/B428</f>
        <v>1.8866882299869169E-2</v>
      </c>
    </row>
    <row r="441" spans="1:4" x14ac:dyDescent="0.35">
      <c r="A441" s="17">
        <v>39508</v>
      </c>
      <c r="B441" s="58">
        <f>VLOOKUP(Table134[[#This Row],[Date]],database!A:I,8,)</f>
        <v>83.430599999999998</v>
      </c>
      <c r="C441" s="66">
        <f t="shared" si="6"/>
        <v>5.1576759736151612E-3</v>
      </c>
      <c r="D441" s="66">
        <f>(Table134[[#This Row],[Index]]-B429)/B429</f>
        <v>2.4051473467278473E-2</v>
      </c>
    </row>
    <row r="442" spans="1:4" x14ac:dyDescent="0.35">
      <c r="A442" s="17">
        <v>39539</v>
      </c>
      <c r="B442" s="58">
        <f>VLOOKUP(Table134[[#This Row],[Date]],database!A:I,8,)</f>
        <v>83.836200000000005</v>
      </c>
      <c r="C442" s="66">
        <f t="shared" si="6"/>
        <v>4.8615256272879215E-3</v>
      </c>
      <c r="D442" s="66">
        <f>(Table134[[#This Row],[Index]]-B430)/B430</f>
        <v>2.6597978793619231E-2</v>
      </c>
    </row>
    <row r="443" spans="1:4" x14ac:dyDescent="0.35">
      <c r="A443" s="17">
        <v>39569</v>
      </c>
      <c r="B443" s="58">
        <f>VLOOKUP(Table134[[#This Row],[Date]],database!A:I,8,)</f>
        <v>83.663700000000006</v>
      </c>
      <c r="C443" s="66">
        <f t="shared" si="6"/>
        <v>-2.0575837168191891E-3</v>
      </c>
      <c r="D443" s="66">
        <f>(Table134[[#This Row],[Index]]-B431)/B431</f>
        <v>1.6692165886297506E-2</v>
      </c>
    </row>
    <row r="444" spans="1:4" x14ac:dyDescent="0.35">
      <c r="A444" s="17">
        <v>39600</v>
      </c>
      <c r="B444" s="58">
        <f>VLOOKUP(Table134[[#This Row],[Date]],database!A:I,8,)</f>
        <v>84.298100000000005</v>
      </c>
      <c r="C444" s="66">
        <f t="shared" si="6"/>
        <v>7.5827389895497532E-3</v>
      </c>
      <c r="D444" s="66">
        <f>(Table134[[#This Row],[Index]]-B432)/B432</f>
        <v>2.9686921704164228E-2</v>
      </c>
    </row>
    <row r="445" spans="1:4" x14ac:dyDescent="0.35">
      <c r="A445" s="17">
        <v>39630</v>
      </c>
      <c r="B445" s="58">
        <f>VLOOKUP(Table134[[#This Row],[Date]],database!A:I,8,)</f>
        <v>86.441900000000004</v>
      </c>
      <c r="C445" s="66">
        <f t="shared" si="6"/>
        <v>2.5431178164157853E-2</v>
      </c>
      <c r="D445" s="66">
        <f>(Table134[[#This Row],[Index]]-B433)/B433</f>
        <v>5.6291111537441665E-2</v>
      </c>
    </row>
    <row r="446" spans="1:4" x14ac:dyDescent="0.35">
      <c r="A446" s="17">
        <v>39661</v>
      </c>
      <c r="B446" s="58">
        <f>VLOOKUP(Table134[[#This Row],[Date]],database!A:I,8,)</f>
        <v>85.057599999999994</v>
      </c>
      <c r="C446" s="66">
        <f t="shared" si="6"/>
        <v>-1.6014224583217329E-2</v>
      </c>
      <c r="D446" s="66">
        <f>(Table134[[#This Row],[Index]]-B434)/B434</f>
        <v>3.9568516782550953E-2</v>
      </c>
    </row>
    <row r="447" spans="1:4" x14ac:dyDescent="0.35">
      <c r="A447" s="17">
        <v>39692</v>
      </c>
      <c r="B447" s="58">
        <f>VLOOKUP(Table134[[#This Row],[Date]],database!A:I,8,)</f>
        <v>75.412000000000006</v>
      </c>
      <c r="C447" s="66">
        <f t="shared" si="6"/>
        <v>-0.11340080133932762</v>
      </c>
      <c r="D447" s="66">
        <f>(Table134[[#This Row],[Index]]-B435)/B435</f>
        <v>-7.969612838270726E-2</v>
      </c>
    </row>
    <row r="448" spans="1:4" x14ac:dyDescent="0.35">
      <c r="A448" s="17">
        <v>39722</v>
      </c>
      <c r="B448" s="58">
        <f>VLOOKUP(Table134[[#This Row],[Date]],database!A:I,8,)</f>
        <v>82.012100000000004</v>
      </c>
      <c r="C448" s="66">
        <f t="shared" si="6"/>
        <v>8.752055375802259E-2</v>
      </c>
      <c r="D448" s="66">
        <f>(Table134[[#This Row],[Index]]-B436)/B436</f>
        <v>3.9417261087941226E-3</v>
      </c>
    </row>
    <row r="449" spans="1:4" x14ac:dyDescent="0.35">
      <c r="A449" s="17">
        <v>39753</v>
      </c>
      <c r="B449" s="58">
        <f>VLOOKUP(Table134[[#This Row],[Date]],database!A:I,8,)</f>
        <v>83.923199999999994</v>
      </c>
      <c r="C449" s="66">
        <f t="shared" si="6"/>
        <v>2.3302658997879533E-2</v>
      </c>
      <c r="D449" s="66">
        <f>(Table134[[#This Row],[Index]]-B437)/B437</f>
        <v>1.5472293982055681E-2</v>
      </c>
    </row>
    <row r="450" spans="1:4" x14ac:dyDescent="0.35">
      <c r="A450" s="17">
        <v>39783</v>
      </c>
      <c r="B450" s="58">
        <f>VLOOKUP(Table134[[#This Row],[Date]],database!A:I,8,)</f>
        <v>82.355199999999996</v>
      </c>
      <c r="C450" s="66">
        <f t="shared" si="6"/>
        <v>-1.8683748951422219E-2</v>
      </c>
      <c r="D450" s="66">
        <f>(Table134[[#This Row],[Index]]-B438)/B438</f>
        <v>-1.150826991862108E-2</v>
      </c>
    </row>
    <row r="451" spans="1:4" x14ac:dyDescent="0.35">
      <c r="A451" s="17">
        <v>39814</v>
      </c>
      <c r="B451" s="58">
        <f>VLOOKUP(Table134[[#This Row],[Date]],database!A:I,8,)</f>
        <v>81.878699999999995</v>
      </c>
      <c r="C451" s="66">
        <f t="shared" si="6"/>
        <v>-5.7859127292508861E-3</v>
      </c>
      <c r="D451" s="66">
        <f>(Table134[[#This Row],[Index]]-B439)/B439</f>
        <v>-1.2434024527919597E-2</v>
      </c>
    </row>
    <row r="452" spans="1:4" x14ac:dyDescent="0.35">
      <c r="A452" s="17">
        <v>39845</v>
      </c>
      <c r="B452" s="58">
        <f>VLOOKUP(Table134[[#This Row],[Date]],database!A:I,8,)</f>
        <v>80.8172</v>
      </c>
      <c r="C452" s="66">
        <f t="shared" si="6"/>
        <v>-1.2964299628596909E-2</v>
      </c>
      <c r="D452" s="66">
        <f>(Table134[[#This Row],[Index]]-B440)/B440</f>
        <v>-2.6328122646908203E-2</v>
      </c>
    </row>
    <row r="453" spans="1:4" x14ac:dyDescent="0.35">
      <c r="A453" s="17">
        <v>39873</v>
      </c>
      <c r="B453" s="58">
        <f>VLOOKUP(Table134[[#This Row],[Date]],database!A:I,8,)</f>
        <v>79.056600000000003</v>
      </c>
      <c r="C453" s="66">
        <f t="shared" si="6"/>
        <v>-2.1784966566522956E-2</v>
      </c>
      <c r="D453" s="66">
        <f>(Table134[[#This Row],[Index]]-B441)/B441</f>
        <v>-5.242680743036722E-2</v>
      </c>
    </row>
    <row r="454" spans="1:4" x14ac:dyDescent="0.35">
      <c r="A454" s="17">
        <v>39904</v>
      </c>
      <c r="B454" s="58">
        <f>VLOOKUP(Table134[[#This Row],[Date]],database!A:I,8,)</f>
        <v>77.805400000000006</v>
      </c>
      <c r="C454" s="66">
        <f t="shared" si="6"/>
        <v>-1.5826635600316719E-2</v>
      </c>
      <c r="D454" s="66">
        <f>(Table134[[#This Row],[Index]]-B442)/B442</f>
        <v>-7.1935512344309491E-2</v>
      </c>
    </row>
    <row r="455" spans="1:4" x14ac:dyDescent="0.35">
      <c r="A455" s="17">
        <v>39934</v>
      </c>
      <c r="B455" s="58">
        <f>VLOOKUP(Table134[[#This Row],[Date]],database!A:I,8,)</f>
        <v>77.594200000000001</v>
      </c>
      <c r="C455" s="66">
        <f t="shared" si="6"/>
        <v>-2.714464548733142E-3</v>
      </c>
      <c r="D455" s="66">
        <f>(Table134[[#This Row],[Index]]-B443)/B443</f>
        <v>-7.2546397063481594E-2</v>
      </c>
    </row>
    <row r="456" spans="1:4" x14ac:dyDescent="0.35">
      <c r="A456" s="17">
        <v>39965</v>
      </c>
      <c r="B456" s="58">
        <f>VLOOKUP(Table134[[#This Row],[Date]],database!A:I,8,)</f>
        <v>77.376800000000003</v>
      </c>
      <c r="C456" s="66">
        <f t="shared" ref="C456:C519" si="7">B456/B455-1</f>
        <v>-2.8017558013356814E-3</v>
      </c>
      <c r="D456" s="66">
        <f>(Table134[[#This Row],[Index]]-B444)/B444</f>
        <v>-8.2105053376054754E-2</v>
      </c>
    </row>
    <row r="457" spans="1:4" x14ac:dyDescent="0.35">
      <c r="A457" s="17">
        <v>39995</v>
      </c>
      <c r="B457" s="58">
        <f>VLOOKUP(Table134[[#This Row],[Date]],database!A:I,8,)</f>
        <v>78.179000000000002</v>
      </c>
      <c r="C457" s="66">
        <f t="shared" si="7"/>
        <v>1.0367448640936194E-2</v>
      </c>
      <c r="D457" s="66">
        <f>(Table134[[#This Row],[Index]]-B445)/B445</f>
        <v>-9.5589060397793219E-2</v>
      </c>
    </row>
    <row r="458" spans="1:4" x14ac:dyDescent="0.35">
      <c r="A458" s="17">
        <v>40026</v>
      </c>
      <c r="B458" s="58">
        <f>VLOOKUP(Table134[[#This Row],[Date]],database!A:I,8,)</f>
        <v>79.051199999999994</v>
      </c>
      <c r="C458" s="66">
        <f t="shared" si="7"/>
        <v>1.1156448662684282E-2</v>
      </c>
      <c r="D458" s="66">
        <f>(Table134[[#This Row],[Index]]-B446)/B446</f>
        <v>-7.0615676906002511E-2</v>
      </c>
    </row>
    <row r="459" spans="1:4" x14ac:dyDescent="0.35">
      <c r="A459" s="17">
        <v>40057</v>
      </c>
      <c r="B459" s="58">
        <f>VLOOKUP(Table134[[#This Row],[Date]],database!A:I,8,)</f>
        <v>78.778499999999994</v>
      </c>
      <c r="C459" s="66">
        <f t="shared" si="7"/>
        <v>-3.4496630032181397E-3</v>
      </c>
      <c r="D459" s="66">
        <f>(Table134[[#This Row],[Index]]-B447)/B447</f>
        <v>4.4641436376173391E-2</v>
      </c>
    </row>
    <row r="460" spans="1:4" x14ac:dyDescent="0.35">
      <c r="A460" s="17">
        <v>40087</v>
      </c>
      <c r="B460" s="58">
        <f>VLOOKUP(Table134[[#This Row],[Date]],database!A:I,8,)</f>
        <v>78.420299999999997</v>
      </c>
      <c r="C460" s="66">
        <f t="shared" si="7"/>
        <v>-4.5469258744453844E-3</v>
      </c>
      <c r="D460" s="66">
        <f>(Table134[[#This Row],[Index]]-B448)/B448</f>
        <v>-4.3795976447377961E-2</v>
      </c>
    </row>
    <row r="461" spans="1:4" x14ac:dyDescent="0.35">
      <c r="A461" s="17">
        <v>40118</v>
      </c>
      <c r="B461" s="58">
        <f>VLOOKUP(Table134[[#This Row],[Date]],database!A:I,8,)</f>
        <v>78.244399999999999</v>
      </c>
      <c r="C461" s="66">
        <f t="shared" si="7"/>
        <v>-2.2430416614065418E-3</v>
      </c>
      <c r="D461" s="66">
        <f>(Table134[[#This Row],[Index]]-B449)/B449</f>
        <v>-6.7666628536566714E-2</v>
      </c>
    </row>
    <row r="462" spans="1:4" x14ac:dyDescent="0.35">
      <c r="A462" s="17">
        <v>40148</v>
      </c>
      <c r="B462" s="58">
        <f>VLOOKUP(Table134[[#This Row],[Date]],database!A:I,8,)</f>
        <v>77.556299999999993</v>
      </c>
      <c r="C462" s="66">
        <f t="shared" si="7"/>
        <v>-8.794239587753272E-3</v>
      </c>
      <c r="D462" s="66">
        <f>(Table134[[#This Row],[Index]]-B450)/B450</f>
        <v>-5.8270758859185617E-2</v>
      </c>
    </row>
    <row r="463" spans="1:4" x14ac:dyDescent="0.35">
      <c r="A463" s="17">
        <v>40179</v>
      </c>
      <c r="B463" s="58">
        <f>VLOOKUP(Table134[[#This Row],[Date]],database!A:I,8,)</f>
        <v>79.062200000000004</v>
      </c>
      <c r="C463" s="66">
        <f t="shared" si="7"/>
        <v>1.9416862330977835E-2</v>
      </c>
      <c r="D463" s="66">
        <f>(Table134[[#This Row],[Index]]-B451)/B451</f>
        <v>-3.4398445505363313E-2</v>
      </c>
    </row>
    <row r="464" spans="1:4" x14ac:dyDescent="0.35">
      <c r="A464" s="17">
        <v>40210</v>
      </c>
      <c r="B464" s="58">
        <f>VLOOKUP(Table134[[#This Row],[Date]],database!A:I,8,)</f>
        <v>80.464200000000005</v>
      </c>
      <c r="C464" s="66">
        <f t="shared" si="7"/>
        <v>1.7732873610903921E-2</v>
      </c>
      <c r="D464" s="66">
        <f>(Table134[[#This Row],[Index]]-B452)/B452</f>
        <v>-4.3678820845066942E-3</v>
      </c>
    </row>
    <row r="465" spans="1:4" x14ac:dyDescent="0.35">
      <c r="A465" s="17">
        <v>40238</v>
      </c>
      <c r="B465" s="58">
        <f>VLOOKUP(Table134[[#This Row],[Date]],database!A:I,8,)</f>
        <v>81.242800000000003</v>
      </c>
      <c r="C465" s="66">
        <f t="shared" si="7"/>
        <v>9.6763529619383615E-3</v>
      </c>
      <c r="D465" s="66">
        <f>(Table134[[#This Row],[Index]]-B453)/B453</f>
        <v>2.7653605138596896E-2</v>
      </c>
    </row>
    <row r="466" spans="1:4" x14ac:dyDescent="0.35">
      <c r="A466" s="17">
        <v>40269</v>
      </c>
      <c r="B466" s="58">
        <f>VLOOKUP(Table134[[#This Row],[Date]],database!A:I,8,)</f>
        <v>81.636799999999994</v>
      </c>
      <c r="C466" s="66">
        <f t="shared" si="7"/>
        <v>4.8496605237631218E-3</v>
      </c>
      <c r="D466" s="66">
        <f>(Table134[[#This Row],[Index]]-B454)/B454</f>
        <v>4.9243368712197193E-2</v>
      </c>
    </row>
    <row r="467" spans="1:4" x14ac:dyDescent="0.35">
      <c r="A467" s="17">
        <v>40299</v>
      </c>
      <c r="B467" s="58">
        <f>VLOOKUP(Table134[[#This Row],[Date]],database!A:I,8,)</f>
        <v>81.573899999999995</v>
      </c>
      <c r="C467" s="66">
        <f t="shared" si="7"/>
        <v>-7.7048585931838165E-4</v>
      </c>
      <c r="D467" s="66">
        <f>(Table134[[#This Row],[Index]]-B455)/B455</f>
        <v>5.1288627242757755E-2</v>
      </c>
    </row>
    <row r="468" spans="1:4" x14ac:dyDescent="0.35">
      <c r="A468" s="17">
        <v>40330</v>
      </c>
      <c r="B468" s="58">
        <f>VLOOKUP(Table134[[#This Row],[Date]],database!A:I,8,)</f>
        <v>81.704599999999999</v>
      </c>
      <c r="C468" s="66">
        <f t="shared" si="7"/>
        <v>1.6022281636651758E-3</v>
      </c>
      <c r="D468" s="66">
        <f>(Table134[[#This Row],[Index]]-B456)/B456</f>
        <v>5.5931493677691457E-2</v>
      </c>
    </row>
    <row r="469" spans="1:4" x14ac:dyDescent="0.35">
      <c r="A469" s="17">
        <v>40360</v>
      </c>
      <c r="B469" s="58">
        <f>VLOOKUP(Table134[[#This Row],[Date]],database!A:I,8,)</f>
        <v>82.181399999999996</v>
      </c>
      <c r="C469" s="66">
        <f t="shared" si="7"/>
        <v>5.8356567439286078E-3</v>
      </c>
      <c r="D469" s="66">
        <f>(Table134[[#This Row],[Index]]-B457)/B457</f>
        <v>5.1195333785287539E-2</v>
      </c>
    </row>
    <row r="470" spans="1:4" x14ac:dyDescent="0.35">
      <c r="A470" s="17">
        <v>40391</v>
      </c>
      <c r="B470" s="58">
        <f>VLOOKUP(Table134[[#This Row],[Date]],database!A:I,8,)</f>
        <v>83.448800000000006</v>
      </c>
      <c r="C470" s="66">
        <f t="shared" si="7"/>
        <v>1.5421981129550177E-2</v>
      </c>
      <c r="D470" s="66">
        <f>(Table134[[#This Row],[Index]]-B458)/B458</f>
        <v>5.5629769061064371E-2</v>
      </c>
    </row>
    <row r="471" spans="1:4" x14ac:dyDescent="0.35">
      <c r="A471" s="17">
        <v>40422</v>
      </c>
      <c r="B471" s="58">
        <f>VLOOKUP(Table134[[#This Row],[Date]],database!A:I,8,)</f>
        <v>84.630099999999999</v>
      </c>
      <c r="C471" s="66">
        <f t="shared" si="7"/>
        <v>1.4155985466537402E-2</v>
      </c>
      <c r="D471" s="66">
        <f>(Table134[[#This Row],[Index]]-B459)/B459</f>
        <v>7.4279149768020525E-2</v>
      </c>
    </row>
    <row r="472" spans="1:4" x14ac:dyDescent="0.35">
      <c r="A472" s="17">
        <v>40452</v>
      </c>
      <c r="B472" s="58">
        <f>VLOOKUP(Table134[[#This Row],[Date]],database!A:I,8,)</f>
        <v>84.751599999999996</v>
      </c>
      <c r="C472" s="66">
        <f t="shared" si="7"/>
        <v>1.4356594166851089E-3</v>
      </c>
      <c r="D472" s="66">
        <f>(Table134[[#This Row],[Index]]-B460)/B460</f>
        <v>8.0735472830376812E-2</v>
      </c>
    </row>
    <row r="473" spans="1:4" x14ac:dyDescent="0.35">
      <c r="A473" s="17">
        <v>40483</v>
      </c>
      <c r="B473" s="58">
        <f>VLOOKUP(Table134[[#This Row],[Date]],database!A:I,8,)</f>
        <v>84.07</v>
      </c>
      <c r="C473" s="66">
        <f t="shared" si="7"/>
        <v>-8.0423260445821043E-3</v>
      </c>
      <c r="D473" s="66">
        <f>(Table134[[#This Row],[Index]]-B461)/B461</f>
        <v>7.4453890629872482E-2</v>
      </c>
    </row>
    <row r="474" spans="1:4" x14ac:dyDescent="0.35">
      <c r="A474" s="17">
        <v>40513</v>
      </c>
      <c r="B474" s="58">
        <f>VLOOKUP(Table134[[#This Row],[Date]],database!A:I,8,)</f>
        <v>84.537599999999998</v>
      </c>
      <c r="C474" s="66">
        <f t="shared" si="7"/>
        <v>5.5620316402997805E-3</v>
      </c>
      <c r="D474" s="66">
        <f>(Table134[[#This Row],[Index]]-B462)/B462</f>
        <v>9.0015898128198546E-2</v>
      </c>
    </row>
    <row r="475" spans="1:4" x14ac:dyDescent="0.35">
      <c r="A475" s="17">
        <v>40544</v>
      </c>
      <c r="B475" s="58">
        <f>VLOOKUP(Table134[[#This Row],[Date]],database!A:I,8,)</f>
        <v>84.398300000000006</v>
      </c>
      <c r="C475" s="66">
        <f t="shared" si="7"/>
        <v>-1.6477874933755743E-3</v>
      </c>
      <c r="D475" s="66">
        <f>(Table134[[#This Row],[Index]]-B463)/B463</f>
        <v>6.7492430010801643E-2</v>
      </c>
    </row>
    <row r="476" spans="1:4" x14ac:dyDescent="0.35">
      <c r="A476" s="17">
        <v>40575</v>
      </c>
      <c r="B476" s="58">
        <f>VLOOKUP(Table134[[#This Row],[Date]],database!A:I,8,)</f>
        <v>82.689400000000006</v>
      </c>
      <c r="C476" s="66">
        <f t="shared" si="7"/>
        <v>-2.0248038171384986E-2</v>
      </c>
      <c r="D476" s="66">
        <f>(Table134[[#This Row],[Index]]-B464)/B464</f>
        <v>2.765453456319706E-2</v>
      </c>
    </row>
    <row r="477" spans="1:4" x14ac:dyDescent="0.35">
      <c r="A477" s="17">
        <v>40603</v>
      </c>
      <c r="B477" s="58">
        <f>VLOOKUP(Table134[[#This Row],[Date]],database!A:I,8,)</f>
        <v>85.716999999999999</v>
      </c>
      <c r="C477" s="66">
        <f t="shared" si="7"/>
        <v>3.6614124664104297E-2</v>
      </c>
      <c r="D477" s="66">
        <f>(Table134[[#This Row],[Index]]-B465)/B465</f>
        <v>5.5071957145740869E-2</v>
      </c>
    </row>
    <row r="478" spans="1:4" x14ac:dyDescent="0.35">
      <c r="A478" s="17">
        <v>40634</v>
      </c>
      <c r="B478" s="58">
        <f>VLOOKUP(Table134[[#This Row],[Date]],database!A:I,8,)</f>
        <v>86.2547</v>
      </c>
      <c r="C478" s="67">
        <f t="shared" si="7"/>
        <v>6.2729680226794038E-3</v>
      </c>
      <c r="D478" s="66">
        <f>(Table134[[#This Row],[Index]]-B466)/B466</f>
        <v>5.6566401426807592E-2</v>
      </c>
    </row>
    <row r="479" spans="1:4" x14ac:dyDescent="0.35">
      <c r="A479" s="17">
        <v>40664</v>
      </c>
      <c r="B479" s="58">
        <f>VLOOKUP(Table134[[#This Row],[Date]],database!A:I,8,)</f>
        <v>87.177400000000006</v>
      </c>
      <c r="C479" s="66">
        <f t="shared" si="7"/>
        <v>1.0697388084359494E-2</v>
      </c>
      <c r="D479" s="66">
        <f>(Table134[[#This Row],[Index]]-B467)/B467</f>
        <v>6.8692314576108429E-2</v>
      </c>
    </row>
    <row r="480" spans="1:4" x14ac:dyDescent="0.35">
      <c r="A480" s="17">
        <v>40695</v>
      </c>
      <c r="B480" s="58">
        <f>VLOOKUP(Table134[[#This Row],[Date]],database!A:I,8,)</f>
        <v>87.634299999999996</v>
      </c>
      <c r="C480" s="66">
        <f t="shared" si="7"/>
        <v>5.2410372413032036E-3</v>
      </c>
      <c r="D480" s="66">
        <f>(Table134[[#This Row],[Index]]-B468)/B468</f>
        <v>7.2574861146128822E-2</v>
      </c>
    </row>
    <row r="481" spans="1:4" x14ac:dyDescent="0.35">
      <c r="A481" s="17">
        <v>40725</v>
      </c>
      <c r="B481" s="58">
        <f>VLOOKUP(Table134[[#This Row],[Date]],database!A:I,8,)</f>
        <v>87.138099999999994</v>
      </c>
      <c r="C481" s="66">
        <f t="shared" si="7"/>
        <v>-5.6621665261205045E-3</v>
      </c>
      <c r="D481" s="66">
        <f>(Table134[[#This Row],[Index]]-B469)/B469</f>
        <v>6.0314134341834018E-2</v>
      </c>
    </row>
    <row r="482" spans="1:4" x14ac:dyDescent="0.35">
      <c r="A482" s="17">
        <v>40756</v>
      </c>
      <c r="B482" s="58">
        <f>VLOOKUP(Table134[[#This Row],[Date]],database!A:I,8,)</f>
        <v>88.742900000000006</v>
      </c>
      <c r="C482" s="66">
        <f t="shared" si="7"/>
        <v>1.8416743077941833E-2</v>
      </c>
      <c r="D482" s="66">
        <f>(Table134[[#This Row],[Index]]-B470)/B470</f>
        <v>6.3441295740621795E-2</v>
      </c>
    </row>
    <row r="483" spans="1:4" x14ac:dyDescent="0.35">
      <c r="A483" s="17">
        <v>40787</v>
      </c>
      <c r="B483" s="58">
        <f>VLOOKUP(Table134[[#This Row],[Date]],database!A:I,8,)</f>
        <v>88.326499999999996</v>
      </c>
      <c r="C483" s="66">
        <f t="shared" si="7"/>
        <v>-4.6922063624246224E-3</v>
      </c>
      <c r="D483" s="66">
        <f>(Table134[[#This Row],[Index]]-B471)/B471</f>
        <v>4.367713142250803E-2</v>
      </c>
    </row>
    <row r="484" spans="1:4" x14ac:dyDescent="0.35">
      <c r="A484" s="17">
        <v>40817</v>
      </c>
      <c r="B484" s="58">
        <f>VLOOKUP(Table134[[#This Row],[Date]],database!A:I,8,)</f>
        <v>90.490099999999998</v>
      </c>
      <c r="C484" s="66">
        <f t="shared" si="7"/>
        <v>2.4495479839006462E-2</v>
      </c>
      <c r="D484" s="66">
        <f>(Table134[[#This Row],[Index]]-B472)/B472</f>
        <v>6.7709636160261308E-2</v>
      </c>
    </row>
    <row r="485" spans="1:4" x14ac:dyDescent="0.35">
      <c r="A485" s="17">
        <v>40848</v>
      </c>
      <c r="B485" s="58">
        <f>VLOOKUP(Table134[[#This Row],[Date]],database!A:I,8,)</f>
        <v>91.536799999999999</v>
      </c>
      <c r="C485" s="66">
        <f t="shared" si="7"/>
        <v>1.1567011197910038E-2</v>
      </c>
      <c r="D485" s="66">
        <f>(Table134[[#This Row],[Index]]-B473)/B473</f>
        <v>8.8816462471749819E-2</v>
      </c>
    </row>
    <row r="486" spans="1:4" x14ac:dyDescent="0.35">
      <c r="A486" s="17">
        <v>40878</v>
      </c>
      <c r="B486" s="58">
        <f>VLOOKUP(Table134[[#This Row],[Date]],database!A:I,8,)</f>
        <v>92.360100000000003</v>
      </c>
      <c r="C486" s="66">
        <f t="shared" si="7"/>
        <v>8.994196869455795E-3</v>
      </c>
      <c r="D486" s="66">
        <f>(Table134[[#This Row],[Index]]-B474)/B474</f>
        <v>9.2532790143084326E-2</v>
      </c>
    </row>
    <row r="487" spans="1:4" x14ac:dyDescent="0.35">
      <c r="A487" s="17">
        <v>40909</v>
      </c>
      <c r="B487" s="58">
        <f>VLOOKUP(Table134[[#This Row],[Date]],database!A:I,8,)</f>
        <v>93.602400000000003</v>
      </c>
      <c r="C487" s="66">
        <f t="shared" si="7"/>
        <v>1.3450613414234036E-2</v>
      </c>
      <c r="D487" s="66">
        <f>(Table134[[#This Row],[Index]]-B475)/B475</f>
        <v>0.10905551415135134</v>
      </c>
    </row>
    <row r="488" spans="1:4" x14ac:dyDescent="0.35">
      <c r="A488" s="17">
        <v>40940</v>
      </c>
      <c r="B488" s="58">
        <f>VLOOKUP(Table134[[#This Row],[Date]],database!A:I,8,)</f>
        <v>93.311700000000002</v>
      </c>
      <c r="C488" s="66">
        <f t="shared" si="7"/>
        <v>-3.1056895977026322E-3</v>
      </c>
      <c r="D488" s="66">
        <f>(Table134[[#This Row],[Index]]-B476)/B476</f>
        <v>0.12846023795069253</v>
      </c>
    </row>
    <row r="489" spans="1:4" x14ac:dyDescent="0.35">
      <c r="A489" s="17">
        <v>40969</v>
      </c>
      <c r="B489" s="58">
        <f>VLOOKUP(Table134[[#This Row],[Date]],database!A:I,8,)</f>
        <v>93.325400000000002</v>
      </c>
      <c r="C489" s="66">
        <f t="shared" si="7"/>
        <v>1.4681974500518891E-4</v>
      </c>
      <c r="D489" s="66">
        <f>(Table134[[#This Row],[Index]]-B477)/B477</f>
        <v>8.8761855874564005E-2</v>
      </c>
    </row>
    <row r="490" spans="1:4" x14ac:dyDescent="0.35">
      <c r="A490" s="17">
        <v>41000</v>
      </c>
      <c r="B490" s="58">
        <f>VLOOKUP(Table134[[#This Row],[Date]],database!A:I,8,)</f>
        <v>93.554400000000001</v>
      </c>
      <c r="C490" s="66">
        <f t="shared" si="7"/>
        <v>2.4537799998713972E-3</v>
      </c>
      <c r="D490" s="66">
        <f>(Table134[[#This Row],[Index]]-B478)/B478</f>
        <v>8.4629591199088292E-2</v>
      </c>
    </row>
    <row r="491" spans="1:4" x14ac:dyDescent="0.35">
      <c r="A491" s="17">
        <v>41030</v>
      </c>
      <c r="B491" s="58">
        <f>VLOOKUP(Table134[[#This Row],[Date]],database!A:I,8,)</f>
        <v>93.860200000000006</v>
      </c>
      <c r="C491" s="66">
        <f t="shared" si="7"/>
        <v>3.2686864540845129E-3</v>
      </c>
      <c r="D491" s="66">
        <f>(Table134[[#This Row],[Index]]-B479)/B479</f>
        <v>7.6657482329135759E-2</v>
      </c>
    </row>
    <row r="492" spans="1:4" x14ac:dyDescent="0.35">
      <c r="A492" s="17">
        <v>41061</v>
      </c>
      <c r="B492" s="58">
        <f>VLOOKUP(Table134[[#This Row],[Date]],database!A:I,8,)</f>
        <v>93.941299999999998</v>
      </c>
      <c r="C492" s="66">
        <f t="shared" si="7"/>
        <v>8.6405100351361064E-4</v>
      </c>
      <c r="D492" s="66">
        <f>(Table134[[#This Row],[Index]]-B480)/B480</f>
        <v>7.1969537042002985E-2</v>
      </c>
    </row>
    <row r="493" spans="1:4" x14ac:dyDescent="0.35">
      <c r="A493" s="17">
        <v>41091</v>
      </c>
      <c r="B493" s="58">
        <f>VLOOKUP(Table134[[#This Row],[Date]],database!A:I,8,)</f>
        <v>95.007900000000006</v>
      </c>
      <c r="C493" s="66">
        <f t="shared" si="7"/>
        <v>1.1353898657991746E-2</v>
      </c>
      <c r="D493" s="66">
        <f>(Table134[[#This Row],[Index]]-B481)/B481</f>
        <v>9.0314110589971699E-2</v>
      </c>
    </row>
    <row r="494" spans="1:4" x14ac:dyDescent="0.35">
      <c r="A494" s="17">
        <v>41122</v>
      </c>
      <c r="B494" s="58">
        <f>VLOOKUP(Table134[[#This Row],[Date]],database!A:I,8,)</f>
        <v>93.897099999999995</v>
      </c>
      <c r="C494" s="66">
        <f t="shared" si="7"/>
        <v>-1.1691659325172021E-2</v>
      </c>
      <c r="D494" s="66">
        <f>(Table134[[#This Row],[Index]]-B482)/B482</f>
        <v>5.8080139368895861E-2</v>
      </c>
    </row>
    <row r="495" spans="1:4" x14ac:dyDescent="0.35">
      <c r="A495" s="17">
        <v>41153</v>
      </c>
      <c r="B495" s="58">
        <f>VLOOKUP(Table134[[#This Row],[Date]],database!A:I,8,)</f>
        <v>95.256500000000003</v>
      </c>
      <c r="C495" s="66">
        <f t="shared" si="7"/>
        <v>1.4477550424880192E-2</v>
      </c>
      <c r="D495" s="66">
        <f>(Table134[[#This Row],[Index]]-B483)/B483</f>
        <v>7.8458899650727776E-2</v>
      </c>
    </row>
    <row r="496" spans="1:4" x14ac:dyDescent="0.35">
      <c r="A496" s="17">
        <v>41183</v>
      </c>
      <c r="B496" s="58">
        <f>VLOOKUP(Table134[[#This Row],[Date]],database!A:I,8,)</f>
        <v>96.7971</v>
      </c>
      <c r="C496" s="66">
        <f t="shared" si="7"/>
        <v>1.6173174534021229E-2</v>
      </c>
      <c r="D496" s="66">
        <f>(Table134[[#This Row],[Index]]-B484)/B484</f>
        <v>6.9698232182305045E-2</v>
      </c>
    </row>
    <row r="497" spans="1:4" x14ac:dyDescent="0.35">
      <c r="A497" s="17">
        <v>41214</v>
      </c>
      <c r="B497" s="58">
        <f>VLOOKUP(Table134[[#This Row],[Date]],database!A:I,8,)</f>
        <v>97.016599999999997</v>
      </c>
      <c r="C497" s="66">
        <f t="shared" si="7"/>
        <v>2.2676299186648041E-3</v>
      </c>
      <c r="D497" s="66">
        <f>(Table134[[#This Row],[Index]]-B485)/B485</f>
        <v>5.9864447959727646E-2</v>
      </c>
    </row>
    <row r="498" spans="1:4" x14ac:dyDescent="0.35">
      <c r="A498" s="17">
        <v>41244</v>
      </c>
      <c r="B498" s="58">
        <f>VLOOKUP(Table134[[#This Row],[Date]],database!A:I,8,)</f>
        <v>97.130099999999999</v>
      </c>
      <c r="C498" s="66">
        <f t="shared" si="7"/>
        <v>1.1699028825995494E-3</v>
      </c>
      <c r="D498" s="66">
        <f>(Table134[[#This Row],[Index]]-B486)/B486</f>
        <v>5.1645678166221086E-2</v>
      </c>
    </row>
    <row r="499" spans="1:4" x14ac:dyDescent="0.35">
      <c r="A499" s="17">
        <v>41275</v>
      </c>
      <c r="B499" s="58">
        <f>VLOOKUP(Table134[[#This Row],[Date]],database!A:I,8,)</f>
        <v>97.372</v>
      </c>
      <c r="C499" s="66">
        <f t="shared" si="7"/>
        <v>2.4904741166744682E-3</v>
      </c>
      <c r="D499" s="66">
        <f>(Table134[[#This Row],[Index]]-B487)/B487</f>
        <v>4.0272471646026139E-2</v>
      </c>
    </row>
    <row r="500" spans="1:4" x14ac:dyDescent="0.35">
      <c r="A500" s="17">
        <v>41306</v>
      </c>
      <c r="B500" s="58">
        <f>VLOOKUP(Table134[[#This Row],[Date]],database!A:I,8,)</f>
        <v>98.056200000000004</v>
      </c>
      <c r="C500" s="66">
        <f t="shared" si="7"/>
        <v>7.0266606416629074E-3</v>
      </c>
      <c r="D500" s="66">
        <f>(Table134[[#This Row],[Index]]-B488)/B488</f>
        <v>5.0845713881538995E-2</v>
      </c>
    </row>
    <row r="501" spans="1:4" x14ac:dyDescent="0.35">
      <c r="A501" s="17">
        <v>41334</v>
      </c>
      <c r="B501" s="58">
        <f>VLOOKUP(Table134[[#This Row],[Date]],database!A:I,8,)</f>
        <v>98.565299999999993</v>
      </c>
      <c r="C501" s="66">
        <f t="shared" si="7"/>
        <v>5.1919205516834932E-3</v>
      </c>
      <c r="D501" s="66">
        <f>(Table134[[#This Row],[Index]]-B489)/B489</f>
        <v>5.614655817173022E-2</v>
      </c>
    </row>
    <row r="502" spans="1:4" x14ac:dyDescent="0.35">
      <c r="A502" s="17">
        <v>41365</v>
      </c>
      <c r="B502" s="58">
        <f>VLOOKUP(Table134[[#This Row],[Date]],database!A:I,8,)</f>
        <v>99.396600000000007</v>
      </c>
      <c r="C502" s="66">
        <f t="shared" si="7"/>
        <v>8.4340026358162845E-3</v>
      </c>
      <c r="D502" s="66">
        <f>(Table134[[#This Row],[Index]]-B490)/B490</f>
        <v>6.2447089607757682E-2</v>
      </c>
    </row>
    <row r="503" spans="1:4" x14ac:dyDescent="0.35">
      <c r="A503" s="17">
        <v>41395</v>
      </c>
      <c r="B503" s="58">
        <f>VLOOKUP(Table134[[#This Row],[Date]],database!A:I,8,)</f>
        <v>99.709800000000001</v>
      </c>
      <c r="C503" s="66">
        <f t="shared" si="7"/>
        <v>3.1510132137315683E-3</v>
      </c>
      <c r="D503" s="66">
        <f>(Table134[[#This Row],[Index]]-B491)/B491</f>
        <v>6.2322475340985797E-2</v>
      </c>
    </row>
    <row r="504" spans="1:4" x14ac:dyDescent="0.35">
      <c r="A504" s="17">
        <v>41426</v>
      </c>
      <c r="B504" s="58">
        <f>VLOOKUP(Table134[[#This Row],[Date]],database!A:I,8,)</f>
        <v>100.3891</v>
      </c>
      <c r="C504" s="66">
        <f t="shared" si="7"/>
        <v>6.8127706604566018E-3</v>
      </c>
      <c r="D504" s="66">
        <f>(Table134[[#This Row],[Index]]-B492)/B492</f>
        <v>6.8636478311456209E-2</v>
      </c>
    </row>
    <row r="505" spans="1:4" x14ac:dyDescent="0.35">
      <c r="A505" s="17">
        <v>41456</v>
      </c>
      <c r="B505" s="58">
        <f>VLOOKUP(Table134[[#This Row],[Date]],database!A:I,8,)</f>
        <v>101.6883</v>
      </c>
      <c r="C505" s="66">
        <f t="shared" si="7"/>
        <v>1.2941644062951063E-2</v>
      </c>
      <c r="D505" s="66">
        <f>(Table134[[#This Row],[Index]]-B493)/B493</f>
        <v>7.0314152823080942E-2</v>
      </c>
    </row>
    <row r="506" spans="1:4" x14ac:dyDescent="0.35">
      <c r="A506" s="17">
        <v>41487</v>
      </c>
      <c r="B506" s="58">
        <f>VLOOKUP(Table134[[#This Row],[Date]],database!A:I,8,)</f>
        <v>101.6709</v>
      </c>
      <c r="C506" s="66">
        <f t="shared" si="7"/>
        <v>-1.7111113077905582E-4</v>
      </c>
      <c r="D506" s="66">
        <f>(Table134[[#This Row],[Index]]-B494)/B494</f>
        <v>8.2790629316560463E-2</v>
      </c>
    </row>
    <row r="507" spans="1:4" x14ac:dyDescent="0.35">
      <c r="A507" s="17">
        <v>41518</v>
      </c>
      <c r="B507" s="58">
        <f>VLOOKUP(Table134[[#This Row],[Date]],database!A:I,8,)</f>
        <v>103.4384</v>
      </c>
      <c r="C507" s="66">
        <f t="shared" si="7"/>
        <v>1.7384522021542059E-2</v>
      </c>
      <c r="D507" s="66">
        <f>(Table134[[#This Row],[Index]]-B495)/B495</f>
        <v>8.5893351109898E-2</v>
      </c>
    </row>
    <row r="508" spans="1:4" x14ac:dyDescent="0.35">
      <c r="A508" s="17">
        <v>41548</v>
      </c>
      <c r="B508" s="58">
        <f>VLOOKUP(Table134[[#This Row],[Date]],database!A:I,8,)</f>
        <v>101.6648</v>
      </c>
      <c r="C508" s="66">
        <f t="shared" si="7"/>
        <v>-1.7146436913177299E-2</v>
      </c>
      <c r="D508" s="66">
        <f>(Table134[[#This Row],[Index]]-B496)/B496</f>
        <v>5.0287663576698054E-2</v>
      </c>
    </row>
    <row r="509" spans="1:4" x14ac:dyDescent="0.35">
      <c r="A509" s="17">
        <v>41579</v>
      </c>
      <c r="B509" s="58">
        <f>VLOOKUP(Table134[[#This Row],[Date]],database!A:I,8,)</f>
        <v>102.46250000000001</v>
      </c>
      <c r="C509" s="66">
        <f t="shared" si="7"/>
        <v>7.8463735727607453E-3</v>
      </c>
      <c r="D509" s="66">
        <f>(Table134[[#This Row],[Index]]-B497)/B497</f>
        <v>5.6133692584568094E-2</v>
      </c>
    </row>
    <row r="510" spans="1:4" x14ac:dyDescent="0.35">
      <c r="A510" s="17">
        <v>41609</v>
      </c>
      <c r="B510" s="58">
        <f>VLOOKUP(Table134[[#This Row],[Date]],database!A:I,8,)</f>
        <v>102.9012</v>
      </c>
      <c r="C510" s="66">
        <f t="shared" si="7"/>
        <v>4.2815664267414899E-3</v>
      </c>
      <c r="D510" s="66">
        <f>(Table134[[#This Row],[Index]]-B498)/B498</f>
        <v>5.9416185096072216E-2</v>
      </c>
    </row>
    <row r="511" spans="1:4" x14ac:dyDescent="0.35">
      <c r="A511" s="17">
        <v>41640</v>
      </c>
      <c r="B511" s="58">
        <f>VLOOKUP(Table134[[#This Row],[Date]],database!A:I,8,)</f>
        <v>104.3058</v>
      </c>
      <c r="C511" s="66">
        <f t="shared" si="7"/>
        <v>1.3649986589077789E-2</v>
      </c>
      <c r="D511" s="66">
        <f>(Table134[[#This Row],[Index]]-B499)/B499</f>
        <v>7.1209382574045979E-2</v>
      </c>
    </row>
    <row r="512" spans="1:4" x14ac:dyDescent="0.35">
      <c r="A512" s="17">
        <v>41671</v>
      </c>
      <c r="B512" s="58">
        <f>VLOOKUP(Table134[[#This Row],[Date]],database!A:I,8,)</f>
        <v>105.3349</v>
      </c>
      <c r="C512" s="66">
        <f t="shared" si="7"/>
        <v>9.8661819381089533E-3</v>
      </c>
      <c r="D512" s="66">
        <f>(Table134[[#This Row],[Index]]-B500)/B500</f>
        <v>7.4229880415516813E-2</v>
      </c>
    </row>
    <row r="513" spans="1:4" x14ac:dyDescent="0.35">
      <c r="A513" s="17">
        <v>41699</v>
      </c>
      <c r="B513" s="58">
        <f>VLOOKUP(Table134[[#This Row],[Date]],database!A:I,8,)</f>
        <v>107.541</v>
      </c>
      <c r="C513" s="66">
        <f t="shared" si="7"/>
        <v>2.0943675837732822E-2</v>
      </c>
      <c r="D513" s="66">
        <f>(Table134[[#This Row],[Index]]-B501)/B501</f>
        <v>9.1063487860332221E-2</v>
      </c>
    </row>
    <row r="514" spans="1:4" x14ac:dyDescent="0.35">
      <c r="A514" s="17">
        <v>41730</v>
      </c>
      <c r="B514" s="58">
        <f>VLOOKUP(Table134[[#This Row],[Date]],database!A:I,8,)</f>
        <v>109.386</v>
      </c>
      <c r="C514" s="66">
        <f t="shared" si="7"/>
        <v>1.7156247384718437E-2</v>
      </c>
      <c r="D514" s="66">
        <f>(Table134[[#This Row],[Index]]-B502)/B502</f>
        <v>0.10050041953145267</v>
      </c>
    </row>
    <row r="515" spans="1:4" x14ac:dyDescent="0.35">
      <c r="A515" s="17">
        <v>41760</v>
      </c>
      <c r="B515" s="58">
        <f>VLOOKUP(Table134[[#This Row],[Date]],database!A:I,8,)</f>
        <v>110.58450000000001</v>
      </c>
      <c r="C515" s="66">
        <f t="shared" si="7"/>
        <v>1.0956612363556717E-2</v>
      </c>
      <c r="D515" s="66">
        <f>(Table134[[#This Row],[Index]]-B503)/B503</f>
        <v>0.10906350228362713</v>
      </c>
    </row>
    <row r="516" spans="1:4" x14ac:dyDescent="0.35">
      <c r="A516" s="17">
        <v>41791</v>
      </c>
      <c r="B516" s="58">
        <f>VLOOKUP(Table134[[#This Row],[Date]],database!A:I,8,)</f>
        <v>112.0368</v>
      </c>
      <c r="C516" s="66">
        <f t="shared" si="7"/>
        <v>1.3132943586126489E-2</v>
      </c>
      <c r="D516" s="66">
        <f>(Table134[[#This Row],[Index]]-B504)/B504</f>
        <v>0.11602554460593829</v>
      </c>
    </row>
    <row r="517" spans="1:4" x14ac:dyDescent="0.35">
      <c r="A517" s="17">
        <v>41821</v>
      </c>
      <c r="B517" s="58">
        <f>VLOOKUP(Table134[[#This Row],[Date]],database!A:I,8,)</f>
        <v>112.71559999999999</v>
      </c>
      <c r="C517" s="66">
        <f t="shared" si="7"/>
        <v>6.058723562258006E-3</v>
      </c>
      <c r="D517" s="66">
        <f>(Table134[[#This Row],[Index]]-B505)/B505</f>
        <v>0.10844217082987911</v>
      </c>
    </row>
    <row r="518" spans="1:4" x14ac:dyDescent="0.35">
      <c r="A518" s="17">
        <v>41852</v>
      </c>
      <c r="B518" s="58">
        <f>VLOOKUP(Table134[[#This Row],[Date]],database!A:I,8,)</f>
        <v>113.6481</v>
      </c>
      <c r="C518" s="66">
        <f t="shared" si="7"/>
        <v>8.2730340786900669E-3</v>
      </c>
      <c r="D518" s="66">
        <f>(Table134[[#This Row],[Index]]-B506)/B506</f>
        <v>0.11780361932470348</v>
      </c>
    </row>
    <row r="519" spans="1:4" x14ac:dyDescent="0.35">
      <c r="A519" s="17">
        <v>41883</v>
      </c>
      <c r="B519" s="58">
        <f>VLOOKUP(Table134[[#This Row],[Date]],database!A:I,8,)</f>
        <v>114.3013</v>
      </c>
      <c r="C519" s="66">
        <f t="shared" si="7"/>
        <v>5.7475663913431063E-3</v>
      </c>
      <c r="D519" s="66">
        <f>(Table134[[#This Row],[Index]]-B507)/B507</f>
        <v>0.1050180590573713</v>
      </c>
    </row>
    <row r="520" spans="1:4" x14ac:dyDescent="0.35">
      <c r="A520" s="17">
        <v>41913</v>
      </c>
      <c r="B520" s="58">
        <f>VLOOKUP(Table134[[#This Row],[Date]],database!A:I,8,)</f>
        <v>114.6057</v>
      </c>
      <c r="C520" s="66">
        <f t="shared" ref="C520:C583" si="8">B520/B519-1</f>
        <v>2.6631368147169709E-3</v>
      </c>
      <c r="D520" s="66">
        <f>(Table134[[#This Row],[Index]]-B508)/B508</f>
        <v>0.12728987810923742</v>
      </c>
    </row>
    <row r="521" spans="1:4" x14ac:dyDescent="0.35">
      <c r="A521" s="17">
        <v>41944</v>
      </c>
      <c r="B521" s="58">
        <f>VLOOKUP(Table134[[#This Row],[Date]],database!A:I,8,)</f>
        <v>113.86069999999999</v>
      </c>
      <c r="C521" s="67">
        <f t="shared" si="8"/>
        <v>-6.500549274599865E-3</v>
      </c>
      <c r="D521" s="66">
        <f>(Table134[[#This Row],[Index]]-B509)/B509</f>
        <v>0.11124264974990838</v>
      </c>
    </row>
    <row r="522" spans="1:4" x14ac:dyDescent="0.35">
      <c r="A522" s="17">
        <v>41974</v>
      </c>
      <c r="B522" s="58">
        <f>VLOOKUP(Table134[[#This Row],[Date]],database!A:I,8,)</f>
        <v>116.68</v>
      </c>
      <c r="C522" s="66">
        <f t="shared" si="8"/>
        <v>2.4760957907337788E-2</v>
      </c>
      <c r="D522" s="66">
        <f>(Table134[[#This Row],[Index]]-B510)/B510</f>
        <v>0.13390320035140507</v>
      </c>
    </row>
    <row r="523" spans="1:4" x14ac:dyDescent="0.35">
      <c r="A523" s="17">
        <v>42005</v>
      </c>
      <c r="B523" s="58">
        <f>VLOOKUP(Table134[[#This Row],[Date]],database!A:I,8,)</f>
        <v>113.7843</v>
      </c>
      <c r="C523" s="67">
        <f t="shared" si="8"/>
        <v>-2.481744943435038E-2</v>
      </c>
      <c r="D523" s="66">
        <f>(Table134[[#This Row],[Index]]-B511)/B511</f>
        <v>9.0872223788130632E-2</v>
      </c>
    </row>
    <row r="524" spans="1:4" x14ac:dyDescent="0.35">
      <c r="A524" s="17">
        <v>42036</v>
      </c>
      <c r="B524" s="58">
        <f>VLOOKUP(Table134[[#This Row],[Date]],database!A:I,8,)</f>
        <v>109.8081</v>
      </c>
      <c r="C524" s="66">
        <f t="shared" si="8"/>
        <v>-3.494506711382861E-2</v>
      </c>
      <c r="D524" s="66">
        <f>(Table134[[#This Row],[Index]]-B512)/B512</f>
        <v>4.2466456986240943E-2</v>
      </c>
    </row>
    <row r="525" spans="1:4" x14ac:dyDescent="0.35">
      <c r="A525" s="17">
        <v>42064</v>
      </c>
      <c r="B525" s="58">
        <f>VLOOKUP(Table134[[#This Row],[Date]],database!A:I,8,)</f>
        <v>107.9909</v>
      </c>
      <c r="C525" s="67">
        <f t="shared" si="8"/>
        <v>-1.654887025638363E-2</v>
      </c>
      <c r="D525" s="66">
        <f>(Table134[[#This Row],[Index]]-B513)/B513</f>
        <v>4.183520703731596E-3</v>
      </c>
    </row>
    <row r="526" spans="1:4" x14ac:dyDescent="0.35">
      <c r="A526" s="17">
        <v>42095</v>
      </c>
      <c r="B526" s="58">
        <f>VLOOKUP(Table134[[#This Row],[Date]],database!A:I,8,)</f>
        <v>106.2953</v>
      </c>
      <c r="C526" s="66">
        <f t="shared" si="8"/>
        <v>-1.570132298184379E-2</v>
      </c>
      <c r="D526" s="66">
        <f>(Table134[[#This Row],[Index]]-B514)/B514</f>
        <v>-2.825498692702904E-2</v>
      </c>
    </row>
    <row r="527" spans="1:4" x14ac:dyDescent="0.35">
      <c r="A527" s="17">
        <v>42125</v>
      </c>
      <c r="B527" s="58">
        <f>VLOOKUP(Table134[[#This Row],[Date]],database!A:I,8,)</f>
        <v>103.7818</v>
      </c>
      <c r="C527" s="66">
        <f t="shared" si="8"/>
        <v>-2.3646388880787739E-2</v>
      </c>
      <c r="D527" s="66">
        <f>(Table134[[#This Row],[Index]]-B515)/B515</f>
        <v>-6.1515854391890376E-2</v>
      </c>
    </row>
    <row r="528" spans="1:4" x14ac:dyDescent="0.35">
      <c r="A528" s="17">
        <v>42156</v>
      </c>
      <c r="B528" s="58">
        <f>VLOOKUP(Table134[[#This Row],[Date]],database!A:I,8,)</f>
        <v>102.979</v>
      </c>
      <c r="C528" s="66">
        <f t="shared" si="8"/>
        <v>-7.7354603601017535E-3</v>
      </c>
      <c r="D528" s="66">
        <f>(Table134[[#This Row],[Index]]-B516)/B516</f>
        <v>-8.0846650386301649E-2</v>
      </c>
    </row>
    <row r="529" spans="1:4" x14ac:dyDescent="0.35">
      <c r="A529" s="17">
        <v>42186</v>
      </c>
      <c r="B529" s="58">
        <f>VLOOKUP(Table134[[#This Row],[Date]],database!A:I,8,)</f>
        <v>104.1902</v>
      </c>
      <c r="C529" s="66">
        <f t="shared" si="8"/>
        <v>1.1761621301430436E-2</v>
      </c>
      <c r="D529" s="66">
        <f>(Table134[[#This Row],[Index]]-B517)/B517</f>
        <v>-7.563638041229423E-2</v>
      </c>
    </row>
    <row r="530" spans="1:4" x14ac:dyDescent="0.35">
      <c r="A530" s="17">
        <v>42217</v>
      </c>
      <c r="B530" s="58">
        <f>VLOOKUP(Table134[[#This Row],[Date]],database!A:I,8,)</f>
        <v>104.65819999999999</v>
      </c>
      <c r="C530" s="66">
        <f t="shared" si="8"/>
        <v>4.4917852158838922E-3</v>
      </c>
      <c r="D530" s="66">
        <f>(Table134[[#This Row],[Index]]-B518)/B518</f>
        <v>-7.9102950247298506E-2</v>
      </c>
    </row>
    <row r="531" spans="1:4" x14ac:dyDescent="0.35">
      <c r="A531" s="17">
        <v>42248</v>
      </c>
      <c r="B531" s="58">
        <f>VLOOKUP(Table134[[#This Row],[Date]],database!A:I,8,)</f>
        <v>103.1339</v>
      </c>
      <c r="C531" s="66">
        <f t="shared" si="8"/>
        <v>-1.4564553947994496E-2</v>
      </c>
      <c r="D531" s="66">
        <f>(Table134[[#This Row],[Index]]-B519)/B519</f>
        <v>-9.770142596803362E-2</v>
      </c>
    </row>
    <row r="532" spans="1:4" x14ac:dyDescent="0.35">
      <c r="A532" s="17">
        <v>42278</v>
      </c>
      <c r="B532" s="58">
        <f>VLOOKUP(Table134[[#This Row],[Date]],database!A:I,8,)</f>
        <v>101.20659999999999</v>
      </c>
      <c r="C532" s="66">
        <f t="shared" si="8"/>
        <v>-1.868735692143908E-2</v>
      </c>
      <c r="D532" s="66">
        <f>(Table134[[#This Row],[Index]]-B520)/B520</f>
        <v>-0.11691477823528851</v>
      </c>
    </row>
    <row r="533" spans="1:4" x14ac:dyDescent="0.35">
      <c r="A533" s="17">
        <v>42309</v>
      </c>
      <c r="B533" s="58">
        <f>VLOOKUP(Table134[[#This Row],[Date]],database!A:I,8,)</f>
        <v>99.033500000000004</v>
      </c>
      <c r="C533" s="66">
        <f t="shared" si="8"/>
        <v>-2.1471919815506002E-2</v>
      </c>
      <c r="D533" s="66">
        <f>(Table134[[#This Row],[Index]]-B521)/B521</f>
        <v>-0.1302222803829591</v>
      </c>
    </row>
    <row r="534" spans="1:4" x14ac:dyDescent="0.35">
      <c r="A534" s="17">
        <v>42339</v>
      </c>
      <c r="B534" s="58">
        <f>VLOOKUP(Table134[[#This Row],[Date]],database!A:I,8,)</f>
        <v>98.3108</v>
      </c>
      <c r="C534" s="66">
        <f t="shared" si="8"/>
        <v>-7.2975306335735235E-3</v>
      </c>
      <c r="D534" s="66">
        <f>(Table134[[#This Row],[Index]]-B522)/B522</f>
        <v>-0.15743229345217694</v>
      </c>
    </row>
    <row r="535" spans="1:4" x14ac:dyDescent="0.35">
      <c r="A535" s="17">
        <v>42370</v>
      </c>
      <c r="B535" s="58">
        <f>VLOOKUP(Table134[[#This Row],[Date]],database!A:I,8,)</f>
        <v>96.282799999999995</v>
      </c>
      <c r="C535" s="66">
        <f t="shared" si="8"/>
        <v>-2.0628455876668728E-2</v>
      </c>
      <c r="D535" s="66">
        <f>(Table134[[#This Row],[Index]]-B523)/B523</f>
        <v>-0.15381296013597665</v>
      </c>
    </row>
    <row r="536" spans="1:4" x14ac:dyDescent="0.35">
      <c r="A536" s="17">
        <v>42401</v>
      </c>
      <c r="B536" s="58">
        <f>VLOOKUP(Table134[[#This Row],[Date]],database!A:I,8,)</f>
        <v>94.243200000000002</v>
      </c>
      <c r="C536" s="66">
        <f t="shared" si="8"/>
        <v>-2.1183430477717646E-2</v>
      </c>
      <c r="D536" s="66">
        <f>(Table134[[#This Row],[Index]]-B524)/B524</f>
        <v>-0.14174637390137881</v>
      </c>
    </row>
    <row r="537" spans="1:4" x14ac:dyDescent="0.35">
      <c r="A537" s="17">
        <v>42430</v>
      </c>
      <c r="B537" s="58">
        <f>VLOOKUP(Table134[[#This Row],[Date]],database!A:I,8,)</f>
        <v>91.919700000000006</v>
      </c>
      <c r="C537" s="66">
        <f t="shared" si="8"/>
        <v>-2.465429866558011E-2</v>
      </c>
      <c r="D537" s="66">
        <f>(Table134[[#This Row],[Index]]-B525)/B525</f>
        <v>-0.14881994686589325</v>
      </c>
    </row>
    <row r="538" spans="1:4" x14ac:dyDescent="0.35">
      <c r="A538" s="17">
        <v>42461</v>
      </c>
      <c r="B538" s="58">
        <f>VLOOKUP(Table134[[#This Row],[Date]],database!A:I,8,)</f>
        <v>89.849400000000003</v>
      </c>
      <c r="C538" s="66">
        <f t="shared" si="8"/>
        <v>-2.2522919461225421E-2</v>
      </c>
      <c r="D538" s="66">
        <f>(Table134[[#This Row],[Index]]-B526)/B526</f>
        <v>-0.15471897628587525</v>
      </c>
    </row>
    <row r="539" spans="1:4" x14ac:dyDescent="0.35">
      <c r="A539" s="17">
        <v>42491</v>
      </c>
      <c r="B539" s="58">
        <f>VLOOKUP(Table134[[#This Row],[Date]],database!A:I,8,)</f>
        <v>89.809600000000003</v>
      </c>
      <c r="C539" s="66">
        <f t="shared" si="8"/>
        <v>-4.4296344772476459E-4</v>
      </c>
      <c r="D539" s="66">
        <f>(Table134[[#This Row],[Index]]-B527)/B527</f>
        <v>-0.13463054215671727</v>
      </c>
    </row>
    <row r="540" spans="1:4" x14ac:dyDescent="0.35">
      <c r="A540" s="17">
        <v>42522</v>
      </c>
      <c r="B540" s="58">
        <f>VLOOKUP(Table134[[#This Row],[Date]],database!A:I,8,)</f>
        <v>89.665400000000005</v>
      </c>
      <c r="C540" s="66">
        <f t="shared" si="8"/>
        <v>-1.605618998414382E-3</v>
      </c>
      <c r="D540" s="66">
        <f>(Table134[[#This Row],[Index]]-B528)/B528</f>
        <v>-0.12928461142563041</v>
      </c>
    </row>
    <row r="541" spans="1:4" x14ac:dyDescent="0.35">
      <c r="A541" s="17">
        <v>42552</v>
      </c>
      <c r="B541" s="58">
        <f>VLOOKUP(Table134[[#This Row],[Date]],database!A:I,8,)</f>
        <v>90.213300000000004</v>
      </c>
      <c r="C541" s="66">
        <f t="shared" si="8"/>
        <v>6.1104952411967783E-3</v>
      </c>
      <c r="D541" s="66">
        <f>(Table134[[#This Row],[Index]]-B529)/B529</f>
        <v>-0.13414793329890912</v>
      </c>
    </row>
    <row r="542" spans="1:4" x14ac:dyDescent="0.35">
      <c r="A542" s="17">
        <v>42583</v>
      </c>
      <c r="B542" s="58">
        <f>VLOOKUP(Table134[[#This Row],[Date]],database!A:I,8,)</f>
        <v>89.859899999999996</v>
      </c>
      <c r="C542" s="66">
        <f t="shared" si="8"/>
        <v>-3.9173824702123383E-3</v>
      </c>
      <c r="D542" s="66">
        <f>(Table134[[#This Row],[Index]]-B530)/B530</f>
        <v>-0.14139646965072969</v>
      </c>
    </row>
    <row r="543" spans="1:4" x14ac:dyDescent="0.35">
      <c r="A543" s="17">
        <v>42614</v>
      </c>
      <c r="B543" s="58">
        <f>VLOOKUP(Table134[[#This Row],[Date]],database!A:I,8,)</f>
        <v>90.008899999999997</v>
      </c>
      <c r="C543" s="66">
        <f t="shared" si="8"/>
        <v>1.6581367217189946E-3</v>
      </c>
      <c r="D543" s="66">
        <f>(Table134[[#This Row],[Index]]-B531)/B531</f>
        <v>-0.12726174419856129</v>
      </c>
    </row>
    <row r="544" spans="1:4" x14ac:dyDescent="0.35">
      <c r="A544" s="17">
        <v>42644</v>
      </c>
      <c r="B544" s="58">
        <f>VLOOKUP(Table134[[#This Row],[Date]],database!A:I,8,)</f>
        <v>92.623900000000006</v>
      </c>
      <c r="C544" s="66">
        <f t="shared" si="8"/>
        <v>2.9052682568057264E-2</v>
      </c>
      <c r="D544" s="66">
        <f>(Table134[[#This Row],[Index]]-B532)/B532</f>
        <v>-8.4803757857689011E-2</v>
      </c>
    </row>
    <row r="545" spans="1:4" x14ac:dyDescent="0.35">
      <c r="A545" s="17">
        <v>42675</v>
      </c>
      <c r="B545" s="58">
        <f>VLOOKUP(Table134[[#This Row],[Date]],database!A:I,8,)</f>
        <v>92.096800000000002</v>
      </c>
      <c r="C545" s="66">
        <f t="shared" si="8"/>
        <v>-5.6907558416349202E-3</v>
      </c>
      <c r="D545" s="66">
        <f>(Table134[[#This Row],[Index]]-B533)/B533</f>
        <v>-7.0043975018554347E-2</v>
      </c>
    </row>
    <row r="546" spans="1:4" x14ac:dyDescent="0.35">
      <c r="A546" s="17">
        <v>42705</v>
      </c>
      <c r="B546" s="58">
        <f>VLOOKUP(Table134[[#This Row],[Date]],database!A:I,8,)</f>
        <v>91.9221</v>
      </c>
      <c r="C546" s="66">
        <f t="shared" si="8"/>
        <v>-1.896917156730793E-3</v>
      </c>
      <c r="D546" s="66">
        <f>(Table134[[#This Row],[Index]]-B534)/B534</f>
        <v>-6.4984721922718564E-2</v>
      </c>
    </row>
    <row r="547" spans="1:4" x14ac:dyDescent="0.35">
      <c r="A547" s="17">
        <v>42736</v>
      </c>
      <c r="B547" s="58">
        <f>VLOOKUP(Table134[[#This Row],[Date]],database!A:I,8,)</f>
        <v>94.077500000000001</v>
      </c>
      <c r="C547" s="66">
        <f t="shared" si="8"/>
        <v>2.3448115306329953E-2</v>
      </c>
      <c r="D547" s="66">
        <f>(Table134[[#This Row],[Index]]-B535)/B535</f>
        <v>-2.2904402447789161E-2</v>
      </c>
    </row>
    <row r="548" spans="1:4" x14ac:dyDescent="0.35">
      <c r="A548" s="17">
        <v>42767</v>
      </c>
      <c r="B548" s="58">
        <f>VLOOKUP(Table134[[#This Row],[Date]],database!A:I,8,)</f>
        <v>96.228499999999997</v>
      </c>
      <c r="C548" s="66">
        <f t="shared" si="8"/>
        <v>2.2864127979591364E-2</v>
      </c>
      <c r="D548" s="66">
        <f>(Table134[[#This Row],[Index]]-B536)/B536</f>
        <v>2.106571084173707E-2</v>
      </c>
    </row>
    <row r="549" spans="1:4" x14ac:dyDescent="0.35">
      <c r="A549" s="17">
        <v>42795</v>
      </c>
      <c r="B549" s="58">
        <f>VLOOKUP(Table134[[#This Row],[Date]],database!A:I,8,)</f>
        <v>97.435000000000002</v>
      </c>
      <c r="C549" s="66">
        <f t="shared" si="8"/>
        <v>1.2537865601147224E-2</v>
      </c>
      <c r="D549" s="66">
        <f>(Table134[[#This Row],[Index]]-B537)/B537</f>
        <v>6.0001283729167916E-2</v>
      </c>
    </row>
    <row r="550" spans="1:4" x14ac:dyDescent="0.35">
      <c r="A550" s="17">
        <v>42826</v>
      </c>
      <c r="B550" s="58">
        <f>VLOOKUP(Table134[[#This Row],[Date]],database!A:I,8,)</f>
        <v>98.568399999999997</v>
      </c>
      <c r="C550" s="66">
        <f t="shared" si="8"/>
        <v>1.1632370298147343E-2</v>
      </c>
      <c r="D550" s="66">
        <f>(Table134[[#This Row],[Index]]-B538)/B538</f>
        <v>9.7040158309348687E-2</v>
      </c>
    </row>
    <row r="551" spans="1:4" x14ac:dyDescent="0.35">
      <c r="A551" s="17">
        <v>42856</v>
      </c>
      <c r="B551" s="58">
        <f>VLOOKUP(Table134[[#This Row],[Date]],database!A:I,8,)</f>
        <v>99.450400000000002</v>
      </c>
      <c r="C551" s="66">
        <f t="shared" si="8"/>
        <v>8.9481010141181372E-3</v>
      </c>
      <c r="D551" s="66">
        <f>(Table134[[#This Row],[Index]]-B539)/B539</f>
        <v>0.10734709875113571</v>
      </c>
    </row>
    <row r="552" spans="1:4" x14ac:dyDescent="0.35">
      <c r="A552" s="17">
        <v>42887</v>
      </c>
      <c r="B552" s="58">
        <f>VLOOKUP(Table134[[#This Row],[Date]],database!A:I,8,)</f>
        <v>100.7711</v>
      </c>
      <c r="C552" s="66">
        <f t="shared" si="8"/>
        <v>1.3279986807493982E-2</v>
      </c>
      <c r="D552" s="66">
        <f>(Table134[[#This Row],[Index]]-B540)/B540</f>
        <v>0.12385713998933812</v>
      </c>
    </row>
    <row r="553" spans="1:4" x14ac:dyDescent="0.35">
      <c r="A553" s="17">
        <v>42917</v>
      </c>
      <c r="B553" s="58">
        <f>VLOOKUP(Table134[[#This Row],[Date]],database!A:I,8,)</f>
        <v>100.7694</v>
      </c>
      <c r="C553" s="66">
        <f t="shared" si="8"/>
        <v>-1.6869916077077995E-5</v>
      </c>
      <c r="D553" s="66">
        <f>(Table134[[#This Row],[Index]]-B541)/B541</f>
        <v>0.11701267994852201</v>
      </c>
    </row>
    <row r="554" spans="1:4" x14ac:dyDescent="0.35">
      <c r="A554" s="17">
        <v>42948</v>
      </c>
      <c r="B554" s="58">
        <f>VLOOKUP(Table134[[#This Row],[Date]],database!A:I,8,)</f>
        <v>100.03149999999999</v>
      </c>
      <c r="C554" s="66">
        <f t="shared" si="8"/>
        <v>-7.3226594581292659E-3</v>
      </c>
      <c r="D554" s="66">
        <f>(Table134[[#This Row],[Index]]-B542)/B542</f>
        <v>0.11319398307810268</v>
      </c>
    </row>
    <row r="555" spans="1:4" x14ac:dyDescent="0.35">
      <c r="A555" s="17">
        <v>42979</v>
      </c>
      <c r="B555" s="58">
        <f>VLOOKUP(Table134[[#This Row],[Date]],database!A:I,8,)</f>
        <v>101.128</v>
      </c>
      <c r="C555" s="66">
        <f t="shared" si="8"/>
        <v>1.096154711265962E-2</v>
      </c>
      <c r="D555" s="66">
        <f>(Table134[[#This Row],[Index]]-B543)/B543</f>
        <v>0.1235333394808736</v>
      </c>
    </row>
    <row r="556" spans="1:4" x14ac:dyDescent="0.35">
      <c r="A556" s="17">
        <v>43009</v>
      </c>
      <c r="B556" s="58">
        <f>VLOOKUP(Table134[[#This Row],[Date]],database!A:I,8,)</f>
        <v>102.6926</v>
      </c>
      <c r="C556" s="66">
        <f t="shared" si="8"/>
        <v>1.5471481686575306E-2</v>
      </c>
      <c r="D556" s="66">
        <f>(Table134[[#This Row],[Index]]-B544)/B544</f>
        <v>0.10870520459622184</v>
      </c>
    </row>
    <row r="557" spans="1:4" x14ac:dyDescent="0.35">
      <c r="A557" s="17">
        <v>43040</v>
      </c>
      <c r="B557" s="58">
        <f>VLOOKUP(Table134[[#This Row],[Date]],database!A:I,8,)</f>
        <v>104.392</v>
      </c>
      <c r="C557" s="66">
        <f t="shared" si="8"/>
        <v>1.6548417315366493E-2</v>
      </c>
      <c r="D557" s="66">
        <f>(Table134[[#This Row],[Index]]-B545)/B545</f>
        <v>0.1335030098765646</v>
      </c>
    </row>
    <row r="558" spans="1:4" x14ac:dyDescent="0.35">
      <c r="A558" s="17">
        <v>43070</v>
      </c>
      <c r="B558" s="58">
        <f>VLOOKUP(Table134[[#This Row],[Date]],database!A:I,8,)</f>
        <v>104.4556</v>
      </c>
      <c r="C558" s="66">
        <f t="shared" si="8"/>
        <v>6.0924208751633735E-4</v>
      </c>
      <c r="D558" s="66">
        <f>(Table134[[#This Row],[Index]]-B546)/B546</f>
        <v>0.13634914781102697</v>
      </c>
    </row>
    <row r="559" spans="1:4" x14ac:dyDescent="0.35">
      <c r="A559" s="17">
        <v>43101</v>
      </c>
      <c r="B559" s="58">
        <f>VLOOKUP(Table134[[#This Row],[Date]],database!A:I,8,)</f>
        <v>104.0635</v>
      </c>
      <c r="C559" s="66">
        <f t="shared" si="8"/>
        <v>-3.7537480039365745E-3</v>
      </c>
      <c r="D559" s="66">
        <f>(Table134[[#This Row],[Index]]-B547)/B547</f>
        <v>0.10614652812840482</v>
      </c>
    </row>
    <row r="560" spans="1:4" x14ac:dyDescent="0.35">
      <c r="A560" s="17">
        <v>43132</v>
      </c>
      <c r="B560" s="58">
        <f>VLOOKUP(Table134[[#This Row],[Date]],database!A:I,8,)</f>
        <v>106.9061</v>
      </c>
      <c r="C560" s="66">
        <f t="shared" si="8"/>
        <v>2.7316013780047665E-2</v>
      </c>
      <c r="D560" s="66">
        <f>(Table134[[#This Row],[Index]]-B548)/B548</f>
        <v>0.11096088996503113</v>
      </c>
    </row>
    <row r="561" spans="1:4" x14ac:dyDescent="0.35">
      <c r="A561" s="17">
        <v>43160</v>
      </c>
      <c r="B561" s="58">
        <f>VLOOKUP(Table134[[#This Row],[Date]],database!A:I,8,)</f>
        <v>108.709</v>
      </c>
      <c r="C561" s="66">
        <f t="shared" si="8"/>
        <v>1.686433234399165E-2</v>
      </c>
      <c r="D561" s="66">
        <f>(Table134[[#This Row],[Index]]-B549)/B549</f>
        <v>0.11570790783599323</v>
      </c>
    </row>
    <row r="562" spans="1:4" x14ac:dyDescent="0.35">
      <c r="A562" s="17">
        <v>43191</v>
      </c>
      <c r="B562" s="58">
        <f>VLOOKUP(Table134[[#This Row],[Date]],database!A:I,8,)</f>
        <v>109.8935</v>
      </c>
      <c r="C562" s="66">
        <f t="shared" si="8"/>
        <v>1.0896061963590942E-2</v>
      </c>
      <c r="D562" s="66">
        <f>(Table134[[#This Row],[Index]]-B550)/B550</f>
        <v>0.11489584897391057</v>
      </c>
    </row>
    <row r="563" spans="1:4" x14ac:dyDescent="0.35">
      <c r="A563" s="17">
        <v>43221</v>
      </c>
      <c r="B563" s="58">
        <f>VLOOKUP(Table134[[#This Row],[Date]],database!A:I,8,)</f>
        <v>110.4678</v>
      </c>
      <c r="C563" s="66">
        <f t="shared" si="8"/>
        <v>5.2259687788631659E-3</v>
      </c>
      <c r="D563" s="66">
        <f>(Table134[[#This Row],[Index]]-B551)/B551</f>
        <v>0.11078286261292056</v>
      </c>
    </row>
    <row r="564" spans="1:4" x14ac:dyDescent="0.35">
      <c r="A564" s="17">
        <v>43252</v>
      </c>
      <c r="B564" s="58">
        <f>VLOOKUP(Table134[[#This Row],[Date]],database!A:I,8,)</f>
        <v>112.93380000000001</v>
      </c>
      <c r="C564" s="66">
        <f t="shared" si="8"/>
        <v>2.2323247136269542E-2</v>
      </c>
      <c r="D564" s="66">
        <f>(Table134[[#This Row],[Index]]-B552)/B552</f>
        <v>0.12069631074782354</v>
      </c>
    </row>
    <row r="565" spans="1:4" x14ac:dyDescent="0.35">
      <c r="A565" s="17">
        <v>43282</v>
      </c>
      <c r="B565" s="58">
        <f>VLOOKUP(Table134[[#This Row],[Date]],database!A:I,8,)</f>
        <v>114.3934</v>
      </c>
      <c r="C565" s="66">
        <f t="shared" si="8"/>
        <v>1.2924385790613613E-2</v>
      </c>
      <c r="D565" s="66">
        <f>(Table134[[#This Row],[Index]]-B553)/B553</f>
        <v>0.13519977294694616</v>
      </c>
    </row>
    <row r="566" spans="1:4" x14ac:dyDescent="0.35">
      <c r="A566" s="17">
        <v>43313</v>
      </c>
      <c r="B566" s="58">
        <f>VLOOKUP(Table134[[#This Row],[Date]],database!A:I,8,)</f>
        <v>117.3459</v>
      </c>
      <c r="C566" s="66">
        <f t="shared" si="8"/>
        <v>2.5810055475228522E-2</v>
      </c>
      <c r="D566" s="66">
        <f>(Table134[[#This Row],[Index]]-B554)/B554</f>
        <v>0.17308947681480341</v>
      </c>
    </row>
    <row r="567" spans="1:4" x14ac:dyDescent="0.35">
      <c r="A567" s="17">
        <v>43344</v>
      </c>
      <c r="B567" s="58">
        <f>VLOOKUP(Table134[[#This Row],[Date]],database!A:I,8,)</f>
        <v>117.749</v>
      </c>
      <c r="C567" s="66">
        <f t="shared" si="8"/>
        <v>3.4351434519654944E-3</v>
      </c>
      <c r="D567" s="66">
        <f>(Table134[[#This Row],[Index]]-B555)/B555</f>
        <v>0.16435606360256305</v>
      </c>
    </row>
    <row r="568" spans="1:4" x14ac:dyDescent="0.35">
      <c r="A568" s="17">
        <v>43374</v>
      </c>
      <c r="B568" s="58">
        <f>VLOOKUP(Table134[[#This Row],[Date]],database!A:I,8,)</f>
        <v>117.8592</v>
      </c>
      <c r="C568" s="66">
        <f t="shared" si="8"/>
        <v>9.3588905213648488E-4</v>
      </c>
      <c r="D568" s="66">
        <f>(Table134[[#This Row],[Index]]-B556)/B556</f>
        <v>0.14768931743864702</v>
      </c>
    </row>
    <row r="569" spans="1:4" x14ac:dyDescent="0.35">
      <c r="A569" s="17">
        <v>43405</v>
      </c>
      <c r="B569" s="58">
        <f>VLOOKUP(Table134[[#This Row],[Date]],database!A:I,8,)</f>
        <v>118.5522</v>
      </c>
      <c r="C569" s="66">
        <f t="shared" si="8"/>
        <v>5.8798973690641354E-3</v>
      </c>
      <c r="D569" s="66">
        <f>(Table134[[#This Row],[Index]]-B557)/B557</f>
        <v>0.13564449383094493</v>
      </c>
    </row>
    <row r="570" spans="1:4" x14ac:dyDescent="0.35">
      <c r="A570" s="17">
        <v>43435</v>
      </c>
      <c r="B570" s="58">
        <f>VLOOKUP(Table134[[#This Row],[Date]],database!A:I,8,)</f>
        <v>120.4772</v>
      </c>
      <c r="C570" s="66">
        <f t="shared" si="8"/>
        <v>1.6237572984727278E-2</v>
      </c>
      <c r="D570" s="66">
        <f>(Table134[[#This Row],[Index]]-B558)/B558</f>
        <v>0.15338191537839993</v>
      </c>
    </row>
    <row r="571" spans="1:4" x14ac:dyDescent="0.35">
      <c r="A571" s="17">
        <v>43466</v>
      </c>
      <c r="B571" s="58">
        <f>VLOOKUP(Table134[[#This Row],[Date]],database!A:I,8,)</f>
        <v>119.6639</v>
      </c>
      <c r="C571" s="66">
        <f t="shared" si="8"/>
        <v>-6.7506548956980383E-3</v>
      </c>
      <c r="D571" s="66">
        <f>(Table134[[#This Row],[Index]]-B559)/B559</f>
        <v>0.1499123131549486</v>
      </c>
    </row>
    <row r="572" spans="1:4" x14ac:dyDescent="0.35">
      <c r="A572" s="17">
        <v>43497</v>
      </c>
      <c r="B572" s="58">
        <f>VLOOKUP(Table134[[#This Row],[Date]],database!A:I,8,)</f>
        <v>118.06950000000001</v>
      </c>
      <c r="C572" s="66">
        <f t="shared" si="8"/>
        <v>-1.3323984927785193E-2</v>
      </c>
      <c r="D572" s="66">
        <f>(Table134[[#This Row],[Index]]-B560)/B560</f>
        <v>0.1044224791662965</v>
      </c>
    </row>
    <row r="573" spans="1:4" x14ac:dyDescent="0.35">
      <c r="A573" s="17">
        <v>43525</v>
      </c>
      <c r="B573" s="58">
        <f>VLOOKUP(Table134[[#This Row],[Date]],database!A:I,8,)</f>
        <v>118.6683</v>
      </c>
      <c r="C573" s="66">
        <f t="shared" si="8"/>
        <v>5.0715891911119471E-3</v>
      </c>
      <c r="D573" s="66">
        <f>(Table134[[#This Row],[Index]]-B561)/B561</f>
        <v>9.1614309762761123E-2</v>
      </c>
    </row>
    <row r="574" spans="1:4" x14ac:dyDescent="0.35">
      <c r="A574" s="17">
        <v>43556</v>
      </c>
      <c r="B574" s="58">
        <f>VLOOKUP(Table134[[#This Row],[Date]],database!A:I,8,)</f>
        <v>120.95489999999999</v>
      </c>
      <c r="C574" s="66">
        <f t="shared" si="8"/>
        <v>1.9268835906472104E-2</v>
      </c>
      <c r="D574" s="66">
        <f>(Table134[[#This Row],[Index]]-B562)/B562</f>
        <v>0.10065563477366715</v>
      </c>
    </row>
    <row r="575" spans="1:4" x14ac:dyDescent="0.35">
      <c r="A575" s="17">
        <v>43586</v>
      </c>
      <c r="B575" s="58">
        <f>VLOOKUP(Table134[[#This Row],[Date]],database!A:I,8,)</f>
        <v>121.1386</v>
      </c>
      <c r="C575" s="66">
        <f t="shared" si="8"/>
        <v>1.5187478969433954E-3</v>
      </c>
      <c r="D575" s="66">
        <f>(Table134[[#This Row],[Index]]-B563)/B563</f>
        <v>9.6596474266709392E-2</v>
      </c>
    </row>
    <row r="576" spans="1:4" x14ac:dyDescent="0.35">
      <c r="A576" s="17">
        <v>43617</v>
      </c>
      <c r="B576" s="58">
        <f>VLOOKUP(Table134[[#This Row],[Date]],database!A:I,8,)</f>
        <v>122.0834</v>
      </c>
      <c r="C576" s="66">
        <f t="shared" si="8"/>
        <v>7.7993306840264953E-3</v>
      </c>
      <c r="D576" s="66">
        <f>(Table134[[#This Row],[Index]]-B564)/B564</f>
        <v>8.1017374780623624E-2</v>
      </c>
    </row>
    <row r="577" spans="1:4" x14ac:dyDescent="0.35">
      <c r="A577" s="17">
        <v>43647</v>
      </c>
      <c r="B577" s="58">
        <f>VLOOKUP(Table134[[#This Row],[Date]],database!A:I,8,)</f>
        <v>120.0346</v>
      </c>
      <c r="C577" s="66">
        <f t="shared" si="8"/>
        <v>-1.6781970357968357E-2</v>
      </c>
      <c r="D577" s="66">
        <f>(Table134[[#This Row],[Index]]-B565)/B565</f>
        <v>4.9314033851603309E-2</v>
      </c>
    </row>
    <row r="578" spans="1:4" x14ac:dyDescent="0.35">
      <c r="A578" s="17">
        <v>43678</v>
      </c>
      <c r="B578" s="58">
        <f>VLOOKUP(Table134[[#This Row],[Date]],database!A:I,8,)</f>
        <v>122.8742</v>
      </c>
      <c r="C578" s="66">
        <f t="shared" si="8"/>
        <v>2.365651237226607E-2</v>
      </c>
      <c r="D578" s="66">
        <f>(Table134[[#This Row],[Index]]-B566)/B566</f>
        <v>4.7111147470853279E-2</v>
      </c>
    </row>
    <row r="579" spans="1:4" x14ac:dyDescent="0.35">
      <c r="A579" s="17">
        <v>43709</v>
      </c>
      <c r="B579" s="58">
        <f>VLOOKUP(Table134[[#This Row],[Date]],database!A:I,8,)</f>
        <v>123.3466</v>
      </c>
      <c r="C579" s="66">
        <f t="shared" si="8"/>
        <v>3.8445825079633789E-3</v>
      </c>
      <c r="D579" s="66">
        <f>(Table134[[#This Row],[Index]]-B567)/B567</f>
        <v>4.7538407969494434E-2</v>
      </c>
    </row>
    <row r="580" spans="1:4" x14ac:dyDescent="0.35">
      <c r="A580" s="17">
        <v>43739</v>
      </c>
      <c r="B580" s="58">
        <f>VLOOKUP(Table134[[#This Row],[Date]],database!A:I,8,)</f>
        <v>122.604</v>
      </c>
      <c r="C580" s="66">
        <f t="shared" si="8"/>
        <v>-6.0204334776960966E-3</v>
      </c>
      <c r="D580" s="66">
        <f>(Table134[[#This Row],[Index]]-B568)/B568</f>
        <v>4.0258206402215509E-2</v>
      </c>
    </row>
    <row r="581" spans="1:4" x14ac:dyDescent="0.35">
      <c r="A581" s="17">
        <v>43770</v>
      </c>
      <c r="B581" s="58">
        <f>VLOOKUP(Table134[[#This Row],[Date]],database!A:I,8,)</f>
        <v>120.12779999999999</v>
      </c>
      <c r="C581" s="66">
        <f t="shared" si="8"/>
        <v>-2.0196730938631724E-2</v>
      </c>
      <c r="D581" s="66">
        <f>(Table134[[#This Row],[Index]]-B569)/B569</f>
        <v>1.3290348049213717E-2</v>
      </c>
    </row>
    <row r="582" spans="1:4" x14ac:dyDescent="0.35">
      <c r="A582" s="17">
        <v>43800</v>
      </c>
      <c r="B582" s="58">
        <f>VLOOKUP(Table134[[#This Row],[Date]],database!A:I,8,)</f>
        <v>120.3918</v>
      </c>
      <c r="C582" s="66">
        <f t="shared" si="8"/>
        <v>2.1976594926405024E-3</v>
      </c>
      <c r="D582" s="66">
        <f>(Table134[[#This Row],[Index]]-B570)/B570</f>
        <v>-7.0884781518820836E-4</v>
      </c>
    </row>
    <row r="583" spans="1:4" x14ac:dyDescent="0.35">
      <c r="A583" s="17">
        <v>43831</v>
      </c>
      <c r="B583" s="58">
        <f>VLOOKUP(Table134[[#This Row],[Date]],database!A:I,8,)</f>
        <v>120.28579999999999</v>
      </c>
      <c r="C583" s="66">
        <f t="shared" si="8"/>
        <v>-8.8045863588726014E-4</v>
      </c>
      <c r="D583" s="66">
        <f>(Table134[[#This Row],[Index]]-B571)/B571</f>
        <v>5.1970560879262386E-3</v>
      </c>
    </row>
    <row r="584" spans="1:4" x14ac:dyDescent="0.35">
      <c r="A584" s="17">
        <v>43862</v>
      </c>
      <c r="B584" s="58">
        <f>VLOOKUP(Table134[[#This Row],[Date]],database!A:I,8,)</f>
        <v>119.0613</v>
      </c>
      <c r="C584" s="66">
        <f t="shared" ref="C584:C647" si="9">B584/B583-1</f>
        <v>-1.0179921486991761E-2</v>
      </c>
      <c r="D584" s="66">
        <f>(Table134[[#This Row],[Index]]-B572)/B572</f>
        <v>8.4001372073227859E-3</v>
      </c>
    </row>
    <row r="585" spans="1:4" x14ac:dyDescent="0.35">
      <c r="A585" s="17">
        <v>43891</v>
      </c>
      <c r="B585" s="58">
        <f>VLOOKUP(Table134[[#This Row],[Date]],database!A:I,8,)</f>
        <v>118.91240000000001</v>
      </c>
      <c r="C585" s="66">
        <f t="shared" si="9"/>
        <v>-1.2506162791772191E-3</v>
      </c>
      <c r="D585" s="66">
        <f>(Table134[[#This Row],[Index]]-B573)/B573</f>
        <v>2.0569941593500799E-3</v>
      </c>
    </row>
    <row r="586" spans="1:4" x14ac:dyDescent="0.35">
      <c r="A586" s="17">
        <v>43922</v>
      </c>
      <c r="B586" s="58">
        <f>VLOOKUP(Table134[[#This Row],[Date]],database!A:I,8,)</f>
        <v>102.9563</v>
      </c>
      <c r="C586" s="66">
        <f t="shared" si="9"/>
        <v>-0.13418365115833175</v>
      </c>
      <c r="D586" s="66">
        <f>(Table134[[#This Row],[Index]]-B574)/B574</f>
        <v>-0.14880422372305707</v>
      </c>
    </row>
    <row r="587" spans="1:4" x14ac:dyDescent="0.35">
      <c r="A587" s="17">
        <v>43952</v>
      </c>
      <c r="B587" s="58">
        <f>VLOOKUP(Table134[[#This Row],[Date]],database!A:I,8,)</f>
        <v>89.588899999999995</v>
      </c>
      <c r="C587" s="66">
        <f t="shared" si="9"/>
        <v>-0.12983566814269742</v>
      </c>
      <c r="D587" s="66">
        <f>(Table134[[#This Row],[Index]]-B575)/B575</f>
        <v>-0.26044299669964821</v>
      </c>
    </row>
    <row r="588" spans="1:4" x14ac:dyDescent="0.35">
      <c r="A588" s="17">
        <v>43983</v>
      </c>
      <c r="B588" s="58">
        <f>VLOOKUP(Table134[[#This Row],[Date]],database!A:I,8,)</f>
        <v>91.824399999999997</v>
      </c>
      <c r="C588" s="66">
        <f t="shared" si="9"/>
        <v>2.4952868045036825E-2</v>
      </c>
      <c r="D588" s="66">
        <f>(Table134[[#This Row],[Index]]-B576)/B576</f>
        <v>-0.2478551547548643</v>
      </c>
    </row>
    <row r="589" spans="1:4" x14ac:dyDescent="0.35">
      <c r="A589" s="17">
        <v>44013</v>
      </c>
      <c r="B589" s="58">
        <f>VLOOKUP(Table134[[#This Row],[Date]],database!A:I,8,)</f>
        <v>96.726900000000001</v>
      </c>
      <c r="C589" s="66">
        <f t="shared" si="9"/>
        <v>5.3389948641102025E-2</v>
      </c>
      <c r="D589" s="66">
        <f>(Table134[[#This Row],[Index]]-B577)/B577</f>
        <v>-0.19417484625266379</v>
      </c>
    </row>
    <row r="590" spans="1:4" x14ac:dyDescent="0.35">
      <c r="A590" s="17">
        <v>44044</v>
      </c>
      <c r="B590" s="58">
        <f>VLOOKUP(Table134[[#This Row],[Date]],database!A:I,8,)</f>
        <v>96.860699999999994</v>
      </c>
      <c r="C590" s="66">
        <f t="shared" si="9"/>
        <v>1.3832760069845129E-3</v>
      </c>
      <c r="D590" s="66">
        <f>(Table134[[#This Row],[Index]]-B578)/B578</f>
        <v>-0.21170839769455269</v>
      </c>
    </row>
    <row r="591" spans="1:4" x14ac:dyDescent="0.35">
      <c r="A591" s="17">
        <v>44075</v>
      </c>
      <c r="B591" s="58">
        <f>VLOOKUP(Table134[[#This Row],[Date]],database!A:I,8,)</f>
        <v>98.024900000000002</v>
      </c>
      <c r="C591" s="66">
        <f t="shared" si="9"/>
        <v>1.2019322594199799E-2</v>
      </c>
      <c r="D591" s="66">
        <f>(Table134[[#This Row],[Index]]-B579)/B579</f>
        <v>-0.20528899864284864</v>
      </c>
    </row>
    <row r="592" spans="1:4" x14ac:dyDescent="0.35">
      <c r="A592" s="17">
        <v>44105</v>
      </c>
      <c r="B592" s="58">
        <f>VLOOKUP(Table134[[#This Row],[Date]],database!A:I,8,)</f>
        <v>96.868600000000001</v>
      </c>
      <c r="C592" s="66">
        <f t="shared" si="9"/>
        <v>-1.1795982449357312E-2</v>
      </c>
      <c r="D592" s="66">
        <f>(Table134[[#This Row],[Index]]-B580)/B580</f>
        <v>-0.20990669146194249</v>
      </c>
    </row>
    <row r="593" spans="1:4" x14ac:dyDescent="0.35">
      <c r="A593" s="17">
        <v>44136</v>
      </c>
      <c r="B593" s="58">
        <f>VLOOKUP(Table134[[#This Row],[Date]],database!A:I,8,)</f>
        <v>100.19410000000001</v>
      </c>
      <c r="C593" s="66">
        <f t="shared" si="9"/>
        <v>3.4330009930978678E-2</v>
      </c>
      <c r="D593" s="66">
        <f>(Table134[[#This Row],[Index]]-B581)/B581</f>
        <v>-0.1659374432895632</v>
      </c>
    </row>
    <row r="594" spans="1:4" x14ac:dyDescent="0.35">
      <c r="A594" s="17">
        <v>44166</v>
      </c>
      <c r="B594" s="58">
        <f>VLOOKUP(Table134[[#This Row],[Date]],database!A:I,8,)</f>
        <v>100.7398</v>
      </c>
      <c r="C594" s="66">
        <f t="shared" si="9"/>
        <v>5.4464284823156905E-3</v>
      </c>
      <c r="D594" s="66">
        <f>(Table134[[#This Row],[Index]]-B582)/B582</f>
        <v>-0.16323370860806136</v>
      </c>
    </row>
    <row r="595" spans="1:4" x14ac:dyDescent="0.35">
      <c r="A595" s="17">
        <v>44197</v>
      </c>
      <c r="B595" s="58">
        <f>VLOOKUP(Table134[[#This Row],[Date]],database!A:I,8,)</f>
        <v>103.065</v>
      </c>
      <c r="C595" s="66">
        <f t="shared" si="9"/>
        <v>2.3081244949860968E-2</v>
      </c>
      <c r="D595" s="66">
        <f>(Table134[[#This Row],[Index]]-B583)/B583</f>
        <v>-0.14316569370615648</v>
      </c>
    </row>
    <row r="596" spans="1:4" x14ac:dyDescent="0.35">
      <c r="A596" s="17">
        <v>44228</v>
      </c>
      <c r="B596" s="58">
        <f>VLOOKUP(Table134[[#This Row],[Date]],database!A:I,8,)</f>
        <v>93.845299999999995</v>
      </c>
      <c r="C596" s="66">
        <f t="shared" si="9"/>
        <v>-8.9455198175908412E-2</v>
      </c>
      <c r="D596" s="66">
        <f>(Table134[[#This Row],[Index]]-B584)/B584</f>
        <v>-0.21179006108618004</v>
      </c>
    </row>
    <row r="597" spans="1:4" x14ac:dyDescent="0.35">
      <c r="A597" s="17">
        <v>44256</v>
      </c>
      <c r="B597" s="58">
        <f>VLOOKUP(Table134[[#This Row],[Date]],database!A:I,8,)</f>
        <v>104.55370000000001</v>
      </c>
      <c r="C597" s="66">
        <f t="shared" si="9"/>
        <v>0.11410693982543618</v>
      </c>
      <c r="D597" s="66">
        <f>(Table134[[#This Row],[Index]]-B585)/B585</f>
        <v>-0.12075023294458777</v>
      </c>
    </row>
    <row r="598" spans="1:4" x14ac:dyDescent="0.35">
      <c r="A598" s="17">
        <v>44287</v>
      </c>
      <c r="B598" s="58">
        <f>VLOOKUP(Table134[[#This Row],[Date]],database!A:I,8,)</f>
        <v>105.06610000000001</v>
      </c>
      <c r="C598" s="66">
        <f t="shared" si="9"/>
        <v>4.9008308649047816E-3</v>
      </c>
      <c r="D598" s="66">
        <f>(Table134[[#This Row],[Index]]-B586)/B586</f>
        <v>2.0492189404630965E-2</v>
      </c>
    </row>
    <row r="599" spans="1:4" x14ac:dyDescent="0.35">
      <c r="A599" s="17">
        <v>44317</v>
      </c>
      <c r="B599" s="58">
        <f>VLOOKUP(Table134[[#This Row],[Date]],database!A:I,8,)</f>
        <v>106.4371</v>
      </c>
      <c r="C599" s="66">
        <f t="shared" si="9"/>
        <v>1.3048928246123026E-2</v>
      </c>
      <c r="D599" s="66">
        <f>(Table134[[#This Row],[Index]]-B587)/B587</f>
        <v>0.18806124419431433</v>
      </c>
    </row>
    <row r="600" spans="1:4" x14ac:dyDescent="0.35">
      <c r="A600" s="17">
        <v>44348</v>
      </c>
      <c r="B600" s="58">
        <f>VLOOKUP(Table134[[#This Row],[Date]],database!A:I,8,)</f>
        <v>106.8877</v>
      </c>
      <c r="C600" s="66">
        <f t="shared" si="9"/>
        <v>4.2334862562019016E-3</v>
      </c>
      <c r="D600" s="66">
        <f>(Table134[[#This Row],[Index]]-B588)/B588</f>
        <v>0.16404463301693231</v>
      </c>
    </row>
    <row r="601" spans="1:4" x14ac:dyDescent="0.35">
      <c r="A601" s="17">
        <v>44378</v>
      </c>
      <c r="B601" s="58">
        <f>VLOOKUP(Table134[[#This Row],[Date]],database!A:I,8,)</f>
        <v>107.60760000000001</v>
      </c>
      <c r="C601" s="66">
        <f t="shared" si="9"/>
        <v>6.7351060973339649E-3</v>
      </c>
      <c r="D601" s="66">
        <f>(Table134[[#This Row],[Index]]-B589)/B589</f>
        <v>0.11248887331238781</v>
      </c>
    </row>
    <row r="602" spans="1:4" x14ac:dyDescent="0.35">
      <c r="A602" s="17">
        <v>44409</v>
      </c>
      <c r="B602" s="58">
        <f>VLOOKUP(Table134[[#This Row],[Date]],database!A:I,8,)</f>
        <v>107.55549999999999</v>
      </c>
      <c r="C602" s="66">
        <f t="shared" si="9"/>
        <v>-4.8416654585747843E-4</v>
      </c>
      <c r="D602" s="66">
        <f>(Table134[[#This Row],[Index]]-B590)/B590</f>
        <v>0.11041423404951649</v>
      </c>
    </row>
    <row r="603" spans="1:4" x14ac:dyDescent="0.35">
      <c r="A603" s="17">
        <v>44440</v>
      </c>
      <c r="B603" s="58">
        <f>VLOOKUP(Table134[[#This Row],[Date]],database!A:I,8,)</f>
        <v>105.8827</v>
      </c>
      <c r="C603" s="66">
        <f t="shared" si="9"/>
        <v>-1.5552900595506514E-2</v>
      </c>
      <c r="D603" s="66">
        <f>(Table134[[#This Row],[Index]]-B591)/B591</f>
        <v>8.016126514793688E-2</v>
      </c>
    </row>
    <row r="604" spans="1:4" x14ac:dyDescent="0.35">
      <c r="A604" s="17">
        <v>44470</v>
      </c>
      <c r="B604" s="58">
        <f>VLOOKUP(Table134[[#This Row],[Date]],database!A:I,8,)</f>
        <v>109.7944</v>
      </c>
      <c r="C604" s="66">
        <f t="shared" si="9"/>
        <v>3.6943712240054216E-2</v>
      </c>
      <c r="D604" s="66">
        <f>(Table134[[#This Row],[Index]]-B592)/B592</f>
        <v>0.13343642831629646</v>
      </c>
    </row>
    <row r="605" spans="1:4" x14ac:dyDescent="0.35">
      <c r="A605" s="17">
        <v>44501</v>
      </c>
      <c r="B605" s="58">
        <f>VLOOKUP(Table134[[#This Row],[Date]],database!A:I,8,)</f>
        <v>110.1619</v>
      </c>
      <c r="C605" s="66">
        <f t="shared" si="9"/>
        <v>3.3471652470435931E-3</v>
      </c>
      <c r="D605" s="66">
        <f>(Table134[[#This Row],[Index]]-B593)/B593</f>
        <v>9.9484899809469785E-2</v>
      </c>
    </row>
    <row r="606" spans="1:4" x14ac:dyDescent="0.35">
      <c r="A606" s="17">
        <v>44531</v>
      </c>
      <c r="B606" s="58">
        <f>VLOOKUP(Table134[[#This Row],[Date]],database!A:I,8,)</f>
        <v>110.31019999999999</v>
      </c>
      <c r="C606" s="66">
        <f t="shared" si="9"/>
        <v>1.3462004558744134E-3</v>
      </c>
      <c r="D606" s="66">
        <f>(Table134[[#This Row],[Index]]-B594)/B594</f>
        <v>9.5001181261030812E-2</v>
      </c>
    </row>
    <row r="607" spans="1:4" x14ac:dyDescent="0.35">
      <c r="A607" s="17">
        <v>44562</v>
      </c>
      <c r="B607" s="58">
        <f>VLOOKUP(Table134[[#This Row],[Date]],database!A:I,8,)</f>
        <v>109.11499999999999</v>
      </c>
      <c r="C607" s="66">
        <f t="shared" si="9"/>
        <v>-1.0834900127096092E-2</v>
      </c>
      <c r="D607" s="66">
        <f>(Table134[[#This Row],[Index]]-B595)/B595</f>
        <v>5.8700819870955198E-2</v>
      </c>
    </row>
    <row r="608" spans="1:4" x14ac:dyDescent="0.35">
      <c r="A608" s="17">
        <v>44593</v>
      </c>
      <c r="B608" s="58">
        <f>VLOOKUP(Table134[[#This Row],[Date]],database!A:I,8,)</f>
        <v>108.5333</v>
      </c>
      <c r="C608" s="66">
        <f t="shared" si="9"/>
        <v>-5.3310727214406217E-3</v>
      </c>
      <c r="D608" s="66">
        <f>(Table134[[#This Row],[Index]]-B596)/B596</f>
        <v>0.15651289942064231</v>
      </c>
    </row>
    <row r="609" spans="1:4" x14ac:dyDescent="0.35">
      <c r="A609" s="17">
        <v>44621</v>
      </c>
      <c r="B609" s="58">
        <f>VLOOKUP(Table134[[#This Row],[Date]],database!A:I,8,)</f>
        <v>111.91</v>
      </c>
      <c r="C609" s="66">
        <f t="shared" si="9"/>
        <v>3.1112110292417228E-2</v>
      </c>
      <c r="D609" s="66">
        <f>(Table134[[#This Row],[Index]]-B597)/B597</f>
        <v>7.0359059507219643E-2</v>
      </c>
    </row>
    <row r="610" spans="1:4" x14ac:dyDescent="0.35">
      <c r="A610" s="17">
        <v>44652</v>
      </c>
      <c r="B610" s="58">
        <f>VLOOKUP(Table134[[#This Row],[Date]],database!A:I,8,)</f>
        <v>112.34350000000001</v>
      </c>
      <c r="C610" s="66">
        <f t="shared" si="9"/>
        <v>3.8736484675185867E-3</v>
      </c>
      <c r="D610" s="66">
        <f>(Table134[[#This Row],[Index]]-B598)/B598</f>
        <v>6.9264967482375372E-2</v>
      </c>
    </row>
    <row r="611" spans="1:4" x14ac:dyDescent="0.35">
      <c r="A611" s="17">
        <v>44682</v>
      </c>
      <c r="B611" s="58">
        <f>VLOOKUP(Table134[[#This Row],[Date]],database!A:I,8,)</f>
        <v>113.6204</v>
      </c>
      <c r="C611" s="66">
        <f t="shared" si="9"/>
        <v>1.1366033637905115E-2</v>
      </c>
      <c r="D611" s="66">
        <f>(Table134[[#This Row],[Index]]-B599)/B599</f>
        <v>6.7488685805983092E-2</v>
      </c>
    </row>
    <row r="612" spans="1:4" x14ac:dyDescent="0.35">
      <c r="A612" s="17">
        <v>44713</v>
      </c>
      <c r="B612" s="58">
        <f>VLOOKUP(Table134[[#This Row],[Date]],database!A:I,8,)</f>
        <v>115.3869</v>
      </c>
      <c r="C612" s="66">
        <f t="shared" si="9"/>
        <v>1.5547384096517902E-2</v>
      </c>
      <c r="D612" s="66">
        <f>(Table134[[#This Row],[Index]]-B600)/B600</f>
        <v>7.9515229535297341E-2</v>
      </c>
    </row>
    <row r="613" spans="1:4" x14ac:dyDescent="0.35">
      <c r="A613" s="17">
        <v>44743</v>
      </c>
      <c r="B613" s="58">
        <f>VLOOKUP(Table134[[#This Row],[Date]],database!A:I,8,)</f>
        <v>116.87730000000001</v>
      </c>
      <c r="C613" s="66">
        <f t="shared" si="9"/>
        <v>1.2916544252423945E-2</v>
      </c>
      <c r="D613" s="66">
        <f>(Table134[[#This Row],[Index]]-B601)/B601</f>
        <v>8.6143543764566816E-2</v>
      </c>
    </row>
    <row r="614" spans="1:4" x14ac:dyDescent="0.35">
      <c r="A614" s="17">
        <v>44774</v>
      </c>
      <c r="B614" s="58">
        <f>VLOOKUP(Table134[[#This Row],[Date]],database!A:I,8,)</f>
        <v>116.9345</v>
      </c>
      <c r="C614" s="66">
        <f t="shared" si="9"/>
        <v>4.8940213369053076E-4</v>
      </c>
      <c r="D614" s="66">
        <f>(Table134[[#This Row],[Index]]-B602)/B602</f>
        <v>8.7201491323084412E-2</v>
      </c>
    </row>
    <row r="615" spans="1:4" x14ac:dyDescent="0.35">
      <c r="A615" s="17">
        <v>44805</v>
      </c>
      <c r="B615" s="58">
        <f>VLOOKUP(Table134[[#This Row],[Date]],database!A:I,8,)</f>
        <v>119.187</v>
      </c>
      <c r="C615" s="66">
        <f t="shared" si="9"/>
        <v>1.9262920694918861E-2</v>
      </c>
      <c r="D615" s="66">
        <f>(Table134[[#This Row],[Index]]-B603)/B603</f>
        <v>0.12565131036514934</v>
      </c>
    </row>
    <row r="616" spans="1:4" x14ac:dyDescent="0.35">
      <c r="A616" s="17">
        <v>44835</v>
      </c>
      <c r="B616" s="58">
        <f>VLOOKUP(Table134[[#This Row],[Date]],database!A:I,8,)</f>
        <v>119.2145</v>
      </c>
      <c r="C616" s="66">
        <f t="shared" si="9"/>
        <v>2.307298614783182E-4</v>
      </c>
      <c r="D616" s="66">
        <f>(Table134[[#This Row],[Index]]-B604)/B604</f>
        <v>8.5797636309320011E-2</v>
      </c>
    </row>
    <row r="617" spans="1:4" x14ac:dyDescent="0.35">
      <c r="A617" s="17">
        <v>44866</v>
      </c>
      <c r="B617" s="58">
        <f>VLOOKUP(Table134[[#This Row],[Date]],database!A:I,8,)</f>
        <v>117.5946</v>
      </c>
      <c r="C617" s="66">
        <f t="shared" si="9"/>
        <v>-1.3588112184339973E-2</v>
      </c>
      <c r="D617" s="66">
        <f>(Table134[[#This Row],[Index]]-B605)/B605</f>
        <v>6.7470695403764797E-2</v>
      </c>
    </row>
    <row r="618" spans="1:4" x14ac:dyDescent="0.35">
      <c r="A618" s="17">
        <v>44896</v>
      </c>
      <c r="B618" s="58">
        <f>VLOOKUP(Table134[[#This Row],[Date]],database!A:I,8,)</f>
        <v>116.17919999999999</v>
      </c>
      <c r="C618" s="66">
        <f t="shared" si="9"/>
        <v>-1.2036266971442666E-2</v>
      </c>
      <c r="D618" s="66">
        <f>(Table134[[#This Row],[Index]]-B606)/B606</f>
        <v>5.3204508739898938E-2</v>
      </c>
    </row>
    <row r="619" spans="1:4" x14ac:dyDescent="0.35">
      <c r="A619" s="17">
        <v>44927</v>
      </c>
      <c r="B619" s="58">
        <f>VLOOKUP(Table134[[#This Row],[Date]],database!A:I,8,)</f>
        <v>118.46259999999999</v>
      </c>
      <c r="C619" s="66">
        <f t="shared" si="9"/>
        <v>1.9654120531041652E-2</v>
      </c>
      <c r="D619" s="66">
        <f>(Table134[[#This Row],[Index]]-B607)/B607</f>
        <v>8.5667415112495995E-2</v>
      </c>
    </row>
  </sheetData>
  <conditionalFormatting sqref="D463:D619">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19"/>
  <sheetViews>
    <sheetView zoomScale="80" zoomScaleNormal="80" workbookViewId="0">
      <pane ySplit="6" topLeftCell="A586" activePane="bottomLeft" state="frozen"/>
      <selection activeCell="N1259" sqref="N1259"/>
      <selection pane="bottomLeft" activeCell="R562" sqref="R562"/>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31" width="9.1796875" style="74" customWidth="1"/>
    <col min="32" max="16384" width="9.1796875" style="74"/>
  </cols>
  <sheetData>
    <row r="1" spans="1:25" x14ac:dyDescent="0.35">
      <c r="A1" s="74" t="s">
        <v>25</v>
      </c>
      <c r="B1" s="74"/>
      <c r="C1" s="74"/>
      <c r="S1" s="20" t="s">
        <v>72</v>
      </c>
      <c r="T1" s="62" t="s">
        <v>64</v>
      </c>
      <c r="U1" s="74" t="str">
        <f>S1&amp;T1</f>
        <v>Industrial Production: Electric and gas utilities since 2010</v>
      </c>
      <c r="Y1" s="60" t="str">
        <f>U2&amp; T1</f>
        <v>Industrial Production: Electric and gas utilities yoy since 2010</v>
      </c>
    </row>
    <row r="2" spans="1:25" x14ac:dyDescent="0.35">
      <c r="A2" s="16"/>
      <c r="B2" s="74"/>
      <c r="C2" s="74"/>
      <c r="S2" s="55"/>
      <c r="T2" s="62"/>
      <c r="U2" s="74" t="str">
        <f>S1&amp;Table1345[[#Headers],[ yoy]]</f>
        <v>Industrial Production: Electric and gas utilities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VLOOKUP(Table1345[[#This Row],[Date]],database!A:I,9,)</f>
        <v>44.073</v>
      </c>
      <c r="C7" s="66"/>
      <c r="D7" s="66"/>
    </row>
    <row r="8" spans="1:25" x14ac:dyDescent="0.35">
      <c r="A8" s="17">
        <v>26330</v>
      </c>
      <c r="B8" s="58">
        <f>VLOOKUP(Table1345[[#This Row],[Date]],database!A:I,9,)</f>
        <v>46.1374</v>
      </c>
      <c r="C8" s="66">
        <f t="shared" ref="C8:C71" si="0">B8/B7-1</f>
        <v>4.6840469221518743E-2</v>
      </c>
      <c r="D8" s="66"/>
    </row>
    <row r="9" spans="1:25" x14ac:dyDescent="0.35">
      <c r="A9" s="17">
        <v>26359</v>
      </c>
      <c r="B9" s="58">
        <f>VLOOKUP(Table1345[[#This Row],[Date]],database!A:I,9,)</f>
        <v>46.343699999999998</v>
      </c>
      <c r="C9" s="66">
        <f t="shared" si="0"/>
        <v>4.4714266516967527E-3</v>
      </c>
      <c r="D9" s="66"/>
    </row>
    <row r="10" spans="1:25" x14ac:dyDescent="0.35">
      <c r="A10" s="17">
        <v>26390</v>
      </c>
      <c r="B10" s="58">
        <f>VLOOKUP(Table1345[[#This Row],[Date]],database!A:I,9,)</f>
        <v>46.217700000000001</v>
      </c>
      <c r="C10" s="66">
        <f t="shared" si="0"/>
        <v>-2.7188161497678776E-3</v>
      </c>
      <c r="D10" s="66"/>
    </row>
    <row r="11" spans="1:25" x14ac:dyDescent="0.35">
      <c r="A11" s="17">
        <v>26420</v>
      </c>
      <c r="B11" s="58">
        <f>VLOOKUP(Table1345[[#This Row],[Date]],database!A:I,9,)</f>
        <v>45.641300000000001</v>
      </c>
      <c r="C11" s="66">
        <f t="shared" si="0"/>
        <v>-1.2471412467517817E-2</v>
      </c>
      <c r="D11" s="66"/>
    </row>
    <row r="12" spans="1:25" x14ac:dyDescent="0.35">
      <c r="A12" s="17">
        <v>26451</v>
      </c>
      <c r="B12" s="58">
        <f>VLOOKUP(Table1345[[#This Row],[Date]],database!A:I,9,)</f>
        <v>45.336399999999998</v>
      </c>
      <c r="C12" s="66">
        <f t="shared" si="0"/>
        <v>-6.6803531012482598E-3</v>
      </c>
      <c r="D12" s="66"/>
    </row>
    <row r="13" spans="1:25" x14ac:dyDescent="0.35">
      <c r="A13" s="17">
        <v>26481</v>
      </c>
      <c r="B13" s="58">
        <f>VLOOKUP(Table1345[[#This Row],[Date]],database!A:I,9,)</f>
        <v>44.8827</v>
      </c>
      <c r="C13" s="66">
        <f t="shared" si="0"/>
        <v>-1.0007411263355692E-2</v>
      </c>
      <c r="D13" s="66"/>
    </row>
    <row r="14" spans="1:25" x14ac:dyDescent="0.35">
      <c r="A14" s="17">
        <v>26512</v>
      </c>
      <c r="B14" s="58">
        <f>VLOOKUP(Table1345[[#This Row],[Date]],database!A:I,9,)</f>
        <v>45.825800000000001</v>
      </c>
      <c r="C14" s="66">
        <f t="shared" si="0"/>
        <v>2.1012550492728765E-2</v>
      </c>
      <c r="D14" s="66"/>
    </row>
    <row r="15" spans="1:25" x14ac:dyDescent="0.35">
      <c r="A15" s="17">
        <v>26543</v>
      </c>
      <c r="B15" s="58">
        <f>VLOOKUP(Table1345[[#This Row],[Date]],database!A:I,9,)</f>
        <v>46.374200000000002</v>
      </c>
      <c r="C15" s="66">
        <f t="shared" si="0"/>
        <v>1.1967057858237151E-2</v>
      </c>
      <c r="D15" s="66"/>
    </row>
    <row r="16" spans="1:25" x14ac:dyDescent="0.35">
      <c r="A16" s="17">
        <v>26573</v>
      </c>
      <c r="B16" s="58">
        <f>VLOOKUP(Table1345[[#This Row],[Date]],database!A:I,9,)</f>
        <v>46.891800000000003</v>
      </c>
      <c r="C16" s="66">
        <f t="shared" si="0"/>
        <v>1.1161378525128329E-2</v>
      </c>
      <c r="D16" s="66"/>
    </row>
    <row r="17" spans="1:4" x14ac:dyDescent="0.35">
      <c r="A17" s="17">
        <v>26604</v>
      </c>
      <c r="B17" s="58">
        <f>VLOOKUP(Table1345[[#This Row],[Date]],database!A:I,9,)</f>
        <v>47.628500000000003</v>
      </c>
      <c r="C17" s="66">
        <f t="shared" si="0"/>
        <v>1.5710635974733211E-2</v>
      </c>
      <c r="D17" s="66"/>
    </row>
    <row r="18" spans="1:4" x14ac:dyDescent="0.35">
      <c r="A18" s="17">
        <v>26634</v>
      </c>
      <c r="B18" s="58">
        <f>VLOOKUP(Table1345[[#This Row],[Date]],database!A:I,9,)</f>
        <v>47.658900000000003</v>
      </c>
      <c r="C18" s="66">
        <f t="shared" si="0"/>
        <v>6.3827330274945915E-4</v>
      </c>
      <c r="D18" s="66"/>
    </row>
    <row r="19" spans="1:4" x14ac:dyDescent="0.35">
      <c r="A19" s="17">
        <v>26665</v>
      </c>
      <c r="B19" s="58">
        <f>VLOOKUP(Table1345[[#This Row],[Date]],database!A:I,9,)</f>
        <v>48.036499999999997</v>
      </c>
      <c r="C19" s="66">
        <f t="shared" si="0"/>
        <v>7.9229692670204077E-3</v>
      </c>
      <c r="D19" s="66"/>
    </row>
    <row r="20" spans="1:4" x14ac:dyDescent="0.35">
      <c r="A20" s="17">
        <v>26696</v>
      </c>
      <c r="B20" s="58">
        <f>VLOOKUP(Table1345[[#This Row],[Date]],database!A:I,9,)</f>
        <v>48.4178</v>
      </c>
      <c r="C20" s="66">
        <f t="shared" si="0"/>
        <v>7.9377140299563553E-3</v>
      </c>
      <c r="D20" s="66">
        <f>(Table1345[[#This Row],[Index]]-B8)/B8</f>
        <v>4.9426278897380438E-2</v>
      </c>
    </row>
    <row r="21" spans="1:4" x14ac:dyDescent="0.35">
      <c r="A21" s="17">
        <v>26724</v>
      </c>
      <c r="B21" s="58">
        <f>VLOOKUP(Table1345[[#This Row],[Date]],database!A:I,9,)</f>
        <v>48.093200000000003</v>
      </c>
      <c r="C21" s="66">
        <f t="shared" si="0"/>
        <v>-6.7041459958939731E-3</v>
      </c>
      <c r="D21" s="66">
        <f>(Table1345[[#This Row],[Index]]-B9)/B9</f>
        <v>3.7750546460468298E-2</v>
      </c>
    </row>
    <row r="22" spans="1:4" x14ac:dyDescent="0.35">
      <c r="A22" s="17">
        <v>26755</v>
      </c>
      <c r="B22" s="58">
        <f>VLOOKUP(Table1345[[#This Row],[Date]],database!A:I,9,)</f>
        <v>48.243499999999997</v>
      </c>
      <c r="C22" s="66">
        <f t="shared" si="0"/>
        <v>3.1251819384028323E-3</v>
      </c>
      <c r="D22" s="66">
        <f>(Table1345[[#This Row],[Index]]-B10)/B10</f>
        <v>4.3831692187192281E-2</v>
      </c>
    </row>
    <row r="23" spans="1:4" x14ac:dyDescent="0.35">
      <c r="A23" s="17">
        <v>26785</v>
      </c>
      <c r="B23" s="58">
        <f>VLOOKUP(Table1345[[#This Row],[Date]],database!A:I,9,)</f>
        <v>48.770299999999999</v>
      </c>
      <c r="C23" s="66">
        <f t="shared" si="0"/>
        <v>1.0919605749997396E-2</v>
      </c>
      <c r="D23" s="66">
        <f>(Table1345[[#This Row],[Index]]-B11)/B11</f>
        <v>6.8556329464761034E-2</v>
      </c>
    </row>
    <row r="24" spans="1:4" x14ac:dyDescent="0.35">
      <c r="A24" s="17">
        <v>26816</v>
      </c>
      <c r="B24" s="58">
        <f>VLOOKUP(Table1345[[#This Row],[Date]],database!A:I,9,)</f>
        <v>49.379399999999997</v>
      </c>
      <c r="C24" s="66">
        <f t="shared" si="0"/>
        <v>1.2489158360723618E-2</v>
      </c>
      <c r="D24" s="66">
        <f>(Table1345[[#This Row],[Index]]-B12)/B12</f>
        <v>8.9177790914144031E-2</v>
      </c>
    </row>
    <row r="25" spans="1:4" x14ac:dyDescent="0.35">
      <c r="A25" s="17">
        <v>26846</v>
      </c>
      <c r="B25" s="58">
        <f>VLOOKUP(Table1345[[#This Row],[Date]],database!A:I,9,)</f>
        <v>48.813899999999997</v>
      </c>
      <c r="C25" s="66">
        <f t="shared" si="0"/>
        <v>-1.1452144011470322E-2</v>
      </c>
      <c r="D25" s="66">
        <f>(Table1345[[#This Row],[Index]]-B13)/B13</f>
        <v>8.7588313537287132E-2</v>
      </c>
    </row>
    <row r="26" spans="1:4" x14ac:dyDescent="0.35">
      <c r="A26" s="17">
        <v>26877</v>
      </c>
      <c r="B26" s="58">
        <f>VLOOKUP(Table1345[[#This Row],[Date]],database!A:I,9,)</f>
        <v>49.259500000000003</v>
      </c>
      <c r="C26" s="66">
        <f t="shared" si="0"/>
        <v>9.1285474014575207E-3</v>
      </c>
      <c r="D26" s="66">
        <f>(Table1345[[#This Row],[Index]]-B14)/B14</f>
        <v>7.492940657882681E-2</v>
      </c>
    </row>
    <row r="27" spans="1:4" x14ac:dyDescent="0.35">
      <c r="A27" s="17">
        <v>26908</v>
      </c>
      <c r="B27" s="58">
        <f>VLOOKUP(Table1345[[#This Row],[Date]],database!A:I,9,)</f>
        <v>50.565399999999997</v>
      </c>
      <c r="C27" s="66">
        <f t="shared" si="0"/>
        <v>2.6510622316507249E-2</v>
      </c>
      <c r="D27" s="66">
        <f>(Table1345[[#This Row],[Index]]-B15)/B15</f>
        <v>9.0377839402081217E-2</v>
      </c>
    </row>
    <row r="28" spans="1:4" x14ac:dyDescent="0.35">
      <c r="A28" s="17">
        <v>26938</v>
      </c>
      <c r="B28" s="58">
        <f>VLOOKUP(Table1345[[#This Row],[Date]],database!A:I,9,)</f>
        <v>50.249299999999998</v>
      </c>
      <c r="C28" s="66">
        <f t="shared" si="0"/>
        <v>-6.2513101844343666E-3</v>
      </c>
      <c r="D28" s="66">
        <f>(Table1345[[#This Row],[Index]]-B16)/B16</f>
        <v>7.1601004866522391E-2</v>
      </c>
    </row>
    <row r="29" spans="1:4" x14ac:dyDescent="0.35">
      <c r="A29" s="17">
        <v>26969</v>
      </c>
      <c r="B29" s="58">
        <f>VLOOKUP(Table1345[[#This Row],[Date]],database!A:I,9,)</f>
        <v>49.472700000000003</v>
      </c>
      <c r="C29" s="66">
        <f t="shared" si="0"/>
        <v>-1.5454941660878796E-2</v>
      </c>
      <c r="D29" s="66">
        <f>(Table1345[[#This Row],[Index]]-B17)/B17</f>
        <v>3.8720513977975386E-2</v>
      </c>
    </row>
    <row r="30" spans="1:4" x14ac:dyDescent="0.35">
      <c r="A30" s="17">
        <v>26999</v>
      </c>
      <c r="B30" s="58">
        <f>VLOOKUP(Table1345[[#This Row],[Date]],database!A:I,9,)</f>
        <v>46.688800000000001</v>
      </c>
      <c r="C30" s="66">
        <f t="shared" si="0"/>
        <v>-5.6271438591384837E-2</v>
      </c>
      <c r="D30" s="66">
        <f>(Table1345[[#This Row],[Index]]-B18)/B18</f>
        <v>-2.0355064846230234E-2</v>
      </c>
    </row>
    <row r="31" spans="1:4" x14ac:dyDescent="0.35">
      <c r="A31" s="17">
        <v>27030</v>
      </c>
      <c r="B31" s="58">
        <f>VLOOKUP(Table1345[[#This Row],[Date]],database!A:I,9,)</f>
        <v>46.861499999999999</v>
      </c>
      <c r="C31" s="66">
        <f t="shared" si="0"/>
        <v>3.69895992186553E-3</v>
      </c>
      <c r="D31" s="66">
        <f>(Table1345[[#This Row],[Index]]-B19)/B19</f>
        <v>-2.4460566444266283E-2</v>
      </c>
    </row>
    <row r="32" spans="1:4" x14ac:dyDescent="0.35">
      <c r="A32" s="17">
        <v>27061</v>
      </c>
      <c r="B32" s="58">
        <f>VLOOKUP(Table1345[[#This Row],[Date]],database!A:I,9,)</f>
        <v>47.063899999999997</v>
      </c>
      <c r="C32" s="66">
        <f t="shared" si="0"/>
        <v>4.3191105705109312E-3</v>
      </c>
      <c r="D32" s="66">
        <f>(Table1345[[#This Row],[Index]]-B20)/B20</f>
        <v>-2.7962856635369699E-2</v>
      </c>
    </row>
    <row r="33" spans="1:4" x14ac:dyDescent="0.35">
      <c r="A33" s="17">
        <v>27089</v>
      </c>
      <c r="B33" s="58">
        <f>VLOOKUP(Table1345[[#This Row],[Date]],database!A:I,9,)</f>
        <v>48.070700000000002</v>
      </c>
      <c r="C33" s="66">
        <f t="shared" si="0"/>
        <v>2.1392192317253977E-2</v>
      </c>
      <c r="D33" s="66">
        <f>(Table1345[[#This Row],[Index]]-B21)/B21</f>
        <v>-4.6784160754536713E-4</v>
      </c>
    </row>
    <row r="34" spans="1:4" x14ac:dyDescent="0.35">
      <c r="A34" s="17">
        <v>27120</v>
      </c>
      <c r="B34" s="58">
        <f>VLOOKUP(Table1345[[#This Row],[Date]],database!A:I,9,)</f>
        <v>48.641100000000002</v>
      </c>
      <c r="C34" s="66">
        <f t="shared" si="0"/>
        <v>1.1865855916389778E-2</v>
      </c>
      <c r="D34" s="66">
        <f>(Table1345[[#This Row],[Index]]-B22)/B22</f>
        <v>8.2415247649943353E-3</v>
      </c>
    </row>
    <row r="35" spans="1:4" x14ac:dyDescent="0.35">
      <c r="A35" s="17">
        <v>27150</v>
      </c>
      <c r="B35" s="58">
        <f>VLOOKUP(Table1345[[#This Row],[Date]],database!A:I,9,)</f>
        <v>49.253700000000002</v>
      </c>
      <c r="C35" s="66">
        <f t="shared" si="0"/>
        <v>1.2594287546951133E-2</v>
      </c>
      <c r="D35" s="66">
        <f>(Table1345[[#This Row],[Index]]-B23)/B23</f>
        <v>9.9117700731798479E-3</v>
      </c>
    </row>
    <row r="36" spans="1:4" x14ac:dyDescent="0.35">
      <c r="A36" s="17">
        <v>27181</v>
      </c>
      <c r="B36" s="58">
        <f>VLOOKUP(Table1345[[#This Row],[Date]],database!A:I,9,)</f>
        <v>48.782400000000003</v>
      </c>
      <c r="C36" s="66">
        <f t="shared" si="0"/>
        <v>-9.5688242710699756E-3</v>
      </c>
      <c r="D36" s="66">
        <f>(Table1345[[#This Row],[Index]]-B24)/B24</f>
        <v>-1.2090061847652954E-2</v>
      </c>
    </row>
    <row r="37" spans="1:4" x14ac:dyDescent="0.35">
      <c r="A37" s="17">
        <v>27211</v>
      </c>
      <c r="B37" s="58">
        <f>VLOOKUP(Table1345[[#This Row],[Date]],database!A:I,9,)</f>
        <v>49.849200000000003</v>
      </c>
      <c r="C37" s="66">
        <f t="shared" si="0"/>
        <v>2.1868542753123998E-2</v>
      </c>
      <c r="D37" s="66">
        <f>(Table1345[[#This Row],[Index]]-B25)/B25</f>
        <v>2.1209122811330514E-2</v>
      </c>
    </row>
    <row r="38" spans="1:4" x14ac:dyDescent="0.35">
      <c r="A38" s="17">
        <v>27242</v>
      </c>
      <c r="B38" s="58">
        <f>VLOOKUP(Table1345[[#This Row],[Date]],database!A:I,9,)</f>
        <v>49.419699999999999</v>
      </c>
      <c r="C38" s="66">
        <f t="shared" si="0"/>
        <v>-8.6159858132127676E-3</v>
      </c>
      <c r="D38" s="66">
        <f>(Table1345[[#This Row],[Index]]-B26)/B26</f>
        <v>3.2521645570904316E-3</v>
      </c>
    </row>
    <row r="39" spans="1:4" x14ac:dyDescent="0.35">
      <c r="A39" s="17">
        <v>27273</v>
      </c>
      <c r="B39" s="58">
        <f>VLOOKUP(Table1345[[#This Row],[Date]],database!A:I,9,)</f>
        <v>48.765700000000002</v>
      </c>
      <c r="C39" s="66">
        <f t="shared" si="0"/>
        <v>-1.323358903433236E-2</v>
      </c>
      <c r="D39" s="66">
        <f>(Table1345[[#This Row],[Index]]-B27)/B27</f>
        <v>-3.5591530967815824E-2</v>
      </c>
    </row>
    <row r="40" spans="1:4" x14ac:dyDescent="0.35">
      <c r="A40" s="17">
        <v>27303</v>
      </c>
      <c r="B40" s="58">
        <f>VLOOKUP(Table1345[[#This Row],[Date]],database!A:I,9,)</f>
        <v>50.011099999999999</v>
      </c>
      <c r="C40" s="66">
        <f t="shared" si="0"/>
        <v>2.5538441978685711E-2</v>
      </c>
      <c r="D40" s="66">
        <f>(Table1345[[#This Row],[Index]]-B28)/B28</f>
        <v>-4.7403645423916172E-3</v>
      </c>
    </row>
    <row r="41" spans="1:4" x14ac:dyDescent="0.35">
      <c r="A41" s="17">
        <v>27334</v>
      </c>
      <c r="B41" s="58">
        <f>VLOOKUP(Table1345[[#This Row],[Date]],database!A:I,9,)</f>
        <v>48.959099999999999</v>
      </c>
      <c r="C41" s="66">
        <f t="shared" si="0"/>
        <v>-2.1035330156705223E-2</v>
      </c>
      <c r="D41" s="66">
        <f>(Table1345[[#This Row],[Index]]-B29)/B29</f>
        <v>-1.038148312099408E-2</v>
      </c>
    </row>
    <row r="42" spans="1:4" x14ac:dyDescent="0.35">
      <c r="A42" s="17">
        <v>27364</v>
      </c>
      <c r="B42" s="58">
        <f>VLOOKUP(Table1345[[#This Row],[Date]],database!A:I,9,)</f>
        <v>48.990099999999998</v>
      </c>
      <c r="C42" s="66">
        <f t="shared" si="0"/>
        <v>6.3318157400771291E-4</v>
      </c>
      <c r="D42" s="66">
        <f>(Table1345[[#This Row],[Index]]-B30)/B30</f>
        <v>4.9290193793800605E-2</v>
      </c>
    </row>
    <row r="43" spans="1:4" x14ac:dyDescent="0.35">
      <c r="A43" s="17">
        <v>27395</v>
      </c>
      <c r="B43" s="58">
        <f>VLOOKUP(Table1345[[#This Row],[Date]],database!A:I,9,)</f>
        <v>48.042900000000003</v>
      </c>
      <c r="C43" s="66">
        <f t="shared" si="0"/>
        <v>-1.933451860682045E-2</v>
      </c>
      <c r="D43" s="66">
        <f>(Table1345[[#This Row],[Index]]-B31)/B31</f>
        <v>2.521046061265652E-2</v>
      </c>
    </row>
    <row r="44" spans="1:4" x14ac:dyDescent="0.35">
      <c r="A44" s="17">
        <v>27426</v>
      </c>
      <c r="B44" s="58">
        <f>VLOOKUP(Table1345[[#This Row],[Date]],database!A:I,9,)</f>
        <v>48.760100000000001</v>
      </c>
      <c r="C44" s="66">
        <f t="shared" si="0"/>
        <v>1.4928324476665589E-2</v>
      </c>
      <c r="D44" s="66">
        <f>(Table1345[[#This Row],[Index]]-B32)/B32</f>
        <v>3.6040362145933605E-2</v>
      </c>
    </row>
    <row r="45" spans="1:4" x14ac:dyDescent="0.35">
      <c r="A45" s="17">
        <v>27454</v>
      </c>
      <c r="B45" s="58">
        <f>VLOOKUP(Table1345[[#This Row],[Date]],database!A:I,9,)</f>
        <v>49.904499999999999</v>
      </c>
      <c r="C45" s="66">
        <f t="shared" si="0"/>
        <v>2.3470009290382787E-2</v>
      </c>
      <c r="D45" s="66">
        <f>(Table1345[[#This Row],[Index]]-B33)/B33</f>
        <v>3.8147977874255973E-2</v>
      </c>
    </row>
    <row r="46" spans="1:4" x14ac:dyDescent="0.35">
      <c r="A46" s="17">
        <v>27485</v>
      </c>
      <c r="B46" s="58">
        <f>VLOOKUP(Table1345[[#This Row],[Date]],database!A:I,9,)</f>
        <v>51.200400000000002</v>
      </c>
      <c r="C46" s="66">
        <f t="shared" si="0"/>
        <v>2.5967598112394796E-2</v>
      </c>
      <c r="D46" s="66">
        <f>(Table1345[[#This Row],[Index]]-B34)/B34</f>
        <v>5.2615997582291525E-2</v>
      </c>
    </row>
    <row r="47" spans="1:4" x14ac:dyDescent="0.35">
      <c r="A47" s="17">
        <v>27515</v>
      </c>
      <c r="B47" s="58">
        <f>VLOOKUP(Table1345[[#This Row],[Date]],database!A:I,9,)</f>
        <v>50.315600000000003</v>
      </c>
      <c r="C47" s="66">
        <f t="shared" si="0"/>
        <v>-1.7281114991289148E-2</v>
      </c>
      <c r="D47" s="66">
        <f>(Table1345[[#This Row],[Index]]-B35)/B35</f>
        <v>2.1559801598661651E-2</v>
      </c>
    </row>
    <row r="48" spans="1:4" x14ac:dyDescent="0.35">
      <c r="A48" s="17">
        <v>27546</v>
      </c>
      <c r="B48" s="58">
        <f>VLOOKUP(Table1345[[#This Row],[Date]],database!A:I,9,)</f>
        <v>49.137300000000003</v>
      </c>
      <c r="C48" s="66">
        <f t="shared" si="0"/>
        <v>-2.3418184419941368E-2</v>
      </c>
      <c r="D48" s="66">
        <f>(Table1345[[#This Row],[Index]]-B36)/B36</f>
        <v>7.2751648135393225E-3</v>
      </c>
    </row>
    <row r="49" spans="1:4" x14ac:dyDescent="0.35">
      <c r="A49" s="17">
        <v>27576</v>
      </c>
      <c r="B49" s="58">
        <f>VLOOKUP(Table1345[[#This Row],[Date]],database!A:I,9,)</f>
        <v>49.845799999999997</v>
      </c>
      <c r="C49" s="66">
        <f t="shared" si="0"/>
        <v>1.4418781658739777E-2</v>
      </c>
      <c r="D49" s="66">
        <f>(Table1345[[#This Row],[Index]]-B37)/B37</f>
        <v>-6.8205708416710535E-5</v>
      </c>
    </row>
    <row r="50" spans="1:4" x14ac:dyDescent="0.35">
      <c r="A50" s="17">
        <v>27607</v>
      </c>
      <c r="B50" s="58">
        <f>VLOOKUP(Table1345[[#This Row],[Date]],database!A:I,9,)</f>
        <v>50.3093</v>
      </c>
      <c r="C50" s="66">
        <f t="shared" si="0"/>
        <v>9.2986771202387963E-3</v>
      </c>
      <c r="D50" s="66">
        <f>(Table1345[[#This Row],[Index]]-B38)/B38</f>
        <v>1.8000918661991099E-2</v>
      </c>
    </row>
    <row r="51" spans="1:4" x14ac:dyDescent="0.35">
      <c r="A51" s="17">
        <v>27638</v>
      </c>
      <c r="B51" s="58">
        <f>VLOOKUP(Table1345[[#This Row],[Date]],database!A:I,9,)</f>
        <v>50.081200000000003</v>
      </c>
      <c r="C51" s="66">
        <f t="shared" si="0"/>
        <v>-4.5339529669464751E-3</v>
      </c>
      <c r="D51" s="66">
        <f>(Table1345[[#This Row],[Index]]-B39)/B39</f>
        <v>2.6975927752498172E-2</v>
      </c>
    </row>
    <row r="52" spans="1:4" x14ac:dyDescent="0.35">
      <c r="A52" s="17">
        <v>27668</v>
      </c>
      <c r="B52" s="58">
        <f>VLOOKUP(Table1345[[#This Row],[Date]],database!A:I,9,)</f>
        <v>49.949199999999998</v>
      </c>
      <c r="C52" s="66">
        <f t="shared" si="0"/>
        <v>-2.6357195913836451E-3</v>
      </c>
      <c r="D52" s="66">
        <f>(Table1345[[#This Row],[Index]]-B40)/B40</f>
        <v>-1.2377252250000779E-3</v>
      </c>
    </row>
    <row r="53" spans="1:4" x14ac:dyDescent="0.35">
      <c r="A53" s="17">
        <v>27699</v>
      </c>
      <c r="B53" s="58">
        <f>VLOOKUP(Table1345[[#This Row],[Date]],database!A:I,9,)</f>
        <v>49.371899999999997</v>
      </c>
      <c r="C53" s="66">
        <f t="shared" si="0"/>
        <v>-1.1557742666549187E-2</v>
      </c>
      <c r="D53" s="66">
        <f>(Table1345[[#This Row],[Index]]-B41)/B41</f>
        <v>8.4315275403346306E-3</v>
      </c>
    </row>
    <row r="54" spans="1:4" x14ac:dyDescent="0.35">
      <c r="A54" s="17">
        <v>27729</v>
      </c>
      <c r="B54" s="58">
        <f>VLOOKUP(Table1345[[#This Row],[Date]],database!A:I,9,)</f>
        <v>50.247</v>
      </c>
      <c r="C54" s="66">
        <f t="shared" si="0"/>
        <v>1.7724657143030731E-2</v>
      </c>
      <c r="D54" s="66">
        <f>(Table1345[[#This Row],[Index]]-B42)/B42</f>
        <v>2.5656204008565033E-2</v>
      </c>
    </row>
    <row r="55" spans="1:4" x14ac:dyDescent="0.35">
      <c r="A55" s="17">
        <v>27760</v>
      </c>
      <c r="B55" s="58">
        <f>VLOOKUP(Table1345[[#This Row],[Date]],database!A:I,9,)</f>
        <v>51.426099999999998</v>
      </c>
      <c r="C55" s="66">
        <f t="shared" si="0"/>
        <v>2.3466077576770772E-2</v>
      </c>
      <c r="D55" s="66">
        <f>(Table1345[[#This Row],[Index]]-B43)/B43</f>
        <v>7.042039510520795E-2</v>
      </c>
    </row>
    <row r="56" spans="1:4" x14ac:dyDescent="0.35">
      <c r="A56" s="17">
        <v>27791</v>
      </c>
      <c r="B56" s="58">
        <f>VLOOKUP(Table1345[[#This Row],[Date]],database!A:I,9,)</f>
        <v>50.377699999999997</v>
      </c>
      <c r="C56" s="66">
        <f t="shared" si="0"/>
        <v>-2.0386535241832426E-2</v>
      </c>
      <c r="D56" s="66">
        <f>(Table1345[[#This Row],[Index]]-B44)/B44</f>
        <v>3.3174665351383525E-2</v>
      </c>
    </row>
    <row r="57" spans="1:4" x14ac:dyDescent="0.35">
      <c r="A57" s="17">
        <v>27820</v>
      </c>
      <c r="B57" s="58">
        <f>VLOOKUP(Table1345[[#This Row],[Date]],database!A:I,9,)</f>
        <v>50.729900000000001</v>
      </c>
      <c r="C57" s="66">
        <f t="shared" si="0"/>
        <v>6.9911885616056324E-3</v>
      </c>
      <c r="D57" s="66">
        <f>(Table1345[[#This Row],[Index]]-B45)/B45</f>
        <v>1.6539590618080573E-2</v>
      </c>
    </row>
    <row r="58" spans="1:4" x14ac:dyDescent="0.35">
      <c r="A58" s="17">
        <v>27851</v>
      </c>
      <c r="B58" s="58">
        <f>VLOOKUP(Table1345[[#This Row],[Date]],database!A:I,9,)</f>
        <v>51.109200000000001</v>
      </c>
      <c r="C58" s="66">
        <f t="shared" si="0"/>
        <v>7.4768529013462537E-3</v>
      </c>
      <c r="D58" s="66">
        <f>(Table1345[[#This Row],[Index]]-B46)/B46</f>
        <v>-1.7812360840931049E-3</v>
      </c>
    </row>
    <row r="59" spans="1:4" x14ac:dyDescent="0.35">
      <c r="A59" s="17">
        <v>27881</v>
      </c>
      <c r="B59" s="58">
        <f>VLOOKUP(Table1345[[#This Row],[Date]],database!A:I,9,)</f>
        <v>50.965400000000002</v>
      </c>
      <c r="C59" s="66">
        <f t="shared" si="0"/>
        <v>-2.8135834644251734E-3</v>
      </c>
      <c r="D59" s="66">
        <f>(Table1345[[#This Row],[Index]]-B47)/B47</f>
        <v>1.2914483778390778E-2</v>
      </c>
    </row>
    <row r="60" spans="1:4" x14ac:dyDescent="0.35">
      <c r="A60" s="17">
        <v>27912</v>
      </c>
      <c r="B60" s="58">
        <f>VLOOKUP(Table1345[[#This Row],[Date]],database!A:I,9,)</f>
        <v>51.417499999999997</v>
      </c>
      <c r="C60" s="66">
        <f t="shared" si="0"/>
        <v>8.8707240598522308E-3</v>
      </c>
      <c r="D60" s="66">
        <f>(Table1345[[#This Row],[Index]]-B48)/B48</f>
        <v>4.6404666109045339E-2</v>
      </c>
    </row>
    <row r="61" spans="1:4" x14ac:dyDescent="0.35">
      <c r="A61" s="17">
        <v>27942</v>
      </c>
      <c r="B61" s="58">
        <f>VLOOKUP(Table1345[[#This Row],[Date]],database!A:I,9,)</f>
        <v>51.618899999999996</v>
      </c>
      <c r="C61" s="66">
        <f t="shared" si="0"/>
        <v>3.9169543443380306E-3</v>
      </c>
      <c r="D61" s="66">
        <f>(Table1345[[#This Row],[Index]]-B49)/B49</f>
        <v>3.5571703132460497E-2</v>
      </c>
    </row>
    <row r="62" spans="1:4" x14ac:dyDescent="0.35">
      <c r="A62" s="17">
        <v>27973</v>
      </c>
      <c r="B62" s="58">
        <f>VLOOKUP(Table1345[[#This Row],[Date]],database!A:I,9,)</f>
        <v>51.815100000000001</v>
      </c>
      <c r="C62" s="66">
        <f t="shared" si="0"/>
        <v>3.8009333790531841E-3</v>
      </c>
      <c r="D62" s="66">
        <f>(Table1345[[#This Row],[Index]]-B50)/B50</f>
        <v>2.9930847775659783E-2</v>
      </c>
    </row>
    <row r="63" spans="1:4" x14ac:dyDescent="0.35">
      <c r="A63" s="17">
        <v>28004</v>
      </c>
      <c r="B63" s="58">
        <f>VLOOKUP(Table1345[[#This Row],[Date]],database!A:I,9,)</f>
        <v>52.241799999999998</v>
      </c>
      <c r="C63" s="66">
        <f t="shared" si="0"/>
        <v>8.2350511723416897E-3</v>
      </c>
      <c r="D63" s="66">
        <f>(Table1345[[#This Row],[Index]]-B51)/B51</f>
        <v>4.3141937493510439E-2</v>
      </c>
    </row>
    <row r="64" spans="1:4" x14ac:dyDescent="0.35">
      <c r="A64" s="17">
        <v>28034</v>
      </c>
      <c r="B64" s="58">
        <f>VLOOKUP(Table1345[[#This Row],[Date]],database!A:I,9,)</f>
        <v>52.782299999999999</v>
      </c>
      <c r="C64" s="66">
        <f t="shared" si="0"/>
        <v>1.0346121305161882E-2</v>
      </c>
      <c r="D64" s="66">
        <f>(Table1345[[#This Row],[Index]]-B52)/B52</f>
        <v>5.6719627141175469E-2</v>
      </c>
    </row>
    <row r="65" spans="1:4" x14ac:dyDescent="0.35">
      <c r="A65" s="17">
        <v>28065</v>
      </c>
      <c r="B65" s="58">
        <f>VLOOKUP(Table1345[[#This Row],[Date]],database!A:I,9,)</f>
        <v>55.2</v>
      </c>
      <c r="C65" s="66">
        <f t="shared" si="0"/>
        <v>4.5805127855360617E-2</v>
      </c>
      <c r="D65" s="66">
        <f>(Table1345[[#This Row],[Index]]-B53)/B53</f>
        <v>0.1180448797797939</v>
      </c>
    </row>
    <row r="66" spans="1:4" x14ac:dyDescent="0.35">
      <c r="A66" s="17">
        <v>28095</v>
      </c>
      <c r="B66" s="58">
        <f>VLOOKUP(Table1345[[#This Row],[Date]],database!A:I,9,)</f>
        <v>55.641100000000002</v>
      </c>
      <c r="C66" s="66">
        <f t="shared" si="0"/>
        <v>7.990942028985426E-3</v>
      </c>
      <c r="D66" s="66">
        <f>(Table1345[[#This Row],[Index]]-B54)/B54</f>
        <v>0.10735168268752367</v>
      </c>
    </row>
    <row r="67" spans="1:4" x14ac:dyDescent="0.35">
      <c r="A67" s="17">
        <v>28126</v>
      </c>
      <c r="B67" s="58">
        <f>VLOOKUP(Table1345[[#This Row],[Date]],database!A:I,9,)</f>
        <v>55.193600000000004</v>
      </c>
      <c r="C67" s="66">
        <f t="shared" si="0"/>
        <v>-8.0426159799140695E-3</v>
      </c>
      <c r="D67" s="66">
        <f>(Table1345[[#This Row],[Index]]-B55)/B55</f>
        <v>7.326046501679119E-2</v>
      </c>
    </row>
    <row r="68" spans="1:4" x14ac:dyDescent="0.35">
      <c r="A68" s="17">
        <v>28157</v>
      </c>
      <c r="B68" s="58">
        <f>VLOOKUP(Table1345[[#This Row],[Date]],database!A:I,9,)</f>
        <v>53.379300000000001</v>
      </c>
      <c r="C68" s="66">
        <f t="shared" si="0"/>
        <v>-3.2871564819109467E-2</v>
      </c>
      <c r="D68" s="66">
        <f>(Table1345[[#This Row],[Index]]-B56)/B56</f>
        <v>5.9581918189992866E-2</v>
      </c>
    </row>
    <row r="69" spans="1:4" x14ac:dyDescent="0.35">
      <c r="A69" s="17">
        <v>28185</v>
      </c>
      <c r="B69" s="58">
        <f>VLOOKUP(Table1345[[#This Row],[Date]],database!A:I,9,)</f>
        <v>52.567599999999999</v>
      </c>
      <c r="C69" s="66">
        <f t="shared" si="0"/>
        <v>-1.5206269096822211E-2</v>
      </c>
      <c r="D69" s="66">
        <f>(Table1345[[#This Row],[Index]]-B57)/B57</f>
        <v>3.6225184752976015E-2</v>
      </c>
    </row>
    <row r="70" spans="1:4" x14ac:dyDescent="0.35">
      <c r="A70" s="17">
        <v>28216</v>
      </c>
      <c r="B70" s="58">
        <f>VLOOKUP(Table1345[[#This Row],[Date]],database!A:I,9,)</f>
        <v>53.251899999999999</v>
      </c>
      <c r="C70" s="66">
        <f t="shared" si="0"/>
        <v>1.3017524102298728E-2</v>
      </c>
      <c r="D70" s="66">
        <f>(Table1345[[#This Row],[Index]]-B58)/B58</f>
        <v>4.1923958895854326E-2</v>
      </c>
    </row>
    <row r="71" spans="1:4" x14ac:dyDescent="0.35">
      <c r="A71" s="17">
        <v>28246</v>
      </c>
      <c r="B71" s="58">
        <f>VLOOKUP(Table1345[[#This Row],[Date]],database!A:I,9,)</f>
        <v>54.098599999999998</v>
      </c>
      <c r="C71" s="66">
        <f t="shared" si="0"/>
        <v>1.5899902163115209E-2</v>
      </c>
      <c r="D71" s="66">
        <f>(Table1345[[#This Row],[Index]]-B59)/B59</f>
        <v>6.1477002044524227E-2</v>
      </c>
    </row>
    <row r="72" spans="1:4" x14ac:dyDescent="0.35">
      <c r="A72" s="17">
        <v>28277</v>
      </c>
      <c r="B72" s="58">
        <f>VLOOKUP(Table1345[[#This Row],[Date]],database!A:I,9,)</f>
        <v>54.817300000000003</v>
      </c>
      <c r="C72" s="66">
        <f t="shared" ref="C72:C135" si="1">B72/B71-1</f>
        <v>1.3285001829991927E-2</v>
      </c>
      <c r="D72" s="66">
        <f>(Table1345[[#This Row],[Index]]-B60)/B60</f>
        <v>6.6121456702484691E-2</v>
      </c>
    </row>
    <row r="73" spans="1:4" x14ac:dyDescent="0.35">
      <c r="A73" s="17">
        <v>28307</v>
      </c>
      <c r="B73" s="58">
        <f>VLOOKUP(Table1345[[#This Row],[Date]],database!A:I,9,)</f>
        <v>55.476300000000002</v>
      </c>
      <c r="C73" s="66">
        <f t="shared" si="1"/>
        <v>1.2021752257042939E-2</v>
      </c>
      <c r="D73" s="66">
        <f>(Table1345[[#This Row],[Index]]-B61)/B61</f>
        <v>7.4728442489088415E-2</v>
      </c>
    </row>
    <row r="74" spans="1:4" x14ac:dyDescent="0.35">
      <c r="A74" s="17">
        <v>28338</v>
      </c>
      <c r="B74" s="58">
        <f>VLOOKUP(Table1345[[#This Row],[Date]],database!A:I,9,)</f>
        <v>54.567799999999998</v>
      </c>
      <c r="C74" s="66">
        <f t="shared" si="1"/>
        <v>-1.6376362518769394E-2</v>
      </c>
      <c r="D74" s="66">
        <f>(Table1345[[#This Row],[Index]]-B62)/B62</f>
        <v>5.3125440267412338E-2</v>
      </c>
    </row>
    <row r="75" spans="1:4" x14ac:dyDescent="0.35">
      <c r="A75" s="17">
        <v>28369</v>
      </c>
      <c r="B75" s="58">
        <f>VLOOKUP(Table1345[[#This Row],[Date]],database!A:I,9,)</f>
        <v>54.772100000000002</v>
      </c>
      <c r="C75" s="66">
        <f t="shared" si="1"/>
        <v>3.7439662218379244E-3</v>
      </c>
      <c r="D75" s="66">
        <f>(Table1345[[#This Row],[Index]]-B63)/B63</f>
        <v>4.8434395445792526E-2</v>
      </c>
    </row>
    <row r="76" spans="1:4" x14ac:dyDescent="0.35">
      <c r="A76" s="17">
        <v>28399</v>
      </c>
      <c r="B76" s="58">
        <f>VLOOKUP(Table1345[[#This Row],[Date]],database!A:I,9,)</f>
        <v>54.7804</v>
      </c>
      <c r="C76" s="66">
        <f t="shared" si="1"/>
        <v>1.5153700515413426E-4</v>
      </c>
      <c r="D76" s="66">
        <f>(Table1345[[#This Row],[Index]]-B64)/B64</f>
        <v>3.7855493224054293E-2</v>
      </c>
    </row>
    <row r="77" spans="1:4" x14ac:dyDescent="0.35">
      <c r="A77" s="17">
        <v>28430</v>
      </c>
      <c r="B77" s="58">
        <f>VLOOKUP(Table1345[[#This Row],[Date]],database!A:I,9,)</f>
        <v>54.055399999999999</v>
      </c>
      <c r="C77" s="66">
        <f t="shared" si="1"/>
        <v>-1.3234660572029489E-2</v>
      </c>
      <c r="D77" s="66">
        <f>(Table1345[[#This Row],[Index]]-B65)/B65</f>
        <v>-2.0735507246376884E-2</v>
      </c>
    </row>
    <row r="78" spans="1:4" x14ac:dyDescent="0.35">
      <c r="A78" s="17">
        <v>28460</v>
      </c>
      <c r="B78" s="58">
        <f>VLOOKUP(Table1345[[#This Row],[Date]],database!A:I,9,)</f>
        <v>54.862200000000001</v>
      </c>
      <c r="C78" s="66">
        <f t="shared" si="1"/>
        <v>1.4925428356833859E-2</v>
      </c>
      <c r="D78" s="66">
        <f>(Table1345[[#This Row],[Index]]-B66)/B66</f>
        <v>-1.3998644886603609E-2</v>
      </c>
    </row>
    <row r="79" spans="1:4" x14ac:dyDescent="0.35">
      <c r="A79" s="17">
        <v>28491</v>
      </c>
      <c r="B79" s="58">
        <f>VLOOKUP(Table1345[[#This Row],[Date]],database!A:I,9,)</f>
        <v>54.942100000000003</v>
      </c>
      <c r="C79" s="66">
        <f t="shared" si="1"/>
        <v>1.4563761569896805E-3</v>
      </c>
      <c r="D79" s="66">
        <f>(Table1345[[#This Row],[Index]]-B67)/B67</f>
        <v>-4.556687731910947E-3</v>
      </c>
    </row>
    <row r="80" spans="1:4" x14ac:dyDescent="0.35">
      <c r="A80" s="17">
        <v>28522</v>
      </c>
      <c r="B80" s="58">
        <f>VLOOKUP(Table1345[[#This Row],[Date]],database!A:I,9,)</f>
        <v>55.822000000000003</v>
      </c>
      <c r="C80" s="66">
        <f t="shared" si="1"/>
        <v>1.6015041288920395E-2</v>
      </c>
      <c r="D80" s="66">
        <f>(Table1345[[#This Row],[Index]]-B68)/B68</f>
        <v>4.5761184579040978E-2</v>
      </c>
    </row>
    <row r="81" spans="1:4" x14ac:dyDescent="0.35">
      <c r="A81" s="17">
        <v>28550</v>
      </c>
      <c r="B81" s="58">
        <f>VLOOKUP(Table1345[[#This Row],[Date]],database!A:I,9,)</f>
        <v>55.701999999999998</v>
      </c>
      <c r="C81" s="66">
        <f t="shared" si="1"/>
        <v>-2.1496900863459123E-3</v>
      </c>
      <c r="D81" s="66">
        <f>(Table1345[[#This Row],[Index]]-B69)/B69</f>
        <v>5.9626081464628396E-2</v>
      </c>
    </row>
    <row r="82" spans="1:4" x14ac:dyDescent="0.35">
      <c r="A82" s="17">
        <v>28581</v>
      </c>
      <c r="B82" s="58">
        <f>VLOOKUP(Table1345[[#This Row],[Date]],database!A:I,9,)</f>
        <v>54.309800000000003</v>
      </c>
      <c r="C82" s="66">
        <f t="shared" si="1"/>
        <v>-2.4993716563139534E-2</v>
      </c>
      <c r="D82" s="66">
        <f>(Table1345[[#This Row],[Index]]-B70)/B70</f>
        <v>1.9865957834368418E-2</v>
      </c>
    </row>
    <row r="83" spans="1:4" x14ac:dyDescent="0.35">
      <c r="A83" s="17">
        <v>28611</v>
      </c>
      <c r="B83" s="58">
        <f>VLOOKUP(Table1345[[#This Row],[Date]],database!A:I,9,)</f>
        <v>55.3566</v>
      </c>
      <c r="C83" s="66">
        <f t="shared" si="1"/>
        <v>1.9274606056365551E-2</v>
      </c>
      <c r="D83" s="66">
        <f>(Table1345[[#This Row],[Index]]-B71)/B71</f>
        <v>2.3253836513329417E-2</v>
      </c>
    </row>
    <row r="84" spans="1:4" x14ac:dyDescent="0.35">
      <c r="A84" s="17">
        <v>28642</v>
      </c>
      <c r="B84" s="58">
        <f>VLOOKUP(Table1345[[#This Row],[Date]],database!A:I,9,)</f>
        <v>55.929600000000001</v>
      </c>
      <c r="C84" s="66">
        <f t="shared" si="1"/>
        <v>1.0351069249195266E-2</v>
      </c>
      <c r="D84" s="66">
        <f>(Table1345[[#This Row],[Index]]-B72)/B72</f>
        <v>2.029103950760066E-2</v>
      </c>
    </row>
    <row r="85" spans="1:4" x14ac:dyDescent="0.35">
      <c r="A85" s="17">
        <v>28672</v>
      </c>
      <c r="B85" s="58">
        <f>VLOOKUP(Table1345[[#This Row],[Date]],database!A:I,9,)</f>
        <v>55.2288</v>
      </c>
      <c r="C85" s="66">
        <f t="shared" si="1"/>
        <v>-1.2530037761757651E-2</v>
      </c>
      <c r="D85" s="66">
        <f>(Table1345[[#This Row],[Index]]-B73)/B73</f>
        <v>-4.4613645827137399E-3</v>
      </c>
    </row>
    <row r="86" spans="1:4" x14ac:dyDescent="0.35">
      <c r="A86" s="17">
        <v>28703</v>
      </c>
      <c r="B86" s="58">
        <f>VLOOKUP(Table1345[[#This Row],[Date]],database!A:I,9,)</f>
        <v>55.994999999999997</v>
      </c>
      <c r="C86" s="66">
        <f t="shared" si="1"/>
        <v>1.3873196593081838E-2</v>
      </c>
      <c r="D86" s="66">
        <f>(Table1345[[#This Row],[Index]]-B74)/B74</f>
        <v>2.6154618657889803E-2</v>
      </c>
    </row>
    <row r="87" spans="1:4" x14ac:dyDescent="0.35">
      <c r="A87" s="17">
        <v>28734</v>
      </c>
      <c r="B87" s="58">
        <f>VLOOKUP(Table1345[[#This Row],[Date]],database!A:I,9,)</f>
        <v>56.447299999999998</v>
      </c>
      <c r="C87" s="66">
        <f t="shared" si="1"/>
        <v>8.0775069202607686E-3</v>
      </c>
      <c r="D87" s="66">
        <f>(Table1345[[#This Row],[Index]]-B75)/B75</f>
        <v>3.05849145824242E-2</v>
      </c>
    </row>
    <row r="88" spans="1:4" x14ac:dyDescent="0.35">
      <c r="A88" s="17">
        <v>28764</v>
      </c>
      <c r="B88" s="58">
        <f>VLOOKUP(Table1345[[#This Row],[Date]],database!A:I,9,)</f>
        <v>56.054900000000004</v>
      </c>
      <c r="C88" s="66">
        <f t="shared" si="1"/>
        <v>-6.9516168178105353E-3</v>
      </c>
      <c r="D88" s="66">
        <f>(Table1345[[#This Row],[Index]]-B76)/B76</f>
        <v>2.3265620550415901E-2</v>
      </c>
    </row>
    <row r="89" spans="1:4" x14ac:dyDescent="0.35">
      <c r="A89" s="17">
        <v>28795</v>
      </c>
      <c r="B89" s="58">
        <f>VLOOKUP(Table1345[[#This Row],[Date]],database!A:I,9,)</f>
        <v>56.251899999999999</v>
      </c>
      <c r="C89" s="66">
        <f t="shared" si="1"/>
        <v>3.5144117641812134E-3</v>
      </c>
      <c r="D89" s="66">
        <f>(Table1345[[#This Row],[Index]]-B77)/B77</f>
        <v>4.0634238207468643E-2</v>
      </c>
    </row>
    <row r="90" spans="1:4" x14ac:dyDescent="0.35">
      <c r="A90" s="17">
        <v>28825</v>
      </c>
      <c r="B90" s="58">
        <f>VLOOKUP(Table1345[[#This Row],[Date]],database!A:I,9,)</f>
        <v>56.167900000000003</v>
      </c>
      <c r="C90" s="66">
        <f t="shared" si="1"/>
        <v>-1.4932828935555476E-3</v>
      </c>
      <c r="D90" s="66">
        <f>(Table1345[[#This Row],[Index]]-B78)/B78</f>
        <v>2.3799628888378548E-2</v>
      </c>
    </row>
    <row r="91" spans="1:4" x14ac:dyDescent="0.35">
      <c r="A91" s="17">
        <v>28856</v>
      </c>
      <c r="B91" s="58">
        <f>VLOOKUP(Table1345[[#This Row],[Date]],database!A:I,9,)</f>
        <v>57.316400000000002</v>
      </c>
      <c r="C91" s="66">
        <f t="shared" si="1"/>
        <v>2.0447622218384476E-2</v>
      </c>
      <c r="D91" s="66">
        <f>(Table1345[[#This Row],[Index]]-B79)/B79</f>
        <v>4.3214584080331804E-2</v>
      </c>
    </row>
    <row r="92" spans="1:4" x14ac:dyDescent="0.35">
      <c r="A92" s="17">
        <v>28887</v>
      </c>
      <c r="B92" s="58">
        <f>VLOOKUP(Table1345[[#This Row],[Date]],database!A:I,9,)</f>
        <v>59.114899999999999</v>
      </c>
      <c r="C92" s="66">
        <f t="shared" si="1"/>
        <v>3.1378453636306425E-2</v>
      </c>
      <c r="D92" s="66">
        <f>(Table1345[[#This Row],[Index]]-B80)/B80</f>
        <v>5.8989287377736302E-2</v>
      </c>
    </row>
    <row r="93" spans="1:4" x14ac:dyDescent="0.35">
      <c r="A93" s="17">
        <v>28915</v>
      </c>
      <c r="B93" s="58">
        <f>VLOOKUP(Table1345[[#This Row],[Date]],database!A:I,9,)</f>
        <v>58.110599999999998</v>
      </c>
      <c r="C93" s="66">
        <f t="shared" si="1"/>
        <v>-1.6988948640697998E-2</v>
      </c>
      <c r="D93" s="66">
        <f>(Table1345[[#This Row],[Index]]-B81)/B81</f>
        <v>4.324081720584539E-2</v>
      </c>
    </row>
    <row r="94" spans="1:4" x14ac:dyDescent="0.35">
      <c r="A94" s="17">
        <v>28946</v>
      </c>
      <c r="B94" s="58">
        <f>VLOOKUP(Table1345[[#This Row],[Date]],database!A:I,9,)</f>
        <v>58.58</v>
      </c>
      <c r="C94" s="66">
        <f t="shared" si="1"/>
        <v>8.0777001097906975E-3</v>
      </c>
      <c r="D94" s="66">
        <f>(Table1345[[#This Row],[Index]]-B82)/B82</f>
        <v>7.8626693524925434E-2</v>
      </c>
    </row>
    <row r="95" spans="1:4" x14ac:dyDescent="0.35">
      <c r="A95" s="17">
        <v>28976</v>
      </c>
      <c r="B95" s="58">
        <f>VLOOKUP(Table1345[[#This Row],[Date]],database!A:I,9,)</f>
        <v>57.071100000000001</v>
      </c>
      <c r="C95" s="66">
        <f t="shared" si="1"/>
        <v>-2.5757937862751712E-2</v>
      </c>
      <c r="D95" s="66">
        <f>(Table1345[[#This Row],[Index]]-B83)/B83</f>
        <v>3.0971916627827594E-2</v>
      </c>
    </row>
    <row r="96" spans="1:4" x14ac:dyDescent="0.35">
      <c r="A96" s="17">
        <v>29007</v>
      </c>
      <c r="B96" s="58">
        <f>VLOOKUP(Table1345[[#This Row],[Date]],database!A:I,9,)</f>
        <v>56.263199999999998</v>
      </c>
      <c r="C96" s="66">
        <f t="shared" si="1"/>
        <v>-1.4156026430189761E-2</v>
      </c>
      <c r="D96" s="66">
        <f>(Table1345[[#This Row],[Index]]-B84)/B84</f>
        <v>5.9646412633023839E-3</v>
      </c>
    </row>
    <row r="97" spans="1:4" x14ac:dyDescent="0.35">
      <c r="A97" s="17">
        <v>29037</v>
      </c>
      <c r="B97" s="58">
        <f>VLOOKUP(Table1345[[#This Row],[Date]],database!A:I,9,)</f>
        <v>55.209699999999998</v>
      </c>
      <c r="C97" s="66">
        <f t="shared" si="1"/>
        <v>-1.8724494874091779E-2</v>
      </c>
      <c r="D97" s="66">
        <f>(Table1345[[#This Row],[Index]]-B85)/B85</f>
        <v>-3.4583405759317008E-4</v>
      </c>
    </row>
    <row r="98" spans="1:4" x14ac:dyDescent="0.35">
      <c r="A98" s="17">
        <v>29068</v>
      </c>
      <c r="B98" s="58">
        <f>VLOOKUP(Table1345[[#This Row],[Date]],database!A:I,9,)</f>
        <v>56.074800000000003</v>
      </c>
      <c r="C98" s="66">
        <f t="shared" si="1"/>
        <v>1.5669347958782609E-2</v>
      </c>
      <c r="D98" s="66">
        <f>(Table1345[[#This Row],[Index]]-B86)/B86</f>
        <v>1.4251272435039891E-3</v>
      </c>
    </row>
    <row r="99" spans="1:4" x14ac:dyDescent="0.35">
      <c r="A99" s="17">
        <v>29099</v>
      </c>
      <c r="B99" s="58">
        <f>VLOOKUP(Table1345[[#This Row],[Date]],database!A:I,9,)</f>
        <v>55.657699999999998</v>
      </c>
      <c r="C99" s="66">
        <f t="shared" si="1"/>
        <v>-7.4382788703660774E-3</v>
      </c>
      <c r="D99" s="66">
        <f>(Table1345[[#This Row],[Index]]-B87)/B87</f>
        <v>-1.3988268703728967E-2</v>
      </c>
    </row>
    <row r="100" spans="1:4" x14ac:dyDescent="0.35">
      <c r="A100" s="17">
        <v>29129</v>
      </c>
      <c r="B100" s="58">
        <f>VLOOKUP(Table1345[[#This Row],[Date]],database!A:I,9,)</f>
        <v>56.478400000000001</v>
      </c>
      <c r="C100" s="66">
        <f t="shared" si="1"/>
        <v>1.4745488944027496E-2</v>
      </c>
      <c r="D100" s="66">
        <f>(Table1345[[#This Row],[Index]]-B88)/B88</f>
        <v>7.5550933103082345E-3</v>
      </c>
    </row>
    <row r="101" spans="1:4" x14ac:dyDescent="0.35">
      <c r="A101" s="17">
        <v>29160</v>
      </c>
      <c r="B101" s="58">
        <f>VLOOKUP(Table1345[[#This Row],[Date]],database!A:I,9,)</f>
        <v>56.860700000000001</v>
      </c>
      <c r="C101" s="66">
        <f t="shared" si="1"/>
        <v>6.7689594606079595E-3</v>
      </c>
      <c r="D101" s="66">
        <f>(Table1345[[#This Row],[Index]]-B89)/B89</f>
        <v>1.082274554281726E-2</v>
      </c>
    </row>
    <row r="102" spans="1:4" x14ac:dyDescent="0.35">
      <c r="A102" s="17">
        <v>29190</v>
      </c>
      <c r="B102" s="58">
        <f>VLOOKUP(Table1345[[#This Row],[Date]],database!A:I,9,)</f>
        <v>55.823799999999999</v>
      </c>
      <c r="C102" s="66">
        <f t="shared" si="1"/>
        <v>-1.8235793790790544E-2</v>
      </c>
      <c r="D102" s="66">
        <f>(Table1345[[#This Row],[Index]]-B90)/B90</f>
        <v>-6.1262749720036617E-3</v>
      </c>
    </row>
    <row r="103" spans="1:4" x14ac:dyDescent="0.35">
      <c r="A103" s="17">
        <v>29221</v>
      </c>
      <c r="B103" s="58">
        <f>VLOOKUP(Table1345[[#This Row],[Date]],database!A:I,9,)</f>
        <v>54.948599999999999</v>
      </c>
      <c r="C103" s="66">
        <f t="shared" si="1"/>
        <v>-1.5677900823663049E-2</v>
      </c>
      <c r="D103" s="66">
        <f>(Table1345[[#This Row],[Index]]-B91)/B91</f>
        <v>-4.1311038376450761E-2</v>
      </c>
    </row>
    <row r="104" spans="1:4" x14ac:dyDescent="0.35">
      <c r="A104" s="17">
        <v>29252</v>
      </c>
      <c r="B104" s="58">
        <f>VLOOKUP(Table1345[[#This Row],[Date]],database!A:I,9,)</f>
        <v>56.978099999999998</v>
      </c>
      <c r="C104" s="66">
        <f t="shared" si="1"/>
        <v>3.6934516984964194E-2</v>
      </c>
      <c r="D104" s="66">
        <f>(Table1345[[#This Row],[Index]]-B92)/B92</f>
        <v>-3.6146555267792063E-2</v>
      </c>
    </row>
    <row r="105" spans="1:4" x14ac:dyDescent="0.35">
      <c r="A105" s="17">
        <v>29281</v>
      </c>
      <c r="B105" s="58">
        <f>VLOOKUP(Table1345[[#This Row],[Date]],database!A:I,9,)</f>
        <v>58.0854</v>
      </c>
      <c r="C105" s="66">
        <f t="shared" si="1"/>
        <v>1.9433782453258441E-2</v>
      </c>
      <c r="D105" s="66">
        <f>(Table1345[[#This Row],[Index]]-B93)/B93</f>
        <v>-4.3365582182937562E-4</v>
      </c>
    </row>
    <row r="106" spans="1:4" x14ac:dyDescent="0.35">
      <c r="A106" s="17">
        <v>29312</v>
      </c>
      <c r="B106" s="58">
        <f>VLOOKUP(Table1345[[#This Row],[Date]],database!A:I,9,)</f>
        <v>56.421199999999999</v>
      </c>
      <c r="C106" s="66">
        <f t="shared" si="1"/>
        <v>-2.8650917442248791E-2</v>
      </c>
      <c r="D106" s="66">
        <f>(Table1345[[#This Row],[Index]]-B94)/B94</f>
        <v>-3.6852167975418224E-2</v>
      </c>
    </row>
    <row r="107" spans="1:4" x14ac:dyDescent="0.35">
      <c r="A107" s="17">
        <v>29342</v>
      </c>
      <c r="B107" s="58">
        <f>VLOOKUP(Table1345[[#This Row],[Date]],database!A:I,9,)</f>
        <v>55.535299999999999</v>
      </c>
      <c r="C107" s="66">
        <f t="shared" si="1"/>
        <v>-1.5701544809397894E-2</v>
      </c>
      <c r="D107" s="66">
        <f>(Table1345[[#This Row],[Index]]-B95)/B95</f>
        <v>-2.6910292599932398E-2</v>
      </c>
    </row>
    <row r="108" spans="1:4" x14ac:dyDescent="0.35">
      <c r="A108" s="17">
        <v>29373</v>
      </c>
      <c r="B108" s="58">
        <f>VLOOKUP(Table1345[[#This Row],[Date]],database!A:I,9,)</f>
        <v>55.543599999999998</v>
      </c>
      <c r="C108" s="66">
        <f t="shared" si="1"/>
        <v>1.494544911073703E-4</v>
      </c>
      <c r="D108" s="66">
        <f>(Table1345[[#This Row],[Index]]-B96)/B96</f>
        <v>-1.2789887528615504E-2</v>
      </c>
    </row>
    <row r="109" spans="1:4" x14ac:dyDescent="0.35">
      <c r="A109" s="17">
        <v>29403</v>
      </c>
      <c r="B109" s="58">
        <f>VLOOKUP(Table1345[[#This Row],[Date]],database!A:I,9,)</f>
        <v>57.664999999999999</v>
      </c>
      <c r="C109" s="66">
        <f t="shared" si="1"/>
        <v>3.8193419223816916E-2</v>
      </c>
      <c r="D109" s="66">
        <f>(Table1345[[#This Row],[Index]]-B97)/B97</f>
        <v>4.4472257592415847E-2</v>
      </c>
    </row>
    <row r="110" spans="1:4" x14ac:dyDescent="0.35">
      <c r="A110" s="17">
        <v>29434</v>
      </c>
      <c r="B110" s="58">
        <f>VLOOKUP(Table1345[[#This Row],[Date]],database!A:I,9,)</f>
        <v>57.962400000000002</v>
      </c>
      <c r="C110" s="66">
        <f t="shared" si="1"/>
        <v>5.1573744905921703E-3</v>
      </c>
      <c r="D110" s="66">
        <f>(Table1345[[#This Row],[Index]]-B98)/B98</f>
        <v>3.3662179802692101E-2</v>
      </c>
    </row>
    <row r="111" spans="1:4" x14ac:dyDescent="0.35">
      <c r="A111" s="17">
        <v>29465</v>
      </c>
      <c r="B111" s="58">
        <f>VLOOKUP(Table1345[[#This Row],[Date]],database!A:I,9,)</f>
        <v>58.706299999999999</v>
      </c>
      <c r="C111" s="66">
        <f t="shared" si="1"/>
        <v>1.2834182159468854E-2</v>
      </c>
      <c r="D111" s="66">
        <f>(Table1345[[#This Row],[Index]]-B99)/B99</f>
        <v>5.4774092353798313E-2</v>
      </c>
    </row>
    <row r="112" spans="1:4" x14ac:dyDescent="0.35">
      <c r="A112" s="17">
        <v>29495</v>
      </c>
      <c r="B112" s="58">
        <f>VLOOKUP(Table1345[[#This Row],[Date]],database!A:I,9,)</f>
        <v>58.228999999999999</v>
      </c>
      <c r="C112" s="66">
        <f t="shared" si="1"/>
        <v>-8.1303028806107847E-3</v>
      </c>
      <c r="D112" s="66">
        <f>(Table1345[[#This Row],[Index]]-B100)/B100</f>
        <v>3.0995920564321912E-2</v>
      </c>
    </row>
    <row r="113" spans="1:4" x14ac:dyDescent="0.35">
      <c r="A113" s="17">
        <v>29526</v>
      </c>
      <c r="B113" s="58">
        <f>VLOOKUP(Table1345[[#This Row],[Date]],database!A:I,9,)</f>
        <v>58.462600000000002</v>
      </c>
      <c r="C113" s="66">
        <f t="shared" si="1"/>
        <v>4.0117467241409521E-3</v>
      </c>
      <c r="D113" s="66">
        <f>(Table1345[[#This Row],[Index]]-B101)/B101</f>
        <v>2.8172358061015791E-2</v>
      </c>
    </row>
    <row r="114" spans="1:4" x14ac:dyDescent="0.35">
      <c r="A114" s="17">
        <v>29556</v>
      </c>
      <c r="B114" s="58">
        <f>VLOOKUP(Table1345[[#This Row],[Date]],database!A:I,9,)</f>
        <v>58.726900000000001</v>
      </c>
      <c r="C114" s="66">
        <f t="shared" si="1"/>
        <v>4.5208389637134694E-3</v>
      </c>
      <c r="D114" s="66">
        <f>(Table1345[[#This Row],[Index]]-B102)/B102</f>
        <v>5.2004700504086107E-2</v>
      </c>
    </row>
    <row r="115" spans="1:4" x14ac:dyDescent="0.35">
      <c r="A115" s="17">
        <v>29587</v>
      </c>
      <c r="B115" s="58">
        <f>VLOOKUP(Table1345[[#This Row],[Date]],database!A:I,9,)</f>
        <v>57.889699999999998</v>
      </c>
      <c r="C115" s="66">
        <f t="shared" si="1"/>
        <v>-1.4255818032281709E-2</v>
      </c>
      <c r="D115" s="66">
        <f>(Table1345[[#This Row],[Index]]-B103)/B103</f>
        <v>5.3524566594963269E-2</v>
      </c>
    </row>
    <row r="116" spans="1:4" x14ac:dyDescent="0.35">
      <c r="A116" s="17">
        <v>29618</v>
      </c>
      <c r="B116" s="58">
        <f>VLOOKUP(Table1345[[#This Row],[Date]],database!A:I,9,)</f>
        <v>56.419400000000003</v>
      </c>
      <c r="C116" s="66">
        <f t="shared" si="1"/>
        <v>-2.5398300561239595E-2</v>
      </c>
      <c r="D116" s="66">
        <f>(Table1345[[#This Row],[Index]]-B104)/B104</f>
        <v>-9.80552177064512E-3</v>
      </c>
    </row>
    <row r="117" spans="1:4" x14ac:dyDescent="0.35">
      <c r="A117" s="17">
        <v>29646</v>
      </c>
      <c r="B117" s="58">
        <f>VLOOKUP(Table1345[[#This Row],[Date]],database!A:I,9,)</f>
        <v>57.346299999999999</v>
      </c>
      <c r="C117" s="66">
        <f t="shared" si="1"/>
        <v>1.6428746140511929E-2</v>
      </c>
      <c r="D117" s="66">
        <f>(Table1345[[#This Row],[Index]]-B105)/B105</f>
        <v>-1.2724367913451582E-2</v>
      </c>
    </row>
    <row r="118" spans="1:4" x14ac:dyDescent="0.35">
      <c r="A118" s="17">
        <v>29677</v>
      </c>
      <c r="B118" s="58">
        <f>VLOOKUP(Table1345[[#This Row],[Date]],database!A:I,9,)</f>
        <v>57.388100000000001</v>
      </c>
      <c r="C118" s="66">
        <f t="shared" si="1"/>
        <v>7.289049162719774E-4</v>
      </c>
      <c r="D118" s="66">
        <f>(Table1345[[#This Row],[Index]]-B106)/B106</f>
        <v>1.7137175387974778E-2</v>
      </c>
    </row>
    <row r="119" spans="1:4" x14ac:dyDescent="0.35">
      <c r="A119" s="17">
        <v>29707</v>
      </c>
      <c r="B119" s="58">
        <f>VLOOKUP(Table1345[[#This Row],[Date]],database!A:I,9,)</f>
        <v>58.208399999999997</v>
      </c>
      <c r="C119" s="66">
        <f t="shared" si="1"/>
        <v>1.4293904136920332E-2</v>
      </c>
      <c r="D119" s="66">
        <f>(Table1345[[#This Row],[Index]]-B107)/B107</f>
        <v>4.8133349419198203E-2</v>
      </c>
    </row>
    <row r="120" spans="1:4" x14ac:dyDescent="0.35">
      <c r="A120" s="17">
        <v>29738</v>
      </c>
      <c r="B120" s="58">
        <f>VLOOKUP(Table1345[[#This Row],[Date]],database!A:I,9,)</f>
        <v>59.655999999999999</v>
      </c>
      <c r="C120" s="66">
        <f t="shared" si="1"/>
        <v>2.4869262855532925E-2</v>
      </c>
      <c r="D120" s="66">
        <f>(Table1345[[#This Row],[Index]]-B108)/B108</f>
        <v>7.403913322146928E-2</v>
      </c>
    </row>
    <row r="121" spans="1:4" x14ac:dyDescent="0.35">
      <c r="A121" s="17">
        <v>29768</v>
      </c>
      <c r="B121" s="58">
        <f>VLOOKUP(Table1345[[#This Row],[Date]],database!A:I,9,)</f>
        <v>59.5047</v>
      </c>
      <c r="C121" s="66">
        <f t="shared" si="1"/>
        <v>-2.5362075901836922E-3</v>
      </c>
      <c r="D121" s="66">
        <f>(Table1345[[#This Row],[Index]]-B109)/B109</f>
        <v>3.1903234197520169E-2</v>
      </c>
    </row>
    <row r="122" spans="1:4" x14ac:dyDescent="0.35">
      <c r="A122" s="17">
        <v>29799</v>
      </c>
      <c r="B122" s="58">
        <f>VLOOKUP(Table1345[[#This Row],[Date]],database!A:I,9,)</f>
        <v>58.290199999999999</v>
      </c>
      <c r="C122" s="66">
        <f t="shared" si="1"/>
        <v>-2.0410152475350718E-2</v>
      </c>
      <c r="D122" s="66">
        <f>(Table1345[[#This Row],[Index]]-B110)/B110</f>
        <v>5.655390391012041E-3</v>
      </c>
    </row>
    <row r="123" spans="1:4" x14ac:dyDescent="0.35">
      <c r="A123" s="17">
        <v>29830</v>
      </c>
      <c r="B123" s="58">
        <f>VLOOKUP(Table1345[[#This Row],[Date]],database!A:I,9,)</f>
        <v>57.462699999999998</v>
      </c>
      <c r="C123" s="66">
        <f t="shared" si="1"/>
        <v>-1.4196211370007372E-2</v>
      </c>
      <c r="D123" s="66">
        <f>(Table1345[[#This Row],[Index]]-B111)/B111</f>
        <v>-2.1183416430604566E-2</v>
      </c>
    </row>
    <row r="124" spans="1:4" x14ac:dyDescent="0.35">
      <c r="A124" s="17">
        <v>29860</v>
      </c>
      <c r="B124" s="58">
        <f>VLOOKUP(Table1345[[#This Row],[Date]],database!A:I,9,)</f>
        <v>58.1755</v>
      </c>
      <c r="C124" s="66">
        <f t="shared" si="1"/>
        <v>1.2404568528802118E-2</v>
      </c>
      <c r="D124" s="66">
        <f>(Table1345[[#This Row],[Index]]-B112)/B112</f>
        <v>-9.1878617183876869E-4</v>
      </c>
    </row>
    <row r="125" spans="1:4" x14ac:dyDescent="0.35">
      <c r="A125" s="17">
        <v>29891</v>
      </c>
      <c r="B125" s="58">
        <f>VLOOKUP(Table1345[[#This Row],[Date]],database!A:I,9,)</f>
        <v>57.662100000000002</v>
      </c>
      <c r="C125" s="66">
        <f t="shared" si="1"/>
        <v>-8.825020842107012E-3</v>
      </c>
      <c r="D125" s="66">
        <f>(Table1345[[#This Row],[Index]]-B113)/B113</f>
        <v>-1.3692514530657198E-2</v>
      </c>
    </row>
    <row r="126" spans="1:4" x14ac:dyDescent="0.35">
      <c r="A126" s="17">
        <v>29921</v>
      </c>
      <c r="B126" s="58">
        <f>VLOOKUP(Table1345[[#This Row],[Date]],database!A:I,9,)</f>
        <v>58.7866</v>
      </c>
      <c r="C126" s="66">
        <f t="shared" si="1"/>
        <v>1.9501544341950838E-2</v>
      </c>
      <c r="D126" s="66">
        <f>(Table1345[[#This Row],[Index]]-B114)/B114</f>
        <v>1.0165699194065994E-3</v>
      </c>
    </row>
    <row r="127" spans="1:4" x14ac:dyDescent="0.35">
      <c r="A127" s="17">
        <v>29952</v>
      </c>
      <c r="B127" s="58">
        <f>VLOOKUP(Table1345[[#This Row],[Date]],database!A:I,9,)</f>
        <v>58.699800000000003</v>
      </c>
      <c r="C127" s="66">
        <f t="shared" si="1"/>
        <v>-1.4765269636276557E-3</v>
      </c>
      <c r="D127" s="66">
        <f>(Table1345[[#This Row],[Index]]-B115)/B115</f>
        <v>1.3993853828919578E-2</v>
      </c>
    </row>
    <row r="128" spans="1:4" x14ac:dyDescent="0.35">
      <c r="A128" s="17">
        <v>29983</v>
      </c>
      <c r="B128" s="58">
        <f>VLOOKUP(Table1345[[#This Row],[Date]],database!A:I,9,)</f>
        <v>57.078400000000002</v>
      </c>
      <c r="C128" s="66">
        <f t="shared" si="1"/>
        <v>-2.7621899904258673E-2</v>
      </c>
      <c r="D128" s="66">
        <f>(Table1345[[#This Row],[Index]]-B116)/B116</f>
        <v>1.168037944395011E-2</v>
      </c>
    </row>
    <row r="129" spans="1:4" x14ac:dyDescent="0.35">
      <c r="A129" s="17">
        <v>30011</v>
      </c>
      <c r="B129" s="58">
        <f>VLOOKUP(Table1345[[#This Row],[Date]],database!A:I,9,)</f>
        <v>57.0869</v>
      </c>
      <c r="C129" s="66">
        <f t="shared" si="1"/>
        <v>1.4891797948091146E-4</v>
      </c>
      <c r="D129" s="66">
        <f>(Table1345[[#This Row],[Index]]-B117)/B117</f>
        <v>-4.5233955808831501E-3</v>
      </c>
    </row>
    <row r="130" spans="1:4" x14ac:dyDescent="0.35">
      <c r="A130" s="17">
        <v>30042</v>
      </c>
      <c r="B130" s="58">
        <f>VLOOKUP(Table1345[[#This Row],[Date]],database!A:I,9,)</f>
        <v>57.1509</v>
      </c>
      <c r="C130" s="66">
        <f t="shared" si="1"/>
        <v>1.1210978350548739E-3</v>
      </c>
      <c r="D130" s="66">
        <f>(Table1345[[#This Row],[Index]]-B118)/B118</f>
        <v>-4.133261076773781E-3</v>
      </c>
    </row>
    <row r="131" spans="1:4" x14ac:dyDescent="0.35">
      <c r="A131" s="17">
        <v>30072</v>
      </c>
      <c r="B131" s="58">
        <f>VLOOKUP(Table1345[[#This Row],[Date]],database!A:I,9,)</f>
        <v>55.6</v>
      </c>
      <c r="C131" s="66">
        <f t="shared" si="1"/>
        <v>-2.7136930477035359E-2</v>
      </c>
      <c r="D131" s="66">
        <f>(Table1345[[#This Row],[Index]]-B119)/B119</f>
        <v>-4.4811401790806761E-2</v>
      </c>
    </row>
    <row r="132" spans="1:4" x14ac:dyDescent="0.35">
      <c r="A132" s="17">
        <v>30103</v>
      </c>
      <c r="B132" s="58">
        <f>VLOOKUP(Table1345[[#This Row],[Date]],database!A:I,9,)</f>
        <v>55.790100000000002</v>
      </c>
      <c r="C132" s="66">
        <f t="shared" si="1"/>
        <v>3.4190647482015279E-3</v>
      </c>
      <c r="D132" s="66">
        <f>(Table1345[[#This Row],[Index]]-B120)/B120</f>
        <v>-6.4803205042242129E-2</v>
      </c>
    </row>
    <row r="133" spans="1:4" x14ac:dyDescent="0.35">
      <c r="A133" s="17">
        <v>30133</v>
      </c>
      <c r="B133" s="58">
        <f>VLOOKUP(Table1345[[#This Row],[Date]],database!A:I,9,)</f>
        <v>55.776600000000002</v>
      </c>
      <c r="C133" s="66">
        <f t="shared" si="1"/>
        <v>-2.4197841552531241E-4</v>
      </c>
      <c r="D133" s="66">
        <f>(Table1345[[#This Row],[Index]]-B121)/B121</f>
        <v>-6.2652193860316882E-2</v>
      </c>
    </row>
    <row r="134" spans="1:4" x14ac:dyDescent="0.35">
      <c r="A134" s="17">
        <v>30164</v>
      </c>
      <c r="B134" s="58">
        <f>VLOOKUP(Table1345[[#This Row],[Date]],database!A:I,9,)</f>
        <v>55.08</v>
      </c>
      <c r="C134" s="66">
        <f t="shared" si="1"/>
        <v>-1.2489108335753785E-2</v>
      </c>
      <c r="D134" s="66">
        <f>(Table1345[[#This Row],[Index]]-B122)/B122</f>
        <v>-5.5072722344407812E-2</v>
      </c>
    </row>
    <row r="135" spans="1:4" x14ac:dyDescent="0.35">
      <c r="A135" s="17">
        <v>30195</v>
      </c>
      <c r="B135" s="58">
        <f>VLOOKUP(Table1345[[#This Row],[Date]],database!A:I,9,)</f>
        <v>55.257100000000001</v>
      </c>
      <c r="C135" s="66">
        <f t="shared" si="1"/>
        <v>3.2153231663036852E-3</v>
      </c>
      <c r="D135" s="66">
        <f>(Table1345[[#This Row],[Index]]-B123)/B123</f>
        <v>-3.8383159858482056E-2</v>
      </c>
    </row>
    <row r="136" spans="1:4" x14ac:dyDescent="0.35">
      <c r="A136" s="17">
        <v>30225</v>
      </c>
      <c r="B136" s="58">
        <f>VLOOKUP(Table1345[[#This Row],[Date]],database!A:I,9,)</f>
        <v>55.417299999999997</v>
      </c>
      <c r="C136" s="66">
        <f t="shared" ref="C136:C199" si="2">B136/B135-1</f>
        <v>2.8991749476536821E-3</v>
      </c>
      <c r="D136" s="66">
        <f>(Table1345[[#This Row],[Index]]-B124)/B124</f>
        <v>-4.7411711115503991E-2</v>
      </c>
    </row>
    <row r="137" spans="1:4" x14ac:dyDescent="0.35">
      <c r="A137" s="17">
        <v>30256</v>
      </c>
      <c r="B137" s="58">
        <f>VLOOKUP(Table1345[[#This Row],[Date]],database!A:I,9,)</f>
        <v>56.1524</v>
      </c>
      <c r="C137" s="66">
        <f t="shared" si="2"/>
        <v>1.3264810808177208E-2</v>
      </c>
      <c r="D137" s="66">
        <f>(Table1345[[#This Row],[Index]]-B125)/B125</f>
        <v>-2.6181842145880953E-2</v>
      </c>
    </row>
    <row r="138" spans="1:4" x14ac:dyDescent="0.35">
      <c r="A138" s="17">
        <v>30286</v>
      </c>
      <c r="B138" s="58">
        <f>VLOOKUP(Table1345[[#This Row],[Date]],database!A:I,9,)</f>
        <v>54.436599999999999</v>
      </c>
      <c r="C138" s="66">
        <f t="shared" si="2"/>
        <v>-3.0556129390729492E-2</v>
      </c>
      <c r="D138" s="66">
        <f>(Table1345[[#This Row],[Index]]-B126)/B126</f>
        <v>-7.3996454974432968E-2</v>
      </c>
    </row>
    <row r="139" spans="1:4" x14ac:dyDescent="0.35">
      <c r="A139" s="17">
        <v>30317</v>
      </c>
      <c r="B139" s="58">
        <f>VLOOKUP(Table1345[[#This Row],[Date]],database!A:I,9,)</f>
        <v>54.318300000000001</v>
      </c>
      <c r="C139" s="66">
        <f t="shared" si="2"/>
        <v>-2.1731702567757694E-3</v>
      </c>
      <c r="D139" s="66">
        <f>(Table1345[[#This Row],[Index]]-B127)/B127</f>
        <v>-7.4642503040896258E-2</v>
      </c>
    </row>
    <row r="140" spans="1:4" x14ac:dyDescent="0.35">
      <c r="A140" s="17">
        <v>30348</v>
      </c>
      <c r="B140" s="58">
        <f>VLOOKUP(Table1345[[#This Row],[Date]],database!A:I,9,)</f>
        <v>52.920200000000001</v>
      </c>
      <c r="C140" s="66">
        <f t="shared" si="2"/>
        <v>-2.573902349668522E-2</v>
      </c>
      <c r="D140" s="66">
        <f>(Table1345[[#This Row],[Index]]-B128)/B128</f>
        <v>-7.2850675562033992E-2</v>
      </c>
    </row>
    <row r="141" spans="1:4" x14ac:dyDescent="0.35">
      <c r="A141" s="17">
        <v>30376</v>
      </c>
      <c r="B141" s="58">
        <f>VLOOKUP(Table1345[[#This Row],[Date]],database!A:I,9,)</f>
        <v>54.8506</v>
      </c>
      <c r="C141" s="66">
        <f t="shared" si="2"/>
        <v>3.6477564332712209E-2</v>
      </c>
      <c r="D141" s="66">
        <f>(Table1345[[#This Row],[Index]]-B129)/B129</f>
        <v>-3.9173610758335101E-2</v>
      </c>
    </row>
    <row r="142" spans="1:4" x14ac:dyDescent="0.35">
      <c r="A142" s="17">
        <v>30407</v>
      </c>
      <c r="B142" s="58">
        <f>VLOOKUP(Table1345[[#This Row],[Date]],database!A:I,9,)</f>
        <v>55.890599999999999</v>
      </c>
      <c r="C142" s="66">
        <f t="shared" si="2"/>
        <v>1.8960594779273032E-2</v>
      </c>
      <c r="D142" s="66">
        <f>(Table1345[[#This Row],[Index]]-B130)/B130</f>
        <v>-2.2052146160427936E-2</v>
      </c>
    </row>
    <row r="143" spans="1:4" x14ac:dyDescent="0.35">
      <c r="A143" s="17">
        <v>30437</v>
      </c>
      <c r="B143" s="58">
        <f>VLOOKUP(Table1345[[#This Row],[Date]],database!A:I,9,)</f>
        <v>54.855600000000003</v>
      </c>
      <c r="C143" s="66">
        <f t="shared" si="2"/>
        <v>-1.8518319717447995E-2</v>
      </c>
      <c r="D143" s="66">
        <f>(Table1345[[#This Row],[Index]]-B131)/B131</f>
        <v>-1.3388489208633073E-2</v>
      </c>
    </row>
    <row r="144" spans="1:4" x14ac:dyDescent="0.35">
      <c r="A144" s="17">
        <v>30468</v>
      </c>
      <c r="B144" s="58">
        <f>VLOOKUP(Table1345[[#This Row],[Date]],database!A:I,9,)</f>
        <v>54.692700000000002</v>
      </c>
      <c r="C144" s="66">
        <f t="shared" si="2"/>
        <v>-2.969614770415463E-3</v>
      </c>
      <c r="D144" s="66">
        <f>(Table1345[[#This Row],[Index]]-B132)/B132</f>
        <v>-1.967015653314836E-2</v>
      </c>
    </row>
    <row r="145" spans="1:4" x14ac:dyDescent="0.35">
      <c r="A145" s="17">
        <v>30498</v>
      </c>
      <c r="B145" s="58">
        <f>VLOOKUP(Table1345[[#This Row],[Date]],database!A:I,9,)</f>
        <v>56.575299999999999</v>
      </c>
      <c r="C145" s="66">
        <f t="shared" si="2"/>
        <v>3.4421412729669587E-2</v>
      </c>
      <c r="D145" s="66">
        <f>(Table1345[[#This Row],[Index]]-B133)/B133</f>
        <v>1.4319625075748551E-2</v>
      </c>
    </row>
    <row r="146" spans="1:4" x14ac:dyDescent="0.35">
      <c r="A146" s="17">
        <v>30529</v>
      </c>
      <c r="B146" s="58">
        <f>VLOOKUP(Table1345[[#This Row],[Date]],database!A:I,9,)</f>
        <v>58.870899999999999</v>
      </c>
      <c r="C146" s="66">
        <f t="shared" si="2"/>
        <v>4.0576011086109975E-2</v>
      </c>
      <c r="D146" s="66">
        <f>(Table1345[[#This Row],[Index]]-B134)/B134</f>
        <v>6.882534495279595E-2</v>
      </c>
    </row>
    <row r="147" spans="1:4" x14ac:dyDescent="0.35">
      <c r="A147" s="17">
        <v>30560</v>
      </c>
      <c r="B147" s="58">
        <f>VLOOKUP(Table1345[[#This Row],[Date]],database!A:I,9,)</f>
        <v>58.7254</v>
      </c>
      <c r="C147" s="66">
        <f t="shared" si="2"/>
        <v>-2.4715096932440561E-3</v>
      </c>
      <c r="D147" s="66">
        <f>(Table1345[[#This Row],[Index]]-B135)/B135</f>
        <v>6.2766594700047584E-2</v>
      </c>
    </row>
    <row r="148" spans="1:4" x14ac:dyDescent="0.35">
      <c r="A148" s="17">
        <v>30590</v>
      </c>
      <c r="B148" s="58">
        <f>VLOOKUP(Table1345[[#This Row],[Date]],database!A:I,9,)</f>
        <v>57.797499999999999</v>
      </c>
      <c r="C148" s="66">
        <f t="shared" si="2"/>
        <v>-1.5800658658774558E-2</v>
      </c>
      <c r="D148" s="66">
        <f>(Table1345[[#This Row],[Index]]-B136)/B136</f>
        <v>4.2950486580905278E-2</v>
      </c>
    </row>
    <row r="149" spans="1:4" x14ac:dyDescent="0.35">
      <c r="A149" s="17">
        <v>30621</v>
      </c>
      <c r="B149" s="58">
        <f>VLOOKUP(Table1345[[#This Row],[Date]],database!A:I,9,)</f>
        <v>58.148299999999999</v>
      </c>
      <c r="C149" s="66">
        <f t="shared" si="2"/>
        <v>6.0694666724339097E-3</v>
      </c>
      <c r="D149" s="66">
        <f>(Table1345[[#This Row],[Index]]-B137)/B137</f>
        <v>3.5544340046017607E-2</v>
      </c>
    </row>
    <row r="150" spans="1:4" x14ac:dyDescent="0.35">
      <c r="A150" s="17">
        <v>30651</v>
      </c>
      <c r="B150" s="58">
        <f>VLOOKUP(Table1345[[#This Row],[Date]],database!A:I,9,)</f>
        <v>60.862499999999997</v>
      </c>
      <c r="C150" s="66">
        <f t="shared" si="2"/>
        <v>4.6677202944884089E-2</v>
      </c>
      <c r="D150" s="66">
        <f>(Table1345[[#This Row],[Index]]-B138)/B138</f>
        <v>0.11804374262903999</v>
      </c>
    </row>
    <row r="151" spans="1:4" x14ac:dyDescent="0.35">
      <c r="A151" s="17">
        <v>30682</v>
      </c>
      <c r="B151" s="58">
        <f>VLOOKUP(Table1345[[#This Row],[Date]],database!A:I,9,)</f>
        <v>60.644199999999998</v>
      </c>
      <c r="C151" s="66">
        <f t="shared" si="2"/>
        <v>-3.5867734647772043E-3</v>
      </c>
      <c r="D151" s="66">
        <f>(Table1345[[#This Row],[Index]]-B139)/B139</f>
        <v>0.11645983029660349</v>
      </c>
    </row>
    <row r="152" spans="1:4" x14ac:dyDescent="0.35">
      <c r="A152" s="17">
        <v>30713</v>
      </c>
      <c r="B152" s="58">
        <f>VLOOKUP(Table1345[[#This Row],[Date]],database!A:I,9,)</f>
        <v>59.357999999999997</v>
      </c>
      <c r="C152" s="66">
        <f t="shared" si="2"/>
        <v>-2.1208953205747672E-2</v>
      </c>
      <c r="D152" s="66">
        <f>(Table1345[[#This Row],[Index]]-B140)/B140</f>
        <v>0.12165108975400689</v>
      </c>
    </row>
    <row r="153" spans="1:4" x14ac:dyDescent="0.35">
      <c r="A153" s="17">
        <v>30742</v>
      </c>
      <c r="B153" s="58">
        <f>VLOOKUP(Table1345[[#This Row],[Date]],database!A:I,9,)</f>
        <v>60.814300000000003</v>
      </c>
      <c r="C153" s="66">
        <f t="shared" si="2"/>
        <v>2.4534182418545214E-2</v>
      </c>
      <c r="D153" s="66">
        <f>(Table1345[[#This Row],[Index]]-B141)/B141</f>
        <v>0.10872624912033785</v>
      </c>
    </row>
    <row r="154" spans="1:4" x14ac:dyDescent="0.35">
      <c r="A154" s="17">
        <v>30773</v>
      </c>
      <c r="B154" s="58">
        <f>VLOOKUP(Table1345[[#This Row],[Date]],database!A:I,9,)</f>
        <v>60.497599999999998</v>
      </c>
      <c r="C154" s="66">
        <f t="shared" si="2"/>
        <v>-5.2076567517838068E-3</v>
      </c>
      <c r="D154" s="66">
        <f>(Table1345[[#This Row],[Index]]-B142)/B142</f>
        <v>8.2428887863075354E-2</v>
      </c>
    </row>
    <row r="155" spans="1:4" x14ac:dyDescent="0.35">
      <c r="A155" s="17">
        <v>30803</v>
      </c>
      <c r="B155" s="58">
        <f>VLOOKUP(Table1345[[#This Row],[Date]],database!A:I,9,)</f>
        <v>61.063000000000002</v>
      </c>
      <c r="C155" s="66">
        <f t="shared" si="2"/>
        <v>9.3458252889371263E-3</v>
      </c>
      <c r="D155" s="66">
        <f>(Table1345[[#This Row],[Index]]-B143)/B143</f>
        <v>0.11315891176105994</v>
      </c>
    </row>
    <row r="156" spans="1:4" x14ac:dyDescent="0.35">
      <c r="A156" s="17">
        <v>30834</v>
      </c>
      <c r="B156" s="58">
        <f>VLOOKUP(Table1345[[#This Row],[Date]],database!A:I,9,)</f>
        <v>60.740299999999998</v>
      </c>
      <c r="C156" s="66">
        <f t="shared" si="2"/>
        <v>-5.2847059594189894E-3</v>
      </c>
      <c r="D156" s="66">
        <f>(Table1345[[#This Row],[Index]]-B144)/B144</f>
        <v>0.11057417169018892</v>
      </c>
    </row>
    <row r="157" spans="1:4" x14ac:dyDescent="0.35">
      <c r="A157" s="17">
        <v>30864</v>
      </c>
      <c r="B157" s="58">
        <f>VLOOKUP(Table1345[[#This Row],[Date]],database!A:I,9,)</f>
        <v>59.097200000000001</v>
      </c>
      <c r="C157" s="66">
        <f t="shared" si="2"/>
        <v>-2.7051232871750708E-2</v>
      </c>
      <c r="D157" s="66">
        <f>(Table1345[[#This Row],[Index]]-B145)/B145</f>
        <v>4.4575989875440383E-2</v>
      </c>
    </row>
    <row r="158" spans="1:4" x14ac:dyDescent="0.35">
      <c r="A158" s="17">
        <v>30895</v>
      </c>
      <c r="B158" s="58">
        <f>VLOOKUP(Table1345[[#This Row],[Date]],database!A:I,9,)</f>
        <v>59.723999999999997</v>
      </c>
      <c r="C158" s="66">
        <f t="shared" si="2"/>
        <v>1.0606255457111358E-2</v>
      </c>
      <c r="D158" s="66">
        <f>(Table1345[[#This Row],[Index]]-B146)/B146</f>
        <v>1.4491030373240392E-2</v>
      </c>
    </row>
    <row r="159" spans="1:4" x14ac:dyDescent="0.35">
      <c r="A159" s="17">
        <v>30926</v>
      </c>
      <c r="B159" s="58">
        <f>VLOOKUP(Table1345[[#This Row],[Date]],database!A:I,9,)</f>
        <v>59.101700000000001</v>
      </c>
      <c r="C159" s="66">
        <f t="shared" si="2"/>
        <v>-1.0419596812001775E-2</v>
      </c>
      <c r="D159" s="66">
        <f>(Table1345[[#This Row],[Index]]-B147)/B147</f>
        <v>6.4077894744012046E-3</v>
      </c>
    </row>
    <row r="160" spans="1:4" x14ac:dyDescent="0.35">
      <c r="A160" s="17">
        <v>30956</v>
      </c>
      <c r="B160" s="58">
        <f>VLOOKUP(Table1345[[#This Row],[Date]],database!A:I,9,)</f>
        <v>59.07</v>
      </c>
      <c r="C160" s="66">
        <f t="shared" si="2"/>
        <v>-5.3636359021824731E-4</v>
      </c>
      <c r="D160" s="66">
        <f>(Table1345[[#This Row],[Index]]-B148)/B148</f>
        <v>2.2016523206021037E-2</v>
      </c>
    </row>
    <row r="161" spans="1:4" x14ac:dyDescent="0.35">
      <c r="A161" s="17">
        <v>30987</v>
      </c>
      <c r="B161" s="58">
        <f>VLOOKUP(Table1345[[#This Row],[Date]],database!A:I,9,)</f>
        <v>59.827800000000003</v>
      </c>
      <c r="C161" s="66">
        <f t="shared" si="2"/>
        <v>1.2828847130523124E-2</v>
      </c>
      <c r="D161" s="66">
        <f>(Table1345[[#This Row],[Index]]-B149)/B149</f>
        <v>2.888304559204662E-2</v>
      </c>
    </row>
    <row r="162" spans="1:4" x14ac:dyDescent="0.35">
      <c r="A162" s="17">
        <v>31017</v>
      </c>
      <c r="B162" s="58">
        <f>VLOOKUP(Table1345[[#This Row],[Date]],database!A:I,9,)</f>
        <v>58.823799999999999</v>
      </c>
      <c r="C162" s="66">
        <f t="shared" si="2"/>
        <v>-1.6781496227506354E-2</v>
      </c>
      <c r="D162" s="66">
        <f>(Table1345[[#This Row],[Index]]-B150)/B150</f>
        <v>-3.3496816594783305E-2</v>
      </c>
    </row>
    <row r="163" spans="1:4" x14ac:dyDescent="0.35">
      <c r="A163" s="17">
        <v>31048</v>
      </c>
      <c r="B163" s="58">
        <f>VLOOKUP(Table1345[[#This Row],[Date]],database!A:I,9,)</f>
        <v>61.299199999999999</v>
      </c>
      <c r="C163" s="66">
        <f t="shared" si="2"/>
        <v>4.2081606424610563E-2</v>
      </c>
      <c r="D163" s="66">
        <f>(Table1345[[#This Row],[Index]]-B151)/B151</f>
        <v>1.0800703117528159E-2</v>
      </c>
    </row>
    <row r="164" spans="1:4" x14ac:dyDescent="0.35">
      <c r="A164" s="17">
        <v>31079</v>
      </c>
      <c r="B164" s="58">
        <f>VLOOKUP(Table1345[[#This Row],[Date]],database!A:I,9,)</f>
        <v>63.43</v>
      </c>
      <c r="C164" s="66">
        <f t="shared" si="2"/>
        <v>3.4760649404886212E-2</v>
      </c>
      <c r="D164" s="66">
        <f>(Table1345[[#This Row],[Index]]-B152)/B152</f>
        <v>6.8600694093466807E-2</v>
      </c>
    </row>
    <row r="165" spans="1:4" x14ac:dyDescent="0.35">
      <c r="A165" s="17">
        <v>31107</v>
      </c>
      <c r="B165" s="58">
        <f>VLOOKUP(Table1345[[#This Row],[Date]],database!A:I,9,)</f>
        <v>60.510199999999998</v>
      </c>
      <c r="C165" s="66">
        <f t="shared" si="2"/>
        <v>-4.6031846129591658E-2</v>
      </c>
      <c r="D165" s="66">
        <f>(Table1345[[#This Row],[Index]]-B153)/B153</f>
        <v>-5.000468639777246E-3</v>
      </c>
    </row>
    <row r="166" spans="1:4" x14ac:dyDescent="0.35">
      <c r="A166" s="17">
        <v>31138</v>
      </c>
      <c r="B166" s="58">
        <f>VLOOKUP(Table1345[[#This Row],[Date]],database!A:I,9,)</f>
        <v>61.102800000000002</v>
      </c>
      <c r="C166" s="66">
        <f t="shared" si="2"/>
        <v>9.7933902052877997E-3</v>
      </c>
      <c r="D166" s="66">
        <f>(Table1345[[#This Row],[Index]]-B154)/B154</f>
        <v>1.0003702626219942E-2</v>
      </c>
    </row>
    <row r="167" spans="1:4" x14ac:dyDescent="0.35">
      <c r="A167" s="17">
        <v>31168</v>
      </c>
      <c r="B167" s="58">
        <f>VLOOKUP(Table1345[[#This Row],[Date]],database!A:I,9,)</f>
        <v>60.967100000000002</v>
      </c>
      <c r="C167" s="66">
        <f t="shared" si="2"/>
        <v>-2.220847489804112E-3</v>
      </c>
      <c r="D167" s="66">
        <f>(Table1345[[#This Row],[Index]]-B155)/B155</f>
        <v>-1.5705091462915402E-3</v>
      </c>
    </row>
    <row r="168" spans="1:4" x14ac:dyDescent="0.35">
      <c r="A168" s="17">
        <v>31199</v>
      </c>
      <c r="B168" s="58">
        <f>VLOOKUP(Table1345[[#This Row],[Date]],database!A:I,9,)</f>
        <v>60.4238</v>
      </c>
      <c r="C168" s="66">
        <f t="shared" si="2"/>
        <v>-8.9113636699138521E-3</v>
      </c>
      <c r="D168" s="66">
        <f>(Table1345[[#This Row],[Index]]-B156)/B156</f>
        <v>-5.2107085411168168E-3</v>
      </c>
    </row>
    <row r="169" spans="1:4" x14ac:dyDescent="0.35">
      <c r="A169" s="17">
        <v>31229</v>
      </c>
      <c r="B169" s="58">
        <f>VLOOKUP(Table1345[[#This Row],[Date]],database!A:I,9,)</f>
        <v>60.637099999999997</v>
      </c>
      <c r="C169" s="66">
        <f t="shared" si="2"/>
        <v>3.5300659673835888E-3</v>
      </c>
      <c r="D169" s="66">
        <f>(Table1345[[#This Row],[Index]]-B157)/B157</f>
        <v>2.6057072077864871E-2</v>
      </c>
    </row>
    <row r="170" spans="1:4" x14ac:dyDescent="0.35">
      <c r="A170" s="17">
        <v>31260</v>
      </c>
      <c r="B170" s="58">
        <f>VLOOKUP(Table1345[[#This Row],[Date]],database!A:I,9,)</f>
        <v>60.5032</v>
      </c>
      <c r="C170" s="66">
        <f t="shared" si="2"/>
        <v>-2.2082190606080854E-3</v>
      </c>
      <c r="D170" s="66">
        <f>(Table1345[[#This Row],[Index]]-B158)/B158</f>
        <v>1.3046681401111832E-2</v>
      </c>
    </row>
    <row r="171" spans="1:4" x14ac:dyDescent="0.35">
      <c r="A171" s="17">
        <v>31291</v>
      </c>
      <c r="B171" s="58">
        <f>VLOOKUP(Table1345[[#This Row],[Date]],database!A:I,9,)</f>
        <v>61.673699999999997</v>
      </c>
      <c r="C171" s="66">
        <f t="shared" si="2"/>
        <v>1.9346084174060252E-2</v>
      </c>
      <c r="D171" s="66">
        <f>(Table1345[[#This Row],[Index]]-B159)/B159</f>
        <v>4.3518206752089963E-2</v>
      </c>
    </row>
    <row r="172" spans="1:4" x14ac:dyDescent="0.35">
      <c r="A172" s="17">
        <v>31321</v>
      </c>
      <c r="B172" s="58">
        <f>VLOOKUP(Table1345[[#This Row],[Date]],database!A:I,9,)</f>
        <v>61.118899999999996</v>
      </c>
      <c r="C172" s="66">
        <f t="shared" si="2"/>
        <v>-8.9957307571947309E-3</v>
      </c>
      <c r="D172" s="66">
        <f>(Table1345[[#This Row],[Index]]-B160)/B160</f>
        <v>3.4685965803284174E-2</v>
      </c>
    </row>
    <row r="173" spans="1:4" x14ac:dyDescent="0.35">
      <c r="A173" s="17">
        <v>31352</v>
      </c>
      <c r="B173" s="58">
        <f>VLOOKUP(Table1345[[#This Row],[Date]],database!A:I,9,)</f>
        <v>61.014200000000002</v>
      </c>
      <c r="C173" s="66">
        <f t="shared" si="2"/>
        <v>-1.7130543907039053E-3</v>
      </c>
      <c r="D173" s="66">
        <f>(Table1345[[#This Row],[Index]]-B161)/B161</f>
        <v>1.9830246139754412E-2</v>
      </c>
    </row>
    <row r="174" spans="1:4" x14ac:dyDescent="0.35">
      <c r="A174" s="17">
        <v>31382</v>
      </c>
      <c r="B174" s="58">
        <f>VLOOKUP(Table1345[[#This Row],[Date]],database!A:I,9,)</f>
        <v>63.918799999999997</v>
      </c>
      <c r="C174" s="66">
        <f t="shared" si="2"/>
        <v>4.76053115504258E-2</v>
      </c>
      <c r="D174" s="66">
        <f>(Table1345[[#This Row],[Index]]-B162)/B162</f>
        <v>8.6614601572832753E-2</v>
      </c>
    </row>
    <row r="175" spans="1:4" x14ac:dyDescent="0.35">
      <c r="A175" s="17">
        <v>31413</v>
      </c>
      <c r="B175" s="58">
        <f>VLOOKUP(Table1345[[#This Row],[Date]],database!A:I,9,)</f>
        <v>61.895899999999997</v>
      </c>
      <c r="C175" s="66">
        <f t="shared" si="2"/>
        <v>-3.1647965856680615E-2</v>
      </c>
      <c r="D175" s="66">
        <f>(Table1345[[#This Row],[Index]]-B163)/B163</f>
        <v>9.7342216537899106E-3</v>
      </c>
    </row>
    <row r="176" spans="1:4" x14ac:dyDescent="0.35">
      <c r="A176" s="17">
        <v>31444</v>
      </c>
      <c r="B176" s="58">
        <f>VLOOKUP(Table1345[[#This Row],[Date]],database!A:I,9,)</f>
        <v>61.363500000000002</v>
      </c>
      <c r="C176" s="66">
        <f t="shared" si="2"/>
        <v>-8.6015390357033761E-3</v>
      </c>
      <c r="D176" s="66">
        <f>(Table1345[[#This Row],[Index]]-B164)/B164</f>
        <v>-3.2579221188711933E-2</v>
      </c>
    </row>
    <row r="177" spans="1:4" x14ac:dyDescent="0.35">
      <c r="A177" s="17">
        <v>31472</v>
      </c>
      <c r="B177" s="58">
        <f>VLOOKUP(Table1345[[#This Row],[Date]],database!A:I,9,)</f>
        <v>60.503399999999999</v>
      </c>
      <c r="C177" s="66">
        <f t="shared" si="2"/>
        <v>-1.401647559216801E-2</v>
      </c>
      <c r="D177" s="66">
        <f>(Table1345[[#This Row],[Index]]-B165)/B165</f>
        <v>-1.123777478838008E-4</v>
      </c>
    </row>
    <row r="178" spans="1:4" x14ac:dyDescent="0.35">
      <c r="A178" s="17">
        <v>31503</v>
      </c>
      <c r="B178" s="58">
        <f>VLOOKUP(Table1345[[#This Row],[Date]],database!A:I,9,)</f>
        <v>60.863</v>
      </c>
      <c r="C178" s="66">
        <f t="shared" si="2"/>
        <v>5.9434676398351094E-3</v>
      </c>
      <c r="D178" s="66">
        <f>(Table1345[[#This Row],[Index]]-B166)/B166</f>
        <v>-3.9245337365882158E-3</v>
      </c>
    </row>
    <row r="179" spans="1:4" x14ac:dyDescent="0.35">
      <c r="A179" s="17">
        <v>31533</v>
      </c>
      <c r="B179" s="58">
        <f>VLOOKUP(Table1345[[#This Row],[Date]],database!A:I,9,)</f>
        <v>61.572600000000001</v>
      </c>
      <c r="C179" s="66">
        <f t="shared" si="2"/>
        <v>1.1658971789100248E-2</v>
      </c>
      <c r="D179" s="66">
        <f>(Table1345[[#This Row],[Index]]-B167)/B167</f>
        <v>9.9315860521494263E-3</v>
      </c>
    </row>
    <row r="180" spans="1:4" x14ac:dyDescent="0.35">
      <c r="A180" s="17">
        <v>31564</v>
      </c>
      <c r="B180" s="58">
        <f>VLOOKUP(Table1345[[#This Row],[Date]],database!A:I,9,)</f>
        <v>61.933700000000002</v>
      </c>
      <c r="C180" s="66">
        <f t="shared" si="2"/>
        <v>5.8646216011668528E-3</v>
      </c>
      <c r="D180" s="66">
        <f>(Table1345[[#This Row],[Index]]-B168)/B168</f>
        <v>2.4988497909764065E-2</v>
      </c>
    </row>
    <row r="181" spans="1:4" x14ac:dyDescent="0.35">
      <c r="A181" s="17">
        <v>31594</v>
      </c>
      <c r="B181" s="58">
        <f>VLOOKUP(Table1345[[#This Row],[Date]],database!A:I,9,)</f>
        <v>63.050800000000002</v>
      </c>
      <c r="C181" s="66">
        <f t="shared" si="2"/>
        <v>1.803702992070555E-2</v>
      </c>
      <c r="D181" s="66">
        <f>(Table1345[[#This Row],[Index]]-B169)/B169</f>
        <v>3.9805663529423503E-2</v>
      </c>
    </row>
    <row r="182" spans="1:4" x14ac:dyDescent="0.35">
      <c r="A182" s="17">
        <v>31625</v>
      </c>
      <c r="B182" s="58">
        <f>VLOOKUP(Table1345[[#This Row],[Date]],database!A:I,9,)</f>
        <v>61.499000000000002</v>
      </c>
      <c r="C182" s="66">
        <f t="shared" si="2"/>
        <v>-2.4611900245516294E-2</v>
      </c>
      <c r="D182" s="66">
        <f>(Table1345[[#This Row],[Index]]-B170)/B170</f>
        <v>1.6458633592933973E-2</v>
      </c>
    </row>
    <row r="183" spans="1:4" x14ac:dyDescent="0.35">
      <c r="A183" s="17">
        <v>31656</v>
      </c>
      <c r="B183" s="58">
        <f>VLOOKUP(Table1345[[#This Row],[Date]],database!A:I,9,)</f>
        <v>62.091999999999999</v>
      </c>
      <c r="C183" s="66">
        <f t="shared" si="2"/>
        <v>9.6424332102960086E-3</v>
      </c>
      <c r="D183" s="66">
        <f>(Table1345[[#This Row],[Index]]-B171)/B171</f>
        <v>6.7824696750803364E-3</v>
      </c>
    </row>
    <row r="184" spans="1:4" x14ac:dyDescent="0.35">
      <c r="A184" s="17">
        <v>31686</v>
      </c>
      <c r="B184" s="58">
        <f>VLOOKUP(Table1345[[#This Row],[Date]],database!A:I,9,)</f>
        <v>62.491799999999998</v>
      </c>
      <c r="C184" s="66">
        <f t="shared" si="2"/>
        <v>6.4388326998647827E-3</v>
      </c>
      <c r="D184" s="66">
        <f>(Table1345[[#This Row],[Index]]-B172)/B172</f>
        <v>2.2462773381065455E-2</v>
      </c>
    </row>
    <row r="185" spans="1:4" x14ac:dyDescent="0.35">
      <c r="A185" s="17">
        <v>31717</v>
      </c>
      <c r="B185" s="58">
        <f>VLOOKUP(Table1345[[#This Row],[Date]],database!A:I,9,)</f>
        <v>62.521500000000003</v>
      </c>
      <c r="C185" s="66">
        <f t="shared" si="2"/>
        <v>4.7526235442107989E-4</v>
      </c>
      <c r="D185" s="66">
        <f>(Table1345[[#This Row],[Index]]-B173)/B173</f>
        <v>2.4704085278508949E-2</v>
      </c>
    </row>
    <row r="186" spans="1:4" x14ac:dyDescent="0.35">
      <c r="A186" s="17">
        <v>31747</v>
      </c>
      <c r="B186" s="58">
        <f>VLOOKUP(Table1345[[#This Row],[Date]],database!A:I,9,)</f>
        <v>63.403199999999998</v>
      </c>
      <c r="C186" s="66">
        <f t="shared" si="2"/>
        <v>1.4102348792015551E-2</v>
      </c>
      <c r="D186" s="66">
        <f>(Table1345[[#This Row],[Index]]-B174)/B174</f>
        <v>-8.0664843520216155E-3</v>
      </c>
    </row>
    <row r="187" spans="1:4" x14ac:dyDescent="0.35">
      <c r="A187" s="17">
        <v>31778</v>
      </c>
      <c r="B187" s="58">
        <f>VLOOKUP(Table1345[[#This Row],[Date]],database!A:I,9,)</f>
        <v>62.491999999999997</v>
      </c>
      <c r="C187" s="66">
        <f t="shared" si="2"/>
        <v>-1.4371514371514404E-2</v>
      </c>
      <c r="D187" s="66">
        <f>(Table1345[[#This Row],[Index]]-B175)/B175</f>
        <v>9.630686362101527E-3</v>
      </c>
    </row>
    <row r="188" spans="1:4" x14ac:dyDescent="0.35">
      <c r="A188" s="17">
        <v>31809</v>
      </c>
      <c r="B188" s="58">
        <f>VLOOKUP(Table1345[[#This Row],[Date]],database!A:I,9,)</f>
        <v>63.094700000000003</v>
      </c>
      <c r="C188" s="66">
        <f t="shared" si="2"/>
        <v>9.6444344876145394E-3</v>
      </c>
      <c r="D188" s="66">
        <f>(Table1345[[#This Row],[Index]]-B176)/B176</f>
        <v>2.8212210841950039E-2</v>
      </c>
    </row>
    <row r="189" spans="1:4" x14ac:dyDescent="0.35">
      <c r="A189" s="17">
        <v>31837</v>
      </c>
      <c r="B189" s="58">
        <f>VLOOKUP(Table1345[[#This Row],[Date]],database!A:I,9,)</f>
        <v>63.766800000000003</v>
      </c>
      <c r="C189" s="66">
        <f t="shared" si="2"/>
        <v>1.0652241788929873E-2</v>
      </c>
      <c r="D189" s="66">
        <f>(Table1345[[#This Row],[Index]]-B177)/B177</f>
        <v>5.3937464671406969E-2</v>
      </c>
    </row>
    <row r="190" spans="1:4" x14ac:dyDescent="0.35">
      <c r="A190" s="17">
        <v>31868</v>
      </c>
      <c r="B190" s="58">
        <f>VLOOKUP(Table1345[[#This Row],[Date]],database!A:I,9,)</f>
        <v>64.386499999999998</v>
      </c>
      <c r="C190" s="66">
        <f t="shared" si="2"/>
        <v>9.7182232760619769E-3</v>
      </c>
      <c r="D190" s="66">
        <f>(Table1345[[#This Row],[Index]]-B178)/B178</f>
        <v>5.7892315528317674E-2</v>
      </c>
    </row>
    <row r="191" spans="1:4" x14ac:dyDescent="0.35">
      <c r="A191" s="17">
        <v>31898</v>
      </c>
      <c r="B191" s="58">
        <f>VLOOKUP(Table1345[[#This Row],[Date]],database!A:I,9,)</f>
        <v>64.854699999999994</v>
      </c>
      <c r="C191" s="66">
        <f t="shared" si="2"/>
        <v>7.2717106846931223E-3</v>
      </c>
      <c r="D191" s="66">
        <f>(Table1345[[#This Row],[Index]]-B179)/B179</f>
        <v>5.3304554298502789E-2</v>
      </c>
    </row>
    <row r="192" spans="1:4" x14ac:dyDescent="0.35">
      <c r="A192" s="17">
        <v>31929</v>
      </c>
      <c r="B192" s="58">
        <f>VLOOKUP(Table1345[[#This Row],[Date]],database!A:I,9,)</f>
        <v>65.587000000000003</v>
      </c>
      <c r="C192" s="66">
        <f t="shared" si="2"/>
        <v>1.1291394455606341E-2</v>
      </c>
      <c r="D192" s="66">
        <f>(Table1345[[#This Row],[Index]]-B180)/B180</f>
        <v>5.8987271872986781E-2</v>
      </c>
    </row>
    <row r="193" spans="1:4" x14ac:dyDescent="0.35">
      <c r="A193" s="17">
        <v>31959</v>
      </c>
      <c r="B193" s="58">
        <f>VLOOKUP(Table1345[[#This Row],[Date]],database!A:I,9,)</f>
        <v>65.703000000000003</v>
      </c>
      <c r="C193" s="66">
        <f t="shared" si="2"/>
        <v>1.7686431762391486E-3</v>
      </c>
      <c r="D193" s="66">
        <f>(Table1345[[#This Row],[Index]]-B181)/B181</f>
        <v>4.2064494027038525E-2</v>
      </c>
    </row>
    <row r="194" spans="1:4" x14ac:dyDescent="0.35">
      <c r="A194" s="17">
        <v>31990</v>
      </c>
      <c r="B194" s="58">
        <f>VLOOKUP(Table1345[[#This Row],[Date]],database!A:I,9,)</f>
        <v>66.573800000000006</v>
      </c>
      <c r="C194" s="66">
        <f t="shared" si="2"/>
        <v>1.3253580506217499E-2</v>
      </c>
      <c r="D194" s="66">
        <f>(Table1345[[#This Row],[Index]]-B182)/B182</f>
        <v>8.2518414933576201E-2</v>
      </c>
    </row>
    <row r="195" spans="1:4" x14ac:dyDescent="0.35">
      <c r="A195" s="17">
        <v>32021</v>
      </c>
      <c r="B195" s="58">
        <f>VLOOKUP(Table1345[[#This Row],[Date]],database!A:I,9,)</f>
        <v>65.163799999999995</v>
      </c>
      <c r="C195" s="66">
        <f t="shared" si="2"/>
        <v>-2.1179503047745629E-2</v>
      </c>
      <c r="D195" s="66">
        <f>(Table1345[[#This Row],[Index]]-B183)/B183</f>
        <v>4.9471751594408232E-2</v>
      </c>
    </row>
    <row r="196" spans="1:4" x14ac:dyDescent="0.35">
      <c r="A196" s="17">
        <v>32051</v>
      </c>
      <c r="B196" s="58">
        <f>VLOOKUP(Table1345[[#This Row],[Date]],database!A:I,9,)</f>
        <v>65.807000000000002</v>
      </c>
      <c r="C196" s="66">
        <f t="shared" si="2"/>
        <v>9.8705109278465208E-3</v>
      </c>
      <c r="D196" s="66">
        <f>(Table1345[[#This Row],[Index]]-B184)/B184</f>
        <v>5.3050160181015819E-2</v>
      </c>
    </row>
    <row r="197" spans="1:4" x14ac:dyDescent="0.35">
      <c r="A197" s="17">
        <v>32082</v>
      </c>
      <c r="B197" s="58">
        <f>VLOOKUP(Table1345[[#This Row],[Date]],database!A:I,9,)</f>
        <v>65.831000000000003</v>
      </c>
      <c r="C197" s="66">
        <f t="shared" si="2"/>
        <v>3.6470284316258983E-4</v>
      </c>
      <c r="D197" s="66">
        <f>(Table1345[[#This Row],[Index]]-B185)/B185</f>
        <v>5.2933790775973058E-2</v>
      </c>
    </row>
    <row r="198" spans="1:4" x14ac:dyDescent="0.35">
      <c r="A198" s="17">
        <v>32112</v>
      </c>
      <c r="B198" s="58">
        <f>VLOOKUP(Table1345[[#This Row],[Date]],database!A:I,9,)</f>
        <v>65.838700000000003</v>
      </c>
      <c r="C198" s="66">
        <f t="shared" si="2"/>
        <v>1.1696617095280359E-4</v>
      </c>
      <c r="D198" s="66">
        <f>(Table1345[[#This Row],[Index]]-B186)/B186</f>
        <v>3.8412887677593634E-2</v>
      </c>
    </row>
    <row r="199" spans="1:4" x14ac:dyDescent="0.35">
      <c r="A199" s="17">
        <v>32143</v>
      </c>
      <c r="B199" s="58">
        <f>VLOOKUP(Table1345[[#This Row],[Date]],database!A:I,9,)</f>
        <v>67.639899999999997</v>
      </c>
      <c r="C199" s="66">
        <f t="shared" si="2"/>
        <v>2.7357769822307976E-2</v>
      </c>
      <c r="D199" s="66">
        <f>(Table1345[[#This Row],[Index]]-B187)/B187</f>
        <v>8.2376944248863854E-2</v>
      </c>
    </row>
    <row r="200" spans="1:4" x14ac:dyDescent="0.35">
      <c r="A200" s="17">
        <v>32174</v>
      </c>
      <c r="B200" s="58">
        <f>VLOOKUP(Table1345[[#This Row],[Date]],database!A:I,9,)</f>
        <v>69.045000000000002</v>
      </c>
      <c r="C200" s="66">
        <f t="shared" ref="C200:C263" si="3">B200/B199-1</f>
        <v>2.0773241829157074E-2</v>
      </c>
      <c r="D200" s="66">
        <f>(Table1345[[#This Row],[Index]]-B188)/B188</f>
        <v>9.4307445791801822E-2</v>
      </c>
    </row>
    <row r="201" spans="1:4" x14ac:dyDescent="0.35">
      <c r="A201" s="17">
        <v>32203</v>
      </c>
      <c r="B201" s="58">
        <f>VLOOKUP(Table1345[[#This Row],[Date]],database!A:I,9,)</f>
        <v>68.786199999999994</v>
      </c>
      <c r="C201" s="66">
        <f t="shared" si="3"/>
        <v>-3.7482801071765381E-3</v>
      </c>
      <c r="D201" s="66">
        <f>(Table1345[[#This Row],[Index]]-B189)/B189</f>
        <v>7.8714942571996557E-2</v>
      </c>
    </row>
    <row r="202" spans="1:4" x14ac:dyDescent="0.35">
      <c r="A202" s="17">
        <v>32234</v>
      </c>
      <c r="B202" s="58">
        <f>VLOOKUP(Table1345[[#This Row],[Date]],database!A:I,9,)</f>
        <v>68.033199999999994</v>
      </c>
      <c r="C202" s="66">
        <f t="shared" si="3"/>
        <v>-1.0946963199013782E-2</v>
      </c>
      <c r="D202" s="66">
        <f>(Table1345[[#This Row],[Index]]-B190)/B190</f>
        <v>5.66376491966483E-2</v>
      </c>
    </row>
    <row r="203" spans="1:4" x14ac:dyDescent="0.35">
      <c r="A203" s="17">
        <v>32264</v>
      </c>
      <c r="B203" s="58">
        <f>VLOOKUP(Table1345[[#This Row],[Date]],database!A:I,9,)</f>
        <v>67.806399999999996</v>
      </c>
      <c r="C203" s="66">
        <f t="shared" si="3"/>
        <v>-3.3336665040009095E-3</v>
      </c>
      <c r="D203" s="66">
        <f>(Table1345[[#This Row],[Index]]-B191)/B191</f>
        <v>4.5512507189147476E-2</v>
      </c>
    </row>
    <row r="204" spans="1:4" x14ac:dyDescent="0.35">
      <c r="A204" s="17">
        <v>32295</v>
      </c>
      <c r="B204" s="58">
        <f>VLOOKUP(Table1345[[#This Row],[Date]],database!A:I,9,)</f>
        <v>68.709400000000002</v>
      </c>
      <c r="C204" s="66">
        <f t="shared" si="3"/>
        <v>1.3317326977984489E-2</v>
      </c>
      <c r="D204" s="66">
        <f>(Table1345[[#This Row],[Index]]-B192)/B192</f>
        <v>4.7606995288700486E-2</v>
      </c>
    </row>
    <row r="205" spans="1:4" x14ac:dyDescent="0.35">
      <c r="A205" s="17">
        <v>32325</v>
      </c>
      <c r="B205" s="58">
        <f>VLOOKUP(Table1345[[#This Row],[Date]],database!A:I,9,)</f>
        <v>69.371600000000001</v>
      </c>
      <c r="C205" s="66">
        <f t="shared" si="3"/>
        <v>9.6376914949045656E-3</v>
      </c>
      <c r="D205" s="66">
        <f>(Table1345[[#This Row],[Index]]-B193)/B193</f>
        <v>5.5836110984277702E-2</v>
      </c>
    </row>
    <row r="206" spans="1:4" x14ac:dyDescent="0.35">
      <c r="A206" s="17">
        <v>32356</v>
      </c>
      <c r="B206" s="58">
        <f>VLOOKUP(Table1345[[#This Row],[Date]],database!A:I,9,)</f>
        <v>71.790099999999995</v>
      </c>
      <c r="C206" s="66">
        <f t="shared" si="3"/>
        <v>3.4862969860865123E-2</v>
      </c>
      <c r="D206" s="66">
        <f>(Table1345[[#This Row],[Index]]-B194)/B194</f>
        <v>7.8353646629755094E-2</v>
      </c>
    </row>
    <row r="207" spans="1:4" x14ac:dyDescent="0.35">
      <c r="A207" s="17">
        <v>32387</v>
      </c>
      <c r="B207" s="58">
        <f>VLOOKUP(Table1345[[#This Row],[Date]],database!A:I,9,)</f>
        <v>68.496300000000005</v>
      </c>
      <c r="C207" s="66">
        <f t="shared" si="3"/>
        <v>-4.5880978017860286E-2</v>
      </c>
      <c r="D207" s="66">
        <f>(Table1345[[#This Row],[Index]]-B195)/B195</f>
        <v>5.1140357069416005E-2</v>
      </c>
    </row>
    <row r="208" spans="1:4" x14ac:dyDescent="0.35">
      <c r="A208" s="17">
        <v>32417</v>
      </c>
      <c r="B208" s="58">
        <f>VLOOKUP(Table1345[[#This Row],[Date]],database!A:I,9,)</f>
        <v>68.964399999999998</v>
      </c>
      <c r="C208" s="66">
        <f t="shared" si="3"/>
        <v>6.8339457751731558E-3</v>
      </c>
      <c r="D208" s="66">
        <f>(Table1345[[#This Row],[Index]]-B196)/B196</f>
        <v>4.797969820839721E-2</v>
      </c>
    </row>
    <row r="209" spans="1:4" x14ac:dyDescent="0.35">
      <c r="A209" s="17">
        <v>32448</v>
      </c>
      <c r="B209" s="58">
        <f>VLOOKUP(Table1345[[#This Row],[Date]],database!A:I,9,)</f>
        <v>68.608699999999999</v>
      </c>
      <c r="C209" s="66">
        <f t="shared" si="3"/>
        <v>-5.1577335552835946E-3</v>
      </c>
      <c r="D209" s="66">
        <f>(Table1345[[#This Row],[Index]]-B197)/B197</f>
        <v>4.2194406890370732E-2</v>
      </c>
    </row>
    <row r="210" spans="1:4" x14ac:dyDescent="0.35">
      <c r="A210" s="17">
        <v>32478</v>
      </c>
      <c r="B210" s="58">
        <f>VLOOKUP(Table1345[[#This Row],[Date]],database!A:I,9,)</f>
        <v>69.022900000000007</v>
      </c>
      <c r="C210" s="66">
        <f t="shared" si="3"/>
        <v>6.0371352321209049E-3</v>
      </c>
      <c r="D210" s="66">
        <f>(Table1345[[#This Row],[Index]]-B198)/B198</f>
        <v>4.8363652380742694E-2</v>
      </c>
    </row>
    <row r="211" spans="1:4" x14ac:dyDescent="0.35">
      <c r="A211" s="17">
        <v>32509</v>
      </c>
      <c r="B211" s="58">
        <f>VLOOKUP(Table1345[[#This Row],[Date]],database!A:I,9,)</f>
        <v>66.712599999999995</v>
      </c>
      <c r="C211" s="66">
        <f t="shared" si="3"/>
        <v>-3.3471500038393276E-2</v>
      </c>
      <c r="D211" s="66">
        <f>(Table1345[[#This Row],[Index]]-B199)/B199</f>
        <v>-1.3709363851809398E-2</v>
      </c>
    </row>
    <row r="212" spans="1:4" x14ac:dyDescent="0.35">
      <c r="A212" s="17">
        <v>32540</v>
      </c>
      <c r="B212" s="58">
        <f>VLOOKUP(Table1345[[#This Row],[Date]],database!A:I,9,)</f>
        <v>70.064300000000003</v>
      </c>
      <c r="C212" s="66">
        <f t="shared" si="3"/>
        <v>5.0240884030902766E-2</v>
      </c>
      <c r="D212" s="66">
        <f>(Table1345[[#This Row],[Index]]-B200)/B200</f>
        <v>1.4762835831703978E-2</v>
      </c>
    </row>
    <row r="213" spans="1:4" x14ac:dyDescent="0.35">
      <c r="A213" s="17">
        <v>32568</v>
      </c>
      <c r="B213" s="58">
        <f>VLOOKUP(Table1345[[#This Row],[Date]],database!A:I,9,)</f>
        <v>71.925600000000003</v>
      </c>
      <c r="C213" s="66">
        <f t="shared" si="3"/>
        <v>2.6565597601060809E-2</v>
      </c>
      <c r="D213" s="66">
        <f>(Table1345[[#This Row],[Index]]-B201)/B201</f>
        <v>4.5639968482050312E-2</v>
      </c>
    </row>
    <row r="214" spans="1:4" x14ac:dyDescent="0.35">
      <c r="A214" s="17">
        <v>32599</v>
      </c>
      <c r="B214" s="58">
        <f>VLOOKUP(Table1345[[#This Row],[Date]],database!A:I,9,)</f>
        <v>69.966999999999999</v>
      </c>
      <c r="C214" s="66">
        <f t="shared" si="3"/>
        <v>-2.7230916391382309E-2</v>
      </c>
      <c r="D214" s="66">
        <f>(Table1345[[#This Row],[Index]]-B202)/B202</f>
        <v>2.8424357519564056E-2</v>
      </c>
    </row>
    <row r="215" spans="1:4" x14ac:dyDescent="0.35">
      <c r="A215" s="17">
        <v>32629</v>
      </c>
      <c r="B215" s="58">
        <f>VLOOKUP(Table1345[[#This Row],[Date]],database!A:I,9,)</f>
        <v>70.298000000000002</v>
      </c>
      <c r="C215" s="66">
        <f t="shared" si="3"/>
        <v>4.7308016636413708E-3</v>
      </c>
      <c r="D215" s="66">
        <f>(Table1345[[#This Row],[Index]]-B203)/B203</f>
        <v>3.674579390735986E-2</v>
      </c>
    </row>
    <row r="216" spans="1:4" x14ac:dyDescent="0.35">
      <c r="A216" s="17">
        <v>32660</v>
      </c>
      <c r="B216" s="58">
        <f>VLOOKUP(Table1345[[#This Row],[Date]],database!A:I,9,)</f>
        <v>70.128100000000003</v>
      </c>
      <c r="C216" s="66">
        <f t="shared" si="3"/>
        <v>-2.4168539645509357E-3</v>
      </c>
      <c r="D216" s="66">
        <f>(Table1345[[#This Row],[Index]]-B204)/B204</f>
        <v>2.0647829845697983E-2</v>
      </c>
    </row>
    <row r="217" spans="1:4" x14ac:dyDescent="0.35">
      <c r="A217" s="17">
        <v>32690</v>
      </c>
      <c r="B217" s="58">
        <f>VLOOKUP(Table1345[[#This Row],[Date]],database!A:I,9,)</f>
        <v>70.494900000000001</v>
      </c>
      <c r="C217" s="66">
        <f t="shared" si="3"/>
        <v>5.230428316181257E-3</v>
      </c>
      <c r="D217" s="66">
        <f>(Table1345[[#This Row],[Index]]-B205)/B205</f>
        <v>1.6192505290349369E-2</v>
      </c>
    </row>
    <row r="218" spans="1:4" x14ac:dyDescent="0.35">
      <c r="A218" s="17">
        <v>32721</v>
      </c>
      <c r="B218" s="58">
        <f>VLOOKUP(Table1345[[#This Row],[Date]],database!A:I,9,)</f>
        <v>71.403800000000004</v>
      </c>
      <c r="C218" s="66">
        <f t="shared" si="3"/>
        <v>1.2893131276163317E-2</v>
      </c>
      <c r="D218" s="66">
        <f>(Table1345[[#This Row],[Index]]-B206)/B206</f>
        <v>-5.3809647848379015E-3</v>
      </c>
    </row>
    <row r="219" spans="1:4" x14ac:dyDescent="0.35">
      <c r="A219" s="17">
        <v>32752</v>
      </c>
      <c r="B219" s="58">
        <f>VLOOKUP(Table1345[[#This Row],[Date]],database!A:I,9,)</f>
        <v>70.462199999999996</v>
      </c>
      <c r="C219" s="66">
        <f t="shared" si="3"/>
        <v>-1.3186973242320543E-2</v>
      </c>
      <c r="D219" s="66">
        <f>(Table1345[[#This Row],[Index]]-B207)/B207</f>
        <v>2.87008203362808E-2</v>
      </c>
    </row>
    <row r="220" spans="1:4" x14ac:dyDescent="0.35">
      <c r="A220" s="17">
        <v>32782</v>
      </c>
      <c r="B220" s="58">
        <f>VLOOKUP(Table1345[[#This Row],[Date]],database!A:I,9,)</f>
        <v>71.375600000000006</v>
      </c>
      <c r="C220" s="66">
        <f t="shared" si="3"/>
        <v>1.2962978731859254E-2</v>
      </c>
      <c r="D220" s="66">
        <f>(Table1345[[#This Row],[Index]]-B208)/B208</f>
        <v>3.4962966400055799E-2</v>
      </c>
    </row>
    <row r="221" spans="1:4" x14ac:dyDescent="0.35">
      <c r="A221" s="17">
        <v>32813</v>
      </c>
      <c r="B221" s="58">
        <f>VLOOKUP(Table1345[[#This Row],[Date]],database!A:I,9,)</f>
        <v>72.044799999999995</v>
      </c>
      <c r="C221" s="66">
        <f t="shared" si="3"/>
        <v>9.3757530584679394E-3</v>
      </c>
      <c r="D221" s="66">
        <f>(Table1345[[#This Row],[Index]]-B209)/B209</f>
        <v>5.0082569703259153E-2</v>
      </c>
    </row>
    <row r="222" spans="1:4" x14ac:dyDescent="0.35">
      <c r="A222" s="17">
        <v>32843</v>
      </c>
      <c r="B222" s="58">
        <f>VLOOKUP(Table1345[[#This Row],[Date]],database!A:I,9,)</f>
        <v>77.233900000000006</v>
      </c>
      <c r="C222" s="66">
        <f t="shared" si="3"/>
        <v>7.2026017144887877E-2</v>
      </c>
      <c r="D222" s="66">
        <f>(Table1345[[#This Row],[Index]]-B210)/B210</f>
        <v>0.11896051890024902</v>
      </c>
    </row>
    <row r="223" spans="1:4" x14ac:dyDescent="0.35">
      <c r="A223" s="17">
        <v>32874</v>
      </c>
      <c r="B223" s="58">
        <f>VLOOKUP(Table1345[[#This Row],[Date]],database!A:I,9,)</f>
        <v>71.405100000000004</v>
      </c>
      <c r="C223" s="66">
        <f t="shared" si="3"/>
        <v>-7.5469450590996967E-2</v>
      </c>
      <c r="D223" s="66">
        <f>(Table1345[[#This Row],[Index]]-B211)/B211</f>
        <v>7.0339036403917851E-2</v>
      </c>
    </row>
    <row r="224" spans="1:4" x14ac:dyDescent="0.35">
      <c r="A224" s="17">
        <v>32905</v>
      </c>
      <c r="B224" s="58">
        <f>VLOOKUP(Table1345[[#This Row],[Date]],database!A:I,9,)</f>
        <v>70.509500000000003</v>
      </c>
      <c r="C224" s="66">
        <f t="shared" si="3"/>
        <v>-1.2542521472555856E-2</v>
      </c>
      <c r="D224" s="66">
        <f>(Table1345[[#This Row],[Index]]-B212)/B212</f>
        <v>6.354163247188651E-3</v>
      </c>
    </row>
    <row r="225" spans="1:4" x14ac:dyDescent="0.35">
      <c r="A225" s="17">
        <v>32933</v>
      </c>
      <c r="B225" s="58">
        <f>VLOOKUP(Table1345[[#This Row],[Date]],database!A:I,9,)</f>
        <v>71.496200000000002</v>
      </c>
      <c r="C225" s="66">
        <f t="shared" si="3"/>
        <v>1.3993858983541108E-2</v>
      </c>
      <c r="D225" s="66">
        <f>(Table1345[[#This Row],[Index]]-B213)/B213</f>
        <v>-5.9700579487692992E-3</v>
      </c>
    </row>
    <row r="226" spans="1:4" x14ac:dyDescent="0.35">
      <c r="A226" s="17">
        <v>32964</v>
      </c>
      <c r="B226" s="58">
        <f>VLOOKUP(Table1345[[#This Row],[Date]],database!A:I,9,)</f>
        <v>71.977999999999994</v>
      </c>
      <c r="C226" s="66">
        <f t="shared" si="3"/>
        <v>6.7388196855215909E-3</v>
      </c>
      <c r="D226" s="66">
        <f>(Table1345[[#This Row],[Index]]-B214)/B214</f>
        <v>2.8742121285748934E-2</v>
      </c>
    </row>
    <row r="227" spans="1:4" x14ac:dyDescent="0.35">
      <c r="A227" s="17">
        <v>32994</v>
      </c>
      <c r="B227" s="58">
        <f>VLOOKUP(Table1345[[#This Row],[Date]],database!A:I,9,)</f>
        <v>72.376400000000004</v>
      </c>
      <c r="C227" s="66">
        <f t="shared" si="3"/>
        <v>5.535024590847426E-3</v>
      </c>
      <c r="D227" s="66">
        <f>(Table1345[[#This Row],[Index]]-B215)/B215</f>
        <v>2.9565563742923014E-2</v>
      </c>
    </row>
    <row r="228" spans="1:4" x14ac:dyDescent="0.35">
      <c r="A228" s="17">
        <v>33025</v>
      </c>
      <c r="B228" s="58">
        <f>VLOOKUP(Table1345[[#This Row],[Date]],database!A:I,9,)</f>
        <v>73.114999999999995</v>
      </c>
      <c r="C228" s="66">
        <f t="shared" si="3"/>
        <v>1.0204983945042656E-2</v>
      </c>
      <c r="D228" s="66">
        <f>(Table1345[[#This Row],[Index]]-B216)/B216</f>
        <v>4.2592056536538012E-2</v>
      </c>
    </row>
    <row r="229" spans="1:4" x14ac:dyDescent="0.35">
      <c r="A229" s="17">
        <v>33055</v>
      </c>
      <c r="B229" s="58">
        <f>VLOOKUP(Table1345[[#This Row],[Date]],database!A:I,9,)</f>
        <v>72.872399999999999</v>
      </c>
      <c r="C229" s="66">
        <f t="shared" si="3"/>
        <v>-3.3180605894822524E-3</v>
      </c>
      <c r="D229" s="66">
        <f>(Table1345[[#This Row],[Index]]-B217)/B217</f>
        <v>3.3725843997225301E-2</v>
      </c>
    </row>
    <row r="230" spans="1:4" x14ac:dyDescent="0.35">
      <c r="A230" s="17">
        <v>33086</v>
      </c>
      <c r="B230" s="58">
        <f>VLOOKUP(Table1345[[#This Row],[Date]],database!A:I,9,)</f>
        <v>73.575900000000004</v>
      </c>
      <c r="C230" s="66">
        <f t="shared" si="3"/>
        <v>9.6538607209315508E-3</v>
      </c>
      <c r="D230" s="66">
        <f>(Table1345[[#This Row],[Index]]-B218)/B218</f>
        <v>3.0419949638534647E-2</v>
      </c>
    </row>
    <row r="231" spans="1:4" x14ac:dyDescent="0.35">
      <c r="A231" s="17">
        <v>33117</v>
      </c>
      <c r="B231" s="58">
        <f>VLOOKUP(Table1345[[#This Row],[Date]],database!A:I,9,)</f>
        <v>74.4452</v>
      </c>
      <c r="C231" s="66">
        <f t="shared" si="3"/>
        <v>1.1815010078028099E-2</v>
      </c>
      <c r="D231" s="66">
        <f>(Table1345[[#This Row],[Index]]-B219)/B219</f>
        <v>5.6526761866646291E-2</v>
      </c>
    </row>
    <row r="232" spans="1:4" x14ac:dyDescent="0.35">
      <c r="A232" s="17">
        <v>33147</v>
      </c>
      <c r="B232" s="58">
        <f>VLOOKUP(Table1345[[#This Row],[Date]],database!A:I,9,)</f>
        <v>73.315100000000001</v>
      </c>
      <c r="C232" s="66">
        <f t="shared" si="3"/>
        <v>-1.5180293692541591E-2</v>
      </c>
      <c r="D232" s="66">
        <f>(Table1345[[#This Row],[Index]]-B220)/B220</f>
        <v>2.717315160923334E-2</v>
      </c>
    </row>
    <row r="233" spans="1:4" x14ac:dyDescent="0.35">
      <c r="A233" s="17">
        <v>33178</v>
      </c>
      <c r="B233" s="58">
        <f>VLOOKUP(Table1345[[#This Row],[Date]],database!A:I,9,)</f>
        <v>71.789599999999993</v>
      </c>
      <c r="C233" s="66">
        <f t="shared" si="3"/>
        <v>-2.0807446215036274E-2</v>
      </c>
      <c r="D233" s="66">
        <f>(Table1345[[#This Row],[Index]]-B221)/B221</f>
        <v>-3.5422403837612445E-3</v>
      </c>
    </row>
    <row r="234" spans="1:4" x14ac:dyDescent="0.35">
      <c r="A234" s="17">
        <v>33208</v>
      </c>
      <c r="B234" s="58">
        <f>VLOOKUP(Table1345[[#This Row],[Date]],database!A:I,9,)</f>
        <v>72.278300000000002</v>
      </c>
      <c r="C234" s="66">
        <f t="shared" si="3"/>
        <v>6.8073927142651147E-3</v>
      </c>
      <c r="D234" s="66">
        <f>(Table1345[[#This Row],[Index]]-B222)/B222</f>
        <v>-6.4163534406523601E-2</v>
      </c>
    </row>
    <row r="235" spans="1:4" x14ac:dyDescent="0.35">
      <c r="A235" s="17">
        <v>33239</v>
      </c>
      <c r="B235" s="58">
        <f>VLOOKUP(Table1345[[#This Row],[Date]],database!A:I,9,)</f>
        <v>73.537400000000005</v>
      </c>
      <c r="C235" s="66">
        <f t="shared" si="3"/>
        <v>1.7420166218629962E-2</v>
      </c>
      <c r="D235" s="66">
        <f>(Table1345[[#This Row],[Index]]-B223)/B223</f>
        <v>2.9862012657359216E-2</v>
      </c>
    </row>
    <row r="236" spans="1:4" x14ac:dyDescent="0.35">
      <c r="A236" s="17">
        <v>33270</v>
      </c>
      <c r="B236" s="58">
        <f>VLOOKUP(Table1345[[#This Row],[Date]],database!A:I,9,)</f>
        <v>71.664900000000003</v>
      </c>
      <c r="C236" s="66">
        <f t="shared" si="3"/>
        <v>-2.5463233674293706E-2</v>
      </c>
      <c r="D236" s="66">
        <f>(Table1345[[#This Row],[Index]]-B224)/B224</f>
        <v>1.6386444379835344E-2</v>
      </c>
    </row>
    <row r="237" spans="1:4" x14ac:dyDescent="0.35">
      <c r="A237" s="17">
        <v>33298</v>
      </c>
      <c r="B237" s="58">
        <f>VLOOKUP(Table1345[[#This Row],[Date]],database!A:I,9,)</f>
        <v>72.638199999999998</v>
      </c>
      <c r="C237" s="66">
        <f t="shared" si="3"/>
        <v>1.3581265026533229E-2</v>
      </c>
      <c r="D237" s="66">
        <f>(Table1345[[#This Row],[Index]]-B225)/B225</f>
        <v>1.5972876880169799E-2</v>
      </c>
    </row>
    <row r="238" spans="1:4" x14ac:dyDescent="0.35">
      <c r="A238" s="17">
        <v>33329</v>
      </c>
      <c r="B238" s="58">
        <f>VLOOKUP(Table1345[[#This Row],[Date]],database!A:I,9,)</f>
        <v>72.563900000000004</v>
      </c>
      <c r="C238" s="66">
        <f t="shared" si="3"/>
        <v>-1.022877769548125E-3</v>
      </c>
      <c r="D238" s="66">
        <f>(Table1345[[#This Row],[Index]]-B226)/B226</f>
        <v>8.1399872183168399E-3</v>
      </c>
    </row>
    <row r="239" spans="1:4" x14ac:dyDescent="0.35">
      <c r="A239" s="17">
        <v>33359</v>
      </c>
      <c r="B239" s="58">
        <f>VLOOKUP(Table1345[[#This Row],[Date]],database!A:I,9,)</f>
        <v>75.726500000000001</v>
      </c>
      <c r="C239" s="66">
        <f t="shared" si="3"/>
        <v>4.3583655233525143E-2</v>
      </c>
      <c r="D239" s="66">
        <f>(Table1345[[#This Row],[Index]]-B227)/B227</f>
        <v>4.6287187536268697E-2</v>
      </c>
    </row>
    <row r="240" spans="1:4" x14ac:dyDescent="0.35">
      <c r="A240" s="17">
        <v>33390</v>
      </c>
      <c r="B240" s="58">
        <f>VLOOKUP(Table1345[[#This Row],[Date]],database!A:I,9,)</f>
        <v>76.002600000000001</v>
      </c>
      <c r="C240" s="66">
        <f t="shared" si="3"/>
        <v>3.6460155955972962E-3</v>
      </c>
      <c r="D240" s="66">
        <f>(Table1345[[#This Row],[Index]]-B228)/B228</f>
        <v>3.9493947890309876E-2</v>
      </c>
    </row>
    <row r="241" spans="1:4" x14ac:dyDescent="0.35">
      <c r="A241" s="17">
        <v>33420</v>
      </c>
      <c r="B241" s="58">
        <f>VLOOKUP(Table1345[[#This Row],[Date]],database!A:I,9,)</f>
        <v>75.412300000000002</v>
      </c>
      <c r="C241" s="66">
        <f t="shared" si="3"/>
        <v>-7.766839555488847E-3</v>
      </c>
      <c r="D241" s="66">
        <f>(Table1345[[#This Row],[Index]]-B229)/B229</f>
        <v>3.4854073695939791E-2</v>
      </c>
    </row>
    <row r="242" spans="1:4" x14ac:dyDescent="0.35">
      <c r="A242" s="17">
        <v>33451</v>
      </c>
      <c r="B242" s="58">
        <f>VLOOKUP(Table1345[[#This Row],[Date]],database!A:I,9,)</f>
        <v>74.873500000000007</v>
      </c>
      <c r="C242" s="66">
        <f t="shared" si="3"/>
        <v>-7.144723075678594E-3</v>
      </c>
      <c r="D242" s="66">
        <f>(Table1345[[#This Row],[Index]]-B230)/B230</f>
        <v>1.7636209682790189E-2</v>
      </c>
    </row>
    <row r="243" spans="1:4" x14ac:dyDescent="0.35">
      <c r="A243" s="17">
        <v>33482</v>
      </c>
      <c r="B243" s="58">
        <f>VLOOKUP(Table1345[[#This Row],[Date]],database!A:I,9,)</f>
        <v>74.746700000000004</v>
      </c>
      <c r="C243" s="66">
        <f t="shared" si="3"/>
        <v>-1.6935230755875663E-3</v>
      </c>
      <c r="D243" s="66">
        <f>(Table1345[[#This Row],[Index]]-B231)/B231</f>
        <v>4.0499588959396213E-3</v>
      </c>
    </row>
    <row r="244" spans="1:4" x14ac:dyDescent="0.35">
      <c r="A244" s="17">
        <v>33512</v>
      </c>
      <c r="B244" s="58">
        <f>VLOOKUP(Table1345[[#This Row],[Date]],database!A:I,9,)</f>
        <v>74.664699999999996</v>
      </c>
      <c r="C244" s="66">
        <f t="shared" si="3"/>
        <v>-1.0970383976818265E-3</v>
      </c>
      <c r="D244" s="66">
        <f>(Table1345[[#This Row],[Index]]-B232)/B232</f>
        <v>1.8408213314855947E-2</v>
      </c>
    </row>
    <row r="245" spans="1:4" x14ac:dyDescent="0.35">
      <c r="A245" s="17">
        <v>33543</v>
      </c>
      <c r="B245" s="58">
        <f>VLOOKUP(Table1345[[#This Row],[Date]],database!A:I,9,)</f>
        <v>75.381699999999995</v>
      </c>
      <c r="C245" s="66">
        <f t="shared" si="3"/>
        <v>9.6029315057852838E-3</v>
      </c>
      <c r="D245" s="66">
        <f>(Table1345[[#This Row],[Index]]-B233)/B233</f>
        <v>5.0036495536958034E-2</v>
      </c>
    </row>
    <row r="246" spans="1:4" x14ac:dyDescent="0.35">
      <c r="A246" s="17">
        <v>33573</v>
      </c>
      <c r="B246" s="58">
        <f>VLOOKUP(Table1345[[#This Row],[Date]],database!A:I,9,)</f>
        <v>73.389499999999998</v>
      </c>
      <c r="C246" s="66">
        <f t="shared" si="3"/>
        <v>-2.642816492597011E-2</v>
      </c>
      <c r="D246" s="66">
        <f>(Table1345[[#This Row],[Index]]-B234)/B234</f>
        <v>1.5373908904885651E-2</v>
      </c>
    </row>
    <row r="247" spans="1:4" x14ac:dyDescent="0.35">
      <c r="A247" s="17">
        <v>33604</v>
      </c>
      <c r="B247" s="58">
        <f>VLOOKUP(Table1345[[#This Row],[Date]],database!A:I,9,)</f>
        <v>73.039100000000005</v>
      </c>
      <c r="C247" s="66">
        <f t="shared" si="3"/>
        <v>-4.7745249661054201E-3</v>
      </c>
      <c r="D247" s="66">
        <f>(Table1345[[#This Row],[Index]]-B235)/B235</f>
        <v>-6.7761438397332561E-3</v>
      </c>
    </row>
    <row r="248" spans="1:4" x14ac:dyDescent="0.35">
      <c r="A248" s="17">
        <v>33635</v>
      </c>
      <c r="B248" s="58">
        <f>VLOOKUP(Table1345[[#This Row],[Date]],database!A:I,9,)</f>
        <v>73.512</v>
      </c>
      <c r="C248" s="66">
        <f t="shared" si="3"/>
        <v>6.4746142819394059E-3</v>
      </c>
      <c r="D248" s="66">
        <f>(Table1345[[#This Row],[Index]]-B236)/B236</f>
        <v>2.5774123734212947E-2</v>
      </c>
    </row>
    <row r="249" spans="1:4" x14ac:dyDescent="0.35">
      <c r="A249" s="17">
        <v>33664</v>
      </c>
      <c r="B249" s="58">
        <f>VLOOKUP(Table1345[[#This Row],[Date]],database!A:I,9,)</f>
        <v>73.250900000000001</v>
      </c>
      <c r="C249" s="66">
        <f t="shared" si="3"/>
        <v>-3.5518010664925548E-3</v>
      </c>
      <c r="D249" s="66">
        <f>(Table1345[[#This Row],[Index]]-B237)/B237</f>
        <v>8.4349557120083352E-3</v>
      </c>
    </row>
    <row r="250" spans="1:4" x14ac:dyDescent="0.35">
      <c r="A250" s="17">
        <v>33695</v>
      </c>
      <c r="B250" s="58">
        <f>VLOOKUP(Table1345[[#This Row],[Date]],database!A:I,9,)</f>
        <v>74.9512</v>
      </c>
      <c r="C250" s="66">
        <f t="shared" si="3"/>
        <v>2.3212001490766632E-2</v>
      </c>
      <c r="D250" s="66">
        <f>(Table1345[[#This Row],[Index]]-B238)/B238</f>
        <v>3.2899279118128934E-2</v>
      </c>
    </row>
    <row r="251" spans="1:4" x14ac:dyDescent="0.35">
      <c r="A251" s="17">
        <v>33725</v>
      </c>
      <c r="B251" s="58">
        <f>VLOOKUP(Table1345[[#This Row],[Date]],database!A:I,9,)</f>
        <v>73.899500000000003</v>
      </c>
      <c r="C251" s="66">
        <f t="shared" si="3"/>
        <v>-1.4031796689045639E-2</v>
      </c>
      <c r="D251" s="66">
        <f>(Table1345[[#This Row],[Index]]-B239)/B239</f>
        <v>-2.4126296606868113E-2</v>
      </c>
    </row>
    <row r="252" spans="1:4" x14ac:dyDescent="0.35">
      <c r="A252" s="17">
        <v>33756</v>
      </c>
      <c r="B252" s="58">
        <f>VLOOKUP(Table1345[[#This Row],[Date]],database!A:I,9,)</f>
        <v>72.819800000000001</v>
      </c>
      <c r="C252" s="66">
        <f t="shared" si="3"/>
        <v>-1.4610383020182804E-2</v>
      </c>
      <c r="D252" s="66">
        <f>(Table1345[[#This Row],[Index]]-B240)/B240</f>
        <v>-4.1877514716601803E-2</v>
      </c>
    </row>
    <row r="253" spans="1:4" x14ac:dyDescent="0.35">
      <c r="A253" s="17">
        <v>33786</v>
      </c>
      <c r="B253" s="58">
        <f>VLOOKUP(Table1345[[#This Row],[Date]],database!A:I,9,)</f>
        <v>73.267300000000006</v>
      </c>
      <c r="C253" s="66">
        <f t="shared" si="3"/>
        <v>6.1453066336354389E-3</v>
      </c>
      <c r="D253" s="66">
        <f>(Table1345[[#This Row],[Index]]-B241)/B241</f>
        <v>-2.8443635852506765E-2</v>
      </c>
    </row>
    <row r="254" spans="1:4" x14ac:dyDescent="0.35">
      <c r="A254" s="17">
        <v>33817</v>
      </c>
      <c r="B254" s="58">
        <f>VLOOKUP(Table1345[[#This Row],[Date]],database!A:I,9,)</f>
        <v>73.040999999999997</v>
      </c>
      <c r="C254" s="66">
        <f t="shared" si="3"/>
        <v>-3.0886903161438939E-3</v>
      </c>
      <c r="D254" s="66">
        <f>(Table1345[[#This Row],[Index]]-B242)/B242</f>
        <v>-2.4474613848691595E-2</v>
      </c>
    </row>
    <row r="255" spans="1:4" x14ac:dyDescent="0.35">
      <c r="A255" s="17">
        <v>33848</v>
      </c>
      <c r="B255" s="58">
        <f>VLOOKUP(Table1345[[#This Row],[Date]],database!A:I,9,)</f>
        <v>74.1357</v>
      </c>
      <c r="C255" s="66">
        <f t="shared" si="3"/>
        <v>1.4987472789255385E-2</v>
      </c>
      <c r="D255" s="66">
        <f>(Table1345[[#This Row],[Index]]-B243)/B243</f>
        <v>-8.1742739144337363E-3</v>
      </c>
    </row>
    <row r="256" spans="1:4" x14ac:dyDescent="0.35">
      <c r="A256" s="17">
        <v>33878</v>
      </c>
      <c r="B256" s="58">
        <f>VLOOKUP(Table1345[[#This Row],[Date]],database!A:I,9,)</f>
        <v>75.379900000000006</v>
      </c>
      <c r="C256" s="66">
        <f t="shared" si="3"/>
        <v>1.6782737601452657E-2</v>
      </c>
      <c r="D256" s="66">
        <f>(Table1345[[#This Row],[Index]]-B244)/B244</f>
        <v>9.5788237279465401E-3</v>
      </c>
    </row>
    <row r="257" spans="1:4" x14ac:dyDescent="0.35">
      <c r="A257" s="17">
        <v>33909</v>
      </c>
      <c r="B257" s="58">
        <f>VLOOKUP(Table1345[[#This Row],[Date]],database!A:I,9,)</f>
        <v>76.027799999999999</v>
      </c>
      <c r="C257" s="66">
        <f t="shared" si="3"/>
        <v>8.595129470853502E-3</v>
      </c>
      <c r="D257" s="66">
        <f>(Table1345[[#This Row],[Index]]-B245)/B245</f>
        <v>8.5710457577900766E-3</v>
      </c>
    </row>
    <row r="258" spans="1:4" x14ac:dyDescent="0.35">
      <c r="A258" s="17">
        <v>33939</v>
      </c>
      <c r="B258" s="58">
        <f>VLOOKUP(Table1345[[#This Row],[Date]],database!A:I,9,)</f>
        <v>77.293499999999995</v>
      </c>
      <c r="C258" s="66">
        <f t="shared" si="3"/>
        <v>1.6647857757293938E-2</v>
      </c>
      <c r="D258" s="66">
        <f>(Table1345[[#This Row],[Index]]-B246)/B246</f>
        <v>5.3195620626928869E-2</v>
      </c>
    </row>
    <row r="259" spans="1:4" x14ac:dyDescent="0.35">
      <c r="A259" s="17">
        <v>33970</v>
      </c>
      <c r="B259" s="58">
        <f>VLOOKUP(Table1345[[#This Row],[Date]],database!A:I,9,)</f>
        <v>74.679900000000004</v>
      </c>
      <c r="C259" s="66">
        <f t="shared" si="3"/>
        <v>-3.3813968833084185E-2</v>
      </c>
      <c r="D259" s="66">
        <f>(Table1345[[#This Row],[Index]]-B247)/B247</f>
        <v>2.2464679876942603E-2</v>
      </c>
    </row>
    <row r="260" spans="1:4" x14ac:dyDescent="0.35">
      <c r="A260" s="17">
        <v>34001</v>
      </c>
      <c r="B260" s="58">
        <f>VLOOKUP(Table1345[[#This Row],[Date]],database!A:I,9,)</f>
        <v>76.7226</v>
      </c>
      <c r="C260" s="66">
        <f t="shared" si="3"/>
        <v>2.7352741500725086E-2</v>
      </c>
      <c r="D260" s="66">
        <f>(Table1345[[#This Row],[Index]]-B248)/B248</f>
        <v>4.3674502122102506E-2</v>
      </c>
    </row>
    <row r="261" spans="1:4" x14ac:dyDescent="0.35">
      <c r="A261" s="17">
        <v>34029</v>
      </c>
      <c r="B261" s="58">
        <f>VLOOKUP(Table1345[[#This Row],[Date]],database!A:I,9,)</f>
        <v>77.495000000000005</v>
      </c>
      <c r="C261" s="66">
        <f t="shared" si="3"/>
        <v>1.0067437756280384E-2</v>
      </c>
      <c r="D261" s="66">
        <f>(Table1345[[#This Row],[Index]]-B249)/B249</f>
        <v>5.7939219859414741E-2</v>
      </c>
    </row>
    <row r="262" spans="1:4" x14ac:dyDescent="0.35">
      <c r="A262" s="17">
        <v>34060</v>
      </c>
      <c r="B262" s="58">
        <f>VLOOKUP(Table1345[[#This Row],[Date]],database!A:I,9,)</f>
        <v>76.601500000000001</v>
      </c>
      <c r="C262" s="66">
        <f t="shared" si="3"/>
        <v>-1.1529776114588053E-2</v>
      </c>
      <c r="D262" s="66">
        <f>(Table1345[[#This Row],[Index]]-B250)/B250</f>
        <v>2.2018326591168674E-2</v>
      </c>
    </row>
    <row r="263" spans="1:4" x14ac:dyDescent="0.35">
      <c r="A263" s="17">
        <v>34090</v>
      </c>
      <c r="B263" s="58">
        <f>VLOOKUP(Table1345[[#This Row],[Date]],database!A:I,9,)</f>
        <v>74.5154</v>
      </c>
      <c r="C263" s="66">
        <f t="shared" si="3"/>
        <v>-2.7233148175949573E-2</v>
      </c>
      <c r="D263" s="66">
        <f>(Table1345[[#This Row],[Index]]-B251)/B251</f>
        <v>8.3342918422992882E-3</v>
      </c>
    </row>
    <row r="264" spans="1:4" x14ac:dyDescent="0.35">
      <c r="A264" s="17">
        <v>34121</v>
      </c>
      <c r="B264" s="58">
        <f>VLOOKUP(Table1345[[#This Row],[Date]],database!A:I,9,)</f>
        <v>76.407499999999999</v>
      </c>
      <c r="C264" s="66">
        <f t="shared" ref="C264:C327" si="4">B264/B263-1</f>
        <v>2.5392066606365837E-2</v>
      </c>
      <c r="D264" s="66">
        <f>(Table1345[[#This Row],[Index]]-B252)/B252</f>
        <v>4.9268193540767731E-2</v>
      </c>
    </row>
    <row r="265" spans="1:4" x14ac:dyDescent="0.35">
      <c r="A265" s="17">
        <v>34151</v>
      </c>
      <c r="B265" s="58">
        <f>VLOOKUP(Table1345[[#This Row],[Date]],database!A:I,9,)</f>
        <v>77.500200000000007</v>
      </c>
      <c r="C265" s="66">
        <f t="shared" si="4"/>
        <v>1.4300952131662603E-2</v>
      </c>
      <c r="D265" s="66">
        <f>(Table1345[[#This Row],[Index]]-B253)/B253</f>
        <v>5.7773385944343524E-2</v>
      </c>
    </row>
    <row r="266" spans="1:4" x14ac:dyDescent="0.35">
      <c r="A266" s="17">
        <v>34182</v>
      </c>
      <c r="B266" s="58">
        <f>VLOOKUP(Table1345[[#This Row],[Date]],database!A:I,9,)</f>
        <v>77.982900000000001</v>
      </c>
      <c r="C266" s="66">
        <f t="shared" si="4"/>
        <v>6.2283710235586653E-3</v>
      </c>
      <c r="D266" s="66">
        <f>(Table1345[[#This Row],[Index]]-B254)/B254</f>
        <v>6.7659259867745569E-2</v>
      </c>
    </row>
    <row r="267" spans="1:4" x14ac:dyDescent="0.35">
      <c r="A267" s="17">
        <v>34213</v>
      </c>
      <c r="B267" s="58">
        <f>VLOOKUP(Table1345[[#This Row],[Date]],database!A:I,9,)</f>
        <v>77.105099999999993</v>
      </c>
      <c r="C267" s="66">
        <f t="shared" si="4"/>
        <v>-1.1256313884197788E-2</v>
      </c>
      <c r="D267" s="66">
        <f>(Table1345[[#This Row],[Index]]-B255)/B255</f>
        <v>4.0053577426260131E-2</v>
      </c>
    </row>
    <row r="268" spans="1:4" x14ac:dyDescent="0.35">
      <c r="A268" s="17">
        <v>34243</v>
      </c>
      <c r="B268" s="58">
        <f>VLOOKUP(Table1345[[#This Row],[Date]],database!A:I,9,)</f>
        <v>76.848200000000006</v>
      </c>
      <c r="C268" s="66">
        <f t="shared" si="4"/>
        <v>-3.3318159239789091E-3</v>
      </c>
      <c r="D268" s="66">
        <f>(Table1345[[#This Row],[Index]]-B256)/B256</f>
        <v>1.947866739011327E-2</v>
      </c>
    </row>
    <row r="269" spans="1:4" x14ac:dyDescent="0.35">
      <c r="A269" s="17">
        <v>34274</v>
      </c>
      <c r="B269" s="58">
        <f>VLOOKUP(Table1345[[#This Row],[Date]],database!A:I,9,)</f>
        <v>77.351200000000006</v>
      </c>
      <c r="C269" s="66">
        <f t="shared" si="4"/>
        <v>6.5453712643888107E-3</v>
      </c>
      <c r="D269" s="66">
        <f>(Table1345[[#This Row],[Index]]-B257)/B257</f>
        <v>1.7406790673937779E-2</v>
      </c>
    </row>
    <row r="270" spans="1:4" x14ac:dyDescent="0.35">
      <c r="A270" s="17">
        <v>34304</v>
      </c>
      <c r="B270" s="58">
        <f>VLOOKUP(Table1345[[#This Row],[Date]],database!A:I,9,)</f>
        <v>77.665400000000005</v>
      </c>
      <c r="C270" s="66">
        <f t="shared" si="4"/>
        <v>4.0619925741294249E-3</v>
      </c>
      <c r="D270" s="66">
        <f>(Table1345[[#This Row],[Index]]-B258)/B258</f>
        <v>4.8115300769147572E-3</v>
      </c>
    </row>
    <row r="271" spans="1:4" x14ac:dyDescent="0.35">
      <c r="A271" s="17">
        <v>34335</v>
      </c>
      <c r="B271" s="58">
        <f>VLOOKUP(Table1345[[#This Row],[Date]],database!A:I,9,)</f>
        <v>79.941100000000006</v>
      </c>
      <c r="C271" s="66">
        <f t="shared" si="4"/>
        <v>2.9301336244968779E-2</v>
      </c>
      <c r="D271" s="66">
        <f>(Table1345[[#This Row],[Index]]-B259)/B259</f>
        <v>7.0450013993055727E-2</v>
      </c>
    </row>
    <row r="272" spans="1:4" x14ac:dyDescent="0.35">
      <c r="A272" s="17">
        <v>34366</v>
      </c>
      <c r="B272" s="58">
        <f>VLOOKUP(Table1345[[#This Row],[Date]],database!A:I,9,)</f>
        <v>79.141599999999997</v>
      </c>
      <c r="C272" s="66">
        <f t="shared" si="4"/>
        <v>-1.0001113319681676E-2</v>
      </c>
      <c r="D272" s="66">
        <f>(Table1345[[#This Row],[Index]]-B260)/B260</f>
        <v>3.1529171326310591E-2</v>
      </c>
    </row>
    <row r="273" spans="1:4" x14ac:dyDescent="0.35">
      <c r="A273" s="17">
        <v>34394</v>
      </c>
      <c r="B273" s="58">
        <f>VLOOKUP(Table1345[[#This Row],[Date]],database!A:I,9,)</f>
        <v>77.846199999999996</v>
      </c>
      <c r="C273" s="66">
        <f t="shared" si="4"/>
        <v>-1.6368130035278594E-2</v>
      </c>
      <c r="D273" s="66">
        <f>(Table1345[[#This Row],[Index]]-B261)/B261</f>
        <v>4.5319052842117749E-3</v>
      </c>
    </row>
    <row r="274" spans="1:4" x14ac:dyDescent="0.35">
      <c r="A274" s="17">
        <v>34425</v>
      </c>
      <c r="B274" s="58">
        <f>VLOOKUP(Table1345[[#This Row],[Date]],database!A:I,9,)</f>
        <v>77.102099999999993</v>
      </c>
      <c r="C274" s="66">
        <f t="shared" si="4"/>
        <v>-9.5585911707958271E-3</v>
      </c>
      <c r="D274" s="66">
        <f>(Table1345[[#This Row],[Index]]-B262)/B262</f>
        <v>6.5351200694502261E-3</v>
      </c>
    </row>
    <row r="275" spans="1:4" x14ac:dyDescent="0.35">
      <c r="A275" s="17">
        <v>34455</v>
      </c>
      <c r="B275" s="58">
        <f>VLOOKUP(Table1345[[#This Row],[Date]],database!A:I,9,)</f>
        <v>76.768299999999996</v>
      </c>
      <c r="C275" s="66">
        <f t="shared" si="4"/>
        <v>-4.3293243634090484E-3</v>
      </c>
      <c r="D275" s="66">
        <f>(Table1345[[#This Row],[Index]]-B263)/B263</f>
        <v>3.0234018739750398E-2</v>
      </c>
    </row>
    <row r="276" spans="1:4" x14ac:dyDescent="0.35">
      <c r="A276" s="17">
        <v>34486</v>
      </c>
      <c r="B276" s="58">
        <f>VLOOKUP(Table1345[[#This Row],[Date]],database!A:I,9,)</f>
        <v>80.061899999999994</v>
      </c>
      <c r="C276" s="66">
        <f t="shared" si="4"/>
        <v>4.2903125378574103E-2</v>
      </c>
      <c r="D276" s="66">
        <f>(Table1345[[#This Row],[Index]]-B264)/B264</f>
        <v>4.782776559892675E-2</v>
      </c>
    </row>
    <row r="277" spans="1:4" x14ac:dyDescent="0.35">
      <c r="A277" s="17">
        <v>34516</v>
      </c>
      <c r="B277" s="58">
        <f>VLOOKUP(Table1345[[#This Row],[Date]],database!A:I,9,)</f>
        <v>78.639099999999999</v>
      </c>
      <c r="C277" s="66">
        <f t="shared" si="4"/>
        <v>-1.7771249495702635E-2</v>
      </c>
      <c r="D277" s="66">
        <f>(Table1345[[#This Row],[Index]]-B265)/B265</f>
        <v>1.4695445947236168E-2</v>
      </c>
    </row>
    <row r="278" spans="1:4" x14ac:dyDescent="0.35">
      <c r="A278" s="17">
        <v>34547</v>
      </c>
      <c r="B278" s="58">
        <f>VLOOKUP(Table1345[[#This Row],[Date]],database!A:I,9,)</f>
        <v>78.093900000000005</v>
      </c>
      <c r="C278" s="66">
        <f t="shared" si="4"/>
        <v>-6.9329379405409508E-3</v>
      </c>
      <c r="D278" s="66">
        <f>(Table1345[[#This Row],[Index]]-B266)/B266</f>
        <v>1.4233889737366038E-3</v>
      </c>
    </row>
    <row r="279" spans="1:4" x14ac:dyDescent="0.35">
      <c r="A279" s="17">
        <v>34578</v>
      </c>
      <c r="B279" s="58">
        <f>VLOOKUP(Table1345[[#This Row],[Date]],database!A:I,9,)</f>
        <v>78.0304</v>
      </c>
      <c r="C279" s="66">
        <f t="shared" si="4"/>
        <v>-8.1312368827790582E-4</v>
      </c>
      <c r="D279" s="66">
        <f>(Table1345[[#This Row],[Index]]-B267)/B267</f>
        <v>1.2000503209256032E-2</v>
      </c>
    </row>
    <row r="280" spans="1:4" x14ac:dyDescent="0.35">
      <c r="A280" s="17">
        <v>34608</v>
      </c>
      <c r="B280" s="58">
        <f>VLOOKUP(Table1345[[#This Row],[Date]],database!A:I,9,)</f>
        <v>78.305499999999995</v>
      </c>
      <c r="C280" s="66">
        <f t="shared" si="4"/>
        <v>3.5255490167933612E-3</v>
      </c>
      <c r="D280" s="66">
        <f>(Table1345[[#This Row],[Index]]-B268)/B268</f>
        <v>1.8963358933585812E-2</v>
      </c>
    </row>
    <row r="281" spans="1:4" x14ac:dyDescent="0.35">
      <c r="A281" s="17">
        <v>34639</v>
      </c>
      <c r="B281" s="58">
        <f>VLOOKUP(Table1345[[#This Row],[Date]],database!A:I,9,)</f>
        <v>77.781999999999996</v>
      </c>
      <c r="C281" s="66">
        <f t="shared" si="4"/>
        <v>-6.6853541577539533E-3</v>
      </c>
      <c r="D281" s="66">
        <f>(Table1345[[#This Row],[Index]]-B269)/B269</f>
        <v>5.5694029310468449E-3</v>
      </c>
    </row>
    <row r="282" spans="1:4" x14ac:dyDescent="0.35">
      <c r="A282" s="17">
        <v>34669</v>
      </c>
      <c r="B282" s="58">
        <f>VLOOKUP(Table1345[[#This Row],[Date]],database!A:I,9,)</f>
        <v>77.872299999999996</v>
      </c>
      <c r="C282" s="66">
        <f t="shared" si="4"/>
        <v>1.1609369777068057E-3</v>
      </c>
      <c r="D282" s="66">
        <f>(Table1345[[#This Row],[Index]]-B270)/B270</f>
        <v>2.6639919449328825E-3</v>
      </c>
    </row>
    <row r="283" spans="1:4" x14ac:dyDescent="0.35">
      <c r="A283" s="17">
        <v>34700</v>
      </c>
      <c r="B283" s="58">
        <f>VLOOKUP(Table1345[[#This Row],[Date]],database!A:I,9,)</f>
        <v>78.490799999999993</v>
      </c>
      <c r="C283" s="66">
        <f t="shared" si="4"/>
        <v>7.9424904619485037E-3</v>
      </c>
      <c r="D283" s="66">
        <f>(Table1345[[#This Row],[Index]]-B271)/B271</f>
        <v>-1.8142107126371949E-2</v>
      </c>
    </row>
    <row r="284" spans="1:4" x14ac:dyDescent="0.35">
      <c r="A284" s="17">
        <v>34731</v>
      </c>
      <c r="B284" s="58">
        <f>VLOOKUP(Table1345[[#This Row],[Date]],database!A:I,9,)</f>
        <v>79.207700000000003</v>
      </c>
      <c r="C284" s="66">
        <f t="shared" si="4"/>
        <v>9.1335545057511514E-3</v>
      </c>
      <c r="D284" s="66">
        <f>(Table1345[[#This Row],[Index]]-B272)/B272</f>
        <v>8.3521182285935366E-4</v>
      </c>
    </row>
    <row r="285" spans="1:4" x14ac:dyDescent="0.35">
      <c r="A285" s="17">
        <v>34759</v>
      </c>
      <c r="B285" s="58">
        <f>VLOOKUP(Table1345[[#This Row],[Date]],database!A:I,9,)</f>
        <v>79.153999999999996</v>
      </c>
      <c r="C285" s="66">
        <f t="shared" si="4"/>
        <v>-6.7796438982581364E-4</v>
      </c>
      <c r="D285" s="66">
        <f>(Table1345[[#This Row],[Index]]-B273)/B273</f>
        <v>1.6799792411190274E-2</v>
      </c>
    </row>
    <row r="286" spans="1:4" x14ac:dyDescent="0.35">
      <c r="A286" s="17">
        <v>34790</v>
      </c>
      <c r="B286" s="58">
        <f>VLOOKUP(Table1345[[#This Row],[Date]],database!A:I,9,)</f>
        <v>79.8964</v>
      </c>
      <c r="C286" s="66">
        <f t="shared" si="4"/>
        <v>9.3791848801072497E-3</v>
      </c>
      <c r="D286" s="66">
        <f>(Table1345[[#This Row],[Index]]-B274)/B274</f>
        <v>3.6241555028981146E-2</v>
      </c>
    </row>
    <row r="287" spans="1:4" x14ac:dyDescent="0.35">
      <c r="A287" s="17">
        <v>34820</v>
      </c>
      <c r="B287" s="58">
        <f>VLOOKUP(Table1345[[#This Row],[Date]],database!A:I,9,)</f>
        <v>81.096900000000005</v>
      </c>
      <c r="C287" s="66">
        <f t="shared" si="4"/>
        <v>1.5025708292238482E-2</v>
      </c>
      <c r="D287" s="66">
        <f>(Table1345[[#This Row],[Index]]-B275)/B275</f>
        <v>5.6385252767092782E-2</v>
      </c>
    </row>
    <row r="288" spans="1:4" x14ac:dyDescent="0.35">
      <c r="A288" s="17">
        <v>34851</v>
      </c>
      <c r="B288" s="58">
        <f>VLOOKUP(Table1345[[#This Row],[Date]],database!A:I,9,)</f>
        <v>80.558000000000007</v>
      </c>
      <c r="C288" s="66">
        <f t="shared" si="4"/>
        <v>-6.64513686713053E-3</v>
      </c>
      <c r="D288" s="66">
        <f>(Table1345[[#This Row],[Index]]-B276)/B276</f>
        <v>6.1964554925627883E-3</v>
      </c>
    </row>
    <row r="289" spans="1:4" x14ac:dyDescent="0.35">
      <c r="A289" s="17">
        <v>34881</v>
      </c>
      <c r="B289" s="58">
        <f>VLOOKUP(Table1345[[#This Row],[Date]],database!A:I,9,)</f>
        <v>81.562200000000004</v>
      </c>
      <c r="C289" s="66">
        <f t="shared" si="4"/>
        <v>1.2465552769433064E-2</v>
      </c>
      <c r="D289" s="66">
        <f>(Table1345[[#This Row],[Index]]-B277)/B277</f>
        <v>3.7171076474679966E-2</v>
      </c>
    </row>
    <row r="290" spans="1:4" x14ac:dyDescent="0.35">
      <c r="A290" s="17">
        <v>34912</v>
      </c>
      <c r="B290" s="58">
        <f>VLOOKUP(Table1345[[#This Row],[Date]],database!A:I,9,)</f>
        <v>84.811499999999995</v>
      </c>
      <c r="C290" s="66">
        <f t="shared" si="4"/>
        <v>3.9838307451245614E-2</v>
      </c>
      <c r="D290" s="66">
        <f>(Table1345[[#This Row],[Index]]-B278)/B278</f>
        <v>8.6019522651577016E-2</v>
      </c>
    </row>
    <row r="291" spans="1:4" x14ac:dyDescent="0.35">
      <c r="A291" s="17">
        <v>34943</v>
      </c>
      <c r="B291" s="58">
        <f>VLOOKUP(Table1345[[#This Row],[Date]],database!A:I,9,)</f>
        <v>81.305199999999999</v>
      </c>
      <c r="C291" s="66">
        <f t="shared" si="4"/>
        <v>-4.1342270800539982E-2</v>
      </c>
      <c r="D291" s="66">
        <f>(Table1345[[#This Row],[Index]]-B279)/B279</f>
        <v>4.1968258524882597E-2</v>
      </c>
    </row>
    <row r="292" spans="1:4" x14ac:dyDescent="0.35">
      <c r="A292" s="17">
        <v>34973</v>
      </c>
      <c r="B292" s="58">
        <f>VLOOKUP(Table1345[[#This Row],[Date]],database!A:I,9,)</f>
        <v>81.391199999999998</v>
      </c>
      <c r="C292" s="66">
        <f t="shared" si="4"/>
        <v>1.0577429241918068E-3</v>
      </c>
      <c r="D292" s="66">
        <f>(Table1345[[#This Row],[Index]]-B280)/B280</f>
        <v>3.9405916570355887E-2</v>
      </c>
    </row>
    <row r="293" spans="1:4" x14ac:dyDescent="0.35">
      <c r="A293" s="17">
        <v>35004</v>
      </c>
      <c r="B293" s="58">
        <f>VLOOKUP(Table1345[[#This Row],[Date]],database!A:I,9,)</f>
        <v>82.418499999999995</v>
      </c>
      <c r="C293" s="66">
        <f t="shared" si="4"/>
        <v>1.2621757634732056E-2</v>
      </c>
      <c r="D293" s="66">
        <f>(Table1345[[#This Row],[Index]]-B281)/B281</f>
        <v>5.9608906945051533E-2</v>
      </c>
    </row>
    <row r="294" spans="1:4" x14ac:dyDescent="0.35">
      <c r="A294" s="17">
        <v>35034</v>
      </c>
      <c r="B294" s="58">
        <f>VLOOKUP(Table1345[[#This Row],[Date]],database!A:I,9,)</f>
        <v>83.054199999999994</v>
      </c>
      <c r="C294" s="66">
        <f t="shared" si="4"/>
        <v>7.7130741277746662E-3</v>
      </c>
      <c r="D294" s="66">
        <f>(Table1345[[#This Row],[Index]]-B282)/B282</f>
        <v>6.6543559134634514E-2</v>
      </c>
    </row>
    <row r="295" spans="1:4" x14ac:dyDescent="0.35">
      <c r="A295" s="17">
        <v>35065</v>
      </c>
      <c r="B295" s="58">
        <f>VLOOKUP(Table1345[[#This Row],[Date]],database!A:I,9,)</f>
        <v>83.820400000000006</v>
      </c>
      <c r="C295" s="66">
        <f t="shared" si="4"/>
        <v>9.2253010684590908E-3</v>
      </c>
      <c r="D295" s="66">
        <f>(Table1345[[#This Row],[Index]]-B283)/B283</f>
        <v>6.7900951449087199E-2</v>
      </c>
    </row>
    <row r="296" spans="1:4" x14ac:dyDescent="0.35">
      <c r="A296" s="17">
        <v>35096</v>
      </c>
      <c r="B296" s="58">
        <f>VLOOKUP(Table1345[[#This Row],[Date]],database!A:I,9,)</f>
        <v>84.903800000000004</v>
      </c>
      <c r="C296" s="66">
        <f t="shared" si="4"/>
        <v>1.2925254472658132E-2</v>
      </c>
      <c r="D296" s="66">
        <f>(Table1345[[#This Row],[Index]]-B284)/B284</f>
        <v>7.1913462958778013E-2</v>
      </c>
    </row>
    <row r="297" spans="1:4" x14ac:dyDescent="0.35">
      <c r="A297" s="17">
        <v>35125</v>
      </c>
      <c r="B297" s="58">
        <f>VLOOKUP(Table1345[[#This Row],[Date]],database!A:I,9,)</f>
        <v>84.669700000000006</v>
      </c>
      <c r="C297" s="66">
        <f t="shared" si="4"/>
        <v>-2.7572381919301892E-3</v>
      </c>
      <c r="D297" s="66">
        <f>(Table1345[[#This Row],[Index]]-B285)/B285</f>
        <v>6.9683149303888747E-2</v>
      </c>
    </row>
    <row r="298" spans="1:4" x14ac:dyDescent="0.35">
      <c r="A298" s="17">
        <v>35156</v>
      </c>
      <c r="B298" s="58">
        <f>VLOOKUP(Table1345[[#This Row],[Date]],database!A:I,9,)</f>
        <v>84.097499999999997</v>
      </c>
      <c r="C298" s="66">
        <f t="shared" si="4"/>
        <v>-6.7580255982956361E-3</v>
      </c>
      <c r="D298" s="66">
        <f>(Table1345[[#This Row],[Index]]-B286)/B286</f>
        <v>5.2581843487316031E-2</v>
      </c>
    </row>
    <row r="299" spans="1:4" x14ac:dyDescent="0.35">
      <c r="A299" s="17">
        <v>35186</v>
      </c>
      <c r="B299" s="58">
        <f>VLOOKUP(Table1345[[#This Row],[Date]],database!A:I,9,)</f>
        <v>84.981099999999998</v>
      </c>
      <c r="C299" s="66">
        <f t="shared" si="4"/>
        <v>1.0506852165641067E-2</v>
      </c>
      <c r="D299" s="66">
        <f>(Table1345[[#This Row],[Index]]-B287)/B287</f>
        <v>4.7895788864925695E-2</v>
      </c>
    </row>
    <row r="300" spans="1:4" x14ac:dyDescent="0.35">
      <c r="A300" s="17">
        <v>35217</v>
      </c>
      <c r="B300" s="58">
        <f>VLOOKUP(Table1345[[#This Row],[Date]],database!A:I,9,)</f>
        <v>83.851699999999994</v>
      </c>
      <c r="C300" s="66">
        <f t="shared" si="4"/>
        <v>-1.3290013897207742E-2</v>
      </c>
      <c r="D300" s="66">
        <f>(Table1345[[#This Row],[Index]]-B288)/B288</f>
        <v>4.0886069664092785E-2</v>
      </c>
    </row>
    <row r="301" spans="1:4" x14ac:dyDescent="0.35">
      <c r="A301" s="17">
        <v>35247</v>
      </c>
      <c r="B301" s="58">
        <f>VLOOKUP(Table1345[[#This Row],[Date]],database!A:I,9,)</f>
        <v>80.9649</v>
      </c>
      <c r="C301" s="66">
        <f t="shared" si="4"/>
        <v>-3.4427447505536501E-2</v>
      </c>
      <c r="D301" s="66">
        <f>(Table1345[[#This Row],[Index]]-B289)/B289</f>
        <v>-7.3232453268794141E-3</v>
      </c>
    </row>
    <row r="302" spans="1:4" x14ac:dyDescent="0.35">
      <c r="A302" s="17">
        <v>35278</v>
      </c>
      <c r="B302" s="58">
        <f>VLOOKUP(Table1345[[#This Row],[Date]],database!A:I,9,)</f>
        <v>82.003900000000002</v>
      </c>
      <c r="C302" s="66">
        <f t="shared" si="4"/>
        <v>1.2832721339741004E-2</v>
      </c>
      <c r="D302" s="66">
        <f>(Table1345[[#This Row],[Index]]-B290)/B290</f>
        <v>-3.3104001226248729E-2</v>
      </c>
    </row>
    <row r="303" spans="1:4" x14ac:dyDescent="0.35">
      <c r="A303" s="17">
        <v>35309</v>
      </c>
      <c r="B303" s="58">
        <f>VLOOKUP(Table1345[[#This Row],[Date]],database!A:I,9,)</f>
        <v>81.660399999999996</v>
      </c>
      <c r="C303" s="66">
        <f t="shared" si="4"/>
        <v>-4.1888251656324593E-3</v>
      </c>
      <c r="D303" s="66">
        <f>(Table1345[[#This Row],[Index]]-B291)/B291</f>
        <v>4.3687242636386899E-3</v>
      </c>
    </row>
    <row r="304" spans="1:4" x14ac:dyDescent="0.35">
      <c r="A304" s="17">
        <v>35339</v>
      </c>
      <c r="B304" s="58">
        <f>VLOOKUP(Table1345[[#This Row],[Date]],database!A:I,9,)</f>
        <v>82.507400000000004</v>
      </c>
      <c r="C304" s="66">
        <f t="shared" si="4"/>
        <v>1.0372224480899028E-2</v>
      </c>
      <c r="D304" s="66">
        <f>(Table1345[[#This Row],[Index]]-B292)/B292</f>
        <v>1.3714013308564149E-2</v>
      </c>
    </row>
    <row r="305" spans="1:4" x14ac:dyDescent="0.35">
      <c r="A305" s="17">
        <v>35370</v>
      </c>
      <c r="B305" s="58">
        <f>VLOOKUP(Table1345[[#This Row],[Date]],database!A:I,9,)</f>
        <v>83.991900000000001</v>
      </c>
      <c r="C305" s="66">
        <f t="shared" si="4"/>
        <v>1.7992325536860809E-2</v>
      </c>
      <c r="D305" s="66">
        <f>(Table1345[[#This Row],[Index]]-B293)/B293</f>
        <v>1.909037412716813E-2</v>
      </c>
    </row>
    <row r="306" spans="1:4" x14ac:dyDescent="0.35">
      <c r="A306" s="17">
        <v>35400</v>
      </c>
      <c r="B306" s="58">
        <f>VLOOKUP(Table1345[[#This Row],[Date]],database!A:I,9,)</f>
        <v>83.047700000000006</v>
      </c>
      <c r="C306" s="66">
        <f t="shared" si="4"/>
        <v>-1.1241560198066658E-2</v>
      </c>
      <c r="D306" s="66">
        <f>(Table1345[[#This Row],[Index]]-B294)/B294</f>
        <v>-7.8262146887073797E-5</v>
      </c>
    </row>
    <row r="307" spans="1:4" x14ac:dyDescent="0.35">
      <c r="A307" s="17">
        <v>35431</v>
      </c>
      <c r="B307" s="58">
        <f>VLOOKUP(Table1345[[#This Row],[Date]],database!A:I,9,)</f>
        <v>83.791799999999995</v>
      </c>
      <c r="C307" s="66">
        <f t="shared" si="4"/>
        <v>8.959910990912423E-3</v>
      </c>
      <c r="D307" s="66">
        <f>(Table1345[[#This Row],[Index]]-B295)/B295</f>
        <v>-3.4120572080318756E-4</v>
      </c>
    </row>
    <row r="308" spans="1:4" x14ac:dyDescent="0.35">
      <c r="A308" s="17">
        <v>35462</v>
      </c>
      <c r="B308" s="58">
        <f>VLOOKUP(Table1345[[#This Row],[Date]],database!A:I,9,)</f>
        <v>82.837599999999995</v>
      </c>
      <c r="C308" s="66">
        <f t="shared" si="4"/>
        <v>-1.138774915922558E-2</v>
      </c>
      <c r="D308" s="66">
        <f>(Table1345[[#This Row],[Index]]-B296)/B296</f>
        <v>-2.433577766837302E-2</v>
      </c>
    </row>
    <row r="309" spans="1:4" x14ac:dyDescent="0.35">
      <c r="A309" s="17">
        <v>35490</v>
      </c>
      <c r="B309" s="58">
        <f>VLOOKUP(Table1345[[#This Row],[Date]],database!A:I,9,)</f>
        <v>81.031400000000005</v>
      </c>
      <c r="C309" s="66">
        <f t="shared" si="4"/>
        <v>-2.1804108279331991E-2</v>
      </c>
      <c r="D309" s="66">
        <f>(Table1345[[#This Row],[Index]]-B297)/B297</f>
        <v>-4.2970507749525516E-2</v>
      </c>
    </row>
    <row r="310" spans="1:4" x14ac:dyDescent="0.35">
      <c r="A310" s="17">
        <v>35521</v>
      </c>
      <c r="B310" s="58">
        <f>VLOOKUP(Table1345[[#This Row],[Date]],database!A:I,9,)</f>
        <v>82.918000000000006</v>
      </c>
      <c r="C310" s="66">
        <f t="shared" si="4"/>
        <v>2.3282332527884364E-2</v>
      </c>
      <c r="D310" s="66">
        <f>(Table1345[[#This Row],[Index]]-B298)/B298</f>
        <v>-1.4025387199381555E-2</v>
      </c>
    </row>
    <row r="311" spans="1:4" x14ac:dyDescent="0.35">
      <c r="A311" s="17">
        <v>35551</v>
      </c>
      <c r="B311" s="58">
        <f>VLOOKUP(Table1345[[#This Row],[Date]],database!A:I,9,)</f>
        <v>81.7898</v>
      </c>
      <c r="C311" s="66">
        <f t="shared" si="4"/>
        <v>-1.3606213367423292E-2</v>
      </c>
      <c r="D311" s="66">
        <f>(Table1345[[#This Row],[Index]]-B299)/B299</f>
        <v>-3.7553055914785735E-2</v>
      </c>
    </row>
    <row r="312" spans="1:4" x14ac:dyDescent="0.35">
      <c r="A312" s="17">
        <v>35582</v>
      </c>
      <c r="B312" s="58">
        <f>VLOOKUP(Table1345[[#This Row],[Date]],database!A:I,9,)</f>
        <v>81.410499999999999</v>
      </c>
      <c r="C312" s="66">
        <f t="shared" si="4"/>
        <v>-4.6374975852734313E-3</v>
      </c>
      <c r="D312" s="66">
        <f>(Table1345[[#This Row],[Index]]-B300)/B300</f>
        <v>-2.9113303606247639E-2</v>
      </c>
    </row>
    <row r="313" spans="1:4" x14ac:dyDescent="0.35">
      <c r="A313" s="17">
        <v>35612</v>
      </c>
      <c r="B313" s="58">
        <f>VLOOKUP(Table1345[[#This Row],[Date]],database!A:I,9,)</f>
        <v>83.15</v>
      </c>
      <c r="C313" s="66">
        <f t="shared" si="4"/>
        <v>2.1367022681349601E-2</v>
      </c>
      <c r="D313" s="66">
        <f>(Table1345[[#This Row],[Index]]-B301)/B301</f>
        <v>2.6988238113058938E-2</v>
      </c>
    </row>
    <row r="314" spans="1:4" x14ac:dyDescent="0.35">
      <c r="A314" s="17">
        <v>35643</v>
      </c>
      <c r="B314" s="58">
        <f>VLOOKUP(Table1345[[#This Row],[Date]],database!A:I,9,)</f>
        <v>82.786799999999999</v>
      </c>
      <c r="C314" s="66">
        <f t="shared" si="4"/>
        <v>-4.3680096211666797E-3</v>
      </c>
      <c r="D314" s="66">
        <f>(Table1345[[#This Row],[Index]]-B302)/B302</f>
        <v>9.5471069058910354E-3</v>
      </c>
    </row>
    <row r="315" spans="1:4" x14ac:dyDescent="0.35">
      <c r="A315" s="17">
        <v>35674</v>
      </c>
      <c r="B315" s="58">
        <f>VLOOKUP(Table1345[[#This Row],[Date]],database!A:I,9,)</f>
        <v>83.736699999999999</v>
      </c>
      <c r="C315" s="66">
        <f t="shared" si="4"/>
        <v>1.1474051418825182E-2</v>
      </c>
      <c r="D315" s="66">
        <f>(Table1345[[#This Row],[Index]]-B303)/B303</f>
        <v>2.5426032691488205E-2</v>
      </c>
    </row>
    <row r="316" spans="1:4" x14ac:dyDescent="0.35">
      <c r="A316" s="17">
        <v>35704</v>
      </c>
      <c r="B316" s="58">
        <f>VLOOKUP(Table1345[[#This Row],[Date]],database!A:I,9,)</f>
        <v>85.244600000000005</v>
      </c>
      <c r="C316" s="66">
        <f t="shared" si="4"/>
        <v>1.8007635839482727E-2</v>
      </c>
      <c r="D316" s="66">
        <f>(Table1345[[#This Row],[Index]]-B304)/B304</f>
        <v>3.3175206102725348E-2</v>
      </c>
    </row>
    <row r="317" spans="1:4" x14ac:dyDescent="0.35">
      <c r="A317" s="17">
        <v>35735</v>
      </c>
      <c r="B317" s="58">
        <f>VLOOKUP(Table1345[[#This Row],[Date]],database!A:I,9,)</f>
        <v>85.168800000000005</v>
      </c>
      <c r="C317" s="66">
        <f t="shared" si="4"/>
        <v>-8.8920588518215382E-4</v>
      </c>
      <c r="D317" s="66">
        <f>(Table1345[[#This Row],[Index]]-B305)/B305</f>
        <v>1.4012065449168352E-2</v>
      </c>
    </row>
    <row r="318" spans="1:4" x14ac:dyDescent="0.35">
      <c r="A318" s="17">
        <v>35765</v>
      </c>
      <c r="B318" s="58">
        <f>VLOOKUP(Table1345[[#This Row],[Date]],database!A:I,9,)</f>
        <v>84.802099999999996</v>
      </c>
      <c r="C318" s="66">
        <f t="shared" si="4"/>
        <v>-4.3055672969445347E-3</v>
      </c>
      <c r="D318" s="66">
        <f>(Table1345[[#This Row],[Index]]-B306)/B306</f>
        <v>2.1125208765564726E-2</v>
      </c>
    </row>
    <row r="319" spans="1:4" x14ac:dyDescent="0.35">
      <c r="A319" s="17">
        <v>35796</v>
      </c>
      <c r="B319" s="58">
        <f>VLOOKUP(Table1345[[#This Row],[Date]],database!A:I,9,)</f>
        <v>81.4268</v>
      </c>
      <c r="C319" s="66">
        <f t="shared" si="4"/>
        <v>-3.9802080373009585E-2</v>
      </c>
      <c r="D319" s="66">
        <f>(Table1345[[#This Row],[Index]]-B307)/B307</f>
        <v>-2.8224718886573567E-2</v>
      </c>
    </row>
    <row r="320" spans="1:4" x14ac:dyDescent="0.35">
      <c r="A320" s="17">
        <v>35827</v>
      </c>
      <c r="B320" s="58">
        <f>VLOOKUP(Table1345[[#This Row],[Date]],database!A:I,9,)</f>
        <v>82.359200000000001</v>
      </c>
      <c r="C320" s="66">
        <f t="shared" si="4"/>
        <v>1.1450775420377646E-2</v>
      </c>
      <c r="D320" s="66">
        <f>(Table1345[[#This Row],[Index]]-B308)/B308</f>
        <v>-5.7751552435125293E-3</v>
      </c>
    </row>
    <row r="321" spans="1:4" x14ac:dyDescent="0.35">
      <c r="A321" s="17">
        <v>35855</v>
      </c>
      <c r="B321" s="58">
        <f>VLOOKUP(Table1345[[#This Row],[Date]],database!A:I,9,)</f>
        <v>84.829099999999997</v>
      </c>
      <c r="C321" s="66">
        <f t="shared" si="4"/>
        <v>2.9989363665504198E-2</v>
      </c>
      <c r="D321" s="66">
        <f>(Table1345[[#This Row],[Index]]-B309)/B309</f>
        <v>4.6867016983539608E-2</v>
      </c>
    </row>
    <row r="322" spans="1:4" x14ac:dyDescent="0.35">
      <c r="A322" s="17">
        <v>35886</v>
      </c>
      <c r="B322" s="58">
        <f>VLOOKUP(Table1345[[#This Row],[Date]],database!A:I,9,)</f>
        <v>84.031499999999994</v>
      </c>
      <c r="C322" s="66">
        <f t="shared" si="4"/>
        <v>-9.4024338346156977E-3</v>
      </c>
      <c r="D322" s="66">
        <f>(Table1345[[#This Row],[Index]]-B310)/B310</f>
        <v>1.3428929786053543E-2</v>
      </c>
    </row>
    <row r="323" spans="1:4" x14ac:dyDescent="0.35">
      <c r="A323" s="17">
        <v>35916</v>
      </c>
      <c r="B323" s="58">
        <f>VLOOKUP(Table1345[[#This Row],[Date]],database!A:I,9,)</f>
        <v>85.697299999999998</v>
      </c>
      <c r="C323" s="66">
        <f t="shared" si="4"/>
        <v>1.9823518561491893E-2</v>
      </c>
      <c r="D323" s="66">
        <f>(Table1345[[#This Row],[Index]]-B311)/B311</f>
        <v>4.7774905917363768E-2</v>
      </c>
    </row>
    <row r="324" spans="1:4" x14ac:dyDescent="0.35">
      <c r="A324" s="17">
        <v>35947</v>
      </c>
      <c r="B324" s="58">
        <f>VLOOKUP(Table1345[[#This Row],[Date]],database!A:I,9,)</f>
        <v>87.102599999999995</v>
      </c>
      <c r="C324" s="66">
        <f t="shared" si="4"/>
        <v>1.6398416286160566E-2</v>
      </c>
      <c r="D324" s="66">
        <f>(Table1345[[#This Row],[Index]]-B312)/B312</f>
        <v>6.9918499456458269E-2</v>
      </c>
    </row>
    <row r="325" spans="1:4" x14ac:dyDescent="0.35">
      <c r="A325" s="17">
        <v>35977</v>
      </c>
      <c r="B325" s="58">
        <f>VLOOKUP(Table1345[[#This Row],[Date]],database!A:I,9,)</f>
        <v>87.366</v>
      </c>
      <c r="C325" s="66">
        <f t="shared" si="4"/>
        <v>3.0240199488880126E-3</v>
      </c>
      <c r="D325" s="66">
        <f>(Table1345[[#This Row],[Index]]-B313)/B313</f>
        <v>5.0703547805171299E-2</v>
      </c>
    </row>
    <row r="326" spans="1:4" x14ac:dyDescent="0.35">
      <c r="A326" s="17">
        <v>36008</v>
      </c>
      <c r="B326" s="58">
        <f>VLOOKUP(Table1345[[#This Row],[Date]],database!A:I,9,)</f>
        <v>86.868200000000002</v>
      </c>
      <c r="C326" s="66">
        <f t="shared" si="4"/>
        <v>-5.6978687361215474E-3</v>
      </c>
      <c r="D326" s="66">
        <f>(Table1345[[#This Row],[Index]]-B314)/B314</f>
        <v>4.9300129972411087E-2</v>
      </c>
    </row>
    <row r="327" spans="1:4" x14ac:dyDescent="0.35">
      <c r="A327" s="17">
        <v>36039</v>
      </c>
      <c r="B327" s="58">
        <f>VLOOKUP(Table1345[[#This Row],[Date]],database!A:I,9,)</f>
        <v>88.317300000000003</v>
      </c>
      <c r="C327" s="66">
        <f t="shared" si="4"/>
        <v>1.668159349451237E-2</v>
      </c>
      <c r="D327" s="66">
        <f>(Table1345[[#This Row],[Index]]-B315)/B315</f>
        <v>5.4702418413909361E-2</v>
      </c>
    </row>
    <row r="328" spans="1:4" x14ac:dyDescent="0.35">
      <c r="A328" s="17">
        <v>36069</v>
      </c>
      <c r="B328" s="58">
        <f>VLOOKUP(Table1345[[#This Row],[Date]],database!A:I,9,)</f>
        <v>87.412499999999994</v>
      </c>
      <c r="C328" s="66">
        <f t="shared" ref="C328:C391" si="5">B328/B327-1</f>
        <v>-1.0244878410005875E-2</v>
      </c>
      <c r="D328" s="66">
        <f>(Table1345[[#This Row],[Index]]-B316)/B316</f>
        <v>2.5431522935176993E-2</v>
      </c>
    </row>
    <row r="329" spans="1:4" x14ac:dyDescent="0.35">
      <c r="A329" s="17">
        <v>36100</v>
      </c>
      <c r="B329" s="58">
        <f>VLOOKUP(Table1345[[#This Row],[Date]],database!A:I,9,)</f>
        <v>85.188400000000001</v>
      </c>
      <c r="C329" s="66">
        <f t="shared" si="5"/>
        <v>-2.5443729443729413E-2</v>
      </c>
      <c r="D329" s="66">
        <f>(Table1345[[#This Row],[Index]]-B317)/B317</f>
        <v>2.3013122176192399E-4</v>
      </c>
    </row>
    <row r="330" spans="1:4" x14ac:dyDescent="0.35">
      <c r="A330" s="17">
        <v>36130</v>
      </c>
      <c r="B330" s="58">
        <f>VLOOKUP(Table1345[[#This Row],[Date]],database!A:I,9,)</f>
        <v>85.385099999999994</v>
      </c>
      <c r="C330" s="66">
        <f t="shared" si="5"/>
        <v>2.3089998168763781E-3</v>
      </c>
      <c r="D330" s="66">
        <f>(Table1345[[#This Row],[Index]]-B318)/B318</f>
        <v>6.8748297506783258E-3</v>
      </c>
    </row>
    <row r="331" spans="1:4" x14ac:dyDescent="0.35">
      <c r="A331" s="17">
        <v>36161</v>
      </c>
      <c r="B331" s="58">
        <f>VLOOKUP(Table1345[[#This Row],[Date]],database!A:I,9,)</f>
        <v>87.359899999999996</v>
      </c>
      <c r="C331" s="66">
        <f t="shared" si="5"/>
        <v>2.3128157020370077E-2</v>
      </c>
      <c r="D331" s="66">
        <f>(Table1345[[#This Row],[Index]]-B319)/B319</f>
        <v>7.2864216695240333E-2</v>
      </c>
    </row>
    <row r="332" spans="1:4" x14ac:dyDescent="0.35">
      <c r="A332" s="17">
        <v>36192</v>
      </c>
      <c r="B332" s="58">
        <f>VLOOKUP(Table1345[[#This Row],[Date]],database!A:I,9,)</f>
        <v>85.936300000000003</v>
      </c>
      <c r="C332" s="66">
        <f t="shared" si="5"/>
        <v>-1.6295806199411733E-2</v>
      </c>
      <c r="D332" s="66">
        <f>(Table1345[[#This Row],[Index]]-B320)/B320</f>
        <v>4.3432913384297098E-2</v>
      </c>
    </row>
    <row r="333" spans="1:4" x14ac:dyDescent="0.35">
      <c r="A333" s="17">
        <v>36220</v>
      </c>
      <c r="B333" s="58">
        <f>VLOOKUP(Table1345[[#This Row],[Date]],database!A:I,9,)</f>
        <v>88.521500000000003</v>
      </c>
      <c r="C333" s="66">
        <f t="shared" si="5"/>
        <v>3.0082747337272009E-2</v>
      </c>
      <c r="D333" s="66">
        <f>(Table1345[[#This Row],[Index]]-B321)/B321</f>
        <v>4.3527515911403122E-2</v>
      </c>
    </row>
    <row r="334" spans="1:4" x14ac:dyDescent="0.35">
      <c r="A334" s="17">
        <v>36251</v>
      </c>
      <c r="B334" s="58">
        <f>VLOOKUP(Table1345[[#This Row],[Date]],database!A:I,9,)</f>
        <v>87.906099999999995</v>
      </c>
      <c r="C334" s="66">
        <f t="shared" si="5"/>
        <v>-6.9519834164581962E-3</v>
      </c>
      <c r="D334" s="66">
        <f>(Table1345[[#This Row],[Index]]-B322)/B322</f>
        <v>4.6108899638825931E-2</v>
      </c>
    </row>
    <row r="335" spans="1:4" x14ac:dyDescent="0.35">
      <c r="A335" s="17">
        <v>36281</v>
      </c>
      <c r="B335" s="58">
        <f>VLOOKUP(Table1345[[#This Row],[Date]],database!A:I,9,)</f>
        <v>87.156499999999994</v>
      </c>
      <c r="C335" s="66">
        <f t="shared" si="5"/>
        <v>-8.5272808144144507E-3</v>
      </c>
      <c r="D335" s="66">
        <f>(Table1345[[#This Row],[Index]]-B323)/B323</f>
        <v>1.7027374257998742E-2</v>
      </c>
    </row>
    <row r="336" spans="1:4" x14ac:dyDescent="0.35">
      <c r="A336" s="17">
        <v>36312</v>
      </c>
      <c r="B336" s="58">
        <f>VLOOKUP(Table1345[[#This Row],[Date]],database!A:I,9,)</f>
        <v>88.414199999999994</v>
      </c>
      <c r="C336" s="66">
        <f t="shared" si="5"/>
        <v>1.4430363770917776E-2</v>
      </c>
      <c r="D336" s="66">
        <f>(Table1345[[#This Row],[Index]]-B324)/B324</f>
        <v>1.5058103891273034E-2</v>
      </c>
    </row>
    <row r="337" spans="1:4" x14ac:dyDescent="0.35">
      <c r="A337" s="17">
        <v>36342</v>
      </c>
      <c r="B337" s="58">
        <f>VLOOKUP(Table1345[[#This Row],[Date]],database!A:I,9,)</f>
        <v>90.321399999999997</v>
      </c>
      <c r="C337" s="66">
        <f t="shared" si="5"/>
        <v>2.1571195577181124E-2</v>
      </c>
      <c r="D337" s="66">
        <f>(Table1345[[#This Row],[Index]]-B325)/B325</f>
        <v>3.3827804866881826E-2</v>
      </c>
    </row>
    <row r="338" spans="1:4" x14ac:dyDescent="0.35">
      <c r="A338" s="17">
        <v>36373</v>
      </c>
      <c r="B338" s="58">
        <f>VLOOKUP(Table1345[[#This Row],[Date]],database!A:I,9,)</f>
        <v>89.2136</v>
      </c>
      <c r="C338" s="66">
        <f t="shared" si="5"/>
        <v>-1.2265088893661957E-2</v>
      </c>
      <c r="D338" s="66">
        <f>(Table1345[[#This Row],[Index]]-B326)/B326</f>
        <v>2.6999523415933539E-2</v>
      </c>
    </row>
    <row r="339" spans="1:4" x14ac:dyDescent="0.35">
      <c r="A339" s="17">
        <v>36404</v>
      </c>
      <c r="B339" s="58">
        <f>VLOOKUP(Table1345[[#This Row],[Date]],database!A:I,9,)</f>
        <v>88.62</v>
      </c>
      <c r="C339" s="66">
        <f t="shared" si="5"/>
        <v>-6.6536940556147783E-3</v>
      </c>
      <c r="D339" s="66">
        <f>(Table1345[[#This Row],[Index]]-B327)/B327</f>
        <v>3.42741456090711E-3</v>
      </c>
    </row>
    <row r="340" spans="1:4" x14ac:dyDescent="0.35">
      <c r="A340" s="17">
        <v>36434</v>
      </c>
      <c r="B340" s="58">
        <f>VLOOKUP(Table1345[[#This Row],[Date]],database!A:I,9,)</f>
        <v>88.335300000000004</v>
      </c>
      <c r="C340" s="66">
        <f t="shared" si="5"/>
        <v>-3.2125930941097058E-3</v>
      </c>
      <c r="D340" s="66">
        <f>(Table1345[[#This Row],[Index]]-B328)/B328</f>
        <v>1.0556842556842664E-2</v>
      </c>
    </row>
    <row r="341" spans="1:4" x14ac:dyDescent="0.35">
      <c r="A341" s="17">
        <v>36465</v>
      </c>
      <c r="B341" s="58">
        <f>VLOOKUP(Table1345[[#This Row],[Date]],database!A:I,9,)</f>
        <v>87.062299999999993</v>
      </c>
      <c r="C341" s="66">
        <f t="shared" si="5"/>
        <v>-1.441099990603989E-2</v>
      </c>
      <c r="D341" s="66">
        <f>(Table1345[[#This Row],[Index]]-B329)/B329</f>
        <v>2.1997126369317794E-2</v>
      </c>
    </row>
    <row r="342" spans="1:4" x14ac:dyDescent="0.35">
      <c r="A342" s="17">
        <v>36495</v>
      </c>
      <c r="B342" s="58">
        <f>VLOOKUP(Table1345[[#This Row],[Date]],database!A:I,9,)</f>
        <v>88.567700000000002</v>
      </c>
      <c r="C342" s="66">
        <f t="shared" si="5"/>
        <v>1.7291066282420831E-2</v>
      </c>
      <c r="D342" s="66">
        <f>(Table1345[[#This Row],[Index]]-B330)/B330</f>
        <v>3.7273482141497852E-2</v>
      </c>
    </row>
    <row r="343" spans="1:4" x14ac:dyDescent="0.35">
      <c r="A343" s="17">
        <v>36526</v>
      </c>
      <c r="B343" s="58">
        <f>VLOOKUP(Table1345[[#This Row],[Date]],database!A:I,9,)</f>
        <v>88.474900000000005</v>
      </c>
      <c r="C343" s="66">
        <f t="shared" si="5"/>
        <v>-1.047786043896326E-3</v>
      </c>
      <c r="D343" s="66">
        <f>(Table1345[[#This Row],[Index]]-B331)/B331</f>
        <v>1.2763292998275057E-2</v>
      </c>
    </row>
    <row r="344" spans="1:4" x14ac:dyDescent="0.35">
      <c r="A344" s="17">
        <v>36557</v>
      </c>
      <c r="B344" s="58">
        <f>VLOOKUP(Table1345[[#This Row],[Date]],database!A:I,9,)</f>
        <v>89.627799999999993</v>
      </c>
      <c r="C344" s="66">
        <f t="shared" si="5"/>
        <v>1.3030814389165535E-2</v>
      </c>
      <c r="D344" s="66">
        <f>(Table1345[[#This Row],[Index]]-B332)/B332</f>
        <v>4.2956236188897948E-2</v>
      </c>
    </row>
    <row r="345" spans="1:4" x14ac:dyDescent="0.35">
      <c r="A345" s="17">
        <v>36586</v>
      </c>
      <c r="B345" s="58">
        <f>VLOOKUP(Table1345[[#This Row],[Date]],database!A:I,9,)</f>
        <v>87.163799999999995</v>
      </c>
      <c r="C345" s="66">
        <f t="shared" si="5"/>
        <v>-2.7491470280426422E-2</v>
      </c>
      <c r="D345" s="66">
        <f>(Table1345[[#This Row],[Index]]-B333)/B333</f>
        <v>-1.5337516874431729E-2</v>
      </c>
    </row>
    <row r="346" spans="1:4" x14ac:dyDescent="0.35">
      <c r="A346" s="17">
        <v>36617</v>
      </c>
      <c r="B346" s="58">
        <f>VLOOKUP(Table1345[[#This Row],[Date]],database!A:I,9,)</f>
        <v>89.031000000000006</v>
      </c>
      <c r="C346" s="66">
        <f t="shared" si="5"/>
        <v>2.1421737005500097E-2</v>
      </c>
      <c r="D346" s="66">
        <f>(Table1345[[#This Row],[Index]]-B334)/B334</f>
        <v>1.2796609109038064E-2</v>
      </c>
    </row>
    <row r="347" spans="1:4" x14ac:dyDescent="0.35">
      <c r="A347" s="17">
        <v>36647</v>
      </c>
      <c r="B347" s="58">
        <f>VLOOKUP(Table1345[[#This Row],[Date]],database!A:I,9,)</f>
        <v>92.330200000000005</v>
      </c>
      <c r="C347" s="66">
        <f t="shared" si="5"/>
        <v>3.7056755512125061E-2</v>
      </c>
      <c r="D347" s="66">
        <f>(Table1345[[#This Row],[Index]]-B335)/B335</f>
        <v>5.9361034460998448E-2</v>
      </c>
    </row>
    <row r="348" spans="1:4" x14ac:dyDescent="0.35">
      <c r="A348" s="17">
        <v>36678</v>
      </c>
      <c r="B348" s="58">
        <f>VLOOKUP(Table1345[[#This Row],[Date]],database!A:I,9,)</f>
        <v>90.976100000000002</v>
      </c>
      <c r="C348" s="66">
        <f t="shared" si="5"/>
        <v>-1.4665840645855854E-2</v>
      </c>
      <c r="D348" s="66">
        <f>(Table1345[[#This Row],[Index]]-B336)/B336</f>
        <v>2.8976114696508126E-2</v>
      </c>
    </row>
    <row r="349" spans="1:4" x14ac:dyDescent="0.35">
      <c r="A349" s="17">
        <v>36708</v>
      </c>
      <c r="B349" s="58">
        <f>VLOOKUP(Table1345[[#This Row],[Date]],database!A:I,9,)</f>
        <v>88.276200000000003</v>
      </c>
      <c r="C349" s="66">
        <f t="shared" si="5"/>
        <v>-2.9677025064824725E-2</v>
      </c>
      <c r="D349" s="66">
        <f>(Table1345[[#This Row],[Index]]-B337)/B337</f>
        <v>-2.2643581698246418E-2</v>
      </c>
    </row>
    <row r="350" spans="1:4" x14ac:dyDescent="0.35">
      <c r="A350" s="17">
        <v>36739</v>
      </c>
      <c r="B350" s="58">
        <f>VLOOKUP(Table1345[[#This Row],[Date]],database!A:I,9,)</f>
        <v>90.867800000000003</v>
      </c>
      <c r="C350" s="66">
        <f t="shared" si="5"/>
        <v>2.9357856364456092E-2</v>
      </c>
      <c r="D350" s="66">
        <f>(Table1345[[#This Row],[Index]]-B338)/B338</f>
        <v>1.8542016015495429E-2</v>
      </c>
    </row>
    <row r="351" spans="1:4" x14ac:dyDescent="0.35">
      <c r="A351" s="17">
        <v>36770</v>
      </c>
      <c r="B351" s="58">
        <f>VLOOKUP(Table1345[[#This Row],[Date]],database!A:I,9,)</f>
        <v>91.303299999999993</v>
      </c>
      <c r="C351" s="66">
        <f t="shared" si="5"/>
        <v>4.7926768338177883E-3</v>
      </c>
      <c r="D351" s="66">
        <f>(Table1345[[#This Row],[Index]]-B339)/B339</f>
        <v>3.0278718122319886E-2</v>
      </c>
    </row>
    <row r="352" spans="1:4" x14ac:dyDescent="0.35">
      <c r="A352" s="17">
        <v>36800</v>
      </c>
      <c r="B352" s="58">
        <f>VLOOKUP(Table1345[[#This Row],[Date]],database!A:I,9,)</f>
        <v>90.394000000000005</v>
      </c>
      <c r="C352" s="66">
        <f t="shared" si="5"/>
        <v>-9.9591142926924725E-3</v>
      </c>
      <c r="D352" s="66">
        <f>(Table1345[[#This Row],[Index]]-B340)/B340</f>
        <v>2.3305518858259402E-2</v>
      </c>
    </row>
    <row r="353" spans="1:4" x14ac:dyDescent="0.35">
      <c r="A353" s="17">
        <v>36831</v>
      </c>
      <c r="B353" s="58">
        <f>VLOOKUP(Table1345[[#This Row],[Date]],database!A:I,9,)</f>
        <v>93.597899999999996</v>
      </c>
      <c r="C353" s="66">
        <f t="shared" si="5"/>
        <v>3.5443724140982624E-2</v>
      </c>
      <c r="D353" s="66">
        <f>(Table1345[[#This Row],[Index]]-B341)/B341</f>
        <v>7.5068083429911711E-2</v>
      </c>
    </row>
    <row r="354" spans="1:4" x14ac:dyDescent="0.35">
      <c r="A354" s="17">
        <v>36861</v>
      </c>
      <c r="B354" s="58">
        <f>VLOOKUP(Table1345[[#This Row],[Date]],database!A:I,9,)</f>
        <v>95.745199999999997</v>
      </c>
      <c r="C354" s="66">
        <f t="shared" si="5"/>
        <v>2.2941754035079809E-2</v>
      </c>
      <c r="D354" s="66">
        <f>(Table1345[[#This Row],[Index]]-B342)/B342</f>
        <v>8.1039701832609348E-2</v>
      </c>
    </row>
    <row r="355" spans="1:4" x14ac:dyDescent="0.35">
      <c r="A355" s="17">
        <v>36892</v>
      </c>
      <c r="B355" s="58">
        <f>VLOOKUP(Table1345[[#This Row],[Date]],database!A:I,9,)</f>
        <v>93.9358</v>
      </c>
      <c r="C355" s="66">
        <f t="shared" si="5"/>
        <v>-1.8898075308213858E-2</v>
      </c>
      <c r="D355" s="66">
        <f>(Table1345[[#This Row],[Index]]-B343)/B343</f>
        <v>6.1722590248759757E-2</v>
      </c>
    </row>
    <row r="356" spans="1:4" x14ac:dyDescent="0.35">
      <c r="A356" s="17">
        <v>36923</v>
      </c>
      <c r="B356" s="58">
        <f>VLOOKUP(Table1345[[#This Row],[Date]],database!A:I,9,)</f>
        <v>92.060599999999994</v>
      </c>
      <c r="C356" s="66">
        <f t="shared" si="5"/>
        <v>-1.9962570180910855E-2</v>
      </c>
      <c r="D356" s="66">
        <f>(Table1345[[#This Row],[Index]]-B344)/B344</f>
        <v>2.7143364000901511E-2</v>
      </c>
    </row>
    <row r="357" spans="1:4" x14ac:dyDescent="0.35">
      <c r="A357" s="17">
        <v>36951</v>
      </c>
      <c r="B357" s="58">
        <f>VLOOKUP(Table1345[[#This Row],[Date]],database!A:I,9,)</f>
        <v>91.402600000000007</v>
      </c>
      <c r="C357" s="66">
        <f t="shared" si="5"/>
        <v>-7.1474659083254899E-3</v>
      </c>
      <c r="D357" s="66">
        <f>(Table1345[[#This Row],[Index]]-B345)/B345</f>
        <v>4.8630280001560423E-2</v>
      </c>
    </row>
    <row r="358" spans="1:4" x14ac:dyDescent="0.35">
      <c r="A358" s="17">
        <v>36982</v>
      </c>
      <c r="B358" s="58">
        <f>VLOOKUP(Table1345[[#This Row],[Date]],database!A:I,9,)</f>
        <v>90.939700000000002</v>
      </c>
      <c r="C358" s="66">
        <f t="shared" si="5"/>
        <v>-5.0644073582152282E-3</v>
      </c>
      <c r="D358" s="66">
        <f>(Table1345[[#This Row],[Index]]-B346)/B346</f>
        <v>2.1438600038188899E-2</v>
      </c>
    </row>
    <row r="359" spans="1:4" x14ac:dyDescent="0.35">
      <c r="A359" s="17">
        <v>37012</v>
      </c>
      <c r="B359" s="58">
        <f>VLOOKUP(Table1345[[#This Row],[Date]],database!A:I,9,)</f>
        <v>90.202799999999996</v>
      </c>
      <c r="C359" s="66">
        <f t="shared" si="5"/>
        <v>-8.1031716621013938E-3</v>
      </c>
      <c r="D359" s="66">
        <f>(Table1345[[#This Row],[Index]]-B347)/B347</f>
        <v>-2.3041215117047386E-2</v>
      </c>
    </row>
    <row r="360" spans="1:4" x14ac:dyDescent="0.35">
      <c r="A360" s="17">
        <v>37043</v>
      </c>
      <c r="B360" s="58">
        <f>VLOOKUP(Table1345[[#This Row],[Date]],database!A:I,9,)</f>
        <v>90.472999999999999</v>
      </c>
      <c r="C360" s="66">
        <f t="shared" si="5"/>
        <v>2.995472424359269E-3</v>
      </c>
      <c r="D360" s="66">
        <f>(Table1345[[#This Row],[Index]]-B348)/B348</f>
        <v>-5.5300238194427266E-3</v>
      </c>
    </row>
    <row r="361" spans="1:4" x14ac:dyDescent="0.35">
      <c r="A361" s="17">
        <v>37073</v>
      </c>
      <c r="B361" s="58">
        <f>VLOOKUP(Table1345[[#This Row],[Date]],database!A:I,9,)</f>
        <v>88.906300000000002</v>
      </c>
      <c r="C361" s="66">
        <f t="shared" si="5"/>
        <v>-1.7316768538680027E-2</v>
      </c>
      <c r="D361" s="66">
        <f>(Table1345[[#This Row],[Index]]-B349)/B349</f>
        <v>7.1378242380165744E-3</v>
      </c>
    </row>
    <row r="362" spans="1:4" x14ac:dyDescent="0.35">
      <c r="A362" s="17">
        <v>37104</v>
      </c>
      <c r="B362" s="58">
        <f>VLOOKUP(Table1345[[#This Row],[Date]],database!A:I,9,)</f>
        <v>91.307299999999998</v>
      </c>
      <c r="C362" s="66">
        <f t="shared" si="5"/>
        <v>2.7005960207544311E-2</v>
      </c>
      <c r="D362" s="66">
        <f>(Table1345[[#This Row],[Index]]-B350)/B350</f>
        <v>4.8366968276990895E-3</v>
      </c>
    </row>
    <row r="363" spans="1:4" x14ac:dyDescent="0.35">
      <c r="A363" s="17">
        <v>37135</v>
      </c>
      <c r="B363" s="58">
        <f>VLOOKUP(Table1345[[#This Row],[Date]],database!A:I,9,)</f>
        <v>89.340599999999995</v>
      </c>
      <c r="C363" s="66">
        <f t="shared" si="5"/>
        <v>-2.1539351180026145E-2</v>
      </c>
      <c r="D363" s="66">
        <f>(Table1345[[#This Row],[Index]]-B351)/B351</f>
        <v>-2.149648479299213E-2</v>
      </c>
    </row>
    <row r="364" spans="1:4" x14ac:dyDescent="0.35">
      <c r="A364" s="17">
        <v>37165</v>
      </c>
      <c r="B364" s="58">
        <f>VLOOKUP(Table1345[[#This Row],[Date]],database!A:I,9,)</f>
        <v>90.163799999999995</v>
      </c>
      <c r="C364" s="66">
        <f t="shared" si="5"/>
        <v>9.2141758618142777E-3</v>
      </c>
      <c r="D364" s="66">
        <f>(Table1345[[#This Row],[Index]]-B352)/B352</f>
        <v>-2.5466292010532846E-3</v>
      </c>
    </row>
    <row r="365" spans="1:4" x14ac:dyDescent="0.35">
      <c r="A365" s="17">
        <v>37196</v>
      </c>
      <c r="B365" s="58">
        <f>VLOOKUP(Table1345[[#This Row],[Date]],database!A:I,9,)</f>
        <v>88.158600000000007</v>
      </c>
      <c r="C365" s="66">
        <f t="shared" si="5"/>
        <v>-2.2239524066199334E-2</v>
      </c>
      <c r="D365" s="66">
        <f>(Table1345[[#This Row],[Index]]-B353)/B353</f>
        <v>-5.8113483315330672E-2</v>
      </c>
    </row>
    <row r="366" spans="1:4" x14ac:dyDescent="0.35">
      <c r="A366" s="17">
        <v>37226</v>
      </c>
      <c r="B366" s="58">
        <f>VLOOKUP(Table1345[[#This Row],[Date]],database!A:I,9,)</f>
        <v>86.987700000000004</v>
      </c>
      <c r="C366" s="66">
        <f t="shared" si="5"/>
        <v>-1.3281744492312786E-2</v>
      </c>
      <c r="D366" s="66">
        <f>(Table1345[[#This Row],[Index]]-B354)/B354</f>
        <v>-9.1466726269306381E-2</v>
      </c>
    </row>
    <row r="367" spans="1:4" x14ac:dyDescent="0.35">
      <c r="A367" s="17">
        <v>37257</v>
      </c>
      <c r="B367" s="58">
        <f>VLOOKUP(Table1345[[#This Row],[Date]],database!A:I,9,)</f>
        <v>88.944000000000003</v>
      </c>
      <c r="C367" s="66">
        <f t="shared" si="5"/>
        <v>2.2489386430495362E-2</v>
      </c>
      <c r="D367" s="66">
        <f>(Table1345[[#This Row],[Index]]-B355)/B355</f>
        <v>-5.3140549183591325E-2</v>
      </c>
    </row>
    <row r="368" spans="1:4" x14ac:dyDescent="0.35">
      <c r="A368" s="17">
        <v>37288</v>
      </c>
      <c r="B368" s="58">
        <f>VLOOKUP(Table1345[[#This Row],[Date]],database!A:I,9,)</f>
        <v>89.384600000000006</v>
      </c>
      <c r="C368" s="66">
        <f t="shared" si="5"/>
        <v>4.9536787191941656E-3</v>
      </c>
      <c r="D368" s="66">
        <f>(Table1345[[#This Row],[Index]]-B356)/B356</f>
        <v>-2.9067809681883324E-2</v>
      </c>
    </row>
    <row r="369" spans="1:4" x14ac:dyDescent="0.35">
      <c r="A369" s="17">
        <v>37316</v>
      </c>
      <c r="B369" s="58">
        <f>VLOOKUP(Table1345[[#This Row],[Date]],database!A:I,9,)</f>
        <v>91.804699999999997</v>
      </c>
      <c r="C369" s="66">
        <f t="shared" si="5"/>
        <v>2.7075133747871405E-2</v>
      </c>
      <c r="D369" s="66">
        <f>(Table1345[[#This Row],[Index]]-B357)/B357</f>
        <v>4.3992184029774872E-3</v>
      </c>
    </row>
    <row r="370" spans="1:4" x14ac:dyDescent="0.35">
      <c r="A370" s="17">
        <v>37347</v>
      </c>
      <c r="B370" s="58">
        <f>VLOOKUP(Table1345[[#This Row],[Date]],database!A:I,9,)</f>
        <v>93.975099999999998</v>
      </c>
      <c r="C370" s="66">
        <f t="shared" si="5"/>
        <v>2.3641491121914271E-2</v>
      </c>
      <c r="D370" s="66">
        <f>(Table1345[[#This Row],[Index]]-B358)/B358</f>
        <v>3.3378161572998326E-2</v>
      </c>
    </row>
    <row r="371" spans="1:4" x14ac:dyDescent="0.35">
      <c r="A371" s="17">
        <v>37377</v>
      </c>
      <c r="B371" s="58">
        <f>VLOOKUP(Table1345[[#This Row],[Date]],database!A:I,9,)</f>
        <v>93.3887</v>
      </c>
      <c r="C371" s="66">
        <f t="shared" si="5"/>
        <v>-6.2399507954766786E-3</v>
      </c>
      <c r="D371" s="66">
        <f>(Table1345[[#This Row],[Index]]-B359)/B359</f>
        <v>3.5319302726744668E-2</v>
      </c>
    </row>
    <row r="372" spans="1:4" x14ac:dyDescent="0.35">
      <c r="A372" s="17">
        <v>37408</v>
      </c>
      <c r="B372" s="58">
        <f>VLOOKUP(Table1345[[#This Row],[Date]],database!A:I,9,)</f>
        <v>93.461600000000004</v>
      </c>
      <c r="C372" s="66">
        <f t="shared" si="5"/>
        <v>7.8060836054039129E-4</v>
      </c>
      <c r="D372" s="66">
        <f>(Table1345[[#This Row],[Index]]-B360)/B360</f>
        <v>3.3033059586838123E-2</v>
      </c>
    </row>
    <row r="373" spans="1:4" x14ac:dyDescent="0.35">
      <c r="A373" s="17">
        <v>37438</v>
      </c>
      <c r="B373" s="58">
        <f>VLOOKUP(Table1345[[#This Row],[Date]],database!A:I,9,)</f>
        <v>94.377099999999999</v>
      </c>
      <c r="C373" s="66">
        <f t="shared" si="5"/>
        <v>9.7954668013386925E-3</v>
      </c>
      <c r="D373" s="66">
        <f>(Table1345[[#This Row],[Index]]-B361)/B361</f>
        <v>6.1534446940205552E-2</v>
      </c>
    </row>
    <row r="374" spans="1:4" x14ac:dyDescent="0.35">
      <c r="A374" s="17">
        <v>37469</v>
      </c>
      <c r="B374" s="58">
        <f>VLOOKUP(Table1345[[#This Row],[Date]],database!A:I,9,)</f>
        <v>92.302000000000007</v>
      </c>
      <c r="C374" s="66">
        <f t="shared" si="5"/>
        <v>-2.1987325315145245E-2</v>
      </c>
      <c r="D374" s="66">
        <f>(Table1345[[#This Row],[Index]]-B362)/B362</f>
        <v>1.0893981094611371E-2</v>
      </c>
    </row>
    <row r="375" spans="1:4" x14ac:dyDescent="0.35">
      <c r="A375" s="17">
        <v>37500</v>
      </c>
      <c r="B375" s="58">
        <f>VLOOKUP(Table1345[[#This Row],[Date]],database!A:I,9,)</f>
        <v>93.989400000000003</v>
      </c>
      <c r="C375" s="66">
        <f t="shared" si="5"/>
        <v>1.8281294013130722E-2</v>
      </c>
      <c r="D375" s="66">
        <f>(Table1345[[#This Row],[Index]]-B363)/B363</f>
        <v>5.2034573307096758E-2</v>
      </c>
    </row>
    <row r="376" spans="1:4" x14ac:dyDescent="0.35">
      <c r="A376" s="17">
        <v>37530</v>
      </c>
      <c r="B376" s="58">
        <f>VLOOKUP(Table1345[[#This Row],[Date]],database!A:I,9,)</f>
        <v>95.145200000000003</v>
      </c>
      <c r="C376" s="66">
        <f t="shared" si="5"/>
        <v>1.2297131378644854E-2</v>
      </c>
      <c r="D376" s="66">
        <f>(Table1345[[#This Row],[Index]]-B364)/B364</f>
        <v>5.5248336915702398E-2</v>
      </c>
    </row>
    <row r="377" spans="1:4" x14ac:dyDescent="0.35">
      <c r="A377" s="17">
        <v>37561</v>
      </c>
      <c r="B377" s="58">
        <f>VLOOKUP(Table1345[[#This Row],[Date]],database!A:I,9,)</f>
        <v>94.827699999999993</v>
      </c>
      <c r="C377" s="66">
        <f t="shared" si="5"/>
        <v>-3.3370049145937664E-3</v>
      </c>
      <c r="D377" s="66">
        <f>(Table1345[[#This Row],[Index]]-B365)/B365</f>
        <v>7.56488873462145E-2</v>
      </c>
    </row>
    <row r="378" spans="1:4" x14ac:dyDescent="0.35">
      <c r="A378" s="17">
        <v>37591</v>
      </c>
      <c r="B378" s="58">
        <f>VLOOKUP(Table1345[[#This Row],[Date]],database!A:I,9,)</f>
        <v>93.858699999999999</v>
      </c>
      <c r="C378" s="66">
        <f t="shared" si="5"/>
        <v>-1.021853319230559E-2</v>
      </c>
      <c r="D378" s="66">
        <f>(Table1345[[#This Row],[Index]]-B366)/B366</f>
        <v>7.8988178788495331E-2</v>
      </c>
    </row>
    <row r="379" spans="1:4" x14ac:dyDescent="0.35">
      <c r="A379" s="17">
        <v>37622</v>
      </c>
      <c r="B379" s="58">
        <f>VLOOKUP(Table1345[[#This Row],[Date]],database!A:I,9,)</f>
        <v>95.274100000000004</v>
      </c>
      <c r="C379" s="66">
        <f t="shared" si="5"/>
        <v>1.5080115109201486E-2</v>
      </c>
      <c r="D379" s="66">
        <f>(Table1345[[#This Row],[Index]]-B367)/B367</f>
        <v>7.1169499910055778E-2</v>
      </c>
    </row>
    <row r="380" spans="1:4" x14ac:dyDescent="0.35">
      <c r="A380" s="17">
        <v>37653</v>
      </c>
      <c r="B380" s="58">
        <f>VLOOKUP(Table1345[[#This Row],[Date]],database!A:I,9,)</f>
        <v>97.330500000000001</v>
      </c>
      <c r="C380" s="66">
        <f t="shared" si="5"/>
        <v>2.158404015361981E-2</v>
      </c>
      <c r="D380" s="66">
        <f>(Table1345[[#This Row],[Index]]-B368)/B368</f>
        <v>8.88956263159425E-2</v>
      </c>
    </row>
    <row r="381" spans="1:4" x14ac:dyDescent="0.35">
      <c r="A381" s="17">
        <v>37681</v>
      </c>
      <c r="B381" s="58">
        <f>VLOOKUP(Table1345[[#This Row],[Date]],database!A:I,9,)</f>
        <v>93.991100000000003</v>
      </c>
      <c r="C381" s="66">
        <f t="shared" si="5"/>
        <v>-3.4309902856761165E-2</v>
      </c>
      <c r="D381" s="66">
        <f>(Table1345[[#This Row],[Index]]-B369)/B369</f>
        <v>2.3815774137925468E-2</v>
      </c>
    </row>
    <row r="382" spans="1:4" x14ac:dyDescent="0.35">
      <c r="A382" s="17">
        <v>37712</v>
      </c>
      <c r="B382" s="58">
        <f>VLOOKUP(Table1345[[#This Row],[Date]],database!A:I,9,)</f>
        <v>94.164699999999996</v>
      </c>
      <c r="C382" s="66">
        <f t="shared" si="5"/>
        <v>1.8469833845968786E-3</v>
      </c>
      <c r="D382" s="66">
        <f>(Table1345[[#This Row],[Index]]-B370)/B370</f>
        <v>2.017555714226414E-3</v>
      </c>
    </row>
    <row r="383" spans="1:4" x14ac:dyDescent="0.35">
      <c r="A383" s="17">
        <v>37742</v>
      </c>
      <c r="B383" s="58">
        <f>VLOOKUP(Table1345[[#This Row],[Date]],database!A:I,9,)</f>
        <v>94.056200000000004</v>
      </c>
      <c r="C383" s="66">
        <f t="shared" si="5"/>
        <v>-1.1522364537878138E-3</v>
      </c>
      <c r="D383" s="66">
        <f>(Table1345[[#This Row],[Index]]-B371)/B371</f>
        <v>7.1475456880757951E-3</v>
      </c>
    </row>
    <row r="384" spans="1:4" x14ac:dyDescent="0.35">
      <c r="A384" s="17">
        <v>37773</v>
      </c>
      <c r="B384" s="58">
        <f>VLOOKUP(Table1345[[#This Row],[Date]],database!A:I,9,)</f>
        <v>91.548199999999994</v>
      </c>
      <c r="C384" s="66">
        <f t="shared" si="5"/>
        <v>-2.6664908852367053E-2</v>
      </c>
      <c r="D384" s="66">
        <f>(Table1345[[#This Row],[Index]]-B372)/B372</f>
        <v>-2.0472579112705218E-2</v>
      </c>
    </row>
    <row r="385" spans="1:4" x14ac:dyDescent="0.35">
      <c r="A385" s="17">
        <v>37803</v>
      </c>
      <c r="B385" s="58">
        <f>VLOOKUP(Table1345[[#This Row],[Date]],database!A:I,9,)</f>
        <v>94.333799999999997</v>
      </c>
      <c r="C385" s="66">
        <f t="shared" si="5"/>
        <v>3.0427687272933879E-2</v>
      </c>
      <c r="D385" s="66">
        <f>(Table1345[[#This Row],[Index]]-B373)/B373</f>
        <v>-4.5879773801062033E-4</v>
      </c>
    </row>
    <row r="386" spans="1:4" x14ac:dyDescent="0.35">
      <c r="A386" s="17">
        <v>37834</v>
      </c>
      <c r="B386" s="58">
        <f>VLOOKUP(Table1345[[#This Row],[Date]],database!A:I,9,)</f>
        <v>94.802700000000002</v>
      </c>
      <c r="C386" s="66">
        <f t="shared" si="5"/>
        <v>4.9706467883199323E-3</v>
      </c>
      <c r="D386" s="66">
        <f>(Table1345[[#This Row],[Index]]-B374)/B374</f>
        <v>2.7092587376221475E-2</v>
      </c>
    </row>
    <row r="387" spans="1:4" x14ac:dyDescent="0.35">
      <c r="A387" s="17">
        <v>37865</v>
      </c>
      <c r="B387" s="58">
        <f>VLOOKUP(Table1345[[#This Row],[Date]],database!A:I,9,)</f>
        <v>93.929599999999994</v>
      </c>
      <c r="C387" s="66">
        <f t="shared" si="5"/>
        <v>-9.2096533115618717E-3</v>
      </c>
      <c r="D387" s="66">
        <f>(Table1345[[#This Row],[Index]]-B375)/B375</f>
        <v>-6.3624195919975918E-4</v>
      </c>
    </row>
    <row r="388" spans="1:4" x14ac:dyDescent="0.35">
      <c r="A388" s="17">
        <v>37895</v>
      </c>
      <c r="B388" s="58">
        <f>VLOOKUP(Table1345[[#This Row],[Date]],database!A:I,9,)</f>
        <v>94.448499999999996</v>
      </c>
      <c r="C388" s="66">
        <f t="shared" si="5"/>
        <v>5.5243501516029081E-3</v>
      </c>
      <c r="D388" s="66">
        <f>(Table1345[[#This Row],[Index]]-B376)/B376</f>
        <v>-7.322492359047088E-3</v>
      </c>
    </row>
    <row r="389" spans="1:4" x14ac:dyDescent="0.35">
      <c r="A389" s="17">
        <v>37926</v>
      </c>
      <c r="B389" s="58">
        <f>VLOOKUP(Table1345[[#This Row],[Date]],database!A:I,9,)</f>
        <v>94.677499999999995</v>
      </c>
      <c r="C389" s="66">
        <f t="shared" si="5"/>
        <v>2.424601767100576E-3</v>
      </c>
      <c r="D389" s="66">
        <f>(Table1345[[#This Row],[Index]]-B377)/B377</f>
        <v>-1.5839253720168066E-3</v>
      </c>
    </row>
    <row r="390" spans="1:4" x14ac:dyDescent="0.35">
      <c r="A390" s="17">
        <v>37956</v>
      </c>
      <c r="B390" s="58">
        <f>VLOOKUP(Table1345[[#This Row],[Date]],database!A:I,9,)</f>
        <v>95.813699999999997</v>
      </c>
      <c r="C390" s="66">
        <f t="shared" si="5"/>
        <v>1.2000739352010736E-2</v>
      </c>
      <c r="D390" s="66">
        <f>(Table1345[[#This Row],[Index]]-B378)/B378</f>
        <v>2.0829182590425804E-2</v>
      </c>
    </row>
    <row r="391" spans="1:4" x14ac:dyDescent="0.35">
      <c r="A391" s="17">
        <v>37987</v>
      </c>
      <c r="B391" s="58">
        <f>VLOOKUP(Table1345[[#This Row],[Date]],database!A:I,9,)</f>
        <v>97.4589</v>
      </c>
      <c r="C391" s="66">
        <f t="shared" si="5"/>
        <v>1.7170822126689744E-2</v>
      </c>
      <c r="D391" s="66">
        <f>(Table1345[[#This Row],[Index]]-B379)/B379</f>
        <v>2.2931730659224235E-2</v>
      </c>
    </row>
    <row r="392" spans="1:4" x14ac:dyDescent="0.35">
      <c r="A392" s="17">
        <v>38018</v>
      </c>
      <c r="B392" s="58">
        <f>VLOOKUP(Table1345[[#This Row],[Date]],database!A:I,9,)</f>
        <v>98.378200000000007</v>
      </c>
      <c r="C392" s="66">
        <f t="shared" ref="C392:C455" si="6">B392/B391-1</f>
        <v>9.432694192115898E-3</v>
      </c>
      <c r="D392" s="66">
        <f>(Table1345[[#This Row],[Index]]-B380)/B380</f>
        <v>1.0764354441824567E-2</v>
      </c>
    </row>
    <row r="393" spans="1:4" x14ac:dyDescent="0.35">
      <c r="A393" s="17">
        <v>38047</v>
      </c>
      <c r="B393" s="58">
        <f>VLOOKUP(Table1345[[#This Row],[Date]],database!A:I,9,)</f>
        <v>94.397300000000001</v>
      </c>
      <c r="C393" s="66">
        <f t="shared" si="6"/>
        <v>-4.0465265678778506E-2</v>
      </c>
      <c r="D393" s="66">
        <f>(Table1345[[#This Row],[Index]]-B381)/B381</f>
        <v>4.3216857766320248E-3</v>
      </c>
    </row>
    <row r="394" spans="1:4" x14ac:dyDescent="0.35">
      <c r="A394" s="17">
        <v>38078</v>
      </c>
      <c r="B394" s="58">
        <f>VLOOKUP(Table1345[[#This Row],[Date]],database!A:I,9,)</f>
        <v>95.876599999999996</v>
      </c>
      <c r="C394" s="66">
        <f t="shared" si="6"/>
        <v>1.5670999064591795E-2</v>
      </c>
      <c r="D394" s="66">
        <f>(Table1345[[#This Row],[Index]]-B382)/B382</f>
        <v>1.8179848711884602E-2</v>
      </c>
    </row>
    <row r="395" spans="1:4" x14ac:dyDescent="0.35">
      <c r="A395" s="17">
        <v>38108</v>
      </c>
      <c r="B395" s="58">
        <f>VLOOKUP(Table1345[[#This Row],[Date]],database!A:I,9,)</f>
        <v>97.784899999999993</v>
      </c>
      <c r="C395" s="66">
        <f t="shared" si="6"/>
        <v>1.9903709559996985E-2</v>
      </c>
      <c r="D395" s="66">
        <f>(Table1345[[#This Row],[Index]]-B383)/B383</f>
        <v>3.9643319632304823E-2</v>
      </c>
    </row>
    <row r="396" spans="1:4" x14ac:dyDescent="0.35">
      <c r="A396" s="17">
        <v>38139</v>
      </c>
      <c r="B396" s="58">
        <f>VLOOKUP(Table1345[[#This Row],[Date]],database!A:I,9,)</f>
        <v>95.539900000000003</v>
      </c>
      <c r="C396" s="66">
        <f t="shared" si="6"/>
        <v>-2.2958554950713195E-2</v>
      </c>
      <c r="D396" s="66">
        <f>(Table1345[[#This Row],[Index]]-B384)/B384</f>
        <v>4.360216803825754E-2</v>
      </c>
    </row>
    <row r="397" spans="1:4" x14ac:dyDescent="0.35">
      <c r="A397" s="17">
        <v>38169</v>
      </c>
      <c r="B397" s="58">
        <f>VLOOKUP(Table1345[[#This Row],[Date]],database!A:I,9,)</f>
        <v>94.094700000000003</v>
      </c>
      <c r="C397" s="66">
        <f t="shared" si="6"/>
        <v>-1.5126664356985953E-2</v>
      </c>
      <c r="D397" s="66">
        <f>(Table1345[[#This Row],[Index]]-B385)/B385</f>
        <v>-2.5346164365263927E-3</v>
      </c>
    </row>
    <row r="398" spans="1:4" x14ac:dyDescent="0.35">
      <c r="A398" s="17">
        <v>38200</v>
      </c>
      <c r="B398" s="58">
        <f>VLOOKUP(Table1345[[#This Row],[Date]],database!A:I,9,)</f>
        <v>91.854399999999998</v>
      </c>
      <c r="C398" s="66">
        <f t="shared" si="6"/>
        <v>-2.3808992429966924E-2</v>
      </c>
      <c r="D398" s="66">
        <f>(Table1345[[#This Row],[Index]]-B386)/B386</f>
        <v>-3.1099325230188626E-2</v>
      </c>
    </row>
    <row r="399" spans="1:4" x14ac:dyDescent="0.35">
      <c r="A399" s="17">
        <v>38231</v>
      </c>
      <c r="B399" s="58">
        <f>VLOOKUP(Table1345[[#This Row],[Date]],database!A:I,9,)</f>
        <v>95.697999999999993</v>
      </c>
      <c r="C399" s="66">
        <f t="shared" si="6"/>
        <v>4.1844484314305985E-2</v>
      </c>
      <c r="D399" s="66">
        <f>(Table1345[[#This Row],[Index]]-B387)/B387</f>
        <v>1.8826866078424691E-2</v>
      </c>
    </row>
    <row r="400" spans="1:4" x14ac:dyDescent="0.35">
      <c r="A400" s="17">
        <v>38261</v>
      </c>
      <c r="B400" s="58">
        <f>VLOOKUP(Table1345[[#This Row],[Date]],database!A:I,9,)</f>
        <v>95.919399999999996</v>
      </c>
      <c r="C400" s="66">
        <f t="shared" si="6"/>
        <v>2.3135279734163294E-3</v>
      </c>
      <c r="D400" s="66">
        <f>(Table1345[[#This Row],[Index]]-B388)/B388</f>
        <v>1.5573566546848286E-2</v>
      </c>
    </row>
    <row r="401" spans="1:4" x14ac:dyDescent="0.35">
      <c r="A401" s="17">
        <v>38292</v>
      </c>
      <c r="B401" s="58">
        <f>VLOOKUP(Table1345[[#This Row],[Date]],database!A:I,9,)</f>
        <v>96.218299999999999</v>
      </c>
      <c r="C401" s="66">
        <f t="shared" si="6"/>
        <v>3.1161579409380025E-3</v>
      </c>
      <c r="D401" s="66">
        <f>(Table1345[[#This Row],[Index]]-B389)/B389</f>
        <v>1.6274193974281159E-2</v>
      </c>
    </row>
    <row r="402" spans="1:4" x14ac:dyDescent="0.35">
      <c r="A402" s="17">
        <v>38322</v>
      </c>
      <c r="B402" s="58">
        <f>VLOOKUP(Table1345[[#This Row],[Date]],database!A:I,9,)</f>
        <v>97.976600000000005</v>
      </c>
      <c r="C402" s="66">
        <f t="shared" si="6"/>
        <v>1.8274070525045705E-2</v>
      </c>
      <c r="D402" s="66">
        <f>(Table1345[[#This Row],[Index]]-B390)/B390</f>
        <v>2.2574016033197839E-2</v>
      </c>
    </row>
    <row r="403" spans="1:4" x14ac:dyDescent="0.35">
      <c r="A403" s="17">
        <v>38353</v>
      </c>
      <c r="B403" s="58">
        <f>VLOOKUP(Table1345[[#This Row],[Date]],database!A:I,9,)</f>
        <v>96.4071</v>
      </c>
      <c r="C403" s="66">
        <f t="shared" si="6"/>
        <v>-1.6019131098650163E-2</v>
      </c>
      <c r="D403" s="66">
        <f>(Table1345[[#This Row],[Index]]-B391)/B391</f>
        <v>-1.0792241652635112E-2</v>
      </c>
    </row>
    <row r="404" spans="1:4" x14ac:dyDescent="0.35">
      <c r="A404" s="17">
        <v>38384</v>
      </c>
      <c r="B404" s="58">
        <f>VLOOKUP(Table1345[[#This Row],[Date]],database!A:I,9,)</f>
        <v>95.250399999999999</v>
      </c>
      <c r="C404" s="66">
        <f t="shared" si="6"/>
        <v>-1.1998078979660209E-2</v>
      </c>
      <c r="D404" s="66">
        <f>(Table1345[[#This Row],[Index]]-B392)/B392</f>
        <v>-3.1793629076360491E-2</v>
      </c>
    </row>
    <row r="405" spans="1:4" x14ac:dyDescent="0.35">
      <c r="A405" s="17">
        <v>38412</v>
      </c>
      <c r="B405" s="58">
        <f>VLOOKUP(Table1345[[#This Row],[Date]],database!A:I,9,)</f>
        <v>98.098799999999997</v>
      </c>
      <c r="C405" s="66">
        <f t="shared" si="6"/>
        <v>2.9904336359742212E-2</v>
      </c>
      <c r="D405" s="66">
        <f>(Table1345[[#This Row],[Index]]-B393)/B393</f>
        <v>3.921192661230772E-2</v>
      </c>
    </row>
    <row r="406" spans="1:4" x14ac:dyDescent="0.35">
      <c r="A406" s="17">
        <v>38443</v>
      </c>
      <c r="B406" s="58">
        <f>VLOOKUP(Table1345[[#This Row],[Date]],database!A:I,9,)</f>
        <v>96.259</v>
      </c>
      <c r="C406" s="66">
        <f t="shared" si="6"/>
        <v>-1.8754561727564401E-2</v>
      </c>
      <c r="D406" s="66">
        <f>(Table1345[[#This Row],[Index]]-B394)/B394</f>
        <v>3.9884601665057381E-3</v>
      </c>
    </row>
    <row r="407" spans="1:4" x14ac:dyDescent="0.35">
      <c r="A407" s="17">
        <v>38473</v>
      </c>
      <c r="B407" s="58">
        <f>VLOOKUP(Table1345[[#This Row],[Date]],database!A:I,9,)</f>
        <v>96.150400000000005</v>
      </c>
      <c r="C407" s="66">
        <f t="shared" si="6"/>
        <v>-1.1282061937065713E-3</v>
      </c>
      <c r="D407" s="66">
        <f>(Table1345[[#This Row],[Index]]-B395)/B395</f>
        <v>-1.6715259718013607E-2</v>
      </c>
    </row>
    <row r="408" spans="1:4" x14ac:dyDescent="0.35">
      <c r="A408" s="17">
        <v>38504</v>
      </c>
      <c r="B408" s="58">
        <f>VLOOKUP(Table1345[[#This Row],[Date]],database!A:I,9,)</f>
        <v>99.268799999999999</v>
      </c>
      <c r="C408" s="66">
        <f t="shared" si="6"/>
        <v>3.2432522381601991E-2</v>
      </c>
      <c r="D408" s="66">
        <f>(Table1345[[#This Row],[Index]]-B396)/B396</f>
        <v>3.902976662106613E-2</v>
      </c>
    </row>
    <row r="409" spans="1:4" x14ac:dyDescent="0.35">
      <c r="A409" s="17">
        <v>38534</v>
      </c>
      <c r="B409" s="58">
        <f>VLOOKUP(Table1345[[#This Row],[Date]],database!A:I,9,)</f>
        <v>99.33</v>
      </c>
      <c r="C409" s="66">
        <f t="shared" si="6"/>
        <v>6.1650790580736192E-4</v>
      </c>
      <c r="D409" s="66">
        <f>(Table1345[[#This Row],[Index]]-B397)/B397</f>
        <v>5.5638627892963102E-2</v>
      </c>
    </row>
    <row r="410" spans="1:4" x14ac:dyDescent="0.35">
      <c r="A410" s="17">
        <v>38565</v>
      </c>
      <c r="B410" s="58">
        <f>VLOOKUP(Table1345[[#This Row],[Date]],database!A:I,9,)</f>
        <v>99.007099999999994</v>
      </c>
      <c r="C410" s="66">
        <f t="shared" si="6"/>
        <v>-3.2507802275244524E-3</v>
      </c>
      <c r="D410" s="66">
        <f>(Table1345[[#This Row],[Index]]-B398)/B398</f>
        <v>7.7869976832900714E-2</v>
      </c>
    </row>
    <row r="411" spans="1:4" x14ac:dyDescent="0.35">
      <c r="A411" s="17">
        <v>38596</v>
      </c>
      <c r="B411" s="58">
        <f>VLOOKUP(Table1345[[#This Row],[Date]],database!A:I,9,)</f>
        <v>100.2611</v>
      </c>
      <c r="C411" s="66">
        <f t="shared" si="6"/>
        <v>1.2665758314302833E-2</v>
      </c>
      <c r="D411" s="66">
        <f>(Table1345[[#This Row],[Index]]-B399)/B399</f>
        <v>4.7682292210913559E-2</v>
      </c>
    </row>
    <row r="412" spans="1:4" x14ac:dyDescent="0.35">
      <c r="A412" s="17">
        <v>38626</v>
      </c>
      <c r="B412" s="58">
        <f>VLOOKUP(Table1345[[#This Row],[Date]],database!A:I,9,)</f>
        <v>98.320599999999999</v>
      </c>
      <c r="C412" s="66">
        <f t="shared" si="6"/>
        <v>-1.9354465490604045E-2</v>
      </c>
      <c r="D412" s="66">
        <f>(Table1345[[#This Row],[Index]]-B400)/B400</f>
        <v>2.5033517724256021E-2</v>
      </c>
    </row>
    <row r="413" spans="1:4" x14ac:dyDescent="0.35">
      <c r="A413" s="17">
        <v>38657</v>
      </c>
      <c r="B413" s="58">
        <f>VLOOKUP(Table1345[[#This Row],[Date]],database!A:I,9,)</f>
        <v>97.448300000000003</v>
      </c>
      <c r="C413" s="66">
        <f t="shared" si="6"/>
        <v>-8.8719963059622486E-3</v>
      </c>
      <c r="D413" s="66">
        <f>(Table1345[[#This Row],[Index]]-B401)/B401</f>
        <v>1.2783431010525067E-2</v>
      </c>
    </row>
    <row r="414" spans="1:4" x14ac:dyDescent="0.35">
      <c r="A414" s="17">
        <v>38687</v>
      </c>
      <c r="B414" s="58">
        <f>VLOOKUP(Table1345[[#This Row],[Date]],database!A:I,9,)</f>
        <v>100.3901</v>
      </c>
      <c r="C414" s="66">
        <f t="shared" si="6"/>
        <v>3.0188315239978447E-2</v>
      </c>
      <c r="D414" s="66">
        <f>(Table1345[[#This Row],[Index]]-B402)/B402</f>
        <v>2.4633432880912371E-2</v>
      </c>
    </row>
    <row r="415" spans="1:4" x14ac:dyDescent="0.35">
      <c r="A415" s="17">
        <v>38718</v>
      </c>
      <c r="B415" s="58">
        <f>VLOOKUP(Table1345[[#This Row],[Date]],database!A:I,9,)</f>
        <v>92.316299999999998</v>
      </c>
      <c r="C415" s="66">
        <f t="shared" si="6"/>
        <v>-8.0424264942459467E-2</v>
      </c>
      <c r="D415" s="66">
        <f>(Table1345[[#This Row],[Index]]-B403)/B403</f>
        <v>-4.243255942767702E-2</v>
      </c>
    </row>
    <row r="416" spans="1:4" x14ac:dyDescent="0.35">
      <c r="A416" s="17">
        <v>38749</v>
      </c>
      <c r="B416" s="58">
        <f>VLOOKUP(Table1345[[#This Row],[Date]],database!A:I,9,)</f>
        <v>95.739199999999997</v>
      </c>
      <c r="C416" s="66">
        <f t="shared" si="6"/>
        <v>3.7077959146976092E-2</v>
      </c>
      <c r="D416" s="66">
        <f>(Table1345[[#This Row],[Index]]-B404)/B404</f>
        <v>5.1317369795822135E-3</v>
      </c>
    </row>
    <row r="417" spans="1:4" x14ac:dyDescent="0.35">
      <c r="A417" s="17">
        <v>38777</v>
      </c>
      <c r="B417" s="58">
        <f>VLOOKUP(Table1345[[#This Row],[Date]],database!A:I,9,)</f>
        <v>98.170500000000004</v>
      </c>
      <c r="C417" s="66">
        <f t="shared" si="6"/>
        <v>2.5395031502247756E-2</v>
      </c>
      <c r="D417" s="66">
        <f>(Table1345[[#This Row],[Index]]-B405)/B405</f>
        <v>7.3089579077427024E-4</v>
      </c>
    </row>
    <row r="418" spans="1:4" x14ac:dyDescent="0.35">
      <c r="A418" s="17">
        <v>38808</v>
      </c>
      <c r="B418" s="58">
        <f>VLOOKUP(Table1345[[#This Row],[Date]],database!A:I,9,)</f>
        <v>97.407899999999998</v>
      </c>
      <c r="C418" s="66">
        <f t="shared" si="6"/>
        <v>-7.7681177135697776E-3</v>
      </c>
      <c r="D418" s="66">
        <f>(Table1345[[#This Row],[Index]]-B406)/B406</f>
        <v>1.1935507329184778E-2</v>
      </c>
    </row>
    <row r="419" spans="1:4" x14ac:dyDescent="0.35">
      <c r="A419" s="17">
        <v>38838</v>
      </c>
      <c r="B419" s="58">
        <f>VLOOKUP(Table1345[[#This Row],[Date]],database!A:I,9,)</f>
        <v>98.631500000000003</v>
      </c>
      <c r="C419" s="66">
        <f t="shared" si="6"/>
        <v>1.2561609479313285E-2</v>
      </c>
      <c r="D419" s="66">
        <f>(Table1345[[#This Row],[Index]]-B407)/B407</f>
        <v>2.5804364828435428E-2</v>
      </c>
    </row>
    <row r="420" spans="1:4" x14ac:dyDescent="0.35">
      <c r="A420" s="17">
        <v>38869</v>
      </c>
      <c r="B420" s="58">
        <f>VLOOKUP(Table1345[[#This Row],[Date]],database!A:I,9,)</f>
        <v>99.1066</v>
      </c>
      <c r="C420" s="66">
        <f t="shared" si="6"/>
        <v>4.8169195439591306E-3</v>
      </c>
      <c r="D420" s="66">
        <f>(Table1345[[#This Row],[Index]]-B408)/B408</f>
        <v>-1.6339474235610642E-3</v>
      </c>
    </row>
    <row r="421" spans="1:4" x14ac:dyDescent="0.35">
      <c r="A421" s="17">
        <v>38899</v>
      </c>
      <c r="B421" s="58">
        <f>VLOOKUP(Table1345[[#This Row],[Date]],database!A:I,9,)</f>
        <v>100.5998</v>
      </c>
      <c r="C421" s="66">
        <f t="shared" si="6"/>
        <v>1.5066605049512294E-2</v>
      </c>
      <c r="D421" s="66">
        <f>(Table1345[[#This Row],[Index]]-B409)/B409</f>
        <v>1.2783650458069099E-2</v>
      </c>
    </row>
    <row r="422" spans="1:4" x14ac:dyDescent="0.35">
      <c r="A422" s="17">
        <v>38930</v>
      </c>
      <c r="B422" s="58">
        <f>VLOOKUP(Table1345[[#This Row],[Date]],database!A:I,9,)</f>
        <v>99.770600000000002</v>
      </c>
      <c r="C422" s="66">
        <f t="shared" si="6"/>
        <v>-8.2425611184118175E-3</v>
      </c>
      <c r="D422" s="66">
        <f>(Table1345[[#This Row],[Index]]-B410)/B410</f>
        <v>7.7115681602633315E-3</v>
      </c>
    </row>
    <row r="423" spans="1:4" x14ac:dyDescent="0.35">
      <c r="A423" s="17">
        <v>38961</v>
      </c>
      <c r="B423" s="58">
        <f>VLOOKUP(Table1345[[#This Row],[Date]],database!A:I,9,)</f>
        <v>96.723299999999995</v>
      </c>
      <c r="C423" s="66">
        <f t="shared" si="6"/>
        <v>-3.0543065792929092E-2</v>
      </c>
      <c r="D423" s="66">
        <f>(Table1345[[#This Row],[Index]]-B411)/B411</f>
        <v>-3.5285868597093033E-2</v>
      </c>
    </row>
    <row r="424" spans="1:4" x14ac:dyDescent="0.35">
      <c r="A424" s="17">
        <v>38991</v>
      </c>
      <c r="B424" s="58">
        <f>VLOOKUP(Table1345[[#This Row],[Date]],database!A:I,9,)</f>
        <v>98.6815</v>
      </c>
      <c r="C424" s="66">
        <f t="shared" si="6"/>
        <v>2.0245380378874689E-2</v>
      </c>
      <c r="D424" s="66">
        <f>(Table1345[[#This Row],[Index]]-B412)/B412</f>
        <v>3.6706448089210285E-3</v>
      </c>
    </row>
    <row r="425" spans="1:4" x14ac:dyDescent="0.35">
      <c r="A425" s="17">
        <v>39022</v>
      </c>
      <c r="B425" s="58">
        <f>VLOOKUP(Table1345[[#This Row],[Date]],database!A:I,9,)</f>
        <v>99.093100000000007</v>
      </c>
      <c r="C425" s="66">
        <f t="shared" si="6"/>
        <v>4.1709945633174872E-3</v>
      </c>
      <c r="D425" s="66">
        <f>(Table1345[[#This Row],[Index]]-B413)/B413</f>
        <v>1.6878693625235162E-2</v>
      </c>
    </row>
    <row r="426" spans="1:4" x14ac:dyDescent="0.35">
      <c r="A426" s="17">
        <v>39052</v>
      </c>
      <c r="B426" s="58">
        <f>VLOOKUP(Table1345[[#This Row],[Date]],database!A:I,9,)</f>
        <v>95.929199999999994</v>
      </c>
      <c r="C426" s="66">
        <f t="shared" si="6"/>
        <v>-3.1928560111652682E-2</v>
      </c>
      <c r="D426" s="66">
        <f>(Table1345[[#This Row],[Index]]-B414)/B414</f>
        <v>-4.4435656503978072E-2</v>
      </c>
    </row>
    <row r="427" spans="1:4" x14ac:dyDescent="0.35">
      <c r="A427" s="17">
        <v>39083</v>
      </c>
      <c r="B427" s="58">
        <f>VLOOKUP(Table1345[[#This Row],[Date]],database!A:I,9,)</f>
        <v>98.005300000000005</v>
      </c>
      <c r="C427" s="66">
        <f t="shared" si="6"/>
        <v>2.1642002643616376E-2</v>
      </c>
      <c r="D427" s="66">
        <f>(Table1345[[#This Row],[Index]]-B415)/B415</f>
        <v>6.1625086793989869E-2</v>
      </c>
    </row>
    <row r="428" spans="1:4" x14ac:dyDescent="0.35">
      <c r="A428" s="17">
        <v>39114</v>
      </c>
      <c r="B428" s="58">
        <f>VLOOKUP(Table1345[[#This Row],[Date]],database!A:I,9,)</f>
        <v>104.0941</v>
      </c>
      <c r="C428" s="66">
        <f t="shared" si="6"/>
        <v>6.2127252301661162E-2</v>
      </c>
      <c r="D428" s="66">
        <f>(Table1345[[#This Row],[Index]]-B416)/B416</f>
        <v>8.7267284456105765E-2</v>
      </c>
    </row>
    <row r="429" spans="1:4" x14ac:dyDescent="0.35">
      <c r="A429" s="17">
        <v>39142</v>
      </c>
      <c r="B429" s="58">
        <f>VLOOKUP(Table1345[[#This Row],[Date]],database!A:I,9,)</f>
        <v>99.237200000000001</v>
      </c>
      <c r="C429" s="66">
        <f t="shared" si="6"/>
        <v>-4.6658744347662373E-2</v>
      </c>
      <c r="D429" s="66">
        <f>(Table1345[[#This Row],[Index]]-B417)/B417</f>
        <v>1.0865789621118333E-2</v>
      </c>
    </row>
    <row r="430" spans="1:4" x14ac:dyDescent="0.35">
      <c r="A430" s="17">
        <v>39173</v>
      </c>
      <c r="B430" s="58">
        <f>VLOOKUP(Table1345[[#This Row],[Date]],database!A:I,9,)</f>
        <v>100.8605</v>
      </c>
      <c r="C430" s="66">
        <f t="shared" si="6"/>
        <v>1.6357777123901185E-2</v>
      </c>
      <c r="D430" s="66">
        <f>(Table1345[[#This Row],[Index]]-B418)/B418</f>
        <v>3.5444763720396434E-2</v>
      </c>
    </row>
    <row r="431" spans="1:4" x14ac:dyDescent="0.35">
      <c r="A431" s="17">
        <v>39203</v>
      </c>
      <c r="B431" s="58">
        <f>VLOOKUP(Table1345[[#This Row],[Date]],database!A:I,9,)</f>
        <v>101.0402</v>
      </c>
      <c r="C431" s="66">
        <f t="shared" si="6"/>
        <v>1.7816687404881293E-3</v>
      </c>
      <c r="D431" s="66">
        <f>(Table1345[[#This Row],[Index]]-B419)/B419</f>
        <v>2.4421204179192205E-2</v>
      </c>
    </row>
    <row r="432" spans="1:4" x14ac:dyDescent="0.35">
      <c r="A432" s="17">
        <v>39234</v>
      </c>
      <c r="B432" s="58">
        <f>VLOOKUP(Table1345[[#This Row],[Date]],database!A:I,9,)</f>
        <v>99.191699999999997</v>
      </c>
      <c r="C432" s="66">
        <f t="shared" si="6"/>
        <v>-1.8294698545727406E-2</v>
      </c>
      <c r="D432" s="66">
        <f>(Table1345[[#This Row],[Index]]-B420)/B420</f>
        <v>8.5867137001972686E-4</v>
      </c>
    </row>
    <row r="433" spans="1:4" x14ac:dyDescent="0.35">
      <c r="A433" s="17">
        <v>39264</v>
      </c>
      <c r="B433" s="58">
        <f>VLOOKUP(Table1345[[#This Row],[Date]],database!A:I,9,)</f>
        <v>98.100300000000004</v>
      </c>
      <c r="C433" s="66">
        <f t="shared" si="6"/>
        <v>-1.1002936737650404E-2</v>
      </c>
      <c r="D433" s="66">
        <f>(Table1345[[#This Row],[Index]]-B421)/B421</f>
        <v>-2.4845973848854546E-2</v>
      </c>
    </row>
    <row r="434" spans="1:4" x14ac:dyDescent="0.35">
      <c r="A434" s="17">
        <v>39295</v>
      </c>
      <c r="B434" s="58">
        <f>VLOOKUP(Table1345[[#This Row],[Date]],database!A:I,9,)</f>
        <v>102.7539</v>
      </c>
      <c r="C434" s="66">
        <f t="shared" si="6"/>
        <v>4.7437163800722271E-2</v>
      </c>
      <c r="D434" s="66">
        <f>(Table1345[[#This Row],[Index]]-B422)/B422</f>
        <v>2.9901594257226074E-2</v>
      </c>
    </row>
    <row r="435" spans="1:4" x14ac:dyDescent="0.35">
      <c r="A435" s="17">
        <v>39326</v>
      </c>
      <c r="B435" s="58">
        <f>VLOOKUP(Table1345[[#This Row],[Date]],database!A:I,9,)</f>
        <v>102.8199</v>
      </c>
      <c r="C435" s="66">
        <f t="shared" si="6"/>
        <v>6.423113867211061E-4</v>
      </c>
      <c r="D435" s="66">
        <f>(Table1345[[#This Row],[Index]]-B423)/B423</f>
        <v>6.3031348186011124E-2</v>
      </c>
    </row>
    <row r="436" spans="1:4" x14ac:dyDescent="0.35">
      <c r="A436" s="17">
        <v>39356</v>
      </c>
      <c r="B436" s="58">
        <f>VLOOKUP(Table1345[[#This Row],[Date]],database!A:I,9,)</f>
        <v>101.56829999999999</v>
      </c>
      <c r="C436" s="66">
        <f t="shared" si="6"/>
        <v>-1.2172740879927035E-2</v>
      </c>
      <c r="D436" s="66">
        <f>(Table1345[[#This Row],[Index]]-B424)/B424</f>
        <v>2.9253710168572568E-2</v>
      </c>
    </row>
    <row r="437" spans="1:4" x14ac:dyDescent="0.35">
      <c r="A437" s="17">
        <v>39387</v>
      </c>
      <c r="B437" s="58">
        <f>VLOOKUP(Table1345[[#This Row],[Date]],database!A:I,9,)</f>
        <v>101.6339</v>
      </c>
      <c r="C437" s="66">
        <f t="shared" si="6"/>
        <v>6.4587080811628894E-4</v>
      </c>
      <c r="D437" s="66">
        <f>(Table1345[[#This Row],[Index]]-B425)/B425</f>
        <v>2.5640534002871945E-2</v>
      </c>
    </row>
    <row r="438" spans="1:4" x14ac:dyDescent="0.35">
      <c r="A438" s="17">
        <v>39417</v>
      </c>
      <c r="B438" s="58">
        <f>VLOOKUP(Table1345[[#This Row],[Date]],database!A:I,9,)</f>
        <v>99.676900000000003</v>
      </c>
      <c r="C438" s="66">
        <f t="shared" si="6"/>
        <v>-1.925538624415668E-2</v>
      </c>
      <c r="D438" s="66">
        <f>(Table1345[[#This Row],[Index]]-B426)/B426</f>
        <v>3.9067353840123852E-2</v>
      </c>
    </row>
    <row r="439" spans="1:4" x14ac:dyDescent="0.35">
      <c r="A439" s="17">
        <v>39448</v>
      </c>
      <c r="B439" s="58">
        <f>VLOOKUP(Table1345[[#This Row],[Date]],database!A:I,9,)</f>
        <v>100.9131</v>
      </c>
      <c r="C439" s="66">
        <f t="shared" si="6"/>
        <v>1.240207109169722E-2</v>
      </c>
      <c r="D439" s="66">
        <f>(Table1345[[#This Row],[Index]]-B427)/B427</f>
        <v>2.9669823978907207E-2</v>
      </c>
    </row>
    <row r="440" spans="1:4" x14ac:dyDescent="0.35">
      <c r="A440" s="17">
        <v>39479</v>
      </c>
      <c r="B440" s="58">
        <f>VLOOKUP(Table1345[[#This Row],[Date]],database!A:I,9,)</f>
        <v>102.3261</v>
      </c>
      <c r="C440" s="66">
        <f t="shared" si="6"/>
        <v>1.4002146401210558E-2</v>
      </c>
      <c r="D440" s="66">
        <f>(Table1345[[#This Row],[Index]]-B428)/B428</f>
        <v>-1.6984632174157813E-2</v>
      </c>
    </row>
    <row r="441" spans="1:4" x14ac:dyDescent="0.35">
      <c r="A441" s="17">
        <v>39508</v>
      </c>
      <c r="B441" s="58">
        <f>VLOOKUP(Table1345[[#This Row],[Date]],database!A:I,9,)</f>
        <v>101.5296</v>
      </c>
      <c r="C441" s="66">
        <f t="shared" si="6"/>
        <v>-7.7839378223151234E-3</v>
      </c>
      <c r="D441" s="66">
        <f>(Table1345[[#This Row],[Index]]-B429)/B429</f>
        <v>2.3100208389595842E-2</v>
      </c>
    </row>
    <row r="442" spans="1:4" x14ac:dyDescent="0.35">
      <c r="A442" s="17">
        <v>39539</v>
      </c>
      <c r="B442" s="58">
        <f>VLOOKUP(Table1345[[#This Row],[Date]],database!A:I,9,)</f>
        <v>101.54859999999999</v>
      </c>
      <c r="C442" s="66">
        <f t="shared" si="6"/>
        <v>1.8713754412491568E-4</v>
      </c>
      <c r="D442" s="66">
        <f>(Table1345[[#This Row],[Index]]-B430)/B430</f>
        <v>6.8222941587637526E-3</v>
      </c>
    </row>
    <row r="443" spans="1:4" x14ac:dyDescent="0.35">
      <c r="A443" s="17">
        <v>39569</v>
      </c>
      <c r="B443" s="58">
        <f>VLOOKUP(Table1345[[#This Row],[Date]],database!A:I,9,)</f>
        <v>100.3322</v>
      </c>
      <c r="C443" s="66">
        <f t="shared" si="6"/>
        <v>-1.1978500934527792E-2</v>
      </c>
      <c r="D443" s="66">
        <f>(Table1345[[#This Row],[Index]]-B431)/B431</f>
        <v>-7.007112020760038E-3</v>
      </c>
    </row>
    <row r="444" spans="1:4" x14ac:dyDescent="0.35">
      <c r="A444" s="17">
        <v>39600</v>
      </c>
      <c r="B444" s="58">
        <f>VLOOKUP(Table1345[[#This Row],[Date]],database!A:I,9,)</f>
        <v>101.804</v>
      </c>
      <c r="C444" s="66">
        <f t="shared" si="6"/>
        <v>1.4669268689413872E-2</v>
      </c>
      <c r="D444" s="66">
        <f>(Table1345[[#This Row],[Index]]-B432)/B432</f>
        <v>2.6335872860330095E-2</v>
      </c>
    </row>
    <row r="445" spans="1:4" x14ac:dyDescent="0.35">
      <c r="A445" s="17">
        <v>39630</v>
      </c>
      <c r="B445" s="58">
        <f>VLOOKUP(Table1345[[#This Row],[Date]],database!A:I,9,)</f>
        <v>100.42659999999999</v>
      </c>
      <c r="C445" s="66">
        <f t="shared" si="6"/>
        <v>-1.3529920238890547E-2</v>
      </c>
      <c r="D445" s="66">
        <f>(Table1345[[#This Row],[Index]]-B433)/B433</f>
        <v>2.3713485075988444E-2</v>
      </c>
    </row>
    <row r="446" spans="1:4" x14ac:dyDescent="0.35">
      <c r="A446" s="17">
        <v>39661</v>
      </c>
      <c r="B446" s="58">
        <f>VLOOKUP(Table1345[[#This Row],[Date]],database!A:I,9,)</f>
        <v>96.780699999999996</v>
      </c>
      <c r="C446" s="66">
        <f t="shared" si="6"/>
        <v>-3.6304126595941733E-2</v>
      </c>
      <c r="D446" s="66">
        <f>(Table1345[[#This Row],[Index]]-B434)/B434</f>
        <v>-5.8131126896400091E-2</v>
      </c>
    </row>
    <row r="447" spans="1:4" x14ac:dyDescent="0.35">
      <c r="A447" s="17">
        <v>39692</v>
      </c>
      <c r="B447" s="58">
        <f>VLOOKUP(Table1345[[#This Row],[Date]],database!A:I,9,)</f>
        <v>98.697000000000003</v>
      </c>
      <c r="C447" s="66">
        <f t="shared" si="6"/>
        <v>1.9800435417392181E-2</v>
      </c>
      <c r="D447" s="66">
        <f>(Table1345[[#This Row],[Index]]-B435)/B435</f>
        <v>-4.0098268914869603E-2</v>
      </c>
    </row>
    <row r="448" spans="1:4" x14ac:dyDescent="0.35">
      <c r="A448" s="17">
        <v>39722</v>
      </c>
      <c r="B448" s="58">
        <f>VLOOKUP(Table1345[[#This Row],[Date]],database!A:I,9,)</f>
        <v>99.389200000000002</v>
      </c>
      <c r="C448" s="66">
        <f t="shared" si="6"/>
        <v>7.0133843987152389E-3</v>
      </c>
      <c r="D448" s="66">
        <f>(Table1345[[#This Row],[Index]]-B436)/B436</f>
        <v>-2.1454528627534292E-2</v>
      </c>
    </row>
    <row r="449" spans="1:4" x14ac:dyDescent="0.35">
      <c r="A449" s="17">
        <v>39753</v>
      </c>
      <c r="B449" s="58">
        <f>VLOOKUP(Table1345[[#This Row],[Date]],database!A:I,9,)</f>
        <v>100.75360000000001</v>
      </c>
      <c r="C449" s="66">
        <f t="shared" si="6"/>
        <v>1.3727849706004269E-2</v>
      </c>
      <c r="D449" s="66">
        <f>(Table1345[[#This Row],[Index]]-B437)/B437</f>
        <v>-8.6614800770214578E-3</v>
      </c>
    </row>
    <row r="450" spans="1:4" x14ac:dyDescent="0.35">
      <c r="A450" s="17">
        <v>39783</v>
      </c>
      <c r="B450" s="58">
        <f>VLOOKUP(Table1345[[#This Row],[Date]],database!A:I,9,)</f>
        <v>100.3211</v>
      </c>
      <c r="C450" s="66">
        <f t="shared" si="6"/>
        <v>-4.2926505851900165E-3</v>
      </c>
      <c r="D450" s="66">
        <f>(Table1345[[#This Row],[Index]]-B438)/B438</f>
        <v>6.4628815703537922E-3</v>
      </c>
    </row>
    <row r="451" spans="1:4" x14ac:dyDescent="0.35">
      <c r="A451" s="17">
        <v>39814</v>
      </c>
      <c r="B451" s="58">
        <f>VLOOKUP(Table1345[[#This Row],[Date]],database!A:I,9,)</f>
        <v>100.2004</v>
      </c>
      <c r="C451" s="66">
        <f t="shared" si="6"/>
        <v>-1.2031367279664584E-3</v>
      </c>
      <c r="D451" s="66">
        <f>(Table1345[[#This Row],[Index]]-B439)/B439</f>
        <v>-7.0625122010918116E-3</v>
      </c>
    </row>
    <row r="452" spans="1:4" x14ac:dyDescent="0.35">
      <c r="A452" s="17">
        <v>39845</v>
      </c>
      <c r="B452" s="58">
        <f>VLOOKUP(Table1345[[#This Row],[Date]],database!A:I,9,)</f>
        <v>97.337599999999995</v>
      </c>
      <c r="C452" s="66">
        <f t="shared" si="6"/>
        <v>-2.8570744228565981E-2</v>
      </c>
      <c r="D452" s="66">
        <f>(Table1345[[#This Row],[Index]]-B440)/B440</f>
        <v>-4.8751002921053395E-2</v>
      </c>
    </row>
    <row r="453" spans="1:4" x14ac:dyDescent="0.35">
      <c r="A453" s="17">
        <v>39873</v>
      </c>
      <c r="B453" s="58">
        <f>VLOOKUP(Table1345[[#This Row],[Date]],database!A:I,9,)</f>
        <v>98.618600000000001</v>
      </c>
      <c r="C453" s="66">
        <f t="shared" si="6"/>
        <v>1.3160382010651617E-2</v>
      </c>
      <c r="D453" s="66">
        <f>(Table1345[[#This Row],[Index]]-B441)/B441</f>
        <v>-2.8671441628845197E-2</v>
      </c>
    </row>
    <row r="454" spans="1:4" x14ac:dyDescent="0.35">
      <c r="A454" s="17">
        <v>39904</v>
      </c>
      <c r="B454" s="58">
        <f>VLOOKUP(Table1345[[#This Row],[Date]],database!A:I,9,)</f>
        <v>98.191199999999995</v>
      </c>
      <c r="C454" s="66">
        <f t="shared" si="6"/>
        <v>-4.3338680532881702E-3</v>
      </c>
      <c r="D454" s="66">
        <f>(Table1345[[#This Row],[Index]]-B442)/B442</f>
        <v>-3.3062001839513286E-2</v>
      </c>
    </row>
    <row r="455" spans="1:4" x14ac:dyDescent="0.35">
      <c r="A455" s="17">
        <v>39934</v>
      </c>
      <c r="B455" s="58">
        <f>VLOOKUP(Table1345[[#This Row],[Date]],database!A:I,9,)</f>
        <v>96.816599999999994</v>
      </c>
      <c r="C455" s="66">
        <f t="shared" si="6"/>
        <v>-1.3999217852516344E-2</v>
      </c>
      <c r="D455" s="66">
        <f>(Table1345[[#This Row],[Index]]-B443)/B443</f>
        <v>-3.5039598453936088E-2</v>
      </c>
    </row>
    <row r="456" spans="1:4" x14ac:dyDescent="0.35">
      <c r="A456" s="17">
        <v>39965</v>
      </c>
      <c r="B456" s="58">
        <f>VLOOKUP(Table1345[[#This Row],[Date]],database!A:I,9,)</f>
        <v>96.004099999999994</v>
      </c>
      <c r="C456" s="66">
        <f t="shared" ref="C456:C519" si="7">B456/B455-1</f>
        <v>-8.3921558906220328E-3</v>
      </c>
      <c r="D456" s="66">
        <f>(Table1345[[#This Row],[Index]]-B444)/B444</f>
        <v>-5.6971238851125768E-2</v>
      </c>
    </row>
    <row r="457" spans="1:4" x14ac:dyDescent="0.35">
      <c r="A457" s="17">
        <v>39995</v>
      </c>
      <c r="B457" s="58">
        <f>VLOOKUP(Table1345[[#This Row],[Date]],database!A:I,9,)</f>
        <v>94.6935</v>
      </c>
      <c r="C457" s="66">
        <f t="shared" si="7"/>
        <v>-1.365150030050799E-2</v>
      </c>
      <c r="D457" s="66">
        <f>(Table1345[[#This Row],[Index]]-B445)/B445</f>
        <v>-5.7087464874843855E-2</v>
      </c>
    </row>
    <row r="458" spans="1:4" x14ac:dyDescent="0.35">
      <c r="A458" s="17">
        <v>40026</v>
      </c>
      <c r="B458" s="58">
        <f>VLOOKUP(Table1345[[#This Row],[Date]],database!A:I,9,)</f>
        <v>95.726299999999995</v>
      </c>
      <c r="C458" s="66">
        <f t="shared" si="7"/>
        <v>1.0906767623965585E-2</v>
      </c>
      <c r="D458" s="66">
        <f>(Table1345[[#This Row],[Index]]-B446)/B446</f>
        <v>-1.0894734177372153E-2</v>
      </c>
    </row>
    <row r="459" spans="1:4" x14ac:dyDescent="0.35">
      <c r="A459" s="17">
        <v>40057</v>
      </c>
      <c r="B459" s="58">
        <f>VLOOKUP(Table1345[[#This Row],[Date]],database!A:I,9,)</f>
        <v>96.807699999999997</v>
      </c>
      <c r="C459" s="66">
        <f t="shared" si="7"/>
        <v>1.1296790955045877E-2</v>
      </c>
      <c r="D459" s="66">
        <f>(Table1345[[#This Row],[Index]]-B447)/B447</f>
        <v>-1.914242580828197E-2</v>
      </c>
    </row>
    <row r="460" spans="1:4" x14ac:dyDescent="0.35">
      <c r="A460" s="17">
        <v>40087</v>
      </c>
      <c r="B460" s="58">
        <f>VLOOKUP(Table1345[[#This Row],[Date]],database!A:I,9,)</f>
        <v>98.962299999999999</v>
      </c>
      <c r="C460" s="66">
        <f t="shared" si="7"/>
        <v>2.2256494059873289E-2</v>
      </c>
      <c r="D460" s="66">
        <f>(Table1345[[#This Row],[Index]]-B448)/B448</f>
        <v>-4.2952352971953028E-3</v>
      </c>
    </row>
    <row r="461" spans="1:4" x14ac:dyDescent="0.35">
      <c r="A461" s="17">
        <v>40118</v>
      </c>
      <c r="B461" s="58">
        <f>VLOOKUP(Table1345[[#This Row],[Date]],database!A:I,9,)</f>
        <v>96.0077</v>
      </c>
      <c r="C461" s="66">
        <f t="shared" si="7"/>
        <v>-2.985581377959079E-2</v>
      </c>
      <c r="D461" s="66">
        <f>(Table1345[[#This Row],[Index]]-B449)/B449</f>
        <v>-4.710402407457407E-2</v>
      </c>
    </row>
    <row r="462" spans="1:4" x14ac:dyDescent="0.35">
      <c r="A462" s="17">
        <v>40148</v>
      </c>
      <c r="B462" s="58">
        <f>VLOOKUP(Table1345[[#This Row],[Date]],database!A:I,9,)</f>
        <v>101.19370000000001</v>
      </c>
      <c r="C462" s="66">
        <f t="shared" si="7"/>
        <v>5.4016500759834996E-2</v>
      </c>
      <c r="D462" s="66">
        <f>(Table1345[[#This Row],[Index]]-B450)/B450</f>
        <v>8.6980704956385602E-3</v>
      </c>
    </row>
    <row r="463" spans="1:4" x14ac:dyDescent="0.35">
      <c r="A463" s="17">
        <v>40179</v>
      </c>
      <c r="B463" s="58">
        <f>VLOOKUP(Table1345[[#This Row],[Date]],database!A:I,9,)</f>
        <v>101.6905</v>
      </c>
      <c r="C463" s="66">
        <f t="shared" si="7"/>
        <v>4.9093965335786915E-3</v>
      </c>
      <c r="D463" s="66">
        <f>(Table1345[[#This Row],[Index]]-B451)/B451</f>
        <v>1.4871198118969567E-2</v>
      </c>
    </row>
    <row r="464" spans="1:4" x14ac:dyDescent="0.35">
      <c r="A464" s="17">
        <v>40210</v>
      </c>
      <c r="B464" s="58">
        <f>VLOOKUP(Table1345[[#This Row],[Date]],database!A:I,9,)</f>
        <v>103.1914</v>
      </c>
      <c r="C464" s="66">
        <f t="shared" si="7"/>
        <v>1.4759490807892517E-2</v>
      </c>
      <c r="D464" s="66">
        <f>(Table1345[[#This Row],[Index]]-B452)/B452</f>
        <v>6.0139144585442901E-2</v>
      </c>
    </row>
    <row r="465" spans="1:4" x14ac:dyDescent="0.35">
      <c r="A465" s="17">
        <v>40238</v>
      </c>
      <c r="B465" s="58">
        <f>VLOOKUP(Table1345[[#This Row],[Date]],database!A:I,9,)</f>
        <v>99.703400000000002</v>
      </c>
      <c r="C465" s="66">
        <f t="shared" si="7"/>
        <v>-3.3801266384601791E-2</v>
      </c>
      <c r="D465" s="66">
        <f>(Table1345[[#This Row],[Index]]-B453)/B453</f>
        <v>1.0999953355655031E-2</v>
      </c>
    </row>
    <row r="466" spans="1:4" x14ac:dyDescent="0.35">
      <c r="A466" s="17">
        <v>40269</v>
      </c>
      <c r="B466" s="58">
        <f>VLOOKUP(Table1345[[#This Row],[Date]],database!A:I,9,)</f>
        <v>96.643000000000001</v>
      </c>
      <c r="C466" s="66">
        <f t="shared" si="7"/>
        <v>-3.0695041493068453E-2</v>
      </c>
      <c r="D466" s="66">
        <f>(Table1345[[#This Row],[Index]]-B454)/B454</f>
        <v>-1.5767197060428981E-2</v>
      </c>
    </row>
    <row r="467" spans="1:4" x14ac:dyDescent="0.35">
      <c r="A467" s="17">
        <v>40299</v>
      </c>
      <c r="B467" s="58">
        <f>VLOOKUP(Table1345[[#This Row],[Date]],database!A:I,9,)</f>
        <v>100.6739</v>
      </c>
      <c r="C467" s="66">
        <f t="shared" si="7"/>
        <v>4.1709177074387149E-2</v>
      </c>
      <c r="D467" s="66">
        <f>(Table1345[[#This Row],[Index]]-B455)/B455</f>
        <v>3.9841308205411152E-2</v>
      </c>
    </row>
    <row r="468" spans="1:4" x14ac:dyDescent="0.35">
      <c r="A468" s="17">
        <v>40330</v>
      </c>
      <c r="B468" s="58">
        <f>VLOOKUP(Table1345[[#This Row],[Date]],database!A:I,9,)</f>
        <v>102.6952</v>
      </c>
      <c r="C468" s="66">
        <f t="shared" si="7"/>
        <v>2.0077696403933754E-2</v>
      </c>
      <c r="D468" s="66">
        <f>(Table1345[[#This Row],[Index]]-B456)/B456</f>
        <v>6.969598173411351E-2</v>
      </c>
    </row>
    <row r="469" spans="1:4" x14ac:dyDescent="0.35">
      <c r="A469" s="17">
        <v>40360</v>
      </c>
      <c r="B469" s="58">
        <f>VLOOKUP(Table1345[[#This Row],[Date]],database!A:I,9,)</f>
        <v>101.8014</v>
      </c>
      <c r="C469" s="66">
        <f t="shared" si="7"/>
        <v>-8.7034252818047886E-3</v>
      </c>
      <c r="D469" s="66">
        <f>(Table1345[[#This Row],[Index]]-B457)/B457</f>
        <v>7.5062174278065552E-2</v>
      </c>
    </row>
    <row r="470" spans="1:4" x14ac:dyDescent="0.35">
      <c r="A470" s="17">
        <v>40391</v>
      </c>
      <c r="B470" s="58">
        <f>VLOOKUP(Table1345[[#This Row],[Date]],database!A:I,9,)</f>
        <v>102.09520000000001</v>
      </c>
      <c r="C470" s="66">
        <f t="shared" si="7"/>
        <v>2.8860113908060203E-3</v>
      </c>
      <c r="D470" s="66">
        <f>(Table1345[[#This Row],[Index]]-B458)/B458</f>
        <v>6.6532394963557673E-2</v>
      </c>
    </row>
    <row r="471" spans="1:4" x14ac:dyDescent="0.35">
      <c r="A471" s="17">
        <v>40422</v>
      </c>
      <c r="B471" s="58">
        <f>VLOOKUP(Table1345[[#This Row],[Date]],database!A:I,9,)</f>
        <v>102.1328</v>
      </c>
      <c r="C471" s="66">
        <f t="shared" si="7"/>
        <v>3.6828371950892169E-4</v>
      </c>
      <c r="D471" s="66">
        <f>(Table1345[[#This Row],[Index]]-B459)/B459</f>
        <v>5.500698808049366E-2</v>
      </c>
    </row>
    <row r="472" spans="1:4" x14ac:dyDescent="0.35">
      <c r="A472" s="17">
        <v>40452</v>
      </c>
      <c r="B472" s="58">
        <f>VLOOKUP(Table1345[[#This Row],[Date]],database!A:I,9,)</f>
        <v>98.753100000000003</v>
      </c>
      <c r="C472" s="66">
        <f t="shared" si="7"/>
        <v>-3.309123024141114E-2</v>
      </c>
      <c r="D472" s="66">
        <f>(Table1345[[#This Row],[Index]]-B460)/B460</f>
        <v>-2.1139363171631584E-3</v>
      </c>
    </row>
    <row r="473" spans="1:4" x14ac:dyDescent="0.35">
      <c r="A473" s="17">
        <v>40483</v>
      </c>
      <c r="B473" s="58">
        <f>VLOOKUP(Table1345[[#This Row],[Date]],database!A:I,9,)</f>
        <v>99.984300000000005</v>
      </c>
      <c r="C473" s="66">
        <f t="shared" si="7"/>
        <v>1.2467456717814462E-2</v>
      </c>
      <c r="D473" s="66">
        <f>(Table1345[[#This Row],[Index]]-B461)/B461</f>
        <v>4.1419594470026931E-2</v>
      </c>
    </row>
    <row r="474" spans="1:4" x14ac:dyDescent="0.35">
      <c r="A474" s="17">
        <v>40513</v>
      </c>
      <c r="B474" s="58">
        <f>VLOOKUP(Table1345[[#This Row],[Date]],database!A:I,9,)</f>
        <v>105.2658</v>
      </c>
      <c r="C474" s="66">
        <f t="shared" si="7"/>
        <v>5.2823293257041382E-2</v>
      </c>
      <c r="D474" s="66">
        <f>(Table1345[[#This Row],[Index]]-B462)/B462</f>
        <v>4.024064739208065E-2</v>
      </c>
    </row>
    <row r="475" spans="1:4" x14ac:dyDescent="0.35">
      <c r="A475" s="17">
        <v>40544</v>
      </c>
      <c r="B475" s="58">
        <f>VLOOKUP(Table1345[[#This Row],[Date]],database!A:I,9,)</f>
        <v>103.0813</v>
      </c>
      <c r="C475" s="66">
        <f t="shared" si="7"/>
        <v>-2.0752229119049059E-2</v>
      </c>
      <c r="D475" s="66">
        <f>(Table1345[[#This Row],[Index]]-B463)/B463</f>
        <v>1.3676793800797506E-2</v>
      </c>
    </row>
    <row r="476" spans="1:4" x14ac:dyDescent="0.35">
      <c r="A476" s="17">
        <v>40575</v>
      </c>
      <c r="B476" s="58">
        <f>VLOOKUP(Table1345[[#This Row],[Date]],database!A:I,9,)</f>
        <v>101.2598</v>
      </c>
      <c r="C476" s="66">
        <f t="shared" si="7"/>
        <v>-1.7670518319035544E-2</v>
      </c>
      <c r="D476" s="66">
        <f>(Table1345[[#This Row],[Index]]-B464)/B464</f>
        <v>-1.8718614148078259E-2</v>
      </c>
    </row>
    <row r="477" spans="1:4" x14ac:dyDescent="0.35">
      <c r="A477" s="17">
        <v>40603</v>
      </c>
      <c r="B477" s="58">
        <f>VLOOKUP(Table1345[[#This Row],[Date]],database!A:I,9,)</f>
        <v>100.9816</v>
      </c>
      <c r="C477" s="66">
        <f t="shared" si="7"/>
        <v>-2.7473884009251437E-3</v>
      </c>
      <c r="D477" s="66">
        <f>(Table1345[[#This Row],[Index]]-B465)/B465</f>
        <v>1.2820024191752721E-2</v>
      </c>
    </row>
    <row r="478" spans="1:4" x14ac:dyDescent="0.35">
      <c r="A478" s="17">
        <v>40634</v>
      </c>
      <c r="B478" s="58">
        <f>VLOOKUP(Table1345[[#This Row],[Date]],database!A:I,9,)</f>
        <v>100.5693</v>
      </c>
      <c r="C478" s="67">
        <f t="shared" si="7"/>
        <v>-4.0829220372821107E-3</v>
      </c>
      <c r="D478" s="66">
        <f>(Table1345[[#This Row],[Index]]-B466)/B466</f>
        <v>4.0626843123661285E-2</v>
      </c>
    </row>
    <row r="479" spans="1:4" x14ac:dyDescent="0.35">
      <c r="A479" s="17">
        <v>40664</v>
      </c>
      <c r="B479" s="58">
        <f>VLOOKUP(Table1345[[#This Row],[Date]],database!A:I,9,)</f>
        <v>100.0181</v>
      </c>
      <c r="C479" s="66">
        <f t="shared" si="7"/>
        <v>-5.4807978180219097E-3</v>
      </c>
      <c r="D479" s="66">
        <f>(Table1345[[#This Row],[Index]]-B467)/B467</f>
        <v>-6.5141014701923664E-3</v>
      </c>
    </row>
    <row r="480" spans="1:4" x14ac:dyDescent="0.35">
      <c r="A480" s="17">
        <v>40695</v>
      </c>
      <c r="B480" s="58">
        <f>VLOOKUP(Table1345[[#This Row],[Date]],database!A:I,9,)</f>
        <v>101.1793</v>
      </c>
      <c r="C480" s="66">
        <f t="shared" si="7"/>
        <v>1.1609898608351932E-2</v>
      </c>
      <c r="D480" s="66">
        <f>(Table1345[[#This Row],[Index]]-B468)/B468</f>
        <v>-1.4761157288753535E-2</v>
      </c>
    </row>
    <row r="481" spans="1:4" x14ac:dyDescent="0.35">
      <c r="A481" s="17">
        <v>40725</v>
      </c>
      <c r="B481" s="58">
        <f>VLOOKUP(Table1345[[#This Row],[Date]],database!A:I,9,)</f>
        <v>102.8909</v>
      </c>
      <c r="C481" s="66">
        <f t="shared" si="7"/>
        <v>1.6916503672193883E-2</v>
      </c>
      <c r="D481" s="66">
        <f>(Table1345[[#This Row],[Index]]-B469)/B469</f>
        <v>1.0702210382175502E-2</v>
      </c>
    </row>
    <row r="482" spans="1:4" x14ac:dyDescent="0.35">
      <c r="A482" s="17">
        <v>40756</v>
      </c>
      <c r="B482" s="58">
        <f>VLOOKUP(Table1345[[#This Row],[Date]],database!A:I,9,)</f>
        <v>102.79179999999999</v>
      </c>
      <c r="C482" s="66">
        <f t="shared" si="7"/>
        <v>-9.6315611973463167E-4</v>
      </c>
      <c r="D482" s="66">
        <f>(Table1345[[#This Row],[Index]]-B470)/B470</f>
        <v>6.8230435906878033E-3</v>
      </c>
    </row>
    <row r="483" spans="1:4" x14ac:dyDescent="0.35">
      <c r="A483" s="17">
        <v>40787</v>
      </c>
      <c r="B483" s="58">
        <f>VLOOKUP(Table1345[[#This Row],[Date]],database!A:I,9,)</f>
        <v>100.9898</v>
      </c>
      <c r="C483" s="66">
        <f t="shared" si="7"/>
        <v>-1.7530581233133335E-2</v>
      </c>
      <c r="D483" s="66">
        <f>(Table1345[[#This Row],[Index]]-B471)/B471</f>
        <v>-1.1191311703977573E-2</v>
      </c>
    </row>
    <row r="484" spans="1:4" x14ac:dyDescent="0.35">
      <c r="A484" s="17">
        <v>40817</v>
      </c>
      <c r="B484" s="58">
        <f>VLOOKUP(Table1345[[#This Row],[Date]],database!A:I,9,)</f>
        <v>99.679400000000001</v>
      </c>
      <c r="C484" s="66">
        <f t="shared" si="7"/>
        <v>-1.2975567829622392E-2</v>
      </c>
      <c r="D484" s="66">
        <f>(Table1345[[#This Row],[Index]]-B472)/B472</f>
        <v>9.3799587050937914E-3</v>
      </c>
    </row>
    <row r="485" spans="1:4" x14ac:dyDescent="0.35">
      <c r="A485" s="17">
        <v>40848</v>
      </c>
      <c r="B485" s="58">
        <f>VLOOKUP(Table1345[[#This Row],[Date]],database!A:I,9,)</f>
        <v>98.964299999999994</v>
      </c>
      <c r="C485" s="66">
        <f t="shared" si="7"/>
        <v>-7.1739998434983132E-3</v>
      </c>
      <c r="D485" s="66">
        <f>(Table1345[[#This Row],[Index]]-B473)/B473</f>
        <v>-1.0201601651459381E-2</v>
      </c>
    </row>
    <row r="486" spans="1:4" x14ac:dyDescent="0.35">
      <c r="A486" s="17">
        <v>40878</v>
      </c>
      <c r="B486" s="58">
        <f>VLOOKUP(Table1345[[#This Row],[Date]],database!A:I,9,)</f>
        <v>97.685400000000001</v>
      </c>
      <c r="C486" s="66">
        <f t="shared" si="7"/>
        <v>-1.2922841873281521E-2</v>
      </c>
      <c r="D486" s="66">
        <f>(Table1345[[#This Row],[Index]]-B474)/B474</f>
        <v>-7.201199249898825E-2</v>
      </c>
    </row>
    <row r="487" spans="1:4" x14ac:dyDescent="0.35">
      <c r="A487" s="17">
        <v>40909</v>
      </c>
      <c r="B487" s="58">
        <f>VLOOKUP(Table1345[[#This Row],[Date]],database!A:I,9,)</f>
        <v>95.034499999999994</v>
      </c>
      <c r="C487" s="66">
        <f t="shared" si="7"/>
        <v>-2.7137115679518153E-2</v>
      </c>
      <c r="D487" s="66">
        <f>(Table1345[[#This Row],[Index]]-B475)/B475</f>
        <v>-7.8062655399184958E-2</v>
      </c>
    </row>
    <row r="488" spans="1:4" x14ac:dyDescent="0.35">
      <c r="A488" s="17">
        <v>40940</v>
      </c>
      <c r="B488" s="58">
        <f>VLOOKUP(Table1345[[#This Row],[Date]],database!A:I,9,)</f>
        <v>95.707700000000003</v>
      </c>
      <c r="C488" s="66">
        <f t="shared" si="7"/>
        <v>7.0837432721801985E-3</v>
      </c>
      <c r="D488" s="66">
        <f>(Table1345[[#This Row],[Index]]-B476)/B476</f>
        <v>-5.4830248529031227E-2</v>
      </c>
    </row>
    <row r="489" spans="1:4" x14ac:dyDescent="0.35">
      <c r="A489" s="17">
        <v>40969</v>
      </c>
      <c r="B489" s="58">
        <f>VLOOKUP(Table1345[[#This Row],[Date]],database!A:I,9,)</f>
        <v>94.389600000000002</v>
      </c>
      <c r="C489" s="66">
        <f t="shared" si="7"/>
        <v>-1.3772141635417068E-2</v>
      </c>
      <c r="D489" s="66">
        <f>(Table1345[[#This Row],[Index]]-B477)/B477</f>
        <v>-6.5279219184485079E-2</v>
      </c>
    </row>
    <row r="490" spans="1:4" x14ac:dyDescent="0.35">
      <c r="A490" s="17">
        <v>41000</v>
      </c>
      <c r="B490" s="58">
        <f>VLOOKUP(Table1345[[#This Row],[Date]],database!A:I,9,)</f>
        <v>97.753100000000003</v>
      </c>
      <c r="C490" s="66">
        <f t="shared" si="7"/>
        <v>3.5634222414333783E-2</v>
      </c>
      <c r="D490" s="66">
        <f>(Table1345[[#This Row],[Index]]-B478)/B478</f>
        <v>-2.8002581304632675E-2</v>
      </c>
    </row>
    <row r="491" spans="1:4" x14ac:dyDescent="0.35">
      <c r="A491" s="17">
        <v>41030</v>
      </c>
      <c r="B491" s="58">
        <f>VLOOKUP(Table1345[[#This Row],[Date]],database!A:I,9,)</f>
        <v>101.964</v>
      </c>
      <c r="C491" s="66">
        <f t="shared" si="7"/>
        <v>4.3076894748094841E-2</v>
      </c>
      <c r="D491" s="66">
        <f>(Table1345[[#This Row],[Index]]-B479)/B479</f>
        <v>1.9455478558380878E-2</v>
      </c>
    </row>
    <row r="492" spans="1:4" x14ac:dyDescent="0.35">
      <c r="A492" s="17">
        <v>41061</v>
      </c>
      <c r="B492" s="58">
        <f>VLOOKUP(Table1345[[#This Row],[Date]],database!A:I,9,)</f>
        <v>99.7774</v>
      </c>
      <c r="C492" s="66">
        <f t="shared" si="7"/>
        <v>-2.1444823663253731E-2</v>
      </c>
      <c r="D492" s="66">
        <f>(Table1345[[#This Row],[Index]]-B480)/B480</f>
        <v>-1.3855600898602756E-2</v>
      </c>
    </row>
    <row r="493" spans="1:4" x14ac:dyDescent="0.35">
      <c r="A493" s="17">
        <v>41091</v>
      </c>
      <c r="B493" s="58">
        <f>VLOOKUP(Table1345[[#This Row],[Date]],database!A:I,9,)</f>
        <v>101.5692</v>
      </c>
      <c r="C493" s="66">
        <f t="shared" si="7"/>
        <v>1.7957974451128234E-2</v>
      </c>
      <c r="D493" s="66">
        <f>(Table1345[[#This Row],[Index]]-B481)/B481</f>
        <v>-1.2845645241707546E-2</v>
      </c>
    </row>
    <row r="494" spans="1:4" x14ac:dyDescent="0.35">
      <c r="A494" s="17">
        <v>41122</v>
      </c>
      <c r="B494" s="58">
        <f>VLOOKUP(Table1345[[#This Row],[Date]],database!A:I,9,)</f>
        <v>100.4208</v>
      </c>
      <c r="C494" s="66">
        <f t="shared" si="7"/>
        <v>-1.1306577190723144E-2</v>
      </c>
      <c r="D494" s="66">
        <f>(Table1345[[#This Row],[Index]]-B482)/B482</f>
        <v>-2.3066042232940714E-2</v>
      </c>
    </row>
    <row r="495" spans="1:4" x14ac:dyDescent="0.35">
      <c r="A495" s="17">
        <v>41153</v>
      </c>
      <c r="B495" s="58">
        <f>VLOOKUP(Table1345[[#This Row],[Date]],database!A:I,9,)</f>
        <v>98.699799999999996</v>
      </c>
      <c r="C495" s="66">
        <f t="shared" si="7"/>
        <v>-1.713788378503267E-2</v>
      </c>
      <c r="D495" s="66">
        <f>(Table1345[[#This Row],[Index]]-B483)/B483</f>
        <v>-2.2675557333512952E-2</v>
      </c>
    </row>
    <row r="496" spans="1:4" x14ac:dyDescent="0.35">
      <c r="A496" s="17">
        <v>41183</v>
      </c>
      <c r="B496" s="58">
        <f>VLOOKUP(Table1345[[#This Row],[Date]],database!A:I,9,)</f>
        <v>100.5003</v>
      </c>
      <c r="C496" s="66">
        <f t="shared" si="7"/>
        <v>1.8242184887912627E-2</v>
      </c>
      <c r="D496" s="66">
        <f>(Table1345[[#This Row],[Index]]-B484)/B484</f>
        <v>8.2354027010595431E-3</v>
      </c>
    </row>
    <row r="497" spans="1:4" x14ac:dyDescent="0.35">
      <c r="A497" s="17">
        <v>41214</v>
      </c>
      <c r="B497" s="58">
        <f>VLOOKUP(Table1345[[#This Row],[Date]],database!A:I,9,)</f>
        <v>99.540099999999995</v>
      </c>
      <c r="C497" s="66">
        <f t="shared" si="7"/>
        <v>-9.5542003357204086E-3</v>
      </c>
      <c r="D497" s="66">
        <f>(Table1345[[#This Row],[Index]]-B485)/B485</f>
        <v>5.8182597158773514E-3</v>
      </c>
    </row>
    <row r="498" spans="1:4" x14ac:dyDescent="0.35">
      <c r="A498" s="17">
        <v>41244</v>
      </c>
      <c r="B498" s="58">
        <f>VLOOKUP(Table1345[[#This Row],[Date]],database!A:I,9,)</f>
        <v>96.674499999999995</v>
      </c>
      <c r="C498" s="66">
        <f t="shared" si="7"/>
        <v>-2.8788397841673863E-2</v>
      </c>
      <c r="D498" s="66">
        <f>(Table1345[[#This Row],[Index]]-B486)/B486</f>
        <v>-1.034852700608286E-2</v>
      </c>
    </row>
    <row r="499" spans="1:4" x14ac:dyDescent="0.35">
      <c r="A499" s="17">
        <v>41275</v>
      </c>
      <c r="B499" s="58">
        <f>VLOOKUP(Table1345[[#This Row],[Date]],database!A:I,9,)</f>
        <v>98.090999999999994</v>
      </c>
      <c r="C499" s="66">
        <f t="shared" si="7"/>
        <v>1.4652260937475736E-2</v>
      </c>
      <c r="D499" s="66">
        <f>(Table1345[[#This Row],[Index]]-B487)/B487</f>
        <v>3.2162004324745225E-2</v>
      </c>
    </row>
    <row r="500" spans="1:4" x14ac:dyDescent="0.35">
      <c r="A500" s="17">
        <v>41306</v>
      </c>
      <c r="B500" s="58">
        <f>VLOOKUP(Table1345[[#This Row],[Date]],database!A:I,9,)</f>
        <v>98.662800000000004</v>
      </c>
      <c r="C500" s="66">
        <f t="shared" si="7"/>
        <v>5.8292809737896523E-3</v>
      </c>
      <c r="D500" s="66">
        <f>(Table1345[[#This Row],[Index]]-B488)/B488</f>
        <v>3.0876303578499971E-2</v>
      </c>
    </row>
    <row r="501" spans="1:4" x14ac:dyDescent="0.35">
      <c r="A501" s="17">
        <v>41334</v>
      </c>
      <c r="B501" s="58">
        <f>VLOOKUP(Table1345[[#This Row],[Date]],database!A:I,9,)</f>
        <v>102.6965</v>
      </c>
      <c r="C501" s="66">
        <f t="shared" si="7"/>
        <v>4.0883696793522883E-2</v>
      </c>
      <c r="D501" s="66">
        <f>(Table1345[[#This Row],[Index]]-B489)/B489</f>
        <v>8.8006517667200607E-2</v>
      </c>
    </row>
    <row r="502" spans="1:4" x14ac:dyDescent="0.35">
      <c r="A502" s="17">
        <v>41365</v>
      </c>
      <c r="B502" s="58">
        <f>VLOOKUP(Table1345[[#This Row],[Date]],database!A:I,9,)</f>
        <v>102.3365</v>
      </c>
      <c r="C502" s="66">
        <f t="shared" si="7"/>
        <v>-3.5054748701269789E-3</v>
      </c>
      <c r="D502" s="66">
        <f>(Table1345[[#This Row],[Index]]-B490)/B490</f>
        <v>4.6887515587740923E-2</v>
      </c>
    </row>
    <row r="503" spans="1:4" x14ac:dyDescent="0.35">
      <c r="A503" s="17">
        <v>41395</v>
      </c>
      <c r="B503" s="58">
        <f>VLOOKUP(Table1345[[#This Row],[Date]],database!A:I,9,)</f>
        <v>100.14239999999999</v>
      </c>
      <c r="C503" s="66">
        <f t="shared" si="7"/>
        <v>-2.1440053157964267E-2</v>
      </c>
      <c r="D503" s="66">
        <f>(Table1345[[#This Row],[Index]]-B491)/B491</f>
        <v>-1.786512886901263E-2</v>
      </c>
    </row>
    <row r="504" spans="1:4" x14ac:dyDescent="0.35">
      <c r="A504" s="17">
        <v>41426</v>
      </c>
      <c r="B504" s="58">
        <f>VLOOKUP(Table1345[[#This Row],[Date]],database!A:I,9,)</f>
        <v>99.072599999999994</v>
      </c>
      <c r="C504" s="66">
        <f t="shared" si="7"/>
        <v>-1.0682787710300512E-2</v>
      </c>
      <c r="D504" s="66">
        <f>(Table1345[[#This Row],[Index]]-B492)/B492</f>
        <v>-7.0637238492885753E-3</v>
      </c>
    </row>
    <row r="505" spans="1:4" x14ac:dyDescent="0.35">
      <c r="A505" s="17">
        <v>41456</v>
      </c>
      <c r="B505" s="58">
        <f>VLOOKUP(Table1345[[#This Row],[Date]],database!A:I,9,)</f>
        <v>98.989400000000003</v>
      </c>
      <c r="C505" s="66">
        <f t="shared" si="7"/>
        <v>-8.3978819572705365E-4</v>
      </c>
      <c r="D505" s="66">
        <f>(Table1345[[#This Row],[Index]]-B493)/B493</f>
        <v>-2.5399432111309253E-2</v>
      </c>
    </row>
    <row r="506" spans="1:4" x14ac:dyDescent="0.35">
      <c r="A506" s="17">
        <v>41487</v>
      </c>
      <c r="B506" s="58">
        <f>VLOOKUP(Table1345[[#This Row],[Date]],database!A:I,9,)</f>
        <v>98.742000000000004</v>
      </c>
      <c r="C506" s="66">
        <f t="shared" si="7"/>
        <v>-2.4992574962571235E-3</v>
      </c>
      <c r="D506" s="66">
        <f>(Table1345[[#This Row],[Index]]-B494)/B494</f>
        <v>-1.6717652119879502E-2</v>
      </c>
    </row>
    <row r="507" spans="1:4" x14ac:dyDescent="0.35">
      <c r="A507" s="17">
        <v>41518</v>
      </c>
      <c r="B507" s="58">
        <f>VLOOKUP(Table1345[[#This Row],[Date]],database!A:I,9,)</f>
        <v>100.0003</v>
      </c>
      <c r="C507" s="66">
        <f t="shared" si="7"/>
        <v>1.274331085049929E-2</v>
      </c>
      <c r="D507" s="66">
        <f>(Table1345[[#This Row],[Index]]-B495)/B495</f>
        <v>1.3176318493046587E-2</v>
      </c>
    </row>
    <row r="508" spans="1:4" x14ac:dyDescent="0.35">
      <c r="A508" s="17">
        <v>41548</v>
      </c>
      <c r="B508" s="58">
        <f>VLOOKUP(Table1345[[#This Row],[Date]],database!A:I,9,)</f>
        <v>101.48860000000001</v>
      </c>
      <c r="C508" s="66">
        <f t="shared" si="7"/>
        <v>1.4882955351134042E-2</v>
      </c>
      <c r="D508" s="66">
        <f>(Table1345[[#This Row],[Index]]-B496)/B496</f>
        <v>9.8338014911399218E-3</v>
      </c>
    </row>
    <row r="509" spans="1:4" x14ac:dyDescent="0.35">
      <c r="A509" s="17">
        <v>41579</v>
      </c>
      <c r="B509" s="58">
        <f>VLOOKUP(Table1345[[#This Row],[Date]],database!A:I,9,)</f>
        <v>102.6978</v>
      </c>
      <c r="C509" s="66">
        <f t="shared" si="7"/>
        <v>1.1914638688483192E-2</v>
      </c>
      <c r="D509" s="66">
        <f>(Table1345[[#This Row],[Index]]-B497)/B497</f>
        <v>3.172289358760947E-2</v>
      </c>
    </row>
    <row r="510" spans="1:4" x14ac:dyDescent="0.35">
      <c r="A510" s="17">
        <v>41609</v>
      </c>
      <c r="B510" s="58">
        <f>VLOOKUP(Table1345[[#This Row],[Date]],database!A:I,9,)</f>
        <v>105.16719999999999</v>
      </c>
      <c r="C510" s="66">
        <f t="shared" si="7"/>
        <v>2.4045305741700274E-2</v>
      </c>
      <c r="D510" s="66">
        <f>(Table1345[[#This Row],[Index]]-B498)/B498</f>
        <v>8.784839849184635E-2</v>
      </c>
    </row>
    <row r="511" spans="1:4" x14ac:dyDescent="0.35">
      <c r="A511" s="17">
        <v>41640</v>
      </c>
      <c r="B511" s="58">
        <f>VLOOKUP(Table1345[[#This Row],[Date]],database!A:I,9,)</f>
        <v>106.21259999999999</v>
      </c>
      <c r="C511" s="66">
        <f t="shared" si="7"/>
        <v>9.9403616336652956E-3</v>
      </c>
      <c r="D511" s="66">
        <f>(Table1345[[#This Row],[Index]]-B499)/B499</f>
        <v>8.2796586842829631E-2</v>
      </c>
    </row>
    <row r="512" spans="1:4" x14ac:dyDescent="0.35">
      <c r="A512" s="17">
        <v>41671</v>
      </c>
      <c r="B512" s="58">
        <f>VLOOKUP(Table1345[[#This Row],[Date]],database!A:I,9,)</f>
        <v>105.239</v>
      </c>
      <c r="C512" s="66">
        <f t="shared" si="7"/>
        <v>-9.1665207329449938E-3</v>
      </c>
      <c r="D512" s="66">
        <f>(Table1345[[#This Row],[Index]]-B500)/B500</f>
        <v>6.665328776397994E-2</v>
      </c>
    </row>
    <row r="513" spans="1:4" x14ac:dyDescent="0.35">
      <c r="A513" s="17">
        <v>41699</v>
      </c>
      <c r="B513" s="58">
        <f>VLOOKUP(Table1345[[#This Row],[Date]],database!A:I,9,)</f>
        <v>104.7718</v>
      </c>
      <c r="C513" s="66">
        <f t="shared" si="7"/>
        <v>-4.4394188466253537E-3</v>
      </c>
      <c r="D513" s="66">
        <f>(Table1345[[#This Row],[Index]]-B501)/B501</f>
        <v>2.0208088883262806E-2</v>
      </c>
    </row>
    <row r="514" spans="1:4" x14ac:dyDescent="0.35">
      <c r="A514" s="17">
        <v>41730</v>
      </c>
      <c r="B514" s="58">
        <f>VLOOKUP(Table1345[[#This Row],[Date]],database!A:I,9,)</f>
        <v>101.86</v>
      </c>
      <c r="C514" s="66">
        <f t="shared" si="7"/>
        <v>-2.7791829480833585E-2</v>
      </c>
      <c r="D514" s="66">
        <f>(Table1345[[#This Row],[Index]]-B502)/B502</f>
        <v>-4.65620770692765E-3</v>
      </c>
    </row>
    <row r="515" spans="1:4" x14ac:dyDescent="0.35">
      <c r="A515" s="17">
        <v>41760</v>
      </c>
      <c r="B515" s="58">
        <f>VLOOKUP(Table1345[[#This Row],[Date]],database!A:I,9,)</f>
        <v>101.6146</v>
      </c>
      <c r="C515" s="66">
        <f t="shared" si="7"/>
        <v>-2.4091890830552076E-3</v>
      </c>
      <c r="D515" s="66">
        <f>(Table1345[[#This Row],[Index]]-B503)/B503</f>
        <v>1.4701065682468175E-2</v>
      </c>
    </row>
    <row r="516" spans="1:4" x14ac:dyDescent="0.35">
      <c r="A516" s="17">
        <v>41791</v>
      </c>
      <c r="B516" s="58">
        <f>VLOOKUP(Table1345[[#This Row],[Date]],database!A:I,9,)</f>
        <v>99.918999999999997</v>
      </c>
      <c r="C516" s="66">
        <f t="shared" si="7"/>
        <v>-1.6686578503482763E-2</v>
      </c>
      <c r="D516" s="66">
        <f>(Table1345[[#This Row],[Index]]-B504)/B504</f>
        <v>8.5432299142245462E-3</v>
      </c>
    </row>
    <row r="517" spans="1:4" x14ac:dyDescent="0.35">
      <c r="A517" s="17">
        <v>41821</v>
      </c>
      <c r="B517" s="58">
        <f>VLOOKUP(Table1345[[#This Row],[Date]],database!A:I,9,)</f>
        <v>97.729299999999995</v>
      </c>
      <c r="C517" s="66">
        <f t="shared" si="7"/>
        <v>-2.1914750948268114E-2</v>
      </c>
      <c r="D517" s="66">
        <f>(Table1345[[#This Row],[Index]]-B505)/B505</f>
        <v>-1.2729645800459528E-2</v>
      </c>
    </row>
    <row r="518" spans="1:4" x14ac:dyDescent="0.35">
      <c r="A518" s="17">
        <v>41852</v>
      </c>
      <c r="B518" s="58">
        <f>VLOOKUP(Table1345[[#This Row],[Date]],database!A:I,9,)</f>
        <v>98.548900000000003</v>
      </c>
      <c r="C518" s="66">
        <f t="shared" si="7"/>
        <v>8.3864306814844802E-3</v>
      </c>
      <c r="D518" s="66">
        <f>(Table1345[[#This Row],[Index]]-B506)/B506</f>
        <v>-1.9556014664479262E-3</v>
      </c>
    </row>
    <row r="519" spans="1:4" x14ac:dyDescent="0.35">
      <c r="A519" s="17">
        <v>41883</v>
      </c>
      <c r="B519" s="58">
        <f>VLOOKUP(Table1345[[#This Row],[Date]],database!A:I,9,)</f>
        <v>100.67019999999999</v>
      </c>
      <c r="C519" s="66">
        <f t="shared" si="7"/>
        <v>2.1525354417958997E-2</v>
      </c>
      <c r="D519" s="66">
        <f>(Table1345[[#This Row],[Index]]-B507)/B507</f>
        <v>6.6989799030602749E-3</v>
      </c>
    </row>
    <row r="520" spans="1:4" x14ac:dyDescent="0.35">
      <c r="A520" s="17">
        <v>41913</v>
      </c>
      <c r="B520" s="58">
        <f>VLOOKUP(Table1345[[#This Row],[Date]],database!A:I,9,)</f>
        <v>101.31529999999999</v>
      </c>
      <c r="C520" s="66">
        <f t="shared" ref="C520:C583" si="8">B520/B519-1</f>
        <v>6.4080532272707824E-3</v>
      </c>
      <c r="D520" s="66">
        <f>(Table1345[[#This Row],[Index]]-B508)/B508</f>
        <v>-1.7075809499787343E-3</v>
      </c>
    </row>
    <row r="521" spans="1:4" x14ac:dyDescent="0.35">
      <c r="A521" s="17">
        <v>41944</v>
      </c>
      <c r="B521" s="58">
        <f>VLOOKUP(Table1345[[#This Row],[Date]],database!A:I,9,)</f>
        <v>104.3845</v>
      </c>
      <c r="C521" s="67">
        <f t="shared" si="8"/>
        <v>3.0293548950652172E-2</v>
      </c>
      <c r="D521" s="66">
        <f>(Table1345[[#This Row],[Index]]-B509)/B509</f>
        <v>1.6423915604813363E-2</v>
      </c>
    </row>
    <row r="522" spans="1:4" x14ac:dyDescent="0.35">
      <c r="A522" s="17">
        <v>41974</v>
      </c>
      <c r="B522" s="58">
        <f>VLOOKUP(Table1345[[#This Row],[Date]],database!A:I,9,)</f>
        <v>101.2255</v>
      </c>
      <c r="C522" s="66">
        <f t="shared" si="8"/>
        <v>-3.0263113776470729E-2</v>
      </c>
      <c r="D522" s="66">
        <f>(Table1345[[#This Row],[Index]]-B510)/B510</f>
        <v>-3.7480317057029165E-2</v>
      </c>
    </row>
    <row r="523" spans="1:4" x14ac:dyDescent="0.35">
      <c r="A523" s="17">
        <v>42005</v>
      </c>
      <c r="B523" s="58">
        <f>VLOOKUP(Table1345[[#This Row],[Date]],database!A:I,9,)</f>
        <v>102.36969999999999</v>
      </c>
      <c r="C523" s="67">
        <f t="shared" si="8"/>
        <v>1.1303475902811E-2</v>
      </c>
      <c r="D523" s="66">
        <f>(Table1345[[#This Row],[Index]]-B511)/B511</f>
        <v>-3.6181206372878548E-2</v>
      </c>
    </row>
    <row r="524" spans="1:4" x14ac:dyDescent="0.35">
      <c r="A524" s="17">
        <v>42036</v>
      </c>
      <c r="B524" s="58">
        <f>VLOOKUP(Table1345[[#This Row],[Date]],database!A:I,9,)</f>
        <v>107.6135</v>
      </c>
      <c r="C524" s="66">
        <f t="shared" si="8"/>
        <v>5.1224141518437571E-2</v>
      </c>
      <c r="D524" s="66">
        <f>(Table1345[[#This Row],[Index]]-B512)/B512</f>
        <v>2.2562928192020045E-2</v>
      </c>
    </row>
    <row r="525" spans="1:4" x14ac:dyDescent="0.35">
      <c r="A525" s="17">
        <v>42064</v>
      </c>
      <c r="B525" s="58">
        <f>VLOOKUP(Table1345[[#This Row],[Date]],database!A:I,9,)</f>
        <v>104.437</v>
      </c>
      <c r="C525" s="67">
        <f t="shared" si="8"/>
        <v>-2.9517672039288789E-2</v>
      </c>
      <c r="D525" s="66">
        <f>(Table1345[[#This Row],[Index]]-B513)/B513</f>
        <v>-3.1955163507737896E-3</v>
      </c>
    </row>
    <row r="526" spans="1:4" x14ac:dyDescent="0.35">
      <c r="A526" s="17">
        <v>42095</v>
      </c>
      <c r="B526" s="58">
        <f>VLOOKUP(Table1345[[#This Row],[Date]],database!A:I,9,)</f>
        <v>101.5466</v>
      </c>
      <c r="C526" s="66">
        <f t="shared" si="8"/>
        <v>-2.7676015205339133E-2</v>
      </c>
      <c r="D526" s="66">
        <f>(Table1345[[#This Row],[Index]]-B514)/B514</f>
        <v>-3.0767720400549916E-3</v>
      </c>
    </row>
    <row r="527" spans="1:4" x14ac:dyDescent="0.35">
      <c r="A527" s="17">
        <v>42125</v>
      </c>
      <c r="B527" s="58">
        <f>VLOOKUP(Table1345[[#This Row],[Date]],database!A:I,9,)</f>
        <v>100.3026</v>
      </c>
      <c r="C527" s="66">
        <f t="shared" si="8"/>
        <v>-1.2250533252713525E-2</v>
      </c>
      <c r="D527" s="66">
        <f>(Table1345[[#This Row],[Index]]-B515)/B515</f>
        <v>-1.2911530429682325E-2</v>
      </c>
    </row>
    <row r="528" spans="1:4" x14ac:dyDescent="0.35">
      <c r="A528" s="17">
        <v>42156</v>
      </c>
      <c r="B528" s="58">
        <f>VLOOKUP(Table1345[[#This Row],[Date]],database!A:I,9,)</f>
        <v>101.1622</v>
      </c>
      <c r="C528" s="66">
        <f t="shared" si="8"/>
        <v>8.5700669773265403E-3</v>
      </c>
      <c r="D528" s="66">
        <f>(Table1345[[#This Row],[Index]]-B516)/B516</f>
        <v>1.2442078083247448E-2</v>
      </c>
    </row>
    <row r="529" spans="1:4" x14ac:dyDescent="0.35">
      <c r="A529" s="17">
        <v>42186</v>
      </c>
      <c r="B529" s="58">
        <f>VLOOKUP(Table1345[[#This Row],[Date]],database!A:I,9,)</f>
        <v>100.53870000000001</v>
      </c>
      <c r="C529" s="66">
        <f t="shared" si="8"/>
        <v>-6.1633693217426622E-3</v>
      </c>
      <c r="D529" s="66">
        <f>(Table1345[[#This Row],[Index]]-B517)/B517</f>
        <v>2.874675250922713E-2</v>
      </c>
    </row>
    <row r="530" spans="1:4" x14ac:dyDescent="0.35">
      <c r="A530" s="17">
        <v>42217</v>
      </c>
      <c r="B530" s="58">
        <f>VLOOKUP(Table1345[[#This Row],[Date]],database!A:I,9,)</f>
        <v>100.8438</v>
      </c>
      <c r="C530" s="66">
        <f t="shared" si="8"/>
        <v>3.0346523279094484E-3</v>
      </c>
      <c r="D530" s="66">
        <f>(Table1345[[#This Row],[Index]]-B518)/B518</f>
        <v>2.3286916444526507E-2</v>
      </c>
    </row>
    <row r="531" spans="1:4" x14ac:dyDescent="0.35">
      <c r="A531" s="17">
        <v>42248</v>
      </c>
      <c r="B531" s="58">
        <f>VLOOKUP(Table1345[[#This Row],[Date]],database!A:I,9,)</f>
        <v>101.82810000000001</v>
      </c>
      <c r="C531" s="66">
        <f t="shared" si="8"/>
        <v>9.7606397220255658E-3</v>
      </c>
      <c r="D531" s="66">
        <f>(Table1345[[#This Row],[Index]]-B519)/B519</f>
        <v>1.1501914171224575E-2</v>
      </c>
    </row>
    <row r="532" spans="1:4" x14ac:dyDescent="0.35">
      <c r="A532" s="17">
        <v>42278</v>
      </c>
      <c r="B532" s="58">
        <f>VLOOKUP(Table1345[[#This Row],[Date]],database!A:I,9,)</f>
        <v>100.4087</v>
      </c>
      <c r="C532" s="66">
        <f t="shared" si="8"/>
        <v>-1.3939177889011112E-2</v>
      </c>
      <c r="D532" s="66">
        <f>(Table1345[[#This Row],[Index]]-B520)/B520</f>
        <v>-8.9483029710221203E-3</v>
      </c>
    </row>
    <row r="533" spans="1:4" x14ac:dyDescent="0.35">
      <c r="A533" s="17">
        <v>42309</v>
      </c>
      <c r="B533" s="58">
        <f>VLOOKUP(Table1345[[#This Row],[Date]],database!A:I,9,)</f>
        <v>97.724400000000003</v>
      </c>
      <c r="C533" s="66">
        <f t="shared" si="8"/>
        <v>-2.6733739207857377E-2</v>
      </c>
      <c r="D533" s="66">
        <f>(Table1345[[#This Row],[Index]]-B521)/B521</f>
        <v>-6.3803534049595489E-2</v>
      </c>
    </row>
    <row r="534" spans="1:4" x14ac:dyDescent="0.35">
      <c r="A534" s="17">
        <v>42339</v>
      </c>
      <c r="B534" s="58">
        <f>VLOOKUP(Table1345[[#This Row],[Date]],database!A:I,9,)</f>
        <v>95.655900000000003</v>
      </c>
      <c r="C534" s="66">
        <f t="shared" si="8"/>
        <v>-2.1166668713238468E-2</v>
      </c>
      <c r="D534" s="66">
        <f>(Table1345[[#This Row],[Index]]-B522)/B522</f>
        <v>-5.5021708956735152E-2</v>
      </c>
    </row>
    <row r="535" spans="1:4" x14ac:dyDescent="0.35">
      <c r="A535" s="17">
        <v>42370</v>
      </c>
      <c r="B535" s="58">
        <f>VLOOKUP(Table1345[[#This Row],[Date]],database!A:I,9,)</f>
        <v>99.796800000000005</v>
      </c>
      <c r="C535" s="66">
        <f t="shared" si="8"/>
        <v>4.3289540948336702E-2</v>
      </c>
      <c r="D535" s="66">
        <f>(Table1345[[#This Row],[Index]]-B523)/B523</f>
        <v>-2.5133413500283679E-2</v>
      </c>
    </row>
    <row r="536" spans="1:4" x14ac:dyDescent="0.35">
      <c r="A536" s="17">
        <v>42401</v>
      </c>
      <c r="B536" s="58">
        <f>VLOOKUP(Table1345[[#This Row],[Date]],database!A:I,9,)</f>
        <v>99.523799999999994</v>
      </c>
      <c r="C536" s="66">
        <f t="shared" si="8"/>
        <v>-2.7355586551874866E-3</v>
      </c>
      <c r="D536" s="66">
        <f>(Table1345[[#This Row],[Index]]-B524)/B524</f>
        <v>-7.5173653863130629E-2</v>
      </c>
    </row>
    <row r="537" spans="1:4" x14ac:dyDescent="0.35">
      <c r="A537" s="17">
        <v>42430</v>
      </c>
      <c r="B537" s="58">
        <f>VLOOKUP(Table1345[[#This Row],[Date]],database!A:I,9,)</f>
        <v>95.404300000000006</v>
      </c>
      <c r="C537" s="66">
        <f t="shared" si="8"/>
        <v>-4.1392109224125173E-2</v>
      </c>
      <c r="D537" s="66">
        <f>(Table1345[[#This Row],[Index]]-B525)/B525</f>
        <v>-8.6489462546798471E-2</v>
      </c>
    </row>
    <row r="538" spans="1:4" x14ac:dyDescent="0.35">
      <c r="A538" s="17">
        <v>42461</v>
      </c>
      <c r="B538" s="58">
        <f>VLOOKUP(Table1345[[#This Row],[Date]],database!A:I,9,)</f>
        <v>101.4188</v>
      </c>
      <c r="C538" s="66">
        <f t="shared" si="8"/>
        <v>6.3042231849088637E-2</v>
      </c>
      <c r="D538" s="66">
        <f>(Table1345[[#This Row],[Index]]-B526)/B526</f>
        <v>-1.2585354901098952E-3</v>
      </c>
    </row>
    <row r="539" spans="1:4" x14ac:dyDescent="0.35">
      <c r="A539" s="17">
        <v>42491</v>
      </c>
      <c r="B539" s="58">
        <f>VLOOKUP(Table1345[[#This Row],[Date]],database!A:I,9,)</f>
        <v>99.861599999999996</v>
      </c>
      <c r="C539" s="66">
        <f t="shared" si="8"/>
        <v>-1.5354155245378642E-2</v>
      </c>
      <c r="D539" s="66">
        <f>(Table1345[[#This Row],[Index]]-B527)/B527</f>
        <v>-4.396695599117097E-3</v>
      </c>
    </row>
    <row r="540" spans="1:4" x14ac:dyDescent="0.35">
      <c r="A540" s="17">
        <v>42522</v>
      </c>
      <c r="B540" s="58">
        <f>VLOOKUP(Table1345[[#This Row],[Date]],database!A:I,9,)</f>
        <v>102.8034</v>
      </c>
      <c r="C540" s="66">
        <f t="shared" si="8"/>
        <v>2.9458770938979528E-2</v>
      </c>
      <c r="D540" s="66">
        <f>(Table1345[[#This Row],[Index]]-B528)/B528</f>
        <v>1.6223451051875087E-2</v>
      </c>
    </row>
    <row r="541" spans="1:4" x14ac:dyDescent="0.35">
      <c r="A541" s="17">
        <v>42552</v>
      </c>
      <c r="B541" s="58">
        <f>VLOOKUP(Table1345[[#This Row],[Date]],database!A:I,9,)</f>
        <v>102.9808</v>
      </c>
      <c r="C541" s="66">
        <f t="shared" si="8"/>
        <v>1.7256238606895291E-3</v>
      </c>
      <c r="D541" s="66">
        <f>(Table1345[[#This Row],[Index]]-B529)/B529</f>
        <v>2.4290148967511974E-2</v>
      </c>
    </row>
    <row r="542" spans="1:4" x14ac:dyDescent="0.35">
      <c r="A542" s="17">
        <v>42583</v>
      </c>
      <c r="B542" s="58">
        <f>VLOOKUP(Table1345[[#This Row],[Date]],database!A:I,9,)</f>
        <v>105.042</v>
      </c>
      <c r="C542" s="66">
        <f t="shared" si="8"/>
        <v>2.00153815080093E-2</v>
      </c>
      <c r="D542" s="66">
        <f>(Table1345[[#This Row],[Index]]-B530)/B530</f>
        <v>4.163071998476852E-2</v>
      </c>
    </row>
    <row r="543" spans="1:4" x14ac:dyDescent="0.35">
      <c r="A543" s="17">
        <v>42614</v>
      </c>
      <c r="B543" s="58">
        <f>VLOOKUP(Table1345[[#This Row],[Date]],database!A:I,9,)</f>
        <v>102.5745</v>
      </c>
      <c r="C543" s="66">
        <f t="shared" si="8"/>
        <v>-2.3490603758496653E-2</v>
      </c>
      <c r="D543" s="66">
        <f>(Table1345[[#This Row],[Index]]-B531)/B531</f>
        <v>7.3300002651526851E-3</v>
      </c>
    </row>
    <row r="544" spans="1:4" x14ac:dyDescent="0.35">
      <c r="A544" s="17">
        <v>42644</v>
      </c>
      <c r="B544" s="58">
        <f>VLOOKUP(Table1345[[#This Row],[Date]],database!A:I,9,)</f>
        <v>99.6173</v>
      </c>
      <c r="C544" s="66">
        <f t="shared" si="8"/>
        <v>-2.8829777381317978E-2</v>
      </c>
      <c r="D544" s="66">
        <f>(Table1345[[#This Row],[Index]]-B532)/B532</f>
        <v>-7.8817871359752288E-3</v>
      </c>
    </row>
    <row r="545" spans="1:4" x14ac:dyDescent="0.35">
      <c r="A545" s="17">
        <v>42675</v>
      </c>
      <c r="B545" s="58">
        <f>VLOOKUP(Table1345[[#This Row],[Date]],database!A:I,9,)</f>
        <v>97.071200000000005</v>
      </c>
      <c r="C545" s="66">
        <f t="shared" si="8"/>
        <v>-2.5558813579569017E-2</v>
      </c>
      <c r="D545" s="66">
        <f>(Table1345[[#This Row],[Index]]-B533)/B533</f>
        <v>-6.6841034582969883E-3</v>
      </c>
    </row>
    <row r="546" spans="1:4" x14ac:dyDescent="0.35">
      <c r="A546" s="17">
        <v>42705</v>
      </c>
      <c r="B546" s="58">
        <f>VLOOKUP(Table1345[[#This Row],[Date]],database!A:I,9,)</f>
        <v>103.077</v>
      </c>
      <c r="C546" s="66">
        <f t="shared" si="8"/>
        <v>6.1870050025136125E-2</v>
      </c>
      <c r="D546" s="66">
        <f>(Table1345[[#This Row],[Index]]-B534)/B534</f>
        <v>7.7581205132145489E-2</v>
      </c>
    </row>
    <row r="547" spans="1:4" x14ac:dyDescent="0.35">
      <c r="A547" s="17">
        <v>42736</v>
      </c>
      <c r="B547" s="58">
        <f>VLOOKUP(Table1345[[#This Row],[Date]],database!A:I,9,)</f>
        <v>97.831100000000006</v>
      </c>
      <c r="C547" s="66">
        <f t="shared" si="8"/>
        <v>-5.0893021721625464E-2</v>
      </c>
      <c r="D547" s="66">
        <f>(Table1345[[#This Row],[Index]]-B535)/B535</f>
        <v>-1.9697024353486265E-2</v>
      </c>
    </row>
    <row r="548" spans="1:4" x14ac:dyDescent="0.35">
      <c r="A548" s="17">
        <v>42767</v>
      </c>
      <c r="B548" s="58">
        <f>VLOOKUP(Table1345[[#This Row],[Date]],database!A:I,9,)</f>
        <v>92.947800000000001</v>
      </c>
      <c r="C548" s="66">
        <f t="shared" si="8"/>
        <v>-4.9915619879568052E-2</v>
      </c>
      <c r="D548" s="66">
        <f>(Table1345[[#This Row],[Index]]-B536)/B536</f>
        <v>-6.6074647471258074E-2</v>
      </c>
    </row>
    <row r="549" spans="1:4" x14ac:dyDescent="0.35">
      <c r="A549" s="17">
        <v>42795</v>
      </c>
      <c r="B549" s="58">
        <f>VLOOKUP(Table1345[[#This Row],[Date]],database!A:I,9,)</f>
        <v>99.710800000000006</v>
      </c>
      <c r="C549" s="66">
        <f t="shared" si="8"/>
        <v>7.2761270304407377E-2</v>
      </c>
      <c r="D549" s="66">
        <f>(Table1345[[#This Row],[Index]]-B537)/B537</f>
        <v>4.5139474845473419E-2</v>
      </c>
    </row>
    <row r="550" spans="1:4" x14ac:dyDescent="0.35">
      <c r="A550" s="17">
        <v>42826</v>
      </c>
      <c r="B550" s="58">
        <f>VLOOKUP(Table1345[[#This Row],[Date]],database!A:I,9,)</f>
        <v>99.642399999999995</v>
      </c>
      <c r="C550" s="66">
        <f t="shared" si="8"/>
        <v>-6.8598386533869071E-4</v>
      </c>
      <c r="D550" s="66">
        <f>(Table1345[[#This Row],[Index]]-B538)/B538</f>
        <v>-1.7515490224692162E-2</v>
      </c>
    </row>
    <row r="551" spans="1:4" x14ac:dyDescent="0.35">
      <c r="A551" s="17">
        <v>42856</v>
      </c>
      <c r="B551" s="58">
        <f>VLOOKUP(Table1345[[#This Row],[Date]],database!A:I,9,)</f>
        <v>100.7774</v>
      </c>
      <c r="C551" s="66">
        <f t="shared" si="8"/>
        <v>1.1390733262145458E-2</v>
      </c>
      <c r="D551" s="66">
        <f>(Table1345[[#This Row],[Index]]-B539)/B539</f>
        <v>9.1706922380575158E-3</v>
      </c>
    </row>
    <row r="552" spans="1:4" x14ac:dyDescent="0.35">
      <c r="A552" s="17">
        <v>42887</v>
      </c>
      <c r="B552" s="58">
        <f>VLOOKUP(Table1345[[#This Row],[Date]],database!A:I,9,)</f>
        <v>100.9515</v>
      </c>
      <c r="C552" s="66">
        <f t="shared" si="8"/>
        <v>1.7275698718164367E-3</v>
      </c>
      <c r="D552" s="66">
        <f>(Table1345[[#This Row],[Index]]-B540)/B540</f>
        <v>-1.8013995646058406E-2</v>
      </c>
    </row>
    <row r="553" spans="1:4" x14ac:dyDescent="0.35">
      <c r="A553" s="17">
        <v>42917</v>
      </c>
      <c r="B553" s="58">
        <f>VLOOKUP(Table1345[[#This Row],[Date]],database!A:I,9,)</f>
        <v>101.5258</v>
      </c>
      <c r="C553" s="66">
        <f t="shared" si="8"/>
        <v>5.6888703981616828E-3</v>
      </c>
      <c r="D553" s="66">
        <f>(Table1345[[#This Row],[Index]]-B541)/B541</f>
        <v>-1.4128847319111895E-2</v>
      </c>
    </row>
    <row r="554" spans="1:4" x14ac:dyDescent="0.35">
      <c r="A554" s="17">
        <v>42948</v>
      </c>
      <c r="B554" s="58">
        <f>VLOOKUP(Table1345[[#This Row],[Date]],database!A:I,9,)</f>
        <v>99.749600000000001</v>
      </c>
      <c r="C554" s="66">
        <f t="shared" si="8"/>
        <v>-1.749506036889148E-2</v>
      </c>
      <c r="D554" s="66">
        <f>(Table1345[[#This Row],[Index]]-B542)/B542</f>
        <v>-5.0383656061384972E-2</v>
      </c>
    </row>
    <row r="555" spans="1:4" x14ac:dyDescent="0.35">
      <c r="A555" s="17">
        <v>42979</v>
      </c>
      <c r="B555" s="58">
        <f>VLOOKUP(Table1345[[#This Row],[Date]],database!A:I,9,)</f>
        <v>99.285700000000006</v>
      </c>
      <c r="C555" s="66">
        <f t="shared" si="8"/>
        <v>-4.6506452156198641E-3</v>
      </c>
      <c r="D555" s="66">
        <f>(Table1345[[#This Row],[Index]]-B543)/B543</f>
        <v>-3.2062549659028265E-2</v>
      </c>
    </row>
    <row r="556" spans="1:4" x14ac:dyDescent="0.35">
      <c r="A556" s="17">
        <v>43009</v>
      </c>
      <c r="B556" s="58">
        <f>VLOOKUP(Table1345[[#This Row],[Date]],database!A:I,9,)</f>
        <v>101.4318</v>
      </c>
      <c r="C556" s="66">
        <f t="shared" si="8"/>
        <v>2.1615398793582541E-2</v>
      </c>
      <c r="D556" s="66">
        <f>(Table1345[[#This Row],[Index]]-B544)/B544</f>
        <v>1.8214707686315484E-2</v>
      </c>
    </row>
    <row r="557" spans="1:4" x14ac:dyDescent="0.35">
      <c r="A557" s="17">
        <v>43040</v>
      </c>
      <c r="B557" s="58">
        <f>VLOOKUP(Table1345[[#This Row],[Date]],database!A:I,9,)</f>
        <v>101.2769</v>
      </c>
      <c r="C557" s="66">
        <f t="shared" si="8"/>
        <v>-1.5271344883951432E-3</v>
      </c>
      <c r="D557" s="66">
        <f>(Table1345[[#This Row],[Index]]-B545)/B545</f>
        <v>4.3325929832947287E-2</v>
      </c>
    </row>
    <row r="558" spans="1:4" x14ac:dyDescent="0.35">
      <c r="A558" s="17">
        <v>43070</v>
      </c>
      <c r="B558" s="58">
        <f>VLOOKUP(Table1345[[#This Row],[Date]],database!A:I,9,)</f>
        <v>104.86920000000001</v>
      </c>
      <c r="C558" s="66">
        <f t="shared" si="8"/>
        <v>3.5470082516348755E-2</v>
      </c>
      <c r="D558" s="66">
        <f>(Table1345[[#This Row],[Index]]-B546)/B546</f>
        <v>1.7387001949998624E-2</v>
      </c>
    </row>
    <row r="559" spans="1:4" x14ac:dyDescent="0.35">
      <c r="A559" s="17">
        <v>43101</v>
      </c>
      <c r="B559" s="58">
        <f>VLOOKUP(Table1345[[#This Row],[Date]],database!A:I,9,)</f>
        <v>107.6914</v>
      </c>
      <c r="C559" s="66">
        <f t="shared" si="8"/>
        <v>2.6911619426867039E-2</v>
      </c>
      <c r="D559" s="66">
        <f>(Table1345[[#This Row],[Index]]-B547)/B547</f>
        <v>0.10078901290080551</v>
      </c>
    </row>
    <row r="560" spans="1:4" x14ac:dyDescent="0.35">
      <c r="A560" s="17">
        <v>43132</v>
      </c>
      <c r="B560" s="58">
        <f>VLOOKUP(Table1345[[#This Row],[Date]],database!A:I,9,)</f>
        <v>100.66249999999999</v>
      </c>
      <c r="C560" s="66">
        <f t="shared" si="8"/>
        <v>-6.5268907266504139E-2</v>
      </c>
      <c r="D560" s="66">
        <f>(Table1345[[#This Row],[Index]]-B548)/B548</f>
        <v>8.3000350734498213E-2</v>
      </c>
    </row>
    <row r="561" spans="1:4" x14ac:dyDescent="0.35">
      <c r="A561" s="17">
        <v>43160</v>
      </c>
      <c r="B561" s="58">
        <f>VLOOKUP(Table1345[[#This Row],[Date]],database!A:I,9,)</f>
        <v>103.3884</v>
      </c>
      <c r="C561" s="66">
        <f t="shared" si="8"/>
        <v>2.7079597665466304E-2</v>
      </c>
      <c r="D561" s="66">
        <f>(Table1345[[#This Row],[Index]]-B549)/B549</f>
        <v>3.6882664666214669E-2</v>
      </c>
    </row>
    <row r="562" spans="1:4" x14ac:dyDescent="0.35">
      <c r="A562" s="17">
        <v>43191</v>
      </c>
      <c r="B562" s="58">
        <f>VLOOKUP(Table1345[[#This Row],[Date]],database!A:I,9,)</f>
        <v>107.8539</v>
      </c>
      <c r="C562" s="66">
        <f t="shared" si="8"/>
        <v>4.3191499239759956E-2</v>
      </c>
      <c r="D562" s="66">
        <f>(Table1345[[#This Row],[Index]]-B550)/B550</f>
        <v>8.240969707674646E-2</v>
      </c>
    </row>
    <row r="563" spans="1:4" x14ac:dyDescent="0.35">
      <c r="A563" s="17">
        <v>43221</v>
      </c>
      <c r="B563" s="58">
        <f>VLOOKUP(Table1345[[#This Row],[Date]],database!A:I,9,)</f>
        <v>104.438</v>
      </c>
      <c r="C563" s="66">
        <f t="shared" si="8"/>
        <v>-3.1671548270391647E-2</v>
      </c>
      <c r="D563" s="66">
        <f>(Table1345[[#This Row],[Index]]-B551)/B551</f>
        <v>3.6323620176746001E-2</v>
      </c>
    </row>
    <row r="564" spans="1:4" x14ac:dyDescent="0.35">
      <c r="A564" s="17">
        <v>43252</v>
      </c>
      <c r="B564" s="58">
        <f>VLOOKUP(Table1345[[#This Row],[Date]],database!A:I,9,)</f>
        <v>104.55929999999999</v>
      </c>
      <c r="C564" s="66">
        <f t="shared" si="8"/>
        <v>1.1614546429459249E-3</v>
      </c>
      <c r="D564" s="66">
        <f>(Table1345[[#This Row],[Index]]-B552)/B552</f>
        <v>3.5737953373649697E-2</v>
      </c>
    </row>
    <row r="565" spans="1:4" x14ac:dyDescent="0.35">
      <c r="A565" s="17">
        <v>43282</v>
      </c>
      <c r="B565" s="58">
        <f>VLOOKUP(Table1345[[#This Row],[Date]],database!A:I,9,)</f>
        <v>103.82510000000001</v>
      </c>
      <c r="C565" s="66">
        <f t="shared" si="8"/>
        <v>-7.0218526711635088E-3</v>
      </c>
      <c r="D565" s="66">
        <f>(Table1345[[#This Row],[Index]]-B553)/B553</f>
        <v>2.2647445279919017E-2</v>
      </c>
    </row>
    <row r="566" spans="1:4" x14ac:dyDescent="0.35">
      <c r="A566" s="17">
        <v>43313</v>
      </c>
      <c r="B566" s="58">
        <f>VLOOKUP(Table1345[[#This Row],[Date]],database!A:I,9,)</f>
        <v>104.7383</v>
      </c>
      <c r="C566" s="66">
        <f t="shared" si="8"/>
        <v>8.7955609963292769E-3</v>
      </c>
      <c r="D566" s="66">
        <f>(Table1345[[#This Row],[Index]]-B554)/B554</f>
        <v>5.0012230625486161E-2</v>
      </c>
    </row>
    <row r="567" spans="1:4" x14ac:dyDescent="0.35">
      <c r="A567" s="17">
        <v>43344</v>
      </c>
      <c r="B567" s="58">
        <f>VLOOKUP(Table1345[[#This Row],[Date]],database!A:I,9,)</f>
        <v>104.3374</v>
      </c>
      <c r="C567" s="66">
        <f t="shared" si="8"/>
        <v>-3.827635163068277E-3</v>
      </c>
      <c r="D567" s="66">
        <f>(Table1345[[#This Row],[Index]]-B555)/B555</f>
        <v>5.0880438975602696E-2</v>
      </c>
    </row>
    <row r="568" spans="1:4" x14ac:dyDescent="0.35">
      <c r="A568" s="17">
        <v>43374</v>
      </c>
      <c r="B568" s="58">
        <f>VLOOKUP(Table1345[[#This Row],[Date]],database!A:I,9,)</f>
        <v>106.0998</v>
      </c>
      <c r="C568" s="66">
        <f t="shared" si="8"/>
        <v>1.6891354394493296E-2</v>
      </c>
      <c r="D568" s="66">
        <f>(Table1345[[#This Row],[Index]]-B556)/B556</f>
        <v>4.6021070315226648E-2</v>
      </c>
    </row>
    <row r="569" spans="1:4" x14ac:dyDescent="0.35">
      <c r="A569" s="17">
        <v>43405</v>
      </c>
      <c r="B569" s="58">
        <f>VLOOKUP(Table1345[[#This Row],[Date]],database!A:I,9,)</f>
        <v>107.48569999999999</v>
      </c>
      <c r="C569" s="66">
        <f t="shared" si="8"/>
        <v>1.3062230089029292E-2</v>
      </c>
      <c r="D569" s="66">
        <f>(Table1345[[#This Row],[Index]]-B557)/B557</f>
        <v>6.130519397809369E-2</v>
      </c>
    </row>
    <row r="570" spans="1:4" x14ac:dyDescent="0.35">
      <c r="A570" s="17">
        <v>43435</v>
      </c>
      <c r="B570" s="58">
        <f>VLOOKUP(Table1345[[#This Row],[Date]],database!A:I,9,)</f>
        <v>103.3369</v>
      </c>
      <c r="C570" s="66">
        <f t="shared" si="8"/>
        <v>-3.8598622886579226E-2</v>
      </c>
      <c r="D570" s="66">
        <f>(Table1345[[#This Row],[Index]]-B558)/B558</f>
        <v>-1.4611535131382773E-2</v>
      </c>
    </row>
    <row r="571" spans="1:4" x14ac:dyDescent="0.35">
      <c r="A571" s="17">
        <v>43466</v>
      </c>
      <c r="B571" s="58">
        <f>VLOOKUP(Table1345[[#This Row],[Date]],database!A:I,9,)</f>
        <v>104.4662</v>
      </c>
      <c r="C571" s="66">
        <f t="shared" si="8"/>
        <v>1.092833247368552E-2</v>
      </c>
      <c r="D571" s="66">
        <f>(Table1345[[#This Row],[Index]]-B559)/B559</f>
        <v>-2.9948538137678598E-2</v>
      </c>
    </row>
    <row r="572" spans="1:4" x14ac:dyDescent="0.35">
      <c r="A572" s="17">
        <v>43497</v>
      </c>
      <c r="B572" s="58">
        <f>VLOOKUP(Table1345[[#This Row],[Date]],database!A:I,9,)</f>
        <v>105.15430000000001</v>
      </c>
      <c r="C572" s="66">
        <f t="shared" si="8"/>
        <v>6.5868194688809556E-3</v>
      </c>
      <c r="D572" s="66">
        <f>(Table1345[[#This Row],[Index]]-B560)/B560</f>
        <v>4.4622376754004843E-2</v>
      </c>
    </row>
    <row r="573" spans="1:4" x14ac:dyDescent="0.35">
      <c r="A573" s="17">
        <v>43525</v>
      </c>
      <c r="B573" s="58">
        <f>VLOOKUP(Table1345[[#This Row],[Date]],database!A:I,9,)</f>
        <v>106.0924</v>
      </c>
      <c r="C573" s="66">
        <f t="shared" si="8"/>
        <v>8.9211758339886593E-3</v>
      </c>
      <c r="D573" s="66">
        <f>(Table1345[[#This Row],[Index]]-B561)/B561</f>
        <v>2.6153804488704666E-2</v>
      </c>
    </row>
    <row r="574" spans="1:4" x14ac:dyDescent="0.35">
      <c r="A574" s="17">
        <v>43556</v>
      </c>
      <c r="B574" s="58">
        <f>VLOOKUP(Table1345[[#This Row],[Date]],database!A:I,9,)</f>
        <v>102.9877</v>
      </c>
      <c r="C574" s="66">
        <f t="shared" si="8"/>
        <v>-2.9264113169275019E-2</v>
      </c>
      <c r="D574" s="66">
        <f>(Table1345[[#This Row],[Index]]-B562)/B562</f>
        <v>-4.511844263397051E-2</v>
      </c>
    </row>
    <row r="575" spans="1:4" x14ac:dyDescent="0.35">
      <c r="A575" s="17">
        <v>43586</v>
      </c>
      <c r="B575" s="58">
        <f>VLOOKUP(Table1345[[#This Row],[Date]],database!A:I,9,)</f>
        <v>104.29470000000001</v>
      </c>
      <c r="C575" s="66">
        <f t="shared" si="8"/>
        <v>1.2690835895937003E-2</v>
      </c>
      <c r="D575" s="66">
        <f>(Table1345[[#This Row],[Index]]-B563)/B563</f>
        <v>-1.3721059384514873E-3</v>
      </c>
    </row>
    <row r="576" spans="1:4" x14ac:dyDescent="0.35">
      <c r="A576" s="17">
        <v>43617</v>
      </c>
      <c r="B576" s="58">
        <f>VLOOKUP(Table1345[[#This Row],[Date]],database!A:I,9,)</f>
        <v>101.07129999999999</v>
      </c>
      <c r="C576" s="66">
        <f t="shared" si="8"/>
        <v>-3.0906652015874392E-2</v>
      </c>
      <c r="D576" s="66">
        <f>(Table1345[[#This Row],[Index]]-B564)/B564</f>
        <v>-3.3359060360962631E-2</v>
      </c>
    </row>
    <row r="577" spans="1:4" x14ac:dyDescent="0.35">
      <c r="A577" s="17">
        <v>43647</v>
      </c>
      <c r="B577" s="58">
        <f>VLOOKUP(Table1345[[#This Row],[Date]],database!A:I,9,)</f>
        <v>104.3182</v>
      </c>
      <c r="C577" s="66">
        <f t="shared" si="8"/>
        <v>3.2124846519239414E-2</v>
      </c>
      <c r="D577" s="66">
        <f>(Table1345[[#This Row],[Index]]-B565)/B565</f>
        <v>4.7493332537122358E-3</v>
      </c>
    </row>
    <row r="578" spans="1:4" x14ac:dyDescent="0.35">
      <c r="A578" s="17">
        <v>43678</v>
      </c>
      <c r="B578" s="58">
        <f>VLOOKUP(Table1345[[#This Row],[Date]],database!A:I,9,)</f>
        <v>103.274</v>
      </c>
      <c r="C578" s="66">
        <f t="shared" si="8"/>
        <v>-1.0009758603963692E-2</v>
      </c>
      <c r="D578" s="66">
        <f>(Table1345[[#This Row],[Index]]-B566)/B566</f>
        <v>-1.3980559165080916E-2</v>
      </c>
    </row>
    <row r="579" spans="1:4" x14ac:dyDescent="0.35">
      <c r="A579" s="17">
        <v>43709</v>
      </c>
      <c r="B579" s="58">
        <f>VLOOKUP(Table1345[[#This Row],[Date]],database!A:I,9,)</f>
        <v>105.05</v>
      </c>
      <c r="C579" s="66">
        <f t="shared" si="8"/>
        <v>1.7196971164087804E-2</v>
      </c>
      <c r="D579" s="66">
        <f>(Table1345[[#This Row],[Index]]-B567)/B567</f>
        <v>6.8297657407602142E-3</v>
      </c>
    </row>
    <row r="580" spans="1:4" x14ac:dyDescent="0.35">
      <c r="A580" s="17">
        <v>43739</v>
      </c>
      <c r="B580" s="58">
        <f>VLOOKUP(Table1345[[#This Row],[Date]],database!A:I,9,)</f>
        <v>103.9808</v>
      </c>
      <c r="C580" s="66">
        <f t="shared" si="8"/>
        <v>-1.0178010471204146E-2</v>
      </c>
      <c r="D580" s="66">
        <f>(Table1345[[#This Row],[Index]]-B568)/B568</f>
        <v>-1.997176243499045E-2</v>
      </c>
    </row>
    <row r="581" spans="1:4" x14ac:dyDescent="0.35">
      <c r="A581" s="17">
        <v>43770</v>
      </c>
      <c r="B581" s="58">
        <f>VLOOKUP(Table1345[[#This Row],[Date]],database!A:I,9,)</f>
        <v>104.9438</v>
      </c>
      <c r="C581" s="66">
        <f t="shared" si="8"/>
        <v>9.2613251677231556E-3</v>
      </c>
      <c r="D581" s="66">
        <f>(Table1345[[#This Row],[Index]]-B569)/B569</f>
        <v>-2.3648727226040285E-2</v>
      </c>
    </row>
    <row r="582" spans="1:4" x14ac:dyDescent="0.35">
      <c r="A582" s="17">
        <v>43800</v>
      </c>
      <c r="B582" s="58">
        <f>VLOOKUP(Table1345[[#This Row],[Date]],database!A:I,9,)</f>
        <v>102.5188</v>
      </c>
      <c r="C582" s="66">
        <f t="shared" si="8"/>
        <v>-2.3107606166348105E-2</v>
      </c>
      <c r="D582" s="66">
        <f>(Table1345[[#This Row],[Index]]-B570)/B570</f>
        <v>-7.9168235160915531E-3</v>
      </c>
    </row>
    <row r="583" spans="1:4" x14ac:dyDescent="0.35">
      <c r="A583" s="17">
        <v>43831</v>
      </c>
      <c r="B583" s="58">
        <f>VLOOKUP(Table1345[[#This Row],[Date]],database!A:I,9,)</f>
        <v>99.0595</v>
      </c>
      <c r="C583" s="66">
        <f t="shared" si="8"/>
        <v>-3.3743079318134805E-2</v>
      </c>
      <c r="D583" s="66">
        <f>(Table1345[[#This Row],[Index]]-B571)/B571</f>
        <v>-5.1755496036038455E-2</v>
      </c>
    </row>
    <row r="584" spans="1:4" x14ac:dyDescent="0.35">
      <c r="A584" s="17">
        <v>43862</v>
      </c>
      <c r="B584" s="58">
        <f>VLOOKUP(Table1345[[#This Row],[Date]],database!A:I,9,)</f>
        <v>102.0314</v>
      </c>
      <c r="C584" s="66">
        <f t="shared" ref="C584:C647" si="9">B584/B583-1</f>
        <v>3.0001160918437852E-2</v>
      </c>
      <c r="D584" s="66">
        <f>(Table1345[[#This Row],[Index]]-B572)/B572</f>
        <v>-2.9698262458121075E-2</v>
      </c>
    </row>
    <row r="585" spans="1:4" x14ac:dyDescent="0.35">
      <c r="A585" s="17">
        <v>43891</v>
      </c>
      <c r="B585" s="58">
        <f>VLOOKUP(Table1345[[#This Row],[Date]],database!A:I,9,)</f>
        <v>98.553700000000006</v>
      </c>
      <c r="C585" s="66">
        <f t="shared" si="9"/>
        <v>-3.4084605327379558E-2</v>
      </c>
      <c r="D585" s="66">
        <f>(Table1345[[#This Row],[Index]]-B573)/B573</f>
        <v>-7.1057870309277502E-2</v>
      </c>
    </row>
    <row r="586" spans="1:4" x14ac:dyDescent="0.35">
      <c r="A586" s="17">
        <v>43922</v>
      </c>
      <c r="B586" s="58">
        <f>VLOOKUP(Table1345[[#This Row],[Date]],database!A:I,9,)</f>
        <v>100.4235</v>
      </c>
      <c r="C586" s="66">
        <f t="shared" si="9"/>
        <v>1.8972397789225548E-2</v>
      </c>
      <c r="D586" s="66">
        <f>(Table1345[[#This Row],[Index]]-B574)/B574</f>
        <v>-2.4898118901577563E-2</v>
      </c>
    </row>
    <row r="587" spans="1:4" x14ac:dyDescent="0.35">
      <c r="A587" s="17">
        <v>43952</v>
      </c>
      <c r="B587" s="58">
        <f>VLOOKUP(Table1345[[#This Row],[Date]],database!A:I,9,)</f>
        <v>98.558199999999999</v>
      </c>
      <c r="C587" s="66">
        <f t="shared" si="9"/>
        <v>-1.8574337679925557E-2</v>
      </c>
      <c r="D587" s="66">
        <f>(Table1345[[#This Row],[Index]]-B575)/B575</f>
        <v>-5.5002794964653108E-2</v>
      </c>
    </row>
    <row r="588" spans="1:4" x14ac:dyDescent="0.35">
      <c r="A588" s="17">
        <v>43983</v>
      </c>
      <c r="B588" s="58">
        <f>VLOOKUP(Table1345[[#This Row],[Date]],database!A:I,9,)</f>
        <v>100.9439</v>
      </c>
      <c r="C588" s="66">
        <f t="shared" si="9"/>
        <v>2.4206002138837723E-2</v>
      </c>
      <c r="D588" s="66">
        <f>(Table1345[[#This Row],[Index]]-B576)/B576</f>
        <v>-1.2604963031047826E-3</v>
      </c>
    </row>
    <row r="589" spans="1:4" x14ac:dyDescent="0.35">
      <c r="A589" s="17">
        <v>44013</v>
      </c>
      <c r="B589" s="58">
        <f>VLOOKUP(Table1345[[#This Row],[Date]],database!A:I,9,)</f>
        <v>105.1296</v>
      </c>
      <c r="C589" s="66">
        <f t="shared" si="9"/>
        <v>4.1465606143610501E-2</v>
      </c>
      <c r="D589" s="66">
        <f>(Table1345[[#This Row],[Index]]-B577)/B577</f>
        <v>7.7781250059912061E-3</v>
      </c>
    </row>
    <row r="590" spans="1:4" x14ac:dyDescent="0.35">
      <c r="A590" s="17">
        <v>44044</v>
      </c>
      <c r="B590" s="58">
        <f>VLOOKUP(Table1345[[#This Row],[Date]],database!A:I,9,)</f>
        <v>102.5446</v>
      </c>
      <c r="C590" s="66">
        <f t="shared" si="9"/>
        <v>-2.458869814020026E-2</v>
      </c>
      <c r="D590" s="66">
        <f>(Table1345[[#This Row],[Index]]-B578)/B578</f>
        <v>-7.0627650715571998E-3</v>
      </c>
    </row>
    <row r="591" spans="1:4" x14ac:dyDescent="0.35">
      <c r="A591" s="17">
        <v>44075</v>
      </c>
      <c r="B591" s="58">
        <f>VLOOKUP(Table1345[[#This Row],[Date]],database!A:I,9,)</f>
        <v>100.7128</v>
      </c>
      <c r="C591" s="66">
        <f t="shared" si="9"/>
        <v>-1.7863446734396549E-2</v>
      </c>
      <c r="D591" s="66">
        <f>(Table1345[[#This Row],[Index]]-B579)/B579</f>
        <v>-4.1287006187529708E-2</v>
      </c>
    </row>
    <row r="592" spans="1:4" x14ac:dyDescent="0.35">
      <c r="A592" s="17">
        <v>44105</v>
      </c>
      <c r="B592" s="58">
        <f>VLOOKUP(Table1345[[#This Row],[Date]],database!A:I,9,)</f>
        <v>101.452</v>
      </c>
      <c r="C592" s="66">
        <f t="shared" si="9"/>
        <v>7.3396827414191623E-3</v>
      </c>
      <c r="D592" s="66">
        <f>(Table1345[[#This Row],[Index]]-B580)/B580</f>
        <v>-2.4319874438357886E-2</v>
      </c>
    </row>
    <row r="593" spans="1:4" x14ac:dyDescent="0.35">
      <c r="A593" s="17">
        <v>44136</v>
      </c>
      <c r="B593" s="58">
        <f>VLOOKUP(Table1345[[#This Row],[Date]],database!A:I,9,)</f>
        <v>97.662800000000004</v>
      </c>
      <c r="C593" s="66">
        <f t="shared" si="9"/>
        <v>-3.7349682608524115E-2</v>
      </c>
      <c r="D593" s="66">
        <f>(Table1345[[#This Row],[Index]]-B581)/B581</f>
        <v>-6.9379991957600085E-2</v>
      </c>
    </row>
    <row r="594" spans="1:4" x14ac:dyDescent="0.35">
      <c r="A594" s="17">
        <v>44166</v>
      </c>
      <c r="B594" s="58">
        <f>VLOOKUP(Table1345[[#This Row],[Date]],database!A:I,9,)</f>
        <v>104.5528</v>
      </c>
      <c r="C594" s="66">
        <f t="shared" si="9"/>
        <v>7.054886814631578E-2</v>
      </c>
      <c r="D594" s="66">
        <f>(Table1345[[#This Row],[Index]]-B582)/B582</f>
        <v>1.9840263444363435E-2</v>
      </c>
    </row>
    <row r="595" spans="1:4" x14ac:dyDescent="0.35">
      <c r="A595" s="17">
        <v>44197</v>
      </c>
      <c r="B595" s="58">
        <f>VLOOKUP(Table1345[[#This Row],[Date]],database!A:I,9,)</f>
        <v>101.7159</v>
      </c>
      <c r="C595" s="66">
        <f t="shared" si="9"/>
        <v>-2.7133658782930725E-2</v>
      </c>
      <c r="D595" s="66">
        <f>(Table1345[[#This Row],[Index]]-B583)/B583</f>
        <v>2.6816206421393252E-2</v>
      </c>
    </row>
    <row r="596" spans="1:4" x14ac:dyDescent="0.35">
      <c r="A596" s="17">
        <v>44228</v>
      </c>
      <c r="B596" s="58">
        <f>VLOOKUP(Table1345[[#This Row],[Date]],database!A:I,9,)</f>
        <v>108.2527</v>
      </c>
      <c r="C596" s="66">
        <f t="shared" si="9"/>
        <v>6.4265272194415912E-2</v>
      </c>
      <c r="D596" s="66">
        <f>(Table1345[[#This Row],[Index]]-B584)/B584</f>
        <v>6.0974366714560413E-2</v>
      </c>
    </row>
    <row r="597" spans="1:4" x14ac:dyDescent="0.35">
      <c r="A597" s="17">
        <v>44256</v>
      </c>
      <c r="B597" s="58">
        <f>VLOOKUP(Table1345[[#This Row],[Date]],database!A:I,9,)</f>
        <v>99.933800000000005</v>
      </c>
      <c r="C597" s="66">
        <f t="shared" si="9"/>
        <v>-7.6847043999826337E-2</v>
      </c>
      <c r="D597" s="66">
        <f>(Table1345[[#This Row],[Index]]-B585)/B585</f>
        <v>1.4003533099213917E-2</v>
      </c>
    </row>
    <row r="598" spans="1:4" x14ac:dyDescent="0.35">
      <c r="A598" s="17">
        <v>44287</v>
      </c>
      <c r="B598" s="58">
        <f>VLOOKUP(Table1345[[#This Row],[Date]],database!A:I,9,)</f>
        <v>102.10599999999999</v>
      </c>
      <c r="C598" s="66">
        <f t="shared" si="9"/>
        <v>2.1736389489842134E-2</v>
      </c>
      <c r="D598" s="66">
        <f>(Table1345[[#This Row],[Index]]-B586)/B586</f>
        <v>1.6754046612595559E-2</v>
      </c>
    </row>
    <row r="599" spans="1:4" x14ac:dyDescent="0.35">
      <c r="A599" s="17">
        <v>44317</v>
      </c>
      <c r="B599" s="58">
        <f>VLOOKUP(Table1345[[#This Row],[Date]],database!A:I,9,)</f>
        <v>101.57940000000001</v>
      </c>
      <c r="C599" s="66">
        <f t="shared" si="9"/>
        <v>-5.1573854621665971E-3</v>
      </c>
      <c r="D599" s="66">
        <f>(Table1345[[#This Row],[Index]]-B587)/B587</f>
        <v>3.0653968923945521E-2</v>
      </c>
    </row>
    <row r="600" spans="1:4" x14ac:dyDescent="0.35">
      <c r="A600" s="17">
        <v>44348</v>
      </c>
      <c r="B600" s="58">
        <f>VLOOKUP(Table1345[[#This Row],[Date]],database!A:I,9,)</f>
        <v>105.8571</v>
      </c>
      <c r="C600" s="66">
        <f t="shared" si="9"/>
        <v>4.211188489004658E-2</v>
      </c>
      <c r="D600" s="66">
        <f>(Table1345[[#This Row],[Index]]-B588)/B588</f>
        <v>4.8672579521892884E-2</v>
      </c>
    </row>
    <row r="601" spans="1:4" x14ac:dyDescent="0.35">
      <c r="A601" s="17">
        <v>44378</v>
      </c>
      <c r="B601" s="58">
        <f>VLOOKUP(Table1345[[#This Row],[Date]],database!A:I,9,)</f>
        <v>103.5836</v>
      </c>
      <c r="C601" s="66">
        <f t="shared" si="9"/>
        <v>-2.1477066724858274E-2</v>
      </c>
      <c r="D601" s="66">
        <f>(Table1345[[#This Row],[Index]]-B589)/B589</f>
        <v>-1.4705658539554915E-2</v>
      </c>
    </row>
    <row r="602" spans="1:4" x14ac:dyDescent="0.35">
      <c r="A602" s="17">
        <v>44409</v>
      </c>
      <c r="B602" s="58">
        <f>VLOOKUP(Table1345[[#This Row],[Date]],database!A:I,9,)</f>
        <v>105.2512</v>
      </c>
      <c r="C602" s="66">
        <f t="shared" si="9"/>
        <v>1.6099073598523361E-2</v>
      </c>
      <c r="D602" s="66">
        <f>(Table1345[[#This Row],[Index]]-B590)/B590</f>
        <v>2.6394368889244235E-2</v>
      </c>
    </row>
    <row r="603" spans="1:4" x14ac:dyDescent="0.35">
      <c r="A603" s="17">
        <v>44440</v>
      </c>
      <c r="B603" s="58">
        <f>VLOOKUP(Table1345[[#This Row],[Date]],database!A:I,9,)</f>
        <v>103.3258</v>
      </c>
      <c r="C603" s="66">
        <f t="shared" si="9"/>
        <v>-1.8293378127755222E-2</v>
      </c>
      <c r="D603" s="66">
        <f>(Table1345[[#This Row],[Index]]-B591)/B591</f>
        <v>2.5945063586753615E-2</v>
      </c>
    </row>
    <row r="604" spans="1:4" x14ac:dyDescent="0.35">
      <c r="A604" s="17">
        <v>44470</v>
      </c>
      <c r="B604" s="58">
        <f>VLOOKUP(Table1345[[#This Row],[Date]],database!A:I,9,)</f>
        <v>100.4297</v>
      </c>
      <c r="C604" s="66">
        <f t="shared" si="9"/>
        <v>-2.8028817584765942E-2</v>
      </c>
      <c r="D604" s="66">
        <f>(Table1345[[#This Row],[Index]]-B592)/B592</f>
        <v>-1.007668651184798E-2</v>
      </c>
    </row>
    <row r="605" spans="1:4" x14ac:dyDescent="0.35">
      <c r="A605" s="17">
        <v>44501</v>
      </c>
      <c r="B605" s="58">
        <f>VLOOKUP(Table1345[[#This Row],[Date]],database!A:I,9,)</f>
        <v>101.8721</v>
      </c>
      <c r="C605" s="66">
        <f t="shared" si="9"/>
        <v>1.4362285260236751E-2</v>
      </c>
      <c r="D605" s="66">
        <f>(Table1345[[#This Row],[Index]]-B593)/B593</f>
        <v>4.310034117391677E-2</v>
      </c>
    </row>
    <row r="606" spans="1:4" x14ac:dyDescent="0.35">
      <c r="A606" s="17">
        <v>44531</v>
      </c>
      <c r="B606" s="58">
        <f>VLOOKUP(Table1345[[#This Row],[Date]],database!A:I,9,)</f>
        <v>100.4218</v>
      </c>
      <c r="C606" s="66">
        <f t="shared" si="9"/>
        <v>-1.4236478878907999E-2</v>
      </c>
      <c r="D606" s="66">
        <f>(Table1345[[#This Row],[Index]]-B594)/B594</f>
        <v>-3.9511136956638181E-2</v>
      </c>
    </row>
    <row r="607" spans="1:4" x14ac:dyDescent="0.35">
      <c r="A607" s="17">
        <v>44562</v>
      </c>
      <c r="B607" s="58">
        <f>VLOOKUP(Table1345[[#This Row],[Date]],database!A:I,9,)</f>
        <v>108.3532</v>
      </c>
      <c r="C607" s="66">
        <f t="shared" si="9"/>
        <v>7.8980858737843773E-2</v>
      </c>
      <c r="D607" s="66">
        <f>(Table1345[[#This Row],[Index]]-B595)/B595</f>
        <v>6.5253318311099803E-2</v>
      </c>
    </row>
    <row r="608" spans="1:4" x14ac:dyDescent="0.35">
      <c r="A608" s="17">
        <v>44593</v>
      </c>
      <c r="B608" s="58">
        <f>VLOOKUP(Table1345[[#This Row],[Date]],database!A:I,9,)</f>
        <v>107.48439999999999</v>
      </c>
      <c r="C608" s="66">
        <f t="shared" si="9"/>
        <v>-8.0182218891551305E-3</v>
      </c>
      <c r="D608" s="66">
        <f>(Table1345[[#This Row],[Index]]-B596)/B596</f>
        <v>-7.0972825620054802E-3</v>
      </c>
    </row>
    <row r="609" spans="1:4" x14ac:dyDescent="0.35">
      <c r="A609" s="17">
        <v>44621</v>
      </c>
      <c r="B609" s="58">
        <f>VLOOKUP(Table1345[[#This Row],[Date]],database!A:I,9,)</f>
        <v>103.10420000000001</v>
      </c>
      <c r="C609" s="66">
        <f t="shared" si="9"/>
        <v>-4.0751960284469035E-2</v>
      </c>
      <c r="D609" s="66">
        <f>(Table1345[[#This Row],[Index]]-B597)/B597</f>
        <v>3.1725001951291763E-2</v>
      </c>
    </row>
    <row r="610" spans="1:4" x14ac:dyDescent="0.35">
      <c r="A610" s="17">
        <v>44652</v>
      </c>
      <c r="B610" s="58">
        <f>VLOOKUP(Table1345[[#This Row],[Date]],database!A:I,9,)</f>
        <v>106.7054</v>
      </c>
      <c r="C610" s="66">
        <f t="shared" si="9"/>
        <v>3.4927772098517718E-2</v>
      </c>
      <c r="D610" s="66">
        <f>(Table1345[[#This Row],[Index]]-B598)/B598</f>
        <v>4.5045345033592574E-2</v>
      </c>
    </row>
    <row r="611" spans="1:4" x14ac:dyDescent="0.35">
      <c r="A611" s="17">
        <v>44682</v>
      </c>
      <c r="B611" s="58">
        <f>VLOOKUP(Table1345[[#This Row],[Date]],database!A:I,9,)</f>
        <v>107.0307</v>
      </c>
      <c r="C611" s="66">
        <f t="shared" si="9"/>
        <v>3.0485804842117492E-3</v>
      </c>
      <c r="D611" s="66">
        <f>(Table1345[[#This Row],[Index]]-B599)/B599</f>
        <v>5.3665408537557704E-2</v>
      </c>
    </row>
    <row r="612" spans="1:4" x14ac:dyDescent="0.35">
      <c r="A612" s="17">
        <v>44713</v>
      </c>
      <c r="B612" s="58">
        <f>VLOOKUP(Table1345[[#This Row],[Date]],database!A:I,9,)</f>
        <v>107.5915</v>
      </c>
      <c r="C612" s="66">
        <f t="shared" si="9"/>
        <v>5.239618165629123E-3</v>
      </c>
      <c r="D612" s="66">
        <f>(Table1345[[#This Row],[Index]]-B600)/B600</f>
        <v>1.6384352112423197E-2</v>
      </c>
    </row>
    <row r="613" spans="1:4" x14ac:dyDescent="0.35">
      <c r="A613" s="17">
        <v>44743</v>
      </c>
      <c r="B613" s="58">
        <f>VLOOKUP(Table1345[[#This Row],[Date]],database!A:I,9,)</f>
        <v>107.7486</v>
      </c>
      <c r="C613" s="66">
        <f t="shared" si="9"/>
        <v>1.4601525213422395E-3</v>
      </c>
      <c r="D613" s="66">
        <f>(Table1345[[#This Row],[Index]]-B601)/B601</f>
        <v>4.0209067844716652E-2</v>
      </c>
    </row>
    <row r="614" spans="1:4" x14ac:dyDescent="0.35">
      <c r="A614" s="17">
        <v>44774</v>
      </c>
      <c r="B614" s="58">
        <f>VLOOKUP(Table1345[[#This Row],[Date]],database!A:I,9,)</f>
        <v>106.375</v>
      </c>
      <c r="C614" s="66">
        <f t="shared" si="9"/>
        <v>-1.2748193480008108E-2</v>
      </c>
      <c r="D614" s="66">
        <f>(Table1345[[#This Row],[Index]]-B602)/B602</f>
        <v>1.0677312942750324E-2</v>
      </c>
    </row>
    <row r="615" spans="1:4" x14ac:dyDescent="0.35">
      <c r="A615" s="17">
        <v>44805</v>
      </c>
      <c r="B615" s="58">
        <f>VLOOKUP(Table1345[[#This Row],[Date]],database!A:I,9,)</f>
        <v>104.1845</v>
      </c>
      <c r="C615" s="66">
        <f t="shared" si="9"/>
        <v>-2.0592244418331407E-2</v>
      </c>
      <c r="D615" s="66">
        <f>(Table1345[[#This Row],[Index]]-B603)/B603</f>
        <v>8.3106058699763171E-3</v>
      </c>
    </row>
    <row r="616" spans="1:4" x14ac:dyDescent="0.35">
      <c r="A616" s="17">
        <v>44835</v>
      </c>
      <c r="B616" s="58">
        <f>VLOOKUP(Table1345[[#This Row],[Date]],database!A:I,9,)</f>
        <v>101.5137</v>
      </c>
      <c r="C616" s="66">
        <f t="shared" si="9"/>
        <v>-2.5635291238140012E-2</v>
      </c>
      <c r="D616" s="66">
        <f>(Table1345[[#This Row],[Index]]-B604)/B604</f>
        <v>1.0793619815652175E-2</v>
      </c>
    </row>
    <row r="617" spans="1:4" x14ac:dyDescent="0.35">
      <c r="A617" s="17">
        <v>44866</v>
      </c>
      <c r="B617" s="58">
        <f>VLOOKUP(Table1345[[#This Row],[Date]],database!A:I,9,)</f>
        <v>104.3045</v>
      </c>
      <c r="C617" s="66">
        <f t="shared" si="9"/>
        <v>2.7491855779072205E-2</v>
      </c>
      <c r="D617" s="66">
        <f>(Table1345[[#This Row],[Index]]-B605)/B605</f>
        <v>2.3876998707202474E-2</v>
      </c>
    </row>
    <row r="618" spans="1:4" x14ac:dyDescent="0.35">
      <c r="A618" s="17">
        <v>44896</v>
      </c>
      <c r="B618" s="58">
        <f>VLOOKUP(Table1345[[#This Row],[Date]],database!A:I,9,)</f>
        <v>109.58369999999999</v>
      </c>
      <c r="C618" s="66">
        <f t="shared" si="9"/>
        <v>5.0613348417374082E-2</v>
      </c>
      <c r="D618" s="66">
        <f>(Table1345[[#This Row],[Index]]-B606)/B606</f>
        <v>9.1234174253000719E-2</v>
      </c>
    </row>
    <row r="619" spans="1:4" x14ac:dyDescent="0.35">
      <c r="A619" s="17">
        <v>44927</v>
      </c>
      <c r="B619" s="58">
        <f>VLOOKUP(Table1345[[#This Row],[Date]],database!A:I,9,)</f>
        <v>98.730800000000002</v>
      </c>
      <c r="C619" s="66">
        <f t="shared" si="9"/>
        <v>-9.9037539342073599E-2</v>
      </c>
      <c r="D619" s="66">
        <f>(Table1345[[#This Row],[Index]]-B607)/B607</f>
        <v>-8.8805868216167122E-2</v>
      </c>
    </row>
  </sheetData>
  <conditionalFormatting sqref="D463:D61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2023-03-16T08:09:49Z</dcterms:modified>
</cp:coreProperties>
</file>